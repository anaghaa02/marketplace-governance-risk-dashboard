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Ecommerce_Governance_Project\"/>
    </mc:Choice>
  </mc:AlternateContent>
  <xr:revisionPtr revIDLastSave="0" documentId="13_ncr:1_{1EB7C3C1-850C-4E02-A587-6B98C46DEE31}" xr6:coauthVersionLast="47" xr6:coauthVersionMax="47" xr10:uidLastSave="{00000000-0000-0000-0000-000000000000}"/>
  <bookViews>
    <workbookView xWindow="-108" yWindow="-108" windowWidth="23256" windowHeight="12456" xr2:uid="{BCA03EC0-7A53-47DB-9623-9D1AFCCF52DB}"/>
  </bookViews>
  <sheets>
    <sheet name="Violation_Summary_Seller_Year" sheetId="13" r:id="rId1"/>
    <sheet name="Cleaned_Violation_Log" sheetId="11" r:id="rId2"/>
    <sheet name="Raw_Violation_Log" sheetId="5" r:id="rId3"/>
    <sheet name="Cleaned_Governance_Metrics" sheetId="10" r:id="rId4"/>
    <sheet name="Raw_Governance_Metrics" sheetId="4" r:id="rId5"/>
    <sheet name="Cleaned_Seller_Master" sheetId="9" r:id="rId6"/>
    <sheet name="Raw_Seller_Master" sheetId="3" r:id="rId7"/>
    <sheet name="Cleaned_Supplier_Risk" sheetId="8" r:id="rId8"/>
    <sheet name="Raw_Supplier_Risk" sheetId="2" r:id="rId9"/>
    <sheet name="Seller_Risk_Analysis" sheetId="14" r:id="rId10"/>
    <sheet name="Pivot_Risk_Reports" sheetId="15" r:id="rId11"/>
    <sheet name="Dashboard" sheetId="16" r:id="rId12"/>
  </sheets>
  <definedNames>
    <definedName name="ExternalData_1" localSheetId="8" hidden="1">Raw_Supplier_Risk!$A$1:$L$1801</definedName>
    <definedName name="ExternalData_2" localSheetId="7" hidden="1">Cleaned_Supplier_Risk!$A$1:$L$1801</definedName>
    <definedName name="ExternalData_2" localSheetId="6" hidden="1">Raw_Seller_Master!$A$1:$L$101</definedName>
    <definedName name="ExternalData_3" localSheetId="5" hidden="1">Cleaned_Seller_Master!$A$1:$L$101</definedName>
    <definedName name="ExternalData_3" localSheetId="4" hidden="1">Raw_Governance_Metrics!$A$1:$P$480</definedName>
    <definedName name="ExternalData_4" localSheetId="3" hidden="1">Cleaned_Governance_Metrics!$A$1:$P$480</definedName>
    <definedName name="ExternalData_4" localSheetId="2" hidden="1">Raw_Violation_Log!$A$1:$M$1647</definedName>
    <definedName name="ExternalData_4" localSheetId="9" hidden="1">Seller_Risk_Analysis!$A$1:$P$480</definedName>
    <definedName name="ExternalData_5" localSheetId="1" hidden="1">Cleaned_Violation_Log!$A$1:$M$1647</definedName>
    <definedName name="ExternalData_6" localSheetId="0" hidden="1">Violation_Summary_Seller_Year!$A$1:$J$480</definedName>
    <definedName name="Slicer_Analysis_Year">#N/A</definedName>
    <definedName name="Slicer_Final_Seller_Risk">#N/A</definedName>
    <definedName name="Slicer_Primary_Category">#N/A</definedName>
    <definedName name="Slicer_Region">#N/A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K2" i="14" l="1"/>
  <c r="AK3" i="14"/>
  <c r="AK4" i="14"/>
  <c r="AK5" i="14"/>
  <c r="AK6" i="14"/>
  <c r="AK7" i="14"/>
  <c r="AK8" i="14"/>
  <c r="AK9" i="14"/>
  <c r="AK10" i="14"/>
  <c r="AK11" i="14"/>
  <c r="AK12" i="14"/>
  <c r="AK13" i="14"/>
  <c r="AK14" i="14"/>
  <c r="AK15" i="14"/>
  <c r="AK16" i="14"/>
  <c r="AK17" i="14"/>
  <c r="AK18" i="14"/>
  <c r="AK19" i="14"/>
  <c r="AK20" i="14"/>
  <c r="AK21" i="14"/>
  <c r="AK22" i="14"/>
  <c r="AK23" i="14"/>
  <c r="AK24" i="14"/>
  <c r="AK25" i="14"/>
  <c r="AK26" i="14"/>
  <c r="AK27" i="14"/>
  <c r="AK28" i="14"/>
  <c r="AK29" i="14"/>
  <c r="AK30" i="14"/>
  <c r="AK31" i="14"/>
  <c r="AK32" i="14"/>
  <c r="AK33" i="14"/>
  <c r="AK34" i="14"/>
  <c r="AK35" i="14"/>
  <c r="AK36" i="14"/>
  <c r="AK37" i="14"/>
  <c r="AK38" i="14"/>
  <c r="AK39" i="14"/>
  <c r="AK40" i="14"/>
  <c r="AK41" i="14"/>
  <c r="AK42" i="14"/>
  <c r="AK43" i="14"/>
  <c r="AK44" i="14"/>
  <c r="AK45" i="14"/>
  <c r="AK46" i="14"/>
  <c r="AK47" i="14"/>
  <c r="AK48" i="14"/>
  <c r="AK49" i="14"/>
  <c r="AK50" i="14"/>
  <c r="AK51" i="14"/>
  <c r="AK52" i="14"/>
  <c r="AK53" i="14"/>
  <c r="AK54" i="14"/>
  <c r="AK55" i="14"/>
  <c r="AK56" i="14"/>
  <c r="AK57" i="14"/>
  <c r="AK58" i="14"/>
  <c r="AK59" i="14"/>
  <c r="AK60" i="14"/>
  <c r="AK61" i="14"/>
  <c r="AK62" i="14"/>
  <c r="AK63" i="14"/>
  <c r="AK64" i="14"/>
  <c r="AK65" i="14"/>
  <c r="AK66" i="14"/>
  <c r="AK67" i="14"/>
  <c r="AK68" i="14"/>
  <c r="AK69" i="14"/>
  <c r="AK70" i="14"/>
  <c r="AK71" i="14"/>
  <c r="AK72" i="14"/>
  <c r="AK73" i="14"/>
  <c r="AK74" i="14"/>
  <c r="AK75" i="14"/>
  <c r="AK76" i="14"/>
  <c r="AK77" i="14"/>
  <c r="AK78" i="14"/>
  <c r="AK79" i="14"/>
  <c r="AK80" i="14"/>
  <c r="AK81" i="14"/>
  <c r="AK82" i="14"/>
  <c r="AK83" i="14"/>
  <c r="AK84" i="14"/>
  <c r="AK85" i="14"/>
  <c r="AK86" i="14"/>
  <c r="AK87" i="14"/>
  <c r="AK88" i="14"/>
  <c r="AK89" i="14"/>
  <c r="AK90" i="14"/>
  <c r="AK91" i="14"/>
  <c r="AK92" i="14"/>
  <c r="AK93" i="14"/>
  <c r="AK94" i="14"/>
  <c r="AK95" i="14"/>
  <c r="AK96" i="14"/>
  <c r="AK97" i="14"/>
  <c r="AK98" i="14"/>
  <c r="AK99" i="14"/>
  <c r="AK100" i="14"/>
  <c r="AK101" i="14"/>
  <c r="AK102" i="14"/>
  <c r="AK103" i="14"/>
  <c r="AK104" i="14"/>
  <c r="AK105" i="14"/>
  <c r="AK106" i="14"/>
  <c r="AK107" i="14"/>
  <c r="AK108" i="14"/>
  <c r="AK109" i="14"/>
  <c r="AK110" i="14"/>
  <c r="AK111" i="14"/>
  <c r="AK112" i="14"/>
  <c r="AK113" i="14"/>
  <c r="AK114" i="14"/>
  <c r="AK115" i="14"/>
  <c r="AK116" i="14"/>
  <c r="AK117" i="14"/>
  <c r="AK118" i="14"/>
  <c r="AK119" i="14"/>
  <c r="AK120" i="14"/>
  <c r="AK121" i="14"/>
  <c r="AK122" i="14"/>
  <c r="AK123" i="14"/>
  <c r="AK124" i="14"/>
  <c r="AK125" i="14"/>
  <c r="AK126" i="14"/>
  <c r="AK127" i="14"/>
  <c r="AK128" i="14"/>
  <c r="AK129" i="14"/>
  <c r="AK130" i="14"/>
  <c r="AK131" i="14"/>
  <c r="AK132" i="14"/>
  <c r="AK133" i="14"/>
  <c r="AK134" i="14"/>
  <c r="AK135" i="14"/>
  <c r="AK136" i="14"/>
  <c r="AK137" i="14"/>
  <c r="AK138" i="14"/>
  <c r="AK139" i="14"/>
  <c r="AK140" i="14"/>
  <c r="AK141" i="14"/>
  <c r="AK142" i="14"/>
  <c r="AK143" i="14"/>
  <c r="AK144" i="14"/>
  <c r="AK145" i="14"/>
  <c r="AK146" i="14"/>
  <c r="AK147" i="14"/>
  <c r="AK148" i="14"/>
  <c r="AK149" i="14"/>
  <c r="AK150" i="14"/>
  <c r="AK151" i="14"/>
  <c r="AK152" i="14"/>
  <c r="AK153" i="14"/>
  <c r="AK154" i="14"/>
  <c r="AK155" i="14"/>
  <c r="AK156" i="14"/>
  <c r="AK157" i="14"/>
  <c r="AK158" i="14"/>
  <c r="AK159" i="14"/>
  <c r="AK160" i="14"/>
  <c r="AK161" i="14"/>
  <c r="AK162" i="14"/>
  <c r="AK163" i="14"/>
  <c r="AK164" i="14"/>
  <c r="AK165" i="14"/>
  <c r="AK166" i="14"/>
  <c r="AK167" i="14"/>
  <c r="AK168" i="14"/>
  <c r="AK169" i="14"/>
  <c r="AK170" i="14"/>
  <c r="AK171" i="14"/>
  <c r="AK172" i="14"/>
  <c r="AK173" i="14"/>
  <c r="AK174" i="14"/>
  <c r="AK175" i="14"/>
  <c r="AK176" i="14"/>
  <c r="AK177" i="14"/>
  <c r="AK178" i="14"/>
  <c r="AK179" i="14"/>
  <c r="AK180" i="14"/>
  <c r="AK181" i="14"/>
  <c r="AK182" i="14"/>
  <c r="AK183" i="14"/>
  <c r="AK184" i="14"/>
  <c r="AK185" i="14"/>
  <c r="AK186" i="14"/>
  <c r="AK187" i="14"/>
  <c r="AK188" i="14"/>
  <c r="AK189" i="14"/>
  <c r="AK190" i="14"/>
  <c r="AK191" i="14"/>
  <c r="AK192" i="14"/>
  <c r="AK193" i="14"/>
  <c r="AK194" i="14"/>
  <c r="AK195" i="14"/>
  <c r="AK196" i="14"/>
  <c r="AK197" i="14"/>
  <c r="AK198" i="14"/>
  <c r="AK199" i="14"/>
  <c r="AK200" i="14"/>
  <c r="AK201" i="14"/>
  <c r="AK202" i="14"/>
  <c r="AK203" i="14"/>
  <c r="AK204" i="14"/>
  <c r="AK205" i="14"/>
  <c r="AK206" i="14"/>
  <c r="AK207" i="14"/>
  <c r="AK208" i="14"/>
  <c r="AK209" i="14"/>
  <c r="AK210" i="14"/>
  <c r="AK211" i="14"/>
  <c r="AK212" i="14"/>
  <c r="AK213" i="14"/>
  <c r="AK214" i="14"/>
  <c r="AK215" i="14"/>
  <c r="AK216" i="14"/>
  <c r="AK217" i="14"/>
  <c r="AK218" i="14"/>
  <c r="AK219" i="14"/>
  <c r="AK220" i="14"/>
  <c r="AK221" i="14"/>
  <c r="AK222" i="14"/>
  <c r="AK223" i="14"/>
  <c r="AK224" i="14"/>
  <c r="AK225" i="14"/>
  <c r="AK226" i="14"/>
  <c r="AK227" i="14"/>
  <c r="AK228" i="14"/>
  <c r="AK229" i="14"/>
  <c r="AK230" i="14"/>
  <c r="AK231" i="14"/>
  <c r="AK232" i="14"/>
  <c r="AK233" i="14"/>
  <c r="AK234" i="14"/>
  <c r="AK235" i="14"/>
  <c r="AK236" i="14"/>
  <c r="AK237" i="14"/>
  <c r="AK238" i="14"/>
  <c r="AK239" i="14"/>
  <c r="AK240" i="14"/>
  <c r="AK241" i="14"/>
  <c r="AK242" i="14"/>
  <c r="AK243" i="14"/>
  <c r="AK244" i="14"/>
  <c r="AK245" i="14"/>
  <c r="AK246" i="14"/>
  <c r="AK247" i="14"/>
  <c r="AK248" i="14"/>
  <c r="AK249" i="14"/>
  <c r="AK250" i="14"/>
  <c r="AK251" i="14"/>
  <c r="AK252" i="14"/>
  <c r="AK253" i="14"/>
  <c r="AK254" i="14"/>
  <c r="AK255" i="14"/>
  <c r="AK256" i="14"/>
  <c r="AK257" i="14"/>
  <c r="AK258" i="14"/>
  <c r="AK259" i="14"/>
  <c r="AK260" i="14"/>
  <c r="AK261" i="14"/>
  <c r="AK262" i="14"/>
  <c r="AK263" i="14"/>
  <c r="AK264" i="14"/>
  <c r="AK265" i="14"/>
  <c r="AK266" i="14"/>
  <c r="AK267" i="14"/>
  <c r="AK268" i="14"/>
  <c r="AK269" i="14"/>
  <c r="AK270" i="14"/>
  <c r="AK271" i="14"/>
  <c r="AK272" i="14"/>
  <c r="AK273" i="14"/>
  <c r="AK274" i="14"/>
  <c r="AK275" i="14"/>
  <c r="AK276" i="14"/>
  <c r="AK277" i="14"/>
  <c r="AK278" i="14"/>
  <c r="AK279" i="14"/>
  <c r="AK280" i="14"/>
  <c r="AK281" i="14"/>
  <c r="AK282" i="14"/>
  <c r="AK283" i="14"/>
  <c r="AK284" i="14"/>
  <c r="AK285" i="14"/>
  <c r="AK286" i="14"/>
  <c r="AK287" i="14"/>
  <c r="AK288" i="14"/>
  <c r="AK289" i="14"/>
  <c r="AK290" i="14"/>
  <c r="AK291" i="14"/>
  <c r="AK292" i="14"/>
  <c r="AK293" i="14"/>
  <c r="AK294" i="14"/>
  <c r="AK295" i="14"/>
  <c r="AK296" i="14"/>
  <c r="AK297" i="14"/>
  <c r="AK298" i="14"/>
  <c r="AK299" i="14"/>
  <c r="AK300" i="14"/>
  <c r="AK301" i="14"/>
  <c r="AK302" i="14"/>
  <c r="AK303" i="14"/>
  <c r="AK304" i="14"/>
  <c r="AK305" i="14"/>
  <c r="AK306" i="14"/>
  <c r="AK307" i="14"/>
  <c r="AK308" i="14"/>
  <c r="AK309" i="14"/>
  <c r="AK310" i="14"/>
  <c r="AK311" i="14"/>
  <c r="AK312" i="14"/>
  <c r="AK313" i="14"/>
  <c r="AK314" i="14"/>
  <c r="AK315" i="14"/>
  <c r="AK316" i="14"/>
  <c r="AK317" i="14"/>
  <c r="AK318" i="14"/>
  <c r="AK319" i="14"/>
  <c r="AK320" i="14"/>
  <c r="AK321" i="14"/>
  <c r="AK322" i="14"/>
  <c r="AK323" i="14"/>
  <c r="AK324" i="14"/>
  <c r="AK325" i="14"/>
  <c r="AK326" i="14"/>
  <c r="AK327" i="14"/>
  <c r="AK328" i="14"/>
  <c r="AK329" i="14"/>
  <c r="AK330" i="14"/>
  <c r="AK331" i="14"/>
  <c r="AK332" i="14"/>
  <c r="AK333" i="14"/>
  <c r="AK334" i="14"/>
  <c r="AK335" i="14"/>
  <c r="AK336" i="14"/>
  <c r="AK337" i="14"/>
  <c r="AK338" i="14"/>
  <c r="AK339" i="14"/>
  <c r="AK340" i="14"/>
  <c r="AK341" i="14"/>
  <c r="AK342" i="14"/>
  <c r="AK343" i="14"/>
  <c r="AK344" i="14"/>
  <c r="AK345" i="14"/>
  <c r="AK346" i="14"/>
  <c r="AK347" i="14"/>
  <c r="AK348" i="14"/>
  <c r="AK349" i="14"/>
  <c r="AK350" i="14"/>
  <c r="AK351" i="14"/>
  <c r="AK352" i="14"/>
  <c r="AK353" i="14"/>
  <c r="AK354" i="14"/>
  <c r="AK355" i="14"/>
  <c r="AK356" i="14"/>
  <c r="AK357" i="14"/>
  <c r="AK358" i="14"/>
  <c r="AK359" i="14"/>
  <c r="AK360" i="14"/>
  <c r="AK361" i="14"/>
  <c r="AK362" i="14"/>
  <c r="AK363" i="14"/>
  <c r="AK364" i="14"/>
  <c r="AK365" i="14"/>
  <c r="AK366" i="14"/>
  <c r="AK367" i="14"/>
  <c r="AK368" i="14"/>
  <c r="AK369" i="14"/>
  <c r="AK370" i="14"/>
  <c r="AK371" i="14"/>
  <c r="AK372" i="14"/>
  <c r="AK373" i="14"/>
  <c r="AK374" i="14"/>
  <c r="AK375" i="14"/>
  <c r="AK376" i="14"/>
  <c r="AK377" i="14"/>
  <c r="AK378" i="14"/>
  <c r="AK379" i="14"/>
  <c r="AK380" i="14"/>
  <c r="AK381" i="14"/>
  <c r="AK382" i="14"/>
  <c r="AK383" i="14"/>
  <c r="AK384" i="14"/>
  <c r="AK385" i="14"/>
  <c r="AK386" i="14"/>
  <c r="AK387" i="14"/>
  <c r="AK388" i="14"/>
  <c r="AK389" i="14"/>
  <c r="AK390" i="14"/>
  <c r="AK391" i="14"/>
  <c r="AK392" i="14"/>
  <c r="AK393" i="14"/>
  <c r="AK394" i="14"/>
  <c r="AK395" i="14"/>
  <c r="AK396" i="14"/>
  <c r="AK397" i="14"/>
  <c r="AK398" i="14"/>
  <c r="AK399" i="14"/>
  <c r="AK400" i="14"/>
  <c r="AK401" i="14"/>
  <c r="AK402" i="14"/>
  <c r="AK403" i="14"/>
  <c r="AK404" i="14"/>
  <c r="AK405" i="14"/>
  <c r="AK406" i="14"/>
  <c r="AK407" i="14"/>
  <c r="AK408" i="14"/>
  <c r="AK409" i="14"/>
  <c r="AK410" i="14"/>
  <c r="AK411" i="14"/>
  <c r="AK412" i="14"/>
  <c r="AK413" i="14"/>
  <c r="AK414" i="14"/>
  <c r="AK415" i="14"/>
  <c r="AK416" i="14"/>
  <c r="AK417" i="14"/>
  <c r="AK418" i="14"/>
  <c r="AK419" i="14"/>
  <c r="AK420" i="14"/>
  <c r="AK421" i="14"/>
  <c r="AK422" i="14"/>
  <c r="AK423" i="14"/>
  <c r="AK424" i="14"/>
  <c r="AK425" i="14"/>
  <c r="AK426" i="14"/>
  <c r="AK427" i="14"/>
  <c r="AK428" i="14"/>
  <c r="AK429" i="14"/>
  <c r="AK430" i="14"/>
  <c r="AK431" i="14"/>
  <c r="AK432" i="14"/>
  <c r="AK433" i="14"/>
  <c r="AK434" i="14"/>
  <c r="AK435" i="14"/>
  <c r="AK436" i="14"/>
  <c r="AK437" i="14"/>
  <c r="AK438" i="14"/>
  <c r="AK439" i="14"/>
  <c r="AK440" i="14"/>
  <c r="AK441" i="14"/>
  <c r="AK442" i="14"/>
  <c r="AK443" i="14"/>
  <c r="AK444" i="14"/>
  <c r="AK445" i="14"/>
  <c r="AK446" i="14"/>
  <c r="AK447" i="14"/>
  <c r="AK448" i="14"/>
  <c r="AK449" i="14"/>
  <c r="AK450" i="14"/>
  <c r="AK451" i="14"/>
  <c r="AK452" i="14"/>
  <c r="AK453" i="14"/>
  <c r="AK454" i="14"/>
  <c r="AK455" i="14"/>
  <c r="AK456" i="14"/>
  <c r="AK457" i="14"/>
  <c r="AK458" i="14"/>
  <c r="AK459" i="14"/>
  <c r="AK460" i="14"/>
  <c r="AK461" i="14"/>
  <c r="AK462" i="14"/>
  <c r="AK463" i="14"/>
  <c r="AK464" i="14"/>
  <c r="AK465" i="14"/>
  <c r="AK466" i="14"/>
  <c r="AK467" i="14"/>
  <c r="AK468" i="14"/>
  <c r="AK469" i="14"/>
  <c r="AK470" i="14"/>
  <c r="AK471" i="14"/>
  <c r="AK472" i="14"/>
  <c r="AK473" i="14"/>
  <c r="AK474" i="14"/>
  <c r="AK475" i="14"/>
  <c r="AK476" i="14"/>
  <c r="AK477" i="14"/>
  <c r="AK478" i="14"/>
  <c r="AK479" i="14"/>
  <c r="AK480" i="14"/>
  <c r="AJ2" i="14"/>
  <c r="AJ3" i="14"/>
  <c r="AJ4" i="14"/>
  <c r="AJ5" i="14"/>
  <c r="AJ6" i="14"/>
  <c r="AJ7" i="14"/>
  <c r="AJ8" i="14"/>
  <c r="AJ9" i="14"/>
  <c r="AJ10" i="14"/>
  <c r="AJ11" i="14"/>
  <c r="AJ12" i="14"/>
  <c r="AJ13" i="14"/>
  <c r="AJ14" i="14"/>
  <c r="AJ15" i="14"/>
  <c r="AJ16" i="14"/>
  <c r="AJ17" i="14"/>
  <c r="AJ18" i="14"/>
  <c r="AJ19" i="14"/>
  <c r="AJ20" i="14"/>
  <c r="AJ21" i="14"/>
  <c r="AJ22" i="14"/>
  <c r="AJ23" i="14"/>
  <c r="AJ24" i="14"/>
  <c r="AJ25" i="14"/>
  <c r="AJ26" i="14"/>
  <c r="AJ27" i="14"/>
  <c r="AJ28" i="14"/>
  <c r="AJ29" i="14"/>
  <c r="AJ30" i="14"/>
  <c r="AJ31" i="14"/>
  <c r="AJ32" i="14"/>
  <c r="AJ33" i="14"/>
  <c r="AJ34" i="14"/>
  <c r="AJ35" i="14"/>
  <c r="AJ36" i="14"/>
  <c r="AJ37" i="14"/>
  <c r="AJ38" i="14"/>
  <c r="AJ39" i="14"/>
  <c r="AJ40" i="14"/>
  <c r="AJ41" i="14"/>
  <c r="AJ42" i="14"/>
  <c r="AJ43" i="14"/>
  <c r="AJ44" i="14"/>
  <c r="AJ45" i="14"/>
  <c r="AJ46" i="14"/>
  <c r="AJ47" i="14"/>
  <c r="AJ48" i="14"/>
  <c r="AJ49" i="14"/>
  <c r="AJ50" i="14"/>
  <c r="AJ51" i="14"/>
  <c r="AJ52" i="14"/>
  <c r="AJ53" i="14"/>
  <c r="AJ54" i="14"/>
  <c r="AJ55" i="14"/>
  <c r="AJ56" i="14"/>
  <c r="AJ57" i="14"/>
  <c r="AJ58" i="14"/>
  <c r="AJ59" i="14"/>
  <c r="AJ60" i="14"/>
  <c r="AJ61" i="14"/>
  <c r="AJ62" i="14"/>
  <c r="AJ63" i="14"/>
  <c r="AJ64" i="14"/>
  <c r="AJ65" i="14"/>
  <c r="AJ66" i="14"/>
  <c r="AJ67" i="14"/>
  <c r="AJ68" i="14"/>
  <c r="AJ69" i="14"/>
  <c r="AJ70" i="14"/>
  <c r="AJ71" i="14"/>
  <c r="AJ72" i="14"/>
  <c r="AJ73" i="14"/>
  <c r="AJ74" i="14"/>
  <c r="AJ75" i="14"/>
  <c r="AJ76" i="14"/>
  <c r="AJ77" i="14"/>
  <c r="AJ78" i="14"/>
  <c r="AJ79" i="14"/>
  <c r="AJ80" i="14"/>
  <c r="AJ81" i="14"/>
  <c r="AJ82" i="14"/>
  <c r="AJ83" i="14"/>
  <c r="AJ84" i="14"/>
  <c r="AJ85" i="14"/>
  <c r="AJ86" i="14"/>
  <c r="AJ87" i="14"/>
  <c r="AJ88" i="14"/>
  <c r="AJ89" i="14"/>
  <c r="AJ90" i="14"/>
  <c r="AJ91" i="14"/>
  <c r="AJ92" i="14"/>
  <c r="AJ93" i="14"/>
  <c r="AJ94" i="14"/>
  <c r="AJ95" i="14"/>
  <c r="AJ96" i="14"/>
  <c r="AJ97" i="14"/>
  <c r="AJ98" i="14"/>
  <c r="AJ99" i="14"/>
  <c r="AJ100" i="14"/>
  <c r="AJ101" i="14"/>
  <c r="AJ102" i="14"/>
  <c r="AJ103" i="14"/>
  <c r="AJ104" i="14"/>
  <c r="AJ105" i="14"/>
  <c r="AJ106" i="14"/>
  <c r="AJ107" i="14"/>
  <c r="AJ108" i="14"/>
  <c r="AJ109" i="14"/>
  <c r="AJ110" i="14"/>
  <c r="AJ111" i="14"/>
  <c r="AJ112" i="14"/>
  <c r="AJ113" i="14"/>
  <c r="AJ114" i="14"/>
  <c r="AJ115" i="14"/>
  <c r="AJ116" i="14"/>
  <c r="AJ117" i="14"/>
  <c r="AJ118" i="14"/>
  <c r="AJ119" i="14"/>
  <c r="AJ120" i="14"/>
  <c r="AJ121" i="14"/>
  <c r="AJ122" i="14"/>
  <c r="AJ123" i="14"/>
  <c r="AJ124" i="14"/>
  <c r="AJ125" i="14"/>
  <c r="AJ126" i="14"/>
  <c r="AJ127" i="14"/>
  <c r="AJ128" i="14"/>
  <c r="AJ129" i="14"/>
  <c r="AJ130" i="14"/>
  <c r="AJ131" i="14"/>
  <c r="AJ132" i="14"/>
  <c r="AJ133" i="14"/>
  <c r="AJ134" i="14"/>
  <c r="AJ135" i="14"/>
  <c r="AJ136" i="14"/>
  <c r="AJ137" i="14"/>
  <c r="AJ138" i="14"/>
  <c r="AJ139" i="14"/>
  <c r="AJ140" i="14"/>
  <c r="AJ141" i="14"/>
  <c r="AJ142" i="14"/>
  <c r="AJ143" i="14"/>
  <c r="AJ144" i="14"/>
  <c r="AJ145" i="14"/>
  <c r="AJ146" i="14"/>
  <c r="AJ147" i="14"/>
  <c r="AJ148" i="14"/>
  <c r="AJ149" i="14"/>
  <c r="AJ150" i="14"/>
  <c r="AJ151" i="14"/>
  <c r="AJ152" i="14"/>
  <c r="AJ153" i="14"/>
  <c r="AJ154" i="14"/>
  <c r="AJ155" i="14"/>
  <c r="AJ156" i="14"/>
  <c r="AJ157" i="14"/>
  <c r="AJ158" i="14"/>
  <c r="AJ159" i="14"/>
  <c r="AJ160" i="14"/>
  <c r="AJ161" i="14"/>
  <c r="AJ162" i="14"/>
  <c r="AJ163" i="14"/>
  <c r="AJ164" i="14"/>
  <c r="AJ165" i="14"/>
  <c r="AJ166" i="14"/>
  <c r="AJ167" i="14"/>
  <c r="AJ168" i="14"/>
  <c r="AJ169" i="14"/>
  <c r="AJ170" i="14"/>
  <c r="AJ171" i="14"/>
  <c r="AJ172" i="14"/>
  <c r="AJ173" i="14"/>
  <c r="AJ174" i="14"/>
  <c r="AJ175" i="14"/>
  <c r="AJ176" i="14"/>
  <c r="AJ177" i="14"/>
  <c r="AJ178" i="14"/>
  <c r="AJ179" i="14"/>
  <c r="AJ180" i="14"/>
  <c r="AJ181" i="14"/>
  <c r="AJ182" i="14"/>
  <c r="AJ183" i="14"/>
  <c r="AJ184" i="14"/>
  <c r="AJ185" i="14"/>
  <c r="AJ186" i="14"/>
  <c r="AJ187" i="14"/>
  <c r="AJ188" i="14"/>
  <c r="AJ189" i="14"/>
  <c r="AJ190" i="14"/>
  <c r="AJ191" i="14"/>
  <c r="AJ192" i="14"/>
  <c r="AJ193" i="14"/>
  <c r="AJ194" i="14"/>
  <c r="AJ195" i="14"/>
  <c r="AJ196" i="14"/>
  <c r="AJ197" i="14"/>
  <c r="AJ198" i="14"/>
  <c r="AJ199" i="14"/>
  <c r="AJ200" i="14"/>
  <c r="AJ201" i="14"/>
  <c r="AJ202" i="14"/>
  <c r="AJ203" i="14"/>
  <c r="AJ204" i="14"/>
  <c r="AJ205" i="14"/>
  <c r="AJ206" i="14"/>
  <c r="AJ207" i="14"/>
  <c r="AJ208" i="14"/>
  <c r="AJ209" i="14"/>
  <c r="AJ210" i="14"/>
  <c r="AJ211" i="14"/>
  <c r="AJ212" i="14"/>
  <c r="AJ213" i="14"/>
  <c r="AJ214" i="14"/>
  <c r="AJ215" i="14"/>
  <c r="AJ216" i="14"/>
  <c r="AJ217" i="14"/>
  <c r="AJ218" i="14"/>
  <c r="AJ219" i="14"/>
  <c r="AJ220" i="14"/>
  <c r="AJ221" i="14"/>
  <c r="AJ222" i="14"/>
  <c r="AJ223" i="14"/>
  <c r="AJ224" i="14"/>
  <c r="AJ225" i="14"/>
  <c r="AJ226" i="14"/>
  <c r="AJ227" i="14"/>
  <c r="AJ228" i="14"/>
  <c r="AJ229" i="14"/>
  <c r="AJ230" i="14"/>
  <c r="AJ231" i="14"/>
  <c r="AJ232" i="14"/>
  <c r="AJ233" i="14"/>
  <c r="AJ234" i="14"/>
  <c r="AJ235" i="14"/>
  <c r="AJ236" i="14"/>
  <c r="AJ237" i="14"/>
  <c r="AJ238" i="14"/>
  <c r="AJ239" i="14"/>
  <c r="AJ240" i="14"/>
  <c r="AJ241" i="14"/>
  <c r="AJ242" i="14"/>
  <c r="AJ243" i="14"/>
  <c r="AJ244" i="14"/>
  <c r="AJ245" i="14"/>
  <c r="AJ246" i="14"/>
  <c r="AJ247" i="14"/>
  <c r="AJ248" i="14"/>
  <c r="AJ249" i="14"/>
  <c r="AJ250" i="14"/>
  <c r="AJ251" i="14"/>
  <c r="AJ252" i="14"/>
  <c r="AJ253" i="14"/>
  <c r="AJ254" i="14"/>
  <c r="AJ255" i="14"/>
  <c r="AJ256" i="14"/>
  <c r="AJ257" i="14"/>
  <c r="AJ258" i="14"/>
  <c r="AJ259" i="14"/>
  <c r="AJ260" i="14"/>
  <c r="AJ261" i="14"/>
  <c r="AJ262" i="14"/>
  <c r="AJ263" i="14"/>
  <c r="AJ264" i="14"/>
  <c r="AJ265" i="14"/>
  <c r="AJ266" i="14"/>
  <c r="AJ267" i="14"/>
  <c r="AJ268" i="14"/>
  <c r="AJ269" i="14"/>
  <c r="AJ270" i="14"/>
  <c r="AJ271" i="14"/>
  <c r="AJ272" i="14"/>
  <c r="AJ273" i="14"/>
  <c r="AJ274" i="14"/>
  <c r="AJ275" i="14"/>
  <c r="AJ276" i="14"/>
  <c r="AJ277" i="14"/>
  <c r="AJ278" i="14"/>
  <c r="AJ279" i="14"/>
  <c r="AJ280" i="14"/>
  <c r="AJ281" i="14"/>
  <c r="AJ282" i="14"/>
  <c r="AJ283" i="14"/>
  <c r="AJ284" i="14"/>
  <c r="AJ285" i="14"/>
  <c r="AJ286" i="14"/>
  <c r="AJ287" i="14"/>
  <c r="AJ288" i="14"/>
  <c r="AJ289" i="14"/>
  <c r="AJ290" i="14"/>
  <c r="AJ291" i="14"/>
  <c r="AJ292" i="14"/>
  <c r="AJ293" i="14"/>
  <c r="AJ294" i="14"/>
  <c r="AJ295" i="14"/>
  <c r="AJ296" i="14"/>
  <c r="AJ297" i="14"/>
  <c r="AJ298" i="14"/>
  <c r="AJ299" i="14"/>
  <c r="AJ300" i="14"/>
  <c r="AJ301" i="14"/>
  <c r="AJ302" i="14"/>
  <c r="AJ303" i="14"/>
  <c r="AJ304" i="14"/>
  <c r="AJ305" i="14"/>
  <c r="AJ306" i="14"/>
  <c r="AJ307" i="14"/>
  <c r="AJ308" i="14"/>
  <c r="AJ309" i="14"/>
  <c r="AJ310" i="14"/>
  <c r="AJ311" i="14"/>
  <c r="AJ312" i="14"/>
  <c r="AJ313" i="14"/>
  <c r="AJ314" i="14"/>
  <c r="AJ315" i="14"/>
  <c r="AJ316" i="14"/>
  <c r="AJ317" i="14"/>
  <c r="AJ318" i="14"/>
  <c r="AJ319" i="14"/>
  <c r="AJ320" i="14"/>
  <c r="AJ321" i="14"/>
  <c r="AJ322" i="14"/>
  <c r="AJ323" i="14"/>
  <c r="AJ324" i="14"/>
  <c r="AJ325" i="14"/>
  <c r="AJ326" i="14"/>
  <c r="AJ327" i="14"/>
  <c r="AJ328" i="14"/>
  <c r="AJ329" i="14"/>
  <c r="AJ330" i="14"/>
  <c r="AJ331" i="14"/>
  <c r="AJ332" i="14"/>
  <c r="AJ333" i="14"/>
  <c r="AJ334" i="14"/>
  <c r="AJ335" i="14"/>
  <c r="AJ336" i="14"/>
  <c r="AJ337" i="14"/>
  <c r="AJ338" i="14"/>
  <c r="AJ339" i="14"/>
  <c r="AJ340" i="14"/>
  <c r="AJ341" i="14"/>
  <c r="AJ342" i="14"/>
  <c r="AJ343" i="14"/>
  <c r="AJ344" i="14"/>
  <c r="AJ345" i="14"/>
  <c r="AJ346" i="14"/>
  <c r="AJ347" i="14"/>
  <c r="AJ348" i="14"/>
  <c r="AJ349" i="14"/>
  <c r="AJ350" i="14"/>
  <c r="AJ351" i="14"/>
  <c r="AJ352" i="14"/>
  <c r="AJ353" i="14"/>
  <c r="AJ354" i="14"/>
  <c r="AJ355" i="14"/>
  <c r="AJ356" i="14"/>
  <c r="AJ357" i="14"/>
  <c r="AJ358" i="14"/>
  <c r="AJ359" i="14"/>
  <c r="AJ360" i="14"/>
  <c r="AJ361" i="14"/>
  <c r="AJ362" i="14"/>
  <c r="AJ363" i="14"/>
  <c r="AJ364" i="14"/>
  <c r="AJ365" i="14"/>
  <c r="AJ366" i="14"/>
  <c r="AJ367" i="14"/>
  <c r="AJ368" i="14"/>
  <c r="AJ369" i="14"/>
  <c r="AJ370" i="14"/>
  <c r="AJ371" i="14"/>
  <c r="AJ372" i="14"/>
  <c r="AJ373" i="14"/>
  <c r="AJ374" i="14"/>
  <c r="AJ375" i="14"/>
  <c r="AJ376" i="14"/>
  <c r="AJ377" i="14"/>
  <c r="AJ378" i="14"/>
  <c r="AJ379" i="14"/>
  <c r="AJ380" i="14"/>
  <c r="AJ381" i="14"/>
  <c r="AJ382" i="14"/>
  <c r="AJ383" i="14"/>
  <c r="AJ384" i="14"/>
  <c r="AJ385" i="14"/>
  <c r="AJ386" i="14"/>
  <c r="AJ387" i="14"/>
  <c r="AJ388" i="14"/>
  <c r="AJ389" i="14"/>
  <c r="AJ390" i="14"/>
  <c r="AJ391" i="14"/>
  <c r="AJ392" i="14"/>
  <c r="AJ393" i="14"/>
  <c r="AJ394" i="14"/>
  <c r="AJ395" i="14"/>
  <c r="AJ396" i="14"/>
  <c r="AJ397" i="14"/>
  <c r="AJ398" i="14"/>
  <c r="AJ399" i="14"/>
  <c r="AJ400" i="14"/>
  <c r="AJ401" i="14"/>
  <c r="AJ402" i="14"/>
  <c r="AJ403" i="14"/>
  <c r="AJ404" i="14"/>
  <c r="AJ405" i="14"/>
  <c r="AJ406" i="14"/>
  <c r="AJ407" i="14"/>
  <c r="AJ408" i="14"/>
  <c r="AJ409" i="14"/>
  <c r="AJ410" i="14"/>
  <c r="AJ411" i="14"/>
  <c r="AJ412" i="14"/>
  <c r="AJ413" i="14"/>
  <c r="AJ414" i="14"/>
  <c r="AJ415" i="14"/>
  <c r="AJ416" i="14"/>
  <c r="AJ417" i="14"/>
  <c r="AJ418" i="14"/>
  <c r="AJ419" i="14"/>
  <c r="AJ420" i="14"/>
  <c r="AJ421" i="14"/>
  <c r="AJ422" i="14"/>
  <c r="AJ423" i="14"/>
  <c r="AJ424" i="14"/>
  <c r="AJ425" i="14"/>
  <c r="AJ426" i="14"/>
  <c r="AJ427" i="14"/>
  <c r="AJ428" i="14"/>
  <c r="AJ429" i="14"/>
  <c r="AJ430" i="14"/>
  <c r="AJ431" i="14"/>
  <c r="AJ432" i="14"/>
  <c r="AJ433" i="14"/>
  <c r="AJ434" i="14"/>
  <c r="AJ435" i="14"/>
  <c r="AJ436" i="14"/>
  <c r="AJ437" i="14"/>
  <c r="AJ438" i="14"/>
  <c r="AJ439" i="14"/>
  <c r="AJ440" i="14"/>
  <c r="AJ441" i="14"/>
  <c r="AJ442" i="14"/>
  <c r="AJ443" i="14"/>
  <c r="AJ444" i="14"/>
  <c r="AJ445" i="14"/>
  <c r="AJ446" i="14"/>
  <c r="AJ447" i="14"/>
  <c r="AJ448" i="14"/>
  <c r="AJ449" i="14"/>
  <c r="AJ450" i="14"/>
  <c r="AJ451" i="14"/>
  <c r="AJ452" i="14"/>
  <c r="AJ453" i="14"/>
  <c r="AJ454" i="14"/>
  <c r="AJ455" i="14"/>
  <c r="AJ456" i="14"/>
  <c r="AJ457" i="14"/>
  <c r="AJ458" i="14"/>
  <c r="AJ459" i="14"/>
  <c r="AJ460" i="14"/>
  <c r="AJ461" i="14"/>
  <c r="AJ462" i="14"/>
  <c r="AJ463" i="14"/>
  <c r="AJ464" i="14"/>
  <c r="AJ465" i="14"/>
  <c r="AJ466" i="14"/>
  <c r="AJ467" i="14"/>
  <c r="AJ468" i="14"/>
  <c r="AJ469" i="14"/>
  <c r="AJ470" i="14"/>
  <c r="AJ471" i="14"/>
  <c r="AJ472" i="14"/>
  <c r="AJ473" i="14"/>
  <c r="AJ474" i="14"/>
  <c r="AJ475" i="14"/>
  <c r="AJ476" i="14"/>
  <c r="AJ477" i="14"/>
  <c r="AJ478" i="14"/>
  <c r="AJ479" i="14"/>
  <c r="AJ480" i="14"/>
  <c r="AI2" i="14"/>
  <c r="AI3" i="14"/>
  <c r="AI4" i="14"/>
  <c r="AI5" i="14"/>
  <c r="AI6" i="14"/>
  <c r="AI7" i="14"/>
  <c r="AI8" i="14"/>
  <c r="AI9" i="14"/>
  <c r="AI10" i="14"/>
  <c r="AI11" i="14"/>
  <c r="AI12" i="14"/>
  <c r="AI13" i="14"/>
  <c r="AI14" i="14"/>
  <c r="AI15" i="14"/>
  <c r="AI16" i="14"/>
  <c r="AI17" i="14"/>
  <c r="AI18" i="14"/>
  <c r="AI19" i="14"/>
  <c r="AI20" i="14"/>
  <c r="AI21" i="14"/>
  <c r="AI22" i="14"/>
  <c r="AI23" i="14"/>
  <c r="AI24" i="14"/>
  <c r="AI25" i="14"/>
  <c r="AI26" i="14"/>
  <c r="AI27" i="14"/>
  <c r="AI28" i="14"/>
  <c r="AI29" i="14"/>
  <c r="AI30" i="14"/>
  <c r="AI31" i="14"/>
  <c r="AI32" i="14"/>
  <c r="AI33" i="14"/>
  <c r="AI34" i="14"/>
  <c r="AI35" i="14"/>
  <c r="AI36" i="14"/>
  <c r="AI37" i="14"/>
  <c r="AI38" i="14"/>
  <c r="AI39" i="14"/>
  <c r="AI40" i="14"/>
  <c r="AI41" i="14"/>
  <c r="AI42" i="14"/>
  <c r="AI43" i="14"/>
  <c r="AI44" i="14"/>
  <c r="AI45" i="14"/>
  <c r="AI46" i="14"/>
  <c r="AI47" i="14"/>
  <c r="AI48" i="14"/>
  <c r="AI49" i="14"/>
  <c r="AI50" i="14"/>
  <c r="AI51" i="14"/>
  <c r="AI52" i="14"/>
  <c r="AI53" i="14"/>
  <c r="AI54" i="14"/>
  <c r="AI55" i="14"/>
  <c r="AI56" i="14"/>
  <c r="AI57" i="14"/>
  <c r="AI58" i="14"/>
  <c r="AI59" i="14"/>
  <c r="AI60" i="14"/>
  <c r="AI61" i="14"/>
  <c r="AI62" i="14"/>
  <c r="AI63" i="14"/>
  <c r="AI64" i="14"/>
  <c r="AI65" i="14"/>
  <c r="AI66" i="14"/>
  <c r="AI67" i="14"/>
  <c r="AI68" i="14"/>
  <c r="AI69" i="14"/>
  <c r="AI70" i="14"/>
  <c r="AI71" i="14"/>
  <c r="AI72" i="14"/>
  <c r="AI73" i="14"/>
  <c r="AI74" i="14"/>
  <c r="AI75" i="14"/>
  <c r="AI76" i="14"/>
  <c r="AI77" i="14"/>
  <c r="AI78" i="14"/>
  <c r="AI79" i="14"/>
  <c r="AI80" i="14"/>
  <c r="AI81" i="14"/>
  <c r="AI82" i="14"/>
  <c r="AI83" i="14"/>
  <c r="AI84" i="14"/>
  <c r="AI85" i="14"/>
  <c r="AI86" i="14"/>
  <c r="AI87" i="14"/>
  <c r="AI88" i="14"/>
  <c r="AI89" i="14"/>
  <c r="AI90" i="14"/>
  <c r="AI91" i="14"/>
  <c r="AI92" i="14"/>
  <c r="AI93" i="14"/>
  <c r="AI94" i="14"/>
  <c r="AI95" i="14"/>
  <c r="AI96" i="14"/>
  <c r="AI97" i="14"/>
  <c r="AI98" i="14"/>
  <c r="AI99" i="14"/>
  <c r="AI100" i="14"/>
  <c r="AI101" i="14"/>
  <c r="AI102" i="14"/>
  <c r="AI103" i="14"/>
  <c r="AI104" i="14"/>
  <c r="AI105" i="14"/>
  <c r="AI106" i="14"/>
  <c r="AI107" i="14"/>
  <c r="AI108" i="14"/>
  <c r="AI109" i="14"/>
  <c r="AI110" i="14"/>
  <c r="AI111" i="14"/>
  <c r="AI112" i="14"/>
  <c r="AI113" i="14"/>
  <c r="AI114" i="14"/>
  <c r="AI115" i="14"/>
  <c r="AI116" i="14"/>
  <c r="AI117" i="14"/>
  <c r="AI118" i="14"/>
  <c r="AI119" i="14"/>
  <c r="AI120" i="14"/>
  <c r="AI121" i="14"/>
  <c r="AI122" i="14"/>
  <c r="AI123" i="14"/>
  <c r="AI124" i="14"/>
  <c r="AI125" i="14"/>
  <c r="AI126" i="14"/>
  <c r="AI127" i="14"/>
  <c r="AI128" i="14"/>
  <c r="AI129" i="14"/>
  <c r="AI130" i="14"/>
  <c r="AI131" i="14"/>
  <c r="AI132" i="14"/>
  <c r="AI133" i="14"/>
  <c r="AI134" i="14"/>
  <c r="AI135" i="14"/>
  <c r="AI136" i="14"/>
  <c r="AI137" i="14"/>
  <c r="AI138" i="14"/>
  <c r="AI139" i="14"/>
  <c r="AI140" i="14"/>
  <c r="AI141" i="14"/>
  <c r="AI142" i="14"/>
  <c r="AI143" i="14"/>
  <c r="AI144" i="14"/>
  <c r="AI145" i="14"/>
  <c r="AI146" i="14"/>
  <c r="AI147" i="14"/>
  <c r="AI148" i="14"/>
  <c r="AI149" i="14"/>
  <c r="AI150" i="14"/>
  <c r="AI151" i="14"/>
  <c r="AI152" i="14"/>
  <c r="AI153" i="14"/>
  <c r="AI154" i="14"/>
  <c r="AI155" i="14"/>
  <c r="AI156" i="14"/>
  <c r="AI157" i="14"/>
  <c r="AI158" i="14"/>
  <c r="AI159" i="14"/>
  <c r="AI160" i="14"/>
  <c r="AI161" i="14"/>
  <c r="AI162" i="14"/>
  <c r="AI163" i="14"/>
  <c r="AI164" i="14"/>
  <c r="AI165" i="14"/>
  <c r="AI166" i="14"/>
  <c r="AI167" i="14"/>
  <c r="AI168" i="14"/>
  <c r="AI169" i="14"/>
  <c r="AI170" i="14"/>
  <c r="AI171" i="14"/>
  <c r="AI172" i="14"/>
  <c r="AI173" i="14"/>
  <c r="AI174" i="14"/>
  <c r="AI175" i="14"/>
  <c r="AI176" i="14"/>
  <c r="AI177" i="14"/>
  <c r="AI178" i="14"/>
  <c r="AI179" i="14"/>
  <c r="AI180" i="14"/>
  <c r="AI181" i="14"/>
  <c r="AI182" i="14"/>
  <c r="AI183" i="14"/>
  <c r="AI184" i="14"/>
  <c r="AI185" i="14"/>
  <c r="AI186" i="14"/>
  <c r="AI187" i="14"/>
  <c r="AI188" i="14"/>
  <c r="AI189" i="14"/>
  <c r="AI190" i="14"/>
  <c r="AI191" i="14"/>
  <c r="AI192" i="14"/>
  <c r="AI193" i="14"/>
  <c r="AI194" i="14"/>
  <c r="AI195" i="14"/>
  <c r="AI196" i="14"/>
  <c r="AI197" i="14"/>
  <c r="AI198" i="14"/>
  <c r="AI199" i="14"/>
  <c r="AI200" i="14"/>
  <c r="AI201" i="14"/>
  <c r="AI202" i="14"/>
  <c r="AI203" i="14"/>
  <c r="AI204" i="14"/>
  <c r="AI205" i="14"/>
  <c r="AI206" i="14"/>
  <c r="AI207" i="14"/>
  <c r="AI208" i="14"/>
  <c r="AI209" i="14"/>
  <c r="AI210" i="14"/>
  <c r="AI211" i="14"/>
  <c r="AI212" i="14"/>
  <c r="AI213" i="14"/>
  <c r="AI214" i="14"/>
  <c r="AI215" i="14"/>
  <c r="AI216" i="14"/>
  <c r="AI217" i="14"/>
  <c r="AI218" i="14"/>
  <c r="AI219" i="14"/>
  <c r="AI220" i="14"/>
  <c r="AI221" i="14"/>
  <c r="AI222" i="14"/>
  <c r="AI223" i="14"/>
  <c r="AI224" i="14"/>
  <c r="AI225" i="14"/>
  <c r="AI226" i="14"/>
  <c r="AI227" i="14"/>
  <c r="AI228" i="14"/>
  <c r="AI229" i="14"/>
  <c r="AI230" i="14"/>
  <c r="AI231" i="14"/>
  <c r="AI232" i="14"/>
  <c r="AI233" i="14"/>
  <c r="AI234" i="14"/>
  <c r="AI235" i="14"/>
  <c r="AI236" i="14"/>
  <c r="AI237" i="14"/>
  <c r="AI238" i="14"/>
  <c r="AI239" i="14"/>
  <c r="AI240" i="14"/>
  <c r="AI241" i="14"/>
  <c r="AI242" i="14"/>
  <c r="AI243" i="14"/>
  <c r="AI244" i="14"/>
  <c r="AI245" i="14"/>
  <c r="AI246" i="14"/>
  <c r="AI247" i="14"/>
  <c r="AI248" i="14"/>
  <c r="AI249" i="14"/>
  <c r="AI250" i="14"/>
  <c r="AI251" i="14"/>
  <c r="AI252" i="14"/>
  <c r="AI253" i="14"/>
  <c r="AI254" i="14"/>
  <c r="AI255" i="14"/>
  <c r="AI256" i="14"/>
  <c r="AI257" i="14"/>
  <c r="AI258" i="14"/>
  <c r="AI259" i="14"/>
  <c r="AI260" i="14"/>
  <c r="AI261" i="14"/>
  <c r="AI262" i="14"/>
  <c r="AI263" i="14"/>
  <c r="AI264" i="14"/>
  <c r="AI265" i="14"/>
  <c r="AI266" i="14"/>
  <c r="AI267" i="14"/>
  <c r="AI268" i="14"/>
  <c r="AI269" i="14"/>
  <c r="AI270" i="14"/>
  <c r="AI271" i="14"/>
  <c r="AI272" i="14"/>
  <c r="AI273" i="14"/>
  <c r="AI274" i="14"/>
  <c r="AI275" i="14"/>
  <c r="AI276" i="14"/>
  <c r="AI277" i="14"/>
  <c r="AI278" i="14"/>
  <c r="AI279" i="14"/>
  <c r="AI280" i="14"/>
  <c r="AI281" i="14"/>
  <c r="AI282" i="14"/>
  <c r="AI283" i="14"/>
  <c r="AI284" i="14"/>
  <c r="AI285" i="14"/>
  <c r="AI286" i="14"/>
  <c r="AI287" i="14"/>
  <c r="AI288" i="14"/>
  <c r="AI289" i="14"/>
  <c r="AI290" i="14"/>
  <c r="AI291" i="14"/>
  <c r="AI292" i="14"/>
  <c r="AI293" i="14"/>
  <c r="AI294" i="14"/>
  <c r="AI295" i="14"/>
  <c r="AI296" i="14"/>
  <c r="AI297" i="14"/>
  <c r="AI298" i="14"/>
  <c r="AI299" i="14"/>
  <c r="AI300" i="14"/>
  <c r="AI301" i="14"/>
  <c r="AI302" i="14"/>
  <c r="AI303" i="14"/>
  <c r="AI304" i="14"/>
  <c r="AI305" i="14"/>
  <c r="AI306" i="14"/>
  <c r="AI307" i="14"/>
  <c r="AI308" i="14"/>
  <c r="AI309" i="14"/>
  <c r="AI310" i="14"/>
  <c r="AI311" i="14"/>
  <c r="AI312" i="14"/>
  <c r="AI313" i="14"/>
  <c r="AI314" i="14"/>
  <c r="AI315" i="14"/>
  <c r="AI316" i="14"/>
  <c r="AI317" i="14"/>
  <c r="AI318" i="14"/>
  <c r="AI319" i="14"/>
  <c r="AI320" i="14"/>
  <c r="AI321" i="14"/>
  <c r="AI322" i="14"/>
  <c r="AI323" i="14"/>
  <c r="AI324" i="14"/>
  <c r="AI325" i="14"/>
  <c r="AI326" i="14"/>
  <c r="AI327" i="14"/>
  <c r="AI328" i="14"/>
  <c r="AI329" i="14"/>
  <c r="AI330" i="14"/>
  <c r="AI331" i="14"/>
  <c r="AI332" i="14"/>
  <c r="AI333" i="14"/>
  <c r="AI334" i="14"/>
  <c r="AI335" i="14"/>
  <c r="AI336" i="14"/>
  <c r="AI337" i="14"/>
  <c r="AI338" i="14"/>
  <c r="AI339" i="14"/>
  <c r="AI340" i="14"/>
  <c r="AI341" i="14"/>
  <c r="AI342" i="14"/>
  <c r="AI343" i="14"/>
  <c r="AI344" i="14"/>
  <c r="AI345" i="14"/>
  <c r="AI346" i="14"/>
  <c r="AI347" i="14"/>
  <c r="AI348" i="14"/>
  <c r="AI349" i="14"/>
  <c r="AI350" i="14"/>
  <c r="AI351" i="14"/>
  <c r="AI352" i="14"/>
  <c r="AI353" i="14"/>
  <c r="AI354" i="14"/>
  <c r="AI355" i="14"/>
  <c r="AI356" i="14"/>
  <c r="AI357" i="14"/>
  <c r="AI358" i="14"/>
  <c r="AI359" i="14"/>
  <c r="AI360" i="14"/>
  <c r="AI361" i="14"/>
  <c r="AI362" i="14"/>
  <c r="AI363" i="14"/>
  <c r="AI364" i="14"/>
  <c r="AI365" i="14"/>
  <c r="AI366" i="14"/>
  <c r="AI367" i="14"/>
  <c r="AI368" i="14"/>
  <c r="AI369" i="14"/>
  <c r="AI370" i="14"/>
  <c r="AI371" i="14"/>
  <c r="AI372" i="14"/>
  <c r="AI373" i="14"/>
  <c r="AI374" i="14"/>
  <c r="AI375" i="14"/>
  <c r="AI376" i="14"/>
  <c r="AI377" i="14"/>
  <c r="AI378" i="14"/>
  <c r="AI379" i="14"/>
  <c r="AI380" i="14"/>
  <c r="AI381" i="14"/>
  <c r="AI382" i="14"/>
  <c r="AI383" i="14"/>
  <c r="AI384" i="14"/>
  <c r="AI385" i="14"/>
  <c r="AI386" i="14"/>
  <c r="AI387" i="14"/>
  <c r="AI388" i="14"/>
  <c r="AI389" i="14"/>
  <c r="AI390" i="14"/>
  <c r="AI391" i="14"/>
  <c r="AI392" i="14"/>
  <c r="AI393" i="14"/>
  <c r="AI394" i="14"/>
  <c r="AI395" i="14"/>
  <c r="AI396" i="14"/>
  <c r="AI397" i="14"/>
  <c r="AI398" i="14"/>
  <c r="AI399" i="14"/>
  <c r="AI400" i="14"/>
  <c r="AI401" i="14"/>
  <c r="AI402" i="14"/>
  <c r="AI403" i="14"/>
  <c r="AI404" i="14"/>
  <c r="AI405" i="14"/>
  <c r="AI406" i="14"/>
  <c r="AI407" i="14"/>
  <c r="AI408" i="14"/>
  <c r="AI409" i="14"/>
  <c r="AI410" i="14"/>
  <c r="AI411" i="14"/>
  <c r="AI412" i="14"/>
  <c r="AI413" i="14"/>
  <c r="AI414" i="14"/>
  <c r="AI415" i="14"/>
  <c r="AI416" i="14"/>
  <c r="AI417" i="14"/>
  <c r="AI418" i="14"/>
  <c r="AI419" i="14"/>
  <c r="AI420" i="14"/>
  <c r="AI421" i="14"/>
  <c r="AI422" i="14"/>
  <c r="AI423" i="14"/>
  <c r="AI424" i="14"/>
  <c r="AI425" i="14"/>
  <c r="AI426" i="14"/>
  <c r="AI427" i="14"/>
  <c r="AI428" i="14"/>
  <c r="AI429" i="14"/>
  <c r="AI430" i="14"/>
  <c r="AI431" i="14"/>
  <c r="AI432" i="14"/>
  <c r="AI433" i="14"/>
  <c r="AI434" i="14"/>
  <c r="AI435" i="14"/>
  <c r="AI436" i="14"/>
  <c r="AI437" i="14"/>
  <c r="AI438" i="14"/>
  <c r="AI439" i="14"/>
  <c r="AI440" i="14"/>
  <c r="AI441" i="14"/>
  <c r="AI442" i="14"/>
  <c r="AI443" i="14"/>
  <c r="AI444" i="14"/>
  <c r="AI445" i="14"/>
  <c r="AI446" i="14"/>
  <c r="AI447" i="14"/>
  <c r="AI448" i="14"/>
  <c r="AI449" i="14"/>
  <c r="AI450" i="14"/>
  <c r="AI451" i="14"/>
  <c r="AI452" i="14"/>
  <c r="AI453" i="14"/>
  <c r="AI454" i="14"/>
  <c r="AI455" i="14"/>
  <c r="AI456" i="14"/>
  <c r="AI457" i="14"/>
  <c r="AI458" i="14"/>
  <c r="AI459" i="14"/>
  <c r="AI460" i="14"/>
  <c r="AI461" i="14"/>
  <c r="AI462" i="14"/>
  <c r="AI463" i="14"/>
  <c r="AI464" i="14"/>
  <c r="AI465" i="14"/>
  <c r="AI466" i="14"/>
  <c r="AI467" i="14"/>
  <c r="AI468" i="14"/>
  <c r="AI469" i="14"/>
  <c r="AI470" i="14"/>
  <c r="AI471" i="14"/>
  <c r="AI472" i="14"/>
  <c r="AI473" i="14"/>
  <c r="AI474" i="14"/>
  <c r="AI475" i="14"/>
  <c r="AI476" i="14"/>
  <c r="AI477" i="14"/>
  <c r="AI478" i="14"/>
  <c r="AI479" i="14"/>
  <c r="AI480" i="14"/>
  <c r="AH2" i="14"/>
  <c r="AH3" i="14"/>
  <c r="AH4" i="14"/>
  <c r="AH5" i="14"/>
  <c r="AH6" i="14"/>
  <c r="AH7" i="14"/>
  <c r="AH8" i="14"/>
  <c r="AH9" i="14"/>
  <c r="AH10" i="14"/>
  <c r="AH11" i="14"/>
  <c r="AH12" i="14"/>
  <c r="AH13" i="14"/>
  <c r="AH14" i="14"/>
  <c r="AH15" i="14"/>
  <c r="AH16" i="14"/>
  <c r="AH17" i="14"/>
  <c r="AH18" i="14"/>
  <c r="AH19" i="14"/>
  <c r="AH20" i="14"/>
  <c r="AH21" i="14"/>
  <c r="AH22" i="14"/>
  <c r="AH23" i="14"/>
  <c r="AH24" i="14"/>
  <c r="AH25" i="14"/>
  <c r="AH26" i="14"/>
  <c r="AH27" i="14"/>
  <c r="AH28" i="14"/>
  <c r="AH29" i="14"/>
  <c r="AH30" i="14"/>
  <c r="AH31" i="14"/>
  <c r="AH32" i="14"/>
  <c r="AH33" i="14"/>
  <c r="AH34" i="14"/>
  <c r="AH35" i="14"/>
  <c r="AH36" i="14"/>
  <c r="AH37" i="14"/>
  <c r="AH38" i="14"/>
  <c r="AH39" i="14"/>
  <c r="AH40" i="14"/>
  <c r="AH41" i="14"/>
  <c r="AH42" i="14"/>
  <c r="AH43" i="14"/>
  <c r="AH44" i="14"/>
  <c r="AH45" i="14"/>
  <c r="AH46" i="14"/>
  <c r="AH47" i="14"/>
  <c r="AH48" i="14"/>
  <c r="AH49" i="14"/>
  <c r="AH50" i="14"/>
  <c r="AH51" i="14"/>
  <c r="AH52" i="14"/>
  <c r="AH53" i="14"/>
  <c r="AH54" i="14"/>
  <c r="AH55" i="14"/>
  <c r="AH56" i="14"/>
  <c r="AH57" i="14"/>
  <c r="AH58" i="14"/>
  <c r="AH59" i="14"/>
  <c r="AH60" i="14"/>
  <c r="AH61" i="14"/>
  <c r="AH62" i="14"/>
  <c r="AH63" i="14"/>
  <c r="AH64" i="14"/>
  <c r="AH65" i="14"/>
  <c r="AH66" i="14"/>
  <c r="AH67" i="14"/>
  <c r="AH68" i="14"/>
  <c r="AH69" i="14"/>
  <c r="AH70" i="14"/>
  <c r="AH71" i="14"/>
  <c r="AH72" i="14"/>
  <c r="AH73" i="14"/>
  <c r="AH74" i="14"/>
  <c r="AH75" i="14"/>
  <c r="AH76" i="14"/>
  <c r="AH77" i="14"/>
  <c r="AH78" i="14"/>
  <c r="AH79" i="14"/>
  <c r="AH80" i="14"/>
  <c r="AH81" i="14"/>
  <c r="AH82" i="14"/>
  <c r="AH83" i="14"/>
  <c r="AH84" i="14"/>
  <c r="AH85" i="14"/>
  <c r="AH86" i="14"/>
  <c r="AH87" i="14"/>
  <c r="AH88" i="14"/>
  <c r="AH89" i="14"/>
  <c r="AH90" i="14"/>
  <c r="AH91" i="14"/>
  <c r="AH92" i="14"/>
  <c r="AH93" i="14"/>
  <c r="AH94" i="14"/>
  <c r="AH95" i="14"/>
  <c r="AH96" i="14"/>
  <c r="AH97" i="14"/>
  <c r="AH98" i="14"/>
  <c r="AH99" i="14"/>
  <c r="AH100" i="14"/>
  <c r="AH101" i="14"/>
  <c r="AH102" i="14"/>
  <c r="AH103" i="14"/>
  <c r="AH104" i="14"/>
  <c r="AH105" i="14"/>
  <c r="AH106" i="14"/>
  <c r="AH107" i="14"/>
  <c r="AH108" i="14"/>
  <c r="AH109" i="14"/>
  <c r="AH110" i="14"/>
  <c r="AH111" i="14"/>
  <c r="AH112" i="14"/>
  <c r="AH113" i="14"/>
  <c r="AH114" i="14"/>
  <c r="AH115" i="14"/>
  <c r="AH116" i="14"/>
  <c r="AH117" i="14"/>
  <c r="AH118" i="14"/>
  <c r="AH119" i="14"/>
  <c r="AH120" i="14"/>
  <c r="AH121" i="14"/>
  <c r="AH122" i="14"/>
  <c r="AH123" i="14"/>
  <c r="AH124" i="14"/>
  <c r="AH125" i="14"/>
  <c r="AH126" i="14"/>
  <c r="AH127" i="14"/>
  <c r="AH128" i="14"/>
  <c r="AH129" i="14"/>
  <c r="AH130" i="14"/>
  <c r="AH131" i="14"/>
  <c r="AH132" i="14"/>
  <c r="AH133" i="14"/>
  <c r="AH134" i="14"/>
  <c r="AH135" i="14"/>
  <c r="AH136" i="14"/>
  <c r="AH137" i="14"/>
  <c r="AH138" i="14"/>
  <c r="AH139" i="14"/>
  <c r="AH140" i="14"/>
  <c r="AH141" i="14"/>
  <c r="AH142" i="14"/>
  <c r="AH143" i="14"/>
  <c r="AH144" i="14"/>
  <c r="AH145" i="14"/>
  <c r="AH146" i="14"/>
  <c r="AH147" i="14"/>
  <c r="AH148" i="14"/>
  <c r="AH149" i="14"/>
  <c r="AH150" i="14"/>
  <c r="AH151" i="14"/>
  <c r="AH152" i="14"/>
  <c r="AH153" i="14"/>
  <c r="AH154" i="14"/>
  <c r="AH155" i="14"/>
  <c r="AH156" i="14"/>
  <c r="AH157" i="14"/>
  <c r="AH158" i="14"/>
  <c r="AH159" i="14"/>
  <c r="AH160" i="14"/>
  <c r="AH161" i="14"/>
  <c r="AH162" i="14"/>
  <c r="AH163" i="14"/>
  <c r="AH164" i="14"/>
  <c r="AH165" i="14"/>
  <c r="AH166" i="14"/>
  <c r="AH167" i="14"/>
  <c r="AH168" i="14"/>
  <c r="AH169" i="14"/>
  <c r="AH170" i="14"/>
  <c r="AH171" i="14"/>
  <c r="AH172" i="14"/>
  <c r="AH173" i="14"/>
  <c r="AH174" i="14"/>
  <c r="AH175" i="14"/>
  <c r="AH176" i="14"/>
  <c r="AH177" i="14"/>
  <c r="AH178" i="14"/>
  <c r="AH179" i="14"/>
  <c r="AH180" i="14"/>
  <c r="AH181" i="14"/>
  <c r="AH182" i="14"/>
  <c r="AH183" i="14"/>
  <c r="AH184" i="14"/>
  <c r="AH185" i="14"/>
  <c r="AH186" i="14"/>
  <c r="AH187" i="14"/>
  <c r="AH188" i="14"/>
  <c r="AH189" i="14"/>
  <c r="AH190" i="14"/>
  <c r="AH191" i="14"/>
  <c r="AH192" i="14"/>
  <c r="AH193" i="14"/>
  <c r="AH194" i="14"/>
  <c r="AH195" i="14"/>
  <c r="AH196" i="14"/>
  <c r="AH197" i="14"/>
  <c r="AH198" i="14"/>
  <c r="AH199" i="14"/>
  <c r="AH200" i="14"/>
  <c r="AH201" i="14"/>
  <c r="AH202" i="14"/>
  <c r="AH203" i="14"/>
  <c r="AH204" i="14"/>
  <c r="AH205" i="14"/>
  <c r="AH206" i="14"/>
  <c r="AH207" i="14"/>
  <c r="AH208" i="14"/>
  <c r="AH209" i="14"/>
  <c r="AH210" i="14"/>
  <c r="AH211" i="14"/>
  <c r="AH212" i="14"/>
  <c r="AH213" i="14"/>
  <c r="AH214" i="14"/>
  <c r="AH215" i="14"/>
  <c r="AH216" i="14"/>
  <c r="AH217" i="14"/>
  <c r="AH218" i="14"/>
  <c r="AH219" i="14"/>
  <c r="AH220" i="14"/>
  <c r="AH221" i="14"/>
  <c r="AH222" i="14"/>
  <c r="AH223" i="14"/>
  <c r="AH224" i="14"/>
  <c r="AH225" i="14"/>
  <c r="AH226" i="14"/>
  <c r="AH227" i="14"/>
  <c r="AH228" i="14"/>
  <c r="AH229" i="14"/>
  <c r="AH230" i="14"/>
  <c r="AH231" i="14"/>
  <c r="AH232" i="14"/>
  <c r="AH233" i="14"/>
  <c r="AH234" i="14"/>
  <c r="AH235" i="14"/>
  <c r="AH236" i="14"/>
  <c r="AH237" i="14"/>
  <c r="AH238" i="14"/>
  <c r="AH239" i="14"/>
  <c r="AH240" i="14"/>
  <c r="AH241" i="14"/>
  <c r="AH242" i="14"/>
  <c r="AH243" i="14"/>
  <c r="AH244" i="14"/>
  <c r="AH245" i="14"/>
  <c r="AH246" i="14"/>
  <c r="AH247" i="14"/>
  <c r="AH248" i="14"/>
  <c r="AH249" i="14"/>
  <c r="AH250" i="14"/>
  <c r="AH251" i="14"/>
  <c r="AH252" i="14"/>
  <c r="AH253" i="14"/>
  <c r="AH254" i="14"/>
  <c r="AH255" i="14"/>
  <c r="AH256" i="14"/>
  <c r="AH257" i="14"/>
  <c r="AH258" i="14"/>
  <c r="AH259" i="14"/>
  <c r="AH260" i="14"/>
  <c r="AH261" i="14"/>
  <c r="AH262" i="14"/>
  <c r="AH263" i="14"/>
  <c r="AH264" i="14"/>
  <c r="AH265" i="14"/>
  <c r="AH266" i="14"/>
  <c r="AH267" i="14"/>
  <c r="AH268" i="14"/>
  <c r="AH269" i="14"/>
  <c r="AH270" i="14"/>
  <c r="AH271" i="14"/>
  <c r="AH272" i="14"/>
  <c r="AH273" i="14"/>
  <c r="AH274" i="14"/>
  <c r="AH275" i="14"/>
  <c r="AH276" i="14"/>
  <c r="AH277" i="14"/>
  <c r="AH278" i="14"/>
  <c r="AH279" i="14"/>
  <c r="AH280" i="14"/>
  <c r="AH281" i="14"/>
  <c r="AH282" i="14"/>
  <c r="AH283" i="14"/>
  <c r="AH284" i="14"/>
  <c r="AH285" i="14"/>
  <c r="AH286" i="14"/>
  <c r="AH287" i="14"/>
  <c r="AH288" i="14"/>
  <c r="AH289" i="14"/>
  <c r="AH290" i="14"/>
  <c r="AH291" i="14"/>
  <c r="AH292" i="14"/>
  <c r="AH293" i="14"/>
  <c r="AH294" i="14"/>
  <c r="AH295" i="14"/>
  <c r="AH296" i="14"/>
  <c r="AH297" i="14"/>
  <c r="AH298" i="14"/>
  <c r="AH299" i="14"/>
  <c r="AH300" i="14"/>
  <c r="AH301" i="14"/>
  <c r="AH302" i="14"/>
  <c r="AH303" i="14"/>
  <c r="AH304" i="14"/>
  <c r="AH305" i="14"/>
  <c r="AH306" i="14"/>
  <c r="AH307" i="14"/>
  <c r="AH308" i="14"/>
  <c r="AH309" i="14"/>
  <c r="AH310" i="14"/>
  <c r="AH311" i="14"/>
  <c r="AH312" i="14"/>
  <c r="AH313" i="14"/>
  <c r="AH314" i="14"/>
  <c r="AH315" i="14"/>
  <c r="AH316" i="14"/>
  <c r="AH317" i="14"/>
  <c r="AH318" i="14"/>
  <c r="AH319" i="14"/>
  <c r="AH320" i="14"/>
  <c r="AH321" i="14"/>
  <c r="AH322" i="14"/>
  <c r="AH323" i="14"/>
  <c r="AH324" i="14"/>
  <c r="AH325" i="14"/>
  <c r="AH326" i="14"/>
  <c r="AH327" i="14"/>
  <c r="AH328" i="14"/>
  <c r="AH329" i="14"/>
  <c r="AH330" i="14"/>
  <c r="AH331" i="14"/>
  <c r="AH332" i="14"/>
  <c r="AH333" i="14"/>
  <c r="AH334" i="14"/>
  <c r="AH335" i="14"/>
  <c r="AH336" i="14"/>
  <c r="AH337" i="14"/>
  <c r="AH338" i="14"/>
  <c r="AH339" i="14"/>
  <c r="AH340" i="14"/>
  <c r="AH341" i="14"/>
  <c r="AH342" i="14"/>
  <c r="AH343" i="14"/>
  <c r="AH344" i="14"/>
  <c r="AH345" i="14"/>
  <c r="AH346" i="14"/>
  <c r="AH347" i="14"/>
  <c r="AH348" i="14"/>
  <c r="AH349" i="14"/>
  <c r="AH350" i="14"/>
  <c r="AH351" i="14"/>
  <c r="AH352" i="14"/>
  <c r="AH353" i="14"/>
  <c r="AH354" i="14"/>
  <c r="AH355" i="14"/>
  <c r="AH356" i="14"/>
  <c r="AH357" i="14"/>
  <c r="AH358" i="14"/>
  <c r="AH359" i="14"/>
  <c r="AH360" i="14"/>
  <c r="AH361" i="14"/>
  <c r="AH362" i="14"/>
  <c r="AH363" i="14"/>
  <c r="AH364" i="14"/>
  <c r="AH365" i="14"/>
  <c r="AH366" i="14"/>
  <c r="AH367" i="14"/>
  <c r="AH368" i="14"/>
  <c r="AH369" i="14"/>
  <c r="AH370" i="14"/>
  <c r="AH371" i="14"/>
  <c r="AH372" i="14"/>
  <c r="AH373" i="14"/>
  <c r="AH374" i="14"/>
  <c r="AH375" i="14"/>
  <c r="AH376" i="14"/>
  <c r="AH377" i="14"/>
  <c r="AH378" i="14"/>
  <c r="AH379" i="14"/>
  <c r="AH380" i="14"/>
  <c r="AH381" i="14"/>
  <c r="AH382" i="14"/>
  <c r="AH383" i="14"/>
  <c r="AH384" i="14"/>
  <c r="AH385" i="14"/>
  <c r="AH386" i="14"/>
  <c r="AH387" i="14"/>
  <c r="AH388" i="14"/>
  <c r="AH389" i="14"/>
  <c r="AH390" i="14"/>
  <c r="AH391" i="14"/>
  <c r="AH392" i="14"/>
  <c r="AH393" i="14"/>
  <c r="AH394" i="14"/>
  <c r="AH395" i="14"/>
  <c r="AH396" i="14"/>
  <c r="AH397" i="14"/>
  <c r="AH398" i="14"/>
  <c r="AH399" i="14"/>
  <c r="AH400" i="14"/>
  <c r="AH401" i="14"/>
  <c r="AH402" i="14"/>
  <c r="AH403" i="14"/>
  <c r="AH404" i="14"/>
  <c r="AH405" i="14"/>
  <c r="AH406" i="14"/>
  <c r="AH407" i="14"/>
  <c r="AH408" i="14"/>
  <c r="AH409" i="14"/>
  <c r="AH410" i="14"/>
  <c r="AH411" i="14"/>
  <c r="AH412" i="14"/>
  <c r="AH413" i="14"/>
  <c r="AH414" i="14"/>
  <c r="AH415" i="14"/>
  <c r="AH416" i="14"/>
  <c r="AH417" i="14"/>
  <c r="AH418" i="14"/>
  <c r="AH419" i="14"/>
  <c r="AH420" i="14"/>
  <c r="AH421" i="14"/>
  <c r="AH422" i="14"/>
  <c r="AH423" i="14"/>
  <c r="AH424" i="14"/>
  <c r="AH425" i="14"/>
  <c r="AH426" i="14"/>
  <c r="AH427" i="14"/>
  <c r="AH428" i="14"/>
  <c r="AH429" i="14"/>
  <c r="AH430" i="14"/>
  <c r="AH431" i="14"/>
  <c r="AH432" i="14"/>
  <c r="AH433" i="14"/>
  <c r="AH434" i="14"/>
  <c r="AH435" i="14"/>
  <c r="AH436" i="14"/>
  <c r="AH437" i="14"/>
  <c r="AH438" i="14"/>
  <c r="AH439" i="14"/>
  <c r="AH440" i="14"/>
  <c r="AH441" i="14"/>
  <c r="AH442" i="14"/>
  <c r="AH443" i="14"/>
  <c r="AH444" i="14"/>
  <c r="AH445" i="14"/>
  <c r="AH446" i="14"/>
  <c r="AH447" i="14"/>
  <c r="AH448" i="14"/>
  <c r="AH449" i="14"/>
  <c r="AH450" i="14"/>
  <c r="AH451" i="14"/>
  <c r="AH452" i="14"/>
  <c r="AH453" i="14"/>
  <c r="AH454" i="14"/>
  <c r="AH455" i="14"/>
  <c r="AH456" i="14"/>
  <c r="AH457" i="14"/>
  <c r="AH458" i="14"/>
  <c r="AH459" i="14"/>
  <c r="AH460" i="14"/>
  <c r="AH461" i="14"/>
  <c r="AH462" i="14"/>
  <c r="AH463" i="14"/>
  <c r="AH464" i="14"/>
  <c r="AH465" i="14"/>
  <c r="AH466" i="14"/>
  <c r="AH467" i="14"/>
  <c r="AH468" i="14"/>
  <c r="AH469" i="14"/>
  <c r="AH470" i="14"/>
  <c r="AH471" i="14"/>
  <c r="AH472" i="14"/>
  <c r="AH473" i="14"/>
  <c r="AH474" i="14"/>
  <c r="AH475" i="14"/>
  <c r="AH476" i="14"/>
  <c r="AH477" i="14"/>
  <c r="AH478" i="14"/>
  <c r="AH479" i="14"/>
  <c r="AH480" i="14"/>
  <c r="AG2" i="14"/>
  <c r="AG3" i="14"/>
  <c r="AG4" i="14"/>
  <c r="AG5" i="14"/>
  <c r="AG6" i="14"/>
  <c r="AG7" i="14"/>
  <c r="AG8" i="14"/>
  <c r="AG9" i="14"/>
  <c r="AG10" i="14"/>
  <c r="AG11" i="14"/>
  <c r="AG12" i="14"/>
  <c r="AG13" i="14"/>
  <c r="AG14" i="14"/>
  <c r="AG15" i="14"/>
  <c r="AG16" i="14"/>
  <c r="AG17" i="14"/>
  <c r="AG18" i="14"/>
  <c r="AG19" i="14"/>
  <c r="AG20" i="14"/>
  <c r="AG21" i="14"/>
  <c r="AG22" i="14"/>
  <c r="AG23" i="14"/>
  <c r="AG24" i="14"/>
  <c r="AG25" i="14"/>
  <c r="AG26" i="14"/>
  <c r="AG27" i="14"/>
  <c r="AG28" i="14"/>
  <c r="AG29" i="14"/>
  <c r="AG30" i="14"/>
  <c r="AG31" i="14"/>
  <c r="AG32" i="14"/>
  <c r="AG33" i="14"/>
  <c r="AG34" i="14"/>
  <c r="AG35" i="14"/>
  <c r="AG36" i="14"/>
  <c r="AG37" i="14"/>
  <c r="AG38" i="14"/>
  <c r="AG39" i="14"/>
  <c r="AG40" i="14"/>
  <c r="AG41" i="14"/>
  <c r="AG42" i="14"/>
  <c r="AG43" i="14"/>
  <c r="AG44" i="14"/>
  <c r="AG45" i="14"/>
  <c r="AG46" i="14"/>
  <c r="AG47" i="14"/>
  <c r="AG48" i="14"/>
  <c r="AG49" i="14"/>
  <c r="AG50" i="14"/>
  <c r="AG51" i="14"/>
  <c r="AG52" i="14"/>
  <c r="AG53" i="14"/>
  <c r="AG54" i="14"/>
  <c r="AG55" i="14"/>
  <c r="AG56" i="14"/>
  <c r="AG57" i="14"/>
  <c r="AG58" i="14"/>
  <c r="AG59" i="14"/>
  <c r="AG60" i="14"/>
  <c r="AG61" i="14"/>
  <c r="AG62" i="14"/>
  <c r="AG63" i="14"/>
  <c r="AG64" i="14"/>
  <c r="AG65" i="14"/>
  <c r="AG66" i="14"/>
  <c r="AG67" i="14"/>
  <c r="AG68" i="14"/>
  <c r="AG69" i="14"/>
  <c r="AG70" i="14"/>
  <c r="AG71" i="14"/>
  <c r="AG72" i="14"/>
  <c r="AG73" i="14"/>
  <c r="AG74" i="14"/>
  <c r="AG75" i="14"/>
  <c r="AG76" i="14"/>
  <c r="AG77" i="14"/>
  <c r="AG78" i="14"/>
  <c r="AG79" i="14"/>
  <c r="AG80" i="14"/>
  <c r="AG81" i="14"/>
  <c r="AG82" i="14"/>
  <c r="AG83" i="14"/>
  <c r="AG84" i="14"/>
  <c r="AG85" i="14"/>
  <c r="AG86" i="14"/>
  <c r="AG87" i="14"/>
  <c r="AG88" i="14"/>
  <c r="AG89" i="14"/>
  <c r="AG90" i="14"/>
  <c r="AG91" i="14"/>
  <c r="AG92" i="14"/>
  <c r="AG93" i="14"/>
  <c r="AG94" i="14"/>
  <c r="AG95" i="14"/>
  <c r="AG96" i="14"/>
  <c r="AG97" i="14"/>
  <c r="AG98" i="14"/>
  <c r="AG99" i="14"/>
  <c r="AG100" i="14"/>
  <c r="AG101" i="14"/>
  <c r="AG102" i="14"/>
  <c r="AG103" i="14"/>
  <c r="AG104" i="14"/>
  <c r="AG105" i="14"/>
  <c r="AG106" i="14"/>
  <c r="AG107" i="14"/>
  <c r="AG108" i="14"/>
  <c r="AG109" i="14"/>
  <c r="AG110" i="14"/>
  <c r="AG111" i="14"/>
  <c r="AG112" i="14"/>
  <c r="AG113" i="14"/>
  <c r="AG114" i="14"/>
  <c r="AG115" i="14"/>
  <c r="AG116" i="14"/>
  <c r="AG117" i="14"/>
  <c r="AG118" i="14"/>
  <c r="AG119" i="14"/>
  <c r="AG120" i="14"/>
  <c r="AG121" i="14"/>
  <c r="AG122" i="14"/>
  <c r="AG123" i="14"/>
  <c r="AG124" i="14"/>
  <c r="AG125" i="14"/>
  <c r="AG126" i="14"/>
  <c r="AG127" i="14"/>
  <c r="AG128" i="14"/>
  <c r="AG129" i="14"/>
  <c r="AG130" i="14"/>
  <c r="AG131" i="14"/>
  <c r="AG132" i="14"/>
  <c r="AG133" i="14"/>
  <c r="AG134" i="14"/>
  <c r="AG135" i="14"/>
  <c r="AG136" i="14"/>
  <c r="AG137" i="14"/>
  <c r="AG138" i="14"/>
  <c r="AG139" i="14"/>
  <c r="AG140" i="14"/>
  <c r="AG141" i="14"/>
  <c r="AG142" i="14"/>
  <c r="AG143" i="14"/>
  <c r="AG144" i="14"/>
  <c r="AG145" i="14"/>
  <c r="AG146" i="14"/>
  <c r="AG147" i="14"/>
  <c r="AG148" i="14"/>
  <c r="AG149" i="14"/>
  <c r="AG150" i="14"/>
  <c r="AG151" i="14"/>
  <c r="AG152" i="14"/>
  <c r="AG153" i="14"/>
  <c r="AG154" i="14"/>
  <c r="AG155" i="14"/>
  <c r="AG156" i="14"/>
  <c r="AG157" i="14"/>
  <c r="AG158" i="14"/>
  <c r="AG159" i="14"/>
  <c r="AG160" i="14"/>
  <c r="AG161" i="14"/>
  <c r="AG162" i="14"/>
  <c r="AG163" i="14"/>
  <c r="AG164" i="14"/>
  <c r="AG165" i="14"/>
  <c r="AG166" i="14"/>
  <c r="AG167" i="14"/>
  <c r="AG168" i="14"/>
  <c r="AG169" i="14"/>
  <c r="AG170" i="14"/>
  <c r="AG171" i="14"/>
  <c r="AG172" i="14"/>
  <c r="AG173" i="14"/>
  <c r="AG174" i="14"/>
  <c r="AG175" i="14"/>
  <c r="AG176" i="14"/>
  <c r="AG177" i="14"/>
  <c r="AG178" i="14"/>
  <c r="AG179" i="14"/>
  <c r="AG180" i="14"/>
  <c r="AG181" i="14"/>
  <c r="AG182" i="14"/>
  <c r="AG183" i="14"/>
  <c r="AG184" i="14"/>
  <c r="AG185" i="14"/>
  <c r="AG186" i="14"/>
  <c r="AG187" i="14"/>
  <c r="AG188" i="14"/>
  <c r="AG189" i="14"/>
  <c r="AG190" i="14"/>
  <c r="AG191" i="14"/>
  <c r="AG192" i="14"/>
  <c r="AG193" i="14"/>
  <c r="AG194" i="14"/>
  <c r="AG195" i="14"/>
  <c r="AG196" i="14"/>
  <c r="AG197" i="14"/>
  <c r="AG198" i="14"/>
  <c r="AG199" i="14"/>
  <c r="AG200" i="14"/>
  <c r="AG201" i="14"/>
  <c r="AG202" i="14"/>
  <c r="AG203" i="14"/>
  <c r="AG204" i="14"/>
  <c r="AG205" i="14"/>
  <c r="AG206" i="14"/>
  <c r="AG207" i="14"/>
  <c r="AG208" i="14"/>
  <c r="AG209" i="14"/>
  <c r="AG210" i="14"/>
  <c r="AG211" i="14"/>
  <c r="AG212" i="14"/>
  <c r="AG213" i="14"/>
  <c r="AG214" i="14"/>
  <c r="AG215" i="14"/>
  <c r="AG216" i="14"/>
  <c r="AG217" i="14"/>
  <c r="AG218" i="14"/>
  <c r="AG219" i="14"/>
  <c r="AG220" i="14"/>
  <c r="AG221" i="14"/>
  <c r="AG222" i="14"/>
  <c r="AG223" i="14"/>
  <c r="AG224" i="14"/>
  <c r="AG225" i="14"/>
  <c r="AG226" i="14"/>
  <c r="AG227" i="14"/>
  <c r="AG228" i="14"/>
  <c r="AG229" i="14"/>
  <c r="AG230" i="14"/>
  <c r="AG231" i="14"/>
  <c r="AG232" i="14"/>
  <c r="AG233" i="14"/>
  <c r="AG234" i="14"/>
  <c r="AG235" i="14"/>
  <c r="AG236" i="14"/>
  <c r="AG237" i="14"/>
  <c r="AG238" i="14"/>
  <c r="AG239" i="14"/>
  <c r="AG240" i="14"/>
  <c r="AG241" i="14"/>
  <c r="AG242" i="14"/>
  <c r="AG243" i="14"/>
  <c r="AG244" i="14"/>
  <c r="AG245" i="14"/>
  <c r="AG246" i="14"/>
  <c r="AG247" i="14"/>
  <c r="AG248" i="14"/>
  <c r="AG249" i="14"/>
  <c r="AG250" i="14"/>
  <c r="AG251" i="14"/>
  <c r="AG252" i="14"/>
  <c r="AG253" i="14"/>
  <c r="AG254" i="14"/>
  <c r="AG255" i="14"/>
  <c r="AG256" i="14"/>
  <c r="AG257" i="14"/>
  <c r="AG258" i="14"/>
  <c r="AG259" i="14"/>
  <c r="AG260" i="14"/>
  <c r="AG261" i="14"/>
  <c r="AG262" i="14"/>
  <c r="AG263" i="14"/>
  <c r="AG264" i="14"/>
  <c r="AG265" i="14"/>
  <c r="AG266" i="14"/>
  <c r="AG267" i="14"/>
  <c r="AG268" i="14"/>
  <c r="AG269" i="14"/>
  <c r="AG270" i="14"/>
  <c r="AG271" i="14"/>
  <c r="AG272" i="14"/>
  <c r="AG273" i="14"/>
  <c r="AG274" i="14"/>
  <c r="AG275" i="14"/>
  <c r="AG276" i="14"/>
  <c r="AG277" i="14"/>
  <c r="AG278" i="14"/>
  <c r="AG279" i="14"/>
  <c r="AG280" i="14"/>
  <c r="AG281" i="14"/>
  <c r="AG282" i="14"/>
  <c r="AG283" i="14"/>
  <c r="AG284" i="14"/>
  <c r="AG285" i="14"/>
  <c r="AG286" i="14"/>
  <c r="AG287" i="14"/>
  <c r="AG288" i="14"/>
  <c r="AG289" i="14"/>
  <c r="AG290" i="14"/>
  <c r="AG291" i="14"/>
  <c r="AG292" i="14"/>
  <c r="AG293" i="14"/>
  <c r="AG294" i="14"/>
  <c r="AG295" i="14"/>
  <c r="AG296" i="14"/>
  <c r="AG297" i="14"/>
  <c r="AG298" i="14"/>
  <c r="AG299" i="14"/>
  <c r="AG300" i="14"/>
  <c r="AG301" i="14"/>
  <c r="AG302" i="14"/>
  <c r="AG303" i="14"/>
  <c r="AG304" i="14"/>
  <c r="AG305" i="14"/>
  <c r="AG306" i="14"/>
  <c r="AG307" i="14"/>
  <c r="AG308" i="14"/>
  <c r="AG309" i="14"/>
  <c r="AG310" i="14"/>
  <c r="AG311" i="14"/>
  <c r="AG312" i="14"/>
  <c r="AG313" i="14"/>
  <c r="AG314" i="14"/>
  <c r="AG315" i="14"/>
  <c r="AG316" i="14"/>
  <c r="AG317" i="14"/>
  <c r="AG318" i="14"/>
  <c r="AG319" i="14"/>
  <c r="AG320" i="14"/>
  <c r="AG321" i="14"/>
  <c r="AG322" i="14"/>
  <c r="AG323" i="14"/>
  <c r="AG324" i="14"/>
  <c r="AG325" i="14"/>
  <c r="AG326" i="14"/>
  <c r="AG327" i="14"/>
  <c r="AG328" i="14"/>
  <c r="AG329" i="14"/>
  <c r="AG330" i="14"/>
  <c r="AG331" i="14"/>
  <c r="AG332" i="14"/>
  <c r="AG333" i="14"/>
  <c r="AG334" i="14"/>
  <c r="AG335" i="14"/>
  <c r="AG336" i="14"/>
  <c r="AG337" i="14"/>
  <c r="AG338" i="14"/>
  <c r="AG339" i="14"/>
  <c r="AG340" i="14"/>
  <c r="AG341" i="14"/>
  <c r="AG342" i="14"/>
  <c r="AG343" i="14"/>
  <c r="AG344" i="14"/>
  <c r="AG345" i="14"/>
  <c r="AG346" i="14"/>
  <c r="AG347" i="14"/>
  <c r="AG348" i="14"/>
  <c r="AG349" i="14"/>
  <c r="AG350" i="14"/>
  <c r="AG351" i="14"/>
  <c r="AG352" i="14"/>
  <c r="AG353" i="14"/>
  <c r="AG354" i="14"/>
  <c r="AG355" i="14"/>
  <c r="AG356" i="14"/>
  <c r="AG357" i="14"/>
  <c r="AG358" i="14"/>
  <c r="AG359" i="14"/>
  <c r="AG360" i="14"/>
  <c r="AG361" i="14"/>
  <c r="AG362" i="14"/>
  <c r="AG363" i="14"/>
  <c r="AG364" i="14"/>
  <c r="AG365" i="14"/>
  <c r="AG366" i="14"/>
  <c r="AG367" i="14"/>
  <c r="AG368" i="14"/>
  <c r="AG369" i="14"/>
  <c r="AG370" i="14"/>
  <c r="AG371" i="14"/>
  <c r="AG372" i="14"/>
  <c r="AG373" i="14"/>
  <c r="AG374" i="14"/>
  <c r="AG375" i="14"/>
  <c r="AG376" i="14"/>
  <c r="AG377" i="14"/>
  <c r="AG378" i="14"/>
  <c r="AG379" i="14"/>
  <c r="AG380" i="14"/>
  <c r="AG381" i="14"/>
  <c r="AG382" i="14"/>
  <c r="AG383" i="14"/>
  <c r="AG384" i="14"/>
  <c r="AG385" i="14"/>
  <c r="AG386" i="14"/>
  <c r="AG387" i="14"/>
  <c r="AG388" i="14"/>
  <c r="AG389" i="14"/>
  <c r="AG390" i="14"/>
  <c r="AG391" i="14"/>
  <c r="AG392" i="14"/>
  <c r="AG393" i="14"/>
  <c r="AG394" i="14"/>
  <c r="AG395" i="14"/>
  <c r="AG396" i="14"/>
  <c r="AG397" i="14"/>
  <c r="AG398" i="14"/>
  <c r="AG399" i="14"/>
  <c r="AG400" i="14"/>
  <c r="AG401" i="14"/>
  <c r="AG402" i="14"/>
  <c r="AG403" i="14"/>
  <c r="AG404" i="14"/>
  <c r="AG405" i="14"/>
  <c r="AG406" i="14"/>
  <c r="AG407" i="14"/>
  <c r="AG408" i="14"/>
  <c r="AG409" i="14"/>
  <c r="AG410" i="14"/>
  <c r="AG411" i="14"/>
  <c r="AG412" i="14"/>
  <c r="AG413" i="14"/>
  <c r="AG414" i="14"/>
  <c r="AG415" i="14"/>
  <c r="AG416" i="14"/>
  <c r="AG417" i="14"/>
  <c r="AG418" i="14"/>
  <c r="AG419" i="14"/>
  <c r="AG420" i="14"/>
  <c r="AG421" i="14"/>
  <c r="AG422" i="14"/>
  <c r="AG423" i="14"/>
  <c r="AG424" i="14"/>
  <c r="AG425" i="14"/>
  <c r="AG426" i="14"/>
  <c r="AG427" i="14"/>
  <c r="AG428" i="14"/>
  <c r="AG429" i="14"/>
  <c r="AG430" i="14"/>
  <c r="AG431" i="14"/>
  <c r="AG432" i="14"/>
  <c r="AG433" i="14"/>
  <c r="AG434" i="14"/>
  <c r="AG435" i="14"/>
  <c r="AG436" i="14"/>
  <c r="AG437" i="14"/>
  <c r="AG438" i="14"/>
  <c r="AG439" i="14"/>
  <c r="AG440" i="14"/>
  <c r="AG441" i="14"/>
  <c r="AG442" i="14"/>
  <c r="AG443" i="14"/>
  <c r="AG444" i="14"/>
  <c r="AG445" i="14"/>
  <c r="AG446" i="14"/>
  <c r="AG447" i="14"/>
  <c r="AG448" i="14"/>
  <c r="AG449" i="14"/>
  <c r="AG450" i="14"/>
  <c r="AG451" i="14"/>
  <c r="AG452" i="14"/>
  <c r="AG453" i="14"/>
  <c r="AG454" i="14"/>
  <c r="AG455" i="14"/>
  <c r="AG456" i="14"/>
  <c r="AG457" i="14"/>
  <c r="AG458" i="14"/>
  <c r="AG459" i="14"/>
  <c r="AG460" i="14"/>
  <c r="AG461" i="14"/>
  <c r="AG462" i="14"/>
  <c r="AG463" i="14"/>
  <c r="AG464" i="14"/>
  <c r="AG465" i="14"/>
  <c r="AG466" i="14"/>
  <c r="AG467" i="14"/>
  <c r="AG468" i="14"/>
  <c r="AG469" i="14"/>
  <c r="AG470" i="14"/>
  <c r="AG471" i="14"/>
  <c r="AG472" i="14"/>
  <c r="AG473" i="14"/>
  <c r="AG474" i="14"/>
  <c r="AG475" i="14"/>
  <c r="AG476" i="14"/>
  <c r="AG477" i="14"/>
  <c r="AG478" i="14"/>
  <c r="AG479" i="14"/>
  <c r="AG480" i="14"/>
  <c r="AF2" i="14"/>
  <c r="AF3" i="14"/>
  <c r="AF4" i="14"/>
  <c r="AF5" i="14"/>
  <c r="AF6" i="14"/>
  <c r="AF7" i="14"/>
  <c r="AF8" i="14"/>
  <c r="AF9" i="14"/>
  <c r="AF10" i="14"/>
  <c r="AF11" i="14"/>
  <c r="AF12" i="14"/>
  <c r="AF13" i="14"/>
  <c r="AF14" i="14"/>
  <c r="AF15" i="14"/>
  <c r="AF16" i="14"/>
  <c r="AF17" i="14"/>
  <c r="AF18" i="14"/>
  <c r="AF19" i="14"/>
  <c r="AF20" i="14"/>
  <c r="AF21" i="14"/>
  <c r="AF22" i="14"/>
  <c r="AF23" i="14"/>
  <c r="AF24" i="14"/>
  <c r="AF25" i="14"/>
  <c r="AF26" i="14"/>
  <c r="AF27" i="14"/>
  <c r="AF28" i="14"/>
  <c r="AF29" i="14"/>
  <c r="AF30" i="14"/>
  <c r="AF31" i="14"/>
  <c r="AF32" i="14"/>
  <c r="AF33" i="14"/>
  <c r="AF34" i="14"/>
  <c r="AF35" i="14"/>
  <c r="AF36" i="14"/>
  <c r="AF37" i="14"/>
  <c r="AF38" i="14"/>
  <c r="AF39" i="14"/>
  <c r="AF40" i="14"/>
  <c r="AF41" i="14"/>
  <c r="AF42" i="14"/>
  <c r="AF43" i="14"/>
  <c r="AF44" i="14"/>
  <c r="AF45" i="14"/>
  <c r="AF46" i="14"/>
  <c r="AF47" i="14"/>
  <c r="AF48" i="14"/>
  <c r="AF49" i="14"/>
  <c r="AF50" i="14"/>
  <c r="AF51" i="14"/>
  <c r="AF52" i="14"/>
  <c r="AF53" i="14"/>
  <c r="AF54" i="14"/>
  <c r="AF55" i="14"/>
  <c r="AF56" i="14"/>
  <c r="AF57" i="14"/>
  <c r="AF58" i="14"/>
  <c r="AF59" i="14"/>
  <c r="AF60" i="14"/>
  <c r="AF61" i="14"/>
  <c r="AF62" i="14"/>
  <c r="AF63" i="14"/>
  <c r="AF64" i="14"/>
  <c r="AF65" i="14"/>
  <c r="AF66" i="14"/>
  <c r="AF67" i="14"/>
  <c r="AF68" i="14"/>
  <c r="AF69" i="14"/>
  <c r="AF70" i="14"/>
  <c r="AF71" i="14"/>
  <c r="AF72" i="14"/>
  <c r="AF73" i="14"/>
  <c r="AF74" i="14"/>
  <c r="AF75" i="14"/>
  <c r="AF76" i="14"/>
  <c r="AF77" i="14"/>
  <c r="AF78" i="14"/>
  <c r="AF79" i="14"/>
  <c r="AF80" i="14"/>
  <c r="AF81" i="14"/>
  <c r="AF82" i="14"/>
  <c r="AF83" i="14"/>
  <c r="AF84" i="14"/>
  <c r="AF85" i="14"/>
  <c r="AF86" i="14"/>
  <c r="AF87" i="14"/>
  <c r="AF88" i="14"/>
  <c r="AF89" i="14"/>
  <c r="AF90" i="14"/>
  <c r="AF91" i="14"/>
  <c r="AF92" i="14"/>
  <c r="AF93" i="14"/>
  <c r="AF94" i="14"/>
  <c r="AF95" i="14"/>
  <c r="AF96" i="14"/>
  <c r="AF97" i="14"/>
  <c r="AF98" i="14"/>
  <c r="AF99" i="14"/>
  <c r="AF100" i="14"/>
  <c r="AF101" i="14"/>
  <c r="AF102" i="14"/>
  <c r="AF103" i="14"/>
  <c r="AF104" i="14"/>
  <c r="AF105" i="14"/>
  <c r="AF106" i="14"/>
  <c r="AF107" i="14"/>
  <c r="AF108" i="14"/>
  <c r="AF109" i="14"/>
  <c r="AF110" i="14"/>
  <c r="AF111" i="14"/>
  <c r="AF112" i="14"/>
  <c r="AF113" i="14"/>
  <c r="AF114" i="14"/>
  <c r="AF115" i="14"/>
  <c r="AF116" i="14"/>
  <c r="AF117" i="14"/>
  <c r="AF118" i="14"/>
  <c r="AF119" i="14"/>
  <c r="AF120" i="14"/>
  <c r="AF121" i="14"/>
  <c r="AF122" i="14"/>
  <c r="AF123" i="14"/>
  <c r="AF124" i="14"/>
  <c r="AF125" i="14"/>
  <c r="AF126" i="14"/>
  <c r="AF127" i="14"/>
  <c r="AF128" i="14"/>
  <c r="AF129" i="14"/>
  <c r="AF130" i="14"/>
  <c r="AF131" i="14"/>
  <c r="AF132" i="14"/>
  <c r="AF133" i="14"/>
  <c r="AF134" i="14"/>
  <c r="AF135" i="14"/>
  <c r="AF136" i="14"/>
  <c r="AF137" i="14"/>
  <c r="AF138" i="14"/>
  <c r="AF139" i="14"/>
  <c r="AF140" i="14"/>
  <c r="AF141" i="14"/>
  <c r="AF142" i="14"/>
  <c r="AF143" i="14"/>
  <c r="AF144" i="14"/>
  <c r="AF145" i="14"/>
  <c r="AF146" i="14"/>
  <c r="AF147" i="14"/>
  <c r="AF148" i="14"/>
  <c r="AF149" i="14"/>
  <c r="AF150" i="14"/>
  <c r="AF151" i="14"/>
  <c r="AF152" i="14"/>
  <c r="AF153" i="14"/>
  <c r="AF154" i="14"/>
  <c r="AF155" i="14"/>
  <c r="AF156" i="14"/>
  <c r="AF157" i="14"/>
  <c r="AF158" i="14"/>
  <c r="AF159" i="14"/>
  <c r="AF160" i="14"/>
  <c r="AF161" i="14"/>
  <c r="AF162" i="14"/>
  <c r="AF163" i="14"/>
  <c r="AF164" i="14"/>
  <c r="AF165" i="14"/>
  <c r="AF166" i="14"/>
  <c r="AF167" i="14"/>
  <c r="AF168" i="14"/>
  <c r="AF169" i="14"/>
  <c r="AF170" i="14"/>
  <c r="AF171" i="14"/>
  <c r="AF172" i="14"/>
  <c r="AF173" i="14"/>
  <c r="AF174" i="14"/>
  <c r="AF175" i="14"/>
  <c r="AF176" i="14"/>
  <c r="AF177" i="14"/>
  <c r="AF178" i="14"/>
  <c r="AF179" i="14"/>
  <c r="AF180" i="14"/>
  <c r="AF181" i="14"/>
  <c r="AF182" i="14"/>
  <c r="AF183" i="14"/>
  <c r="AF184" i="14"/>
  <c r="AF185" i="14"/>
  <c r="AF186" i="14"/>
  <c r="AF187" i="14"/>
  <c r="AF188" i="14"/>
  <c r="AF189" i="14"/>
  <c r="AF190" i="14"/>
  <c r="AF191" i="14"/>
  <c r="AF192" i="14"/>
  <c r="AF193" i="14"/>
  <c r="AF194" i="14"/>
  <c r="AF195" i="14"/>
  <c r="AF196" i="14"/>
  <c r="AF197" i="14"/>
  <c r="AF198" i="14"/>
  <c r="AF199" i="14"/>
  <c r="AF200" i="14"/>
  <c r="AF201" i="14"/>
  <c r="AF202" i="14"/>
  <c r="AF203" i="14"/>
  <c r="AF204" i="14"/>
  <c r="AF205" i="14"/>
  <c r="AF206" i="14"/>
  <c r="AF207" i="14"/>
  <c r="AF208" i="14"/>
  <c r="AF209" i="14"/>
  <c r="AF210" i="14"/>
  <c r="AF211" i="14"/>
  <c r="AF212" i="14"/>
  <c r="AF213" i="14"/>
  <c r="AF214" i="14"/>
  <c r="AF215" i="14"/>
  <c r="AF216" i="14"/>
  <c r="AF217" i="14"/>
  <c r="AF218" i="14"/>
  <c r="AF219" i="14"/>
  <c r="AF220" i="14"/>
  <c r="AF221" i="14"/>
  <c r="AF222" i="14"/>
  <c r="AF223" i="14"/>
  <c r="AF224" i="14"/>
  <c r="AF225" i="14"/>
  <c r="AF226" i="14"/>
  <c r="AF227" i="14"/>
  <c r="AF228" i="14"/>
  <c r="AF229" i="14"/>
  <c r="AF230" i="14"/>
  <c r="AF231" i="14"/>
  <c r="AF232" i="14"/>
  <c r="AF233" i="14"/>
  <c r="AF234" i="14"/>
  <c r="AF235" i="14"/>
  <c r="AF236" i="14"/>
  <c r="AF237" i="14"/>
  <c r="AF238" i="14"/>
  <c r="AF239" i="14"/>
  <c r="AF240" i="14"/>
  <c r="AF241" i="14"/>
  <c r="AF242" i="14"/>
  <c r="AF243" i="14"/>
  <c r="AF244" i="14"/>
  <c r="AF245" i="14"/>
  <c r="AF246" i="14"/>
  <c r="AF247" i="14"/>
  <c r="AF248" i="14"/>
  <c r="AF249" i="14"/>
  <c r="AF250" i="14"/>
  <c r="AF251" i="14"/>
  <c r="AF252" i="14"/>
  <c r="AF253" i="14"/>
  <c r="AF254" i="14"/>
  <c r="AF255" i="14"/>
  <c r="AF256" i="14"/>
  <c r="AF257" i="14"/>
  <c r="AF258" i="14"/>
  <c r="AF259" i="14"/>
  <c r="AF260" i="14"/>
  <c r="AF261" i="14"/>
  <c r="AF262" i="14"/>
  <c r="AF263" i="14"/>
  <c r="AF264" i="14"/>
  <c r="AF265" i="14"/>
  <c r="AF266" i="14"/>
  <c r="AF267" i="14"/>
  <c r="AF268" i="14"/>
  <c r="AF269" i="14"/>
  <c r="AF270" i="14"/>
  <c r="AF271" i="14"/>
  <c r="AF272" i="14"/>
  <c r="AF273" i="14"/>
  <c r="AF274" i="14"/>
  <c r="AF275" i="14"/>
  <c r="AF276" i="14"/>
  <c r="AF277" i="14"/>
  <c r="AF278" i="14"/>
  <c r="AF279" i="14"/>
  <c r="AF280" i="14"/>
  <c r="AF281" i="14"/>
  <c r="AF282" i="14"/>
  <c r="AF283" i="14"/>
  <c r="AF284" i="14"/>
  <c r="AF285" i="14"/>
  <c r="AF286" i="14"/>
  <c r="AF287" i="14"/>
  <c r="AF288" i="14"/>
  <c r="AF289" i="14"/>
  <c r="AF290" i="14"/>
  <c r="AF291" i="14"/>
  <c r="AF292" i="14"/>
  <c r="AF293" i="14"/>
  <c r="AF294" i="14"/>
  <c r="AF295" i="14"/>
  <c r="AF296" i="14"/>
  <c r="AF297" i="14"/>
  <c r="AF298" i="14"/>
  <c r="AF299" i="14"/>
  <c r="AF300" i="14"/>
  <c r="AF301" i="14"/>
  <c r="AF302" i="14"/>
  <c r="AF303" i="14"/>
  <c r="AF304" i="14"/>
  <c r="AF305" i="14"/>
  <c r="AF306" i="14"/>
  <c r="AF307" i="14"/>
  <c r="AF308" i="14"/>
  <c r="AF309" i="14"/>
  <c r="AF310" i="14"/>
  <c r="AF311" i="14"/>
  <c r="AF312" i="14"/>
  <c r="AF313" i="14"/>
  <c r="AF314" i="14"/>
  <c r="AF315" i="14"/>
  <c r="AF316" i="14"/>
  <c r="AF317" i="14"/>
  <c r="AF318" i="14"/>
  <c r="AF319" i="14"/>
  <c r="AF320" i="14"/>
  <c r="AF321" i="14"/>
  <c r="AF322" i="14"/>
  <c r="AF323" i="14"/>
  <c r="AF324" i="14"/>
  <c r="AF325" i="14"/>
  <c r="AF326" i="14"/>
  <c r="AF327" i="14"/>
  <c r="AF328" i="14"/>
  <c r="AF329" i="14"/>
  <c r="AF330" i="14"/>
  <c r="AF331" i="14"/>
  <c r="AF332" i="14"/>
  <c r="AF333" i="14"/>
  <c r="AF334" i="14"/>
  <c r="AF335" i="14"/>
  <c r="AF336" i="14"/>
  <c r="AF337" i="14"/>
  <c r="AF338" i="14"/>
  <c r="AF339" i="14"/>
  <c r="AF340" i="14"/>
  <c r="AF341" i="14"/>
  <c r="AF342" i="14"/>
  <c r="AF343" i="14"/>
  <c r="AF344" i="14"/>
  <c r="AF345" i="14"/>
  <c r="AF346" i="14"/>
  <c r="AF347" i="14"/>
  <c r="AF348" i="14"/>
  <c r="AF349" i="14"/>
  <c r="AF350" i="14"/>
  <c r="AF351" i="14"/>
  <c r="AF352" i="14"/>
  <c r="AF353" i="14"/>
  <c r="AF354" i="14"/>
  <c r="AF355" i="14"/>
  <c r="AF356" i="14"/>
  <c r="AF357" i="14"/>
  <c r="AF358" i="14"/>
  <c r="AF359" i="14"/>
  <c r="AF360" i="14"/>
  <c r="AF361" i="14"/>
  <c r="AF362" i="14"/>
  <c r="AF363" i="14"/>
  <c r="AF364" i="14"/>
  <c r="AF365" i="14"/>
  <c r="AF366" i="14"/>
  <c r="AF367" i="14"/>
  <c r="AF368" i="14"/>
  <c r="AF369" i="14"/>
  <c r="AF370" i="14"/>
  <c r="AF371" i="14"/>
  <c r="AF372" i="14"/>
  <c r="AF373" i="14"/>
  <c r="AF374" i="14"/>
  <c r="AF375" i="14"/>
  <c r="AF376" i="14"/>
  <c r="AF377" i="14"/>
  <c r="AF378" i="14"/>
  <c r="AF379" i="14"/>
  <c r="AF380" i="14"/>
  <c r="AF381" i="14"/>
  <c r="AF382" i="14"/>
  <c r="AF383" i="14"/>
  <c r="AF384" i="14"/>
  <c r="AF385" i="14"/>
  <c r="AF386" i="14"/>
  <c r="AF387" i="14"/>
  <c r="AF388" i="14"/>
  <c r="AF389" i="14"/>
  <c r="AF390" i="14"/>
  <c r="AF391" i="14"/>
  <c r="AF392" i="14"/>
  <c r="AF393" i="14"/>
  <c r="AF394" i="14"/>
  <c r="AF395" i="14"/>
  <c r="AF396" i="14"/>
  <c r="AF397" i="14"/>
  <c r="AF398" i="14"/>
  <c r="AF399" i="14"/>
  <c r="AF400" i="14"/>
  <c r="AF401" i="14"/>
  <c r="AF402" i="14"/>
  <c r="AF403" i="14"/>
  <c r="AF404" i="14"/>
  <c r="AF405" i="14"/>
  <c r="AF406" i="14"/>
  <c r="AF407" i="14"/>
  <c r="AF408" i="14"/>
  <c r="AF409" i="14"/>
  <c r="AF410" i="14"/>
  <c r="AF411" i="14"/>
  <c r="AF412" i="14"/>
  <c r="AF413" i="14"/>
  <c r="AF414" i="14"/>
  <c r="AF415" i="14"/>
  <c r="AF416" i="14"/>
  <c r="AF417" i="14"/>
  <c r="AF418" i="14"/>
  <c r="AF419" i="14"/>
  <c r="AF420" i="14"/>
  <c r="AF421" i="14"/>
  <c r="AF422" i="14"/>
  <c r="AF423" i="14"/>
  <c r="AF424" i="14"/>
  <c r="AF425" i="14"/>
  <c r="AF426" i="14"/>
  <c r="AF427" i="14"/>
  <c r="AF428" i="14"/>
  <c r="AF429" i="14"/>
  <c r="AF430" i="14"/>
  <c r="AF431" i="14"/>
  <c r="AF432" i="14"/>
  <c r="AF433" i="14"/>
  <c r="AF434" i="14"/>
  <c r="AF435" i="14"/>
  <c r="AF436" i="14"/>
  <c r="AF437" i="14"/>
  <c r="AF438" i="14"/>
  <c r="AF439" i="14"/>
  <c r="AF440" i="14"/>
  <c r="AF441" i="14"/>
  <c r="AF442" i="14"/>
  <c r="AF443" i="14"/>
  <c r="AF444" i="14"/>
  <c r="AF445" i="14"/>
  <c r="AF446" i="14"/>
  <c r="AF447" i="14"/>
  <c r="AF448" i="14"/>
  <c r="AF449" i="14"/>
  <c r="AF450" i="14"/>
  <c r="AF451" i="14"/>
  <c r="AF452" i="14"/>
  <c r="AF453" i="14"/>
  <c r="AF454" i="14"/>
  <c r="AF455" i="14"/>
  <c r="AF456" i="14"/>
  <c r="AF457" i="14"/>
  <c r="AF458" i="14"/>
  <c r="AF459" i="14"/>
  <c r="AF460" i="14"/>
  <c r="AF461" i="14"/>
  <c r="AF462" i="14"/>
  <c r="AF463" i="14"/>
  <c r="AF464" i="14"/>
  <c r="AF465" i="14"/>
  <c r="AF466" i="14"/>
  <c r="AF467" i="14"/>
  <c r="AF468" i="14"/>
  <c r="AF469" i="14"/>
  <c r="AF470" i="14"/>
  <c r="AF471" i="14"/>
  <c r="AF472" i="14"/>
  <c r="AF473" i="14"/>
  <c r="AF474" i="14"/>
  <c r="AF475" i="14"/>
  <c r="AF476" i="14"/>
  <c r="AF477" i="14"/>
  <c r="AF478" i="14"/>
  <c r="AF479" i="14"/>
  <c r="AF480" i="14"/>
  <c r="AE2" i="14"/>
  <c r="AE3" i="14"/>
  <c r="AE4" i="14"/>
  <c r="AE5" i="14"/>
  <c r="AE6" i="14"/>
  <c r="AE7" i="14"/>
  <c r="AE8" i="14"/>
  <c r="AE9" i="14"/>
  <c r="AE10" i="14"/>
  <c r="AE11" i="14"/>
  <c r="AE12" i="14"/>
  <c r="AE13" i="14"/>
  <c r="AE14" i="14"/>
  <c r="AE15" i="14"/>
  <c r="AE16" i="14"/>
  <c r="AE17" i="14"/>
  <c r="AE18" i="14"/>
  <c r="AE19" i="14"/>
  <c r="AE20" i="14"/>
  <c r="AE21" i="14"/>
  <c r="AE22" i="14"/>
  <c r="AE23" i="14"/>
  <c r="AE24" i="14"/>
  <c r="AE25" i="14"/>
  <c r="AE26" i="14"/>
  <c r="AE27" i="14"/>
  <c r="AE28" i="14"/>
  <c r="AE29" i="14"/>
  <c r="AE30" i="14"/>
  <c r="AE31" i="14"/>
  <c r="AE32" i="14"/>
  <c r="AE33" i="14"/>
  <c r="AE34" i="14"/>
  <c r="AE35" i="14"/>
  <c r="AE36" i="14"/>
  <c r="AE37" i="14"/>
  <c r="AE38" i="14"/>
  <c r="AE39" i="14"/>
  <c r="AE40" i="14"/>
  <c r="AE41" i="14"/>
  <c r="AE42" i="14"/>
  <c r="AE43" i="14"/>
  <c r="AE44" i="14"/>
  <c r="AE45" i="14"/>
  <c r="AE46" i="14"/>
  <c r="AE47" i="14"/>
  <c r="AE48" i="14"/>
  <c r="AE49" i="14"/>
  <c r="AE50" i="14"/>
  <c r="AE51" i="14"/>
  <c r="AE52" i="14"/>
  <c r="AE53" i="14"/>
  <c r="AE54" i="14"/>
  <c r="AE55" i="14"/>
  <c r="AE56" i="14"/>
  <c r="AE57" i="14"/>
  <c r="AE58" i="14"/>
  <c r="AE59" i="14"/>
  <c r="AE60" i="14"/>
  <c r="AE61" i="14"/>
  <c r="AE62" i="14"/>
  <c r="AE63" i="14"/>
  <c r="AE64" i="14"/>
  <c r="AE65" i="14"/>
  <c r="AE66" i="14"/>
  <c r="AE67" i="14"/>
  <c r="AE68" i="14"/>
  <c r="AE69" i="14"/>
  <c r="AE70" i="14"/>
  <c r="AE71" i="14"/>
  <c r="AE72" i="14"/>
  <c r="AE73" i="14"/>
  <c r="AE74" i="14"/>
  <c r="AE75" i="14"/>
  <c r="AE76" i="14"/>
  <c r="AE77" i="14"/>
  <c r="AE78" i="14"/>
  <c r="AE79" i="14"/>
  <c r="AE80" i="14"/>
  <c r="AE81" i="14"/>
  <c r="AE82" i="14"/>
  <c r="AE83" i="14"/>
  <c r="AE84" i="14"/>
  <c r="AE85" i="14"/>
  <c r="AE86" i="14"/>
  <c r="AE87" i="14"/>
  <c r="AE88" i="14"/>
  <c r="AE89" i="14"/>
  <c r="AE90" i="14"/>
  <c r="AE91" i="14"/>
  <c r="AE92" i="14"/>
  <c r="AE93" i="14"/>
  <c r="AE94" i="14"/>
  <c r="AE95" i="14"/>
  <c r="AE96" i="14"/>
  <c r="AE97" i="14"/>
  <c r="AE98" i="14"/>
  <c r="AE99" i="14"/>
  <c r="AE100" i="14"/>
  <c r="AE101" i="14"/>
  <c r="AE102" i="14"/>
  <c r="AE103" i="14"/>
  <c r="AE104" i="14"/>
  <c r="AE105" i="14"/>
  <c r="AE106" i="14"/>
  <c r="AE107" i="14"/>
  <c r="AE108" i="14"/>
  <c r="AE109" i="14"/>
  <c r="AE110" i="14"/>
  <c r="AE111" i="14"/>
  <c r="AE112" i="14"/>
  <c r="AE113" i="14"/>
  <c r="AE114" i="14"/>
  <c r="AE115" i="14"/>
  <c r="AE116" i="14"/>
  <c r="AE117" i="14"/>
  <c r="AE118" i="14"/>
  <c r="AE119" i="14"/>
  <c r="AE120" i="14"/>
  <c r="AE121" i="14"/>
  <c r="AE122" i="14"/>
  <c r="AE123" i="14"/>
  <c r="AE124" i="14"/>
  <c r="AE125" i="14"/>
  <c r="AE126" i="14"/>
  <c r="AE127" i="14"/>
  <c r="AE128" i="14"/>
  <c r="AE129" i="14"/>
  <c r="AE130" i="14"/>
  <c r="AE131" i="14"/>
  <c r="AE132" i="14"/>
  <c r="AE133" i="14"/>
  <c r="AE134" i="14"/>
  <c r="AE135" i="14"/>
  <c r="AE136" i="14"/>
  <c r="AE137" i="14"/>
  <c r="AE138" i="14"/>
  <c r="AE139" i="14"/>
  <c r="AE140" i="14"/>
  <c r="AE141" i="14"/>
  <c r="AE142" i="14"/>
  <c r="AE143" i="14"/>
  <c r="AE144" i="14"/>
  <c r="AE145" i="14"/>
  <c r="AE146" i="14"/>
  <c r="AE147" i="14"/>
  <c r="AE148" i="14"/>
  <c r="AE149" i="14"/>
  <c r="AE150" i="14"/>
  <c r="AE151" i="14"/>
  <c r="AE152" i="14"/>
  <c r="AE153" i="14"/>
  <c r="AE154" i="14"/>
  <c r="AE155" i="14"/>
  <c r="AE156" i="14"/>
  <c r="AE157" i="14"/>
  <c r="AE158" i="14"/>
  <c r="AE159" i="14"/>
  <c r="AE160" i="14"/>
  <c r="AE161" i="14"/>
  <c r="AE162" i="14"/>
  <c r="AE163" i="14"/>
  <c r="AE164" i="14"/>
  <c r="AE165" i="14"/>
  <c r="AE166" i="14"/>
  <c r="AE167" i="14"/>
  <c r="AE168" i="14"/>
  <c r="AE169" i="14"/>
  <c r="AE170" i="14"/>
  <c r="AE171" i="14"/>
  <c r="AE172" i="14"/>
  <c r="AE173" i="14"/>
  <c r="AE174" i="14"/>
  <c r="AE175" i="14"/>
  <c r="AE176" i="14"/>
  <c r="AE177" i="14"/>
  <c r="AE178" i="14"/>
  <c r="AE179" i="14"/>
  <c r="AE180" i="14"/>
  <c r="AE181" i="14"/>
  <c r="AE182" i="14"/>
  <c r="AE183" i="14"/>
  <c r="AE184" i="14"/>
  <c r="AE185" i="14"/>
  <c r="AE186" i="14"/>
  <c r="AE187" i="14"/>
  <c r="AE188" i="14"/>
  <c r="AE189" i="14"/>
  <c r="AE190" i="14"/>
  <c r="AE191" i="14"/>
  <c r="AE192" i="14"/>
  <c r="AE193" i="14"/>
  <c r="AE194" i="14"/>
  <c r="AE195" i="14"/>
  <c r="AE196" i="14"/>
  <c r="AE197" i="14"/>
  <c r="AE198" i="14"/>
  <c r="AE199" i="14"/>
  <c r="AE200" i="14"/>
  <c r="AE201" i="14"/>
  <c r="AE202" i="14"/>
  <c r="AE203" i="14"/>
  <c r="AE204" i="14"/>
  <c r="AE205" i="14"/>
  <c r="AE206" i="14"/>
  <c r="AE207" i="14"/>
  <c r="AE208" i="14"/>
  <c r="AE209" i="14"/>
  <c r="AE210" i="14"/>
  <c r="AE211" i="14"/>
  <c r="AE212" i="14"/>
  <c r="AE213" i="14"/>
  <c r="AE214" i="14"/>
  <c r="AE215" i="14"/>
  <c r="AE216" i="14"/>
  <c r="AE217" i="14"/>
  <c r="AE218" i="14"/>
  <c r="AE219" i="14"/>
  <c r="AE220" i="14"/>
  <c r="AE221" i="14"/>
  <c r="AE222" i="14"/>
  <c r="AE223" i="14"/>
  <c r="AE224" i="14"/>
  <c r="AE225" i="14"/>
  <c r="AE226" i="14"/>
  <c r="AE227" i="14"/>
  <c r="AE228" i="14"/>
  <c r="AE229" i="14"/>
  <c r="AE230" i="14"/>
  <c r="AE231" i="14"/>
  <c r="AE232" i="14"/>
  <c r="AE233" i="14"/>
  <c r="AE234" i="14"/>
  <c r="AE235" i="14"/>
  <c r="AE236" i="14"/>
  <c r="AE237" i="14"/>
  <c r="AE238" i="14"/>
  <c r="AE239" i="14"/>
  <c r="AE240" i="14"/>
  <c r="AE241" i="14"/>
  <c r="AE242" i="14"/>
  <c r="AE243" i="14"/>
  <c r="AE244" i="14"/>
  <c r="AE245" i="14"/>
  <c r="AE246" i="14"/>
  <c r="AE247" i="14"/>
  <c r="AE248" i="14"/>
  <c r="AE249" i="14"/>
  <c r="AE250" i="14"/>
  <c r="AE251" i="14"/>
  <c r="AE252" i="14"/>
  <c r="AE253" i="14"/>
  <c r="AE254" i="14"/>
  <c r="AE255" i="14"/>
  <c r="AE256" i="14"/>
  <c r="AE257" i="14"/>
  <c r="AE258" i="14"/>
  <c r="AE259" i="14"/>
  <c r="AE260" i="14"/>
  <c r="AE261" i="14"/>
  <c r="AE262" i="14"/>
  <c r="AE263" i="14"/>
  <c r="AE264" i="14"/>
  <c r="AE265" i="14"/>
  <c r="AE266" i="14"/>
  <c r="AE267" i="14"/>
  <c r="AE268" i="14"/>
  <c r="AE269" i="14"/>
  <c r="AE270" i="14"/>
  <c r="AE271" i="14"/>
  <c r="AE272" i="14"/>
  <c r="AE273" i="14"/>
  <c r="AE274" i="14"/>
  <c r="AE275" i="14"/>
  <c r="AE276" i="14"/>
  <c r="AE277" i="14"/>
  <c r="AE278" i="14"/>
  <c r="AE279" i="14"/>
  <c r="AE280" i="14"/>
  <c r="AE281" i="14"/>
  <c r="AE282" i="14"/>
  <c r="AE283" i="14"/>
  <c r="AE284" i="14"/>
  <c r="AE285" i="14"/>
  <c r="AE286" i="14"/>
  <c r="AE287" i="14"/>
  <c r="AE288" i="14"/>
  <c r="AE289" i="14"/>
  <c r="AE290" i="14"/>
  <c r="AE291" i="14"/>
  <c r="AE292" i="14"/>
  <c r="AE293" i="14"/>
  <c r="AE294" i="14"/>
  <c r="AE295" i="14"/>
  <c r="AE296" i="14"/>
  <c r="AE297" i="14"/>
  <c r="AE298" i="14"/>
  <c r="AE299" i="14"/>
  <c r="AE300" i="14"/>
  <c r="AE301" i="14"/>
  <c r="AE302" i="14"/>
  <c r="AE303" i="14"/>
  <c r="AE304" i="14"/>
  <c r="AE305" i="14"/>
  <c r="AE306" i="14"/>
  <c r="AE307" i="14"/>
  <c r="AE308" i="14"/>
  <c r="AE309" i="14"/>
  <c r="AE310" i="14"/>
  <c r="AE311" i="14"/>
  <c r="AE312" i="14"/>
  <c r="AE313" i="14"/>
  <c r="AE314" i="14"/>
  <c r="AE315" i="14"/>
  <c r="AE316" i="14"/>
  <c r="AE317" i="14"/>
  <c r="AE318" i="14"/>
  <c r="AE319" i="14"/>
  <c r="AE320" i="14"/>
  <c r="AE321" i="14"/>
  <c r="AE322" i="14"/>
  <c r="AE323" i="14"/>
  <c r="AE324" i="14"/>
  <c r="AE325" i="14"/>
  <c r="AE326" i="14"/>
  <c r="AE327" i="14"/>
  <c r="AE328" i="14"/>
  <c r="AE329" i="14"/>
  <c r="AE330" i="14"/>
  <c r="AE331" i="14"/>
  <c r="AE332" i="14"/>
  <c r="AE333" i="14"/>
  <c r="AE334" i="14"/>
  <c r="AE335" i="14"/>
  <c r="AE336" i="14"/>
  <c r="AE337" i="14"/>
  <c r="AE338" i="14"/>
  <c r="AE339" i="14"/>
  <c r="AE340" i="14"/>
  <c r="AE341" i="14"/>
  <c r="AE342" i="14"/>
  <c r="AE343" i="14"/>
  <c r="AE344" i="14"/>
  <c r="AE345" i="14"/>
  <c r="AE346" i="14"/>
  <c r="AE347" i="14"/>
  <c r="AE348" i="14"/>
  <c r="AE349" i="14"/>
  <c r="AE350" i="14"/>
  <c r="AE351" i="14"/>
  <c r="AE352" i="14"/>
  <c r="AE353" i="14"/>
  <c r="AE354" i="14"/>
  <c r="AE355" i="14"/>
  <c r="AE356" i="14"/>
  <c r="AE357" i="14"/>
  <c r="AE358" i="14"/>
  <c r="AE359" i="14"/>
  <c r="AE360" i="14"/>
  <c r="AE361" i="14"/>
  <c r="AE362" i="14"/>
  <c r="AE363" i="14"/>
  <c r="AE364" i="14"/>
  <c r="AE365" i="14"/>
  <c r="AE366" i="14"/>
  <c r="AE367" i="14"/>
  <c r="AE368" i="14"/>
  <c r="AE369" i="14"/>
  <c r="AE370" i="14"/>
  <c r="AE371" i="14"/>
  <c r="AE372" i="14"/>
  <c r="AE373" i="14"/>
  <c r="AE374" i="14"/>
  <c r="AE375" i="14"/>
  <c r="AE376" i="14"/>
  <c r="AE377" i="14"/>
  <c r="AE378" i="14"/>
  <c r="AE379" i="14"/>
  <c r="AE380" i="14"/>
  <c r="AE381" i="14"/>
  <c r="AE382" i="14"/>
  <c r="AE383" i="14"/>
  <c r="AE384" i="14"/>
  <c r="AE385" i="14"/>
  <c r="AE386" i="14"/>
  <c r="AE387" i="14"/>
  <c r="AE388" i="14"/>
  <c r="AE389" i="14"/>
  <c r="AE390" i="14"/>
  <c r="AE391" i="14"/>
  <c r="AE392" i="14"/>
  <c r="AE393" i="14"/>
  <c r="AE394" i="14"/>
  <c r="AE395" i="14"/>
  <c r="AE396" i="14"/>
  <c r="AE397" i="14"/>
  <c r="AE398" i="14"/>
  <c r="AE399" i="14"/>
  <c r="AE400" i="14"/>
  <c r="AE401" i="14"/>
  <c r="AE402" i="14"/>
  <c r="AE403" i="14"/>
  <c r="AE404" i="14"/>
  <c r="AE405" i="14"/>
  <c r="AE406" i="14"/>
  <c r="AE407" i="14"/>
  <c r="AE408" i="14"/>
  <c r="AE409" i="14"/>
  <c r="AE410" i="14"/>
  <c r="AE411" i="14"/>
  <c r="AE412" i="14"/>
  <c r="AE413" i="14"/>
  <c r="AE414" i="14"/>
  <c r="AE415" i="14"/>
  <c r="AE416" i="14"/>
  <c r="AE417" i="14"/>
  <c r="AE418" i="14"/>
  <c r="AE419" i="14"/>
  <c r="AE420" i="14"/>
  <c r="AE421" i="14"/>
  <c r="AE422" i="14"/>
  <c r="AE423" i="14"/>
  <c r="AE424" i="14"/>
  <c r="AE425" i="14"/>
  <c r="AE426" i="14"/>
  <c r="AE427" i="14"/>
  <c r="AE428" i="14"/>
  <c r="AE429" i="14"/>
  <c r="AE430" i="14"/>
  <c r="AE431" i="14"/>
  <c r="AE432" i="14"/>
  <c r="AE433" i="14"/>
  <c r="AE434" i="14"/>
  <c r="AE435" i="14"/>
  <c r="AE436" i="14"/>
  <c r="AE437" i="14"/>
  <c r="AE438" i="14"/>
  <c r="AE439" i="14"/>
  <c r="AE440" i="14"/>
  <c r="AE441" i="14"/>
  <c r="AE442" i="14"/>
  <c r="AE443" i="14"/>
  <c r="AE444" i="14"/>
  <c r="AE445" i="14"/>
  <c r="AE446" i="14"/>
  <c r="AE447" i="14"/>
  <c r="AE448" i="14"/>
  <c r="AE449" i="14"/>
  <c r="AE450" i="14"/>
  <c r="AE451" i="14"/>
  <c r="AE452" i="14"/>
  <c r="AE453" i="14"/>
  <c r="AE454" i="14"/>
  <c r="AE455" i="14"/>
  <c r="AE456" i="14"/>
  <c r="AE457" i="14"/>
  <c r="AE458" i="14"/>
  <c r="AE459" i="14"/>
  <c r="AE460" i="14"/>
  <c r="AE461" i="14"/>
  <c r="AE462" i="14"/>
  <c r="AE463" i="14"/>
  <c r="AE464" i="14"/>
  <c r="AE465" i="14"/>
  <c r="AE466" i="14"/>
  <c r="AE467" i="14"/>
  <c r="AE468" i="14"/>
  <c r="AE469" i="14"/>
  <c r="AE470" i="14"/>
  <c r="AE471" i="14"/>
  <c r="AE472" i="14"/>
  <c r="AE473" i="14"/>
  <c r="AE474" i="14"/>
  <c r="AE475" i="14"/>
  <c r="AE476" i="14"/>
  <c r="AE477" i="14"/>
  <c r="AE478" i="14"/>
  <c r="AE479" i="14"/>
  <c r="AE480" i="14"/>
  <c r="K3" i="13"/>
  <c r="K2"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AD2" i="14"/>
  <c r="AD3" i="14"/>
  <c r="AD4" i="14"/>
  <c r="AD5" i="14"/>
  <c r="AD6" i="14"/>
  <c r="AD7" i="14"/>
  <c r="AD8" i="14"/>
  <c r="AD9" i="14"/>
  <c r="AD10" i="14"/>
  <c r="AD11" i="14"/>
  <c r="AD12" i="14"/>
  <c r="AD13" i="14"/>
  <c r="AD14" i="14"/>
  <c r="AD15" i="14"/>
  <c r="AD16" i="14"/>
  <c r="AD17" i="14"/>
  <c r="AD18" i="14"/>
  <c r="AD19" i="14"/>
  <c r="AD20" i="14"/>
  <c r="AD21" i="14"/>
  <c r="AD22" i="14"/>
  <c r="AD23" i="14"/>
  <c r="AD24" i="14"/>
  <c r="AD25" i="14"/>
  <c r="AD26" i="14"/>
  <c r="AD27" i="14"/>
  <c r="AD28" i="14"/>
  <c r="AD29" i="14"/>
  <c r="AD30" i="14"/>
  <c r="AD31" i="14"/>
  <c r="AD32" i="14"/>
  <c r="AD33" i="14"/>
  <c r="AD34" i="14"/>
  <c r="AD35" i="14"/>
  <c r="AD36" i="14"/>
  <c r="AD37" i="14"/>
  <c r="AD38" i="14"/>
  <c r="AD39" i="14"/>
  <c r="AD40" i="14"/>
  <c r="AD41" i="14"/>
  <c r="AD42" i="14"/>
  <c r="AD43" i="14"/>
  <c r="AD44" i="14"/>
  <c r="AD45" i="14"/>
  <c r="AD46" i="14"/>
  <c r="AD47" i="14"/>
  <c r="AD48" i="14"/>
  <c r="AD49" i="14"/>
  <c r="AD50" i="14"/>
  <c r="AD51" i="14"/>
  <c r="AD52" i="14"/>
  <c r="AD53" i="14"/>
  <c r="AD54" i="14"/>
  <c r="AD55" i="14"/>
  <c r="AD56" i="14"/>
  <c r="AD57" i="14"/>
  <c r="AD58" i="14"/>
  <c r="AD59" i="14"/>
  <c r="AD60" i="14"/>
  <c r="AD61" i="14"/>
  <c r="AD62" i="14"/>
  <c r="AD63" i="14"/>
  <c r="AD64" i="14"/>
  <c r="AD65" i="14"/>
  <c r="AD66" i="14"/>
  <c r="AD67" i="14"/>
  <c r="AD68" i="14"/>
  <c r="AD69" i="14"/>
  <c r="AD70" i="14"/>
  <c r="AD71" i="14"/>
  <c r="AD72" i="14"/>
  <c r="AD73" i="14"/>
  <c r="AD74" i="14"/>
  <c r="AD75" i="14"/>
  <c r="AD76" i="14"/>
  <c r="AD77" i="14"/>
  <c r="AD78" i="14"/>
  <c r="AD79" i="14"/>
  <c r="AD80" i="14"/>
  <c r="AD81" i="14"/>
  <c r="AD82" i="14"/>
  <c r="AD83" i="14"/>
  <c r="AD84" i="14"/>
  <c r="AD85" i="14"/>
  <c r="AD86" i="14"/>
  <c r="AD87" i="14"/>
  <c r="AD88" i="14"/>
  <c r="AD89" i="14"/>
  <c r="AD90" i="14"/>
  <c r="AD91" i="14"/>
  <c r="AD92" i="14"/>
  <c r="AD93" i="14"/>
  <c r="AD94" i="14"/>
  <c r="AD95" i="14"/>
  <c r="AD96" i="14"/>
  <c r="AD97" i="14"/>
  <c r="AD98" i="14"/>
  <c r="AD99" i="14"/>
  <c r="AD100" i="14"/>
  <c r="AD101" i="14"/>
  <c r="AD102" i="14"/>
  <c r="AD103" i="14"/>
  <c r="AD104" i="14"/>
  <c r="AD105" i="14"/>
  <c r="AD106" i="14"/>
  <c r="AD107" i="14"/>
  <c r="AD108" i="14"/>
  <c r="AD109" i="14"/>
  <c r="AD110" i="14"/>
  <c r="AD111" i="14"/>
  <c r="AD112" i="14"/>
  <c r="AD113" i="14"/>
  <c r="AD114" i="14"/>
  <c r="AD115" i="14"/>
  <c r="AD116" i="14"/>
  <c r="AD117" i="14"/>
  <c r="AD118" i="14"/>
  <c r="AD119" i="14"/>
  <c r="AD120" i="14"/>
  <c r="AD121" i="14"/>
  <c r="AD122" i="14"/>
  <c r="AD123" i="14"/>
  <c r="AD124" i="14"/>
  <c r="AD125" i="14"/>
  <c r="AD126" i="14"/>
  <c r="AD127" i="14"/>
  <c r="AD128" i="14"/>
  <c r="AD129" i="14"/>
  <c r="AD130" i="14"/>
  <c r="AD131" i="14"/>
  <c r="AD132" i="14"/>
  <c r="AD133" i="14"/>
  <c r="AD134" i="14"/>
  <c r="AD135" i="14"/>
  <c r="V135" i="14" s="1"/>
  <c r="AD136" i="14"/>
  <c r="V136" i="14" s="1"/>
  <c r="AD137" i="14"/>
  <c r="AD138" i="14"/>
  <c r="AD139" i="14"/>
  <c r="AD140" i="14"/>
  <c r="AD141" i="14"/>
  <c r="AD142" i="14"/>
  <c r="AD143" i="14"/>
  <c r="V143" i="14" s="1"/>
  <c r="AD144" i="14"/>
  <c r="V144" i="14" s="1"/>
  <c r="AD145" i="14"/>
  <c r="AD146" i="14"/>
  <c r="AD147" i="14"/>
  <c r="AD148" i="14"/>
  <c r="AD149" i="14"/>
  <c r="AD150" i="14"/>
  <c r="V150" i="14" s="1"/>
  <c r="AD151" i="14"/>
  <c r="V151" i="14" s="1"/>
  <c r="AD152" i="14"/>
  <c r="V152" i="14" s="1"/>
  <c r="AD153" i="14"/>
  <c r="V153" i="14" s="1"/>
  <c r="AD154" i="14"/>
  <c r="V154" i="14" s="1"/>
  <c r="AD155" i="14"/>
  <c r="V155" i="14" s="1"/>
  <c r="AD156" i="14"/>
  <c r="AD157" i="14"/>
  <c r="AD158" i="14"/>
  <c r="V158" i="14" s="1"/>
  <c r="AD159" i="14"/>
  <c r="V159" i="14" s="1"/>
  <c r="AD160" i="14"/>
  <c r="V160" i="14" s="1"/>
  <c r="AD161" i="14"/>
  <c r="V161" i="14" s="1"/>
  <c r="AD162" i="14"/>
  <c r="V162" i="14" s="1"/>
  <c r="AD163" i="14"/>
  <c r="V163" i="14" s="1"/>
  <c r="AD164" i="14"/>
  <c r="AD165" i="14"/>
  <c r="AD166" i="14"/>
  <c r="V166" i="14" s="1"/>
  <c r="AD167" i="14"/>
  <c r="V167" i="14" s="1"/>
  <c r="AD168" i="14"/>
  <c r="V168" i="14" s="1"/>
  <c r="AD169" i="14"/>
  <c r="V169" i="14" s="1"/>
  <c r="AD170" i="14"/>
  <c r="V170" i="14" s="1"/>
  <c r="AD171" i="14"/>
  <c r="V171" i="14" s="1"/>
  <c r="AD172" i="14"/>
  <c r="AD173" i="14"/>
  <c r="AD174" i="14"/>
  <c r="V174" i="14" s="1"/>
  <c r="AD175" i="14"/>
  <c r="V175" i="14" s="1"/>
  <c r="AD176" i="14"/>
  <c r="V176" i="14" s="1"/>
  <c r="AD177" i="14"/>
  <c r="V177" i="14" s="1"/>
  <c r="AD178" i="14"/>
  <c r="V178" i="14" s="1"/>
  <c r="AD179" i="14"/>
  <c r="V179" i="14" s="1"/>
  <c r="AD180" i="14"/>
  <c r="AD181" i="14"/>
  <c r="AD182" i="14"/>
  <c r="V182" i="14" s="1"/>
  <c r="AD183" i="14"/>
  <c r="V183" i="14" s="1"/>
  <c r="AD184" i="14"/>
  <c r="V184" i="14" s="1"/>
  <c r="AD185" i="14"/>
  <c r="V185" i="14" s="1"/>
  <c r="AD186" i="14"/>
  <c r="V186" i="14" s="1"/>
  <c r="AD187" i="14"/>
  <c r="V187" i="14" s="1"/>
  <c r="AD188" i="14"/>
  <c r="AD189" i="14"/>
  <c r="AD190" i="14"/>
  <c r="V190" i="14" s="1"/>
  <c r="AD191" i="14"/>
  <c r="V191" i="14" s="1"/>
  <c r="AD192" i="14"/>
  <c r="V192" i="14" s="1"/>
  <c r="AD193" i="14"/>
  <c r="V193" i="14" s="1"/>
  <c r="AD194" i="14"/>
  <c r="V194" i="14" s="1"/>
  <c r="AD195" i="14"/>
  <c r="V195" i="14" s="1"/>
  <c r="AD196" i="14"/>
  <c r="AD197" i="14"/>
  <c r="AD198" i="14"/>
  <c r="V198" i="14" s="1"/>
  <c r="AD199" i="14"/>
  <c r="V199" i="14" s="1"/>
  <c r="AD200" i="14"/>
  <c r="V200" i="14" s="1"/>
  <c r="AD201" i="14"/>
  <c r="V201" i="14" s="1"/>
  <c r="AD202" i="14"/>
  <c r="V202" i="14" s="1"/>
  <c r="AD203" i="14"/>
  <c r="V203" i="14" s="1"/>
  <c r="AD204" i="14"/>
  <c r="AD205" i="14"/>
  <c r="AD206" i="14"/>
  <c r="V206" i="14" s="1"/>
  <c r="AD207" i="14"/>
  <c r="V207" i="14" s="1"/>
  <c r="AD208" i="14"/>
  <c r="V208" i="14" s="1"/>
  <c r="AD209" i="14"/>
  <c r="V209" i="14" s="1"/>
  <c r="AD210" i="14"/>
  <c r="V210" i="14" s="1"/>
  <c r="AD211" i="14"/>
  <c r="V211" i="14" s="1"/>
  <c r="AD212" i="14"/>
  <c r="AD213" i="14"/>
  <c r="AD214" i="14"/>
  <c r="V214" i="14" s="1"/>
  <c r="AD215" i="14"/>
  <c r="V215" i="14" s="1"/>
  <c r="AD216" i="14"/>
  <c r="V216" i="14" s="1"/>
  <c r="AD217" i="14"/>
  <c r="V217" i="14" s="1"/>
  <c r="AD218" i="14"/>
  <c r="V218" i="14" s="1"/>
  <c r="AD219" i="14"/>
  <c r="V219" i="14" s="1"/>
  <c r="AD220" i="14"/>
  <c r="AD221" i="14"/>
  <c r="AD222" i="14"/>
  <c r="V222" i="14" s="1"/>
  <c r="AD223" i="14"/>
  <c r="V223" i="14" s="1"/>
  <c r="AD224" i="14"/>
  <c r="V224" i="14" s="1"/>
  <c r="AD225" i="14"/>
  <c r="V225" i="14" s="1"/>
  <c r="AD226" i="14"/>
  <c r="V226" i="14" s="1"/>
  <c r="AD227" i="14"/>
  <c r="V227" i="14" s="1"/>
  <c r="AD228" i="14"/>
  <c r="AD229" i="14"/>
  <c r="AD230" i="14"/>
  <c r="V230" i="14" s="1"/>
  <c r="AD231" i="14"/>
  <c r="V231" i="14" s="1"/>
  <c r="AD232" i="14"/>
  <c r="V232" i="14" s="1"/>
  <c r="AD233" i="14"/>
  <c r="V233" i="14" s="1"/>
  <c r="AD234" i="14"/>
  <c r="V234" i="14" s="1"/>
  <c r="AD235" i="14"/>
  <c r="V235" i="14" s="1"/>
  <c r="AD236" i="14"/>
  <c r="AD237" i="14"/>
  <c r="AD238" i="14"/>
  <c r="V238" i="14" s="1"/>
  <c r="AD239" i="14"/>
  <c r="V239" i="14" s="1"/>
  <c r="AD240" i="14"/>
  <c r="V240" i="14" s="1"/>
  <c r="AD241" i="14"/>
  <c r="V241" i="14" s="1"/>
  <c r="AD242" i="14"/>
  <c r="V242" i="14" s="1"/>
  <c r="AD243" i="14"/>
  <c r="V243" i="14" s="1"/>
  <c r="AD244" i="14"/>
  <c r="AD245" i="14"/>
  <c r="AD246" i="14"/>
  <c r="V246" i="14" s="1"/>
  <c r="AD247" i="14"/>
  <c r="V247" i="14" s="1"/>
  <c r="AD248" i="14"/>
  <c r="V248" i="14" s="1"/>
  <c r="AD249" i="14"/>
  <c r="V249" i="14" s="1"/>
  <c r="AD250" i="14"/>
  <c r="V250" i="14" s="1"/>
  <c r="AD251" i="14"/>
  <c r="V251" i="14" s="1"/>
  <c r="AD252" i="14"/>
  <c r="AD253" i="14"/>
  <c r="AD254" i="14"/>
  <c r="V254" i="14" s="1"/>
  <c r="AD255" i="14"/>
  <c r="V255" i="14" s="1"/>
  <c r="AD256" i="14"/>
  <c r="V256" i="14" s="1"/>
  <c r="AD257" i="14"/>
  <c r="V257" i="14" s="1"/>
  <c r="AD258" i="14"/>
  <c r="V258" i="14" s="1"/>
  <c r="AD259" i="14"/>
  <c r="V259" i="14" s="1"/>
  <c r="AD260" i="14"/>
  <c r="AD261" i="14"/>
  <c r="AD262" i="14"/>
  <c r="V262" i="14" s="1"/>
  <c r="AD263" i="14"/>
  <c r="V263" i="14" s="1"/>
  <c r="AD264" i="14"/>
  <c r="V264" i="14" s="1"/>
  <c r="AD265" i="14"/>
  <c r="V265" i="14" s="1"/>
  <c r="AD266" i="14"/>
  <c r="V266" i="14" s="1"/>
  <c r="AD267" i="14"/>
  <c r="V267" i="14" s="1"/>
  <c r="AD268" i="14"/>
  <c r="AD269" i="14"/>
  <c r="AD270" i="14"/>
  <c r="V270" i="14" s="1"/>
  <c r="AD271" i="14"/>
  <c r="V271" i="14" s="1"/>
  <c r="AD272" i="14"/>
  <c r="V272" i="14" s="1"/>
  <c r="AD273" i="14"/>
  <c r="V273" i="14" s="1"/>
  <c r="AD274" i="14"/>
  <c r="V274" i="14" s="1"/>
  <c r="AD275" i="14"/>
  <c r="V275" i="14" s="1"/>
  <c r="AD276" i="14"/>
  <c r="AD277" i="14"/>
  <c r="AD278" i="14"/>
  <c r="V278" i="14" s="1"/>
  <c r="AD279" i="14"/>
  <c r="V279" i="14" s="1"/>
  <c r="AD280" i="14"/>
  <c r="V280" i="14" s="1"/>
  <c r="AD281" i="14"/>
  <c r="V281" i="14" s="1"/>
  <c r="AD282" i="14"/>
  <c r="V282" i="14" s="1"/>
  <c r="AD283" i="14"/>
  <c r="V283" i="14" s="1"/>
  <c r="AD284" i="14"/>
  <c r="AD285" i="14"/>
  <c r="AD286" i="14"/>
  <c r="V286" i="14" s="1"/>
  <c r="AD287" i="14"/>
  <c r="V287" i="14" s="1"/>
  <c r="AD288" i="14"/>
  <c r="V288" i="14" s="1"/>
  <c r="AD289" i="14"/>
  <c r="V289" i="14" s="1"/>
  <c r="AD290" i="14"/>
  <c r="V290" i="14" s="1"/>
  <c r="AD291" i="14"/>
  <c r="V291" i="14" s="1"/>
  <c r="AD292" i="14"/>
  <c r="AD293" i="14"/>
  <c r="AD294" i="14"/>
  <c r="V294" i="14" s="1"/>
  <c r="AD295" i="14"/>
  <c r="V295" i="14" s="1"/>
  <c r="AD296" i="14"/>
  <c r="V296" i="14" s="1"/>
  <c r="AD297" i="14"/>
  <c r="V297" i="14" s="1"/>
  <c r="AD298" i="14"/>
  <c r="V298" i="14" s="1"/>
  <c r="AD299" i="14"/>
  <c r="V299" i="14" s="1"/>
  <c r="AD300" i="14"/>
  <c r="AD301" i="14"/>
  <c r="AD302" i="14"/>
  <c r="V302" i="14" s="1"/>
  <c r="AD303" i="14"/>
  <c r="V303" i="14" s="1"/>
  <c r="AD304" i="14"/>
  <c r="V304" i="14" s="1"/>
  <c r="AD305" i="14"/>
  <c r="V305" i="14" s="1"/>
  <c r="AD306" i="14"/>
  <c r="V306" i="14" s="1"/>
  <c r="AD307" i="14"/>
  <c r="V307" i="14" s="1"/>
  <c r="AD308" i="14"/>
  <c r="AD309" i="14"/>
  <c r="AD310" i="14"/>
  <c r="V310" i="14" s="1"/>
  <c r="AD311" i="14"/>
  <c r="V311" i="14" s="1"/>
  <c r="AD312" i="14"/>
  <c r="V312" i="14" s="1"/>
  <c r="AD313" i="14"/>
  <c r="V313" i="14" s="1"/>
  <c r="AD314" i="14"/>
  <c r="V314" i="14" s="1"/>
  <c r="AD315" i="14"/>
  <c r="V315" i="14" s="1"/>
  <c r="AD316" i="14"/>
  <c r="AD317" i="14"/>
  <c r="AD318" i="14"/>
  <c r="V318" i="14" s="1"/>
  <c r="AD319" i="14"/>
  <c r="V319" i="14" s="1"/>
  <c r="AD320" i="14"/>
  <c r="V320" i="14" s="1"/>
  <c r="AD321" i="14"/>
  <c r="V321" i="14" s="1"/>
  <c r="AD322" i="14"/>
  <c r="V322" i="14" s="1"/>
  <c r="AD323" i="14"/>
  <c r="V323" i="14" s="1"/>
  <c r="AD324" i="14"/>
  <c r="AD325" i="14"/>
  <c r="AD326" i="14"/>
  <c r="V326" i="14" s="1"/>
  <c r="AD327" i="14"/>
  <c r="V327" i="14" s="1"/>
  <c r="AD328" i="14"/>
  <c r="V328" i="14" s="1"/>
  <c r="AD329" i="14"/>
  <c r="V329" i="14" s="1"/>
  <c r="AD330" i="14"/>
  <c r="V330" i="14" s="1"/>
  <c r="AD331" i="14"/>
  <c r="V331" i="14" s="1"/>
  <c r="AD332" i="14"/>
  <c r="AD333" i="14"/>
  <c r="AD334" i="14"/>
  <c r="V334" i="14" s="1"/>
  <c r="AD335" i="14"/>
  <c r="V335" i="14" s="1"/>
  <c r="AD336" i="14"/>
  <c r="V336" i="14" s="1"/>
  <c r="AD337" i="14"/>
  <c r="V337" i="14" s="1"/>
  <c r="AD338" i="14"/>
  <c r="V338" i="14" s="1"/>
  <c r="AD339" i="14"/>
  <c r="V339" i="14" s="1"/>
  <c r="AD340" i="14"/>
  <c r="AD341" i="14"/>
  <c r="AD342" i="14"/>
  <c r="V342" i="14" s="1"/>
  <c r="AD343" i="14"/>
  <c r="V343" i="14" s="1"/>
  <c r="AD344" i="14"/>
  <c r="V344" i="14" s="1"/>
  <c r="AD345" i="14"/>
  <c r="V345" i="14" s="1"/>
  <c r="AD346" i="14"/>
  <c r="V346" i="14" s="1"/>
  <c r="AD347" i="14"/>
  <c r="V347" i="14" s="1"/>
  <c r="AD348" i="14"/>
  <c r="AD349" i="14"/>
  <c r="AD350" i="14"/>
  <c r="V350" i="14" s="1"/>
  <c r="AD351" i="14"/>
  <c r="V351" i="14" s="1"/>
  <c r="AD352" i="14"/>
  <c r="V352" i="14" s="1"/>
  <c r="AD353" i="14"/>
  <c r="V353" i="14" s="1"/>
  <c r="AD354" i="14"/>
  <c r="V354" i="14" s="1"/>
  <c r="AD355" i="14"/>
  <c r="V355" i="14" s="1"/>
  <c r="AD356" i="14"/>
  <c r="AD357" i="14"/>
  <c r="AD358" i="14"/>
  <c r="V358" i="14" s="1"/>
  <c r="AD359" i="14"/>
  <c r="V359" i="14" s="1"/>
  <c r="AD360" i="14"/>
  <c r="V360" i="14" s="1"/>
  <c r="AD361" i="14"/>
  <c r="V361" i="14" s="1"/>
  <c r="AD362" i="14"/>
  <c r="V362" i="14" s="1"/>
  <c r="AD363" i="14"/>
  <c r="V363" i="14" s="1"/>
  <c r="AD364" i="14"/>
  <c r="AD365" i="14"/>
  <c r="AD366" i="14"/>
  <c r="V366" i="14" s="1"/>
  <c r="AD367" i="14"/>
  <c r="V367" i="14" s="1"/>
  <c r="AD368" i="14"/>
  <c r="V368" i="14" s="1"/>
  <c r="AD369" i="14"/>
  <c r="V369" i="14" s="1"/>
  <c r="AD370" i="14"/>
  <c r="V370" i="14" s="1"/>
  <c r="AD371" i="14"/>
  <c r="V371" i="14" s="1"/>
  <c r="AD372" i="14"/>
  <c r="AD373" i="14"/>
  <c r="AD374" i="14"/>
  <c r="V374" i="14" s="1"/>
  <c r="AD375" i="14"/>
  <c r="V375" i="14" s="1"/>
  <c r="AD376" i="14"/>
  <c r="V376" i="14" s="1"/>
  <c r="AD377" i="14"/>
  <c r="V377" i="14" s="1"/>
  <c r="AD378" i="14"/>
  <c r="V378" i="14" s="1"/>
  <c r="AD379" i="14"/>
  <c r="V379" i="14" s="1"/>
  <c r="AD380" i="14"/>
  <c r="AD381" i="14"/>
  <c r="AD382" i="14"/>
  <c r="V382" i="14" s="1"/>
  <c r="AD383" i="14"/>
  <c r="V383" i="14" s="1"/>
  <c r="AD384" i="14"/>
  <c r="V384" i="14" s="1"/>
  <c r="AD385" i="14"/>
  <c r="V385" i="14" s="1"/>
  <c r="AD386" i="14"/>
  <c r="V386" i="14" s="1"/>
  <c r="AD387" i="14"/>
  <c r="V387" i="14" s="1"/>
  <c r="AD388" i="14"/>
  <c r="AD389" i="14"/>
  <c r="AD390" i="14"/>
  <c r="V390" i="14" s="1"/>
  <c r="AD391" i="14"/>
  <c r="V391" i="14" s="1"/>
  <c r="AD392" i="14"/>
  <c r="V392" i="14" s="1"/>
  <c r="AD393" i="14"/>
  <c r="V393" i="14" s="1"/>
  <c r="AD394" i="14"/>
  <c r="V394" i="14" s="1"/>
  <c r="AD395" i="14"/>
  <c r="V395" i="14" s="1"/>
  <c r="AD396" i="14"/>
  <c r="AD397" i="14"/>
  <c r="AD398" i="14"/>
  <c r="V398" i="14" s="1"/>
  <c r="AD399" i="14"/>
  <c r="V399" i="14" s="1"/>
  <c r="AD400" i="14"/>
  <c r="V400" i="14" s="1"/>
  <c r="AD401" i="14"/>
  <c r="V401" i="14" s="1"/>
  <c r="AD402" i="14"/>
  <c r="V402" i="14" s="1"/>
  <c r="AD403" i="14"/>
  <c r="V403" i="14" s="1"/>
  <c r="AD404" i="14"/>
  <c r="AD405" i="14"/>
  <c r="AD406" i="14"/>
  <c r="V406" i="14" s="1"/>
  <c r="AD407" i="14"/>
  <c r="V407" i="14" s="1"/>
  <c r="AD408" i="14"/>
  <c r="V408" i="14" s="1"/>
  <c r="AD409" i="14"/>
  <c r="V409" i="14" s="1"/>
  <c r="AD410" i="14"/>
  <c r="V410" i="14" s="1"/>
  <c r="AD411" i="14"/>
  <c r="V411" i="14" s="1"/>
  <c r="AD412" i="14"/>
  <c r="AD413" i="14"/>
  <c r="AD414" i="14"/>
  <c r="V414" i="14" s="1"/>
  <c r="AD415" i="14"/>
  <c r="V415" i="14" s="1"/>
  <c r="AD416" i="14"/>
  <c r="V416" i="14" s="1"/>
  <c r="AD417" i="14"/>
  <c r="V417" i="14" s="1"/>
  <c r="AD418" i="14"/>
  <c r="V418" i="14" s="1"/>
  <c r="AD419" i="14"/>
  <c r="V419" i="14" s="1"/>
  <c r="AD420" i="14"/>
  <c r="AD421" i="14"/>
  <c r="AD422" i="14"/>
  <c r="V422" i="14" s="1"/>
  <c r="AD423" i="14"/>
  <c r="V423" i="14" s="1"/>
  <c r="AD424" i="14"/>
  <c r="V424" i="14" s="1"/>
  <c r="AD425" i="14"/>
  <c r="V425" i="14" s="1"/>
  <c r="AD426" i="14"/>
  <c r="V426" i="14" s="1"/>
  <c r="AD427" i="14"/>
  <c r="V427" i="14" s="1"/>
  <c r="AD428" i="14"/>
  <c r="AD429" i="14"/>
  <c r="AD430" i="14"/>
  <c r="V430" i="14" s="1"/>
  <c r="AD431" i="14"/>
  <c r="V431" i="14" s="1"/>
  <c r="AD432" i="14"/>
  <c r="V432" i="14" s="1"/>
  <c r="AD433" i="14"/>
  <c r="V433" i="14" s="1"/>
  <c r="AD434" i="14"/>
  <c r="V434" i="14" s="1"/>
  <c r="AD435" i="14"/>
  <c r="V435" i="14" s="1"/>
  <c r="AD436" i="14"/>
  <c r="AD437" i="14"/>
  <c r="AD438" i="14"/>
  <c r="V438" i="14" s="1"/>
  <c r="AD439" i="14"/>
  <c r="V439" i="14" s="1"/>
  <c r="AD440" i="14"/>
  <c r="V440" i="14" s="1"/>
  <c r="AD441" i="14"/>
  <c r="V441" i="14" s="1"/>
  <c r="AD442" i="14"/>
  <c r="V442" i="14" s="1"/>
  <c r="AD443" i="14"/>
  <c r="V443" i="14" s="1"/>
  <c r="AD444" i="14"/>
  <c r="AD445" i="14"/>
  <c r="AD446" i="14"/>
  <c r="V446" i="14" s="1"/>
  <c r="AD447" i="14"/>
  <c r="V447" i="14" s="1"/>
  <c r="AD448" i="14"/>
  <c r="V448" i="14" s="1"/>
  <c r="AD449" i="14"/>
  <c r="V449" i="14" s="1"/>
  <c r="AD450" i="14"/>
  <c r="V450" i="14" s="1"/>
  <c r="AD451" i="14"/>
  <c r="V451" i="14" s="1"/>
  <c r="AD452" i="14"/>
  <c r="AD453" i="14"/>
  <c r="AD454" i="14"/>
  <c r="V454" i="14" s="1"/>
  <c r="AD455" i="14"/>
  <c r="V455" i="14" s="1"/>
  <c r="AD456" i="14"/>
  <c r="V456" i="14" s="1"/>
  <c r="AD457" i="14"/>
  <c r="V457" i="14" s="1"/>
  <c r="AD458" i="14"/>
  <c r="V458" i="14" s="1"/>
  <c r="AD459" i="14"/>
  <c r="V459" i="14" s="1"/>
  <c r="AD460" i="14"/>
  <c r="AD461" i="14"/>
  <c r="AD462" i="14"/>
  <c r="V462" i="14" s="1"/>
  <c r="AD463" i="14"/>
  <c r="V463" i="14" s="1"/>
  <c r="AD464" i="14"/>
  <c r="V464" i="14" s="1"/>
  <c r="AD465" i="14"/>
  <c r="V465" i="14" s="1"/>
  <c r="AD466" i="14"/>
  <c r="V466" i="14" s="1"/>
  <c r="AD467" i="14"/>
  <c r="V467" i="14" s="1"/>
  <c r="AD468" i="14"/>
  <c r="AD469" i="14"/>
  <c r="AD470" i="14"/>
  <c r="V470" i="14" s="1"/>
  <c r="AD471" i="14"/>
  <c r="V471" i="14" s="1"/>
  <c r="AD472" i="14"/>
  <c r="V472" i="14" s="1"/>
  <c r="AD473" i="14"/>
  <c r="V473" i="14" s="1"/>
  <c r="AD474" i="14"/>
  <c r="V474" i="14" s="1"/>
  <c r="AD475" i="14"/>
  <c r="V475" i="14" s="1"/>
  <c r="AD476" i="14"/>
  <c r="AD477" i="14"/>
  <c r="AD478" i="14"/>
  <c r="V478" i="14" s="1"/>
  <c r="AD479" i="14"/>
  <c r="V479" i="14" s="1"/>
  <c r="AD480" i="14"/>
  <c r="V480" i="14" s="1"/>
  <c r="Q2" i="14"/>
  <c r="R2" i="14"/>
  <c r="S2" i="14"/>
  <c r="T2" i="14"/>
  <c r="U2" i="14"/>
  <c r="Q3" i="14"/>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1" i="14"/>
  <c r="Q122" i="14"/>
  <c r="Q123" i="14"/>
  <c r="Q124" i="14"/>
  <c r="Q125" i="14"/>
  <c r="Q126" i="14"/>
  <c r="Q127" i="14"/>
  <c r="Q128" i="14"/>
  <c r="Q129" i="14"/>
  <c r="Q130" i="14"/>
  <c r="Q131" i="14"/>
  <c r="Q132" i="14"/>
  <c r="Q133" i="14"/>
  <c r="Q134" i="14"/>
  <c r="Q135" i="14"/>
  <c r="Q136" i="14"/>
  <c r="Q137" i="14"/>
  <c r="Q138" i="14"/>
  <c r="Q139" i="14"/>
  <c r="Q140" i="14"/>
  <c r="Q141" i="14"/>
  <c r="Q142" i="14"/>
  <c r="Q143" i="14"/>
  <c r="Q144" i="14"/>
  <c r="Q145" i="14"/>
  <c r="Q146" i="14"/>
  <c r="Q147" i="14"/>
  <c r="Q148" i="14"/>
  <c r="Q149" i="14"/>
  <c r="Q150" i="14"/>
  <c r="Q151" i="14"/>
  <c r="Q152" i="14"/>
  <c r="Q153" i="14"/>
  <c r="Q154" i="14"/>
  <c r="Q155" i="14"/>
  <c r="Q156" i="14"/>
  <c r="Q157" i="14"/>
  <c r="Q158" i="14"/>
  <c r="Q159" i="14"/>
  <c r="Q160" i="14"/>
  <c r="Q161" i="14"/>
  <c r="Q162" i="14"/>
  <c r="Q163" i="14"/>
  <c r="Q164" i="14"/>
  <c r="Q165"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Q241" i="14"/>
  <c r="Q242" i="14"/>
  <c r="Q243" i="14"/>
  <c r="Q244" i="14"/>
  <c r="Q245" i="14"/>
  <c r="Q246" i="14"/>
  <c r="Q247" i="14"/>
  <c r="Q248" i="14"/>
  <c r="Q249" i="14"/>
  <c r="Q250" i="14"/>
  <c r="Q251" i="14"/>
  <c r="Q252" i="14"/>
  <c r="Q253" i="14"/>
  <c r="Q254" i="14"/>
  <c r="Q255" i="14"/>
  <c r="Q256" i="14"/>
  <c r="Q257" i="14"/>
  <c r="Q258" i="14"/>
  <c r="Q259" i="14"/>
  <c r="Q260" i="14"/>
  <c r="Q261" i="14"/>
  <c r="Q262" i="14"/>
  <c r="Q263" i="14"/>
  <c r="Q264" i="14"/>
  <c r="Q265" i="14"/>
  <c r="Q266" i="14"/>
  <c r="Q267" i="14"/>
  <c r="Q268" i="14"/>
  <c r="Q269" i="14"/>
  <c r="Q270" i="14"/>
  <c r="Q271" i="14"/>
  <c r="Q272" i="14"/>
  <c r="Q273" i="14"/>
  <c r="Q274" i="14"/>
  <c r="Q275" i="14"/>
  <c r="Q276" i="14"/>
  <c r="Q277" i="14"/>
  <c r="Q278" i="14"/>
  <c r="Q279" i="14"/>
  <c r="Q280" i="14"/>
  <c r="Q281" i="14"/>
  <c r="Q282" i="14"/>
  <c r="Q283" i="14"/>
  <c r="Q284" i="14"/>
  <c r="Q285" i="14"/>
  <c r="Q286" i="14"/>
  <c r="Q287" i="14"/>
  <c r="Q288" i="14"/>
  <c r="Q289" i="14"/>
  <c r="Q290" i="14"/>
  <c r="Q291" i="14"/>
  <c r="Q292" i="14"/>
  <c r="Q293" i="14"/>
  <c r="Q294" i="14"/>
  <c r="Q295" i="14"/>
  <c r="Q296" i="14"/>
  <c r="Q297" i="14"/>
  <c r="Q298" i="14"/>
  <c r="Q299" i="14"/>
  <c r="Q300" i="14"/>
  <c r="Q301" i="14"/>
  <c r="Q302" i="14"/>
  <c r="Q303" i="14"/>
  <c r="Q304" i="14"/>
  <c r="Q305" i="14"/>
  <c r="Q306" i="14"/>
  <c r="Q307" i="14"/>
  <c r="Q308" i="14"/>
  <c r="Q309" i="14"/>
  <c r="Q310" i="14"/>
  <c r="Q311" i="14"/>
  <c r="Q312" i="14"/>
  <c r="Q313" i="14"/>
  <c r="Q314" i="14"/>
  <c r="Q315" i="14"/>
  <c r="Q316" i="14"/>
  <c r="Q317" i="14"/>
  <c r="Q318" i="14"/>
  <c r="Q319" i="14"/>
  <c r="Q320" i="14"/>
  <c r="Q321" i="14"/>
  <c r="Q322" i="14"/>
  <c r="Q323" i="14"/>
  <c r="Q324" i="14"/>
  <c r="Q325" i="14"/>
  <c r="Q326" i="14"/>
  <c r="Q327" i="14"/>
  <c r="Q328" i="14"/>
  <c r="Q329" i="14"/>
  <c r="Q330" i="14"/>
  <c r="Q331" i="14"/>
  <c r="Q332" i="14"/>
  <c r="Q333" i="14"/>
  <c r="Q334" i="14"/>
  <c r="Q335" i="14"/>
  <c r="Q336" i="14"/>
  <c r="Q337" i="14"/>
  <c r="Q338" i="14"/>
  <c r="Q339" i="14"/>
  <c r="Q340" i="14"/>
  <c r="Q341" i="14"/>
  <c r="Q342" i="14"/>
  <c r="Q343" i="14"/>
  <c r="Q344" i="14"/>
  <c r="Q345" i="14"/>
  <c r="Q346" i="14"/>
  <c r="Q347" i="14"/>
  <c r="Q348" i="14"/>
  <c r="Q349" i="14"/>
  <c r="Q350" i="14"/>
  <c r="Q351" i="14"/>
  <c r="Q352" i="14"/>
  <c r="Q353" i="14"/>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382" i="14"/>
  <c r="Q383" i="14"/>
  <c r="Q384" i="14"/>
  <c r="Q385" i="14"/>
  <c r="Q386" i="14"/>
  <c r="Q387" i="14"/>
  <c r="Q388" i="14"/>
  <c r="Q389" i="14"/>
  <c r="Q390" i="14"/>
  <c r="Q391" i="14"/>
  <c r="Q392" i="14"/>
  <c r="Q393" i="14"/>
  <c r="Q394" i="14"/>
  <c r="Q395" i="14"/>
  <c r="Q396" i="14"/>
  <c r="Q397" i="14"/>
  <c r="Q398" i="14"/>
  <c r="Q399" i="14"/>
  <c r="Q400" i="14"/>
  <c r="Q401" i="14"/>
  <c r="Q402" i="14"/>
  <c r="Q403" i="14"/>
  <c r="Q404" i="14"/>
  <c r="Q405" i="14"/>
  <c r="Q406" i="14"/>
  <c r="Q407" i="14"/>
  <c r="Q408" i="14"/>
  <c r="Q409" i="14"/>
  <c r="Q410" i="14"/>
  <c r="Q411" i="14"/>
  <c r="Q412" i="14"/>
  <c r="Q413" i="14"/>
  <c r="Q414" i="14"/>
  <c r="Q415" i="14"/>
  <c r="Q416" i="14"/>
  <c r="Q417" i="14"/>
  <c r="Q418" i="14"/>
  <c r="Q419" i="14"/>
  <c r="Q420" i="14"/>
  <c r="Q421" i="14"/>
  <c r="Q422" i="14"/>
  <c r="Q423" i="14"/>
  <c r="Q424" i="14"/>
  <c r="Q425" i="14"/>
  <c r="Q426" i="14"/>
  <c r="Q427" i="14"/>
  <c r="Q428" i="14"/>
  <c r="Q429" i="14"/>
  <c r="Q430" i="14"/>
  <c r="Q431" i="14"/>
  <c r="Q432" i="14"/>
  <c r="Q433" i="14"/>
  <c r="Q434" i="14"/>
  <c r="Q435" i="14"/>
  <c r="Q436" i="14"/>
  <c r="Q437" i="14"/>
  <c r="Q438" i="14"/>
  <c r="Q439" i="14"/>
  <c r="Q440" i="14"/>
  <c r="Q441" i="14"/>
  <c r="Q442" i="14"/>
  <c r="Q443" i="14"/>
  <c r="Q444" i="14"/>
  <c r="Q445" i="14"/>
  <c r="Q446" i="14"/>
  <c r="Q447" i="14"/>
  <c r="Q448" i="14"/>
  <c r="Q449" i="14"/>
  <c r="Q450" i="14"/>
  <c r="Q451" i="14"/>
  <c r="Q452" i="14"/>
  <c r="Q453" i="14"/>
  <c r="Q454" i="14"/>
  <c r="Q455" i="14"/>
  <c r="Q456" i="14"/>
  <c r="Q457" i="14"/>
  <c r="Q458" i="14"/>
  <c r="Q459" i="14"/>
  <c r="Q460" i="14"/>
  <c r="Q461" i="14"/>
  <c r="Q462" i="14"/>
  <c r="Q463" i="14"/>
  <c r="Q464" i="14"/>
  <c r="Q465" i="14"/>
  <c r="Q466" i="14"/>
  <c r="Q467" i="14"/>
  <c r="Q468" i="14"/>
  <c r="Q469" i="14"/>
  <c r="Q470" i="14"/>
  <c r="Q471" i="14"/>
  <c r="Q472" i="14"/>
  <c r="Q473" i="14"/>
  <c r="Q474" i="14"/>
  <c r="Q475" i="14"/>
  <c r="Q476" i="14"/>
  <c r="Q477" i="14"/>
  <c r="Q478" i="14"/>
  <c r="Q479" i="14"/>
  <c r="Q480" i="14"/>
  <c r="U3" i="14"/>
  <c r="U4" i="14"/>
  <c r="U5" i="14"/>
  <c r="U6" i="14"/>
  <c r="U7" i="14"/>
  <c r="U8" i="14"/>
  <c r="U9" i="14"/>
  <c r="U10" i="14"/>
  <c r="U11" i="14"/>
  <c r="U12" i="14"/>
  <c r="U13" i="14"/>
  <c r="U14" i="14"/>
  <c r="U15" i="14"/>
  <c r="U16" i="14"/>
  <c r="U17" i="14"/>
  <c r="U18" i="14"/>
  <c r="U19" i="14"/>
  <c r="U20" i="14"/>
  <c r="U21" i="14"/>
  <c r="U22" i="14"/>
  <c r="U23" i="14"/>
  <c r="U24" i="14"/>
  <c r="U25" i="14"/>
  <c r="U26" i="14"/>
  <c r="U27" i="14"/>
  <c r="U28" i="14"/>
  <c r="U29" i="14"/>
  <c r="U30" i="14"/>
  <c r="U31" i="14"/>
  <c r="U32" i="14"/>
  <c r="U33" i="14"/>
  <c r="U34" i="14"/>
  <c r="U35" i="14"/>
  <c r="U36" i="14"/>
  <c r="U37" i="14"/>
  <c r="U38" i="14"/>
  <c r="U39" i="14"/>
  <c r="U40" i="14"/>
  <c r="U41" i="14"/>
  <c r="U42" i="14"/>
  <c r="U43" i="14"/>
  <c r="U44" i="14"/>
  <c r="U45" i="14"/>
  <c r="U46" i="14"/>
  <c r="U47" i="14"/>
  <c r="U48" i="14"/>
  <c r="U49" i="14"/>
  <c r="U50" i="14"/>
  <c r="U51" i="14"/>
  <c r="U52" i="14"/>
  <c r="U53" i="14"/>
  <c r="U54" i="14"/>
  <c r="U55" i="14"/>
  <c r="U56" i="14"/>
  <c r="U57" i="14"/>
  <c r="U58" i="14"/>
  <c r="U59" i="14"/>
  <c r="U60" i="14"/>
  <c r="U61" i="14"/>
  <c r="U62" i="14"/>
  <c r="U63" i="14"/>
  <c r="U64" i="14"/>
  <c r="U65" i="14"/>
  <c r="U66" i="14"/>
  <c r="U67" i="14"/>
  <c r="U68" i="14"/>
  <c r="U69" i="14"/>
  <c r="U70" i="14"/>
  <c r="U71" i="14"/>
  <c r="U72" i="14"/>
  <c r="U73" i="14"/>
  <c r="U74" i="14"/>
  <c r="U75" i="14"/>
  <c r="U76" i="14"/>
  <c r="U77" i="14"/>
  <c r="U78" i="14"/>
  <c r="U79" i="14"/>
  <c r="U80" i="14"/>
  <c r="U81" i="14"/>
  <c r="U82" i="14"/>
  <c r="U83" i="14"/>
  <c r="U84" i="14"/>
  <c r="U85" i="14"/>
  <c r="U86" i="14"/>
  <c r="U87" i="14"/>
  <c r="U88" i="14"/>
  <c r="U89" i="14"/>
  <c r="U90" i="14"/>
  <c r="U91" i="14"/>
  <c r="U92" i="14"/>
  <c r="U93" i="14"/>
  <c r="U94" i="14"/>
  <c r="U95" i="14"/>
  <c r="U96" i="14"/>
  <c r="U97" i="14"/>
  <c r="U98" i="14"/>
  <c r="U99" i="14"/>
  <c r="U100" i="14"/>
  <c r="U101" i="14"/>
  <c r="U102" i="14"/>
  <c r="U103" i="14"/>
  <c r="U104" i="14"/>
  <c r="U105" i="14"/>
  <c r="U106" i="14"/>
  <c r="U107" i="14"/>
  <c r="U108" i="14"/>
  <c r="U109" i="14"/>
  <c r="U110" i="14"/>
  <c r="U111" i="14"/>
  <c r="U112" i="14"/>
  <c r="U113" i="14"/>
  <c r="U114" i="14"/>
  <c r="U115" i="14"/>
  <c r="U116" i="14"/>
  <c r="U117" i="14"/>
  <c r="U118" i="14"/>
  <c r="U119" i="14"/>
  <c r="U120" i="14"/>
  <c r="U121" i="14"/>
  <c r="U122" i="14"/>
  <c r="U123" i="14"/>
  <c r="U124" i="14"/>
  <c r="U125" i="14"/>
  <c r="U126" i="14"/>
  <c r="U127" i="14"/>
  <c r="U128" i="14"/>
  <c r="U129" i="14"/>
  <c r="U130" i="14"/>
  <c r="U131" i="14"/>
  <c r="U132" i="14"/>
  <c r="U133" i="14"/>
  <c r="U134" i="14"/>
  <c r="U135" i="14"/>
  <c r="U136" i="14"/>
  <c r="U137" i="14"/>
  <c r="U138" i="14"/>
  <c r="U139" i="14"/>
  <c r="U140" i="14"/>
  <c r="U141" i="14"/>
  <c r="U142" i="14"/>
  <c r="U143" i="14"/>
  <c r="U144" i="14"/>
  <c r="U145" i="14"/>
  <c r="U146" i="14"/>
  <c r="U147" i="14"/>
  <c r="U148" i="14"/>
  <c r="U149" i="14"/>
  <c r="U150" i="14"/>
  <c r="U151" i="14"/>
  <c r="U152" i="14"/>
  <c r="U153" i="14"/>
  <c r="U154" i="14"/>
  <c r="U155" i="14"/>
  <c r="U156" i="14"/>
  <c r="U157" i="14"/>
  <c r="U158" i="14"/>
  <c r="U159" i="14"/>
  <c r="U160" i="14"/>
  <c r="U161" i="14"/>
  <c r="U162" i="14"/>
  <c r="U163" i="14"/>
  <c r="U164" i="14"/>
  <c r="U165" i="14"/>
  <c r="U166" i="14"/>
  <c r="U167" i="14"/>
  <c r="U168" i="14"/>
  <c r="U169" i="14"/>
  <c r="U170" i="14"/>
  <c r="U171" i="14"/>
  <c r="U172" i="14"/>
  <c r="U173" i="14"/>
  <c r="U174" i="14"/>
  <c r="U175" i="14"/>
  <c r="U176" i="14"/>
  <c r="U177" i="14"/>
  <c r="U178" i="14"/>
  <c r="U179" i="14"/>
  <c r="U180" i="14"/>
  <c r="U181" i="14"/>
  <c r="U182" i="14"/>
  <c r="U183" i="14"/>
  <c r="U184" i="14"/>
  <c r="U185" i="14"/>
  <c r="U186" i="14"/>
  <c r="U187" i="14"/>
  <c r="U188" i="14"/>
  <c r="U189" i="14"/>
  <c r="U190" i="14"/>
  <c r="U191" i="14"/>
  <c r="U192" i="14"/>
  <c r="U193" i="14"/>
  <c r="U194" i="14"/>
  <c r="U195" i="14"/>
  <c r="U196" i="14"/>
  <c r="U197" i="14"/>
  <c r="U198" i="14"/>
  <c r="U199" i="14"/>
  <c r="U200" i="14"/>
  <c r="U201" i="14"/>
  <c r="U202" i="14"/>
  <c r="U203" i="14"/>
  <c r="U204" i="14"/>
  <c r="U205" i="14"/>
  <c r="U206" i="14"/>
  <c r="U207" i="14"/>
  <c r="U208" i="14"/>
  <c r="U209" i="14"/>
  <c r="U210" i="14"/>
  <c r="U211" i="14"/>
  <c r="U212" i="14"/>
  <c r="U213" i="14"/>
  <c r="U214" i="14"/>
  <c r="U215" i="14"/>
  <c r="U216" i="14"/>
  <c r="U217" i="14"/>
  <c r="U218" i="14"/>
  <c r="U219" i="14"/>
  <c r="U220" i="14"/>
  <c r="U221" i="14"/>
  <c r="U222" i="14"/>
  <c r="U223" i="14"/>
  <c r="U224" i="14"/>
  <c r="U225" i="14"/>
  <c r="U226" i="14"/>
  <c r="U227" i="14"/>
  <c r="U228" i="14"/>
  <c r="U229" i="14"/>
  <c r="U230" i="14"/>
  <c r="U231" i="14"/>
  <c r="U232" i="14"/>
  <c r="U233" i="14"/>
  <c r="U234" i="14"/>
  <c r="U235" i="14"/>
  <c r="U236" i="14"/>
  <c r="U237" i="14"/>
  <c r="U238" i="14"/>
  <c r="U239" i="14"/>
  <c r="U240" i="14"/>
  <c r="U241" i="14"/>
  <c r="U242" i="14"/>
  <c r="U243" i="14"/>
  <c r="U244" i="14"/>
  <c r="U245" i="14"/>
  <c r="U246" i="14"/>
  <c r="U247" i="14"/>
  <c r="U248" i="14"/>
  <c r="U249" i="14"/>
  <c r="U250" i="14"/>
  <c r="U251" i="14"/>
  <c r="U252" i="14"/>
  <c r="U253" i="14"/>
  <c r="U254" i="14"/>
  <c r="U255" i="14"/>
  <c r="U256" i="14"/>
  <c r="U257" i="14"/>
  <c r="U258" i="14"/>
  <c r="U259" i="14"/>
  <c r="U260" i="14"/>
  <c r="U261" i="14"/>
  <c r="U262" i="14"/>
  <c r="U263" i="14"/>
  <c r="U264" i="14"/>
  <c r="U265" i="14"/>
  <c r="U266" i="14"/>
  <c r="U267" i="14"/>
  <c r="U268" i="14"/>
  <c r="U269" i="14"/>
  <c r="U270" i="14"/>
  <c r="U271" i="14"/>
  <c r="U272" i="14"/>
  <c r="U273" i="14"/>
  <c r="U274" i="14"/>
  <c r="U275" i="14"/>
  <c r="U276" i="14"/>
  <c r="U277" i="14"/>
  <c r="U278" i="14"/>
  <c r="U279" i="14"/>
  <c r="U280" i="14"/>
  <c r="U281" i="14"/>
  <c r="U282" i="14"/>
  <c r="U283" i="14"/>
  <c r="U284" i="14"/>
  <c r="U285" i="14"/>
  <c r="U286" i="14"/>
  <c r="U287" i="14"/>
  <c r="U288" i="14"/>
  <c r="U289" i="14"/>
  <c r="U290" i="14"/>
  <c r="U291" i="14"/>
  <c r="U292" i="14"/>
  <c r="U293" i="14"/>
  <c r="U294" i="14"/>
  <c r="U295" i="14"/>
  <c r="U296" i="14"/>
  <c r="U297" i="14"/>
  <c r="U298" i="14"/>
  <c r="U299" i="14"/>
  <c r="U300" i="14"/>
  <c r="U301" i="14"/>
  <c r="U302" i="14"/>
  <c r="U303" i="14"/>
  <c r="U304" i="14"/>
  <c r="U305" i="14"/>
  <c r="U306" i="14"/>
  <c r="U307" i="14"/>
  <c r="U308" i="14"/>
  <c r="U309" i="14"/>
  <c r="U310" i="14"/>
  <c r="U311" i="14"/>
  <c r="U312" i="14"/>
  <c r="U313" i="14"/>
  <c r="U314" i="14"/>
  <c r="U315" i="14"/>
  <c r="U316" i="14"/>
  <c r="U317" i="14"/>
  <c r="U318" i="14"/>
  <c r="U319" i="14"/>
  <c r="U320" i="14"/>
  <c r="U321" i="14"/>
  <c r="U322" i="14"/>
  <c r="U323" i="14"/>
  <c r="U324" i="14"/>
  <c r="U325" i="14"/>
  <c r="U326" i="14"/>
  <c r="U327" i="14"/>
  <c r="U328" i="14"/>
  <c r="U329" i="14"/>
  <c r="U330" i="14"/>
  <c r="U331" i="14"/>
  <c r="U332" i="14"/>
  <c r="U333" i="14"/>
  <c r="U334" i="14"/>
  <c r="U335" i="14"/>
  <c r="U336" i="14"/>
  <c r="U337" i="14"/>
  <c r="U338" i="14"/>
  <c r="U339" i="14"/>
  <c r="U340" i="14"/>
  <c r="U341" i="14"/>
  <c r="U342" i="14"/>
  <c r="U343" i="14"/>
  <c r="U344" i="14"/>
  <c r="U345" i="14"/>
  <c r="U346" i="14"/>
  <c r="U347" i="14"/>
  <c r="U348" i="14"/>
  <c r="U349" i="14"/>
  <c r="U350" i="14"/>
  <c r="U351" i="14"/>
  <c r="U352" i="14"/>
  <c r="U353" i="14"/>
  <c r="U354" i="14"/>
  <c r="U355" i="14"/>
  <c r="U356" i="14"/>
  <c r="U357" i="14"/>
  <c r="U358" i="14"/>
  <c r="U359" i="14"/>
  <c r="U360" i="14"/>
  <c r="U361" i="14"/>
  <c r="U362" i="14"/>
  <c r="U363" i="14"/>
  <c r="U364" i="14"/>
  <c r="U365" i="14"/>
  <c r="U366" i="14"/>
  <c r="U367" i="14"/>
  <c r="U368" i="14"/>
  <c r="U369" i="14"/>
  <c r="U370" i="14"/>
  <c r="U371" i="14"/>
  <c r="U372" i="14"/>
  <c r="U373" i="14"/>
  <c r="U374" i="14"/>
  <c r="U375" i="14"/>
  <c r="U376" i="14"/>
  <c r="U377" i="14"/>
  <c r="U378" i="14"/>
  <c r="U379" i="14"/>
  <c r="U380" i="14"/>
  <c r="U381" i="14"/>
  <c r="U382" i="14"/>
  <c r="U383" i="14"/>
  <c r="U384" i="14"/>
  <c r="U385" i="14"/>
  <c r="U386" i="14"/>
  <c r="U387" i="14"/>
  <c r="U388" i="14"/>
  <c r="U389" i="14"/>
  <c r="U390" i="14"/>
  <c r="U391" i="14"/>
  <c r="U392" i="14"/>
  <c r="U393" i="14"/>
  <c r="U394" i="14"/>
  <c r="U395" i="14"/>
  <c r="U396" i="14"/>
  <c r="U397" i="14"/>
  <c r="U398" i="14"/>
  <c r="U399" i="14"/>
  <c r="U400" i="14"/>
  <c r="U401" i="14"/>
  <c r="U402" i="14"/>
  <c r="U403" i="14"/>
  <c r="U404" i="14"/>
  <c r="U405" i="14"/>
  <c r="U406" i="14"/>
  <c r="U407" i="14"/>
  <c r="U408" i="14"/>
  <c r="U409" i="14"/>
  <c r="U410" i="14"/>
  <c r="U411" i="14"/>
  <c r="U412" i="14"/>
  <c r="U413" i="14"/>
  <c r="U414" i="14"/>
  <c r="U415" i="14"/>
  <c r="U416" i="14"/>
  <c r="U417" i="14"/>
  <c r="U418" i="14"/>
  <c r="U419" i="14"/>
  <c r="U420" i="14"/>
  <c r="U421" i="14"/>
  <c r="U422" i="14"/>
  <c r="U423" i="14"/>
  <c r="U424" i="14"/>
  <c r="U425" i="14"/>
  <c r="U426" i="14"/>
  <c r="U427" i="14"/>
  <c r="U428" i="14"/>
  <c r="U429" i="14"/>
  <c r="U430" i="14"/>
  <c r="U431" i="14"/>
  <c r="U432" i="14"/>
  <c r="U433" i="14"/>
  <c r="U434" i="14"/>
  <c r="U435" i="14"/>
  <c r="U436" i="14"/>
  <c r="U437" i="14"/>
  <c r="U438" i="14"/>
  <c r="U439" i="14"/>
  <c r="U440" i="14"/>
  <c r="U441" i="14"/>
  <c r="U442" i="14"/>
  <c r="U443" i="14"/>
  <c r="U444" i="14"/>
  <c r="U445" i="14"/>
  <c r="U446" i="14"/>
  <c r="U447" i="14"/>
  <c r="U448" i="14"/>
  <c r="U449" i="14"/>
  <c r="U450" i="14"/>
  <c r="U451" i="14"/>
  <c r="U452" i="14"/>
  <c r="U453" i="14"/>
  <c r="U454" i="14"/>
  <c r="U455" i="14"/>
  <c r="U456" i="14"/>
  <c r="U457" i="14"/>
  <c r="U458" i="14"/>
  <c r="U459" i="14"/>
  <c r="U460" i="14"/>
  <c r="U461" i="14"/>
  <c r="U462" i="14"/>
  <c r="U463" i="14"/>
  <c r="U464" i="14"/>
  <c r="U465" i="14"/>
  <c r="U466" i="14"/>
  <c r="U467" i="14"/>
  <c r="U468" i="14"/>
  <c r="U469" i="14"/>
  <c r="U470" i="14"/>
  <c r="U471" i="14"/>
  <c r="U472" i="14"/>
  <c r="U473" i="14"/>
  <c r="U474" i="14"/>
  <c r="U475" i="14"/>
  <c r="U476" i="14"/>
  <c r="U477" i="14"/>
  <c r="U478" i="14"/>
  <c r="U479" i="14"/>
  <c r="U480" i="14"/>
  <c r="T3" i="14"/>
  <c r="T4" i="14"/>
  <c r="T5" i="14"/>
  <c r="T6" i="14"/>
  <c r="T7" i="14"/>
  <c r="T8" i="14"/>
  <c r="T9" i="14"/>
  <c r="T10" i="14"/>
  <c r="T11" i="14"/>
  <c r="T12" i="14"/>
  <c r="T13" i="14"/>
  <c r="T14" i="14"/>
  <c r="T15" i="14"/>
  <c r="T16" i="14"/>
  <c r="T17" i="14"/>
  <c r="T18" i="14"/>
  <c r="T19" i="14"/>
  <c r="T20" i="14"/>
  <c r="T21" i="14"/>
  <c r="T22" i="14"/>
  <c r="T23" i="14"/>
  <c r="T24" i="14"/>
  <c r="T25" i="14"/>
  <c r="T26" i="14"/>
  <c r="T27" i="14"/>
  <c r="T28" i="14"/>
  <c r="T29" i="14"/>
  <c r="T30" i="14"/>
  <c r="T31" i="14"/>
  <c r="T32" i="14"/>
  <c r="T33" i="14"/>
  <c r="T34" i="14"/>
  <c r="T35" i="14"/>
  <c r="T36" i="14"/>
  <c r="T37" i="14"/>
  <c r="T38" i="14"/>
  <c r="T39" i="14"/>
  <c r="T40" i="14"/>
  <c r="T41" i="14"/>
  <c r="T42" i="14"/>
  <c r="T43" i="14"/>
  <c r="T44" i="14"/>
  <c r="T45" i="14"/>
  <c r="T46" i="14"/>
  <c r="T47" i="14"/>
  <c r="T48" i="14"/>
  <c r="T49" i="14"/>
  <c r="T50" i="14"/>
  <c r="T51" i="14"/>
  <c r="T52" i="14"/>
  <c r="T53" i="14"/>
  <c r="T54" i="14"/>
  <c r="T55" i="14"/>
  <c r="T56" i="14"/>
  <c r="T57" i="14"/>
  <c r="T58" i="14"/>
  <c r="T59" i="14"/>
  <c r="T60" i="14"/>
  <c r="T61" i="14"/>
  <c r="T62" i="14"/>
  <c r="T63" i="14"/>
  <c r="T64" i="14"/>
  <c r="T65" i="14"/>
  <c r="T66" i="14"/>
  <c r="T67" i="14"/>
  <c r="T68" i="14"/>
  <c r="T69" i="14"/>
  <c r="T70" i="14"/>
  <c r="T71" i="14"/>
  <c r="T72" i="14"/>
  <c r="T73" i="14"/>
  <c r="T74" i="14"/>
  <c r="T75" i="14"/>
  <c r="T76" i="14"/>
  <c r="T77" i="14"/>
  <c r="T78" i="14"/>
  <c r="T79" i="14"/>
  <c r="T80" i="14"/>
  <c r="T81" i="14"/>
  <c r="T82" i="14"/>
  <c r="T83" i="14"/>
  <c r="T84" i="14"/>
  <c r="T85" i="14"/>
  <c r="T86" i="14"/>
  <c r="T87" i="14"/>
  <c r="T88" i="14"/>
  <c r="T89" i="14"/>
  <c r="T90" i="14"/>
  <c r="T91" i="14"/>
  <c r="T92" i="14"/>
  <c r="T93" i="14"/>
  <c r="T94" i="14"/>
  <c r="T95" i="14"/>
  <c r="T96" i="14"/>
  <c r="T97" i="14"/>
  <c r="T98" i="14"/>
  <c r="T99" i="14"/>
  <c r="T100" i="14"/>
  <c r="T101" i="14"/>
  <c r="T102" i="14"/>
  <c r="T103" i="14"/>
  <c r="T104" i="14"/>
  <c r="T105" i="14"/>
  <c r="T106" i="14"/>
  <c r="T107" i="14"/>
  <c r="T108" i="14"/>
  <c r="T109" i="14"/>
  <c r="T110" i="14"/>
  <c r="T111" i="14"/>
  <c r="T112" i="14"/>
  <c r="T113" i="14"/>
  <c r="T114" i="14"/>
  <c r="T115" i="14"/>
  <c r="T116" i="14"/>
  <c r="T117" i="14"/>
  <c r="T118" i="14"/>
  <c r="T119" i="14"/>
  <c r="T120" i="14"/>
  <c r="T121" i="14"/>
  <c r="T122" i="14"/>
  <c r="T123" i="14"/>
  <c r="T124" i="14"/>
  <c r="T125" i="14"/>
  <c r="T126" i="14"/>
  <c r="T127" i="14"/>
  <c r="T128" i="14"/>
  <c r="T129" i="14"/>
  <c r="T130" i="14"/>
  <c r="T131" i="14"/>
  <c r="T132" i="14"/>
  <c r="T133" i="14"/>
  <c r="T134" i="14"/>
  <c r="T135" i="14"/>
  <c r="T136" i="14"/>
  <c r="T137" i="14"/>
  <c r="T138" i="14"/>
  <c r="T139" i="14"/>
  <c r="T140" i="14"/>
  <c r="T141" i="14"/>
  <c r="T142" i="14"/>
  <c r="T143" i="14"/>
  <c r="T144" i="14"/>
  <c r="T145" i="14"/>
  <c r="T146" i="14"/>
  <c r="T147" i="14"/>
  <c r="T148" i="14"/>
  <c r="T149" i="14"/>
  <c r="T150" i="14"/>
  <c r="T151" i="14"/>
  <c r="T152" i="14"/>
  <c r="T153" i="14"/>
  <c r="T154" i="14"/>
  <c r="T155" i="14"/>
  <c r="T156" i="14"/>
  <c r="T157" i="14"/>
  <c r="T158" i="14"/>
  <c r="T159" i="14"/>
  <c r="T160" i="14"/>
  <c r="T161" i="14"/>
  <c r="T162" i="14"/>
  <c r="T163" i="14"/>
  <c r="T164" i="14"/>
  <c r="T165" i="14"/>
  <c r="T166" i="14"/>
  <c r="T167" i="14"/>
  <c r="T168" i="14"/>
  <c r="T169" i="14"/>
  <c r="T170" i="14"/>
  <c r="T171" i="14"/>
  <c r="T172" i="14"/>
  <c r="T173" i="14"/>
  <c r="T174" i="14"/>
  <c r="T175" i="14"/>
  <c r="T176" i="14"/>
  <c r="T177" i="14"/>
  <c r="T178" i="14"/>
  <c r="T179" i="14"/>
  <c r="T180" i="14"/>
  <c r="T181" i="14"/>
  <c r="T182" i="14"/>
  <c r="T183" i="14"/>
  <c r="T184" i="14"/>
  <c r="T185" i="14"/>
  <c r="T186" i="14"/>
  <c r="T187" i="14"/>
  <c r="T188" i="14"/>
  <c r="T189" i="14"/>
  <c r="T190" i="14"/>
  <c r="T191" i="14"/>
  <c r="T192" i="14"/>
  <c r="T193" i="14"/>
  <c r="T194" i="14"/>
  <c r="T195" i="14"/>
  <c r="T196" i="14"/>
  <c r="T197" i="14"/>
  <c r="T198" i="14"/>
  <c r="T199" i="14"/>
  <c r="T200" i="14"/>
  <c r="T201" i="14"/>
  <c r="T202" i="14"/>
  <c r="T203" i="14"/>
  <c r="T204" i="14"/>
  <c r="T205" i="14"/>
  <c r="T206" i="14"/>
  <c r="T207" i="14"/>
  <c r="T208" i="14"/>
  <c r="T209" i="14"/>
  <c r="T210" i="14"/>
  <c r="T211" i="14"/>
  <c r="T212" i="14"/>
  <c r="T213" i="14"/>
  <c r="T214" i="14"/>
  <c r="T215" i="14"/>
  <c r="T216" i="14"/>
  <c r="T217" i="14"/>
  <c r="T218" i="14"/>
  <c r="T219" i="14"/>
  <c r="T220" i="14"/>
  <c r="T221" i="14"/>
  <c r="T222" i="14"/>
  <c r="T223" i="14"/>
  <c r="T224" i="14"/>
  <c r="T225" i="14"/>
  <c r="T226" i="14"/>
  <c r="T227" i="14"/>
  <c r="T228" i="14"/>
  <c r="T229" i="14"/>
  <c r="T230" i="14"/>
  <c r="T231" i="14"/>
  <c r="T232" i="14"/>
  <c r="T233" i="14"/>
  <c r="T234" i="14"/>
  <c r="T235" i="14"/>
  <c r="T236" i="14"/>
  <c r="T237" i="14"/>
  <c r="T238" i="14"/>
  <c r="T239" i="14"/>
  <c r="T240" i="14"/>
  <c r="T241" i="14"/>
  <c r="T242" i="14"/>
  <c r="T243" i="14"/>
  <c r="T244" i="14"/>
  <c r="T245" i="14"/>
  <c r="T246" i="14"/>
  <c r="T247" i="14"/>
  <c r="T248" i="14"/>
  <c r="T249" i="14"/>
  <c r="T250" i="14"/>
  <c r="T251" i="14"/>
  <c r="T252" i="14"/>
  <c r="T253" i="14"/>
  <c r="T254" i="14"/>
  <c r="T255" i="14"/>
  <c r="T256" i="14"/>
  <c r="T257" i="14"/>
  <c r="T258" i="14"/>
  <c r="T259" i="14"/>
  <c r="T260" i="14"/>
  <c r="T261" i="14"/>
  <c r="T262" i="14"/>
  <c r="T263" i="14"/>
  <c r="T264" i="14"/>
  <c r="T265" i="14"/>
  <c r="T266" i="14"/>
  <c r="T267" i="14"/>
  <c r="T268" i="14"/>
  <c r="T269" i="14"/>
  <c r="T270" i="14"/>
  <c r="T271" i="14"/>
  <c r="T272" i="14"/>
  <c r="T273" i="14"/>
  <c r="T274" i="14"/>
  <c r="T275" i="14"/>
  <c r="T276" i="14"/>
  <c r="T277" i="14"/>
  <c r="T278" i="14"/>
  <c r="T279" i="14"/>
  <c r="T280" i="14"/>
  <c r="T281" i="14"/>
  <c r="T282" i="14"/>
  <c r="T283" i="14"/>
  <c r="T284" i="14"/>
  <c r="T285" i="14"/>
  <c r="T286" i="14"/>
  <c r="T287" i="14"/>
  <c r="T288" i="14"/>
  <c r="T289" i="14"/>
  <c r="T290" i="14"/>
  <c r="T291" i="14"/>
  <c r="T292" i="14"/>
  <c r="T293" i="14"/>
  <c r="T294" i="14"/>
  <c r="T295" i="14"/>
  <c r="T296" i="14"/>
  <c r="T297" i="14"/>
  <c r="T298" i="14"/>
  <c r="T299" i="14"/>
  <c r="T300" i="14"/>
  <c r="T301" i="14"/>
  <c r="T302" i="14"/>
  <c r="T303" i="14"/>
  <c r="T304" i="14"/>
  <c r="T305" i="14"/>
  <c r="T306" i="14"/>
  <c r="T307" i="14"/>
  <c r="T308" i="14"/>
  <c r="T309" i="14"/>
  <c r="T310" i="14"/>
  <c r="T311" i="14"/>
  <c r="T312" i="14"/>
  <c r="T313" i="14"/>
  <c r="T314" i="14"/>
  <c r="T315" i="14"/>
  <c r="T316" i="14"/>
  <c r="T317" i="14"/>
  <c r="T318" i="14"/>
  <c r="T319" i="14"/>
  <c r="T320" i="14"/>
  <c r="T321" i="14"/>
  <c r="T322" i="14"/>
  <c r="T323" i="14"/>
  <c r="T324" i="14"/>
  <c r="T325" i="14"/>
  <c r="T326" i="14"/>
  <c r="T327" i="14"/>
  <c r="T328" i="14"/>
  <c r="T329" i="14"/>
  <c r="T330" i="14"/>
  <c r="T331" i="14"/>
  <c r="T332" i="14"/>
  <c r="T333" i="14"/>
  <c r="T334" i="14"/>
  <c r="T335" i="14"/>
  <c r="T336" i="14"/>
  <c r="T337" i="14"/>
  <c r="T338" i="14"/>
  <c r="T339" i="14"/>
  <c r="T340" i="14"/>
  <c r="T341" i="14"/>
  <c r="T342" i="14"/>
  <c r="T343" i="14"/>
  <c r="T344" i="14"/>
  <c r="T345" i="14"/>
  <c r="T346" i="14"/>
  <c r="T347" i="14"/>
  <c r="T348" i="14"/>
  <c r="T349" i="14"/>
  <c r="T350" i="14"/>
  <c r="T351" i="14"/>
  <c r="T352" i="14"/>
  <c r="T353" i="14"/>
  <c r="T354" i="14"/>
  <c r="T355" i="14"/>
  <c r="T356" i="14"/>
  <c r="T357" i="14"/>
  <c r="T358" i="14"/>
  <c r="T359" i="14"/>
  <c r="T360" i="14"/>
  <c r="T361" i="14"/>
  <c r="T362" i="14"/>
  <c r="T363" i="14"/>
  <c r="T364" i="14"/>
  <c r="T365" i="14"/>
  <c r="T366" i="14"/>
  <c r="T367" i="14"/>
  <c r="T368" i="14"/>
  <c r="T369" i="14"/>
  <c r="T370" i="14"/>
  <c r="T371" i="14"/>
  <c r="T372" i="14"/>
  <c r="T373" i="14"/>
  <c r="T374" i="14"/>
  <c r="T375" i="14"/>
  <c r="T376" i="14"/>
  <c r="T377" i="14"/>
  <c r="T378" i="14"/>
  <c r="T379" i="14"/>
  <c r="T380" i="14"/>
  <c r="T381" i="14"/>
  <c r="T382" i="14"/>
  <c r="T383" i="14"/>
  <c r="T384" i="14"/>
  <c r="T385" i="14"/>
  <c r="T386" i="14"/>
  <c r="T387" i="14"/>
  <c r="T388" i="14"/>
  <c r="T389" i="14"/>
  <c r="T390" i="14"/>
  <c r="T391" i="14"/>
  <c r="T392" i="14"/>
  <c r="T393" i="14"/>
  <c r="T394" i="14"/>
  <c r="T395" i="14"/>
  <c r="T396" i="14"/>
  <c r="T397" i="14"/>
  <c r="T398" i="14"/>
  <c r="T399" i="14"/>
  <c r="T400" i="14"/>
  <c r="T401" i="14"/>
  <c r="T402" i="14"/>
  <c r="T403" i="14"/>
  <c r="T404" i="14"/>
  <c r="T405" i="14"/>
  <c r="T406" i="14"/>
  <c r="T407" i="14"/>
  <c r="T408" i="14"/>
  <c r="T409" i="14"/>
  <c r="T410" i="14"/>
  <c r="T411" i="14"/>
  <c r="T412" i="14"/>
  <c r="T413" i="14"/>
  <c r="T414" i="14"/>
  <c r="T415" i="14"/>
  <c r="T416" i="14"/>
  <c r="T417" i="14"/>
  <c r="T418" i="14"/>
  <c r="T419" i="14"/>
  <c r="T420" i="14"/>
  <c r="T421" i="14"/>
  <c r="T422" i="14"/>
  <c r="T423" i="14"/>
  <c r="T424" i="14"/>
  <c r="T425" i="14"/>
  <c r="T426" i="14"/>
  <c r="T427" i="14"/>
  <c r="T428" i="14"/>
  <c r="T429" i="14"/>
  <c r="T430" i="14"/>
  <c r="T431" i="14"/>
  <c r="T432" i="14"/>
  <c r="T433" i="14"/>
  <c r="T434" i="14"/>
  <c r="T435" i="14"/>
  <c r="T436" i="14"/>
  <c r="T437" i="14"/>
  <c r="T438" i="14"/>
  <c r="T439" i="14"/>
  <c r="T440" i="14"/>
  <c r="T441" i="14"/>
  <c r="T442" i="14"/>
  <c r="T443" i="14"/>
  <c r="T444" i="14"/>
  <c r="T445" i="14"/>
  <c r="T446" i="14"/>
  <c r="T447" i="14"/>
  <c r="T448" i="14"/>
  <c r="T449" i="14"/>
  <c r="T450" i="14"/>
  <c r="T451" i="14"/>
  <c r="T452" i="14"/>
  <c r="T453" i="14"/>
  <c r="T454" i="14"/>
  <c r="T455" i="14"/>
  <c r="T456" i="14"/>
  <c r="T457" i="14"/>
  <c r="T458" i="14"/>
  <c r="T459" i="14"/>
  <c r="T460" i="14"/>
  <c r="T461" i="14"/>
  <c r="T462" i="14"/>
  <c r="T463" i="14"/>
  <c r="T464" i="14"/>
  <c r="T465" i="14"/>
  <c r="T466" i="14"/>
  <c r="T467" i="14"/>
  <c r="T468" i="14"/>
  <c r="T469" i="14"/>
  <c r="T470" i="14"/>
  <c r="T471" i="14"/>
  <c r="T472" i="14"/>
  <c r="T473" i="14"/>
  <c r="T474" i="14"/>
  <c r="T475" i="14"/>
  <c r="T476" i="14"/>
  <c r="T477" i="14"/>
  <c r="T478" i="14"/>
  <c r="T479" i="14"/>
  <c r="T480" i="14"/>
  <c r="S3" i="14"/>
  <c r="S4" i="14"/>
  <c r="S5" i="14"/>
  <c r="S6" i="14"/>
  <c r="S7" i="14"/>
  <c r="S8" i="14"/>
  <c r="S9" i="14"/>
  <c r="S10" i="14"/>
  <c r="S11" i="14"/>
  <c r="S12" i="14"/>
  <c r="S13" i="14"/>
  <c r="S14" i="14"/>
  <c r="S15"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S45" i="14"/>
  <c r="S46" i="14"/>
  <c r="S47" i="14"/>
  <c r="S48" i="14"/>
  <c r="S49" i="14"/>
  <c r="S50" i="14"/>
  <c r="S51" i="14"/>
  <c r="S52" i="14"/>
  <c r="S53" i="14"/>
  <c r="S54" i="14"/>
  <c r="S55" i="14"/>
  <c r="S56" i="14"/>
  <c r="S57" i="14"/>
  <c r="S58" i="14"/>
  <c r="S59" i="14"/>
  <c r="S60" i="14"/>
  <c r="S61" i="14"/>
  <c r="S62" i="14"/>
  <c r="S63" i="14"/>
  <c r="S64" i="14"/>
  <c r="S65" i="14"/>
  <c r="S66" i="14"/>
  <c r="S67" i="14"/>
  <c r="S68" i="14"/>
  <c r="S69" i="14"/>
  <c r="S70" i="14"/>
  <c r="S71" i="14"/>
  <c r="S72" i="14"/>
  <c r="S73" i="14"/>
  <c r="S74" i="14"/>
  <c r="S75" i="14"/>
  <c r="S76" i="14"/>
  <c r="S77" i="14"/>
  <c r="S78" i="14"/>
  <c r="S79" i="14"/>
  <c r="S80" i="14"/>
  <c r="S81" i="14"/>
  <c r="S82" i="14"/>
  <c r="S83" i="14"/>
  <c r="S84" i="14"/>
  <c r="S85" i="14"/>
  <c r="S86" i="14"/>
  <c r="S87" i="14"/>
  <c r="S88" i="14"/>
  <c r="S89" i="14"/>
  <c r="S90" i="14"/>
  <c r="S91" i="14"/>
  <c r="S92" i="14"/>
  <c r="S93" i="14"/>
  <c r="S94" i="14"/>
  <c r="S95" i="14"/>
  <c r="S96" i="14"/>
  <c r="S97" i="14"/>
  <c r="S98" i="14"/>
  <c r="S99" i="14"/>
  <c r="S100" i="14"/>
  <c r="S101" i="14"/>
  <c r="S102" i="14"/>
  <c r="S103" i="14"/>
  <c r="S104" i="14"/>
  <c r="S105" i="14"/>
  <c r="S106" i="14"/>
  <c r="S107" i="14"/>
  <c r="S108" i="14"/>
  <c r="S109" i="14"/>
  <c r="S110" i="14"/>
  <c r="S111" i="14"/>
  <c r="S112" i="14"/>
  <c r="S113" i="14"/>
  <c r="S114" i="14"/>
  <c r="S115" i="14"/>
  <c r="S116" i="14"/>
  <c r="S117" i="14"/>
  <c r="S118" i="14"/>
  <c r="S119" i="14"/>
  <c r="S120" i="14"/>
  <c r="S121" i="14"/>
  <c r="S122" i="14"/>
  <c r="S123" i="14"/>
  <c r="S124" i="14"/>
  <c r="S125" i="14"/>
  <c r="S126" i="14"/>
  <c r="S127" i="14"/>
  <c r="S128" i="14"/>
  <c r="S129" i="14"/>
  <c r="S130" i="14"/>
  <c r="S131" i="14"/>
  <c r="S132" i="14"/>
  <c r="S133" i="14"/>
  <c r="S134" i="14"/>
  <c r="S135" i="14"/>
  <c r="S136" i="14"/>
  <c r="S137" i="14"/>
  <c r="S138" i="14"/>
  <c r="S139" i="14"/>
  <c r="S140" i="14"/>
  <c r="S141" i="14"/>
  <c r="S142" i="14"/>
  <c r="S143" i="14"/>
  <c r="S144" i="14"/>
  <c r="S145" i="14"/>
  <c r="S146" i="14"/>
  <c r="S147" i="14"/>
  <c r="S148" i="14"/>
  <c r="S149" i="14"/>
  <c r="S150" i="14"/>
  <c r="S151" i="14"/>
  <c r="S152" i="14"/>
  <c r="S153" i="14"/>
  <c r="S154" i="14"/>
  <c r="S155" i="14"/>
  <c r="S156" i="14"/>
  <c r="S157" i="14"/>
  <c r="S158" i="14"/>
  <c r="S159" i="14"/>
  <c r="S160" i="14"/>
  <c r="S161" i="14"/>
  <c r="S162" i="14"/>
  <c r="S163" i="14"/>
  <c r="S164" i="14"/>
  <c r="S165" i="14"/>
  <c r="S166" i="14"/>
  <c r="S167" i="14"/>
  <c r="S168" i="14"/>
  <c r="S169" i="14"/>
  <c r="S170" i="14"/>
  <c r="S171" i="14"/>
  <c r="S172" i="14"/>
  <c r="S173" i="14"/>
  <c r="S174" i="14"/>
  <c r="S175" i="14"/>
  <c r="S176" i="14"/>
  <c r="S177" i="14"/>
  <c r="S178" i="14"/>
  <c r="S179" i="14"/>
  <c r="S180" i="14"/>
  <c r="S181" i="14"/>
  <c r="S182" i="14"/>
  <c r="S183" i="14"/>
  <c r="S184" i="14"/>
  <c r="S185" i="14"/>
  <c r="S186" i="14"/>
  <c r="S187" i="14"/>
  <c r="S188" i="14"/>
  <c r="S189" i="14"/>
  <c r="S190" i="14"/>
  <c r="S191" i="14"/>
  <c r="S192" i="14"/>
  <c r="S193" i="14"/>
  <c r="S194" i="14"/>
  <c r="S195" i="14"/>
  <c r="S196" i="14"/>
  <c r="S197" i="14"/>
  <c r="S198" i="14"/>
  <c r="S199" i="14"/>
  <c r="S200" i="14"/>
  <c r="S201" i="14"/>
  <c r="S202" i="14"/>
  <c r="S203" i="14"/>
  <c r="S204" i="14"/>
  <c r="S205" i="14"/>
  <c r="S206" i="14"/>
  <c r="S207" i="14"/>
  <c r="S208" i="14"/>
  <c r="S209" i="14"/>
  <c r="S210" i="14"/>
  <c r="S211" i="14"/>
  <c r="S212" i="14"/>
  <c r="S213" i="14"/>
  <c r="S214" i="14"/>
  <c r="S215" i="14"/>
  <c r="S216" i="14"/>
  <c r="S217" i="14"/>
  <c r="S218" i="14"/>
  <c r="S219" i="14"/>
  <c r="S220" i="14"/>
  <c r="S221" i="14"/>
  <c r="S222" i="14"/>
  <c r="S223" i="14"/>
  <c r="S224" i="14"/>
  <c r="S225" i="14"/>
  <c r="S226" i="14"/>
  <c r="S227" i="14"/>
  <c r="S228" i="14"/>
  <c r="S229" i="14"/>
  <c r="S230" i="14"/>
  <c r="S231" i="14"/>
  <c r="S232" i="14"/>
  <c r="S233" i="14"/>
  <c r="S234" i="14"/>
  <c r="S235" i="14"/>
  <c r="S236" i="14"/>
  <c r="S237" i="14"/>
  <c r="S238" i="14"/>
  <c r="S239" i="14"/>
  <c r="S240" i="14"/>
  <c r="S241" i="14"/>
  <c r="S242" i="14"/>
  <c r="S243" i="14"/>
  <c r="S244" i="14"/>
  <c r="S245" i="14"/>
  <c r="S246" i="14"/>
  <c r="S247" i="14"/>
  <c r="S248" i="14"/>
  <c r="S249" i="14"/>
  <c r="S250" i="14"/>
  <c r="S251" i="14"/>
  <c r="S252" i="14"/>
  <c r="S253" i="14"/>
  <c r="S254" i="14"/>
  <c r="S255" i="14"/>
  <c r="S256" i="14"/>
  <c r="S257" i="14"/>
  <c r="S258" i="14"/>
  <c r="S259" i="14"/>
  <c r="S260" i="14"/>
  <c r="S261" i="14"/>
  <c r="S262" i="14"/>
  <c r="S263" i="14"/>
  <c r="S264" i="14"/>
  <c r="S265" i="14"/>
  <c r="S266" i="14"/>
  <c r="S267" i="14"/>
  <c r="S268" i="14"/>
  <c r="S269" i="14"/>
  <c r="S270" i="14"/>
  <c r="S271" i="14"/>
  <c r="S272" i="14"/>
  <c r="S273" i="14"/>
  <c r="S274" i="14"/>
  <c r="S275" i="14"/>
  <c r="S276" i="14"/>
  <c r="S277" i="14"/>
  <c r="S278" i="14"/>
  <c r="S279" i="14"/>
  <c r="S280" i="14"/>
  <c r="S281" i="14"/>
  <c r="S282" i="14"/>
  <c r="S283" i="14"/>
  <c r="S284" i="14"/>
  <c r="S285" i="14"/>
  <c r="S286" i="14"/>
  <c r="S287" i="14"/>
  <c r="S288" i="14"/>
  <c r="S289" i="14"/>
  <c r="S290" i="14"/>
  <c r="S291" i="14"/>
  <c r="S292" i="14"/>
  <c r="S293" i="14"/>
  <c r="S294" i="14"/>
  <c r="S295" i="14"/>
  <c r="S296" i="14"/>
  <c r="S297" i="14"/>
  <c r="S298" i="14"/>
  <c r="S299" i="14"/>
  <c r="S300" i="14"/>
  <c r="S301" i="14"/>
  <c r="S302" i="14"/>
  <c r="S303" i="14"/>
  <c r="S304" i="14"/>
  <c r="S305" i="14"/>
  <c r="S306" i="14"/>
  <c r="S307" i="14"/>
  <c r="S308" i="14"/>
  <c r="S309" i="14"/>
  <c r="S310" i="14"/>
  <c r="S311" i="14"/>
  <c r="S312" i="14"/>
  <c r="S313" i="14"/>
  <c r="S314" i="14"/>
  <c r="S315" i="14"/>
  <c r="S316" i="14"/>
  <c r="S317" i="14"/>
  <c r="S318" i="14"/>
  <c r="S319" i="14"/>
  <c r="S320" i="14"/>
  <c r="S321" i="14"/>
  <c r="S322" i="14"/>
  <c r="S323" i="14"/>
  <c r="S324" i="14"/>
  <c r="S325" i="14"/>
  <c r="S326" i="14"/>
  <c r="S327" i="14"/>
  <c r="S328" i="14"/>
  <c r="S329" i="14"/>
  <c r="S330" i="14"/>
  <c r="S331" i="14"/>
  <c r="S332" i="14"/>
  <c r="S333" i="14"/>
  <c r="S334" i="14"/>
  <c r="S335" i="14"/>
  <c r="S336" i="14"/>
  <c r="S337" i="14"/>
  <c r="S338" i="14"/>
  <c r="S339" i="14"/>
  <c r="S340" i="14"/>
  <c r="S341" i="14"/>
  <c r="S342" i="14"/>
  <c r="S343" i="14"/>
  <c r="S344" i="14"/>
  <c r="S345" i="14"/>
  <c r="S346" i="14"/>
  <c r="S347" i="14"/>
  <c r="S348" i="14"/>
  <c r="S349" i="14"/>
  <c r="S350" i="14"/>
  <c r="S351" i="14"/>
  <c r="S352" i="14"/>
  <c r="S353" i="14"/>
  <c r="S354" i="14"/>
  <c r="S355" i="14"/>
  <c r="S356" i="14"/>
  <c r="S357" i="14"/>
  <c r="S358" i="14"/>
  <c r="S359" i="14"/>
  <c r="S360" i="14"/>
  <c r="S361" i="14"/>
  <c r="S362" i="14"/>
  <c r="S363" i="14"/>
  <c r="S364" i="14"/>
  <c r="S365" i="14"/>
  <c r="S366" i="14"/>
  <c r="S367" i="14"/>
  <c r="S368" i="14"/>
  <c r="S369" i="14"/>
  <c r="S370" i="14"/>
  <c r="S371" i="14"/>
  <c r="S372" i="14"/>
  <c r="S373" i="14"/>
  <c r="S374" i="14"/>
  <c r="S375" i="14"/>
  <c r="S376" i="14"/>
  <c r="S377" i="14"/>
  <c r="S378" i="14"/>
  <c r="S379" i="14"/>
  <c r="S380" i="14"/>
  <c r="S381" i="14"/>
  <c r="S382" i="14"/>
  <c r="S383" i="14"/>
  <c r="S384" i="14"/>
  <c r="S385" i="14"/>
  <c r="S386" i="14"/>
  <c r="S387" i="14"/>
  <c r="S388" i="14"/>
  <c r="S389" i="14"/>
  <c r="S390" i="14"/>
  <c r="S391" i="14"/>
  <c r="S392" i="14"/>
  <c r="S393" i="14"/>
  <c r="S394" i="14"/>
  <c r="S395" i="14"/>
  <c r="S396" i="14"/>
  <c r="S397" i="14"/>
  <c r="S398" i="14"/>
  <c r="S399" i="14"/>
  <c r="S400" i="14"/>
  <c r="S401" i="14"/>
  <c r="S402" i="14"/>
  <c r="S403" i="14"/>
  <c r="S404" i="14"/>
  <c r="S405" i="14"/>
  <c r="S406" i="14"/>
  <c r="S407" i="14"/>
  <c r="S408" i="14"/>
  <c r="S409" i="14"/>
  <c r="S410" i="14"/>
  <c r="S411" i="14"/>
  <c r="S412" i="14"/>
  <c r="S413" i="14"/>
  <c r="S414" i="14"/>
  <c r="S415" i="14"/>
  <c r="S416" i="14"/>
  <c r="S417" i="14"/>
  <c r="S418" i="14"/>
  <c r="S419" i="14"/>
  <c r="S420" i="14"/>
  <c r="S421" i="14"/>
  <c r="S422" i="14"/>
  <c r="S423" i="14"/>
  <c r="S424" i="14"/>
  <c r="S425" i="14"/>
  <c r="S426" i="14"/>
  <c r="S427" i="14"/>
  <c r="S428" i="14"/>
  <c r="S429" i="14"/>
  <c r="S430" i="14"/>
  <c r="S431" i="14"/>
  <c r="S432" i="14"/>
  <c r="S433" i="14"/>
  <c r="S434" i="14"/>
  <c r="S435" i="14"/>
  <c r="S436" i="14"/>
  <c r="S437" i="14"/>
  <c r="S438" i="14"/>
  <c r="S439" i="14"/>
  <c r="S440" i="14"/>
  <c r="S441" i="14"/>
  <c r="S442" i="14"/>
  <c r="S443" i="14"/>
  <c r="S444" i="14"/>
  <c r="S445" i="14"/>
  <c r="S446" i="14"/>
  <c r="S447" i="14"/>
  <c r="S448" i="14"/>
  <c r="S449" i="14"/>
  <c r="S450" i="14"/>
  <c r="S451" i="14"/>
  <c r="S452" i="14"/>
  <c r="S453" i="14"/>
  <c r="S454" i="14"/>
  <c r="S455" i="14"/>
  <c r="S456" i="14"/>
  <c r="S457" i="14"/>
  <c r="S458" i="14"/>
  <c r="S459" i="14"/>
  <c r="S460" i="14"/>
  <c r="S461" i="14"/>
  <c r="S462" i="14"/>
  <c r="S463" i="14"/>
  <c r="S464" i="14"/>
  <c r="S465" i="14"/>
  <c r="S466" i="14"/>
  <c r="S467" i="14"/>
  <c r="S468" i="14"/>
  <c r="S469" i="14"/>
  <c r="S470" i="14"/>
  <c r="S471" i="14"/>
  <c r="S472" i="14"/>
  <c r="S473" i="14"/>
  <c r="S474" i="14"/>
  <c r="S475" i="14"/>
  <c r="S476" i="14"/>
  <c r="S477" i="14"/>
  <c r="S478" i="14"/>
  <c r="S479" i="14"/>
  <c r="S480" i="14"/>
  <c r="R3" i="14"/>
  <c r="R4" i="14"/>
  <c r="R5" i="14"/>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R99" i="14"/>
  <c r="R100" i="14"/>
  <c r="R101" i="14"/>
  <c r="R102" i="14"/>
  <c r="R103" i="14"/>
  <c r="R104" i="14"/>
  <c r="R105" i="14"/>
  <c r="R106" i="14"/>
  <c r="R107" i="14"/>
  <c r="R108" i="14"/>
  <c r="R109" i="14"/>
  <c r="R110" i="14"/>
  <c r="R111" i="14"/>
  <c r="R112" i="14"/>
  <c r="R113" i="14"/>
  <c r="R114" i="14"/>
  <c r="R115" i="14"/>
  <c r="R116" i="14"/>
  <c r="R117" i="14"/>
  <c r="R118" i="14"/>
  <c r="R119" i="14"/>
  <c r="R120" i="14"/>
  <c r="R121" i="14"/>
  <c r="R122" i="14"/>
  <c r="R123" i="14"/>
  <c r="R124" i="14"/>
  <c r="R125" i="14"/>
  <c r="R126" i="14"/>
  <c r="R127" i="14"/>
  <c r="R128" i="14"/>
  <c r="R129" i="14"/>
  <c r="R130" i="14"/>
  <c r="R131" i="14"/>
  <c r="R132" i="14"/>
  <c r="R133" i="14"/>
  <c r="R134" i="14"/>
  <c r="R135" i="14"/>
  <c r="R136" i="14"/>
  <c r="R137" i="14"/>
  <c r="R138" i="14"/>
  <c r="R139" i="14"/>
  <c r="R140" i="14"/>
  <c r="R141" i="14"/>
  <c r="R142" i="14"/>
  <c r="R143" i="14"/>
  <c r="R144" i="14"/>
  <c r="R145" i="14"/>
  <c r="R146" i="14"/>
  <c r="R147" i="14"/>
  <c r="R148" i="14"/>
  <c r="R149" i="14"/>
  <c r="R150" i="14"/>
  <c r="R151" i="14"/>
  <c r="R152" i="14"/>
  <c r="R153" i="14"/>
  <c r="R154" i="14"/>
  <c r="R155" i="14"/>
  <c r="R156" i="14"/>
  <c r="R157" i="14"/>
  <c r="R158" i="14"/>
  <c r="R159" i="14"/>
  <c r="R160" i="14"/>
  <c r="R161" i="14"/>
  <c r="R162" i="14"/>
  <c r="R163" i="14"/>
  <c r="R164" i="14"/>
  <c r="R165" i="14"/>
  <c r="R166" i="14"/>
  <c r="R167" i="14"/>
  <c r="R168" i="14"/>
  <c r="R169" i="14"/>
  <c r="R170" i="14"/>
  <c r="R171" i="14"/>
  <c r="R172" i="14"/>
  <c r="R173" i="14"/>
  <c r="R174" i="14"/>
  <c r="R175" i="14"/>
  <c r="R176" i="14"/>
  <c r="R177" i="14"/>
  <c r="R178" i="14"/>
  <c r="R179" i="14"/>
  <c r="R180" i="14"/>
  <c r="R181" i="14"/>
  <c r="R182" i="14"/>
  <c r="R183" i="14"/>
  <c r="R184" i="14"/>
  <c r="R185" i="14"/>
  <c r="R186" i="14"/>
  <c r="R187" i="14"/>
  <c r="R188" i="14"/>
  <c r="R189" i="14"/>
  <c r="R190" i="14"/>
  <c r="R191" i="14"/>
  <c r="R192" i="14"/>
  <c r="R193" i="14"/>
  <c r="R194" i="14"/>
  <c r="R195" i="14"/>
  <c r="R196" i="14"/>
  <c r="R197" i="14"/>
  <c r="R198" i="14"/>
  <c r="R199" i="14"/>
  <c r="R200" i="14"/>
  <c r="R201" i="14"/>
  <c r="R202" i="14"/>
  <c r="R203" i="14"/>
  <c r="R204" i="14"/>
  <c r="R205" i="14"/>
  <c r="R206" i="14"/>
  <c r="R207" i="14"/>
  <c r="R208" i="14"/>
  <c r="R209" i="14"/>
  <c r="R210" i="14"/>
  <c r="R211" i="14"/>
  <c r="R212" i="14"/>
  <c r="R213" i="14"/>
  <c r="R214" i="14"/>
  <c r="R215" i="14"/>
  <c r="R216" i="14"/>
  <c r="R217" i="14"/>
  <c r="R218" i="14"/>
  <c r="R219" i="14"/>
  <c r="R220" i="14"/>
  <c r="R221" i="14"/>
  <c r="R222" i="14"/>
  <c r="R223" i="14"/>
  <c r="R224" i="14"/>
  <c r="R225" i="14"/>
  <c r="R226" i="14"/>
  <c r="R227" i="14"/>
  <c r="R228" i="14"/>
  <c r="R229" i="14"/>
  <c r="R230" i="14"/>
  <c r="R231" i="14"/>
  <c r="R232" i="14"/>
  <c r="R233" i="14"/>
  <c r="R234" i="14"/>
  <c r="R235" i="14"/>
  <c r="R236" i="14"/>
  <c r="R237" i="14"/>
  <c r="R238" i="14"/>
  <c r="R239" i="14"/>
  <c r="R240" i="14"/>
  <c r="R241" i="14"/>
  <c r="R242" i="14"/>
  <c r="R243" i="14"/>
  <c r="R244" i="14"/>
  <c r="R245" i="14"/>
  <c r="R246" i="14"/>
  <c r="R247" i="14"/>
  <c r="R248" i="14"/>
  <c r="R249" i="14"/>
  <c r="R250" i="14"/>
  <c r="R251" i="14"/>
  <c r="R252" i="14"/>
  <c r="R253" i="14"/>
  <c r="R254" i="14"/>
  <c r="R255" i="14"/>
  <c r="R256" i="14"/>
  <c r="R257" i="14"/>
  <c r="R258" i="14"/>
  <c r="R259" i="14"/>
  <c r="R260" i="14"/>
  <c r="R261" i="14"/>
  <c r="R262" i="14"/>
  <c r="R263" i="14"/>
  <c r="R264" i="14"/>
  <c r="R265" i="14"/>
  <c r="R266" i="14"/>
  <c r="R267" i="14"/>
  <c r="R268" i="14"/>
  <c r="R269" i="14"/>
  <c r="R270" i="14"/>
  <c r="R271" i="14"/>
  <c r="R272" i="14"/>
  <c r="R273" i="14"/>
  <c r="R274" i="14"/>
  <c r="R275" i="14"/>
  <c r="R276" i="14"/>
  <c r="R277" i="14"/>
  <c r="R278" i="14"/>
  <c r="R279" i="14"/>
  <c r="R280" i="14"/>
  <c r="R281" i="14"/>
  <c r="R282" i="14"/>
  <c r="R283" i="14"/>
  <c r="R284" i="14"/>
  <c r="R285" i="14"/>
  <c r="R286" i="14"/>
  <c r="R287" i="14"/>
  <c r="R288" i="14"/>
  <c r="R289" i="14"/>
  <c r="R290" i="14"/>
  <c r="R291" i="14"/>
  <c r="R292" i="14"/>
  <c r="R293" i="14"/>
  <c r="R294" i="14"/>
  <c r="R295" i="14"/>
  <c r="R296" i="14"/>
  <c r="R297" i="14"/>
  <c r="R298" i="14"/>
  <c r="R299" i="14"/>
  <c r="R300" i="14"/>
  <c r="R301" i="14"/>
  <c r="R302" i="14"/>
  <c r="R303" i="14"/>
  <c r="R304" i="14"/>
  <c r="R305" i="14"/>
  <c r="R306" i="14"/>
  <c r="R307" i="14"/>
  <c r="R308" i="14"/>
  <c r="R309" i="14"/>
  <c r="R310" i="14"/>
  <c r="R311" i="14"/>
  <c r="R312" i="14"/>
  <c r="R313" i="14"/>
  <c r="R314" i="14"/>
  <c r="R315" i="14"/>
  <c r="R316" i="14"/>
  <c r="R317" i="14"/>
  <c r="R318" i="14"/>
  <c r="R319" i="14"/>
  <c r="R320" i="14"/>
  <c r="R321" i="14"/>
  <c r="R322" i="14"/>
  <c r="R323" i="14"/>
  <c r="R324" i="14"/>
  <c r="R325" i="14"/>
  <c r="R326" i="14"/>
  <c r="R327" i="14"/>
  <c r="R328" i="14"/>
  <c r="R329" i="14"/>
  <c r="R330" i="14"/>
  <c r="R331" i="14"/>
  <c r="R332" i="14"/>
  <c r="R333" i="14"/>
  <c r="R334" i="14"/>
  <c r="R335" i="14"/>
  <c r="R336" i="14"/>
  <c r="R337" i="14"/>
  <c r="R338" i="14"/>
  <c r="R339" i="14"/>
  <c r="R340" i="14"/>
  <c r="R341" i="14"/>
  <c r="R342" i="14"/>
  <c r="R343" i="14"/>
  <c r="R344" i="14"/>
  <c r="R345" i="14"/>
  <c r="R346" i="14"/>
  <c r="R347" i="14"/>
  <c r="R348" i="14"/>
  <c r="R349" i="14"/>
  <c r="R350" i="14"/>
  <c r="R351" i="14"/>
  <c r="R352" i="14"/>
  <c r="R353" i="14"/>
  <c r="R354" i="14"/>
  <c r="R355" i="14"/>
  <c r="R356" i="14"/>
  <c r="R357" i="14"/>
  <c r="R358" i="14"/>
  <c r="R359" i="14"/>
  <c r="R360" i="14"/>
  <c r="R361" i="14"/>
  <c r="R362" i="14"/>
  <c r="R363" i="14"/>
  <c r="R364" i="14"/>
  <c r="R365" i="14"/>
  <c r="R366" i="14"/>
  <c r="R367" i="14"/>
  <c r="R368" i="14"/>
  <c r="R369" i="14"/>
  <c r="R370" i="14"/>
  <c r="R371" i="14"/>
  <c r="R372" i="14"/>
  <c r="R373" i="14"/>
  <c r="R374" i="14"/>
  <c r="R375" i="14"/>
  <c r="R376" i="14"/>
  <c r="R377" i="14"/>
  <c r="R378" i="14"/>
  <c r="R379" i="14"/>
  <c r="R380" i="14"/>
  <c r="R381" i="14"/>
  <c r="R382" i="14"/>
  <c r="R383" i="14"/>
  <c r="R384" i="14"/>
  <c r="R385" i="14"/>
  <c r="R386" i="14"/>
  <c r="R387" i="14"/>
  <c r="R388" i="14"/>
  <c r="R389" i="14"/>
  <c r="R390" i="14"/>
  <c r="R391" i="14"/>
  <c r="R392" i="14"/>
  <c r="R393" i="14"/>
  <c r="R394" i="14"/>
  <c r="R395" i="14"/>
  <c r="R396" i="14"/>
  <c r="R397" i="14"/>
  <c r="R398" i="14"/>
  <c r="R399" i="14"/>
  <c r="R400" i="14"/>
  <c r="R401" i="14"/>
  <c r="R402" i="14"/>
  <c r="R403" i="14"/>
  <c r="R404" i="14"/>
  <c r="R405" i="14"/>
  <c r="R406" i="14"/>
  <c r="R407" i="14"/>
  <c r="R408" i="14"/>
  <c r="R409" i="14"/>
  <c r="R410" i="14"/>
  <c r="R411" i="14"/>
  <c r="R412" i="14"/>
  <c r="R413" i="14"/>
  <c r="R414" i="14"/>
  <c r="R415" i="14"/>
  <c r="R416" i="14"/>
  <c r="R417" i="14"/>
  <c r="R418" i="14"/>
  <c r="R419" i="14"/>
  <c r="R420" i="14"/>
  <c r="R421" i="14"/>
  <c r="R422" i="14"/>
  <c r="R423" i="14"/>
  <c r="R424" i="14"/>
  <c r="R425" i="14"/>
  <c r="R426" i="14"/>
  <c r="R427" i="14"/>
  <c r="R428" i="14"/>
  <c r="R429" i="14"/>
  <c r="R430" i="14"/>
  <c r="R431" i="14"/>
  <c r="R432" i="14"/>
  <c r="R433" i="14"/>
  <c r="R434" i="14"/>
  <c r="R435" i="14"/>
  <c r="R436" i="14"/>
  <c r="R437" i="14"/>
  <c r="R438" i="14"/>
  <c r="R439" i="14"/>
  <c r="R440" i="14"/>
  <c r="R441" i="14"/>
  <c r="R442" i="14"/>
  <c r="R443" i="14"/>
  <c r="R444" i="14"/>
  <c r="R445" i="14"/>
  <c r="R446" i="14"/>
  <c r="R447" i="14"/>
  <c r="R448" i="14"/>
  <c r="R449" i="14"/>
  <c r="R450" i="14"/>
  <c r="R451" i="14"/>
  <c r="R452" i="14"/>
  <c r="R453" i="14"/>
  <c r="R454" i="14"/>
  <c r="R455" i="14"/>
  <c r="R456" i="14"/>
  <c r="R457" i="14"/>
  <c r="R458" i="14"/>
  <c r="R459" i="14"/>
  <c r="R460" i="14"/>
  <c r="R461" i="14"/>
  <c r="R462" i="14"/>
  <c r="R463" i="14"/>
  <c r="R464" i="14"/>
  <c r="R465" i="14"/>
  <c r="R466" i="14"/>
  <c r="R467" i="14"/>
  <c r="R468" i="14"/>
  <c r="R469" i="14"/>
  <c r="R470" i="14"/>
  <c r="R471" i="14"/>
  <c r="R472" i="14"/>
  <c r="R473" i="14"/>
  <c r="R474" i="14"/>
  <c r="R475" i="14"/>
  <c r="R476" i="14"/>
  <c r="R477" i="14"/>
  <c r="R478" i="14"/>
  <c r="R479" i="14"/>
  <c r="R480" i="14"/>
  <c r="AC477" i="14" l="1"/>
  <c r="AB477" i="14"/>
  <c r="AA477" i="14"/>
  <c r="Z477" i="14"/>
  <c r="Y477" i="14"/>
  <c r="W477" i="14"/>
  <c r="X477" i="14"/>
  <c r="AC469" i="14"/>
  <c r="AB469" i="14"/>
  <c r="AA469" i="14"/>
  <c r="Z469" i="14"/>
  <c r="Y469" i="14"/>
  <c r="W469" i="14"/>
  <c r="X469" i="14"/>
  <c r="AC461" i="14"/>
  <c r="AB461" i="14"/>
  <c r="AA461" i="14"/>
  <c r="Z461" i="14"/>
  <c r="Y461" i="14"/>
  <c r="W461" i="14"/>
  <c r="X461" i="14"/>
  <c r="AC453" i="14"/>
  <c r="AB453" i="14"/>
  <c r="AA453" i="14"/>
  <c r="Z453" i="14"/>
  <c r="Y453" i="14"/>
  <c r="W453" i="14"/>
  <c r="X453" i="14"/>
  <c r="AC445" i="14"/>
  <c r="AB445" i="14"/>
  <c r="AA445" i="14"/>
  <c r="Z445" i="14"/>
  <c r="Y445" i="14"/>
  <c r="W445" i="14"/>
  <c r="X445" i="14"/>
  <c r="AC437" i="14"/>
  <c r="AB437" i="14"/>
  <c r="AA437" i="14"/>
  <c r="Z437" i="14"/>
  <c r="Y437" i="14"/>
  <c r="W437" i="14"/>
  <c r="X437" i="14"/>
  <c r="AC429" i="14"/>
  <c r="AB429" i="14"/>
  <c r="AA429" i="14"/>
  <c r="Z429" i="14"/>
  <c r="Y429" i="14"/>
  <c r="W429" i="14"/>
  <c r="X429" i="14"/>
  <c r="AC421" i="14"/>
  <c r="AB421" i="14"/>
  <c r="AA421" i="14"/>
  <c r="Z421" i="14"/>
  <c r="Y421" i="14"/>
  <c r="W421" i="14"/>
  <c r="X421" i="14"/>
  <c r="AC413" i="14"/>
  <c r="AB413" i="14"/>
  <c r="AA413" i="14"/>
  <c r="Z413" i="14"/>
  <c r="Y413" i="14"/>
  <c r="W413" i="14"/>
  <c r="X413" i="14"/>
  <c r="AC405" i="14"/>
  <c r="AB405" i="14"/>
  <c r="AA405" i="14"/>
  <c r="Z405" i="14"/>
  <c r="Y405" i="14"/>
  <c r="W405" i="14"/>
  <c r="X405" i="14"/>
  <c r="AC397" i="14"/>
  <c r="AB397" i="14"/>
  <c r="AA397" i="14"/>
  <c r="Z397" i="14"/>
  <c r="Y397" i="14"/>
  <c r="W397" i="14"/>
  <c r="X397" i="14"/>
  <c r="AC389" i="14"/>
  <c r="AB389" i="14"/>
  <c r="AA389" i="14"/>
  <c r="Z389" i="14"/>
  <c r="Y389" i="14"/>
  <c r="W389" i="14"/>
  <c r="X389" i="14"/>
  <c r="AC381" i="14"/>
  <c r="AB381" i="14"/>
  <c r="AA381" i="14"/>
  <c r="Z381" i="14"/>
  <c r="Y381" i="14"/>
  <c r="W381" i="14"/>
  <c r="X381" i="14"/>
  <c r="AC373" i="14"/>
  <c r="AB373" i="14"/>
  <c r="AA373" i="14"/>
  <c r="Z373" i="14"/>
  <c r="Y373" i="14"/>
  <c r="W373" i="14"/>
  <c r="X373" i="14"/>
  <c r="AC365" i="14"/>
  <c r="AB365" i="14"/>
  <c r="AA365" i="14"/>
  <c r="Z365" i="14"/>
  <c r="Y365" i="14"/>
  <c r="W365" i="14"/>
  <c r="X365" i="14"/>
  <c r="AC357" i="14"/>
  <c r="AB357" i="14"/>
  <c r="AA357" i="14"/>
  <c r="Z357" i="14"/>
  <c r="Y357" i="14"/>
  <c r="W357" i="14"/>
  <c r="X357" i="14"/>
  <c r="AC349" i="14"/>
  <c r="AB349" i="14"/>
  <c r="AA349" i="14"/>
  <c r="Z349" i="14"/>
  <c r="Y349" i="14"/>
  <c r="W349" i="14"/>
  <c r="X349" i="14"/>
  <c r="AC341" i="14"/>
  <c r="AB341" i="14"/>
  <c r="AA341" i="14"/>
  <c r="Z341" i="14"/>
  <c r="Y341" i="14"/>
  <c r="W341" i="14"/>
  <c r="X341" i="14"/>
  <c r="AC333" i="14"/>
  <c r="AB333" i="14"/>
  <c r="AA333" i="14"/>
  <c r="Z333" i="14"/>
  <c r="Y333" i="14"/>
  <c r="W333" i="14"/>
  <c r="X333" i="14"/>
  <c r="AC325" i="14"/>
  <c r="AB325" i="14"/>
  <c r="AA325" i="14"/>
  <c r="Z325" i="14"/>
  <c r="Y325" i="14"/>
  <c r="W325" i="14"/>
  <c r="X325" i="14"/>
  <c r="AC317" i="14"/>
  <c r="AB317" i="14"/>
  <c r="AA317" i="14"/>
  <c r="Z317" i="14"/>
  <c r="Y317" i="14"/>
  <c r="W317" i="14"/>
  <c r="X317" i="14"/>
  <c r="AC309" i="14"/>
  <c r="AB309" i="14"/>
  <c r="AA309" i="14"/>
  <c r="Z309" i="14"/>
  <c r="Y309" i="14"/>
  <c r="W309" i="14"/>
  <c r="X309" i="14"/>
  <c r="AC301" i="14"/>
  <c r="AB301" i="14"/>
  <c r="AA301" i="14"/>
  <c r="Z301" i="14"/>
  <c r="Y301" i="14"/>
  <c r="W301" i="14"/>
  <c r="X301" i="14"/>
  <c r="AC293" i="14"/>
  <c r="AB293" i="14"/>
  <c r="AA293" i="14"/>
  <c r="Z293" i="14"/>
  <c r="Y293" i="14"/>
  <c r="W293" i="14"/>
  <c r="X293" i="14"/>
  <c r="AC285" i="14"/>
  <c r="AB285" i="14"/>
  <c r="AA285" i="14"/>
  <c r="Z285" i="14"/>
  <c r="Y285" i="14"/>
  <c r="W285" i="14"/>
  <c r="X285" i="14"/>
  <c r="AC277" i="14"/>
  <c r="AB277" i="14"/>
  <c r="AA277" i="14"/>
  <c r="Z277" i="14"/>
  <c r="Y277" i="14"/>
  <c r="W277" i="14"/>
  <c r="X277" i="14"/>
  <c r="AC269" i="14"/>
  <c r="AB269" i="14"/>
  <c r="AA269" i="14"/>
  <c r="Z269" i="14"/>
  <c r="Y269" i="14"/>
  <c r="W269" i="14"/>
  <c r="X269" i="14"/>
  <c r="AC261" i="14"/>
  <c r="AB261" i="14"/>
  <c r="AA261" i="14"/>
  <c r="Z261" i="14"/>
  <c r="Y261" i="14"/>
  <c r="W261" i="14"/>
  <c r="X261" i="14"/>
  <c r="AC253" i="14"/>
  <c r="AB253" i="14"/>
  <c r="AA253" i="14"/>
  <c r="Z253" i="14"/>
  <c r="Y253" i="14"/>
  <c r="W253" i="14"/>
  <c r="X253" i="14"/>
  <c r="AC245" i="14"/>
  <c r="AB245" i="14"/>
  <c r="AA245" i="14"/>
  <c r="Z245" i="14"/>
  <c r="Y245" i="14"/>
  <c r="W245" i="14"/>
  <c r="X245" i="14"/>
  <c r="AC237" i="14"/>
  <c r="AB237" i="14"/>
  <c r="AA237" i="14"/>
  <c r="Y237" i="14"/>
  <c r="Z237" i="14"/>
  <c r="W237" i="14"/>
  <c r="X237" i="14"/>
  <c r="AC229" i="14"/>
  <c r="AB229" i="14"/>
  <c r="AA229" i="14"/>
  <c r="Y229" i="14"/>
  <c r="Z229" i="14"/>
  <c r="W229" i="14"/>
  <c r="X229" i="14"/>
  <c r="AC221" i="14"/>
  <c r="AB221" i="14"/>
  <c r="AA221" i="14"/>
  <c r="Y221" i="14"/>
  <c r="Z221" i="14"/>
  <c r="W221" i="14"/>
  <c r="X221" i="14"/>
  <c r="AC213" i="14"/>
  <c r="AB213" i="14"/>
  <c r="AA213" i="14"/>
  <c r="Y213" i="14"/>
  <c r="Z213" i="14"/>
  <c r="W213" i="14"/>
  <c r="X213" i="14"/>
  <c r="AC205" i="14"/>
  <c r="AB205" i="14"/>
  <c r="AA205" i="14"/>
  <c r="Y205" i="14"/>
  <c r="Z205" i="14"/>
  <c r="W205" i="14"/>
  <c r="X205" i="14"/>
  <c r="AB197" i="14"/>
  <c r="AC197" i="14"/>
  <c r="AA197" i="14"/>
  <c r="Y197" i="14"/>
  <c r="Z197" i="14"/>
  <c r="W197" i="14"/>
  <c r="X197" i="14"/>
  <c r="AC189" i="14"/>
  <c r="AB189" i="14"/>
  <c r="AA189" i="14"/>
  <c r="Y189" i="14"/>
  <c r="Z189" i="14"/>
  <c r="W189" i="14"/>
  <c r="X189" i="14"/>
  <c r="AC181" i="14"/>
  <c r="AB181" i="14"/>
  <c r="AA181" i="14"/>
  <c r="Y181" i="14"/>
  <c r="Z181" i="14"/>
  <c r="W181" i="14"/>
  <c r="X181" i="14"/>
  <c r="AB173" i="14"/>
  <c r="AC173" i="14"/>
  <c r="AA173" i="14"/>
  <c r="Y173" i="14"/>
  <c r="Z173" i="14"/>
  <c r="W173" i="14"/>
  <c r="X173" i="14"/>
  <c r="AC165" i="14"/>
  <c r="AB165" i="14"/>
  <c r="AA165" i="14"/>
  <c r="Y165" i="14"/>
  <c r="Z165" i="14"/>
  <c r="W165" i="14"/>
  <c r="X165" i="14"/>
  <c r="AC157" i="14"/>
  <c r="AB157" i="14"/>
  <c r="AA157" i="14"/>
  <c r="Y157" i="14"/>
  <c r="Z157" i="14"/>
  <c r="W157" i="14"/>
  <c r="X157" i="14"/>
  <c r="AB149" i="14"/>
  <c r="AC149" i="14"/>
  <c r="AA149" i="14"/>
  <c r="Y149" i="14"/>
  <c r="Z149" i="14"/>
  <c r="W149" i="14"/>
  <c r="X149" i="14"/>
  <c r="AC141" i="14"/>
  <c r="AB141" i="14"/>
  <c r="AA141" i="14"/>
  <c r="Y141" i="14"/>
  <c r="Z141" i="14"/>
  <c r="W141" i="14"/>
  <c r="X141" i="14"/>
  <c r="AB133" i="14"/>
  <c r="AC133" i="14"/>
  <c r="AA133" i="14"/>
  <c r="Y133" i="14"/>
  <c r="Z133" i="14"/>
  <c r="W133" i="14"/>
  <c r="X133" i="14"/>
  <c r="AC125" i="14"/>
  <c r="AB125" i="14"/>
  <c r="AA125" i="14"/>
  <c r="Y125" i="14"/>
  <c r="Z125" i="14"/>
  <c r="V125" i="14"/>
  <c r="W125" i="14"/>
  <c r="X125" i="14"/>
  <c r="AC117" i="14"/>
  <c r="AB117" i="14"/>
  <c r="AA117" i="14"/>
  <c r="Z117" i="14"/>
  <c r="Y117" i="14"/>
  <c r="V117" i="14"/>
  <c r="W117" i="14"/>
  <c r="X117" i="14"/>
  <c r="AB109" i="14"/>
  <c r="AC109" i="14"/>
  <c r="AA109" i="14"/>
  <c r="Z109" i="14"/>
  <c r="Y109" i="14"/>
  <c r="V109" i="14"/>
  <c r="W109" i="14"/>
  <c r="X109" i="14"/>
  <c r="AC101" i="14"/>
  <c r="AB101" i="14"/>
  <c r="AA101" i="14"/>
  <c r="Y101" i="14"/>
  <c r="Z101" i="14"/>
  <c r="V101" i="14"/>
  <c r="W101" i="14"/>
  <c r="X101" i="14"/>
  <c r="AC93" i="14"/>
  <c r="AB93" i="14"/>
  <c r="AA93" i="14"/>
  <c r="Z93" i="14"/>
  <c r="Y93" i="14"/>
  <c r="V93" i="14"/>
  <c r="W93" i="14"/>
  <c r="X93" i="14"/>
  <c r="AB85" i="14"/>
  <c r="AC85" i="14"/>
  <c r="AA85" i="14"/>
  <c r="Y85" i="14"/>
  <c r="Z85" i="14"/>
  <c r="V85" i="14"/>
  <c r="W85" i="14"/>
  <c r="X85" i="14"/>
  <c r="AC77" i="14"/>
  <c r="AB77" i="14"/>
  <c r="AA77" i="14"/>
  <c r="Z77" i="14"/>
  <c r="Y77" i="14"/>
  <c r="V77" i="14"/>
  <c r="W77" i="14"/>
  <c r="X77" i="14"/>
  <c r="AB69" i="14"/>
  <c r="AC69" i="14"/>
  <c r="AA69" i="14"/>
  <c r="Z69" i="14"/>
  <c r="Y69" i="14"/>
  <c r="V69" i="14"/>
  <c r="W69" i="14"/>
  <c r="X69" i="14"/>
  <c r="AC61" i="14"/>
  <c r="AB61" i="14"/>
  <c r="AA61" i="14"/>
  <c r="Y61" i="14"/>
  <c r="Z61" i="14"/>
  <c r="V61" i="14"/>
  <c r="W61" i="14"/>
  <c r="X61" i="14"/>
  <c r="AC53" i="14"/>
  <c r="AB53" i="14"/>
  <c r="AA53" i="14"/>
  <c r="Z53" i="14"/>
  <c r="Y53" i="14"/>
  <c r="V53" i="14"/>
  <c r="W53" i="14"/>
  <c r="X53" i="14"/>
  <c r="AB45" i="14"/>
  <c r="AC45" i="14"/>
  <c r="AA45" i="14"/>
  <c r="Z45" i="14"/>
  <c r="Y45" i="14"/>
  <c r="V45" i="14"/>
  <c r="W45" i="14"/>
  <c r="X45" i="14"/>
  <c r="AC37" i="14"/>
  <c r="AB37" i="14"/>
  <c r="AA37" i="14"/>
  <c r="Z37" i="14"/>
  <c r="Y37" i="14"/>
  <c r="V37" i="14"/>
  <c r="W37" i="14"/>
  <c r="X37" i="14"/>
  <c r="AC29" i="14"/>
  <c r="AB29" i="14"/>
  <c r="AA29" i="14"/>
  <c r="Z29" i="14"/>
  <c r="Y29" i="14"/>
  <c r="V29" i="14"/>
  <c r="W29" i="14"/>
  <c r="X29" i="14"/>
  <c r="AB21" i="14"/>
  <c r="AC21" i="14"/>
  <c r="AA21" i="14"/>
  <c r="Z21" i="14"/>
  <c r="Y21" i="14"/>
  <c r="V21" i="14"/>
  <c r="W21" i="14"/>
  <c r="X21" i="14"/>
  <c r="AC13" i="14"/>
  <c r="AB13" i="14"/>
  <c r="AA13" i="14"/>
  <c r="Z13" i="14"/>
  <c r="Y13" i="14"/>
  <c r="V13" i="14"/>
  <c r="W13" i="14"/>
  <c r="X13" i="14"/>
  <c r="AC5" i="14"/>
  <c r="AB5" i="14"/>
  <c r="AA5" i="14"/>
  <c r="Z5" i="14"/>
  <c r="Y5" i="14"/>
  <c r="V5" i="14"/>
  <c r="W5" i="14"/>
  <c r="X5" i="14"/>
  <c r="AC476" i="14"/>
  <c r="AB476" i="14"/>
  <c r="AA476" i="14"/>
  <c r="Z476" i="14"/>
  <c r="W476" i="14"/>
  <c r="X476" i="14"/>
  <c r="Y476" i="14"/>
  <c r="AC468" i="14"/>
  <c r="AB468" i="14"/>
  <c r="AA468" i="14"/>
  <c r="Z468" i="14"/>
  <c r="W468" i="14"/>
  <c r="X468" i="14"/>
  <c r="Y468" i="14"/>
  <c r="AC460" i="14"/>
  <c r="AB460" i="14"/>
  <c r="AA460" i="14"/>
  <c r="Z460" i="14"/>
  <c r="W460" i="14"/>
  <c r="X460" i="14"/>
  <c r="Y460" i="14"/>
  <c r="AC452" i="14"/>
  <c r="AB452" i="14"/>
  <c r="AA452" i="14"/>
  <c r="Z452" i="14"/>
  <c r="W452" i="14"/>
  <c r="X452" i="14"/>
  <c r="Y452" i="14"/>
  <c r="AC444" i="14"/>
  <c r="AB444" i="14"/>
  <c r="AA444" i="14"/>
  <c r="Z444" i="14"/>
  <c r="W444" i="14"/>
  <c r="X444" i="14"/>
  <c r="Y444" i="14"/>
  <c r="AC436" i="14"/>
  <c r="AB436" i="14"/>
  <c r="AA436" i="14"/>
  <c r="Z436" i="14"/>
  <c r="W436" i="14"/>
  <c r="X436" i="14"/>
  <c r="Y436" i="14"/>
  <c r="AC428" i="14"/>
  <c r="AB428" i="14"/>
  <c r="AA428" i="14"/>
  <c r="Z428" i="14"/>
  <c r="W428" i="14"/>
  <c r="X428" i="14"/>
  <c r="Y428" i="14"/>
  <c r="AC420" i="14"/>
  <c r="AB420" i="14"/>
  <c r="AA420" i="14"/>
  <c r="Z420" i="14"/>
  <c r="W420" i="14"/>
  <c r="X420" i="14"/>
  <c r="Y420" i="14"/>
  <c r="AC412" i="14"/>
  <c r="AB412" i="14"/>
  <c r="AA412" i="14"/>
  <c r="Z412" i="14"/>
  <c r="W412" i="14"/>
  <c r="X412" i="14"/>
  <c r="Y412" i="14"/>
  <c r="AC404" i="14"/>
  <c r="AA404" i="14"/>
  <c r="AB404" i="14"/>
  <c r="Z404" i="14"/>
  <c r="W404" i="14"/>
  <c r="X404" i="14"/>
  <c r="Y404" i="14"/>
  <c r="AC396" i="14"/>
  <c r="AB396" i="14"/>
  <c r="AA396" i="14"/>
  <c r="Z396" i="14"/>
  <c r="W396" i="14"/>
  <c r="X396" i="14"/>
  <c r="Y396" i="14"/>
  <c r="AC388" i="14"/>
  <c r="AA388" i="14"/>
  <c r="AB388" i="14"/>
  <c r="Z388" i="14"/>
  <c r="W388" i="14"/>
  <c r="X388" i="14"/>
  <c r="Y388" i="14"/>
  <c r="AC380" i="14"/>
  <c r="AB380" i="14"/>
  <c r="AA380" i="14"/>
  <c r="Z380" i="14"/>
  <c r="W380" i="14"/>
  <c r="X380" i="14"/>
  <c r="Y380" i="14"/>
  <c r="AC372" i="14"/>
  <c r="AA372" i="14"/>
  <c r="AB372" i="14"/>
  <c r="Z372" i="14"/>
  <c r="W372" i="14"/>
  <c r="X372" i="14"/>
  <c r="Y372" i="14"/>
  <c r="AC364" i="14"/>
  <c r="AB364" i="14"/>
  <c r="AA364" i="14"/>
  <c r="Z364" i="14"/>
  <c r="W364" i="14"/>
  <c r="X364" i="14"/>
  <c r="Y364" i="14"/>
  <c r="AC356" i="14"/>
  <c r="AA356" i="14"/>
  <c r="AB356" i="14"/>
  <c r="Z356" i="14"/>
  <c r="W356" i="14"/>
  <c r="X356" i="14"/>
  <c r="Y356" i="14"/>
  <c r="AC348" i="14"/>
  <c r="AB348" i="14"/>
  <c r="AA348" i="14"/>
  <c r="Z348" i="14"/>
  <c r="W348" i="14"/>
  <c r="X348" i="14"/>
  <c r="Y348" i="14"/>
  <c r="AC340" i="14"/>
  <c r="AA340" i="14"/>
  <c r="AB340" i="14"/>
  <c r="Z340" i="14"/>
  <c r="W340" i="14"/>
  <c r="X340" i="14"/>
  <c r="Y340" i="14"/>
  <c r="AC332" i="14"/>
  <c r="AB332" i="14"/>
  <c r="AA332" i="14"/>
  <c r="Z332" i="14"/>
  <c r="W332" i="14"/>
  <c r="X332" i="14"/>
  <c r="Y332" i="14"/>
  <c r="AC324" i="14"/>
  <c r="AA324" i="14"/>
  <c r="AB324" i="14"/>
  <c r="Z324" i="14"/>
  <c r="W324" i="14"/>
  <c r="X324" i="14"/>
  <c r="Y324" i="14"/>
  <c r="AC316" i="14"/>
  <c r="AB316" i="14"/>
  <c r="AA316" i="14"/>
  <c r="Z316" i="14"/>
  <c r="W316" i="14"/>
  <c r="X316" i="14"/>
  <c r="Y316" i="14"/>
  <c r="AC308" i="14"/>
  <c r="AA308" i="14"/>
  <c r="AB308" i="14"/>
  <c r="Z308" i="14"/>
  <c r="W308" i="14"/>
  <c r="X308" i="14"/>
  <c r="Y308" i="14"/>
  <c r="AC300" i="14"/>
  <c r="AB300" i="14"/>
  <c r="AA300" i="14"/>
  <c r="Z300" i="14"/>
  <c r="W300" i="14"/>
  <c r="X300" i="14"/>
  <c r="Y300" i="14"/>
  <c r="AC292" i="14"/>
  <c r="AA292" i="14"/>
  <c r="AB292" i="14"/>
  <c r="Z292" i="14"/>
  <c r="W292" i="14"/>
  <c r="X292" i="14"/>
  <c r="Y292" i="14"/>
  <c r="AC284" i="14"/>
  <c r="AB284" i="14"/>
  <c r="AA284" i="14"/>
  <c r="Z284" i="14"/>
  <c r="W284" i="14"/>
  <c r="X284" i="14"/>
  <c r="Y284" i="14"/>
  <c r="AC276" i="14"/>
  <c r="AB276" i="14"/>
  <c r="AA276" i="14"/>
  <c r="Z276" i="14"/>
  <c r="W276" i="14"/>
  <c r="X276" i="14"/>
  <c r="Y276" i="14"/>
  <c r="AC268" i="14"/>
  <c r="AA268" i="14"/>
  <c r="AB268" i="14"/>
  <c r="Z268" i="14"/>
  <c r="W268" i="14"/>
  <c r="X268" i="14"/>
  <c r="Y268" i="14"/>
  <c r="AC260" i="14"/>
  <c r="AA260" i="14"/>
  <c r="AB260" i="14"/>
  <c r="Z260" i="14"/>
  <c r="W260" i="14"/>
  <c r="X260" i="14"/>
  <c r="Y260" i="14"/>
  <c r="AC252" i="14"/>
  <c r="AA252" i="14"/>
  <c r="AB252" i="14"/>
  <c r="Y252" i="14"/>
  <c r="Z252" i="14"/>
  <c r="W252" i="14"/>
  <c r="X252" i="14"/>
  <c r="AC244" i="14"/>
  <c r="AB244" i="14"/>
  <c r="AA244" i="14"/>
  <c r="Y244" i="14"/>
  <c r="Z244" i="14"/>
  <c r="W244" i="14"/>
  <c r="X244" i="14"/>
  <c r="AC236" i="14"/>
  <c r="AB236" i="14"/>
  <c r="AA236" i="14"/>
  <c r="Y236" i="14"/>
  <c r="Z236" i="14"/>
  <c r="W236" i="14"/>
  <c r="X236" i="14"/>
  <c r="AC228" i="14"/>
  <c r="AA228" i="14"/>
  <c r="AB228" i="14"/>
  <c r="Y228" i="14"/>
  <c r="Z228" i="14"/>
  <c r="W228" i="14"/>
  <c r="X228" i="14"/>
  <c r="AC220" i="14"/>
  <c r="AB220" i="14"/>
  <c r="AA220" i="14"/>
  <c r="Y220" i="14"/>
  <c r="Z220" i="14"/>
  <c r="W220" i="14"/>
  <c r="X220" i="14"/>
  <c r="AC212" i="14"/>
  <c r="AB212" i="14"/>
  <c r="AA212" i="14"/>
  <c r="Y212" i="14"/>
  <c r="Z212" i="14"/>
  <c r="W212" i="14"/>
  <c r="X212" i="14"/>
  <c r="AC204" i="14"/>
  <c r="AA204" i="14"/>
  <c r="AB204" i="14"/>
  <c r="Y204" i="14"/>
  <c r="Z204" i="14"/>
  <c r="W204" i="14"/>
  <c r="X204" i="14"/>
  <c r="AB196" i="14"/>
  <c r="AC196" i="14"/>
  <c r="AA196" i="14"/>
  <c r="Y196" i="14"/>
  <c r="Z196" i="14"/>
  <c r="W196" i="14"/>
  <c r="X196" i="14"/>
  <c r="AC188" i="14"/>
  <c r="AB188" i="14"/>
  <c r="AA188" i="14"/>
  <c r="Y188" i="14"/>
  <c r="Z188" i="14"/>
  <c r="W188" i="14"/>
  <c r="X188" i="14"/>
  <c r="AC180" i="14"/>
  <c r="AB180" i="14"/>
  <c r="AA180" i="14"/>
  <c r="Y180" i="14"/>
  <c r="Z180" i="14"/>
  <c r="W180" i="14"/>
  <c r="X180" i="14"/>
  <c r="AB172" i="14"/>
  <c r="AC172" i="14"/>
  <c r="AA172" i="14"/>
  <c r="Y172" i="14"/>
  <c r="Z172" i="14"/>
  <c r="W172" i="14"/>
  <c r="X172" i="14"/>
  <c r="AC164" i="14"/>
  <c r="AB164" i="14"/>
  <c r="AA164" i="14"/>
  <c r="Y164" i="14"/>
  <c r="Z164" i="14"/>
  <c r="W164" i="14"/>
  <c r="X164" i="14"/>
  <c r="AB156" i="14"/>
  <c r="AC156" i="14"/>
  <c r="AA156" i="14"/>
  <c r="Y156" i="14"/>
  <c r="Z156" i="14"/>
  <c r="W156" i="14"/>
  <c r="X156" i="14"/>
  <c r="AC148" i="14"/>
  <c r="AB148" i="14"/>
  <c r="AA148" i="14"/>
  <c r="Y148" i="14"/>
  <c r="Z148" i="14"/>
  <c r="W148" i="14"/>
  <c r="X148" i="14"/>
  <c r="AC140" i="14"/>
  <c r="AB140" i="14"/>
  <c r="AA140" i="14"/>
  <c r="Y140" i="14"/>
  <c r="Z140" i="14"/>
  <c r="W140" i="14"/>
  <c r="X140" i="14"/>
  <c r="AB132" i="14"/>
  <c r="AC132" i="14"/>
  <c r="AA132" i="14"/>
  <c r="Y132" i="14"/>
  <c r="Z132" i="14"/>
  <c r="W132" i="14"/>
  <c r="X132" i="14"/>
  <c r="AC124" i="14"/>
  <c r="AB124" i="14"/>
  <c r="AA124" i="14"/>
  <c r="Y124" i="14"/>
  <c r="Z124" i="14"/>
  <c r="V124" i="14"/>
  <c r="W124" i="14"/>
  <c r="X124" i="14"/>
  <c r="AC116" i="14"/>
  <c r="AB116" i="14"/>
  <c r="AA116" i="14"/>
  <c r="Z116" i="14"/>
  <c r="Y116" i="14"/>
  <c r="V116" i="14"/>
  <c r="W116" i="14"/>
  <c r="X116" i="14"/>
  <c r="AB108" i="14"/>
  <c r="AC108" i="14"/>
  <c r="AA108" i="14"/>
  <c r="Z108" i="14"/>
  <c r="Y108" i="14"/>
  <c r="V108" i="14"/>
  <c r="W108" i="14"/>
  <c r="X108" i="14"/>
  <c r="AC100" i="14"/>
  <c r="AB100" i="14"/>
  <c r="AA100" i="14"/>
  <c r="Y100" i="14"/>
  <c r="Z100" i="14"/>
  <c r="V100" i="14"/>
  <c r="W100" i="14"/>
  <c r="X100" i="14"/>
  <c r="AB92" i="14"/>
  <c r="AC92" i="14"/>
  <c r="AA92" i="14"/>
  <c r="Z92" i="14"/>
  <c r="Y92" i="14"/>
  <c r="V92" i="14"/>
  <c r="W92" i="14"/>
  <c r="X92" i="14"/>
  <c r="AC84" i="14"/>
  <c r="AB84" i="14"/>
  <c r="AA84" i="14"/>
  <c r="Y84" i="14"/>
  <c r="Z84" i="14"/>
  <c r="V84" i="14"/>
  <c r="W84" i="14"/>
  <c r="X84" i="14"/>
  <c r="AC76" i="14"/>
  <c r="AB76" i="14"/>
  <c r="AA76" i="14"/>
  <c r="Y76" i="14"/>
  <c r="Z76" i="14"/>
  <c r="V76" i="14"/>
  <c r="W76" i="14"/>
  <c r="X76" i="14"/>
  <c r="AB68" i="14"/>
  <c r="AC68" i="14"/>
  <c r="AA68" i="14"/>
  <c r="Z68" i="14"/>
  <c r="Y68" i="14"/>
  <c r="V68" i="14"/>
  <c r="W68" i="14"/>
  <c r="X68" i="14"/>
  <c r="AC60" i="14"/>
  <c r="AB60" i="14"/>
  <c r="AA60" i="14"/>
  <c r="Y60" i="14"/>
  <c r="Z60" i="14"/>
  <c r="V60" i="14"/>
  <c r="W60" i="14"/>
  <c r="X60" i="14"/>
  <c r="AC52" i="14"/>
  <c r="AB52" i="14"/>
  <c r="AA52" i="14"/>
  <c r="Z52" i="14"/>
  <c r="Y52" i="14"/>
  <c r="V52" i="14"/>
  <c r="W52" i="14"/>
  <c r="X52" i="14"/>
  <c r="AB44" i="14"/>
  <c r="AC44" i="14"/>
  <c r="AA44" i="14"/>
  <c r="Z44" i="14"/>
  <c r="Y44" i="14"/>
  <c r="V44" i="14"/>
  <c r="W44" i="14"/>
  <c r="X44" i="14"/>
  <c r="AC36" i="14"/>
  <c r="AB36" i="14"/>
  <c r="AA36" i="14"/>
  <c r="Z36" i="14"/>
  <c r="Y36" i="14"/>
  <c r="V36" i="14"/>
  <c r="W36" i="14"/>
  <c r="X36" i="14"/>
  <c r="AB28" i="14"/>
  <c r="AC28" i="14"/>
  <c r="AA28" i="14"/>
  <c r="Z28" i="14"/>
  <c r="Y28" i="14"/>
  <c r="V28" i="14"/>
  <c r="W28" i="14"/>
  <c r="X28" i="14"/>
  <c r="AC20" i="14"/>
  <c r="AB20" i="14"/>
  <c r="Z20" i="14"/>
  <c r="AA20" i="14"/>
  <c r="Y20" i="14"/>
  <c r="V20" i="14"/>
  <c r="W20" i="14"/>
  <c r="X20" i="14"/>
  <c r="AC12" i="14"/>
  <c r="AB12" i="14"/>
  <c r="AA12" i="14"/>
  <c r="Z12" i="14"/>
  <c r="Y12" i="14"/>
  <c r="V12" i="14"/>
  <c r="W12" i="14"/>
  <c r="X12" i="14"/>
  <c r="AC4" i="14"/>
  <c r="AB4" i="14"/>
  <c r="AA4" i="14"/>
  <c r="Z4" i="14"/>
  <c r="Y4" i="14"/>
  <c r="V4" i="14"/>
  <c r="W4" i="14"/>
  <c r="X4" i="14"/>
  <c r="AC475" i="14"/>
  <c r="AB475" i="14"/>
  <c r="AA475" i="14"/>
  <c r="Z475" i="14"/>
  <c r="W475" i="14"/>
  <c r="X475" i="14"/>
  <c r="Y475" i="14"/>
  <c r="AC467" i="14"/>
  <c r="AA467" i="14"/>
  <c r="AB467" i="14"/>
  <c r="Z467" i="14"/>
  <c r="W467" i="14"/>
  <c r="X467" i="14"/>
  <c r="Y467" i="14"/>
  <c r="AC459" i="14"/>
  <c r="AB459" i="14"/>
  <c r="AA459" i="14"/>
  <c r="Z459" i="14"/>
  <c r="W459" i="14"/>
  <c r="X459" i="14"/>
  <c r="Y459" i="14"/>
  <c r="AC451" i="14"/>
  <c r="AB451" i="14"/>
  <c r="AA451" i="14"/>
  <c r="Z451" i="14"/>
  <c r="W451" i="14"/>
  <c r="X451" i="14"/>
  <c r="Y451" i="14"/>
  <c r="AC443" i="14"/>
  <c r="AB443" i="14"/>
  <c r="AA443" i="14"/>
  <c r="Z443" i="14"/>
  <c r="W443" i="14"/>
  <c r="X443" i="14"/>
  <c r="Y443" i="14"/>
  <c r="AB435" i="14"/>
  <c r="AC435" i="14"/>
  <c r="AA435" i="14"/>
  <c r="Z435" i="14"/>
  <c r="W435" i="14"/>
  <c r="X435" i="14"/>
  <c r="Y435" i="14"/>
  <c r="AC427" i="14"/>
  <c r="AB427" i="14"/>
  <c r="AA427" i="14"/>
  <c r="Z427" i="14"/>
  <c r="W427" i="14"/>
  <c r="X427" i="14"/>
  <c r="Y427" i="14"/>
  <c r="AC419" i="14"/>
  <c r="AB419" i="14"/>
  <c r="AA419" i="14"/>
  <c r="Z419" i="14"/>
  <c r="W419" i="14"/>
  <c r="X419" i="14"/>
  <c r="Y419" i="14"/>
  <c r="AB411" i="14"/>
  <c r="AC411" i="14"/>
  <c r="AA411" i="14"/>
  <c r="Z411" i="14"/>
  <c r="W411" i="14"/>
  <c r="X411" i="14"/>
  <c r="Y411" i="14"/>
  <c r="AC403" i="14"/>
  <c r="AB403" i="14"/>
  <c r="AA403" i="14"/>
  <c r="Z403" i="14"/>
  <c r="W403" i="14"/>
  <c r="X403" i="14"/>
  <c r="Y403" i="14"/>
  <c r="AC395" i="14"/>
  <c r="AB395" i="14"/>
  <c r="AA395" i="14"/>
  <c r="Z395" i="14"/>
  <c r="W395" i="14"/>
  <c r="X395" i="14"/>
  <c r="Y395" i="14"/>
  <c r="AC387" i="14"/>
  <c r="AB387" i="14"/>
  <c r="AA387" i="14"/>
  <c r="Z387" i="14"/>
  <c r="W387" i="14"/>
  <c r="X387" i="14"/>
  <c r="Y387" i="14"/>
  <c r="AC379" i="14"/>
  <c r="AB379" i="14"/>
  <c r="AA379" i="14"/>
  <c r="Z379" i="14"/>
  <c r="W379" i="14"/>
  <c r="X379" i="14"/>
  <c r="Y379" i="14"/>
  <c r="AB371" i="14"/>
  <c r="AC371" i="14"/>
  <c r="AA371" i="14"/>
  <c r="Z371" i="14"/>
  <c r="W371" i="14"/>
  <c r="X371" i="14"/>
  <c r="Y371" i="14"/>
  <c r="AC363" i="14"/>
  <c r="AB363" i="14"/>
  <c r="AA363" i="14"/>
  <c r="Z363" i="14"/>
  <c r="W363" i="14"/>
  <c r="X363" i="14"/>
  <c r="Y363" i="14"/>
  <c r="AC355" i="14"/>
  <c r="AB355" i="14"/>
  <c r="AA355" i="14"/>
  <c r="Z355" i="14"/>
  <c r="W355" i="14"/>
  <c r="X355" i="14"/>
  <c r="Y355" i="14"/>
  <c r="AB347" i="14"/>
  <c r="AC347" i="14"/>
  <c r="AA347" i="14"/>
  <c r="Z347" i="14"/>
  <c r="W347" i="14"/>
  <c r="X347" i="14"/>
  <c r="Y347" i="14"/>
  <c r="AC339" i="14"/>
  <c r="AB339" i="14"/>
  <c r="AA339" i="14"/>
  <c r="Z339" i="14"/>
  <c r="W339" i="14"/>
  <c r="X339" i="14"/>
  <c r="Y339" i="14"/>
  <c r="AC331" i="14"/>
  <c r="AB331" i="14"/>
  <c r="AA331" i="14"/>
  <c r="Z331" i="14"/>
  <c r="W331" i="14"/>
  <c r="X331" i="14"/>
  <c r="Y331" i="14"/>
  <c r="AC323" i="14"/>
  <c r="AB323" i="14"/>
  <c r="AA323" i="14"/>
  <c r="Z323" i="14"/>
  <c r="W323" i="14"/>
  <c r="X323" i="14"/>
  <c r="Y323" i="14"/>
  <c r="AC315" i="14"/>
  <c r="AB315" i="14"/>
  <c r="AA315" i="14"/>
  <c r="Z315" i="14"/>
  <c r="W315" i="14"/>
  <c r="X315" i="14"/>
  <c r="Y315" i="14"/>
  <c r="AB307" i="14"/>
  <c r="AC307" i="14"/>
  <c r="AA307" i="14"/>
  <c r="Z307" i="14"/>
  <c r="W307" i="14"/>
  <c r="X307" i="14"/>
  <c r="Y307" i="14"/>
  <c r="AC299" i="14"/>
  <c r="AB299" i="14"/>
  <c r="AA299" i="14"/>
  <c r="Z299" i="14"/>
  <c r="W299" i="14"/>
  <c r="X299" i="14"/>
  <c r="Y299" i="14"/>
  <c r="AC291" i="14"/>
  <c r="AB291" i="14"/>
  <c r="AA291" i="14"/>
  <c r="Z291" i="14"/>
  <c r="W291" i="14"/>
  <c r="X291" i="14"/>
  <c r="Y291" i="14"/>
  <c r="AB283" i="14"/>
  <c r="AC283" i="14"/>
  <c r="AA283" i="14"/>
  <c r="Z283" i="14"/>
  <c r="W283" i="14"/>
  <c r="X283" i="14"/>
  <c r="Y283" i="14"/>
  <c r="AC275" i="14"/>
  <c r="AB275" i="14"/>
  <c r="AA275" i="14"/>
  <c r="Z275" i="14"/>
  <c r="W275" i="14"/>
  <c r="X275" i="14"/>
  <c r="Y275" i="14"/>
  <c r="AC267" i="14"/>
  <c r="AB267" i="14"/>
  <c r="AA267" i="14"/>
  <c r="Z267" i="14"/>
  <c r="W267" i="14"/>
  <c r="X267" i="14"/>
  <c r="Y267" i="14"/>
  <c r="AC259" i="14"/>
  <c r="AB259" i="14"/>
  <c r="AA259" i="14"/>
  <c r="Z259" i="14"/>
  <c r="W259" i="14"/>
  <c r="X259" i="14"/>
  <c r="Y259" i="14"/>
  <c r="AC251" i="14"/>
  <c r="AB251" i="14"/>
  <c r="AA251" i="14"/>
  <c r="Z251" i="14"/>
  <c r="Y251" i="14"/>
  <c r="W251" i="14"/>
  <c r="X251" i="14"/>
  <c r="AB243" i="14"/>
  <c r="AC243" i="14"/>
  <c r="AA243" i="14"/>
  <c r="Z243" i="14"/>
  <c r="Y243" i="14"/>
  <c r="W243" i="14"/>
  <c r="X243" i="14"/>
  <c r="AC235" i="14"/>
  <c r="AB235" i="14"/>
  <c r="AA235" i="14"/>
  <c r="Z235" i="14"/>
  <c r="Y235" i="14"/>
  <c r="W235" i="14"/>
  <c r="X235" i="14"/>
  <c r="AC227" i="14"/>
  <c r="AB227" i="14"/>
  <c r="AA227" i="14"/>
  <c r="Z227" i="14"/>
  <c r="Y227" i="14"/>
  <c r="W227" i="14"/>
  <c r="X227" i="14"/>
  <c r="AB219" i="14"/>
  <c r="AC219" i="14"/>
  <c r="AA219" i="14"/>
  <c r="Z219" i="14"/>
  <c r="Y219" i="14"/>
  <c r="W219" i="14"/>
  <c r="X219" i="14"/>
  <c r="AC211" i="14"/>
  <c r="AB211" i="14"/>
  <c r="AA211" i="14"/>
  <c r="Y211" i="14"/>
  <c r="Z211" i="14"/>
  <c r="W211" i="14"/>
  <c r="X211" i="14"/>
  <c r="AC203" i="14"/>
  <c r="AB203" i="14"/>
  <c r="AA203" i="14"/>
  <c r="Y203" i="14"/>
  <c r="Z203" i="14"/>
  <c r="W203" i="14"/>
  <c r="X203" i="14"/>
  <c r="AB195" i="14"/>
  <c r="AC195" i="14"/>
  <c r="AA195" i="14"/>
  <c r="Y195" i="14"/>
  <c r="Z195" i="14"/>
  <c r="W195" i="14"/>
  <c r="X195" i="14"/>
  <c r="AB187" i="14"/>
  <c r="AC187" i="14"/>
  <c r="AA187" i="14"/>
  <c r="Y187" i="14"/>
  <c r="Z187" i="14"/>
  <c r="W187" i="14"/>
  <c r="X187" i="14"/>
  <c r="AB179" i="14"/>
  <c r="AC179" i="14"/>
  <c r="AA179" i="14"/>
  <c r="Y179" i="14"/>
  <c r="Z179" i="14"/>
  <c r="W179" i="14"/>
  <c r="X179" i="14"/>
  <c r="AB171" i="14"/>
  <c r="AC171" i="14"/>
  <c r="AA171" i="14"/>
  <c r="Y171" i="14"/>
  <c r="Z171" i="14"/>
  <c r="W171" i="14"/>
  <c r="X171" i="14"/>
  <c r="AB163" i="14"/>
  <c r="AC163" i="14"/>
  <c r="AA163" i="14"/>
  <c r="Y163" i="14"/>
  <c r="Z163" i="14"/>
  <c r="W163" i="14"/>
  <c r="X163" i="14"/>
  <c r="AB155" i="14"/>
  <c r="AC155" i="14"/>
  <c r="AA155" i="14"/>
  <c r="Y155" i="14"/>
  <c r="Z155" i="14"/>
  <c r="W155" i="14"/>
  <c r="X155" i="14"/>
  <c r="AB147" i="14"/>
  <c r="AC147" i="14"/>
  <c r="AA147" i="14"/>
  <c r="Y147" i="14"/>
  <c r="Z147" i="14"/>
  <c r="V147" i="14"/>
  <c r="W147" i="14"/>
  <c r="X147" i="14"/>
  <c r="AB139" i="14"/>
  <c r="AC139" i="14"/>
  <c r="AA139" i="14"/>
  <c r="Y139" i="14"/>
  <c r="Z139" i="14"/>
  <c r="V139" i="14"/>
  <c r="W139" i="14"/>
  <c r="X139" i="14"/>
  <c r="AB131" i="14"/>
  <c r="AA131" i="14"/>
  <c r="AC131" i="14"/>
  <c r="Y131" i="14"/>
  <c r="Z131" i="14"/>
  <c r="V131" i="14"/>
  <c r="W131" i="14"/>
  <c r="X131" i="14"/>
  <c r="AB123" i="14"/>
  <c r="AC123" i="14"/>
  <c r="AA123" i="14"/>
  <c r="Y123" i="14"/>
  <c r="Z123" i="14"/>
  <c r="V123" i="14"/>
  <c r="W123" i="14"/>
  <c r="X123" i="14"/>
  <c r="AB115" i="14"/>
  <c r="AA115" i="14"/>
  <c r="AC115" i="14"/>
  <c r="Y115" i="14"/>
  <c r="Z115" i="14"/>
  <c r="V115" i="14"/>
  <c r="W115" i="14"/>
  <c r="X115" i="14"/>
  <c r="AB107" i="14"/>
  <c r="AC107" i="14"/>
  <c r="AA107" i="14"/>
  <c r="Z107" i="14"/>
  <c r="Y107" i="14"/>
  <c r="V107" i="14"/>
  <c r="W107" i="14"/>
  <c r="X107" i="14"/>
  <c r="AB99" i="14"/>
  <c r="AC99" i="14"/>
  <c r="AA99" i="14"/>
  <c r="Y99" i="14"/>
  <c r="Z99" i="14"/>
  <c r="V99" i="14"/>
  <c r="W99" i="14"/>
  <c r="X99" i="14"/>
  <c r="AB91" i="14"/>
  <c r="AA91" i="14"/>
  <c r="AC91" i="14"/>
  <c r="Z91" i="14"/>
  <c r="Y91" i="14"/>
  <c r="V91" i="14"/>
  <c r="W91" i="14"/>
  <c r="X91" i="14"/>
  <c r="AB83" i="14"/>
  <c r="AC83" i="14"/>
  <c r="AA83" i="14"/>
  <c r="Y83" i="14"/>
  <c r="Z83" i="14"/>
  <c r="V83" i="14"/>
  <c r="W83" i="14"/>
  <c r="X83" i="14"/>
  <c r="AB75" i="14"/>
  <c r="AC75" i="14"/>
  <c r="AA75" i="14"/>
  <c r="Y75" i="14"/>
  <c r="Z75" i="14"/>
  <c r="V75" i="14"/>
  <c r="W75" i="14"/>
  <c r="X75" i="14"/>
  <c r="AB67" i="14"/>
  <c r="AA67" i="14"/>
  <c r="AC67" i="14"/>
  <c r="Z67" i="14"/>
  <c r="Y67" i="14"/>
  <c r="V67" i="14"/>
  <c r="W67" i="14"/>
  <c r="X67" i="14"/>
  <c r="AB59" i="14"/>
  <c r="AC59" i="14"/>
  <c r="AA59" i="14"/>
  <c r="Y59" i="14"/>
  <c r="Z59" i="14"/>
  <c r="V59" i="14"/>
  <c r="W59" i="14"/>
  <c r="X59" i="14"/>
  <c r="AB51" i="14"/>
  <c r="AA51" i="14"/>
  <c r="AC51" i="14"/>
  <c r="Y51" i="14"/>
  <c r="Z51" i="14"/>
  <c r="V51" i="14"/>
  <c r="W51" i="14"/>
  <c r="X51" i="14"/>
  <c r="AB43" i="14"/>
  <c r="AC43" i="14"/>
  <c r="AA43" i="14"/>
  <c r="Y43" i="14"/>
  <c r="Z43" i="14"/>
  <c r="V43" i="14"/>
  <c r="W43" i="14"/>
  <c r="X43" i="14"/>
  <c r="AB35" i="14"/>
  <c r="AC35" i="14"/>
  <c r="AA35" i="14"/>
  <c r="Z35" i="14"/>
  <c r="Y35" i="14"/>
  <c r="V35" i="14"/>
  <c r="W35" i="14"/>
  <c r="X35" i="14"/>
  <c r="AB27" i="14"/>
  <c r="AA27" i="14"/>
  <c r="AC27" i="14"/>
  <c r="Z27" i="14"/>
  <c r="Y27" i="14"/>
  <c r="V27" i="14"/>
  <c r="W27" i="14"/>
  <c r="X27" i="14"/>
  <c r="AB19" i="14"/>
  <c r="AC19" i="14"/>
  <c r="AA19" i="14"/>
  <c r="Z19" i="14"/>
  <c r="Y19" i="14"/>
  <c r="V19" i="14"/>
  <c r="W19" i="14"/>
  <c r="X19" i="14"/>
  <c r="AB11" i="14"/>
  <c r="AC11" i="14"/>
  <c r="AA11" i="14"/>
  <c r="Z11" i="14"/>
  <c r="Y11" i="14"/>
  <c r="V11" i="14"/>
  <c r="W11" i="14"/>
  <c r="X11" i="14"/>
  <c r="AB3" i="14"/>
  <c r="AC3" i="14"/>
  <c r="AA3" i="14"/>
  <c r="Z3" i="14"/>
  <c r="Y3" i="14"/>
  <c r="V3" i="14"/>
  <c r="W3" i="14"/>
  <c r="X3" i="14"/>
  <c r="V141" i="14"/>
  <c r="AC474" i="14"/>
  <c r="AB474" i="14"/>
  <c r="AA474" i="14"/>
  <c r="Z474" i="14"/>
  <c r="W474" i="14"/>
  <c r="X474" i="14"/>
  <c r="Y474" i="14"/>
  <c r="AC466" i="14"/>
  <c r="AB466" i="14"/>
  <c r="AA466" i="14"/>
  <c r="Z466" i="14"/>
  <c r="W466" i="14"/>
  <c r="X466" i="14"/>
  <c r="Y466" i="14"/>
  <c r="AC458" i="14"/>
  <c r="AB458" i="14"/>
  <c r="AA458" i="14"/>
  <c r="Z458" i="14"/>
  <c r="W458" i="14"/>
  <c r="X458" i="14"/>
  <c r="Y458" i="14"/>
  <c r="AC450" i="14"/>
  <c r="AB450" i="14"/>
  <c r="AA450" i="14"/>
  <c r="Z450" i="14"/>
  <c r="W450" i="14"/>
  <c r="X450" i="14"/>
  <c r="Y450" i="14"/>
  <c r="AC442" i="14"/>
  <c r="AB442" i="14"/>
  <c r="AA442" i="14"/>
  <c r="Z442" i="14"/>
  <c r="W442" i="14"/>
  <c r="X442" i="14"/>
  <c r="Y442" i="14"/>
  <c r="AC434" i="14"/>
  <c r="AB434" i="14"/>
  <c r="AA434" i="14"/>
  <c r="Z434" i="14"/>
  <c r="W434" i="14"/>
  <c r="X434" i="14"/>
  <c r="Y434" i="14"/>
  <c r="AC426" i="14"/>
  <c r="AB426" i="14"/>
  <c r="AA426" i="14"/>
  <c r="Z426" i="14"/>
  <c r="W426" i="14"/>
  <c r="X426" i="14"/>
  <c r="Y426" i="14"/>
  <c r="AC418" i="14"/>
  <c r="AB418" i="14"/>
  <c r="AA418" i="14"/>
  <c r="Z418" i="14"/>
  <c r="W418" i="14"/>
  <c r="X418" i="14"/>
  <c r="Y418" i="14"/>
  <c r="AC410" i="14"/>
  <c r="AB410" i="14"/>
  <c r="AA410" i="14"/>
  <c r="Z410" i="14"/>
  <c r="W410" i="14"/>
  <c r="X410" i="14"/>
  <c r="Y410" i="14"/>
  <c r="AC402" i="14"/>
  <c r="AB402" i="14"/>
  <c r="AA402" i="14"/>
  <c r="Z402" i="14"/>
  <c r="W402" i="14"/>
  <c r="X402" i="14"/>
  <c r="Y402" i="14"/>
  <c r="AC394" i="14"/>
  <c r="AB394" i="14"/>
  <c r="AA394" i="14"/>
  <c r="Z394" i="14"/>
  <c r="W394" i="14"/>
  <c r="X394" i="14"/>
  <c r="Y394" i="14"/>
  <c r="AC386" i="14"/>
  <c r="AB386" i="14"/>
  <c r="AA386" i="14"/>
  <c r="Z386" i="14"/>
  <c r="W386" i="14"/>
  <c r="X386" i="14"/>
  <c r="Y386" i="14"/>
  <c r="AC378" i="14"/>
  <c r="AB378" i="14"/>
  <c r="AA378" i="14"/>
  <c r="Z378" i="14"/>
  <c r="W378" i="14"/>
  <c r="X378" i="14"/>
  <c r="Y378" i="14"/>
  <c r="AC370" i="14"/>
  <c r="AB370" i="14"/>
  <c r="AA370" i="14"/>
  <c r="Z370" i="14"/>
  <c r="W370" i="14"/>
  <c r="X370" i="14"/>
  <c r="Y370" i="14"/>
  <c r="AC362" i="14"/>
  <c r="AB362" i="14"/>
  <c r="AA362" i="14"/>
  <c r="Z362" i="14"/>
  <c r="W362" i="14"/>
  <c r="X362" i="14"/>
  <c r="Y362" i="14"/>
  <c r="AC354" i="14"/>
  <c r="AB354" i="14"/>
  <c r="AA354" i="14"/>
  <c r="Z354" i="14"/>
  <c r="W354" i="14"/>
  <c r="X354" i="14"/>
  <c r="Y354" i="14"/>
  <c r="AC346" i="14"/>
  <c r="AB346" i="14"/>
  <c r="AA346" i="14"/>
  <c r="Z346" i="14"/>
  <c r="W346" i="14"/>
  <c r="X346" i="14"/>
  <c r="Y346" i="14"/>
  <c r="AC338" i="14"/>
  <c r="AB338" i="14"/>
  <c r="AA338" i="14"/>
  <c r="Z338" i="14"/>
  <c r="W338" i="14"/>
  <c r="X338" i="14"/>
  <c r="Y338" i="14"/>
  <c r="AC330" i="14"/>
  <c r="AB330" i="14"/>
  <c r="AA330" i="14"/>
  <c r="Z330" i="14"/>
  <c r="W330" i="14"/>
  <c r="X330" i="14"/>
  <c r="Y330" i="14"/>
  <c r="AC322" i="14"/>
  <c r="AB322" i="14"/>
  <c r="AA322" i="14"/>
  <c r="Z322" i="14"/>
  <c r="W322" i="14"/>
  <c r="X322" i="14"/>
  <c r="Y322" i="14"/>
  <c r="AC314" i="14"/>
  <c r="AB314" i="14"/>
  <c r="AA314" i="14"/>
  <c r="Z314" i="14"/>
  <c r="W314" i="14"/>
  <c r="X314" i="14"/>
  <c r="Y314" i="14"/>
  <c r="AC306" i="14"/>
  <c r="AB306" i="14"/>
  <c r="AA306" i="14"/>
  <c r="Z306" i="14"/>
  <c r="W306" i="14"/>
  <c r="X306" i="14"/>
  <c r="Y306" i="14"/>
  <c r="AC298" i="14"/>
  <c r="AB298" i="14"/>
  <c r="AA298" i="14"/>
  <c r="Z298" i="14"/>
  <c r="W298" i="14"/>
  <c r="X298" i="14"/>
  <c r="Y298" i="14"/>
  <c r="AC290" i="14"/>
  <c r="AB290" i="14"/>
  <c r="AA290" i="14"/>
  <c r="Z290" i="14"/>
  <c r="W290" i="14"/>
  <c r="X290" i="14"/>
  <c r="Y290" i="14"/>
  <c r="AC282" i="14"/>
  <c r="AB282" i="14"/>
  <c r="AA282" i="14"/>
  <c r="Z282" i="14"/>
  <c r="W282" i="14"/>
  <c r="X282" i="14"/>
  <c r="Y282" i="14"/>
  <c r="AC274" i="14"/>
  <c r="AB274" i="14"/>
  <c r="AA274" i="14"/>
  <c r="Z274" i="14"/>
  <c r="W274" i="14"/>
  <c r="X274" i="14"/>
  <c r="Y274" i="14"/>
  <c r="AC266" i="14"/>
  <c r="AB266" i="14"/>
  <c r="AA266" i="14"/>
  <c r="Z266" i="14"/>
  <c r="W266" i="14"/>
  <c r="X266" i="14"/>
  <c r="Y266" i="14"/>
  <c r="AC258" i="14"/>
  <c r="AB258" i="14"/>
  <c r="AA258" i="14"/>
  <c r="Y258" i="14"/>
  <c r="Z258" i="14"/>
  <c r="W258" i="14"/>
  <c r="X258" i="14"/>
  <c r="AC250" i="14"/>
  <c r="AB250" i="14"/>
  <c r="AA250" i="14"/>
  <c r="Y250" i="14"/>
  <c r="Z250" i="14"/>
  <c r="W250" i="14"/>
  <c r="X250" i="14"/>
  <c r="AC242" i="14"/>
  <c r="AB242" i="14"/>
  <c r="AA242" i="14"/>
  <c r="Y242" i="14"/>
  <c r="Z242" i="14"/>
  <c r="W242" i="14"/>
  <c r="X242" i="14"/>
  <c r="AC234" i="14"/>
  <c r="AB234" i="14"/>
  <c r="AA234" i="14"/>
  <c r="Y234" i="14"/>
  <c r="Z234" i="14"/>
  <c r="W234" i="14"/>
  <c r="X234" i="14"/>
  <c r="AC226" i="14"/>
  <c r="AB226" i="14"/>
  <c r="AA226" i="14"/>
  <c r="Y226" i="14"/>
  <c r="Z226" i="14"/>
  <c r="W226" i="14"/>
  <c r="X226" i="14"/>
  <c r="AC218" i="14"/>
  <c r="AB218" i="14"/>
  <c r="AA218" i="14"/>
  <c r="Y218" i="14"/>
  <c r="Z218" i="14"/>
  <c r="W218" i="14"/>
  <c r="X218" i="14"/>
  <c r="AC210" i="14"/>
  <c r="AB210" i="14"/>
  <c r="AA210" i="14"/>
  <c r="Y210" i="14"/>
  <c r="Z210" i="14"/>
  <c r="W210" i="14"/>
  <c r="X210" i="14"/>
  <c r="AC202" i="14"/>
  <c r="AB202" i="14"/>
  <c r="AA202" i="14"/>
  <c r="Y202" i="14"/>
  <c r="Z202" i="14"/>
  <c r="W202" i="14"/>
  <c r="X202" i="14"/>
  <c r="AB194" i="14"/>
  <c r="AC194" i="14"/>
  <c r="AA194" i="14"/>
  <c r="Y194" i="14"/>
  <c r="Z194" i="14"/>
  <c r="W194" i="14"/>
  <c r="X194" i="14"/>
  <c r="AB186" i="14"/>
  <c r="AC186" i="14"/>
  <c r="AA186" i="14"/>
  <c r="Y186" i="14"/>
  <c r="Z186" i="14"/>
  <c r="W186" i="14"/>
  <c r="X186" i="14"/>
  <c r="AB178" i="14"/>
  <c r="AC178" i="14"/>
  <c r="AA178" i="14"/>
  <c r="Y178" i="14"/>
  <c r="Z178" i="14"/>
  <c r="W178" i="14"/>
  <c r="X178" i="14"/>
  <c r="AB170" i="14"/>
  <c r="AC170" i="14"/>
  <c r="AA170" i="14"/>
  <c r="Y170" i="14"/>
  <c r="Z170" i="14"/>
  <c r="W170" i="14"/>
  <c r="X170" i="14"/>
  <c r="AB162" i="14"/>
  <c r="AC162" i="14"/>
  <c r="AA162" i="14"/>
  <c r="Y162" i="14"/>
  <c r="Z162" i="14"/>
  <c r="W162" i="14"/>
  <c r="X162" i="14"/>
  <c r="AB154" i="14"/>
  <c r="AC154" i="14"/>
  <c r="AA154" i="14"/>
  <c r="Y154" i="14"/>
  <c r="Z154" i="14"/>
  <c r="W154" i="14"/>
  <c r="X154" i="14"/>
  <c r="AB146" i="14"/>
  <c r="AC146" i="14"/>
  <c r="AA146" i="14"/>
  <c r="Y146" i="14"/>
  <c r="Z146" i="14"/>
  <c r="V146" i="14"/>
  <c r="W146" i="14"/>
  <c r="X146" i="14"/>
  <c r="AB138" i="14"/>
  <c r="AC138" i="14"/>
  <c r="AA138" i="14"/>
  <c r="Y138" i="14"/>
  <c r="Z138" i="14"/>
  <c r="V138" i="14"/>
  <c r="W138" i="14"/>
  <c r="X138" i="14"/>
  <c r="AB130" i="14"/>
  <c r="AC130" i="14"/>
  <c r="AA130" i="14"/>
  <c r="Y130" i="14"/>
  <c r="Z130" i="14"/>
  <c r="V130" i="14"/>
  <c r="W130" i="14"/>
  <c r="X130" i="14"/>
  <c r="AB122" i="14"/>
  <c r="AC122" i="14"/>
  <c r="AA122" i="14"/>
  <c r="Y122" i="14"/>
  <c r="Z122" i="14"/>
  <c r="V122" i="14"/>
  <c r="W122" i="14"/>
  <c r="X122" i="14"/>
  <c r="AB114" i="14"/>
  <c r="AC114" i="14"/>
  <c r="AA114" i="14"/>
  <c r="Y114" i="14"/>
  <c r="Z114" i="14"/>
  <c r="V114" i="14"/>
  <c r="W114" i="14"/>
  <c r="X114" i="14"/>
  <c r="AB106" i="14"/>
  <c r="AC106" i="14"/>
  <c r="AA106" i="14"/>
  <c r="Z106" i="14"/>
  <c r="Y106" i="14"/>
  <c r="V106" i="14"/>
  <c r="W106" i="14"/>
  <c r="X106" i="14"/>
  <c r="AB98" i="14"/>
  <c r="AC98" i="14"/>
  <c r="AA98" i="14"/>
  <c r="Y98" i="14"/>
  <c r="Z98" i="14"/>
  <c r="V98" i="14"/>
  <c r="W98" i="14"/>
  <c r="X98" i="14"/>
  <c r="AB90" i="14"/>
  <c r="AC90" i="14"/>
  <c r="AA90" i="14"/>
  <c r="Y90" i="14"/>
  <c r="Z90" i="14"/>
  <c r="V90" i="14"/>
  <c r="W90" i="14"/>
  <c r="X90" i="14"/>
  <c r="AB82" i="14"/>
  <c r="AC82" i="14"/>
  <c r="AA82" i="14"/>
  <c r="Y82" i="14"/>
  <c r="Z82" i="14"/>
  <c r="V82" i="14"/>
  <c r="W82" i="14"/>
  <c r="X82" i="14"/>
  <c r="AB74" i="14"/>
  <c r="AC74" i="14"/>
  <c r="AA74" i="14"/>
  <c r="Y74" i="14"/>
  <c r="Z74" i="14"/>
  <c r="V74" i="14"/>
  <c r="W74" i="14"/>
  <c r="X74" i="14"/>
  <c r="AB66" i="14"/>
  <c r="AC66" i="14"/>
  <c r="AA66" i="14"/>
  <c r="Z66" i="14"/>
  <c r="Y66" i="14"/>
  <c r="V66" i="14"/>
  <c r="W66" i="14"/>
  <c r="X66" i="14"/>
  <c r="AB58" i="14"/>
  <c r="AC58" i="14"/>
  <c r="AA58" i="14"/>
  <c r="Y58" i="14"/>
  <c r="Z58" i="14"/>
  <c r="V58" i="14"/>
  <c r="W58" i="14"/>
  <c r="X58" i="14"/>
  <c r="AB50" i="14"/>
  <c r="AC50" i="14"/>
  <c r="AA50" i="14"/>
  <c r="Y50" i="14"/>
  <c r="Z50" i="14"/>
  <c r="V50" i="14"/>
  <c r="W50" i="14"/>
  <c r="X50" i="14"/>
  <c r="AB42" i="14"/>
  <c r="AC42" i="14"/>
  <c r="AA42" i="14"/>
  <c r="Y42" i="14"/>
  <c r="Z42" i="14"/>
  <c r="V42" i="14"/>
  <c r="W42" i="14"/>
  <c r="X42" i="14"/>
  <c r="AB34" i="14"/>
  <c r="AC34" i="14"/>
  <c r="AA34" i="14"/>
  <c r="Z34" i="14"/>
  <c r="Y34" i="14"/>
  <c r="V34" i="14"/>
  <c r="W34" i="14"/>
  <c r="X34" i="14"/>
  <c r="AB26" i="14"/>
  <c r="AC26" i="14"/>
  <c r="AA26" i="14"/>
  <c r="Y26" i="14"/>
  <c r="Z26" i="14"/>
  <c r="V26" i="14"/>
  <c r="W26" i="14"/>
  <c r="X26" i="14"/>
  <c r="AB18" i="14"/>
  <c r="AC18" i="14"/>
  <c r="AA18" i="14"/>
  <c r="Y18" i="14"/>
  <c r="Z18" i="14"/>
  <c r="V18" i="14"/>
  <c r="W18" i="14"/>
  <c r="X18" i="14"/>
  <c r="AB10" i="14"/>
  <c r="AC10" i="14"/>
  <c r="AA10" i="14"/>
  <c r="Y10" i="14"/>
  <c r="Z10" i="14"/>
  <c r="V10" i="14"/>
  <c r="W10" i="14"/>
  <c r="X10" i="14"/>
  <c r="V2" i="14"/>
  <c r="AB2" i="14"/>
  <c r="AC2" i="14"/>
  <c r="AA2" i="14"/>
  <c r="Z2" i="14"/>
  <c r="Y2" i="14"/>
  <c r="W2" i="14"/>
  <c r="X2" i="14"/>
  <c r="V140" i="14"/>
  <c r="AC473" i="14"/>
  <c r="AB473" i="14"/>
  <c r="AA473" i="14"/>
  <c r="Z473" i="14"/>
  <c r="W473" i="14"/>
  <c r="X473" i="14"/>
  <c r="Y473" i="14"/>
  <c r="AC465" i="14"/>
  <c r="AB465" i="14"/>
  <c r="Z465" i="14"/>
  <c r="AA465" i="14"/>
  <c r="W465" i="14"/>
  <c r="X465" i="14"/>
  <c r="Y465" i="14"/>
  <c r="AC457" i="14"/>
  <c r="AB457" i="14"/>
  <c r="Z457" i="14"/>
  <c r="AA457" i="14"/>
  <c r="W457" i="14"/>
  <c r="X457" i="14"/>
  <c r="Y457" i="14"/>
  <c r="AC449" i="14"/>
  <c r="AB449" i="14"/>
  <c r="Z449" i="14"/>
  <c r="AA449" i="14"/>
  <c r="W449" i="14"/>
  <c r="X449" i="14"/>
  <c r="Y449" i="14"/>
  <c r="AC441" i="14"/>
  <c r="AB441" i="14"/>
  <c r="Z441" i="14"/>
  <c r="AA441" i="14"/>
  <c r="W441" i="14"/>
  <c r="X441" i="14"/>
  <c r="Y441" i="14"/>
  <c r="AC433" i="14"/>
  <c r="AB433" i="14"/>
  <c r="Z433" i="14"/>
  <c r="AA433" i="14"/>
  <c r="W433" i="14"/>
  <c r="X433" i="14"/>
  <c r="Y433" i="14"/>
  <c r="AC425" i="14"/>
  <c r="AB425" i="14"/>
  <c r="Z425" i="14"/>
  <c r="AA425" i="14"/>
  <c r="W425" i="14"/>
  <c r="X425" i="14"/>
  <c r="Y425" i="14"/>
  <c r="AC417" i="14"/>
  <c r="AB417" i="14"/>
  <c r="AA417" i="14"/>
  <c r="Z417" i="14"/>
  <c r="W417" i="14"/>
  <c r="X417" i="14"/>
  <c r="Y417" i="14"/>
  <c r="AC409" i="14"/>
  <c r="AB409" i="14"/>
  <c r="AA409" i="14"/>
  <c r="Z409" i="14"/>
  <c r="W409" i="14"/>
  <c r="X409" i="14"/>
  <c r="Y409" i="14"/>
  <c r="AC401" i="14"/>
  <c r="AA401" i="14"/>
  <c r="AB401" i="14"/>
  <c r="Z401" i="14"/>
  <c r="W401" i="14"/>
  <c r="X401" i="14"/>
  <c r="Y401" i="14"/>
  <c r="AC393" i="14"/>
  <c r="AB393" i="14"/>
  <c r="AA393" i="14"/>
  <c r="Z393" i="14"/>
  <c r="W393" i="14"/>
  <c r="X393" i="14"/>
  <c r="Y393" i="14"/>
  <c r="AC385" i="14"/>
  <c r="AA385" i="14"/>
  <c r="AB385" i="14"/>
  <c r="Z385" i="14"/>
  <c r="W385" i="14"/>
  <c r="X385" i="14"/>
  <c r="Y385" i="14"/>
  <c r="AC377" i="14"/>
  <c r="AB377" i="14"/>
  <c r="AA377" i="14"/>
  <c r="Z377" i="14"/>
  <c r="W377" i="14"/>
  <c r="X377" i="14"/>
  <c r="Y377" i="14"/>
  <c r="AC369" i="14"/>
  <c r="AA369" i="14"/>
  <c r="AB369" i="14"/>
  <c r="Z369" i="14"/>
  <c r="W369" i="14"/>
  <c r="X369" i="14"/>
  <c r="Y369" i="14"/>
  <c r="AC361" i="14"/>
  <c r="AB361" i="14"/>
  <c r="AA361" i="14"/>
  <c r="Z361" i="14"/>
  <c r="W361" i="14"/>
  <c r="X361" i="14"/>
  <c r="Y361" i="14"/>
  <c r="AC353" i="14"/>
  <c r="AA353" i="14"/>
  <c r="AB353" i="14"/>
  <c r="Z353" i="14"/>
  <c r="W353" i="14"/>
  <c r="X353" i="14"/>
  <c r="Y353" i="14"/>
  <c r="AC345" i="14"/>
  <c r="AB345" i="14"/>
  <c r="AA345" i="14"/>
  <c r="Z345" i="14"/>
  <c r="W345" i="14"/>
  <c r="X345" i="14"/>
  <c r="Y345" i="14"/>
  <c r="AC337" i="14"/>
  <c r="AA337" i="14"/>
  <c r="AB337" i="14"/>
  <c r="Z337" i="14"/>
  <c r="W337" i="14"/>
  <c r="X337" i="14"/>
  <c r="Y337" i="14"/>
  <c r="AC329" i="14"/>
  <c r="AB329" i="14"/>
  <c r="AA329" i="14"/>
  <c r="Z329" i="14"/>
  <c r="W329" i="14"/>
  <c r="X329" i="14"/>
  <c r="Y329" i="14"/>
  <c r="AC321" i="14"/>
  <c r="AA321" i="14"/>
  <c r="AB321" i="14"/>
  <c r="Z321" i="14"/>
  <c r="W321" i="14"/>
  <c r="X321" i="14"/>
  <c r="Y321" i="14"/>
  <c r="AC313" i="14"/>
  <c r="AB313" i="14"/>
  <c r="AA313" i="14"/>
  <c r="Z313" i="14"/>
  <c r="W313" i="14"/>
  <c r="X313" i="14"/>
  <c r="Y313" i="14"/>
  <c r="AC305" i="14"/>
  <c r="AA305" i="14"/>
  <c r="AB305" i="14"/>
  <c r="Z305" i="14"/>
  <c r="W305" i="14"/>
  <c r="X305" i="14"/>
  <c r="Y305" i="14"/>
  <c r="AC297" i="14"/>
  <c r="AB297" i="14"/>
  <c r="AA297" i="14"/>
  <c r="Z297" i="14"/>
  <c r="W297" i="14"/>
  <c r="X297" i="14"/>
  <c r="Y297" i="14"/>
  <c r="AC289" i="14"/>
  <c r="AA289" i="14"/>
  <c r="AB289" i="14"/>
  <c r="Z289" i="14"/>
  <c r="W289" i="14"/>
  <c r="X289" i="14"/>
  <c r="Y289" i="14"/>
  <c r="AC281" i="14"/>
  <c r="AB281" i="14"/>
  <c r="AA281" i="14"/>
  <c r="Z281" i="14"/>
  <c r="W281" i="14"/>
  <c r="X281" i="14"/>
  <c r="Y281" i="14"/>
  <c r="AC273" i="14"/>
  <c r="AA273" i="14"/>
  <c r="AB273" i="14"/>
  <c r="Z273" i="14"/>
  <c r="W273" i="14"/>
  <c r="X273" i="14"/>
  <c r="Y273" i="14"/>
  <c r="AC265" i="14"/>
  <c r="AB265" i="14"/>
  <c r="AA265" i="14"/>
  <c r="Z265" i="14"/>
  <c r="W265" i="14"/>
  <c r="X265" i="14"/>
  <c r="Y265" i="14"/>
  <c r="AC257" i="14"/>
  <c r="AB257" i="14"/>
  <c r="AA257" i="14"/>
  <c r="Y257" i="14"/>
  <c r="Z257" i="14"/>
  <c r="W257" i="14"/>
  <c r="X257" i="14"/>
  <c r="AC249" i="14"/>
  <c r="AB249" i="14"/>
  <c r="AA249" i="14"/>
  <c r="Y249" i="14"/>
  <c r="Z249" i="14"/>
  <c r="W249" i="14"/>
  <c r="X249" i="14"/>
  <c r="AC241" i="14"/>
  <c r="AA241" i="14"/>
  <c r="AB241" i="14"/>
  <c r="Y241" i="14"/>
  <c r="Z241" i="14"/>
  <c r="W241" i="14"/>
  <c r="X241" i="14"/>
  <c r="AC233" i="14"/>
  <c r="AA233" i="14"/>
  <c r="AB233" i="14"/>
  <c r="Y233" i="14"/>
  <c r="Z233" i="14"/>
  <c r="W233" i="14"/>
  <c r="X233" i="14"/>
  <c r="AC225" i="14"/>
  <c r="AB225" i="14"/>
  <c r="AA225" i="14"/>
  <c r="Y225" i="14"/>
  <c r="Z225" i="14"/>
  <c r="W225" i="14"/>
  <c r="X225" i="14"/>
  <c r="AC217" i="14"/>
  <c r="AB217" i="14"/>
  <c r="AA217" i="14"/>
  <c r="Y217" i="14"/>
  <c r="Z217" i="14"/>
  <c r="W217" i="14"/>
  <c r="X217" i="14"/>
  <c r="AC209" i="14"/>
  <c r="AB209" i="14"/>
  <c r="AA209" i="14"/>
  <c r="Y209" i="14"/>
  <c r="Z209" i="14"/>
  <c r="W209" i="14"/>
  <c r="X209" i="14"/>
  <c r="AC201" i="14"/>
  <c r="AB201" i="14"/>
  <c r="AA201" i="14"/>
  <c r="Y201" i="14"/>
  <c r="Z201" i="14"/>
  <c r="W201" i="14"/>
  <c r="X201" i="14"/>
  <c r="AC193" i="14"/>
  <c r="AB193" i="14"/>
  <c r="AA193" i="14"/>
  <c r="Y193" i="14"/>
  <c r="Z193" i="14"/>
  <c r="W193" i="14"/>
  <c r="X193" i="14"/>
  <c r="AC185" i="14"/>
  <c r="AB185" i="14"/>
  <c r="AA185" i="14"/>
  <c r="Y185" i="14"/>
  <c r="Z185" i="14"/>
  <c r="W185" i="14"/>
  <c r="X185" i="14"/>
  <c r="AC177" i="14"/>
  <c r="AB177" i="14"/>
  <c r="AA177" i="14"/>
  <c r="Y177" i="14"/>
  <c r="Z177" i="14"/>
  <c r="W177" i="14"/>
  <c r="X177" i="14"/>
  <c r="AC169" i="14"/>
  <c r="AB169" i="14"/>
  <c r="AA169" i="14"/>
  <c r="Y169" i="14"/>
  <c r="Z169" i="14"/>
  <c r="W169" i="14"/>
  <c r="X169" i="14"/>
  <c r="AC161" i="14"/>
  <c r="AB161" i="14"/>
  <c r="AA161" i="14"/>
  <c r="Y161" i="14"/>
  <c r="Z161" i="14"/>
  <c r="W161" i="14"/>
  <c r="X161" i="14"/>
  <c r="AC153" i="14"/>
  <c r="AB153" i="14"/>
  <c r="AA153" i="14"/>
  <c r="Y153" i="14"/>
  <c r="Z153" i="14"/>
  <c r="W153" i="14"/>
  <c r="X153" i="14"/>
  <c r="AC145" i="14"/>
  <c r="AB145" i="14"/>
  <c r="AA145" i="14"/>
  <c r="Y145" i="14"/>
  <c r="Z145" i="14"/>
  <c r="V145" i="14"/>
  <c r="W145" i="14"/>
  <c r="X145" i="14"/>
  <c r="AC137" i="14"/>
  <c r="AB137" i="14"/>
  <c r="AA137" i="14"/>
  <c r="Y137" i="14"/>
  <c r="Z137" i="14"/>
  <c r="V137" i="14"/>
  <c r="W137" i="14"/>
  <c r="X137" i="14"/>
  <c r="AC129" i="14"/>
  <c r="AB129" i="14"/>
  <c r="AA129" i="14"/>
  <c r="Y129" i="14"/>
  <c r="Z129" i="14"/>
  <c r="V129" i="14"/>
  <c r="W129" i="14"/>
  <c r="X129" i="14"/>
  <c r="AC121" i="14"/>
  <c r="AB121" i="14"/>
  <c r="AA121" i="14"/>
  <c r="Y121" i="14"/>
  <c r="Z121" i="14"/>
  <c r="V121" i="14"/>
  <c r="W121" i="14"/>
  <c r="X121" i="14"/>
  <c r="AC113" i="14"/>
  <c r="AB113" i="14"/>
  <c r="Z113" i="14"/>
  <c r="AA113" i="14"/>
  <c r="Y113" i="14"/>
  <c r="V113" i="14"/>
  <c r="W113" i="14"/>
  <c r="X113" i="14"/>
  <c r="AC105" i="14"/>
  <c r="AB105" i="14"/>
  <c r="Z105" i="14"/>
  <c r="AA105" i="14"/>
  <c r="Y105" i="14"/>
  <c r="V105" i="14"/>
  <c r="W105" i="14"/>
  <c r="X105" i="14"/>
  <c r="AC97" i="14"/>
  <c r="AB97" i="14"/>
  <c r="AA97" i="14"/>
  <c r="Z97" i="14"/>
  <c r="Y97" i="14"/>
  <c r="V97" i="14"/>
  <c r="W97" i="14"/>
  <c r="X97" i="14"/>
  <c r="AC89" i="14"/>
  <c r="AB89" i="14"/>
  <c r="Z89" i="14"/>
  <c r="AA89" i="14"/>
  <c r="Y89" i="14"/>
  <c r="V89" i="14"/>
  <c r="W89" i="14"/>
  <c r="X89" i="14"/>
  <c r="AC81" i="14"/>
  <c r="AB81" i="14"/>
  <c r="Z81" i="14"/>
  <c r="AA81" i="14"/>
  <c r="Y81" i="14"/>
  <c r="V81" i="14"/>
  <c r="W81" i="14"/>
  <c r="X81" i="14"/>
  <c r="AC73" i="14"/>
  <c r="AB73" i="14"/>
  <c r="Z73" i="14"/>
  <c r="AA73" i="14"/>
  <c r="Y73" i="14"/>
  <c r="V73" i="14"/>
  <c r="W73" i="14"/>
  <c r="X73" i="14"/>
  <c r="AC65" i="14"/>
  <c r="AB65" i="14"/>
  <c r="AA65" i="14"/>
  <c r="Z65" i="14"/>
  <c r="Y65" i="14"/>
  <c r="V65" i="14"/>
  <c r="W65" i="14"/>
  <c r="X65" i="14"/>
  <c r="AC57" i="14"/>
  <c r="AB57" i="14"/>
  <c r="Z57" i="14"/>
  <c r="AA57" i="14"/>
  <c r="Y57" i="14"/>
  <c r="V57" i="14"/>
  <c r="W57" i="14"/>
  <c r="X57" i="14"/>
  <c r="AC49" i="14"/>
  <c r="AB49" i="14"/>
  <c r="Z49" i="14"/>
  <c r="AA49" i="14"/>
  <c r="Y49" i="14"/>
  <c r="V49" i="14"/>
  <c r="W49" i="14"/>
  <c r="X49" i="14"/>
  <c r="AC41" i="14"/>
  <c r="AB41" i="14"/>
  <c r="Z41" i="14"/>
  <c r="AA41" i="14"/>
  <c r="Y41" i="14"/>
  <c r="V41" i="14"/>
  <c r="W41" i="14"/>
  <c r="X41" i="14"/>
  <c r="AC33" i="14"/>
  <c r="AB33" i="14"/>
  <c r="AA33" i="14"/>
  <c r="Z33" i="14"/>
  <c r="Y33" i="14"/>
  <c r="V33" i="14"/>
  <c r="W33" i="14"/>
  <c r="X33" i="14"/>
  <c r="AC25" i="14"/>
  <c r="AB25" i="14"/>
  <c r="Z25" i="14"/>
  <c r="AA25" i="14"/>
  <c r="Y25" i="14"/>
  <c r="V25" i="14"/>
  <c r="W25" i="14"/>
  <c r="X25" i="14"/>
  <c r="AC17" i="14"/>
  <c r="AB17" i="14"/>
  <c r="Z17" i="14"/>
  <c r="AA17" i="14"/>
  <c r="Y17" i="14"/>
  <c r="V17" i="14"/>
  <c r="W17" i="14"/>
  <c r="X17" i="14"/>
  <c r="AC9" i="14"/>
  <c r="AB9" i="14"/>
  <c r="Z9" i="14"/>
  <c r="AA9" i="14"/>
  <c r="Y9" i="14"/>
  <c r="V9" i="14"/>
  <c r="W9" i="14"/>
  <c r="X9" i="14"/>
  <c r="AC480" i="14"/>
  <c r="AB480" i="14"/>
  <c r="AA480" i="14"/>
  <c r="Z480" i="14"/>
  <c r="W480" i="14"/>
  <c r="X480" i="14"/>
  <c r="Y480" i="14"/>
  <c r="AC472" i="14"/>
  <c r="AA472" i="14"/>
  <c r="AB472" i="14"/>
  <c r="Z472" i="14"/>
  <c r="W472" i="14"/>
  <c r="X472" i="14"/>
  <c r="Y472" i="14"/>
  <c r="AC464" i="14"/>
  <c r="AA464" i="14"/>
  <c r="AB464" i="14"/>
  <c r="Z464" i="14"/>
  <c r="W464" i="14"/>
  <c r="X464" i="14"/>
  <c r="Y464" i="14"/>
  <c r="AC456" i="14"/>
  <c r="AB456" i="14"/>
  <c r="AA456" i="14"/>
  <c r="Z456" i="14"/>
  <c r="W456" i="14"/>
  <c r="X456" i="14"/>
  <c r="Y456" i="14"/>
  <c r="AC448" i="14"/>
  <c r="AA448" i="14"/>
  <c r="AB448" i="14"/>
  <c r="Z448" i="14"/>
  <c r="W448" i="14"/>
  <c r="X448" i="14"/>
  <c r="Y448" i="14"/>
  <c r="AC440" i="14"/>
  <c r="AA440" i="14"/>
  <c r="AB440" i="14"/>
  <c r="Z440" i="14"/>
  <c r="W440" i="14"/>
  <c r="X440" i="14"/>
  <c r="Y440" i="14"/>
  <c r="AC432" i="14"/>
  <c r="AB432" i="14"/>
  <c r="AA432" i="14"/>
  <c r="Z432" i="14"/>
  <c r="W432" i="14"/>
  <c r="X432" i="14"/>
  <c r="Y432" i="14"/>
  <c r="AC424" i="14"/>
  <c r="AA424" i="14"/>
  <c r="AB424" i="14"/>
  <c r="Z424" i="14"/>
  <c r="W424" i="14"/>
  <c r="X424" i="14"/>
  <c r="Y424" i="14"/>
  <c r="AC416" i="14"/>
  <c r="AA416" i="14"/>
  <c r="AB416" i="14"/>
  <c r="Z416" i="14"/>
  <c r="W416" i="14"/>
  <c r="X416" i="14"/>
  <c r="Y416" i="14"/>
  <c r="AC408" i="14"/>
  <c r="AB408" i="14"/>
  <c r="AA408" i="14"/>
  <c r="Z408" i="14"/>
  <c r="W408" i="14"/>
  <c r="X408" i="14"/>
  <c r="Y408" i="14"/>
  <c r="AC400" i="14"/>
  <c r="AA400" i="14"/>
  <c r="AB400" i="14"/>
  <c r="Z400" i="14"/>
  <c r="W400" i="14"/>
  <c r="X400" i="14"/>
  <c r="Y400" i="14"/>
  <c r="AC392" i="14"/>
  <c r="AB392" i="14"/>
  <c r="AA392" i="14"/>
  <c r="Z392" i="14"/>
  <c r="W392" i="14"/>
  <c r="X392" i="14"/>
  <c r="Y392" i="14"/>
  <c r="AC384" i="14"/>
  <c r="AA384" i="14"/>
  <c r="AB384" i="14"/>
  <c r="Z384" i="14"/>
  <c r="W384" i="14"/>
  <c r="X384" i="14"/>
  <c r="Y384" i="14"/>
  <c r="AC376" i="14"/>
  <c r="AB376" i="14"/>
  <c r="AA376" i="14"/>
  <c r="Z376" i="14"/>
  <c r="W376" i="14"/>
  <c r="X376" i="14"/>
  <c r="Y376" i="14"/>
  <c r="AC368" i="14"/>
  <c r="AA368" i="14"/>
  <c r="AB368" i="14"/>
  <c r="Z368" i="14"/>
  <c r="W368" i="14"/>
  <c r="X368" i="14"/>
  <c r="Y368" i="14"/>
  <c r="AC360" i="14"/>
  <c r="AB360" i="14"/>
  <c r="AA360" i="14"/>
  <c r="Z360" i="14"/>
  <c r="W360" i="14"/>
  <c r="X360" i="14"/>
  <c r="Y360" i="14"/>
  <c r="AC352" i="14"/>
  <c r="AA352" i="14"/>
  <c r="AB352" i="14"/>
  <c r="Z352" i="14"/>
  <c r="W352" i="14"/>
  <c r="X352" i="14"/>
  <c r="Y352" i="14"/>
  <c r="AC344" i="14"/>
  <c r="AB344" i="14"/>
  <c r="AA344" i="14"/>
  <c r="Z344" i="14"/>
  <c r="W344" i="14"/>
  <c r="X344" i="14"/>
  <c r="Y344" i="14"/>
  <c r="AC336" i="14"/>
  <c r="AA336" i="14"/>
  <c r="AB336" i="14"/>
  <c r="Z336" i="14"/>
  <c r="W336" i="14"/>
  <c r="X336" i="14"/>
  <c r="Y336" i="14"/>
  <c r="AC328" i="14"/>
  <c r="AB328" i="14"/>
  <c r="AA328" i="14"/>
  <c r="Z328" i="14"/>
  <c r="W328" i="14"/>
  <c r="X328" i="14"/>
  <c r="Y328" i="14"/>
  <c r="AC320" i="14"/>
  <c r="AA320" i="14"/>
  <c r="AB320" i="14"/>
  <c r="Z320" i="14"/>
  <c r="W320" i="14"/>
  <c r="X320" i="14"/>
  <c r="Y320" i="14"/>
  <c r="AC312" i="14"/>
  <c r="AB312" i="14"/>
  <c r="AA312" i="14"/>
  <c r="Z312" i="14"/>
  <c r="W312" i="14"/>
  <c r="X312" i="14"/>
  <c r="Y312" i="14"/>
  <c r="AC304" i="14"/>
  <c r="AA304" i="14"/>
  <c r="AB304" i="14"/>
  <c r="Z304" i="14"/>
  <c r="W304" i="14"/>
  <c r="X304" i="14"/>
  <c r="Y304" i="14"/>
  <c r="AC296" i="14"/>
  <c r="AB296" i="14"/>
  <c r="AA296" i="14"/>
  <c r="Z296" i="14"/>
  <c r="W296" i="14"/>
  <c r="X296" i="14"/>
  <c r="Y296" i="14"/>
  <c r="AC288" i="14"/>
  <c r="AA288" i="14"/>
  <c r="AB288" i="14"/>
  <c r="Z288" i="14"/>
  <c r="W288" i="14"/>
  <c r="X288" i="14"/>
  <c r="Y288" i="14"/>
  <c r="AC280" i="14"/>
  <c r="AB280" i="14"/>
  <c r="AA280" i="14"/>
  <c r="Z280" i="14"/>
  <c r="W280" i="14"/>
  <c r="X280" i="14"/>
  <c r="Y280" i="14"/>
  <c r="AC272" i="14"/>
  <c r="AA272" i="14"/>
  <c r="AB272" i="14"/>
  <c r="Z272" i="14"/>
  <c r="W272" i="14"/>
  <c r="X272" i="14"/>
  <c r="Y272" i="14"/>
  <c r="AC264" i="14"/>
  <c r="AB264" i="14"/>
  <c r="AA264" i="14"/>
  <c r="Z264" i="14"/>
  <c r="W264" i="14"/>
  <c r="X264" i="14"/>
  <c r="Y264" i="14"/>
  <c r="AC256" i="14"/>
  <c r="AB256" i="14"/>
  <c r="AA256" i="14"/>
  <c r="Z256" i="14"/>
  <c r="W256" i="14"/>
  <c r="X256" i="14"/>
  <c r="Y256" i="14"/>
  <c r="AC248" i="14"/>
  <c r="AB248" i="14"/>
  <c r="AA248" i="14"/>
  <c r="Z248" i="14"/>
  <c r="Y248" i="14"/>
  <c r="W248" i="14"/>
  <c r="X248" i="14"/>
  <c r="AC240" i="14"/>
  <c r="AB240" i="14"/>
  <c r="AA240" i="14"/>
  <c r="Z240" i="14"/>
  <c r="W240" i="14"/>
  <c r="X240" i="14"/>
  <c r="Y240" i="14"/>
  <c r="AC232" i="14"/>
  <c r="AB232" i="14"/>
  <c r="AA232" i="14"/>
  <c r="Z232" i="14"/>
  <c r="W232" i="14"/>
  <c r="X232" i="14"/>
  <c r="Y232" i="14"/>
  <c r="AC224" i="14"/>
  <c r="AB224" i="14"/>
  <c r="AA224" i="14"/>
  <c r="Z224" i="14"/>
  <c r="W224" i="14"/>
  <c r="X224" i="14"/>
  <c r="Y224" i="14"/>
  <c r="AC216" i="14"/>
  <c r="AB216" i="14"/>
  <c r="AA216" i="14"/>
  <c r="Z216" i="14"/>
  <c r="W216" i="14"/>
  <c r="X216" i="14"/>
  <c r="Y216" i="14"/>
  <c r="AC208" i="14"/>
  <c r="AB208" i="14"/>
  <c r="AA208" i="14"/>
  <c r="Z208" i="14"/>
  <c r="W208" i="14"/>
  <c r="X208" i="14"/>
  <c r="Y208" i="14"/>
  <c r="AB200" i="14"/>
  <c r="AC200" i="14"/>
  <c r="AA200" i="14"/>
  <c r="Z200" i="14"/>
  <c r="W200" i="14"/>
  <c r="X200" i="14"/>
  <c r="Y200" i="14"/>
  <c r="AB192" i="14"/>
  <c r="AC192" i="14"/>
  <c r="AA192" i="14"/>
  <c r="Z192" i="14"/>
  <c r="W192" i="14"/>
  <c r="Y192" i="14"/>
  <c r="X192" i="14"/>
  <c r="AB184" i="14"/>
  <c r="AC184" i="14"/>
  <c r="AA184" i="14"/>
  <c r="Z184" i="14"/>
  <c r="Y184" i="14"/>
  <c r="W184" i="14"/>
  <c r="X184" i="14"/>
  <c r="AB176" i="14"/>
  <c r="AC176" i="14"/>
  <c r="AA176" i="14"/>
  <c r="Z176" i="14"/>
  <c r="Y176" i="14"/>
  <c r="W176" i="14"/>
  <c r="X176" i="14"/>
  <c r="AB168" i="14"/>
  <c r="AC168" i="14"/>
  <c r="AA168" i="14"/>
  <c r="Z168" i="14"/>
  <c r="Y168" i="14"/>
  <c r="W168" i="14"/>
  <c r="X168" i="14"/>
  <c r="AB160" i="14"/>
  <c r="AC160" i="14"/>
  <c r="AA160" i="14"/>
  <c r="Z160" i="14"/>
  <c r="Y160" i="14"/>
  <c r="W160" i="14"/>
  <c r="X160" i="14"/>
  <c r="AB152" i="14"/>
  <c r="AC152" i="14"/>
  <c r="AA152" i="14"/>
  <c r="Z152" i="14"/>
  <c r="Y152" i="14"/>
  <c r="W152" i="14"/>
  <c r="X152" i="14"/>
  <c r="AB144" i="14"/>
  <c r="AC144" i="14"/>
  <c r="AA144" i="14"/>
  <c r="Z144" i="14"/>
  <c r="Y144" i="14"/>
  <c r="W144" i="14"/>
  <c r="X144" i="14"/>
  <c r="AB136" i="14"/>
  <c r="AC136" i="14"/>
  <c r="Z136" i="14"/>
  <c r="AA136" i="14"/>
  <c r="Y136" i="14"/>
  <c r="W136" i="14"/>
  <c r="X136" i="14"/>
  <c r="AB128" i="14"/>
  <c r="AC128" i="14"/>
  <c r="AA128" i="14"/>
  <c r="Z128" i="14"/>
  <c r="Y128" i="14"/>
  <c r="W128" i="14"/>
  <c r="X128" i="14"/>
  <c r="V128" i="14"/>
  <c r="AB120" i="14"/>
  <c r="AC120" i="14"/>
  <c r="Z120" i="14"/>
  <c r="AA120" i="14"/>
  <c r="Y120" i="14"/>
  <c r="W120" i="14"/>
  <c r="X120" i="14"/>
  <c r="V120" i="14"/>
  <c r="AB112" i="14"/>
  <c r="AC112" i="14"/>
  <c r="Z112" i="14"/>
  <c r="AA112" i="14"/>
  <c r="Y112" i="14"/>
  <c r="W112" i="14"/>
  <c r="X112" i="14"/>
  <c r="V112" i="14"/>
  <c r="AB104" i="14"/>
  <c r="AC104" i="14"/>
  <c r="Z104" i="14"/>
  <c r="AA104" i="14"/>
  <c r="Y104" i="14"/>
  <c r="W104" i="14"/>
  <c r="X104" i="14"/>
  <c r="V104" i="14"/>
  <c r="AB96" i="14"/>
  <c r="AC96" i="14"/>
  <c r="AA96" i="14"/>
  <c r="Z96" i="14"/>
  <c r="Y96" i="14"/>
  <c r="W96" i="14"/>
  <c r="X96" i="14"/>
  <c r="V96" i="14"/>
  <c r="AB88" i="14"/>
  <c r="AC88" i="14"/>
  <c r="Z88" i="14"/>
  <c r="AA88" i="14"/>
  <c r="Y88" i="14"/>
  <c r="W88" i="14"/>
  <c r="X88" i="14"/>
  <c r="V88" i="14"/>
  <c r="AB80" i="14"/>
  <c r="AC80" i="14"/>
  <c r="Z80" i="14"/>
  <c r="AA80" i="14"/>
  <c r="Y80" i="14"/>
  <c r="W80" i="14"/>
  <c r="X80" i="14"/>
  <c r="V80" i="14"/>
  <c r="AB72" i="14"/>
  <c r="AC72" i="14"/>
  <c r="Z72" i="14"/>
  <c r="AA72" i="14"/>
  <c r="Y72" i="14"/>
  <c r="W72" i="14"/>
  <c r="X72" i="14"/>
  <c r="V72" i="14"/>
  <c r="AB64" i="14"/>
  <c r="AC64" i="14"/>
  <c r="AA64" i="14"/>
  <c r="Z64" i="14"/>
  <c r="Y64" i="14"/>
  <c r="W64" i="14"/>
  <c r="X64" i="14"/>
  <c r="V64" i="14"/>
  <c r="AB56" i="14"/>
  <c r="AC56" i="14"/>
  <c r="Z56" i="14"/>
  <c r="AA56" i="14"/>
  <c r="Y56" i="14"/>
  <c r="W56" i="14"/>
  <c r="X56" i="14"/>
  <c r="V56" i="14"/>
  <c r="AB48" i="14"/>
  <c r="AC48" i="14"/>
  <c r="Z48" i="14"/>
  <c r="AA48" i="14"/>
  <c r="Y48" i="14"/>
  <c r="W48" i="14"/>
  <c r="X48" i="14"/>
  <c r="V48" i="14"/>
  <c r="AB40" i="14"/>
  <c r="AC40" i="14"/>
  <c r="Z40" i="14"/>
  <c r="AA40" i="14"/>
  <c r="Y40" i="14"/>
  <c r="W40" i="14"/>
  <c r="X40" i="14"/>
  <c r="V40" i="14"/>
  <c r="AB32" i="14"/>
  <c r="AC32" i="14"/>
  <c r="AA32" i="14"/>
  <c r="Z32" i="14"/>
  <c r="Y32" i="14"/>
  <c r="W32" i="14"/>
  <c r="X32" i="14"/>
  <c r="V32" i="14"/>
  <c r="AB24" i="14"/>
  <c r="AC24" i="14"/>
  <c r="Z24" i="14"/>
  <c r="AA24" i="14"/>
  <c r="Y24" i="14"/>
  <c r="W24" i="14"/>
  <c r="X24" i="14"/>
  <c r="V24" i="14"/>
  <c r="AB16" i="14"/>
  <c r="AC16" i="14"/>
  <c r="Z16" i="14"/>
  <c r="AA16" i="14"/>
  <c r="Y16" i="14"/>
  <c r="W16" i="14"/>
  <c r="X16" i="14"/>
  <c r="V16" i="14"/>
  <c r="AB8" i="14"/>
  <c r="AC8" i="14"/>
  <c r="Z8" i="14"/>
  <c r="AA8" i="14"/>
  <c r="Y8" i="14"/>
  <c r="W8" i="14"/>
  <c r="X8" i="14"/>
  <c r="V8" i="14"/>
  <c r="AC479" i="14"/>
  <c r="AB479" i="14"/>
  <c r="AA479" i="14"/>
  <c r="Z479" i="14"/>
  <c r="W479" i="14"/>
  <c r="X479" i="14"/>
  <c r="Y479" i="14"/>
  <c r="AC471" i="14"/>
  <c r="AA471" i="14"/>
  <c r="AB471" i="14"/>
  <c r="Z471" i="14"/>
  <c r="W471" i="14"/>
  <c r="X471" i="14"/>
  <c r="Y471" i="14"/>
  <c r="AC463" i="14"/>
  <c r="AA463" i="14"/>
  <c r="AB463" i="14"/>
  <c r="Z463" i="14"/>
  <c r="W463" i="14"/>
  <c r="X463" i="14"/>
  <c r="Y463" i="14"/>
  <c r="AC455" i="14"/>
  <c r="AA455" i="14"/>
  <c r="AB455" i="14"/>
  <c r="Z455" i="14"/>
  <c r="W455" i="14"/>
  <c r="X455" i="14"/>
  <c r="Y455" i="14"/>
  <c r="AC447" i="14"/>
  <c r="AA447" i="14"/>
  <c r="AB447" i="14"/>
  <c r="Z447" i="14"/>
  <c r="W447" i="14"/>
  <c r="X447" i="14"/>
  <c r="Y447" i="14"/>
  <c r="AC439" i="14"/>
  <c r="AA439" i="14"/>
  <c r="AB439" i="14"/>
  <c r="Z439" i="14"/>
  <c r="W439" i="14"/>
  <c r="X439" i="14"/>
  <c r="Y439" i="14"/>
  <c r="AC431" i="14"/>
  <c r="AB431" i="14"/>
  <c r="AA431" i="14"/>
  <c r="Z431" i="14"/>
  <c r="W431" i="14"/>
  <c r="X431" i="14"/>
  <c r="Y431" i="14"/>
  <c r="AC423" i="14"/>
  <c r="AA423" i="14"/>
  <c r="AB423" i="14"/>
  <c r="Z423" i="14"/>
  <c r="W423" i="14"/>
  <c r="X423" i="14"/>
  <c r="Y423" i="14"/>
  <c r="AC415" i="14"/>
  <c r="AA415" i="14"/>
  <c r="AB415" i="14"/>
  <c r="Z415" i="14"/>
  <c r="W415" i="14"/>
  <c r="X415" i="14"/>
  <c r="Y415" i="14"/>
  <c r="AC407" i="14"/>
  <c r="AB407" i="14"/>
  <c r="AA407" i="14"/>
  <c r="Z407" i="14"/>
  <c r="W407" i="14"/>
  <c r="X407" i="14"/>
  <c r="Y407" i="14"/>
  <c r="AC399" i="14"/>
  <c r="AA399" i="14"/>
  <c r="AB399" i="14"/>
  <c r="Z399" i="14"/>
  <c r="W399" i="14"/>
  <c r="X399" i="14"/>
  <c r="Y399" i="14"/>
  <c r="AC391" i="14"/>
  <c r="AB391" i="14"/>
  <c r="AA391" i="14"/>
  <c r="Z391" i="14"/>
  <c r="W391" i="14"/>
  <c r="X391" i="14"/>
  <c r="Y391" i="14"/>
  <c r="AC383" i="14"/>
  <c r="AA383" i="14"/>
  <c r="AB383" i="14"/>
  <c r="Z383" i="14"/>
  <c r="W383" i="14"/>
  <c r="X383" i="14"/>
  <c r="Y383" i="14"/>
  <c r="AC375" i="14"/>
  <c r="AB375" i="14"/>
  <c r="AA375" i="14"/>
  <c r="Z375" i="14"/>
  <c r="W375" i="14"/>
  <c r="X375" i="14"/>
  <c r="Y375" i="14"/>
  <c r="AC367" i="14"/>
  <c r="AA367" i="14"/>
  <c r="AB367" i="14"/>
  <c r="Z367" i="14"/>
  <c r="W367" i="14"/>
  <c r="X367" i="14"/>
  <c r="Y367" i="14"/>
  <c r="AC359" i="14"/>
  <c r="AB359" i="14"/>
  <c r="AA359" i="14"/>
  <c r="Z359" i="14"/>
  <c r="W359" i="14"/>
  <c r="X359" i="14"/>
  <c r="Y359" i="14"/>
  <c r="AC351" i="14"/>
  <c r="AA351" i="14"/>
  <c r="AB351" i="14"/>
  <c r="Z351" i="14"/>
  <c r="W351" i="14"/>
  <c r="X351" i="14"/>
  <c r="Y351" i="14"/>
  <c r="AC343" i="14"/>
  <c r="AB343" i="14"/>
  <c r="AA343" i="14"/>
  <c r="Z343" i="14"/>
  <c r="W343" i="14"/>
  <c r="X343" i="14"/>
  <c r="Y343" i="14"/>
  <c r="AC335" i="14"/>
  <c r="AA335" i="14"/>
  <c r="AB335" i="14"/>
  <c r="Z335" i="14"/>
  <c r="W335" i="14"/>
  <c r="X335" i="14"/>
  <c r="Y335" i="14"/>
  <c r="AC327" i="14"/>
  <c r="AB327" i="14"/>
  <c r="AA327" i="14"/>
  <c r="Z327" i="14"/>
  <c r="W327" i="14"/>
  <c r="X327" i="14"/>
  <c r="Y327" i="14"/>
  <c r="AC319" i="14"/>
  <c r="AA319" i="14"/>
  <c r="AB319" i="14"/>
  <c r="Z319" i="14"/>
  <c r="W319" i="14"/>
  <c r="X319" i="14"/>
  <c r="Y319" i="14"/>
  <c r="AC311" i="14"/>
  <c r="AB311" i="14"/>
  <c r="AA311" i="14"/>
  <c r="Z311" i="14"/>
  <c r="W311" i="14"/>
  <c r="X311" i="14"/>
  <c r="Y311" i="14"/>
  <c r="AC303" i="14"/>
  <c r="AA303" i="14"/>
  <c r="AB303" i="14"/>
  <c r="Z303" i="14"/>
  <c r="W303" i="14"/>
  <c r="X303" i="14"/>
  <c r="Y303" i="14"/>
  <c r="AC295" i="14"/>
  <c r="AB295" i="14"/>
  <c r="AA295" i="14"/>
  <c r="Z295" i="14"/>
  <c r="W295" i="14"/>
  <c r="X295" i="14"/>
  <c r="Y295" i="14"/>
  <c r="AC287" i="14"/>
  <c r="AA287" i="14"/>
  <c r="AB287" i="14"/>
  <c r="Z287" i="14"/>
  <c r="W287" i="14"/>
  <c r="X287" i="14"/>
  <c r="Y287" i="14"/>
  <c r="AC279" i="14"/>
  <c r="AA279" i="14"/>
  <c r="AB279" i="14"/>
  <c r="Z279" i="14"/>
  <c r="W279" i="14"/>
  <c r="X279" i="14"/>
  <c r="Y279" i="14"/>
  <c r="AC271" i="14"/>
  <c r="AA271" i="14"/>
  <c r="AB271" i="14"/>
  <c r="Z271" i="14"/>
  <c r="W271" i="14"/>
  <c r="X271" i="14"/>
  <c r="Y271" i="14"/>
  <c r="AC263" i="14"/>
  <c r="AA263" i="14"/>
  <c r="AB263" i="14"/>
  <c r="Z263" i="14"/>
  <c r="W263" i="14"/>
  <c r="X263" i="14"/>
  <c r="Y263" i="14"/>
  <c r="AC255" i="14"/>
  <c r="AA255" i="14"/>
  <c r="AB255" i="14"/>
  <c r="Z255" i="14"/>
  <c r="W255" i="14"/>
  <c r="X255" i="14"/>
  <c r="Y255" i="14"/>
  <c r="AC247" i="14"/>
  <c r="AA247" i="14"/>
  <c r="AB247" i="14"/>
  <c r="Z247" i="14"/>
  <c r="W247" i="14"/>
  <c r="X247" i="14"/>
  <c r="Y247" i="14"/>
  <c r="AC239" i="14"/>
  <c r="AA239" i="14"/>
  <c r="AB239" i="14"/>
  <c r="Z239" i="14"/>
  <c r="W239" i="14"/>
  <c r="X239" i="14"/>
  <c r="Y239" i="14"/>
  <c r="AC231" i="14"/>
  <c r="AA231" i="14"/>
  <c r="AB231" i="14"/>
  <c r="Z231" i="14"/>
  <c r="W231" i="14"/>
  <c r="X231" i="14"/>
  <c r="Y231" i="14"/>
  <c r="AC223" i="14"/>
  <c r="AA223" i="14"/>
  <c r="AB223" i="14"/>
  <c r="Z223" i="14"/>
  <c r="W223" i="14"/>
  <c r="X223" i="14"/>
  <c r="Y223" i="14"/>
  <c r="AC215" i="14"/>
  <c r="AA215" i="14"/>
  <c r="AB215" i="14"/>
  <c r="Z215" i="14"/>
  <c r="W215" i="14"/>
  <c r="X215" i="14"/>
  <c r="Y215" i="14"/>
  <c r="AC207" i="14"/>
  <c r="AA207" i="14"/>
  <c r="AB207" i="14"/>
  <c r="Z207" i="14"/>
  <c r="W207" i="14"/>
  <c r="X207" i="14"/>
  <c r="Y207" i="14"/>
  <c r="AB199" i="14"/>
  <c r="AC199" i="14"/>
  <c r="AA199" i="14"/>
  <c r="Y199" i="14"/>
  <c r="Z199" i="14"/>
  <c r="W199" i="14"/>
  <c r="X199" i="14"/>
  <c r="AB191" i="14"/>
  <c r="AC191" i="14"/>
  <c r="AA191" i="14"/>
  <c r="Y191" i="14"/>
  <c r="Z191" i="14"/>
  <c r="W191" i="14"/>
  <c r="X191" i="14"/>
  <c r="AB183" i="14"/>
  <c r="AC183" i="14"/>
  <c r="AA183" i="14"/>
  <c r="Y183" i="14"/>
  <c r="Z183" i="14"/>
  <c r="W183" i="14"/>
  <c r="X183" i="14"/>
  <c r="AB175" i="14"/>
  <c r="AC175" i="14"/>
  <c r="AA175" i="14"/>
  <c r="Y175" i="14"/>
  <c r="Z175" i="14"/>
  <c r="W175" i="14"/>
  <c r="X175" i="14"/>
  <c r="AB167" i="14"/>
  <c r="AC167" i="14"/>
  <c r="AA167" i="14"/>
  <c r="Y167" i="14"/>
  <c r="Z167" i="14"/>
  <c r="W167" i="14"/>
  <c r="X167" i="14"/>
  <c r="AB159" i="14"/>
  <c r="AC159" i="14"/>
  <c r="AA159" i="14"/>
  <c r="Y159" i="14"/>
  <c r="Z159" i="14"/>
  <c r="W159" i="14"/>
  <c r="X159" i="14"/>
  <c r="AB151" i="14"/>
  <c r="AC151" i="14"/>
  <c r="AA151" i="14"/>
  <c r="Y151" i="14"/>
  <c r="Z151" i="14"/>
  <c r="W151" i="14"/>
  <c r="X151" i="14"/>
  <c r="AB143" i="14"/>
  <c r="AC143" i="14"/>
  <c r="AA143" i="14"/>
  <c r="Y143" i="14"/>
  <c r="Z143" i="14"/>
  <c r="W143" i="14"/>
  <c r="X143" i="14"/>
  <c r="AB135" i="14"/>
  <c r="AC135" i="14"/>
  <c r="AA135" i="14"/>
  <c r="Z135" i="14"/>
  <c r="Y135" i="14"/>
  <c r="W135" i="14"/>
  <c r="X135" i="14"/>
  <c r="AB127" i="14"/>
  <c r="AC127" i="14"/>
  <c r="AA127" i="14"/>
  <c r="Z127" i="14"/>
  <c r="Y127" i="14"/>
  <c r="W127" i="14"/>
  <c r="X127" i="14"/>
  <c r="V127" i="14"/>
  <c r="AB119" i="14"/>
  <c r="AC119" i="14"/>
  <c r="AA119" i="14"/>
  <c r="Z119" i="14"/>
  <c r="Y119" i="14"/>
  <c r="W119" i="14"/>
  <c r="X119" i="14"/>
  <c r="V119" i="14"/>
  <c r="AB111" i="14"/>
  <c r="AC111" i="14"/>
  <c r="AA111" i="14"/>
  <c r="Z111" i="14"/>
  <c r="Y111" i="14"/>
  <c r="W111" i="14"/>
  <c r="X111" i="14"/>
  <c r="V111" i="14"/>
  <c r="AB103" i="14"/>
  <c r="AC103" i="14"/>
  <c r="AA103" i="14"/>
  <c r="Z103" i="14"/>
  <c r="Y103" i="14"/>
  <c r="W103" i="14"/>
  <c r="X103" i="14"/>
  <c r="V103" i="14"/>
  <c r="AB95" i="14"/>
  <c r="AC95" i="14"/>
  <c r="AA95" i="14"/>
  <c r="Z95" i="14"/>
  <c r="Y95" i="14"/>
  <c r="W95" i="14"/>
  <c r="X95" i="14"/>
  <c r="V95" i="14"/>
  <c r="AB87" i="14"/>
  <c r="AC87" i="14"/>
  <c r="AA87" i="14"/>
  <c r="Z87" i="14"/>
  <c r="Y87" i="14"/>
  <c r="W87" i="14"/>
  <c r="X87" i="14"/>
  <c r="V87" i="14"/>
  <c r="AB79" i="14"/>
  <c r="AC79" i="14"/>
  <c r="AA79" i="14"/>
  <c r="Z79" i="14"/>
  <c r="Y79" i="14"/>
  <c r="W79" i="14"/>
  <c r="X79" i="14"/>
  <c r="V79" i="14"/>
  <c r="AB71" i="14"/>
  <c r="AC71" i="14"/>
  <c r="AA71" i="14"/>
  <c r="Z71" i="14"/>
  <c r="Y71" i="14"/>
  <c r="W71" i="14"/>
  <c r="X71" i="14"/>
  <c r="V71" i="14"/>
  <c r="AB63" i="14"/>
  <c r="AC63" i="14"/>
  <c r="AA63" i="14"/>
  <c r="Z63" i="14"/>
  <c r="Y63" i="14"/>
  <c r="W63" i="14"/>
  <c r="X63" i="14"/>
  <c r="V63" i="14"/>
  <c r="AB55" i="14"/>
  <c r="AC55" i="14"/>
  <c r="AA55" i="14"/>
  <c r="Z55" i="14"/>
  <c r="Y55" i="14"/>
  <c r="W55" i="14"/>
  <c r="X55" i="14"/>
  <c r="V55" i="14"/>
  <c r="AB47" i="14"/>
  <c r="AC47" i="14"/>
  <c r="AA47" i="14"/>
  <c r="Z47" i="14"/>
  <c r="Y47" i="14"/>
  <c r="W47" i="14"/>
  <c r="X47" i="14"/>
  <c r="V47" i="14"/>
  <c r="AB39" i="14"/>
  <c r="AC39" i="14"/>
  <c r="AA39" i="14"/>
  <c r="Z39" i="14"/>
  <c r="Y39" i="14"/>
  <c r="W39" i="14"/>
  <c r="X39" i="14"/>
  <c r="V39" i="14"/>
  <c r="AB31" i="14"/>
  <c r="AC31" i="14"/>
  <c r="AA31" i="14"/>
  <c r="Z31" i="14"/>
  <c r="Y31" i="14"/>
  <c r="W31" i="14"/>
  <c r="X31" i="14"/>
  <c r="V31" i="14"/>
  <c r="AB23" i="14"/>
  <c r="AC23" i="14"/>
  <c r="AA23" i="14"/>
  <c r="Z23" i="14"/>
  <c r="Y23" i="14"/>
  <c r="W23" i="14"/>
  <c r="X23" i="14"/>
  <c r="V23" i="14"/>
  <c r="AB15" i="14"/>
  <c r="AC15" i="14"/>
  <c r="AA15" i="14"/>
  <c r="Z15" i="14"/>
  <c r="Y15" i="14"/>
  <c r="W15" i="14"/>
  <c r="X15" i="14"/>
  <c r="V15" i="14"/>
  <c r="AB7" i="14"/>
  <c r="AC7" i="14"/>
  <c r="AA7" i="14"/>
  <c r="Z7" i="14"/>
  <c r="Y7" i="14"/>
  <c r="W7" i="14"/>
  <c r="X7" i="14"/>
  <c r="V7" i="14"/>
  <c r="V477" i="14"/>
  <c r="V469" i="14"/>
  <c r="V461" i="14"/>
  <c r="V453" i="14"/>
  <c r="V445" i="14"/>
  <c r="V437" i="14"/>
  <c r="V429" i="14"/>
  <c r="V421" i="14"/>
  <c r="V413" i="14"/>
  <c r="V405" i="14"/>
  <c r="V397" i="14"/>
  <c r="V389" i="14"/>
  <c r="V381" i="14"/>
  <c r="V373" i="14"/>
  <c r="V365" i="14"/>
  <c r="V357" i="14"/>
  <c r="V349" i="14"/>
  <c r="V341" i="14"/>
  <c r="V333" i="14"/>
  <c r="V325" i="14"/>
  <c r="V317" i="14"/>
  <c r="V309" i="14"/>
  <c r="V301" i="14"/>
  <c r="V293" i="14"/>
  <c r="V285" i="14"/>
  <c r="V277" i="14"/>
  <c r="V269" i="14"/>
  <c r="V261" i="14"/>
  <c r="V253" i="14"/>
  <c r="V245" i="14"/>
  <c r="V237" i="14"/>
  <c r="V229" i="14"/>
  <c r="V221" i="14"/>
  <c r="V213" i="14"/>
  <c r="V205" i="14"/>
  <c r="V197" i="14"/>
  <c r="V189" i="14"/>
  <c r="V181" i="14"/>
  <c r="V173" i="14"/>
  <c r="V165" i="14"/>
  <c r="V157" i="14"/>
  <c r="V149" i="14"/>
  <c r="V133" i="14"/>
  <c r="AC478" i="14"/>
  <c r="AB478" i="14"/>
  <c r="AA478" i="14"/>
  <c r="Z478" i="14"/>
  <c r="X478" i="14"/>
  <c r="Y478" i="14"/>
  <c r="W478" i="14"/>
  <c r="AC470" i="14"/>
  <c r="AB470" i="14"/>
  <c r="AA470" i="14"/>
  <c r="Z470" i="14"/>
  <c r="X470" i="14"/>
  <c r="Y470" i="14"/>
  <c r="W470" i="14"/>
  <c r="AC462" i="14"/>
  <c r="AB462" i="14"/>
  <c r="AA462" i="14"/>
  <c r="Z462" i="14"/>
  <c r="X462" i="14"/>
  <c r="Y462" i="14"/>
  <c r="W462" i="14"/>
  <c r="AC454" i="14"/>
  <c r="AB454" i="14"/>
  <c r="AA454" i="14"/>
  <c r="Z454" i="14"/>
  <c r="X454" i="14"/>
  <c r="Y454" i="14"/>
  <c r="W454" i="14"/>
  <c r="AC446" i="14"/>
  <c r="AB446" i="14"/>
  <c r="AA446" i="14"/>
  <c r="Z446" i="14"/>
  <c r="X446" i="14"/>
  <c r="Y446" i="14"/>
  <c r="W446" i="14"/>
  <c r="AC438" i="14"/>
  <c r="AB438" i="14"/>
  <c r="AA438" i="14"/>
  <c r="Z438" i="14"/>
  <c r="X438" i="14"/>
  <c r="Y438" i="14"/>
  <c r="W438" i="14"/>
  <c r="AC430" i="14"/>
  <c r="AB430" i="14"/>
  <c r="AA430" i="14"/>
  <c r="Z430" i="14"/>
  <c r="X430" i="14"/>
  <c r="Y430" i="14"/>
  <c r="W430" i="14"/>
  <c r="AC422" i="14"/>
  <c r="AB422" i="14"/>
  <c r="AA422" i="14"/>
  <c r="Z422" i="14"/>
  <c r="X422" i="14"/>
  <c r="Y422" i="14"/>
  <c r="W422" i="14"/>
  <c r="AC414" i="14"/>
  <c r="AB414" i="14"/>
  <c r="AA414" i="14"/>
  <c r="Z414" i="14"/>
  <c r="X414" i="14"/>
  <c r="Y414" i="14"/>
  <c r="W414" i="14"/>
  <c r="AC406" i="14"/>
  <c r="AB406" i="14"/>
  <c r="AA406" i="14"/>
  <c r="Z406" i="14"/>
  <c r="X406" i="14"/>
  <c r="Y406" i="14"/>
  <c r="W406" i="14"/>
  <c r="AC398" i="14"/>
  <c r="AB398" i="14"/>
  <c r="AA398" i="14"/>
  <c r="Z398" i="14"/>
  <c r="X398" i="14"/>
  <c r="Y398" i="14"/>
  <c r="W398" i="14"/>
  <c r="AC390" i="14"/>
  <c r="AB390" i="14"/>
  <c r="AA390" i="14"/>
  <c r="Z390" i="14"/>
  <c r="X390" i="14"/>
  <c r="Y390" i="14"/>
  <c r="W390" i="14"/>
  <c r="AC382" i="14"/>
  <c r="AB382" i="14"/>
  <c r="AA382" i="14"/>
  <c r="Z382" i="14"/>
  <c r="X382" i="14"/>
  <c r="Y382" i="14"/>
  <c r="W382" i="14"/>
  <c r="AC374" i="14"/>
  <c r="AB374" i="14"/>
  <c r="AA374" i="14"/>
  <c r="Z374" i="14"/>
  <c r="X374" i="14"/>
  <c r="Y374" i="14"/>
  <c r="W374" i="14"/>
  <c r="AC366" i="14"/>
  <c r="AB366" i="14"/>
  <c r="AA366" i="14"/>
  <c r="Z366" i="14"/>
  <c r="X366" i="14"/>
  <c r="Y366" i="14"/>
  <c r="W366" i="14"/>
  <c r="AC358" i="14"/>
  <c r="AB358" i="14"/>
  <c r="AA358" i="14"/>
  <c r="Z358" i="14"/>
  <c r="X358" i="14"/>
  <c r="Y358" i="14"/>
  <c r="W358" i="14"/>
  <c r="AC350" i="14"/>
  <c r="AB350" i="14"/>
  <c r="AA350" i="14"/>
  <c r="Z350" i="14"/>
  <c r="X350" i="14"/>
  <c r="Y350" i="14"/>
  <c r="W350" i="14"/>
  <c r="AC342" i="14"/>
  <c r="AB342" i="14"/>
  <c r="AA342" i="14"/>
  <c r="Z342" i="14"/>
  <c r="X342" i="14"/>
  <c r="Y342" i="14"/>
  <c r="W342" i="14"/>
  <c r="AC334" i="14"/>
  <c r="AB334" i="14"/>
  <c r="AA334" i="14"/>
  <c r="Z334" i="14"/>
  <c r="X334" i="14"/>
  <c r="Y334" i="14"/>
  <c r="W334" i="14"/>
  <c r="AC326" i="14"/>
  <c r="AB326" i="14"/>
  <c r="AA326" i="14"/>
  <c r="Z326" i="14"/>
  <c r="X326" i="14"/>
  <c r="Y326" i="14"/>
  <c r="W326" i="14"/>
  <c r="AC318" i="14"/>
  <c r="AB318" i="14"/>
  <c r="AA318" i="14"/>
  <c r="Z318" i="14"/>
  <c r="X318" i="14"/>
  <c r="Y318" i="14"/>
  <c r="W318" i="14"/>
  <c r="AC310" i="14"/>
  <c r="AB310" i="14"/>
  <c r="AA310" i="14"/>
  <c r="Z310" i="14"/>
  <c r="X310" i="14"/>
  <c r="Y310" i="14"/>
  <c r="W310" i="14"/>
  <c r="AC302" i="14"/>
  <c r="AB302" i="14"/>
  <c r="AA302" i="14"/>
  <c r="Z302" i="14"/>
  <c r="X302" i="14"/>
  <c r="Y302" i="14"/>
  <c r="W302" i="14"/>
  <c r="AC294" i="14"/>
  <c r="AB294" i="14"/>
  <c r="AA294" i="14"/>
  <c r="Z294" i="14"/>
  <c r="X294" i="14"/>
  <c r="Y294" i="14"/>
  <c r="W294" i="14"/>
  <c r="AC286" i="14"/>
  <c r="AB286" i="14"/>
  <c r="AA286" i="14"/>
  <c r="Z286" i="14"/>
  <c r="X286" i="14"/>
  <c r="Y286" i="14"/>
  <c r="W286" i="14"/>
  <c r="AC278" i="14"/>
  <c r="AB278" i="14"/>
  <c r="AA278" i="14"/>
  <c r="Z278" i="14"/>
  <c r="X278" i="14"/>
  <c r="Y278" i="14"/>
  <c r="W278" i="14"/>
  <c r="AC270" i="14"/>
  <c r="AB270" i="14"/>
  <c r="AA270" i="14"/>
  <c r="Z270" i="14"/>
  <c r="X270" i="14"/>
  <c r="Y270" i="14"/>
  <c r="W270" i="14"/>
  <c r="AC262" i="14"/>
  <c r="AB262" i="14"/>
  <c r="AA262" i="14"/>
  <c r="Z262" i="14"/>
  <c r="X262" i="14"/>
  <c r="Y262" i="14"/>
  <c r="W262" i="14"/>
  <c r="AC254" i="14"/>
  <c r="AB254" i="14"/>
  <c r="AA254" i="14"/>
  <c r="Z254" i="14"/>
  <c r="X254" i="14"/>
  <c r="Y254" i="14"/>
  <c r="W254" i="14"/>
  <c r="AC246" i="14"/>
  <c r="AB246" i="14"/>
  <c r="AA246" i="14"/>
  <c r="Z246" i="14"/>
  <c r="X246" i="14"/>
  <c r="Y246" i="14"/>
  <c r="W246" i="14"/>
  <c r="AC238" i="14"/>
  <c r="AB238" i="14"/>
  <c r="AA238" i="14"/>
  <c r="Z238" i="14"/>
  <c r="X238" i="14"/>
  <c r="Y238" i="14"/>
  <c r="W238" i="14"/>
  <c r="AC230" i="14"/>
  <c r="AB230" i="14"/>
  <c r="AA230" i="14"/>
  <c r="Z230" i="14"/>
  <c r="X230" i="14"/>
  <c r="Y230" i="14"/>
  <c r="W230" i="14"/>
  <c r="AC222" i="14"/>
  <c r="AB222" i="14"/>
  <c r="AA222" i="14"/>
  <c r="Z222" i="14"/>
  <c r="X222" i="14"/>
  <c r="Y222" i="14"/>
  <c r="W222" i="14"/>
  <c r="AC214" i="14"/>
  <c r="AB214" i="14"/>
  <c r="AA214" i="14"/>
  <c r="Y214" i="14"/>
  <c r="Z214" i="14"/>
  <c r="X214" i="14"/>
  <c r="W214" i="14"/>
  <c r="AC206" i="14"/>
  <c r="AB206" i="14"/>
  <c r="AA206" i="14"/>
  <c r="Y206" i="14"/>
  <c r="Z206" i="14"/>
  <c r="X206" i="14"/>
  <c r="W206" i="14"/>
  <c r="AC198" i="14"/>
  <c r="AB198" i="14"/>
  <c r="AA198" i="14"/>
  <c r="Y198" i="14"/>
  <c r="Z198" i="14"/>
  <c r="X198" i="14"/>
  <c r="W198" i="14"/>
  <c r="AC190" i="14"/>
  <c r="AB190" i="14"/>
  <c r="AA190" i="14"/>
  <c r="Y190" i="14"/>
  <c r="Z190" i="14"/>
  <c r="X190" i="14"/>
  <c r="W190" i="14"/>
  <c r="AC182" i="14"/>
  <c r="AB182" i="14"/>
  <c r="AA182" i="14"/>
  <c r="Y182" i="14"/>
  <c r="Z182" i="14"/>
  <c r="X182" i="14"/>
  <c r="W182" i="14"/>
  <c r="AC174" i="14"/>
  <c r="AB174" i="14"/>
  <c r="AA174" i="14"/>
  <c r="Y174" i="14"/>
  <c r="Z174" i="14"/>
  <c r="X174" i="14"/>
  <c r="W174" i="14"/>
  <c r="AC166" i="14"/>
  <c r="AB166" i="14"/>
  <c r="AA166" i="14"/>
  <c r="Y166" i="14"/>
  <c r="Z166" i="14"/>
  <c r="X166" i="14"/>
  <c r="W166" i="14"/>
  <c r="AC158" i="14"/>
  <c r="AB158" i="14"/>
  <c r="AA158" i="14"/>
  <c r="Y158" i="14"/>
  <c r="Z158" i="14"/>
  <c r="X158" i="14"/>
  <c r="W158" i="14"/>
  <c r="AC150" i="14"/>
  <c r="AB150" i="14"/>
  <c r="AA150" i="14"/>
  <c r="Y150" i="14"/>
  <c r="Z150" i="14"/>
  <c r="X150" i="14"/>
  <c r="W150" i="14"/>
  <c r="AC142" i="14"/>
  <c r="AB142" i="14"/>
  <c r="AA142" i="14"/>
  <c r="Y142" i="14"/>
  <c r="Z142" i="14"/>
  <c r="X142" i="14"/>
  <c r="V142" i="14"/>
  <c r="W142" i="14"/>
  <c r="AC134" i="14"/>
  <c r="AB134" i="14"/>
  <c r="AA134" i="14"/>
  <c r="Y134" i="14"/>
  <c r="Z134" i="14"/>
  <c r="X134" i="14"/>
  <c r="V134" i="14"/>
  <c r="W134" i="14"/>
  <c r="AC126" i="14"/>
  <c r="AB126" i="14"/>
  <c r="AA126" i="14"/>
  <c r="Z126" i="14"/>
  <c r="Y126" i="14"/>
  <c r="X126" i="14"/>
  <c r="V126" i="14"/>
  <c r="W126" i="14"/>
  <c r="AC118" i="14"/>
  <c r="AB118" i="14"/>
  <c r="AA118" i="14"/>
  <c r="Z118" i="14"/>
  <c r="Y118" i="14"/>
  <c r="X118" i="14"/>
  <c r="V118" i="14"/>
  <c r="W118" i="14"/>
  <c r="AC110" i="14"/>
  <c r="AB110" i="14"/>
  <c r="AA110" i="14"/>
  <c r="Z110" i="14"/>
  <c r="Y110" i="14"/>
  <c r="X110" i="14"/>
  <c r="V110" i="14"/>
  <c r="W110" i="14"/>
  <c r="AC102" i="14"/>
  <c r="AB102" i="14"/>
  <c r="AA102" i="14"/>
  <c r="Z102" i="14"/>
  <c r="Y102" i="14"/>
  <c r="X102" i="14"/>
  <c r="V102" i="14"/>
  <c r="W102" i="14"/>
  <c r="AC94" i="14"/>
  <c r="AB94" i="14"/>
  <c r="AA94" i="14"/>
  <c r="Z94" i="14"/>
  <c r="Y94" i="14"/>
  <c r="X94" i="14"/>
  <c r="V94" i="14"/>
  <c r="W94" i="14"/>
  <c r="AC86" i="14"/>
  <c r="AB86" i="14"/>
  <c r="AA86" i="14"/>
  <c r="Y86" i="14"/>
  <c r="Z86" i="14"/>
  <c r="X86" i="14"/>
  <c r="V86" i="14"/>
  <c r="W86" i="14"/>
  <c r="AC78" i="14"/>
  <c r="AB78" i="14"/>
  <c r="AA78" i="14"/>
  <c r="Z78" i="14"/>
  <c r="Y78" i="14"/>
  <c r="X78" i="14"/>
  <c r="V78" i="14"/>
  <c r="W78" i="14"/>
  <c r="AC70" i="14"/>
  <c r="AB70" i="14"/>
  <c r="AA70" i="14"/>
  <c r="Z70" i="14"/>
  <c r="Y70" i="14"/>
  <c r="X70" i="14"/>
  <c r="V70" i="14"/>
  <c r="W70" i="14"/>
  <c r="AC62" i="14"/>
  <c r="AB62" i="14"/>
  <c r="AA62" i="14"/>
  <c r="Y62" i="14"/>
  <c r="Z62" i="14"/>
  <c r="X62" i="14"/>
  <c r="V62" i="14"/>
  <c r="W62" i="14"/>
  <c r="AC54" i="14"/>
  <c r="AB54" i="14"/>
  <c r="AA54" i="14"/>
  <c r="Z54" i="14"/>
  <c r="Y54" i="14"/>
  <c r="X54" i="14"/>
  <c r="V54" i="14"/>
  <c r="W54" i="14"/>
  <c r="AC46" i="14"/>
  <c r="AB46" i="14"/>
  <c r="AA46" i="14"/>
  <c r="Z46" i="14"/>
  <c r="Y46" i="14"/>
  <c r="X46" i="14"/>
  <c r="V46" i="14"/>
  <c r="W46" i="14"/>
  <c r="AC38" i="14"/>
  <c r="AB38" i="14"/>
  <c r="AA38" i="14"/>
  <c r="Z38" i="14"/>
  <c r="Y38" i="14"/>
  <c r="X38" i="14"/>
  <c r="V38" i="14"/>
  <c r="W38" i="14"/>
  <c r="AC30" i="14"/>
  <c r="AB30" i="14"/>
  <c r="AA30" i="14"/>
  <c r="Y30" i="14"/>
  <c r="Z30" i="14"/>
  <c r="X30" i="14"/>
  <c r="V30" i="14"/>
  <c r="W30" i="14"/>
  <c r="AC22" i="14"/>
  <c r="AB22" i="14"/>
  <c r="AA22" i="14"/>
  <c r="Z22" i="14"/>
  <c r="Y22" i="14"/>
  <c r="X22" i="14"/>
  <c r="V22" i="14"/>
  <c r="W22" i="14"/>
  <c r="AC14" i="14"/>
  <c r="AB14" i="14"/>
  <c r="AA14" i="14"/>
  <c r="Z14" i="14"/>
  <c r="Y14" i="14"/>
  <c r="X14" i="14"/>
  <c r="V14" i="14"/>
  <c r="W14" i="14"/>
  <c r="AC6" i="14"/>
  <c r="AB6" i="14"/>
  <c r="AA6" i="14"/>
  <c r="Z6" i="14"/>
  <c r="Y6" i="14"/>
  <c r="X6" i="14"/>
  <c r="V6" i="14"/>
  <c r="W6" i="14"/>
  <c r="V476" i="14"/>
  <c r="V468" i="14"/>
  <c r="V460" i="14"/>
  <c r="V452" i="14"/>
  <c r="V444" i="14"/>
  <c r="V436" i="14"/>
  <c r="V428" i="14"/>
  <c r="V420" i="14"/>
  <c r="V412" i="14"/>
  <c r="V404" i="14"/>
  <c r="V396" i="14"/>
  <c r="V388" i="14"/>
  <c r="V380" i="14"/>
  <c r="V372" i="14"/>
  <c r="V364" i="14"/>
  <c r="V356" i="14"/>
  <c r="V348" i="14"/>
  <c r="V340" i="14"/>
  <c r="V332" i="14"/>
  <c r="V324" i="14"/>
  <c r="V316" i="14"/>
  <c r="V308" i="14"/>
  <c r="V300" i="14"/>
  <c r="V292" i="14"/>
  <c r="V284" i="14"/>
  <c r="V276" i="14"/>
  <c r="V268" i="14"/>
  <c r="V260" i="14"/>
  <c r="V252" i="14"/>
  <c r="V244" i="14"/>
  <c r="V236" i="14"/>
  <c r="V228" i="14"/>
  <c r="V220" i="14"/>
  <c r="V212" i="14"/>
  <c r="V204" i="14"/>
  <c r="V196" i="14"/>
  <c r="V188" i="14"/>
  <c r="V180" i="14"/>
  <c r="V172" i="14"/>
  <c r="V164" i="14"/>
  <c r="V156" i="14"/>
  <c r="V148" i="14"/>
  <c r="V13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EC57C2-FD36-48B5-862D-D32AACE583F0}" keepAlive="1" name="Query - Governance_Metrics" description="Connection to the 'Governance_Metrics' query in the workbook." type="5" refreshedVersion="8" background="1" saveData="1">
    <dbPr connection="Provider=Microsoft.Mashup.OleDb.1;Data Source=$Workbook$;Location=Governance_Metrics;Extended Properties=&quot;&quot;" command="SELECT * FROM [Governance_Metrics]"/>
  </connection>
  <connection id="2" xr16:uid="{868318C4-DF87-4575-A870-45E6455DD0CD}" keepAlive="1" name="Query - qry_governance_metrics_clean" description="Connection to the 'qry_governance_metrics_clean' query in the workbook." type="5" refreshedVersion="8" background="1" saveData="1">
    <dbPr connection="Provider=Microsoft.Mashup.OleDb.1;Data Source=$Workbook$;Location=qry_governance_metrics_clean;Extended Properties=&quot;&quot;" command="SELECT * FROM [qry_governance_metrics_clean]"/>
  </connection>
  <connection id="3" xr16:uid="{BFFF1D5C-1F00-4BC1-8214-036D2F050268}" keepAlive="1" name="Query - qry_seller_master_clean" description="Connection to the 'qry_seller_master_clean' query in the workbook." type="5" refreshedVersion="8" background="1" saveData="1">
    <dbPr connection="Provider=Microsoft.Mashup.OleDb.1;Data Source=$Workbook$;Location=qry_seller_master_clean;Extended Properties=&quot;&quot;" command="SELECT * FROM [qry_seller_master_clean]"/>
  </connection>
  <connection id="4" xr16:uid="{AFD11C6A-DE07-467A-806A-434471929373}" keepAlive="1" name="Query - qry_seller_risk_analysis" description="Connection to the 'qry_seller_risk_analysis' query in the workbook." type="5" refreshedVersion="8" background="1" saveData="1">
    <dbPr connection="Provider=Microsoft.Mashup.OleDb.1;Data Source=$Workbook$;Location=qry_seller_risk_analysis;Extended Properties=&quot;&quot;" command="SELECT * FROM [qry_seller_risk_analysis]"/>
  </connection>
  <connection id="5" xr16:uid="{C11D5961-12A5-4556-944A-94B87629D06A}" keepAlive="1" name="Query - qry_supplier_risk_clean" description="Connection to the 'qry_supplier_risk_clean' query in the workbook." type="5" refreshedVersion="8" background="1" saveData="1">
    <dbPr connection="Provider=Microsoft.Mashup.OleDb.1;Data Source=$Workbook$;Location=qry_supplier_risk_clean;Extended Properties=&quot;&quot;" command="SELECT * FROM [qry_supplier_risk_clean]"/>
  </connection>
  <connection id="6" xr16:uid="{932ADBC6-FC4B-4C81-A102-63719430E798}" keepAlive="1" name="Query - qry_violation_log_clean" description="Connection to the 'qry_violation_log_clean' query in the workbook." type="5" refreshedVersion="8" background="1" saveData="1">
    <dbPr connection="Provider=Microsoft.Mashup.OleDb.1;Data Source=$Workbook$;Location=qry_violation_log_clean;Extended Properties=&quot;&quot;" command="SELECT * FROM [qry_violation_log_clean]"/>
  </connection>
  <connection id="7" xr16:uid="{CBA01331-C8FF-44C4-93C7-1C09742D2B5A}" keepAlive="1" name="Query - qry_violation_summary_seller_year" description="Connection to the 'qry_violation_summary_seller_year' query in the workbook." type="5" refreshedVersion="8" background="1" saveData="1">
    <dbPr connection="Provider=Microsoft.Mashup.OleDb.1;Data Source=$Workbook$;Location=qry_violation_summary_seller_year;Extended Properties=&quot;&quot;" command="SELECT * FROM [qry_violation_summary_seller_year]"/>
  </connection>
  <connection id="8" xr16:uid="{3A4EBFAF-6880-4352-AC12-121246C4F808}" keepAlive="1" name="Query - Seller_Master" description="Connection to the 'Seller_Master' query in the workbook." type="5" refreshedVersion="8" background="1" saveData="1">
    <dbPr connection="Provider=Microsoft.Mashup.OleDb.1;Data Source=$Workbook$;Location=Seller_Master;Extended Properties=&quot;&quot;" command="SELECT * FROM [Seller_Master]"/>
  </connection>
  <connection id="9" xr16:uid="{66D5AA1E-2919-49D5-BBC3-27E8962122C2}" keepAlive="1" name="Query - supplier_risk" description="Connection to the 'supplier_risk' query in the workbook." type="5" refreshedVersion="8" background="1" saveData="1">
    <dbPr connection="Provider=Microsoft.Mashup.OleDb.1;Data Source=$Workbook$;Location=supplier_risk;Extended Properties=&quot;&quot;" command="SELECT * FROM [supplier_risk]"/>
  </connection>
  <connection id="10" xr16:uid="{84A2D74B-F714-4B75-9E59-47E6A2893DC1}" keepAlive="1" name="Query - Violation_Log" description="Connection to the 'Violation_Log' query in the workbook." type="5" refreshedVersion="8" background="1" saveData="1">
    <dbPr connection="Provider=Microsoft.Mashup.OleDb.1;Data Source=$Workbook$;Location=Violation_Log;Extended Properties=&quot;&quot;" command="SELECT * FROM [Violation_Log]"/>
  </connection>
</connections>
</file>

<file path=xl/sharedStrings.xml><?xml version="1.0" encoding="utf-8"?>
<sst xmlns="http://schemas.openxmlformats.org/spreadsheetml/2006/main" count="27273" uniqueCount="1991">
  <si>
    <t>Supplier_ID</t>
  </si>
  <si>
    <t>Year</t>
  </si>
  <si>
    <t>Financial_Stability_Score</t>
  </si>
  <si>
    <t>Delivery_Performance_Score</t>
  </si>
  <si>
    <t>Quality_Compliance_Score</t>
  </si>
  <si>
    <t>Regulatory_Adherence_Score</t>
  </si>
  <si>
    <t>Sustainability_Score</t>
  </si>
  <si>
    <t>Past_Risk_Level</t>
  </si>
  <si>
    <t>ERP_Transactions</t>
  </si>
  <si>
    <t>Incidents_Count</t>
  </si>
  <si>
    <t>MCDM_Score</t>
  </si>
  <si>
    <t>Risk_Category</t>
  </si>
  <si>
    <t>Medium</t>
  </si>
  <si>
    <t>High</t>
  </si>
  <si>
    <t>Seller_ID</t>
  </si>
  <si>
    <t>Seller_Name</t>
  </si>
  <si>
    <t>Seller_Type</t>
  </si>
  <si>
    <t>Primary_Category</t>
  </si>
  <si>
    <t>Region</t>
  </si>
  <si>
    <t>Country</t>
  </si>
  <si>
    <t>Onboarding_Date</t>
  </si>
  <si>
    <t>Marketplace_Tier</t>
  </si>
  <si>
    <t>Business_Size</t>
  </si>
  <si>
    <t>KYC_Status</t>
  </si>
  <si>
    <t>Preferred_Fulfillment_Mode</t>
  </si>
  <si>
    <t>Account_Status</t>
  </si>
  <si>
    <t>Swift Goods 001</t>
  </si>
  <si>
    <t>Enterprise</t>
  </si>
  <si>
    <t>Electronics</t>
  </si>
  <si>
    <t>Southeast Asia</t>
  </si>
  <si>
    <t>Singapore</t>
  </si>
  <si>
    <t>Standard</t>
  </si>
  <si>
    <t>Small</t>
  </si>
  <si>
    <t>Verified</t>
  </si>
  <si>
    <t>Self-fulfilled</t>
  </si>
  <si>
    <t>Active</t>
  </si>
  <si>
    <t>Blue Source 002</t>
  </si>
  <si>
    <t>Home</t>
  </si>
  <si>
    <t>South</t>
  </si>
  <si>
    <t>Indonesia</t>
  </si>
  <si>
    <t>Large</t>
  </si>
  <si>
    <t>Platform Fulfilled</t>
  </si>
  <si>
    <t>Under Review</t>
  </si>
  <si>
    <t>Vertex Supply 003</t>
  </si>
  <si>
    <t>Individual</t>
  </si>
  <si>
    <t>West</t>
  </si>
  <si>
    <t>Rejected</t>
  </si>
  <si>
    <t>Zen Mart 004</t>
  </si>
  <si>
    <t>SME</t>
  </si>
  <si>
    <t>Fashion</t>
  </si>
  <si>
    <t>Malaysia</t>
  </si>
  <si>
    <t>True House 005</t>
  </si>
  <si>
    <t>Core Traders 006</t>
  </si>
  <si>
    <t>Brand Partner</t>
  </si>
  <si>
    <t>Beauty</t>
  </si>
  <si>
    <t>Premium</t>
  </si>
  <si>
    <t>Urban Works 007</t>
  </si>
  <si>
    <t>Bright Nest 008</t>
  </si>
  <si>
    <t>India</t>
  </si>
  <si>
    <t>Pending</t>
  </si>
  <si>
    <t>Golden Hub 009</t>
  </si>
  <si>
    <t>North</t>
  </si>
  <si>
    <t>Strategic</t>
  </si>
  <si>
    <t>Ever Merchants 010</t>
  </si>
  <si>
    <t>Thailand</t>
  </si>
  <si>
    <t>Orbit Square 011</t>
  </si>
  <si>
    <t>Groceries</t>
  </si>
  <si>
    <t>Pulse Commerce 012</t>
  </si>
  <si>
    <t>Restricted</t>
  </si>
  <si>
    <t>Summit Bazaar 013</t>
  </si>
  <si>
    <t>Prime Bridge 014</t>
  </si>
  <si>
    <t>Apex Retail 015</t>
  </si>
  <si>
    <t>East</t>
  </si>
  <si>
    <t>Hybrid</t>
  </si>
  <si>
    <t>Nimbus Market 016</t>
  </si>
  <si>
    <t>Metro Point 017</t>
  </si>
  <si>
    <t>Luna Stores 018</t>
  </si>
  <si>
    <t>Elite Link 019</t>
  </si>
  <si>
    <t>Nova Cart 020</t>
  </si>
  <si>
    <t>Swift Goods 021</t>
  </si>
  <si>
    <t>Blue Source 022</t>
  </si>
  <si>
    <t>Vertex Supply 023</t>
  </si>
  <si>
    <t>Zen Mart 024</t>
  </si>
  <si>
    <t>True House 025</t>
  </si>
  <si>
    <t>Core Traders 026</t>
  </si>
  <si>
    <t>Suspended</t>
  </si>
  <si>
    <t>Urban Works 027</t>
  </si>
  <si>
    <t>Bright Nest 028</t>
  </si>
  <si>
    <t>Golden Hub 029</t>
  </si>
  <si>
    <t>Ever Merchants 030</t>
  </si>
  <si>
    <t>Orbit Square 031</t>
  </si>
  <si>
    <t>Pulse Commerce 032</t>
  </si>
  <si>
    <t>Summit Bazaar 033</t>
  </si>
  <si>
    <t>Prime Bridge 034</t>
  </si>
  <si>
    <t>Apex Retail 035</t>
  </si>
  <si>
    <t>Nimbus Market 036</t>
  </si>
  <si>
    <t>Metro Point 037</t>
  </si>
  <si>
    <t>Luna Stores 038</t>
  </si>
  <si>
    <t>Elite Link 039</t>
  </si>
  <si>
    <t>Nova Cart 040</t>
  </si>
  <si>
    <t>Swift Goods 041</t>
  </si>
  <si>
    <t>Blue Source 042</t>
  </si>
  <si>
    <t>Vertex Supply 043</t>
  </si>
  <si>
    <t>Zen Mart 044</t>
  </si>
  <si>
    <t>True House 045</t>
  </si>
  <si>
    <t>Core Traders 046</t>
  </si>
  <si>
    <t>Urban Works 047</t>
  </si>
  <si>
    <t>Bright Nest 048</t>
  </si>
  <si>
    <t>Golden Hub 049</t>
  </si>
  <si>
    <t>Ever Merchants 050</t>
  </si>
  <si>
    <t>Orbit Square 051</t>
  </si>
  <si>
    <t>Pulse Commerce 052</t>
  </si>
  <si>
    <t>Summit Bazaar 053</t>
  </si>
  <si>
    <t>Prime Bridge 054</t>
  </si>
  <si>
    <t>Apex Retail 055</t>
  </si>
  <si>
    <t>Nimbus Market 056</t>
  </si>
  <si>
    <t>Metro Point 057</t>
  </si>
  <si>
    <t>Luna Stores 058</t>
  </si>
  <si>
    <t>Elite Link 059</t>
  </si>
  <si>
    <t>Nova Cart 060</t>
  </si>
  <si>
    <t>Swift Goods 061</t>
  </si>
  <si>
    <t>Blue Source 062</t>
  </si>
  <si>
    <t>Vertex Supply 063</t>
  </si>
  <si>
    <t>Zen Mart 064</t>
  </si>
  <si>
    <t>True House 065</t>
  </si>
  <si>
    <t>Core Traders 066</t>
  </si>
  <si>
    <t>Urban Works 067</t>
  </si>
  <si>
    <t>Bright Nest 068</t>
  </si>
  <si>
    <t>Golden Hub 069</t>
  </si>
  <si>
    <t>Ever Merchants 070</t>
  </si>
  <si>
    <t>Orbit Square 071</t>
  </si>
  <si>
    <t>Pulse Commerce 072</t>
  </si>
  <si>
    <t>Summit Bazaar 073</t>
  </si>
  <si>
    <t>Prime Bridge 074</t>
  </si>
  <si>
    <t>Apex Retail 075</t>
  </si>
  <si>
    <t>Nimbus Market 076</t>
  </si>
  <si>
    <t>Metro Point 077</t>
  </si>
  <si>
    <t>Luna Stores 078</t>
  </si>
  <si>
    <t>Elite Link 079</t>
  </si>
  <si>
    <t>Nova Cart 080</t>
  </si>
  <si>
    <t>Swift Goods 081</t>
  </si>
  <si>
    <t>Blue Source 082</t>
  </si>
  <si>
    <t>Vertex Supply 083</t>
  </si>
  <si>
    <t>Zen Mart 084</t>
  </si>
  <si>
    <t>True House 085</t>
  </si>
  <si>
    <t>Core Traders 086</t>
  </si>
  <si>
    <t>Urban Works 087</t>
  </si>
  <si>
    <t>Bright Nest 088</t>
  </si>
  <si>
    <t>Golden Hub 089</t>
  </si>
  <si>
    <t>Ever Merchants 090</t>
  </si>
  <si>
    <t>Orbit Square 091</t>
  </si>
  <si>
    <t>Pulse Commerce 092</t>
  </si>
  <si>
    <t>Summit Bazaar 093</t>
  </si>
  <si>
    <t>Prime Bridge 094</t>
  </si>
  <si>
    <t>Apex Retail 095</t>
  </si>
  <si>
    <t>Nimbus Market 096</t>
  </si>
  <si>
    <t>Metro Point 097</t>
  </si>
  <si>
    <t>Luna Stores 098</t>
  </si>
  <si>
    <t>Elite Link 099</t>
  </si>
  <si>
    <t>Nova Cart 100</t>
  </si>
  <si>
    <t>Metric_Year</t>
  </si>
  <si>
    <t>Total_Orders</t>
  </si>
  <si>
    <t>Returned_Orders</t>
  </si>
  <si>
    <t>Refund_Requests</t>
  </si>
  <si>
    <t>Refund_Amount</t>
  </si>
  <si>
    <t>Refund_Rate</t>
  </si>
  <si>
    <t>User_Reports_Count</t>
  </si>
  <si>
    <t>Negative_Review_Count</t>
  </si>
  <si>
    <t>Customer_Dispute_Count</t>
  </si>
  <si>
    <t>Policy_Violation_Count</t>
  </si>
  <si>
    <t>Fraud_Flag</t>
  </si>
  <si>
    <t>Fraud_Review_Count</t>
  </si>
  <si>
    <t>Escalation_Count</t>
  </si>
  <si>
    <t>Chargeback_Count</t>
  </si>
  <si>
    <t>Governance_Action_Status</t>
  </si>
  <si>
    <t>Review Required</t>
  </si>
  <si>
    <t>Watchlist</t>
  </si>
  <si>
    <t>Violation_ID</t>
  </si>
  <si>
    <t>Violation_Date</t>
  </si>
  <si>
    <t>Violation_Year</t>
  </si>
  <si>
    <t>Violation_Type</t>
  </si>
  <si>
    <t>Severity_Level</t>
  </si>
  <si>
    <t>Violation_Status</t>
  </si>
  <si>
    <t>Reported_Source</t>
  </si>
  <si>
    <t>Affected_Order_Count</t>
  </si>
  <si>
    <t>Penalty_Amount</t>
  </si>
  <si>
    <t>Fraud_Linked_Flag</t>
  </si>
  <si>
    <t>Action_Taken</t>
  </si>
  <si>
    <t>Resolved_Flag</t>
  </si>
  <si>
    <t>V00001</t>
  </si>
  <si>
    <t>Policy Breach</t>
  </si>
  <si>
    <t>Escalated</t>
  </si>
  <si>
    <t>Compliance Team</t>
  </si>
  <si>
    <t>Payout Hold</t>
  </si>
  <si>
    <t>V00002</t>
  </si>
  <si>
    <t>User</t>
  </si>
  <si>
    <t>Seller Suspended</t>
  </si>
  <si>
    <t>V00003</t>
  </si>
  <si>
    <t>Fraud Suspicion</t>
  </si>
  <si>
    <t>Critical</t>
  </si>
  <si>
    <t>Open</t>
  </si>
  <si>
    <t>Listing Removed</t>
  </si>
  <si>
    <t>V00004</t>
  </si>
  <si>
    <t>Under Investigation</t>
  </si>
  <si>
    <t>System Detection</t>
  </si>
  <si>
    <t>V00005</t>
  </si>
  <si>
    <t>Internal Audit</t>
  </si>
  <si>
    <t>V00006</t>
  </si>
  <si>
    <t>V00007</t>
  </si>
  <si>
    <t>Low</t>
  </si>
  <si>
    <t>No Action</t>
  </si>
  <si>
    <t>V00008</t>
  </si>
  <si>
    <t>Closed</t>
  </si>
  <si>
    <t>V00009</t>
  </si>
  <si>
    <t>Late Fulfillment</t>
  </si>
  <si>
    <t>Warning Issued</t>
  </si>
  <si>
    <t>V00010</t>
  </si>
  <si>
    <t>V00011</t>
  </si>
  <si>
    <t>V00012</t>
  </si>
  <si>
    <t>Product Quality Issue</t>
  </si>
  <si>
    <t>V00013</t>
  </si>
  <si>
    <t>V00014</t>
  </si>
  <si>
    <t>V00015</t>
  </si>
  <si>
    <t>V00016</t>
  </si>
  <si>
    <t>V00017</t>
  </si>
  <si>
    <t>Listing Misrepresentation</t>
  </si>
  <si>
    <t>V00018</t>
  </si>
  <si>
    <t>Counterfeit Risk</t>
  </si>
  <si>
    <t>V00019</t>
  </si>
  <si>
    <t>V00020</t>
  </si>
  <si>
    <t>V00021</t>
  </si>
  <si>
    <t>V00022</t>
  </si>
  <si>
    <t>V00023</t>
  </si>
  <si>
    <t>V00024</t>
  </si>
  <si>
    <t>V00025</t>
  </si>
  <si>
    <t>V00026</t>
  </si>
  <si>
    <t>V00027</t>
  </si>
  <si>
    <t>V00028</t>
  </si>
  <si>
    <t>V00029</t>
  </si>
  <si>
    <t>V00030</t>
  </si>
  <si>
    <t>V00031</t>
  </si>
  <si>
    <t>V00032</t>
  </si>
  <si>
    <t>V00033</t>
  </si>
  <si>
    <t>V00034</t>
  </si>
  <si>
    <t>V00035</t>
  </si>
  <si>
    <t>V00036</t>
  </si>
  <si>
    <t>V00037</t>
  </si>
  <si>
    <t>V00038</t>
  </si>
  <si>
    <t>V00039</t>
  </si>
  <si>
    <t>V00040</t>
  </si>
  <si>
    <t>V00041</t>
  </si>
  <si>
    <t>V00042</t>
  </si>
  <si>
    <t>V00043</t>
  </si>
  <si>
    <t>V00044</t>
  </si>
  <si>
    <t>V00045</t>
  </si>
  <si>
    <t>V00046</t>
  </si>
  <si>
    <t>V00047</t>
  </si>
  <si>
    <t>V00048</t>
  </si>
  <si>
    <t>V00049</t>
  </si>
  <si>
    <t>V00050</t>
  </si>
  <si>
    <t>V00051</t>
  </si>
  <si>
    <t>V00052</t>
  </si>
  <si>
    <t>V00053</t>
  </si>
  <si>
    <t>V00054</t>
  </si>
  <si>
    <t>V00055</t>
  </si>
  <si>
    <t>V00056</t>
  </si>
  <si>
    <t>V00057</t>
  </si>
  <si>
    <t>V00058</t>
  </si>
  <si>
    <t>V00059</t>
  </si>
  <si>
    <t>V00060</t>
  </si>
  <si>
    <t>V00061</t>
  </si>
  <si>
    <t>V00062</t>
  </si>
  <si>
    <t>V00063</t>
  </si>
  <si>
    <t>V00064</t>
  </si>
  <si>
    <t>V00065</t>
  </si>
  <si>
    <t>V00066</t>
  </si>
  <si>
    <t>V00067</t>
  </si>
  <si>
    <t>V00068</t>
  </si>
  <si>
    <t>V00069</t>
  </si>
  <si>
    <t>V00070</t>
  </si>
  <si>
    <t>V00071</t>
  </si>
  <si>
    <t>V00072</t>
  </si>
  <si>
    <t>V00073</t>
  </si>
  <si>
    <t>V00074</t>
  </si>
  <si>
    <t>V00075</t>
  </si>
  <si>
    <t>V00076</t>
  </si>
  <si>
    <t>V00077</t>
  </si>
  <si>
    <t>Regulatory Non-Compliance</t>
  </si>
  <si>
    <t>V00078</t>
  </si>
  <si>
    <t>V00079</t>
  </si>
  <si>
    <t>V00080</t>
  </si>
  <si>
    <t>V00081</t>
  </si>
  <si>
    <t>V00082</t>
  </si>
  <si>
    <t>V00083</t>
  </si>
  <si>
    <t>V00084</t>
  </si>
  <si>
    <t>V00085</t>
  </si>
  <si>
    <t>V00086</t>
  </si>
  <si>
    <t>V00087</t>
  </si>
  <si>
    <t>V00088</t>
  </si>
  <si>
    <t>V00089</t>
  </si>
  <si>
    <t>V00090</t>
  </si>
  <si>
    <t>V00091</t>
  </si>
  <si>
    <t>V00092</t>
  </si>
  <si>
    <t>V00093</t>
  </si>
  <si>
    <t>V00094</t>
  </si>
  <si>
    <t>V00095</t>
  </si>
  <si>
    <t>V00096</t>
  </si>
  <si>
    <t>V00097</t>
  </si>
  <si>
    <t>V00098</t>
  </si>
  <si>
    <t>V00099</t>
  </si>
  <si>
    <t>V00100</t>
  </si>
  <si>
    <t>V00101</t>
  </si>
  <si>
    <t>V00102</t>
  </si>
  <si>
    <t>V00103</t>
  </si>
  <si>
    <t>V00104</t>
  </si>
  <si>
    <t>V00105</t>
  </si>
  <si>
    <t>V00106</t>
  </si>
  <si>
    <t>V00107</t>
  </si>
  <si>
    <t>V00108</t>
  </si>
  <si>
    <t>V00109</t>
  </si>
  <si>
    <t>V00110</t>
  </si>
  <si>
    <t>V00111</t>
  </si>
  <si>
    <t>V00112</t>
  </si>
  <si>
    <t>V00113</t>
  </si>
  <si>
    <t>V00114</t>
  </si>
  <si>
    <t>V00115</t>
  </si>
  <si>
    <t>V00116</t>
  </si>
  <si>
    <t>V00117</t>
  </si>
  <si>
    <t>V00118</t>
  </si>
  <si>
    <t>V00119</t>
  </si>
  <si>
    <t>V00120</t>
  </si>
  <si>
    <t>V00121</t>
  </si>
  <si>
    <t>V00122</t>
  </si>
  <si>
    <t>V00123</t>
  </si>
  <si>
    <t>V00124</t>
  </si>
  <si>
    <t>V00125</t>
  </si>
  <si>
    <t>V00126</t>
  </si>
  <si>
    <t>V00127</t>
  </si>
  <si>
    <t>V00128</t>
  </si>
  <si>
    <t>V00129</t>
  </si>
  <si>
    <t>V00130</t>
  </si>
  <si>
    <t>V00131</t>
  </si>
  <si>
    <t>V00132</t>
  </si>
  <si>
    <t>V00133</t>
  </si>
  <si>
    <t>V00134</t>
  </si>
  <si>
    <t>V00135</t>
  </si>
  <si>
    <t>V00136</t>
  </si>
  <si>
    <t>V00137</t>
  </si>
  <si>
    <t>V00138</t>
  </si>
  <si>
    <t>V00139</t>
  </si>
  <si>
    <t>V00140</t>
  </si>
  <si>
    <t>V00141</t>
  </si>
  <si>
    <t>V00142</t>
  </si>
  <si>
    <t>V00143</t>
  </si>
  <si>
    <t>V00144</t>
  </si>
  <si>
    <t>V00145</t>
  </si>
  <si>
    <t>V00146</t>
  </si>
  <si>
    <t>V00147</t>
  </si>
  <si>
    <t>V00148</t>
  </si>
  <si>
    <t>V00149</t>
  </si>
  <si>
    <t>V00150</t>
  </si>
  <si>
    <t>V00151</t>
  </si>
  <si>
    <t>V00152</t>
  </si>
  <si>
    <t>V00153</t>
  </si>
  <si>
    <t>V00154</t>
  </si>
  <si>
    <t>V00155</t>
  </si>
  <si>
    <t>V00156</t>
  </si>
  <si>
    <t>V00157</t>
  </si>
  <si>
    <t>V00158</t>
  </si>
  <si>
    <t>V00159</t>
  </si>
  <si>
    <t>V00160</t>
  </si>
  <si>
    <t>V00161</t>
  </si>
  <si>
    <t>V00162</t>
  </si>
  <si>
    <t>V00163</t>
  </si>
  <si>
    <t>V00164</t>
  </si>
  <si>
    <t>V00165</t>
  </si>
  <si>
    <t>V00166</t>
  </si>
  <si>
    <t>V00167</t>
  </si>
  <si>
    <t>V00168</t>
  </si>
  <si>
    <t>V00169</t>
  </si>
  <si>
    <t>V00170</t>
  </si>
  <si>
    <t>V00171</t>
  </si>
  <si>
    <t>V00172</t>
  </si>
  <si>
    <t>V00173</t>
  </si>
  <si>
    <t>V00174</t>
  </si>
  <si>
    <t>V00175</t>
  </si>
  <si>
    <t>V00176</t>
  </si>
  <si>
    <t>V00177</t>
  </si>
  <si>
    <t>V00178</t>
  </si>
  <si>
    <t>V00179</t>
  </si>
  <si>
    <t>V00180</t>
  </si>
  <si>
    <t>V00181</t>
  </si>
  <si>
    <t>V00182</t>
  </si>
  <si>
    <t>V00183</t>
  </si>
  <si>
    <t>V00184</t>
  </si>
  <si>
    <t>V00185</t>
  </si>
  <si>
    <t>V00186</t>
  </si>
  <si>
    <t>V00187</t>
  </si>
  <si>
    <t>V00188</t>
  </si>
  <si>
    <t>V00189</t>
  </si>
  <si>
    <t>V00190</t>
  </si>
  <si>
    <t>V00191</t>
  </si>
  <si>
    <t>V00192</t>
  </si>
  <si>
    <t>V00193</t>
  </si>
  <si>
    <t>V00194</t>
  </si>
  <si>
    <t>V00195</t>
  </si>
  <si>
    <t>V00196</t>
  </si>
  <si>
    <t>V00197</t>
  </si>
  <si>
    <t>V00198</t>
  </si>
  <si>
    <t>V00199</t>
  </si>
  <si>
    <t>V00200</t>
  </si>
  <si>
    <t>V00201</t>
  </si>
  <si>
    <t>V00202</t>
  </si>
  <si>
    <t>V00203</t>
  </si>
  <si>
    <t>V00204</t>
  </si>
  <si>
    <t>V00205</t>
  </si>
  <si>
    <t>V00206</t>
  </si>
  <si>
    <t>V00207</t>
  </si>
  <si>
    <t>V00208</t>
  </si>
  <si>
    <t>V00209</t>
  </si>
  <si>
    <t>V00210</t>
  </si>
  <si>
    <t>V00211</t>
  </si>
  <si>
    <t>V00212</t>
  </si>
  <si>
    <t>V00213</t>
  </si>
  <si>
    <t>V00214</t>
  </si>
  <si>
    <t>V00215</t>
  </si>
  <si>
    <t>V00216</t>
  </si>
  <si>
    <t>V00217</t>
  </si>
  <si>
    <t>V00218</t>
  </si>
  <si>
    <t>V00219</t>
  </si>
  <si>
    <t>V00220</t>
  </si>
  <si>
    <t>V00221</t>
  </si>
  <si>
    <t>V00222</t>
  </si>
  <si>
    <t>V00223</t>
  </si>
  <si>
    <t>V00224</t>
  </si>
  <si>
    <t>V00225</t>
  </si>
  <si>
    <t>V00226</t>
  </si>
  <si>
    <t>V00227</t>
  </si>
  <si>
    <t>V00228</t>
  </si>
  <si>
    <t>V00229</t>
  </si>
  <si>
    <t>V00230</t>
  </si>
  <si>
    <t>V00231</t>
  </si>
  <si>
    <t>V00232</t>
  </si>
  <si>
    <t>V00233</t>
  </si>
  <si>
    <t>V00234</t>
  </si>
  <si>
    <t>V00235</t>
  </si>
  <si>
    <t>V00236</t>
  </si>
  <si>
    <t>V00237</t>
  </si>
  <si>
    <t>V00238</t>
  </si>
  <si>
    <t>V00239</t>
  </si>
  <si>
    <t>V00240</t>
  </si>
  <si>
    <t>V00241</t>
  </si>
  <si>
    <t>V00242</t>
  </si>
  <si>
    <t>V00243</t>
  </si>
  <si>
    <t>V00244</t>
  </si>
  <si>
    <t>V00245</t>
  </si>
  <si>
    <t>V00246</t>
  </si>
  <si>
    <t>V00247</t>
  </si>
  <si>
    <t>V00248</t>
  </si>
  <si>
    <t>V00249</t>
  </si>
  <si>
    <t>V00250</t>
  </si>
  <si>
    <t>V00251</t>
  </si>
  <si>
    <t>V00252</t>
  </si>
  <si>
    <t>V00253</t>
  </si>
  <si>
    <t>V00254</t>
  </si>
  <si>
    <t>V00255</t>
  </si>
  <si>
    <t>V00256</t>
  </si>
  <si>
    <t>V00257</t>
  </si>
  <si>
    <t>V00258</t>
  </si>
  <si>
    <t>V00259</t>
  </si>
  <si>
    <t>V00260</t>
  </si>
  <si>
    <t>V00261</t>
  </si>
  <si>
    <t>V00262</t>
  </si>
  <si>
    <t>V00263</t>
  </si>
  <si>
    <t>V00264</t>
  </si>
  <si>
    <t>V00265</t>
  </si>
  <si>
    <t>V00266</t>
  </si>
  <si>
    <t>V00267</t>
  </si>
  <si>
    <t>V00268</t>
  </si>
  <si>
    <t>V00269</t>
  </si>
  <si>
    <t>V00270</t>
  </si>
  <si>
    <t>V00271</t>
  </si>
  <si>
    <t>V00272</t>
  </si>
  <si>
    <t>V00273</t>
  </si>
  <si>
    <t>V00274</t>
  </si>
  <si>
    <t>V00275</t>
  </si>
  <si>
    <t>V00276</t>
  </si>
  <si>
    <t>V00277</t>
  </si>
  <si>
    <t>V00278</t>
  </si>
  <si>
    <t>V00279</t>
  </si>
  <si>
    <t>V00280</t>
  </si>
  <si>
    <t>V00281</t>
  </si>
  <si>
    <t>V00282</t>
  </si>
  <si>
    <t>V00283</t>
  </si>
  <si>
    <t>V00284</t>
  </si>
  <si>
    <t>V00285</t>
  </si>
  <si>
    <t>V00286</t>
  </si>
  <si>
    <t>V00287</t>
  </si>
  <si>
    <t>V00288</t>
  </si>
  <si>
    <t>V00289</t>
  </si>
  <si>
    <t>V00290</t>
  </si>
  <si>
    <t>V00291</t>
  </si>
  <si>
    <t>V00292</t>
  </si>
  <si>
    <t>V00293</t>
  </si>
  <si>
    <t>V00294</t>
  </si>
  <si>
    <t>V00295</t>
  </si>
  <si>
    <t>V00296</t>
  </si>
  <si>
    <t>V00297</t>
  </si>
  <si>
    <t>V00298</t>
  </si>
  <si>
    <t>V00299</t>
  </si>
  <si>
    <t>V00300</t>
  </si>
  <si>
    <t>V00301</t>
  </si>
  <si>
    <t>V00302</t>
  </si>
  <si>
    <t>V00303</t>
  </si>
  <si>
    <t>V00304</t>
  </si>
  <si>
    <t>V00305</t>
  </si>
  <si>
    <t>V00306</t>
  </si>
  <si>
    <t>V00307</t>
  </si>
  <si>
    <t>V00308</t>
  </si>
  <si>
    <t>V00309</t>
  </si>
  <si>
    <t>V00310</t>
  </si>
  <si>
    <t>V00311</t>
  </si>
  <si>
    <t>V00312</t>
  </si>
  <si>
    <t>V00313</t>
  </si>
  <si>
    <t>V00314</t>
  </si>
  <si>
    <t>V00315</t>
  </si>
  <si>
    <t>V00316</t>
  </si>
  <si>
    <t>V00317</t>
  </si>
  <si>
    <t>V00318</t>
  </si>
  <si>
    <t>V00319</t>
  </si>
  <si>
    <t>V00320</t>
  </si>
  <si>
    <t>V00321</t>
  </si>
  <si>
    <t>V00322</t>
  </si>
  <si>
    <t>V00323</t>
  </si>
  <si>
    <t>V00324</t>
  </si>
  <si>
    <t>V00325</t>
  </si>
  <si>
    <t>V00326</t>
  </si>
  <si>
    <t>V00327</t>
  </si>
  <si>
    <t>V00328</t>
  </si>
  <si>
    <t>V00329</t>
  </si>
  <si>
    <t>V00330</t>
  </si>
  <si>
    <t>V00331</t>
  </si>
  <si>
    <t>V00332</t>
  </si>
  <si>
    <t>V00333</t>
  </si>
  <si>
    <t>V00334</t>
  </si>
  <si>
    <t>V00335</t>
  </si>
  <si>
    <t>V00336</t>
  </si>
  <si>
    <t>V00337</t>
  </si>
  <si>
    <t>V00338</t>
  </si>
  <si>
    <t>V00339</t>
  </si>
  <si>
    <t>V00340</t>
  </si>
  <si>
    <t>V00341</t>
  </si>
  <si>
    <t>V00342</t>
  </si>
  <si>
    <t>V00343</t>
  </si>
  <si>
    <t>V00344</t>
  </si>
  <si>
    <t>V00345</t>
  </si>
  <si>
    <t>V00346</t>
  </si>
  <si>
    <t>V00347</t>
  </si>
  <si>
    <t>V00348</t>
  </si>
  <si>
    <t>V00349</t>
  </si>
  <si>
    <t>V00350</t>
  </si>
  <si>
    <t>V00351</t>
  </si>
  <si>
    <t>V00352</t>
  </si>
  <si>
    <t>V00353</t>
  </si>
  <si>
    <t>V00354</t>
  </si>
  <si>
    <t>V00355</t>
  </si>
  <si>
    <t>V00356</t>
  </si>
  <si>
    <t>V00357</t>
  </si>
  <si>
    <t>V00358</t>
  </si>
  <si>
    <t>V00359</t>
  </si>
  <si>
    <t>V00360</t>
  </si>
  <si>
    <t>V00361</t>
  </si>
  <si>
    <t>V00362</t>
  </si>
  <si>
    <t>V00363</t>
  </si>
  <si>
    <t>V00364</t>
  </si>
  <si>
    <t>V00365</t>
  </si>
  <si>
    <t>V00366</t>
  </si>
  <si>
    <t>V00367</t>
  </si>
  <si>
    <t>V00368</t>
  </si>
  <si>
    <t>V00369</t>
  </si>
  <si>
    <t>V00370</t>
  </si>
  <si>
    <t>V00371</t>
  </si>
  <si>
    <t>V00372</t>
  </si>
  <si>
    <t>V00373</t>
  </si>
  <si>
    <t>V00374</t>
  </si>
  <si>
    <t>V00375</t>
  </si>
  <si>
    <t>V00376</t>
  </si>
  <si>
    <t>V00377</t>
  </si>
  <si>
    <t>V00378</t>
  </si>
  <si>
    <t>V00379</t>
  </si>
  <si>
    <t>V00380</t>
  </si>
  <si>
    <t>V00381</t>
  </si>
  <si>
    <t>V00382</t>
  </si>
  <si>
    <t>V00383</t>
  </si>
  <si>
    <t>V00384</t>
  </si>
  <si>
    <t>V00385</t>
  </si>
  <si>
    <t>V00386</t>
  </si>
  <si>
    <t>V00387</t>
  </si>
  <si>
    <t>V00388</t>
  </si>
  <si>
    <t>V00389</t>
  </si>
  <si>
    <t>V00390</t>
  </si>
  <si>
    <t>V00391</t>
  </si>
  <si>
    <t>V00392</t>
  </si>
  <si>
    <t>V00393</t>
  </si>
  <si>
    <t>V00394</t>
  </si>
  <si>
    <t>V00395</t>
  </si>
  <si>
    <t>V00396</t>
  </si>
  <si>
    <t>V00397</t>
  </si>
  <si>
    <t>V00398</t>
  </si>
  <si>
    <t>V00399</t>
  </si>
  <si>
    <t>V00400</t>
  </si>
  <si>
    <t>V00401</t>
  </si>
  <si>
    <t>V00402</t>
  </si>
  <si>
    <t>V00403</t>
  </si>
  <si>
    <t>V00404</t>
  </si>
  <si>
    <t>V00405</t>
  </si>
  <si>
    <t>V00406</t>
  </si>
  <si>
    <t>V00407</t>
  </si>
  <si>
    <t>V00408</t>
  </si>
  <si>
    <t>V00409</t>
  </si>
  <si>
    <t>V00410</t>
  </si>
  <si>
    <t>V00411</t>
  </si>
  <si>
    <t>V00412</t>
  </si>
  <si>
    <t>V00413</t>
  </si>
  <si>
    <t>V00414</t>
  </si>
  <si>
    <t>V00415</t>
  </si>
  <si>
    <t>V00416</t>
  </si>
  <si>
    <t>V00417</t>
  </si>
  <si>
    <t>V00418</t>
  </si>
  <si>
    <t>V00419</t>
  </si>
  <si>
    <t>V00420</t>
  </si>
  <si>
    <t>V00421</t>
  </si>
  <si>
    <t>V00422</t>
  </si>
  <si>
    <t>V00423</t>
  </si>
  <si>
    <t>V00424</t>
  </si>
  <si>
    <t>V00425</t>
  </si>
  <si>
    <t>V00426</t>
  </si>
  <si>
    <t>V00427</t>
  </si>
  <si>
    <t>V00428</t>
  </si>
  <si>
    <t>V00429</t>
  </si>
  <si>
    <t>V00430</t>
  </si>
  <si>
    <t>V00431</t>
  </si>
  <si>
    <t>V00432</t>
  </si>
  <si>
    <t>V00433</t>
  </si>
  <si>
    <t>V00434</t>
  </si>
  <si>
    <t>V00435</t>
  </si>
  <si>
    <t>V00436</t>
  </si>
  <si>
    <t>V00437</t>
  </si>
  <si>
    <t>V00438</t>
  </si>
  <si>
    <t>V00439</t>
  </si>
  <si>
    <t>V00440</t>
  </si>
  <si>
    <t>V00441</t>
  </si>
  <si>
    <t>V00442</t>
  </si>
  <si>
    <t>V00443</t>
  </si>
  <si>
    <t>V00444</t>
  </si>
  <si>
    <t>V00445</t>
  </si>
  <si>
    <t>V00446</t>
  </si>
  <si>
    <t>V00447</t>
  </si>
  <si>
    <t>V00448</t>
  </si>
  <si>
    <t>V00449</t>
  </si>
  <si>
    <t>V00450</t>
  </si>
  <si>
    <t>V00451</t>
  </si>
  <si>
    <t>V00452</t>
  </si>
  <si>
    <t>V00453</t>
  </si>
  <si>
    <t>V00454</t>
  </si>
  <si>
    <t>V00455</t>
  </si>
  <si>
    <t>V00456</t>
  </si>
  <si>
    <t>V00457</t>
  </si>
  <si>
    <t>V00458</t>
  </si>
  <si>
    <t>V00459</t>
  </si>
  <si>
    <t>V00460</t>
  </si>
  <si>
    <t>V00461</t>
  </si>
  <si>
    <t>V00462</t>
  </si>
  <si>
    <t>V00463</t>
  </si>
  <si>
    <t>V00464</t>
  </si>
  <si>
    <t>V00465</t>
  </si>
  <si>
    <t>V00466</t>
  </si>
  <si>
    <t>V00467</t>
  </si>
  <si>
    <t>V00468</t>
  </si>
  <si>
    <t>V00469</t>
  </si>
  <si>
    <t>V00470</t>
  </si>
  <si>
    <t>V00471</t>
  </si>
  <si>
    <t>V00472</t>
  </si>
  <si>
    <t>V00473</t>
  </si>
  <si>
    <t>V00474</t>
  </si>
  <si>
    <t>V00475</t>
  </si>
  <si>
    <t>V00476</t>
  </si>
  <si>
    <t>V00477</t>
  </si>
  <si>
    <t>V00478</t>
  </si>
  <si>
    <t>V00479</t>
  </si>
  <si>
    <t>V00480</t>
  </si>
  <si>
    <t>V00481</t>
  </si>
  <si>
    <t>V00482</t>
  </si>
  <si>
    <t>V00483</t>
  </si>
  <si>
    <t>V00484</t>
  </si>
  <si>
    <t>V00485</t>
  </si>
  <si>
    <t>V00486</t>
  </si>
  <si>
    <t>V00487</t>
  </si>
  <si>
    <t>V00488</t>
  </si>
  <si>
    <t>V00489</t>
  </si>
  <si>
    <t>V00490</t>
  </si>
  <si>
    <t>V00491</t>
  </si>
  <si>
    <t>V00492</t>
  </si>
  <si>
    <t>V00493</t>
  </si>
  <si>
    <t>V00494</t>
  </si>
  <si>
    <t>V00495</t>
  </si>
  <si>
    <t>V00496</t>
  </si>
  <si>
    <t>V00497</t>
  </si>
  <si>
    <t>V00498</t>
  </si>
  <si>
    <t>V00499</t>
  </si>
  <si>
    <t>V00500</t>
  </si>
  <si>
    <t>V00501</t>
  </si>
  <si>
    <t>V00502</t>
  </si>
  <si>
    <t>V00503</t>
  </si>
  <si>
    <t>V00504</t>
  </si>
  <si>
    <t>V00505</t>
  </si>
  <si>
    <t>V00506</t>
  </si>
  <si>
    <t>V00507</t>
  </si>
  <si>
    <t>V00508</t>
  </si>
  <si>
    <t>V00509</t>
  </si>
  <si>
    <t>V00510</t>
  </si>
  <si>
    <t>V00511</t>
  </si>
  <si>
    <t>V00512</t>
  </si>
  <si>
    <t>V00513</t>
  </si>
  <si>
    <t>V00514</t>
  </si>
  <si>
    <t>V00515</t>
  </si>
  <si>
    <t>V00516</t>
  </si>
  <si>
    <t>V00517</t>
  </si>
  <si>
    <t>V00518</t>
  </si>
  <si>
    <t>V00519</t>
  </si>
  <si>
    <t>V00520</t>
  </si>
  <si>
    <t>V00521</t>
  </si>
  <si>
    <t>V00522</t>
  </si>
  <si>
    <t>V00523</t>
  </si>
  <si>
    <t>V00524</t>
  </si>
  <si>
    <t>V00525</t>
  </si>
  <si>
    <t>V00526</t>
  </si>
  <si>
    <t>V00527</t>
  </si>
  <si>
    <t>V00528</t>
  </si>
  <si>
    <t>V00529</t>
  </si>
  <si>
    <t>V00530</t>
  </si>
  <si>
    <t>V00531</t>
  </si>
  <si>
    <t>V00532</t>
  </si>
  <si>
    <t>V00533</t>
  </si>
  <si>
    <t>V00534</t>
  </si>
  <si>
    <t>V00535</t>
  </si>
  <si>
    <t>V00536</t>
  </si>
  <si>
    <t>V00537</t>
  </si>
  <si>
    <t>V00538</t>
  </si>
  <si>
    <t>V00539</t>
  </si>
  <si>
    <t>V00540</t>
  </si>
  <si>
    <t>V00541</t>
  </si>
  <si>
    <t>V00542</t>
  </si>
  <si>
    <t>V00543</t>
  </si>
  <si>
    <t>V00544</t>
  </si>
  <si>
    <t>V00545</t>
  </si>
  <si>
    <t>V00546</t>
  </si>
  <si>
    <t>V00547</t>
  </si>
  <si>
    <t>V00548</t>
  </si>
  <si>
    <t>V00549</t>
  </si>
  <si>
    <t>V00550</t>
  </si>
  <si>
    <t>V00551</t>
  </si>
  <si>
    <t>V00552</t>
  </si>
  <si>
    <t>V00553</t>
  </si>
  <si>
    <t>V00554</t>
  </si>
  <si>
    <t>V00555</t>
  </si>
  <si>
    <t>V00556</t>
  </si>
  <si>
    <t>V00557</t>
  </si>
  <si>
    <t>V00558</t>
  </si>
  <si>
    <t>V00559</t>
  </si>
  <si>
    <t>V00560</t>
  </si>
  <si>
    <t>V00561</t>
  </si>
  <si>
    <t>V00562</t>
  </si>
  <si>
    <t>V00563</t>
  </si>
  <si>
    <t>V00564</t>
  </si>
  <si>
    <t>V00565</t>
  </si>
  <si>
    <t>V00566</t>
  </si>
  <si>
    <t>V00567</t>
  </si>
  <si>
    <t>V00568</t>
  </si>
  <si>
    <t>V00569</t>
  </si>
  <si>
    <t>V00570</t>
  </si>
  <si>
    <t>V00571</t>
  </si>
  <si>
    <t>V00572</t>
  </si>
  <si>
    <t>V00573</t>
  </si>
  <si>
    <t>V00574</t>
  </si>
  <si>
    <t>V00575</t>
  </si>
  <si>
    <t>V00576</t>
  </si>
  <si>
    <t>V00577</t>
  </si>
  <si>
    <t>V00578</t>
  </si>
  <si>
    <t>V00579</t>
  </si>
  <si>
    <t>V00580</t>
  </si>
  <si>
    <t>V00581</t>
  </si>
  <si>
    <t>V00582</t>
  </si>
  <si>
    <t>V00583</t>
  </si>
  <si>
    <t>V00584</t>
  </si>
  <si>
    <t>V00585</t>
  </si>
  <si>
    <t>V00586</t>
  </si>
  <si>
    <t>V00587</t>
  </si>
  <si>
    <t>V00588</t>
  </si>
  <si>
    <t>V00589</t>
  </si>
  <si>
    <t>V00590</t>
  </si>
  <si>
    <t>V00591</t>
  </si>
  <si>
    <t>V00592</t>
  </si>
  <si>
    <t>V00593</t>
  </si>
  <si>
    <t>V00594</t>
  </si>
  <si>
    <t>V00595</t>
  </si>
  <si>
    <t>V00596</t>
  </si>
  <si>
    <t>V00597</t>
  </si>
  <si>
    <t>V00598</t>
  </si>
  <si>
    <t>V00599</t>
  </si>
  <si>
    <t>V00600</t>
  </si>
  <si>
    <t>V00601</t>
  </si>
  <si>
    <t>V00602</t>
  </si>
  <si>
    <t>V00603</t>
  </si>
  <si>
    <t>V00604</t>
  </si>
  <si>
    <t>V00605</t>
  </si>
  <si>
    <t>V00606</t>
  </si>
  <si>
    <t>V00607</t>
  </si>
  <si>
    <t>V00608</t>
  </si>
  <si>
    <t>V00609</t>
  </si>
  <si>
    <t>V00610</t>
  </si>
  <si>
    <t>V00611</t>
  </si>
  <si>
    <t>V00612</t>
  </si>
  <si>
    <t>V00613</t>
  </si>
  <si>
    <t>V00614</t>
  </si>
  <si>
    <t>V00615</t>
  </si>
  <si>
    <t>V00616</t>
  </si>
  <si>
    <t>V00617</t>
  </si>
  <si>
    <t>V00618</t>
  </si>
  <si>
    <t>V00619</t>
  </si>
  <si>
    <t>V00620</t>
  </si>
  <si>
    <t>V00621</t>
  </si>
  <si>
    <t>V00622</t>
  </si>
  <si>
    <t>V00623</t>
  </si>
  <si>
    <t>V00624</t>
  </si>
  <si>
    <t>V00625</t>
  </si>
  <si>
    <t>V00626</t>
  </si>
  <si>
    <t>V00627</t>
  </si>
  <si>
    <t>V00628</t>
  </si>
  <si>
    <t>V00629</t>
  </si>
  <si>
    <t>V00630</t>
  </si>
  <si>
    <t>V00631</t>
  </si>
  <si>
    <t>V00632</t>
  </si>
  <si>
    <t>V00633</t>
  </si>
  <si>
    <t>V00634</t>
  </si>
  <si>
    <t>V00635</t>
  </si>
  <si>
    <t>V00636</t>
  </si>
  <si>
    <t>V00637</t>
  </si>
  <si>
    <t>V00638</t>
  </si>
  <si>
    <t>V00639</t>
  </si>
  <si>
    <t>V00640</t>
  </si>
  <si>
    <t>V00641</t>
  </si>
  <si>
    <t>V00642</t>
  </si>
  <si>
    <t>V00643</t>
  </si>
  <si>
    <t>V00644</t>
  </si>
  <si>
    <t>V00645</t>
  </si>
  <si>
    <t>V00646</t>
  </si>
  <si>
    <t>V00647</t>
  </si>
  <si>
    <t>V00648</t>
  </si>
  <si>
    <t>V00649</t>
  </si>
  <si>
    <t>V00650</t>
  </si>
  <si>
    <t>V00651</t>
  </si>
  <si>
    <t>V00652</t>
  </si>
  <si>
    <t>V00653</t>
  </si>
  <si>
    <t>V00654</t>
  </si>
  <si>
    <t>V00655</t>
  </si>
  <si>
    <t>V00656</t>
  </si>
  <si>
    <t>V00657</t>
  </si>
  <si>
    <t>V00658</t>
  </si>
  <si>
    <t>V00659</t>
  </si>
  <si>
    <t>V00660</t>
  </si>
  <si>
    <t>V00661</t>
  </si>
  <si>
    <t>V00662</t>
  </si>
  <si>
    <t>V00663</t>
  </si>
  <si>
    <t>V00664</t>
  </si>
  <si>
    <t>V00665</t>
  </si>
  <si>
    <t>V00666</t>
  </si>
  <si>
    <t>V00667</t>
  </si>
  <si>
    <t>V00668</t>
  </si>
  <si>
    <t>V00669</t>
  </si>
  <si>
    <t>V00670</t>
  </si>
  <si>
    <t>V00671</t>
  </si>
  <si>
    <t>V00672</t>
  </si>
  <si>
    <t>V00673</t>
  </si>
  <si>
    <t>V00674</t>
  </si>
  <si>
    <t>V00675</t>
  </si>
  <si>
    <t>V00676</t>
  </si>
  <si>
    <t>V00677</t>
  </si>
  <si>
    <t>V00678</t>
  </si>
  <si>
    <t>V00679</t>
  </si>
  <si>
    <t>V00680</t>
  </si>
  <si>
    <t>V00681</t>
  </si>
  <si>
    <t>V00682</t>
  </si>
  <si>
    <t>V00683</t>
  </si>
  <si>
    <t>V00684</t>
  </si>
  <si>
    <t>V00685</t>
  </si>
  <si>
    <t>V00686</t>
  </si>
  <si>
    <t>V00687</t>
  </si>
  <si>
    <t>V00688</t>
  </si>
  <si>
    <t>V00689</t>
  </si>
  <si>
    <t>V00690</t>
  </si>
  <si>
    <t>V00691</t>
  </si>
  <si>
    <t>V00692</t>
  </si>
  <si>
    <t>V00693</t>
  </si>
  <si>
    <t>V00694</t>
  </si>
  <si>
    <t>V00695</t>
  </si>
  <si>
    <t>V00696</t>
  </si>
  <si>
    <t>V00697</t>
  </si>
  <si>
    <t>V00698</t>
  </si>
  <si>
    <t>V00699</t>
  </si>
  <si>
    <t>V00700</t>
  </si>
  <si>
    <t>V00701</t>
  </si>
  <si>
    <t>V00702</t>
  </si>
  <si>
    <t>V00703</t>
  </si>
  <si>
    <t>V00704</t>
  </si>
  <si>
    <t>V00705</t>
  </si>
  <si>
    <t>V00706</t>
  </si>
  <si>
    <t>V00707</t>
  </si>
  <si>
    <t>V00708</t>
  </si>
  <si>
    <t>V00709</t>
  </si>
  <si>
    <t>V00710</t>
  </si>
  <si>
    <t>V00711</t>
  </si>
  <si>
    <t>V00712</t>
  </si>
  <si>
    <t>V00713</t>
  </si>
  <si>
    <t>V00714</t>
  </si>
  <si>
    <t>V00715</t>
  </si>
  <si>
    <t>V00716</t>
  </si>
  <si>
    <t>V00717</t>
  </si>
  <si>
    <t>V00718</t>
  </si>
  <si>
    <t>V00719</t>
  </si>
  <si>
    <t>V00720</t>
  </si>
  <si>
    <t>V00721</t>
  </si>
  <si>
    <t>V00722</t>
  </si>
  <si>
    <t>V00723</t>
  </si>
  <si>
    <t>V00724</t>
  </si>
  <si>
    <t>V00725</t>
  </si>
  <si>
    <t>V00726</t>
  </si>
  <si>
    <t>V00727</t>
  </si>
  <si>
    <t>V00728</t>
  </si>
  <si>
    <t>V00729</t>
  </si>
  <si>
    <t>V00730</t>
  </si>
  <si>
    <t>V00731</t>
  </si>
  <si>
    <t>V00732</t>
  </si>
  <si>
    <t>V00733</t>
  </si>
  <si>
    <t>V00734</t>
  </si>
  <si>
    <t>V00735</t>
  </si>
  <si>
    <t>V00736</t>
  </si>
  <si>
    <t>V00737</t>
  </si>
  <si>
    <t>V00738</t>
  </si>
  <si>
    <t>V00739</t>
  </si>
  <si>
    <t>V00740</t>
  </si>
  <si>
    <t>V00741</t>
  </si>
  <si>
    <t>V00742</t>
  </si>
  <si>
    <t>V00743</t>
  </si>
  <si>
    <t>V00744</t>
  </si>
  <si>
    <t>V00745</t>
  </si>
  <si>
    <t>V00746</t>
  </si>
  <si>
    <t>V00747</t>
  </si>
  <si>
    <t>V00748</t>
  </si>
  <si>
    <t>V00749</t>
  </si>
  <si>
    <t>V00750</t>
  </si>
  <si>
    <t>V00751</t>
  </si>
  <si>
    <t>V00752</t>
  </si>
  <si>
    <t>V00753</t>
  </si>
  <si>
    <t>V00754</t>
  </si>
  <si>
    <t>V00755</t>
  </si>
  <si>
    <t>V00756</t>
  </si>
  <si>
    <t>V00757</t>
  </si>
  <si>
    <t>V00758</t>
  </si>
  <si>
    <t>V00759</t>
  </si>
  <si>
    <t>V00760</t>
  </si>
  <si>
    <t>V00761</t>
  </si>
  <si>
    <t>V00762</t>
  </si>
  <si>
    <t>V00763</t>
  </si>
  <si>
    <t>V00764</t>
  </si>
  <si>
    <t>V00765</t>
  </si>
  <si>
    <t>V00766</t>
  </si>
  <si>
    <t>V00767</t>
  </si>
  <si>
    <t>V00768</t>
  </si>
  <si>
    <t>V00769</t>
  </si>
  <si>
    <t>V00770</t>
  </si>
  <si>
    <t>V00771</t>
  </si>
  <si>
    <t>V00772</t>
  </si>
  <si>
    <t>V00773</t>
  </si>
  <si>
    <t>V00774</t>
  </si>
  <si>
    <t>V00775</t>
  </si>
  <si>
    <t>V00776</t>
  </si>
  <si>
    <t>V00777</t>
  </si>
  <si>
    <t>V00778</t>
  </si>
  <si>
    <t>V00779</t>
  </si>
  <si>
    <t>V00780</t>
  </si>
  <si>
    <t>V00781</t>
  </si>
  <si>
    <t>V00782</t>
  </si>
  <si>
    <t>V00783</t>
  </si>
  <si>
    <t>V00784</t>
  </si>
  <si>
    <t>V00785</t>
  </si>
  <si>
    <t>V00786</t>
  </si>
  <si>
    <t>V00787</t>
  </si>
  <si>
    <t>V00788</t>
  </si>
  <si>
    <t>V00789</t>
  </si>
  <si>
    <t>V00790</t>
  </si>
  <si>
    <t>V00791</t>
  </si>
  <si>
    <t>V00792</t>
  </si>
  <si>
    <t>V00793</t>
  </si>
  <si>
    <t>V00794</t>
  </si>
  <si>
    <t>V00795</t>
  </si>
  <si>
    <t>V00796</t>
  </si>
  <si>
    <t>V00797</t>
  </si>
  <si>
    <t>V00798</t>
  </si>
  <si>
    <t>V00799</t>
  </si>
  <si>
    <t>V00800</t>
  </si>
  <si>
    <t>V00801</t>
  </si>
  <si>
    <t>V00802</t>
  </si>
  <si>
    <t>V00803</t>
  </si>
  <si>
    <t>V00804</t>
  </si>
  <si>
    <t>V00805</t>
  </si>
  <si>
    <t>V00806</t>
  </si>
  <si>
    <t>V00807</t>
  </si>
  <si>
    <t>V00808</t>
  </si>
  <si>
    <t>V00809</t>
  </si>
  <si>
    <t>V00810</t>
  </si>
  <si>
    <t>V00811</t>
  </si>
  <si>
    <t>V00812</t>
  </si>
  <si>
    <t>V00813</t>
  </si>
  <si>
    <t>V00814</t>
  </si>
  <si>
    <t>V00815</t>
  </si>
  <si>
    <t>V00816</t>
  </si>
  <si>
    <t>V00817</t>
  </si>
  <si>
    <t>V00818</t>
  </si>
  <si>
    <t>V00819</t>
  </si>
  <si>
    <t>V00820</t>
  </si>
  <si>
    <t>V00821</t>
  </si>
  <si>
    <t>V00822</t>
  </si>
  <si>
    <t>V00823</t>
  </si>
  <si>
    <t>V00824</t>
  </si>
  <si>
    <t>V00825</t>
  </si>
  <si>
    <t>V00826</t>
  </si>
  <si>
    <t>V00827</t>
  </si>
  <si>
    <t>V00828</t>
  </si>
  <si>
    <t>V00829</t>
  </si>
  <si>
    <t>V00830</t>
  </si>
  <si>
    <t>V00831</t>
  </si>
  <si>
    <t>V00832</t>
  </si>
  <si>
    <t>V00833</t>
  </si>
  <si>
    <t>V00834</t>
  </si>
  <si>
    <t>V00835</t>
  </si>
  <si>
    <t>V00836</t>
  </si>
  <si>
    <t>V00837</t>
  </si>
  <si>
    <t>V00838</t>
  </si>
  <si>
    <t>V00839</t>
  </si>
  <si>
    <t>V00840</t>
  </si>
  <si>
    <t>V00841</t>
  </si>
  <si>
    <t>V00842</t>
  </si>
  <si>
    <t>V00843</t>
  </si>
  <si>
    <t>V00844</t>
  </si>
  <si>
    <t>V00845</t>
  </si>
  <si>
    <t>V00846</t>
  </si>
  <si>
    <t>V00847</t>
  </si>
  <si>
    <t>V00848</t>
  </si>
  <si>
    <t>V00849</t>
  </si>
  <si>
    <t>V00850</t>
  </si>
  <si>
    <t>V00851</t>
  </si>
  <si>
    <t>V00852</t>
  </si>
  <si>
    <t>V00853</t>
  </si>
  <si>
    <t>V00854</t>
  </si>
  <si>
    <t>V00855</t>
  </si>
  <si>
    <t>V00856</t>
  </si>
  <si>
    <t>V00857</t>
  </si>
  <si>
    <t>V00858</t>
  </si>
  <si>
    <t>V00859</t>
  </si>
  <si>
    <t>V00860</t>
  </si>
  <si>
    <t>V00861</t>
  </si>
  <si>
    <t>V00862</t>
  </si>
  <si>
    <t>V00863</t>
  </si>
  <si>
    <t>V00864</t>
  </si>
  <si>
    <t>V00865</t>
  </si>
  <si>
    <t>V00866</t>
  </si>
  <si>
    <t>V00867</t>
  </si>
  <si>
    <t>V00868</t>
  </si>
  <si>
    <t>V00869</t>
  </si>
  <si>
    <t>V00870</t>
  </si>
  <si>
    <t>V00871</t>
  </si>
  <si>
    <t>V00872</t>
  </si>
  <si>
    <t>V00873</t>
  </si>
  <si>
    <t>V00874</t>
  </si>
  <si>
    <t>V00875</t>
  </si>
  <si>
    <t>V00876</t>
  </si>
  <si>
    <t>V00877</t>
  </si>
  <si>
    <t>V00878</t>
  </si>
  <si>
    <t>V00879</t>
  </si>
  <si>
    <t>V00880</t>
  </si>
  <si>
    <t>V00881</t>
  </si>
  <si>
    <t>V00882</t>
  </si>
  <si>
    <t>V00883</t>
  </si>
  <si>
    <t>V00884</t>
  </si>
  <si>
    <t>V00885</t>
  </si>
  <si>
    <t>V00886</t>
  </si>
  <si>
    <t>V00887</t>
  </si>
  <si>
    <t>V00888</t>
  </si>
  <si>
    <t>V00889</t>
  </si>
  <si>
    <t>V00890</t>
  </si>
  <si>
    <t>V00891</t>
  </si>
  <si>
    <t>V00892</t>
  </si>
  <si>
    <t>V00893</t>
  </si>
  <si>
    <t>V00894</t>
  </si>
  <si>
    <t>V00895</t>
  </si>
  <si>
    <t>V00896</t>
  </si>
  <si>
    <t>V00897</t>
  </si>
  <si>
    <t>V00898</t>
  </si>
  <si>
    <t>V00899</t>
  </si>
  <si>
    <t>V00900</t>
  </si>
  <si>
    <t>V00901</t>
  </si>
  <si>
    <t>V00902</t>
  </si>
  <si>
    <t>V00903</t>
  </si>
  <si>
    <t>V00904</t>
  </si>
  <si>
    <t>V00905</t>
  </si>
  <si>
    <t>V00906</t>
  </si>
  <si>
    <t>V00907</t>
  </si>
  <si>
    <t>V00908</t>
  </si>
  <si>
    <t>V00909</t>
  </si>
  <si>
    <t>V00910</t>
  </si>
  <si>
    <t>V00911</t>
  </si>
  <si>
    <t>V00912</t>
  </si>
  <si>
    <t>V00913</t>
  </si>
  <si>
    <t>V00914</t>
  </si>
  <si>
    <t>V00915</t>
  </si>
  <si>
    <t>V00916</t>
  </si>
  <si>
    <t>V00917</t>
  </si>
  <si>
    <t>V00918</t>
  </si>
  <si>
    <t>V00919</t>
  </si>
  <si>
    <t>V00920</t>
  </si>
  <si>
    <t>V00921</t>
  </si>
  <si>
    <t>V00922</t>
  </si>
  <si>
    <t>V00923</t>
  </si>
  <si>
    <t>V00924</t>
  </si>
  <si>
    <t>V00925</t>
  </si>
  <si>
    <t>V00926</t>
  </si>
  <si>
    <t>V00927</t>
  </si>
  <si>
    <t>V00928</t>
  </si>
  <si>
    <t>V00929</t>
  </si>
  <si>
    <t>V00930</t>
  </si>
  <si>
    <t>V00931</t>
  </si>
  <si>
    <t>V00932</t>
  </si>
  <si>
    <t>V00933</t>
  </si>
  <si>
    <t>V00934</t>
  </si>
  <si>
    <t>V00935</t>
  </si>
  <si>
    <t>V00936</t>
  </si>
  <si>
    <t>V00937</t>
  </si>
  <si>
    <t>V00938</t>
  </si>
  <si>
    <t>V00939</t>
  </si>
  <si>
    <t>V00940</t>
  </si>
  <si>
    <t>V00941</t>
  </si>
  <si>
    <t>V00942</t>
  </si>
  <si>
    <t>V00943</t>
  </si>
  <si>
    <t>V00944</t>
  </si>
  <si>
    <t>V00945</t>
  </si>
  <si>
    <t>V00946</t>
  </si>
  <si>
    <t>V00947</t>
  </si>
  <si>
    <t>V00948</t>
  </si>
  <si>
    <t>V00949</t>
  </si>
  <si>
    <t>V00950</t>
  </si>
  <si>
    <t>V00951</t>
  </si>
  <si>
    <t>V00952</t>
  </si>
  <si>
    <t>V00953</t>
  </si>
  <si>
    <t>V00954</t>
  </si>
  <si>
    <t>V00955</t>
  </si>
  <si>
    <t>V00956</t>
  </si>
  <si>
    <t>V00957</t>
  </si>
  <si>
    <t>V00958</t>
  </si>
  <si>
    <t>V00959</t>
  </si>
  <si>
    <t>V00960</t>
  </si>
  <si>
    <t>V00961</t>
  </si>
  <si>
    <t>V00962</t>
  </si>
  <si>
    <t>V00963</t>
  </si>
  <si>
    <t>V00964</t>
  </si>
  <si>
    <t>V00965</t>
  </si>
  <si>
    <t>V00966</t>
  </si>
  <si>
    <t>V00967</t>
  </si>
  <si>
    <t>V00968</t>
  </si>
  <si>
    <t>V00969</t>
  </si>
  <si>
    <t>V00970</t>
  </si>
  <si>
    <t>V00971</t>
  </si>
  <si>
    <t>V00972</t>
  </si>
  <si>
    <t>V00973</t>
  </si>
  <si>
    <t>V00974</t>
  </si>
  <si>
    <t>V00975</t>
  </si>
  <si>
    <t>V00976</t>
  </si>
  <si>
    <t>V00977</t>
  </si>
  <si>
    <t>V00978</t>
  </si>
  <si>
    <t>V00979</t>
  </si>
  <si>
    <t>V00980</t>
  </si>
  <si>
    <t>V00981</t>
  </si>
  <si>
    <t>V00982</t>
  </si>
  <si>
    <t>V00983</t>
  </si>
  <si>
    <t>V00984</t>
  </si>
  <si>
    <t>V00985</t>
  </si>
  <si>
    <t>V00986</t>
  </si>
  <si>
    <t>V00987</t>
  </si>
  <si>
    <t>V00988</t>
  </si>
  <si>
    <t>V00989</t>
  </si>
  <si>
    <t>V00990</t>
  </si>
  <si>
    <t>V00991</t>
  </si>
  <si>
    <t>V00992</t>
  </si>
  <si>
    <t>V00993</t>
  </si>
  <si>
    <t>V00994</t>
  </si>
  <si>
    <t>V00995</t>
  </si>
  <si>
    <t>V00996</t>
  </si>
  <si>
    <t>V00997</t>
  </si>
  <si>
    <t>V00998</t>
  </si>
  <si>
    <t>V00999</t>
  </si>
  <si>
    <t>V01000</t>
  </si>
  <si>
    <t>V01001</t>
  </si>
  <si>
    <t>V01002</t>
  </si>
  <si>
    <t>V01003</t>
  </si>
  <si>
    <t>V01004</t>
  </si>
  <si>
    <t>V01005</t>
  </si>
  <si>
    <t>V01006</t>
  </si>
  <si>
    <t>V01007</t>
  </si>
  <si>
    <t>V01008</t>
  </si>
  <si>
    <t>V01009</t>
  </si>
  <si>
    <t>V01010</t>
  </si>
  <si>
    <t>V01011</t>
  </si>
  <si>
    <t>V01012</t>
  </si>
  <si>
    <t>V01013</t>
  </si>
  <si>
    <t>V01014</t>
  </si>
  <si>
    <t>V01015</t>
  </si>
  <si>
    <t>V01016</t>
  </si>
  <si>
    <t>V01017</t>
  </si>
  <si>
    <t>V01018</t>
  </si>
  <si>
    <t>V01019</t>
  </si>
  <si>
    <t>V01020</t>
  </si>
  <si>
    <t>V01021</t>
  </si>
  <si>
    <t>V01022</t>
  </si>
  <si>
    <t>V01023</t>
  </si>
  <si>
    <t>V01024</t>
  </si>
  <si>
    <t>V01025</t>
  </si>
  <si>
    <t>V01026</t>
  </si>
  <si>
    <t>V01027</t>
  </si>
  <si>
    <t>V01028</t>
  </si>
  <si>
    <t>V01029</t>
  </si>
  <si>
    <t>V01030</t>
  </si>
  <si>
    <t>V01031</t>
  </si>
  <si>
    <t>V01032</t>
  </si>
  <si>
    <t>V01033</t>
  </si>
  <si>
    <t>V01034</t>
  </si>
  <si>
    <t>V01035</t>
  </si>
  <si>
    <t>V01036</t>
  </si>
  <si>
    <t>V01037</t>
  </si>
  <si>
    <t>V01038</t>
  </si>
  <si>
    <t>V01039</t>
  </si>
  <si>
    <t>V01040</t>
  </si>
  <si>
    <t>V01041</t>
  </si>
  <si>
    <t>V01042</t>
  </si>
  <si>
    <t>V01043</t>
  </si>
  <si>
    <t>V01044</t>
  </si>
  <si>
    <t>V01045</t>
  </si>
  <si>
    <t>V01046</t>
  </si>
  <si>
    <t>V01047</t>
  </si>
  <si>
    <t>V01048</t>
  </si>
  <si>
    <t>V01049</t>
  </si>
  <si>
    <t>V01050</t>
  </si>
  <si>
    <t>V01051</t>
  </si>
  <si>
    <t>V01052</t>
  </si>
  <si>
    <t>V01053</t>
  </si>
  <si>
    <t>V01054</t>
  </si>
  <si>
    <t>V01055</t>
  </si>
  <si>
    <t>V01056</t>
  </si>
  <si>
    <t>V01057</t>
  </si>
  <si>
    <t>V01058</t>
  </si>
  <si>
    <t>V01059</t>
  </si>
  <si>
    <t>V01060</t>
  </si>
  <si>
    <t>V01061</t>
  </si>
  <si>
    <t>V01062</t>
  </si>
  <si>
    <t>V01063</t>
  </si>
  <si>
    <t>V01064</t>
  </si>
  <si>
    <t>V01065</t>
  </si>
  <si>
    <t>V01066</t>
  </si>
  <si>
    <t>V01067</t>
  </si>
  <si>
    <t>V01068</t>
  </si>
  <si>
    <t>V01069</t>
  </si>
  <si>
    <t>V01070</t>
  </si>
  <si>
    <t>V01071</t>
  </si>
  <si>
    <t>V01072</t>
  </si>
  <si>
    <t>V01073</t>
  </si>
  <si>
    <t>V01074</t>
  </si>
  <si>
    <t>V01075</t>
  </si>
  <si>
    <t>V01076</t>
  </si>
  <si>
    <t>V01077</t>
  </si>
  <si>
    <t>V01078</t>
  </si>
  <si>
    <t>V01079</t>
  </si>
  <si>
    <t>V01080</t>
  </si>
  <si>
    <t>V01081</t>
  </si>
  <si>
    <t>V01082</t>
  </si>
  <si>
    <t>V01083</t>
  </si>
  <si>
    <t>V01084</t>
  </si>
  <si>
    <t>V01085</t>
  </si>
  <si>
    <t>V01086</t>
  </si>
  <si>
    <t>V01087</t>
  </si>
  <si>
    <t>V01088</t>
  </si>
  <si>
    <t>V01089</t>
  </si>
  <si>
    <t>V01090</t>
  </si>
  <si>
    <t>V01091</t>
  </si>
  <si>
    <t>V01092</t>
  </si>
  <si>
    <t>V01093</t>
  </si>
  <si>
    <t>V01094</t>
  </si>
  <si>
    <t>V01095</t>
  </si>
  <si>
    <t>V01096</t>
  </si>
  <si>
    <t>V01097</t>
  </si>
  <si>
    <t>V01098</t>
  </si>
  <si>
    <t>V01099</t>
  </si>
  <si>
    <t>V01100</t>
  </si>
  <si>
    <t>V01101</t>
  </si>
  <si>
    <t>V01102</t>
  </si>
  <si>
    <t>V01103</t>
  </si>
  <si>
    <t>V01104</t>
  </si>
  <si>
    <t>V01105</t>
  </si>
  <si>
    <t>V01106</t>
  </si>
  <si>
    <t>V01107</t>
  </si>
  <si>
    <t>V01108</t>
  </si>
  <si>
    <t>V01109</t>
  </si>
  <si>
    <t>V01110</t>
  </si>
  <si>
    <t>V01111</t>
  </si>
  <si>
    <t>V01112</t>
  </si>
  <si>
    <t>V01113</t>
  </si>
  <si>
    <t>V01114</t>
  </si>
  <si>
    <t>V01115</t>
  </si>
  <si>
    <t>V01116</t>
  </si>
  <si>
    <t>V01117</t>
  </si>
  <si>
    <t>V01118</t>
  </si>
  <si>
    <t>V01119</t>
  </si>
  <si>
    <t>V01120</t>
  </si>
  <si>
    <t>V01121</t>
  </si>
  <si>
    <t>V01122</t>
  </si>
  <si>
    <t>V01123</t>
  </si>
  <si>
    <t>V01124</t>
  </si>
  <si>
    <t>V01125</t>
  </si>
  <si>
    <t>V01126</t>
  </si>
  <si>
    <t>V01127</t>
  </si>
  <si>
    <t>V01128</t>
  </si>
  <si>
    <t>V01129</t>
  </si>
  <si>
    <t>V01130</t>
  </si>
  <si>
    <t>V01131</t>
  </si>
  <si>
    <t>V01132</t>
  </si>
  <si>
    <t>V01133</t>
  </si>
  <si>
    <t>V01134</t>
  </si>
  <si>
    <t>V01135</t>
  </si>
  <si>
    <t>V01136</t>
  </si>
  <si>
    <t>V01137</t>
  </si>
  <si>
    <t>V01138</t>
  </si>
  <si>
    <t>V01139</t>
  </si>
  <si>
    <t>V01140</t>
  </si>
  <si>
    <t>V01141</t>
  </si>
  <si>
    <t>V01142</t>
  </si>
  <si>
    <t>V01143</t>
  </si>
  <si>
    <t>V01144</t>
  </si>
  <si>
    <t>V01145</t>
  </si>
  <si>
    <t>V01146</t>
  </si>
  <si>
    <t>V01147</t>
  </si>
  <si>
    <t>V01148</t>
  </si>
  <si>
    <t>V01149</t>
  </si>
  <si>
    <t>V01150</t>
  </si>
  <si>
    <t>V01151</t>
  </si>
  <si>
    <t>V01152</t>
  </si>
  <si>
    <t>V01153</t>
  </si>
  <si>
    <t>V01154</t>
  </si>
  <si>
    <t>V01155</t>
  </si>
  <si>
    <t>V01156</t>
  </si>
  <si>
    <t>V01157</t>
  </si>
  <si>
    <t>V01158</t>
  </si>
  <si>
    <t>V01159</t>
  </si>
  <si>
    <t>V01160</t>
  </si>
  <si>
    <t>V01161</t>
  </si>
  <si>
    <t>V01162</t>
  </si>
  <si>
    <t>V01163</t>
  </si>
  <si>
    <t>V01164</t>
  </si>
  <si>
    <t>V01165</t>
  </si>
  <si>
    <t>V01166</t>
  </si>
  <si>
    <t>V01167</t>
  </si>
  <si>
    <t>V01168</t>
  </si>
  <si>
    <t>V01169</t>
  </si>
  <si>
    <t>V01170</t>
  </si>
  <si>
    <t>V01171</t>
  </si>
  <si>
    <t>V01172</t>
  </si>
  <si>
    <t>V01173</t>
  </si>
  <si>
    <t>V01174</t>
  </si>
  <si>
    <t>V01175</t>
  </si>
  <si>
    <t>V01176</t>
  </si>
  <si>
    <t>V01177</t>
  </si>
  <si>
    <t>V01178</t>
  </si>
  <si>
    <t>V01179</t>
  </si>
  <si>
    <t>V01180</t>
  </si>
  <si>
    <t>V01181</t>
  </si>
  <si>
    <t>V01182</t>
  </si>
  <si>
    <t>V01183</t>
  </si>
  <si>
    <t>V01184</t>
  </si>
  <si>
    <t>V01185</t>
  </si>
  <si>
    <t>V01186</t>
  </si>
  <si>
    <t>V01187</t>
  </si>
  <si>
    <t>V01188</t>
  </si>
  <si>
    <t>V01189</t>
  </si>
  <si>
    <t>V01190</t>
  </si>
  <si>
    <t>V01191</t>
  </si>
  <si>
    <t>V01192</t>
  </si>
  <si>
    <t>V01193</t>
  </si>
  <si>
    <t>V01194</t>
  </si>
  <si>
    <t>V01195</t>
  </si>
  <si>
    <t>V01196</t>
  </si>
  <si>
    <t>V01197</t>
  </si>
  <si>
    <t>V01198</t>
  </si>
  <si>
    <t>V01199</t>
  </si>
  <si>
    <t>V01200</t>
  </si>
  <si>
    <t>V01201</t>
  </si>
  <si>
    <t>V01202</t>
  </si>
  <si>
    <t>V01203</t>
  </si>
  <si>
    <t>V01204</t>
  </si>
  <si>
    <t>V01205</t>
  </si>
  <si>
    <t>V01206</t>
  </si>
  <si>
    <t>V01207</t>
  </si>
  <si>
    <t>V01208</t>
  </si>
  <si>
    <t>V01209</t>
  </si>
  <si>
    <t>V01210</t>
  </si>
  <si>
    <t>V01211</t>
  </si>
  <si>
    <t>V01212</t>
  </si>
  <si>
    <t>V01213</t>
  </si>
  <si>
    <t>V01214</t>
  </si>
  <si>
    <t>V01215</t>
  </si>
  <si>
    <t>V01216</t>
  </si>
  <si>
    <t>V01217</t>
  </si>
  <si>
    <t>V01218</t>
  </si>
  <si>
    <t>V01219</t>
  </si>
  <si>
    <t>V01220</t>
  </si>
  <si>
    <t>V01221</t>
  </si>
  <si>
    <t>V01222</t>
  </si>
  <si>
    <t>V01223</t>
  </si>
  <si>
    <t>V01224</t>
  </si>
  <si>
    <t>V01225</t>
  </si>
  <si>
    <t>V01226</t>
  </si>
  <si>
    <t>V01227</t>
  </si>
  <si>
    <t>V01228</t>
  </si>
  <si>
    <t>V01229</t>
  </si>
  <si>
    <t>V01230</t>
  </si>
  <si>
    <t>V01231</t>
  </si>
  <si>
    <t>V01232</t>
  </si>
  <si>
    <t>V01233</t>
  </si>
  <si>
    <t>V01234</t>
  </si>
  <si>
    <t>V01235</t>
  </si>
  <si>
    <t>V01236</t>
  </si>
  <si>
    <t>V01237</t>
  </si>
  <si>
    <t>V01238</t>
  </si>
  <si>
    <t>V01239</t>
  </si>
  <si>
    <t>V01240</t>
  </si>
  <si>
    <t>V01241</t>
  </si>
  <si>
    <t>V01242</t>
  </si>
  <si>
    <t>V01243</t>
  </si>
  <si>
    <t>V01244</t>
  </si>
  <si>
    <t>V01245</t>
  </si>
  <si>
    <t>V01246</t>
  </si>
  <si>
    <t>V01247</t>
  </si>
  <si>
    <t>V01248</t>
  </si>
  <si>
    <t>V01249</t>
  </si>
  <si>
    <t>V01250</t>
  </si>
  <si>
    <t>V01251</t>
  </si>
  <si>
    <t>V01252</t>
  </si>
  <si>
    <t>V01253</t>
  </si>
  <si>
    <t>V01254</t>
  </si>
  <si>
    <t>V01255</t>
  </si>
  <si>
    <t>V01256</t>
  </si>
  <si>
    <t>V01257</t>
  </si>
  <si>
    <t>V01258</t>
  </si>
  <si>
    <t>V01259</t>
  </si>
  <si>
    <t>V01260</t>
  </si>
  <si>
    <t>V01261</t>
  </si>
  <si>
    <t>V01262</t>
  </si>
  <si>
    <t>V01263</t>
  </si>
  <si>
    <t>V01264</t>
  </si>
  <si>
    <t>V01265</t>
  </si>
  <si>
    <t>V01266</t>
  </si>
  <si>
    <t>V01267</t>
  </si>
  <si>
    <t>V01268</t>
  </si>
  <si>
    <t>V01269</t>
  </si>
  <si>
    <t>V01270</t>
  </si>
  <si>
    <t>V01271</t>
  </si>
  <si>
    <t>V01272</t>
  </si>
  <si>
    <t>V01273</t>
  </si>
  <si>
    <t>V01274</t>
  </si>
  <si>
    <t>V01275</t>
  </si>
  <si>
    <t>V01276</t>
  </si>
  <si>
    <t>V01277</t>
  </si>
  <si>
    <t>V01278</t>
  </si>
  <si>
    <t>V01279</t>
  </si>
  <si>
    <t>V01280</t>
  </si>
  <si>
    <t>V01281</t>
  </si>
  <si>
    <t>V01282</t>
  </si>
  <si>
    <t>V01283</t>
  </si>
  <si>
    <t>V01284</t>
  </si>
  <si>
    <t>V01285</t>
  </si>
  <si>
    <t>V01286</t>
  </si>
  <si>
    <t>V01287</t>
  </si>
  <si>
    <t>V01288</t>
  </si>
  <si>
    <t>V01289</t>
  </si>
  <si>
    <t>V01290</t>
  </si>
  <si>
    <t>V01291</t>
  </si>
  <si>
    <t>V01292</t>
  </si>
  <si>
    <t>V01293</t>
  </si>
  <si>
    <t>V01294</t>
  </si>
  <si>
    <t>V01295</t>
  </si>
  <si>
    <t>V01296</t>
  </si>
  <si>
    <t>V01297</t>
  </si>
  <si>
    <t>V01298</t>
  </si>
  <si>
    <t>V01299</t>
  </si>
  <si>
    <t>V01300</t>
  </si>
  <si>
    <t>V01301</t>
  </si>
  <si>
    <t>V01302</t>
  </si>
  <si>
    <t>V01303</t>
  </si>
  <si>
    <t>V01304</t>
  </si>
  <si>
    <t>V01305</t>
  </si>
  <si>
    <t>V01306</t>
  </si>
  <si>
    <t>V01307</t>
  </si>
  <si>
    <t>V01308</t>
  </si>
  <si>
    <t>V01309</t>
  </si>
  <si>
    <t>V01310</t>
  </si>
  <si>
    <t>V01311</t>
  </si>
  <si>
    <t>V01312</t>
  </si>
  <si>
    <t>V01313</t>
  </si>
  <si>
    <t>V01314</t>
  </si>
  <si>
    <t>V01315</t>
  </si>
  <si>
    <t>V01316</t>
  </si>
  <si>
    <t>V01317</t>
  </si>
  <si>
    <t>V01318</t>
  </si>
  <si>
    <t>V01319</t>
  </si>
  <si>
    <t>V01320</t>
  </si>
  <si>
    <t>V01321</t>
  </si>
  <si>
    <t>V01322</t>
  </si>
  <si>
    <t>V01323</t>
  </si>
  <si>
    <t>V01324</t>
  </si>
  <si>
    <t>V01325</t>
  </si>
  <si>
    <t>V01326</t>
  </si>
  <si>
    <t>V01327</t>
  </si>
  <si>
    <t>V01328</t>
  </si>
  <si>
    <t>V01329</t>
  </si>
  <si>
    <t>V01330</t>
  </si>
  <si>
    <t>V01331</t>
  </si>
  <si>
    <t>V01332</t>
  </si>
  <si>
    <t>V01333</t>
  </si>
  <si>
    <t>V01334</t>
  </si>
  <si>
    <t>V01335</t>
  </si>
  <si>
    <t>V01336</t>
  </si>
  <si>
    <t>V01337</t>
  </si>
  <si>
    <t>V01338</t>
  </si>
  <si>
    <t>V01339</t>
  </si>
  <si>
    <t>V01340</t>
  </si>
  <si>
    <t>V01341</t>
  </si>
  <si>
    <t>V01342</t>
  </si>
  <si>
    <t>V01343</t>
  </si>
  <si>
    <t>V01344</t>
  </si>
  <si>
    <t>V01345</t>
  </si>
  <si>
    <t>V01346</t>
  </si>
  <si>
    <t>V01347</t>
  </si>
  <si>
    <t>V01348</t>
  </si>
  <si>
    <t>V01349</t>
  </si>
  <si>
    <t>V01350</t>
  </si>
  <si>
    <t>V01351</t>
  </si>
  <si>
    <t>V01352</t>
  </si>
  <si>
    <t>V01353</t>
  </si>
  <si>
    <t>V01354</t>
  </si>
  <si>
    <t>V01355</t>
  </si>
  <si>
    <t>V01356</t>
  </si>
  <si>
    <t>V01357</t>
  </si>
  <si>
    <t>V01358</t>
  </si>
  <si>
    <t>V01359</t>
  </si>
  <si>
    <t>V01360</t>
  </si>
  <si>
    <t>V01361</t>
  </si>
  <si>
    <t>V01362</t>
  </si>
  <si>
    <t>V01363</t>
  </si>
  <si>
    <t>V01364</t>
  </si>
  <si>
    <t>V01365</t>
  </si>
  <si>
    <t>V01366</t>
  </si>
  <si>
    <t>V01367</t>
  </si>
  <si>
    <t>V01368</t>
  </si>
  <si>
    <t>V01369</t>
  </si>
  <si>
    <t>V01370</t>
  </si>
  <si>
    <t>V01371</t>
  </si>
  <si>
    <t>V01372</t>
  </si>
  <si>
    <t>V01373</t>
  </si>
  <si>
    <t>V01374</t>
  </si>
  <si>
    <t>V01375</t>
  </si>
  <si>
    <t>V01376</t>
  </si>
  <si>
    <t>V01377</t>
  </si>
  <si>
    <t>V01378</t>
  </si>
  <si>
    <t>V01379</t>
  </si>
  <si>
    <t>V01380</t>
  </si>
  <si>
    <t>V01381</t>
  </si>
  <si>
    <t>V01382</t>
  </si>
  <si>
    <t>V01383</t>
  </si>
  <si>
    <t>V01384</t>
  </si>
  <si>
    <t>V01385</t>
  </si>
  <si>
    <t>V01386</t>
  </si>
  <si>
    <t>V01387</t>
  </si>
  <si>
    <t>V01388</t>
  </si>
  <si>
    <t>V01389</t>
  </si>
  <si>
    <t>V01390</t>
  </si>
  <si>
    <t>V01391</t>
  </si>
  <si>
    <t>V01392</t>
  </si>
  <si>
    <t>V01393</t>
  </si>
  <si>
    <t>V01394</t>
  </si>
  <si>
    <t>V01395</t>
  </si>
  <si>
    <t>V01396</t>
  </si>
  <si>
    <t>V01397</t>
  </si>
  <si>
    <t>V01398</t>
  </si>
  <si>
    <t>V01399</t>
  </si>
  <si>
    <t>V01400</t>
  </si>
  <si>
    <t>V01401</t>
  </si>
  <si>
    <t>V01402</t>
  </si>
  <si>
    <t>V01403</t>
  </si>
  <si>
    <t>V01404</t>
  </si>
  <si>
    <t>V01405</t>
  </si>
  <si>
    <t>V01406</t>
  </si>
  <si>
    <t>V01407</t>
  </si>
  <si>
    <t>V01408</t>
  </si>
  <si>
    <t>V01409</t>
  </si>
  <si>
    <t>V01410</t>
  </si>
  <si>
    <t>V01411</t>
  </si>
  <si>
    <t>V01412</t>
  </si>
  <si>
    <t>V01413</t>
  </si>
  <si>
    <t>V01414</t>
  </si>
  <si>
    <t>V01415</t>
  </si>
  <si>
    <t>V01416</t>
  </si>
  <si>
    <t>V01417</t>
  </si>
  <si>
    <t>V01418</t>
  </si>
  <si>
    <t>V01419</t>
  </si>
  <si>
    <t>V01420</t>
  </si>
  <si>
    <t>V01421</t>
  </si>
  <si>
    <t>V01422</t>
  </si>
  <si>
    <t>V01423</t>
  </si>
  <si>
    <t>V01424</t>
  </si>
  <si>
    <t>V01425</t>
  </si>
  <si>
    <t>V01426</t>
  </si>
  <si>
    <t>V01427</t>
  </si>
  <si>
    <t>V01428</t>
  </si>
  <si>
    <t>V01429</t>
  </si>
  <si>
    <t>V01430</t>
  </si>
  <si>
    <t>V01431</t>
  </si>
  <si>
    <t>V01432</t>
  </si>
  <si>
    <t>V01433</t>
  </si>
  <si>
    <t>V01434</t>
  </si>
  <si>
    <t>V01435</t>
  </si>
  <si>
    <t>V01436</t>
  </si>
  <si>
    <t>V01437</t>
  </si>
  <si>
    <t>V01438</t>
  </si>
  <si>
    <t>V01439</t>
  </si>
  <si>
    <t>V01440</t>
  </si>
  <si>
    <t>V01441</t>
  </si>
  <si>
    <t>V01442</t>
  </si>
  <si>
    <t>V01443</t>
  </si>
  <si>
    <t>V01444</t>
  </si>
  <si>
    <t>V01445</t>
  </si>
  <si>
    <t>V01446</t>
  </si>
  <si>
    <t>V01447</t>
  </si>
  <si>
    <t>V01448</t>
  </si>
  <si>
    <t>V01449</t>
  </si>
  <si>
    <t>V01450</t>
  </si>
  <si>
    <t>V01451</t>
  </si>
  <si>
    <t>V01452</t>
  </si>
  <si>
    <t>V01453</t>
  </si>
  <si>
    <t>V01454</t>
  </si>
  <si>
    <t>V01455</t>
  </si>
  <si>
    <t>V01456</t>
  </si>
  <si>
    <t>V01457</t>
  </si>
  <si>
    <t>V01458</t>
  </si>
  <si>
    <t>V01459</t>
  </si>
  <si>
    <t>V01460</t>
  </si>
  <si>
    <t>V01461</t>
  </si>
  <si>
    <t>V01462</t>
  </si>
  <si>
    <t>V01463</t>
  </si>
  <si>
    <t>V01464</t>
  </si>
  <si>
    <t>V01465</t>
  </si>
  <si>
    <t>V01466</t>
  </si>
  <si>
    <t>V01467</t>
  </si>
  <si>
    <t>V01468</t>
  </si>
  <si>
    <t>V01469</t>
  </si>
  <si>
    <t>V01470</t>
  </si>
  <si>
    <t>V01471</t>
  </si>
  <si>
    <t>V01472</t>
  </si>
  <si>
    <t>V01473</t>
  </si>
  <si>
    <t>V01474</t>
  </si>
  <si>
    <t>V01475</t>
  </si>
  <si>
    <t>V01476</t>
  </si>
  <si>
    <t>V01477</t>
  </si>
  <si>
    <t>V01478</t>
  </si>
  <si>
    <t>V01479</t>
  </si>
  <si>
    <t>V01480</t>
  </si>
  <si>
    <t>V01481</t>
  </si>
  <si>
    <t>V01482</t>
  </si>
  <si>
    <t>V01483</t>
  </si>
  <si>
    <t>V01484</t>
  </si>
  <si>
    <t>V01485</t>
  </si>
  <si>
    <t>V01486</t>
  </si>
  <si>
    <t>V01487</t>
  </si>
  <si>
    <t>V01488</t>
  </si>
  <si>
    <t>V01489</t>
  </si>
  <si>
    <t>V01490</t>
  </si>
  <si>
    <t>V01491</t>
  </si>
  <si>
    <t>V01492</t>
  </si>
  <si>
    <t>V01493</t>
  </si>
  <si>
    <t>V01494</t>
  </si>
  <si>
    <t>V01495</t>
  </si>
  <si>
    <t>V01496</t>
  </si>
  <si>
    <t>V01497</t>
  </si>
  <si>
    <t>V01498</t>
  </si>
  <si>
    <t>V01499</t>
  </si>
  <si>
    <t>V01500</t>
  </si>
  <si>
    <t>V01501</t>
  </si>
  <si>
    <t>V01502</t>
  </si>
  <si>
    <t>V01503</t>
  </si>
  <si>
    <t>V01504</t>
  </si>
  <si>
    <t>V01505</t>
  </si>
  <si>
    <t>V01506</t>
  </si>
  <si>
    <t>V01507</t>
  </si>
  <si>
    <t>V01508</t>
  </si>
  <si>
    <t>V01509</t>
  </si>
  <si>
    <t>V01510</t>
  </si>
  <si>
    <t>V01511</t>
  </si>
  <si>
    <t>V01512</t>
  </si>
  <si>
    <t>V01513</t>
  </si>
  <si>
    <t>V01514</t>
  </si>
  <si>
    <t>V01515</t>
  </si>
  <si>
    <t>V01516</t>
  </si>
  <si>
    <t>V01517</t>
  </si>
  <si>
    <t>V01518</t>
  </si>
  <si>
    <t>V01519</t>
  </si>
  <si>
    <t>V01520</t>
  </si>
  <si>
    <t>V01521</t>
  </si>
  <si>
    <t>V01522</t>
  </si>
  <si>
    <t>V01523</t>
  </si>
  <si>
    <t>V01524</t>
  </si>
  <si>
    <t>V01525</t>
  </si>
  <si>
    <t>V01526</t>
  </si>
  <si>
    <t>V01527</t>
  </si>
  <si>
    <t>V01528</t>
  </si>
  <si>
    <t>V01529</t>
  </si>
  <si>
    <t>V01530</t>
  </si>
  <si>
    <t>V01531</t>
  </si>
  <si>
    <t>V01532</t>
  </si>
  <si>
    <t>V01533</t>
  </si>
  <si>
    <t>V01534</t>
  </si>
  <si>
    <t>V01535</t>
  </si>
  <si>
    <t>V01536</t>
  </si>
  <si>
    <t>V01537</t>
  </si>
  <si>
    <t>V01538</t>
  </si>
  <si>
    <t>V01539</t>
  </si>
  <si>
    <t>V01540</t>
  </si>
  <si>
    <t>V01541</t>
  </si>
  <si>
    <t>V01542</t>
  </si>
  <si>
    <t>V01543</t>
  </si>
  <si>
    <t>V01544</t>
  </si>
  <si>
    <t>V01545</t>
  </si>
  <si>
    <t>V01546</t>
  </si>
  <si>
    <t>V01547</t>
  </si>
  <si>
    <t>V01548</t>
  </si>
  <si>
    <t>V01549</t>
  </si>
  <si>
    <t>V01550</t>
  </si>
  <si>
    <t>V01551</t>
  </si>
  <si>
    <t>V01552</t>
  </si>
  <si>
    <t>V01553</t>
  </si>
  <si>
    <t>V01554</t>
  </si>
  <si>
    <t>V01555</t>
  </si>
  <si>
    <t>V01556</t>
  </si>
  <si>
    <t>V01557</t>
  </si>
  <si>
    <t>V01558</t>
  </si>
  <si>
    <t>V01559</t>
  </si>
  <si>
    <t>V01560</t>
  </si>
  <si>
    <t>V01561</t>
  </si>
  <si>
    <t>V01562</t>
  </si>
  <si>
    <t>V01563</t>
  </si>
  <si>
    <t>V01564</t>
  </si>
  <si>
    <t>V01565</t>
  </si>
  <si>
    <t>V01566</t>
  </si>
  <si>
    <t>V01567</t>
  </si>
  <si>
    <t>V01568</t>
  </si>
  <si>
    <t>V01569</t>
  </si>
  <si>
    <t>V01570</t>
  </si>
  <si>
    <t>V01571</t>
  </si>
  <si>
    <t>V01572</t>
  </si>
  <si>
    <t>V01573</t>
  </si>
  <si>
    <t>V01574</t>
  </si>
  <si>
    <t>V01575</t>
  </si>
  <si>
    <t>V01576</t>
  </si>
  <si>
    <t>V01577</t>
  </si>
  <si>
    <t>V01578</t>
  </si>
  <si>
    <t>V01579</t>
  </si>
  <si>
    <t>V01580</t>
  </si>
  <si>
    <t>V01581</t>
  </si>
  <si>
    <t>V01582</t>
  </si>
  <si>
    <t>V01583</t>
  </si>
  <si>
    <t>V01584</t>
  </si>
  <si>
    <t>V01585</t>
  </si>
  <si>
    <t>V01586</t>
  </si>
  <si>
    <t>V01587</t>
  </si>
  <si>
    <t>V01588</t>
  </si>
  <si>
    <t>V01589</t>
  </si>
  <si>
    <t>V01590</t>
  </si>
  <si>
    <t>V01591</t>
  </si>
  <si>
    <t>V01592</t>
  </si>
  <si>
    <t>V01593</t>
  </si>
  <si>
    <t>V01594</t>
  </si>
  <si>
    <t>V01595</t>
  </si>
  <si>
    <t>V01596</t>
  </si>
  <si>
    <t>V01597</t>
  </si>
  <si>
    <t>V01598</t>
  </si>
  <si>
    <t>V01599</t>
  </si>
  <si>
    <t>V01600</t>
  </si>
  <si>
    <t>V01601</t>
  </si>
  <si>
    <t>V01602</t>
  </si>
  <si>
    <t>V01603</t>
  </si>
  <si>
    <t>V01604</t>
  </si>
  <si>
    <t>V01605</t>
  </si>
  <si>
    <t>V01606</t>
  </si>
  <si>
    <t>V01607</t>
  </si>
  <si>
    <t>V01608</t>
  </si>
  <si>
    <t>V01609</t>
  </si>
  <si>
    <t>V01610</t>
  </si>
  <si>
    <t>V01611</t>
  </si>
  <si>
    <t>V01612</t>
  </si>
  <si>
    <t>V01613</t>
  </si>
  <si>
    <t>V01614</t>
  </si>
  <si>
    <t>V01615</t>
  </si>
  <si>
    <t>V01616</t>
  </si>
  <si>
    <t>V01617</t>
  </si>
  <si>
    <t>V01618</t>
  </si>
  <si>
    <t>V01619</t>
  </si>
  <si>
    <t>V01620</t>
  </si>
  <si>
    <t>V01621</t>
  </si>
  <si>
    <t>V01622</t>
  </si>
  <si>
    <t>V01623</t>
  </si>
  <si>
    <t>V01624</t>
  </si>
  <si>
    <t>V01625</t>
  </si>
  <si>
    <t>V01626</t>
  </si>
  <si>
    <t>V01627</t>
  </si>
  <si>
    <t>V01628</t>
  </si>
  <si>
    <t>V01629</t>
  </si>
  <si>
    <t>V01630</t>
  </si>
  <si>
    <t>V01631</t>
  </si>
  <si>
    <t>V01632</t>
  </si>
  <si>
    <t>V01633</t>
  </si>
  <si>
    <t>V01634</t>
  </si>
  <si>
    <t>V01635</t>
  </si>
  <si>
    <t>V01636</t>
  </si>
  <si>
    <t>V01637</t>
  </si>
  <si>
    <t>V01638</t>
  </si>
  <si>
    <t>V01639</t>
  </si>
  <si>
    <t>V01640</t>
  </si>
  <si>
    <t>V01641</t>
  </si>
  <si>
    <t>V01642</t>
  </si>
  <si>
    <t>V01643</t>
  </si>
  <si>
    <t>V01644</t>
  </si>
  <si>
    <t>V01645</t>
  </si>
  <si>
    <t>V01646</t>
  </si>
  <si>
    <t>01-01-2023</t>
  </si>
  <si>
    <t>25-01-2022</t>
  </si>
  <si>
    <t>20-06-2023</t>
  </si>
  <si>
    <t>03-12-2021</t>
  </si>
  <si>
    <t>12-06-2020</t>
  </si>
  <si>
    <t>21-05-2023</t>
  </si>
  <si>
    <t>19-04-2018</t>
  </si>
  <si>
    <t>19-12-2021</t>
  </si>
  <si>
    <t>14-11-2020</t>
  </si>
  <si>
    <t>11-11-2022</t>
  </si>
  <si>
    <t>10-11-2018</t>
  </si>
  <si>
    <t>01-08-2023</t>
  </si>
  <si>
    <t>25-02-2025</t>
  </si>
  <si>
    <t>10-12-2020</t>
  </si>
  <si>
    <t>08-10-2021</t>
  </si>
  <si>
    <t>18-04-2025</t>
  </si>
  <si>
    <t>14-06-2023</t>
  </si>
  <si>
    <t>18-04-2020</t>
  </si>
  <si>
    <t>25-02-2018</t>
  </si>
  <si>
    <t>10-08-2021</t>
  </si>
  <si>
    <t>11-12-2018</t>
  </si>
  <si>
    <t>28-11-2018</t>
  </si>
  <si>
    <t>07-05-2023</t>
  </si>
  <si>
    <t>18-02-2018</t>
  </si>
  <si>
    <t>26-10-2021</t>
  </si>
  <si>
    <t>18-12-2019</t>
  </si>
  <si>
    <t>21-02-2018</t>
  </si>
  <si>
    <t>03-02-2017</t>
  </si>
  <si>
    <t>26-06-2021</t>
  </si>
  <si>
    <t>28-04-2019</t>
  </si>
  <si>
    <t>04-12-2020</t>
  </si>
  <si>
    <t>11-07-2020</t>
  </si>
  <si>
    <t>06-05-2019</t>
  </si>
  <si>
    <t>19-07-2019</t>
  </si>
  <si>
    <t>11-11-2019</t>
  </si>
  <si>
    <t>14-04-2020</t>
  </si>
  <si>
    <t>26-07-2021</t>
  </si>
  <si>
    <t>27-02-2022</t>
  </si>
  <si>
    <t>21-07-2025</t>
  </si>
  <si>
    <t>17-12-2020</t>
  </si>
  <si>
    <t>20-08-2023</t>
  </si>
  <si>
    <t>09-11-2020</t>
  </si>
  <si>
    <t>05-03-2018</t>
  </si>
  <si>
    <t>25-07-2023</t>
  </si>
  <si>
    <t>24-09-2023</t>
  </si>
  <si>
    <t>05-08-2020</t>
  </si>
  <si>
    <t>09-01-2020</t>
  </si>
  <si>
    <t>24-01-2025</t>
  </si>
  <si>
    <t>05-10-2018</t>
  </si>
  <si>
    <t>10-03-2019</t>
  </si>
  <si>
    <t>23-02-2020</t>
  </si>
  <si>
    <t>17-02-2023</t>
  </si>
  <si>
    <t>17-12-2019</t>
  </si>
  <si>
    <t>09-02-2021</t>
  </si>
  <si>
    <t>18-08-2023</t>
  </si>
  <si>
    <t>19-11-2021</t>
  </si>
  <si>
    <t>04-04-2021</t>
  </si>
  <si>
    <t>27-02-2021</t>
  </si>
  <si>
    <t>28-11-2019</t>
  </si>
  <si>
    <t>13-02-2018</t>
  </si>
  <si>
    <t>20-10-2024</t>
  </si>
  <si>
    <t>24-10-2018</t>
  </si>
  <si>
    <t>15-07-2017</t>
  </si>
  <si>
    <t>04-07-2021</t>
  </si>
  <si>
    <t>04-08-2021</t>
  </si>
  <si>
    <t>09-10-2022</t>
  </si>
  <si>
    <t>17-08-2020</t>
  </si>
  <si>
    <t>11-06-2024</t>
  </si>
  <si>
    <t>09-06-2019</t>
  </si>
  <si>
    <t>17-04-2017</t>
  </si>
  <si>
    <t>21-01-2018</t>
  </si>
  <si>
    <t>23-08-2020</t>
  </si>
  <si>
    <t>09-02-2019</t>
  </si>
  <si>
    <t>15-03-2025</t>
  </si>
  <si>
    <t>28-04-2023</t>
  </si>
  <si>
    <t>19-09-2019</t>
  </si>
  <si>
    <t>26-08-2019</t>
  </si>
  <si>
    <t>02-09-2025</t>
  </si>
  <si>
    <t>10-12-2019</t>
  </si>
  <si>
    <t>06-03-2019</t>
  </si>
  <si>
    <t>01-11-2021</t>
  </si>
  <si>
    <t>28-08-2022</t>
  </si>
  <si>
    <t>01-05-2023</t>
  </si>
  <si>
    <t>21-04-2022</t>
  </si>
  <si>
    <t>19-01-2025</t>
  </si>
  <si>
    <t>09-03-2022</t>
  </si>
  <si>
    <t>24-11-2020</t>
  </si>
  <si>
    <t>22-06-2025</t>
  </si>
  <si>
    <t>08-10-2022</t>
  </si>
  <si>
    <t>04-02-2025</t>
  </si>
  <si>
    <t>21-07-2020</t>
  </si>
  <si>
    <t>22-02-2023</t>
  </si>
  <si>
    <t>26-01-2017</t>
  </si>
  <si>
    <t>26-03-2022</t>
  </si>
  <si>
    <t>12-01-2019</t>
  </si>
  <si>
    <t>25-08-2025</t>
  </si>
  <si>
    <t>16-01-2017</t>
  </si>
  <si>
    <t>09-03-2018</t>
  </si>
  <si>
    <t>04-12-2018</t>
  </si>
  <si>
    <t>Risk_Year</t>
  </si>
  <si>
    <t>Analysis_Year</t>
  </si>
  <si>
    <t>Violation_Count</t>
  </si>
  <si>
    <t>Total_Penalty_Amount</t>
  </si>
  <si>
    <t>Fraud_Linked_Violation_Count</t>
  </si>
  <si>
    <t>Resolved_Violation_Count</t>
  </si>
  <si>
    <t>Unresolved_Violation_Count</t>
  </si>
  <si>
    <t>Critical_High_Severity_Count</t>
  </si>
  <si>
    <t>Escalated_Open_Violation_Count</t>
  </si>
  <si>
    <t>Affected_Order_Total</t>
  </si>
  <si>
    <t>Seller_Year_Key</t>
  </si>
  <si>
    <t>Refund_Risk_Flag</t>
  </si>
  <si>
    <t>User_Report_Risk_Flag</t>
  </si>
  <si>
    <t>Violation_Severity_Flag</t>
  </si>
  <si>
    <t>Fraud_Concern_Flag</t>
  </si>
  <si>
    <t>Governance_Action_Severity_Flag</t>
  </si>
  <si>
    <t>Overall_Risk_Score</t>
  </si>
  <si>
    <t>Final_Seller_Risk</t>
  </si>
  <si>
    <t>Grand Total</t>
  </si>
  <si>
    <t>Count of Seller_ID</t>
  </si>
  <si>
    <t>(All)</t>
  </si>
  <si>
    <t>Average of Overall_Risk_Score</t>
  </si>
  <si>
    <t>Seller Count by Final Risk Level</t>
  </si>
  <si>
    <t>Risk Breakdown by Primary Category</t>
  </si>
  <si>
    <t>Risk Breakdown by Region</t>
  </si>
  <si>
    <t>Top Risky Sellers by Average Risk Score</t>
  </si>
  <si>
    <t>Category Risk Ranking by Average Risk Score</t>
  </si>
  <si>
    <t>E-Commerce Governance &amp; Risk Dashboard</t>
  </si>
  <si>
    <t>Average of Seller_ID</t>
  </si>
  <si>
    <t>Seller Count by Risk Level</t>
  </si>
  <si>
    <t>Risk by Region</t>
  </si>
  <si>
    <t>Top 5 High-Risk Categories</t>
  </si>
  <si>
    <t>Row Labels</t>
  </si>
  <si>
    <t>Primary Category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</si>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</sst>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b/>
      <i/>
      <sz val="14"/>
      <color theme="4" tint="-0.499984740745262"/>
      <name val="Calibri"/>
      <family val="2"/>
      <scheme val="minor"/>
    </font>
    <font>
      <i/>
      <sz val="11"/>
      <color theme="1"/>
      <name val="Calibri"/>
      <family val="2"/>
      <scheme val="minor"/>
    </font>
    <font>
      <b/>
      <sz val="20"/>
      <color theme="1"/>
      <name val="Calibri"/>
      <family val="2"/>
      <scheme val="minor"/>
    </font>
    <font>
      <b/>
      <sz val="14"/>
      <color theme="4" tint="-0.249977111117893"/>
      <name val="Calibri"/>
      <family val="2"/>
      <scheme val="minor"/>
    </font>
    <font>
      <b/>
      <i/>
      <sz val="14"/>
      <color theme="4" tint="-0.249977111117893"/>
      <name val="Calibri"/>
      <family val="2"/>
      <scheme val="minor"/>
    </font>
    <font>
      <b/>
      <i/>
      <sz val="24"/>
      <color theme="4"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2" fillId="0" borderId="0" xfId="0" applyFont="1"/>
    <xf numFmtId="0" fontId="3" fillId="0" borderId="0" xfId="0" applyFont="1"/>
    <xf numFmtId="0" fontId="4" fillId="0" borderId="0" xfId="0" applyFont="1"/>
    <xf numFmtId="0" fontId="0" fillId="0" borderId="0" xfId="0" applyAlignment="1">
      <alignment horizontal="left"/>
    </xf>
    <xf numFmtId="0" fontId="5" fillId="0" borderId="0" xfId="0" applyFont="1"/>
    <xf numFmtId="0" fontId="6" fillId="0" borderId="0" xfId="0" applyFont="1"/>
    <xf numFmtId="0" fontId="7" fillId="0" borderId="0" xfId="0" applyFont="1" applyAlignment="1">
      <alignment vertical="center"/>
    </xf>
    <xf numFmtId="0" fontId="0" fillId="0" borderId="0" xfId="0" applyAlignment="1">
      <alignment horizontal="center"/>
    </xf>
  </cellXfs>
  <cellStyles count="1">
    <cellStyle name="Normal" xfId="0" builtinId="0"/>
  </cellStyles>
  <dxfs count="6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462643</xdr:colOff>
      <xdr:row>3</xdr:row>
      <xdr:rowOff>272144</xdr:rowOff>
    </xdr:from>
    <xdr:to>
      <xdr:col>2</xdr:col>
      <xdr:colOff>286385</xdr:colOff>
      <xdr:row>15</xdr:row>
      <xdr:rowOff>41366</xdr:rowOff>
    </xdr:to>
    <mc:AlternateContent xmlns:mc="http://schemas.openxmlformats.org/markup-compatibility/2006" xmlns:a14="http://schemas.microsoft.com/office/drawing/2010/main">
      <mc:Choice Requires="a14">
        <xdr:graphicFrame macro="">
          <xdr:nvGraphicFramePr>
            <xdr:cNvPr id="2" name="Final_Seller_Risk">
              <a:extLst>
                <a:ext uri="{FF2B5EF4-FFF2-40B4-BE49-F238E27FC236}">
                  <a16:creationId xmlns:a16="http://schemas.microsoft.com/office/drawing/2014/main" id="{CC75E6D1-919B-4702-B47A-923CD17EEF86}"/>
                </a:ext>
              </a:extLst>
            </xdr:cNvPr>
            <xdr:cNvGraphicFramePr/>
          </xdr:nvGraphicFramePr>
          <xdr:xfrm>
            <a:off x="0" y="0"/>
            <a:ext cx="0" cy="0"/>
          </xdr:xfrm>
          <a:graphic>
            <a:graphicData uri="http://schemas.microsoft.com/office/drawing/2010/slicer">
              <sle:slicer xmlns:sle="http://schemas.microsoft.com/office/drawing/2010/slicer" name="Final_Seller_Risk"/>
            </a:graphicData>
          </a:graphic>
        </xdr:graphicFrame>
      </mc:Choice>
      <mc:Fallback xmlns="">
        <xdr:sp macro="" textlink="">
          <xdr:nvSpPr>
            <xdr:cNvPr id="0" name=""/>
            <xdr:cNvSpPr>
              <a:spLocks noTextEdit="1"/>
            </xdr:cNvSpPr>
          </xdr:nvSpPr>
          <xdr:spPr>
            <a:xfrm>
              <a:off x="462643" y="1186544"/>
              <a:ext cx="3012419" cy="3426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1357812</xdr:colOff>
      <xdr:row>3</xdr:row>
      <xdr:rowOff>186145</xdr:rowOff>
    </xdr:from>
    <xdr:to>
      <xdr:col>5</xdr:col>
      <xdr:colOff>1507036</xdr:colOff>
      <xdr:row>14</xdr:row>
      <xdr:rowOff>262344</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E9A141CC-4427-442C-BB12-114B1CDC29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81504" y="1100545"/>
              <a:ext cx="3150332" cy="3428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485322</xdr:colOff>
      <xdr:row>19</xdr:row>
      <xdr:rowOff>248830</xdr:rowOff>
    </xdr:from>
    <xdr:to>
      <xdr:col>2</xdr:col>
      <xdr:colOff>499564</xdr:colOff>
      <xdr:row>30</xdr:row>
      <xdr:rowOff>213179</xdr:rowOff>
    </xdr:to>
    <mc:AlternateContent xmlns:mc="http://schemas.openxmlformats.org/markup-compatibility/2006" xmlns:a14="http://schemas.microsoft.com/office/drawing/2010/main">
      <mc:Choice Requires="a14">
        <xdr:graphicFrame macro="">
          <xdr:nvGraphicFramePr>
            <xdr:cNvPr id="4" name="Primary_Category">
              <a:extLst>
                <a:ext uri="{FF2B5EF4-FFF2-40B4-BE49-F238E27FC236}">
                  <a16:creationId xmlns:a16="http://schemas.microsoft.com/office/drawing/2014/main" id="{73E14A46-BDD9-464C-82D0-1940513D9BCC}"/>
                </a:ext>
              </a:extLst>
            </xdr:cNvPr>
            <xdr:cNvGraphicFramePr/>
          </xdr:nvGraphicFramePr>
          <xdr:xfrm>
            <a:off x="0" y="0"/>
            <a:ext cx="0" cy="0"/>
          </xdr:xfrm>
          <a:graphic>
            <a:graphicData uri="http://schemas.microsoft.com/office/drawing/2010/slicer">
              <sle:slicer xmlns:sle="http://schemas.microsoft.com/office/drawing/2010/slicer" name="Primary_Category"/>
            </a:graphicData>
          </a:graphic>
        </xdr:graphicFrame>
      </mc:Choice>
      <mc:Fallback xmlns="">
        <xdr:sp macro="" textlink="">
          <xdr:nvSpPr>
            <xdr:cNvPr id="0" name=""/>
            <xdr:cNvSpPr>
              <a:spLocks noTextEdit="1"/>
            </xdr:cNvSpPr>
          </xdr:nvSpPr>
          <xdr:spPr>
            <a:xfrm>
              <a:off x="485322" y="6040030"/>
              <a:ext cx="3202919" cy="3199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1326063</xdr:colOff>
      <xdr:row>19</xdr:row>
      <xdr:rowOff>142873</xdr:rowOff>
    </xdr:from>
    <xdr:to>
      <xdr:col>5</xdr:col>
      <xdr:colOff>1596571</xdr:colOff>
      <xdr:row>30</xdr:row>
      <xdr:rowOff>199570</xdr:rowOff>
    </xdr:to>
    <mc:AlternateContent xmlns:mc="http://schemas.openxmlformats.org/markup-compatibility/2006" xmlns:a14="http://schemas.microsoft.com/office/drawing/2010/main">
      <mc:Choice Requires="a14">
        <xdr:graphicFrame macro="">
          <xdr:nvGraphicFramePr>
            <xdr:cNvPr id="5" name="Analysis_Year">
              <a:extLst>
                <a:ext uri="{FF2B5EF4-FFF2-40B4-BE49-F238E27FC236}">
                  <a16:creationId xmlns:a16="http://schemas.microsoft.com/office/drawing/2014/main" id="{3F9D9BC1-77B2-4453-9EB6-272AFB5A9E05}"/>
                </a:ext>
              </a:extLst>
            </xdr:cNvPr>
            <xdr:cNvGraphicFramePr/>
          </xdr:nvGraphicFramePr>
          <xdr:xfrm>
            <a:off x="0" y="0"/>
            <a:ext cx="0" cy="0"/>
          </xdr:xfrm>
          <a:graphic>
            <a:graphicData uri="http://schemas.microsoft.com/office/drawing/2010/slicer">
              <sle:slicer xmlns:sle="http://schemas.microsoft.com/office/drawing/2010/slicer" name="Analysis_Year"/>
            </a:graphicData>
          </a:graphic>
        </xdr:graphicFrame>
      </mc:Choice>
      <mc:Fallback xmlns="">
        <xdr:sp macro="" textlink="">
          <xdr:nvSpPr>
            <xdr:cNvPr id="0" name=""/>
            <xdr:cNvSpPr>
              <a:spLocks noTextEdit="1"/>
            </xdr:cNvSpPr>
          </xdr:nvSpPr>
          <xdr:spPr>
            <a:xfrm>
              <a:off x="6249755" y="5934073"/>
              <a:ext cx="3271616" cy="3292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5.39486724537" createdVersion="8" refreshedVersion="8" minRefreshableVersion="3" recordCount="479" xr:uid="{33C984F0-7165-4A51-903A-A959211B85C0}">
  <cacheSource type="worksheet">
    <worksheetSource name="tbl_seller_risk_analysis"/>
  </cacheSource>
  <cacheFields count="37">
    <cacheField name="Seller_ID" numFmtId="0">
      <sharedItems containsSemiMixedTypes="0" containsString="0" containsNumber="1" containsInteger="1" minValue="1" maxValue="100" count="100">
        <n v="1"/>
        <n v="2"/>
        <n v="3"/>
        <n v="4"/>
        <n v="5"/>
        <n v="6"/>
        <n v="7"/>
        <n v="8"/>
        <n v="9"/>
        <n v="10"/>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8"/>
        <n v="69"/>
        <n v="71"/>
        <n v="72"/>
        <n v="73"/>
        <n v="74"/>
        <n v="75"/>
        <n v="76"/>
        <n v="77"/>
        <n v="78"/>
        <n v="79"/>
        <n v="80"/>
        <n v="81"/>
        <n v="82"/>
        <n v="83"/>
        <n v="84"/>
        <n v="85"/>
        <n v="86"/>
        <n v="87"/>
        <n v="88"/>
        <n v="89"/>
        <n v="90"/>
        <n v="91"/>
        <n v="92"/>
        <n v="93"/>
        <n v="94"/>
        <n v="95"/>
        <n v="96"/>
        <n v="97"/>
        <n v="98"/>
        <n v="99"/>
        <n v="100"/>
        <n v="11"/>
        <n v="67"/>
        <n v="70"/>
      </sharedItems>
    </cacheField>
    <cacheField name="Analysis_Year" numFmtId="0">
      <sharedItems containsSemiMixedTypes="0" containsString="0" containsNumber="1" containsInteger="1" minValue="2021" maxValue="2025" count="5">
        <n v="2021"/>
        <n v="2022"/>
        <n v="2023"/>
        <n v="2024"/>
        <n v="2025"/>
      </sharedItems>
    </cacheField>
    <cacheField name="Total_Orders" numFmtId="0">
      <sharedItems containsSemiMixedTypes="0" containsString="0" containsNumber="1" containsInteger="1" minValue="80" maxValue="2864"/>
    </cacheField>
    <cacheField name="Returned_Orders" numFmtId="0">
      <sharedItems containsSemiMixedTypes="0" containsString="0" containsNumber="1" containsInteger="1" minValue="2" maxValue="322"/>
    </cacheField>
    <cacheField name="Refund_Requests" numFmtId="0">
      <sharedItems containsSemiMixedTypes="0" containsString="0" containsNumber="1" containsInteger="1" minValue="2" maxValue="245"/>
    </cacheField>
    <cacheField name="Refund_Amount" numFmtId="0">
      <sharedItems containsSemiMixedTypes="0" containsString="0" containsNumber="1" minValue="61.41" maxValue="25669.82"/>
    </cacheField>
    <cacheField name="Refund_Rate" numFmtId="0">
      <sharedItems containsSemiMixedTypes="0" containsString="0" containsNumber="1" minValue="2.0160999999999998E-2" maxValue="0.10240200000000001"/>
    </cacheField>
    <cacheField name="User_Reports_Count" numFmtId="0">
      <sharedItems containsSemiMixedTypes="0" containsString="0" containsNumber="1" containsInteger="1" minValue="1" maxValue="67"/>
    </cacheField>
    <cacheField name="Negative_Review_Count" numFmtId="0">
      <sharedItems containsSemiMixedTypes="0" containsString="0" containsNumber="1" containsInteger="1" minValue="1" maxValue="97"/>
    </cacheField>
    <cacheField name="Customer_Dispute_Count" numFmtId="0">
      <sharedItems containsSemiMixedTypes="0" containsString="0" containsNumber="1" containsInteger="1" minValue="1" maxValue="56"/>
    </cacheField>
    <cacheField name="Policy_Violation_Count" numFmtId="0">
      <sharedItems containsSemiMixedTypes="0" containsString="0" containsNumber="1" containsInteger="1" minValue="1" maxValue="32"/>
    </cacheField>
    <cacheField name="Fraud_Flag" numFmtId="0">
      <sharedItems containsSemiMixedTypes="0" containsString="0" containsNumber="1" containsInteger="1" minValue="0" maxValue="1"/>
    </cacheField>
    <cacheField name="Fraud_Review_Count" numFmtId="0">
      <sharedItems containsSemiMixedTypes="0" containsString="0" containsNumber="1" containsInteger="1" minValue="0" maxValue="13"/>
    </cacheField>
    <cacheField name="Escalation_Count" numFmtId="0">
      <sharedItems containsSemiMixedTypes="0" containsString="0" containsNumber="1" containsInteger="1" minValue="0" maxValue="23"/>
    </cacheField>
    <cacheField name="Chargeback_Count" numFmtId="0">
      <sharedItems containsSemiMixedTypes="0" containsString="0" containsNumber="1" containsInteger="1" minValue="0" maxValue="16"/>
    </cacheField>
    <cacheField name="Governance_Action_Status" numFmtId="0">
      <sharedItems/>
    </cacheField>
    <cacheField name="Seller_Name" numFmtId="0">
      <sharedItems count="100">
        <s v="Swift Goods 001"/>
        <s v="Blue Source 002"/>
        <s v="Vertex Supply 003"/>
        <s v="Zen Mart 004"/>
        <s v="True House 005"/>
        <s v="Core Traders 006"/>
        <s v="Urban Works 007"/>
        <s v="Bright Nest 008"/>
        <s v="Golden Hub 009"/>
        <s v="Ever Merchants 010"/>
        <s v="Pulse Commerce 012"/>
        <s v="Summit Bazaar 013"/>
        <s v="Prime Bridge 014"/>
        <s v="Apex Retail 015"/>
        <s v="Nimbus Market 016"/>
        <s v="Metro Point 017"/>
        <s v="Luna Stores 018"/>
        <s v="Elite Link 019"/>
        <s v="Nova Cart 020"/>
        <s v="Swift Goods 021"/>
        <s v="Blue Source 022"/>
        <s v="Vertex Supply 023"/>
        <s v="Zen Mart 024"/>
        <s v="True House 025"/>
        <s v="Core Traders 026"/>
        <s v="Urban Works 027"/>
        <s v="Bright Nest 028"/>
        <s v="Golden Hub 029"/>
        <s v="Ever Merchants 030"/>
        <s v="Orbit Square 031"/>
        <s v="Pulse Commerce 032"/>
        <s v="Summit Bazaar 033"/>
        <s v="Prime Bridge 034"/>
        <s v="Apex Retail 035"/>
        <s v="Nimbus Market 036"/>
        <s v="Metro Point 037"/>
        <s v="Luna Stores 038"/>
        <s v="Elite Link 039"/>
        <s v="Nova Cart 040"/>
        <s v="Swift Goods 041"/>
        <s v="Blue Source 042"/>
        <s v="Vertex Supply 043"/>
        <s v="Zen Mart 044"/>
        <s v="True House 045"/>
        <s v="Core Traders 046"/>
        <s v="Urban Works 047"/>
        <s v="Bright Nest 048"/>
        <s v="Golden Hub 049"/>
        <s v="Ever Merchants 050"/>
        <s v="Orbit Square 051"/>
        <s v="Pulse Commerce 052"/>
        <s v="Summit Bazaar 053"/>
        <s v="Prime Bridge 054"/>
        <s v="Apex Retail 055"/>
        <s v="Nimbus Market 056"/>
        <s v="Metro Point 057"/>
        <s v="Luna Stores 058"/>
        <s v="Elite Link 059"/>
        <s v="Nova Cart 060"/>
        <s v="Swift Goods 061"/>
        <s v="Blue Source 062"/>
        <s v="Vertex Supply 063"/>
        <s v="Zen Mart 064"/>
        <s v="True House 065"/>
        <s v="Core Traders 066"/>
        <s v="Bright Nest 068"/>
        <s v="Golden Hub 069"/>
        <s v="Orbit Square 071"/>
        <s v="Pulse Commerce 072"/>
        <s v="Summit Bazaar 073"/>
        <s v="Prime Bridge 074"/>
        <s v="Apex Retail 075"/>
        <s v="Nimbus Market 076"/>
        <s v="Metro Point 077"/>
        <s v="Luna Stores 078"/>
        <s v="Elite Link 079"/>
        <s v="Nova Cart 080"/>
        <s v="Swift Goods 081"/>
        <s v="Blue Source 082"/>
        <s v="Vertex Supply 083"/>
        <s v="Zen Mart 084"/>
        <s v="True House 085"/>
        <s v="Core Traders 086"/>
        <s v="Urban Works 087"/>
        <s v="Bright Nest 088"/>
        <s v="Golden Hub 089"/>
        <s v="Ever Merchants 090"/>
        <s v="Orbit Square 091"/>
        <s v="Pulse Commerce 092"/>
        <s v="Summit Bazaar 093"/>
        <s v="Prime Bridge 094"/>
        <s v="Apex Retail 095"/>
        <s v="Nimbus Market 096"/>
        <s v="Metro Point 097"/>
        <s v="Luna Stores 098"/>
        <s v="Elite Link 099"/>
        <s v="Nova Cart 100"/>
        <s v="Orbit Square 011"/>
        <s v="Urban Works 067"/>
        <s v="Ever Merchants 070"/>
      </sharedItems>
    </cacheField>
    <cacheField name="Primary_Category" numFmtId="0">
      <sharedItems count="5">
        <s v="Electronics"/>
        <s v="Home"/>
        <s v="Fashion"/>
        <s v="Beauty"/>
        <s v="Groceries"/>
      </sharedItems>
    </cacheField>
    <cacheField name="Region" numFmtId="0">
      <sharedItems count="5">
        <s v="Southeast Asia"/>
        <s v="South"/>
        <s v="West"/>
        <s v="North"/>
        <s v="East"/>
      </sharedItems>
    </cacheField>
    <cacheField name="Marketplace_Tier" numFmtId="0">
      <sharedItems/>
    </cacheField>
    <cacheField name="Onboarding_Date" numFmtId="0">
      <sharedItems/>
    </cacheField>
    <cacheField name="Violation_Count" numFmtId="0">
      <sharedItems containsSemiMixedTypes="0" containsString="0" containsNumber="1" containsInteger="1" minValue="1" maxValue="6"/>
    </cacheField>
    <cacheField name="Total_Penalty_Amount" numFmtId="0">
      <sharedItems containsSemiMixedTypes="0" containsString="0" containsNumber="1" minValue="19.510000000000002" maxValue="29197.22"/>
    </cacheField>
    <cacheField name="Fraud_Linked_Violation_Count" numFmtId="0">
      <sharedItems containsSemiMixedTypes="0" containsString="0" containsNumber="1" containsInteger="1" minValue="0" maxValue="6"/>
    </cacheField>
    <cacheField name="Resolved_Violation_Count" numFmtId="0">
      <sharedItems containsSemiMixedTypes="0" containsString="0" containsNumber="1" containsInteger="1" minValue="0" maxValue="5"/>
    </cacheField>
    <cacheField name="Unresolved_Violation_Count" numFmtId="0">
      <sharedItems containsSemiMixedTypes="0" containsString="0" containsNumber="1" containsInteger="1" minValue="0" maxValue="6"/>
    </cacheField>
    <cacheField name="Critical_High_Severity_Count" numFmtId="0">
      <sharedItems containsSemiMixedTypes="0" containsString="0" containsNumber="1" containsInteger="1" minValue="0" maxValue="6"/>
    </cacheField>
    <cacheField name="Escalated_Open_Violation_Count" numFmtId="0">
      <sharedItems containsSemiMixedTypes="0" containsString="0" containsNumber="1" containsInteger="1" minValue="0" maxValue="5"/>
    </cacheField>
    <cacheField name="Affected_Order_Total" numFmtId="0">
      <sharedItems containsSemiMixedTypes="0" containsString="0" containsNumber="1" containsInteger="1" minValue="1" maxValue="94"/>
    </cacheField>
    <cacheField name="Seller_Year_Key" numFmtId="0">
      <sharedItems/>
    </cacheField>
    <cacheField name="Refund_Risk_Flag" numFmtId="0">
      <sharedItems containsSemiMixedTypes="0" containsString="0" containsNumber="1" containsInteger="1" minValue="0" maxValue="2"/>
    </cacheField>
    <cacheField name="User_Report_Risk_Flag" numFmtId="0">
      <sharedItems containsSemiMixedTypes="0" containsString="0" containsNumber="1" containsInteger="1" minValue="0" maxValue="2"/>
    </cacheField>
    <cacheField name="Violation_Severity_Flag" numFmtId="0">
      <sharedItems containsSemiMixedTypes="0" containsString="0" containsNumber="1" containsInteger="1" minValue="0" maxValue="2"/>
    </cacheField>
    <cacheField name="Fraud_Concern_Flag" numFmtId="0">
      <sharedItems containsSemiMixedTypes="0" containsString="0" containsNumber="1" containsInteger="1" minValue="0" maxValue="2"/>
    </cacheField>
    <cacheField name="Governance_Action_Severity_Flag" numFmtId="0">
      <sharedItems containsSemiMixedTypes="0" containsString="0" containsNumber="1" containsInteger="1" minValue="1" maxValue="2"/>
    </cacheField>
    <cacheField name="Overall_Risk_Score" numFmtId="0">
      <sharedItems containsSemiMixedTypes="0" containsString="0" containsNumber="1" containsInteger="1" minValue="10" maxValue="200"/>
    </cacheField>
    <cacheField name="Final_Seller_Risk" numFmtId="0">
      <sharedItems count="3">
        <s v="High"/>
        <s v="Medium"/>
        <s v="Low"/>
      </sharedItems>
    </cacheField>
  </cacheFields>
  <extLst>
    <ext xmlns:x14="http://schemas.microsoft.com/office/spreadsheetml/2009/9/main" uri="{725AE2AE-9491-48be-B2B4-4EB974FC3084}">
      <x14:pivotCacheDefinition pivotCacheId="548118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9">
  <r>
    <x v="0"/>
    <x v="0"/>
    <n v="1639"/>
    <n v="93"/>
    <n v="72"/>
    <n v="4476.59"/>
    <n v="4.3929000000000003E-2"/>
    <n v="12"/>
    <n v="33"/>
    <n v="11"/>
    <n v="7"/>
    <n v="1"/>
    <n v="4"/>
    <n v="4"/>
    <n v="3"/>
    <s v="Suspended"/>
    <x v="0"/>
    <x v="0"/>
    <x v="0"/>
    <s v="Standard"/>
    <s v="01-01-2023"/>
    <n v="2"/>
    <n v="3866.18"/>
    <n v="1"/>
    <n v="0"/>
    <n v="2"/>
    <n v="2"/>
    <n v="2"/>
    <n v="21"/>
    <s v="1_2021"/>
    <n v="0"/>
    <n v="2"/>
    <n v="2"/>
    <n v="2"/>
    <n v="2"/>
    <n v="150"/>
    <x v="0"/>
  </r>
  <r>
    <x v="1"/>
    <x v="0"/>
    <n v="2638"/>
    <n v="254"/>
    <n v="224"/>
    <n v="9826.34"/>
    <n v="8.4913000000000002E-2"/>
    <n v="26"/>
    <n v="83"/>
    <n v="21"/>
    <n v="11"/>
    <n v="1"/>
    <n v="4"/>
    <n v="5"/>
    <n v="8"/>
    <s v="Suspended"/>
    <x v="1"/>
    <x v="1"/>
    <x v="1"/>
    <s v="Verified"/>
    <s v="25-01-2022"/>
    <n v="6"/>
    <n v="9238.5500000000011"/>
    <n v="5"/>
    <n v="5"/>
    <n v="1"/>
    <n v="3"/>
    <n v="2"/>
    <n v="80"/>
    <s v="2_2021"/>
    <n v="1"/>
    <n v="2"/>
    <n v="2"/>
    <n v="2"/>
    <n v="2"/>
    <n v="175"/>
    <x v="0"/>
  </r>
  <r>
    <x v="2"/>
    <x v="0"/>
    <n v="747"/>
    <n v="70"/>
    <n v="61"/>
    <n v="4657.6000000000004"/>
    <n v="8.1659999999999996E-2"/>
    <n v="20"/>
    <n v="25"/>
    <n v="14"/>
    <n v="12"/>
    <n v="1"/>
    <n v="7"/>
    <n v="6"/>
    <n v="2"/>
    <s v="Suspended"/>
    <x v="2"/>
    <x v="0"/>
    <x v="2"/>
    <s v="Standard"/>
    <s v="20-06-2023"/>
    <n v="6"/>
    <n v="17324.54"/>
    <n v="4"/>
    <n v="3"/>
    <n v="3"/>
    <n v="6"/>
    <n v="5"/>
    <n v="47"/>
    <s v="3_2021"/>
    <n v="1"/>
    <n v="2"/>
    <n v="2"/>
    <n v="2"/>
    <n v="2"/>
    <n v="175"/>
    <x v="0"/>
  </r>
  <r>
    <x v="3"/>
    <x v="0"/>
    <n v="480"/>
    <n v="41"/>
    <n v="36"/>
    <n v="2011.28"/>
    <n v="7.4999999999999997E-2"/>
    <n v="19"/>
    <n v="19"/>
    <n v="9"/>
    <n v="8"/>
    <n v="1"/>
    <n v="6"/>
    <n v="6"/>
    <n v="5"/>
    <s v="Suspended"/>
    <x v="3"/>
    <x v="2"/>
    <x v="0"/>
    <s v="Standard"/>
    <s v="03-12-2021"/>
    <n v="5"/>
    <n v="17378.91"/>
    <n v="3"/>
    <n v="2"/>
    <n v="3"/>
    <n v="5"/>
    <n v="3"/>
    <n v="48"/>
    <s v="4_2021"/>
    <n v="1"/>
    <n v="2"/>
    <n v="2"/>
    <n v="2"/>
    <n v="2"/>
    <n v="175"/>
    <x v="0"/>
  </r>
  <r>
    <x v="4"/>
    <x v="0"/>
    <n v="80"/>
    <n v="9"/>
    <n v="7"/>
    <n v="570.73"/>
    <n v="8.7499999999999994E-2"/>
    <n v="13"/>
    <n v="13"/>
    <n v="4"/>
    <n v="5"/>
    <n v="1"/>
    <n v="4"/>
    <n v="3"/>
    <n v="2"/>
    <s v="Suspended"/>
    <x v="4"/>
    <x v="2"/>
    <x v="2"/>
    <s v="Standard"/>
    <s v="12-06-2020"/>
    <n v="4"/>
    <n v="11543.59"/>
    <n v="2"/>
    <n v="3"/>
    <n v="1"/>
    <n v="3"/>
    <n v="0"/>
    <n v="43"/>
    <s v="5_2021"/>
    <n v="1"/>
    <n v="2"/>
    <n v="2"/>
    <n v="2"/>
    <n v="2"/>
    <n v="175"/>
    <x v="0"/>
  </r>
  <r>
    <x v="5"/>
    <x v="0"/>
    <n v="881"/>
    <n v="51"/>
    <n v="46"/>
    <n v="1423.51"/>
    <n v="5.2213000000000002E-2"/>
    <n v="14"/>
    <n v="24"/>
    <n v="7"/>
    <n v="9"/>
    <n v="0"/>
    <n v="3"/>
    <n v="4"/>
    <n v="3"/>
    <s v="Review Required"/>
    <x v="5"/>
    <x v="3"/>
    <x v="1"/>
    <s v="Premium"/>
    <s v="21-05-2023"/>
    <n v="2"/>
    <n v="1782.84"/>
    <n v="0"/>
    <n v="1"/>
    <n v="1"/>
    <n v="0"/>
    <n v="1"/>
    <n v="7"/>
    <s v="6_2021"/>
    <n v="1"/>
    <n v="2"/>
    <n v="1"/>
    <n v="0"/>
    <n v="1"/>
    <n v="105"/>
    <x v="1"/>
  </r>
  <r>
    <x v="6"/>
    <x v="0"/>
    <n v="792"/>
    <n v="69"/>
    <n v="65"/>
    <n v="6991.26"/>
    <n v="8.2071000000000005E-2"/>
    <n v="30"/>
    <n v="30"/>
    <n v="13"/>
    <n v="12"/>
    <n v="1"/>
    <n v="5"/>
    <n v="7"/>
    <n v="3"/>
    <s v="Suspended"/>
    <x v="6"/>
    <x v="2"/>
    <x v="2"/>
    <s v="Premium"/>
    <s v="19-04-2018"/>
    <n v="4"/>
    <n v="16370.74"/>
    <n v="1"/>
    <n v="2"/>
    <n v="2"/>
    <n v="4"/>
    <n v="2"/>
    <n v="35"/>
    <s v="7_2021"/>
    <n v="1"/>
    <n v="2"/>
    <n v="2"/>
    <n v="2"/>
    <n v="2"/>
    <n v="175"/>
    <x v="0"/>
  </r>
  <r>
    <x v="7"/>
    <x v="0"/>
    <n v="575"/>
    <n v="47"/>
    <n v="38"/>
    <n v="2474.85"/>
    <n v="6.6087000000000007E-2"/>
    <n v="8"/>
    <n v="16"/>
    <n v="8"/>
    <n v="5"/>
    <n v="1"/>
    <n v="5"/>
    <n v="3"/>
    <n v="4"/>
    <s v="Suspended"/>
    <x v="7"/>
    <x v="2"/>
    <x v="1"/>
    <s v="Verified"/>
    <s v="19-12-2021"/>
    <n v="5"/>
    <n v="11161.78"/>
    <n v="3"/>
    <n v="1"/>
    <n v="4"/>
    <n v="4"/>
    <n v="4"/>
    <n v="37"/>
    <s v="8_2021"/>
    <n v="1"/>
    <n v="2"/>
    <n v="2"/>
    <n v="2"/>
    <n v="2"/>
    <n v="175"/>
    <x v="0"/>
  </r>
  <r>
    <x v="8"/>
    <x v="0"/>
    <n v="892"/>
    <n v="47"/>
    <n v="38"/>
    <n v="3271.85"/>
    <n v="4.2601E-2"/>
    <n v="13"/>
    <n v="24"/>
    <n v="8"/>
    <n v="3"/>
    <n v="1"/>
    <n v="2"/>
    <n v="3"/>
    <n v="3"/>
    <s v="Restricted"/>
    <x v="8"/>
    <x v="0"/>
    <x v="3"/>
    <s v="Strategic"/>
    <s v="14-11-2020"/>
    <n v="1"/>
    <n v="1102.52"/>
    <n v="0"/>
    <n v="1"/>
    <n v="0"/>
    <n v="0"/>
    <n v="0"/>
    <n v="5"/>
    <s v="9_2021"/>
    <n v="0"/>
    <n v="2"/>
    <n v="0"/>
    <n v="2"/>
    <n v="1"/>
    <n v="100"/>
    <x v="1"/>
  </r>
  <r>
    <x v="9"/>
    <x v="0"/>
    <n v="1054"/>
    <n v="64"/>
    <n v="49"/>
    <n v="4827.25"/>
    <n v="4.6489999999999997E-2"/>
    <n v="19"/>
    <n v="23"/>
    <n v="8"/>
    <n v="9"/>
    <n v="0"/>
    <n v="3"/>
    <n v="3"/>
    <n v="4"/>
    <s v="Review Required"/>
    <x v="9"/>
    <x v="0"/>
    <x v="3"/>
    <s v="Standard"/>
    <s v="11-11-2022"/>
    <n v="2"/>
    <n v="719.28"/>
    <n v="0"/>
    <n v="2"/>
    <n v="0"/>
    <n v="0"/>
    <n v="0"/>
    <n v="8"/>
    <s v="10_2021"/>
    <n v="0"/>
    <n v="2"/>
    <n v="1"/>
    <n v="0"/>
    <n v="1"/>
    <n v="80"/>
    <x v="1"/>
  </r>
  <r>
    <x v="10"/>
    <x v="0"/>
    <n v="1863"/>
    <n v="169"/>
    <n v="126"/>
    <n v="5399.95"/>
    <n v="6.7632999999999999E-2"/>
    <n v="41"/>
    <n v="61"/>
    <n v="13"/>
    <n v="21"/>
    <n v="1"/>
    <n v="6"/>
    <n v="9"/>
    <n v="6"/>
    <s v="Suspended"/>
    <x v="10"/>
    <x v="4"/>
    <x v="3"/>
    <s v="Verified"/>
    <s v="01-08-2023"/>
    <n v="5"/>
    <n v="16001.04"/>
    <n v="3"/>
    <n v="2"/>
    <n v="3"/>
    <n v="5"/>
    <n v="2"/>
    <n v="50"/>
    <s v="12_2021"/>
    <n v="1"/>
    <n v="2"/>
    <n v="2"/>
    <n v="2"/>
    <n v="2"/>
    <n v="175"/>
    <x v="0"/>
  </r>
  <r>
    <x v="11"/>
    <x v="0"/>
    <n v="241"/>
    <n v="24"/>
    <n v="19"/>
    <n v="2150.92"/>
    <n v="7.8838000000000005E-2"/>
    <n v="15"/>
    <n v="16"/>
    <n v="7"/>
    <n v="6"/>
    <n v="0"/>
    <n v="1"/>
    <n v="4"/>
    <n v="1"/>
    <s v="Suspended"/>
    <x v="11"/>
    <x v="4"/>
    <x v="3"/>
    <s v="Premium"/>
    <s v="25-02-2025"/>
    <n v="6"/>
    <n v="21731.769999999997"/>
    <n v="0"/>
    <n v="2"/>
    <n v="4"/>
    <n v="5"/>
    <n v="2"/>
    <n v="65"/>
    <s v="13_2021"/>
    <n v="1"/>
    <n v="2"/>
    <n v="2"/>
    <n v="0"/>
    <n v="2"/>
    <n v="135"/>
    <x v="0"/>
  </r>
  <r>
    <x v="12"/>
    <x v="0"/>
    <n v="551"/>
    <n v="35"/>
    <n v="26"/>
    <n v="1241.72"/>
    <n v="4.7187E-2"/>
    <n v="7"/>
    <n v="21"/>
    <n v="5"/>
    <n v="6"/>
    <n v="1"/>
    <n v="6"/>
    <n v="3"/>
    <n v="3"/>
    <s v="Suspended"/>
    <x v="12"/>
    <x v="4"/>
    <x v="2"/>
    <s v="Strategic"/>
    <s v="10-12-2020"/>
    <n v="6"/>
    <n v="14699.390000000001"/>
    <n v="4"/>
    <n v="3"/>
    <n v="3"/>
    <n v="5"/>
    <n v="3"/>
    <n v="51"/>
    <s v="14_2021"/>
    <n v="0"/>
    <n v="1"/>
    <n v="2"/>
    <n v="2"/>
    <n v="2"/>
    <n v="125"/>
    <x v="0"/>
  </r>
  <r>
    <x v="13"/>
    <x v="0"/>
    <n v="623"/>
    <n v="36"/>
    <n v="32"/>
    <n v="1677.46"/>
    <n v="5.1364E-2"/>
    <n v="10"/>
    <n v="12"/>
    <n v="5"/>
    <n v="6"/>
    <n v="0"/>
    <n v="1"/>
    <n v="3"/>
    <n v="1"/>
    <s v="Review Required"/>
    <x v="13"/>
    <x v="0"/>
    <x v="4"/>
    <s v="Premium"/>
    <s v="08-10-2021"/>
    <n v="2"/>
    <n v="1200.48"/>
    <n v="0"/>
    <n v="1"/>
    <n v="1"/>
    <n v="0"/>
    <n v="1"/>
    <n v="13"/>
    <s v="15_2021"/>
    <n v="1"/>
    <n v="2"/>
    <n v="1"/>
    <n v="0"/>
    <n v="1"/>
    <n v="105"/>
    <x v="1"/>
  </r>
  <r>
    <x v="14"/>
    <x v="0"/>
    <n v="1028"/>
    <n v="94"/>
    <n v="84"/>
    <n v="8282.14"/>
    <n v="8.1712000000000007E-2"/>
    <n v="17"/>
    <n v="38"/>
    <n v="15"/>
    <n v="9"/>
    <n v="1"/>
    <n v="6"/>
    <n v="6"/>
    <n v="7"/>
    <s v="Suspended"/>
    <x v="14"/>
    <x v="4"/>
    <x v="1"/>
    <s v="Standard"/>
    <s v="18-04-2025"/>
    <n v="4"/>
    <n v="14110.26"/>
    <n v="0"/>
    <n v="1"/>
    <n v="3"/>
    <n v="4"/>
    <n v="3"/>
    <n v="40"/>
    <s v="16_2021"/>
    <n v="1"/>
    <n v="2"/>
    <n v="2"/>
    <n v="2"/>
    <n v="2"/>
    <n v="175"/>
    <x v="0"/>
  </r>
  <r>
    <x v="15"/>
    <x v="0"/>
    <n v="1452"/>
    <n v="117"/>
    <n v="93"/>
    <n v="6754.89"/>
    <n v="6.4049999999999996E-2"/>
    <n v="13"/>
    <n v="47"/>
    <n v="17"/>
    <n v="7"/>
    <n v="1"/>
    <n v="4"/>
    <n v="5"/>
    <n v="8"/>
    <s v="Suspended"/>
    <x v="15"/>
    <x v="3"/>
    <x v="3"/>
    <s v="Premium"/>
    <s v="14-06-2023"/>
    <n v="3"/>
    <n v="10971.82"/>
    <n v="3"/>
    <n v="1"/>
    <n v="2"/>
    <n v="3"/>
    <n v="2"/>
    <n v="32"/>
    <s v="17_2021"/>
    <n v="1"/>
    <n v="2"/>
    <n v="2"/>
    <n v="2"/>
    <n v="2"/>
    <n v="175"/>
    <x v="0"/>
  </r>
  <r>
    <x v="16"/>
    <x v="0"/>
    <n v="371"/>
    <n v="31"/>
    <n v="27"/>
    <n v="1292.32"/>
    <n v="7.2775999999999993E-2"/>
    <n v="12"/>
    <n v="12"/>
    <n v="5"/>
    <n v="5"/>
    <n v="1"/>
    <n v="4"/>
    <n v="4"/>
    <n v="3"/>
    <s v="Suspended"/>
    <x v="16"/>
    <x v="2"/>
    <x v="3"/>
    <s v="Premium"/>
    <s v="18-04-2020"/>
    <n v="4"/>
    <n v="15926.249999999998"/>
    <n v="2"/>
    <n v="0"/>
    <n v="4"/>
    <n v="3"/>
    <n v="2"/>
    <n v="37"/>
    <s v="18_2021"/>
    <n v="1"/>
    <n v="2"/>
    <n v="2"/>
    <n v="2"/>
    <n v="2"/>
    <n v="175"/>
    <x v="0"/>
  </r>
  <r>
    <x v="17"/>
    <x v="0"/>
    <n v="1266"/>
    <n v="68"/>
    <n v="63"/>
    <n v="4030.82"/>
    <n v="4.9763000000000002E-2"/>
    <n v="14"/>
    <n v="35"/>
    <n v="8"/>
    <n v="13"/>
    <n v="1"/>
    <n v="5"/>
    <n v="6"/>
    <n v="3"/>
    <s v="Suspended"/>
    <x v="17"/>
    <x v="4"/>
    <x v="3"/>
    <s v="Standard"/>
    <s v="25-02-2018"/>
    <n v="1"/>
    <n v="565.89"/>
    <n v="0"/>
    <n v="1"/>
    <n v="0"/>
    <n v="0"/>
    <n v="1"/>
    <n v="14"/>
    <s v="19_2021"/>
    <n v="0"/>
    <n v="2"/>
    <n v="0"/>
    <n v="2"/>
    <n v="2"/>
    <n v="110"/>
    <x v="1"/>
  </r>
  <r>
    <x v="18"/>
    <x v="0"/>
    <n v="1085"/>
    <n v="62"/>
    <n v="59"/>
    <n v="6174.17"/>
    <n v="5.4378000000000003E-2"/>
    <n v="14"/>
    <n v="22"/>
    <n v="13"/>
    <n v="5"/>
    <n v="0"/>
    <n v="2"/>
    <n v="4"/>
    <n v="1"/>
    <s v="Review Required"/>
    <x v="18"/>
    <x v="1"/>
    <x v="3"/>
    <s v="Verified"/>
    <s v="10-08-2021"/>
    <n v="2"/>
    <n v="2226.71"/>
    <n v="0"/>
    <n v="2"/>
    <n v="0"/>
    <n v="1"/>
    <n v="0"/>
    <n v="22"/>
    <s v="20_2021"/>
    <n v="1"/>
    <n v="2"/>
    <n v="1"/>
    <n v="0"/>
    <n v="1"/>
    <n v="105"/>
    <x v="1"/>
  </r>
  <r>
    <x v="19"/>
    <x v="0"/>
    <n v="1079"/>
    <n v="84"/>
    <n v="70"/>
    <n v="4551.34"/>
    <n v="6.4875000000000002E-2"/>
    <n v="24"/>
    <n v="34"/>
    <n v="11"/>
    <n v="9"/>
    <n v="1"/>
    <n v="5"/>
    <n v="5"/>
    <n v="6"/>
    <s v="Suspended"/>
    <x v="19"/>
    <x v="2"/>
    <x v="1"/>
    <s v="Verified"/>
    <s v="11-12-2018"/>
    <n v="3"/>
    <n v="2731.09"/>
    <n v="2"/>
    <n v="2"/>
    <n v="1"/>
    <n v="1"/>
    <n v="1"/>
    <n v="14"/>
    <s v="21_2021"/>
    <n v="1"/>
    <n v="2"/>
    <n v="1"/>
    <n v="2"/>
    <n v="2"/>
    <n v="155"/>
    <x v="0"/>
  </r>
  <r>
    <x v="20"/>
    <x v="0"/>
    <n v="583"/>
    <n v="34"/>
    <n v="28"/>
    <n v="2889.84"/>
    <n v="4.8027E-2"/>
    <n v="17"/>
    <n v="17"/>
    <n v="5"/>
    <n v="13"/>
    <n v="0"/>
    <n v="4"/>
    <n v="3"/>
    <n v="2"/>
    <s v="Review Required"/>
    <x v="20"/>
    <x v="0"/>
    <x v="1"/>
    <s v="Strategic"/>
    <s v="28-11-2018"/>
    <n v="1"/>
    <n v="1371.76"/>
    <n v="0"/>
    <n v="1"/>
    <n v="0"/>
    <n v="0"/>
    <n v="0"/>
    <n v="13"/>
    <s v="22_2021"/>
    <n v="0"/>
    <n v="2"/>
    <n v="0"/>
    <n v="0"/>
    <n v="1"/>
    <n v="60"/>
    <x v="1"/>
  </r>
  <r>
    <x v="21"/>
    <x v="0"/>
    <n v="1409"/>
    <n v="93"/>
    <n v="73"/>
    <n v="3251.12"/>
    <n v="5.1810000000000002E-2"/>
    <n v="26"/>
    <n v="42"/>
    <n v="13"/>
    <n v="18"/>
    <n v="0"/>
    <n v="6"/>
    <n v="7"/>
    <n v="4"/>
    <s v="Review Required"/>
    <x v="21"/>
    <x v="1"/>
    <x v="0"/>
    <s v="Standard"/>
    <s v="07-05-2023"/>
    <n v="2"/>
    <n v="1652.56"/>
    <n v="0"/>
    <n v="0"/>
    <n v="2"/>
    <n v="1"/>
    <n v="1"/>
    <n v="12"/>
    <s v="23_2021"/>
    <n v="1"/>
    <n v="2"/>
    <n v="1"/>
    <n v="0"/>
    <n v="1"/>
    <n v="105"/>
    <x v="1"/>
  </r>
  <r>
    <x v="22"/>
    <x v="0"/>
    <n v="1008"/>
    <n v="92"/>
    <n v="81"/>
    <n v="4003.8"/>
    <n v="8.0356999999999998E-2"/>
    <n v="23"/>
    <n v="33"/>
    <n v="19"/>
    <n v="10"/>
    <n v="1"/>
    <n v="5"/>
    <n v="6"/>
    <n v="7"/>
    <s v="Suspended"/>
    <x v="22"/>
    <x v="0"/>
    <x v="3"/>
    <s v="Verified"/>
    <s v="18-02-2018"/>
    <n v="6"/>
    <n v="17028.939999999999"/>
    <n v="2"/>
    <n v="0"/>
    <n v="6"/>
    <n v="4"/>
    <n v="2"/>
    <n v="57"/>
    <s v="24_2021"/>
    <n v="1"/>
    <n v="2"/>
    <n v="2"/>
    <n v="2"/>
    <n v="2"/>
    <n v="175"/>
    <x v="0"/>
  </r>
  <r>
    <x v="23"/>
    <x v="0"/>
    <n v="719"/>
    <n v="17"/>
    <n v="15"/>
    <n v="1297.83"/>
    <n v="2.0861999999999999E-2"/>
    <n v="6"/>
    <n v="13"/>
    <n v="3"/>
    <n v="3"/>
    <n v="0"/>
    <n v="1"/>
    <n v="2"/>
    <n v="0"/>
    <s v="Restricted"/>
    <x v="23"/>
    <x v="3"/>
    <x v="2"/>
    <s v="Strategic"/>
    <s v="26-10-2021"/>
    <n v="3"/>
    <n v="6246.25"/>
    <n v="0"/>
    <n v="2"/>
    <n v="1"/>
    <n v="1"/>
    <n v="1"/>
    <n v="10"/>
    <s v="25_2021"/>
    <n v="0"/>
    <n v="1"/>
    <n v="1"/>
    <n v="0"/>
    <n v="1"/>
    <n v="55"/>
    <x v="2"/>
  </r>
  <r>
    <x v="24"/>
    <x v="0"/>
    <n v="1932"/>
    <n v="197"/>
    <n v="186"/>
    <n v="15383.7"/>
    <n v="9.6272999999999997E-2"/>
    <n v="21"/>
    <n v="58"/>
    <n v="31"/>
    <n v="11"/>
    <n v="1"/>
    <n v="5"/>
    <n v="5"/>
    <n v="7"/>
    <s v="Suspended"/>
    <x v="24"/>
    <x v="3"/>
    <x v="4"/>
    <s v="Standard"/>
    <s v="18-12-2019"/>
    <n v="6"/>
    <n v="14648.359999999999"/>
    <n v="4"/>
    <n v="1"/>
    <n v="5"/>
    <n v="4"/>
    <n v="2"/>
    <n v="55"/>
    <s v="26_2021"/>
    <n v="1"/>
    <n v="2"/>
    <n v="2"/>
    <n v="2"/>
    <n v="2"/>
    <n v="175"/>
    <x v="0"/>
  </r>
  <r>
    <x v="25"/>
    <x v="0"/>
    <n v="124"/>
    <n v="6"/>
    <n v="4"/>
    <n v="345.09"/>
    <n v="3.2258000000000002E-2"/>
    <n v="3"/>
    <n v="3"/>
    <n v="2"/>
    <n v="2"/>
    <n v="0"/>
    <n v="0"/>
    <n v="1"/>
    <n v="0"/>
    <s v="Watchlist"/>
    <x v="25"/>
    <x v="4"/>
    <x v="2"/>
    <s v="Standard"/>
    <s v="21-02-2018"/>
    <n v="2"/>
    <n v="1279.3499999999999"/>
    <n v="0"/>
    <n v="2"/>
    <n v="0"/>
    <n v="0"/>
    <n v="0"/>
    <n v="10"/>
    <s v="27_2021"/>
    <n v="0"/>
    <n v="0"/>
    <n v="1"/>
    <n v="0"/>
    <n v="1"/>
    <n v="30"/>
    <x v="2"/>
  </r>
  <r>
    <x v="26"/>
    <x v="0"/>
    <n v="1522"/>
    <n v="89"/>
    <n v="83"/>
    <n v="6172.72"/>
    <n v="5.4533999999999999E-2"/>
    <n v="21"/>
    <n v="31"/>
    <n v="18"/>
    <n v="7"/>
    <n v="0"/>
    <n v="2"/>
    <n v="4"/>
    <n v="3"/>
    <s v="Restricted"/>
    <x v="26"/>
    <x v="1"/>
    <x v="0"/>
    <s v="Premium"/>
    <s v="03-02-2017"/>
    <n v="3"/>
    <n v="9031.7199999999993"/>
    <n v="0"/>
    <n v="0"/>
    <n v="3"/>
    <n v="2"/>
    <n v="0"/>
    <n v="23"/>
    <s v="28_2021"/>
    <n v="1"/>
    <n v="2"/>
    <n v="2"/>
    <n v="0"/>
    <n v="1"/>
    <n v="125"/>
    <x v="0"/>
  </r>
  <r>
    <x v="27"/>
    <x v="0"/>
    <n v="749"/>
    <n v="38"/>
    <n v="29"/>
    <n v="2425.2199999999998"/>
    <n v="3.8718000000000002E-2"/>
    <n v="8"/>
    <n v="21"/>
    <n v="6"/>
    <n v="4"/>
    <n v="0"/>
    <n v="1"/>
    <n v="2"/>
    <n v="1"/>
    <s v="Review Required"/>
    <x v="27"/>
    <x v="1"/>
    <x v="1"/>
    <s v="Standard"/>
    <s v="26-06-2021"/>
    <n v="2"/>
    <n v="2811.06"/>
    <n v="0"/>
    <n v="0"/>
    <n v="2"/>
    <n v="1"/>
    <n v="2"/>
    <n v="19"/>
    <s v="29_2021"/>
    <n v="0"/>
    <n v="2"/>
    <n v="1"/>
    <n v="0"/>
    <n v="1"/>
    <n v="80"/>
    <x v="1"/>
  </r>
  <r>
    <x v="28"/>
    <x v="0"/>
    <n v="1092"/>
    <n v="82"/>
    <n v="78"/>
    <n v="4335.71"/>
    <n v="7.1429000000000006E-2"/>
    <n v="13"/>
    <n v="35"/>
    <n v="17"/>
    <n v="6"/>
    <n v="1"/>
    <n v="4"/>
    <n v="3"/>
    <n v="4"/>
    <s v="Suspended"/>
    <x v="28"/>
    <x v="4"/>
    <x v="2"/>
    <s v="Premium"/>
    <s v="28-04-2019"/>
    <n v="3"/>
    <n v="8478.61"/>
    <n v="1"/>
    <n v="3"/>
    <n v="0"/>
    <n v="3"/>
    <n v="2"/>
    <n v="17"/>
    <s v="30_2021"/>
    <n v="1"/>
    <n v="2"/>
    <n v="2"/>
    <n v="2"/>
    <n v="2"/>
    <n v="175"/>
    <x v="0"/>
  </r>
  <r>
    <x v="29"/>
    <x v="0"/>
    <n v="1296"/>
    <n v="81"/>
    <n v="59"/>
    <n v="2856.59"/>
    <n v="4.5525000000000003E-2"/>
    <n v="19"/>
    <n v="33"/>
    <n v="11"/>
    <n v="9"/>
    <n v="0"/>
    <n v="3"/>
    <n v="4"/>
    <n v="4"/>
    <s v="Restricted"/>
    <x v="29"/>
    <x v="1"/>
    <x v="1"/>
    <s v="Verified"/>
    <s v="04-12-2020"/>
    <n v="3"/>
    <n v="4579.55"/>
    <n v="0"/>
    <n v="3"/>
    <n v="0"/>
    <n v="1"/>
    <n v="0"/>
    <n v="24"/>
    <s v="31_2021"/>
    <n v="0"/>
    <n v="2"/>
    <n v="1"/>
    <n v="0"/>
    <n v="1"/>
    <n v="80"/>
    <x v="1"/>
  </r>
  <r>
    <x v="30"/>
    <x v="0"/>
    <n v="632"/>
    <n v="34"/>
    <n v="27"/>
    <n v="2169.0500000000002"/>
    <n v="4.2722000000000003E-2"/>
    <n v="9"/>
    <n v="18"/>
    <n v="7"/>
    <n v="4"/>
    <n v="0"/>
    <n v="1"/>
    <n v="2"/>
    <n v="2"/>
    <s v="Restricted"/>
    <x v="30"/>
    <x v="3"/>
    <x v="1"/>
    <s v="Verified"/>
    <s v="11-07-2020"/>
    <n v="3"/>
    <n v="9967.31"/>
    <n v="0"/>
    <n v="2"/>
    <n v="1"/>
    <n v="2"/>
    <n v="0"/>
    <n v="15"/>
    <s v="32_2021"/>
    <n v="0"/>
    <n v="2"/>
    <n v="2"/>
    <n v="0"/>
    <n v="1"/>
    <n v="100"/>
    <x v="1"/>
  </r>
  <r>
    <x v="31"/>
    <x v="0"/>
    <n v="1252"/>
    <n v="130"/>
    <n v="102"/>
    <n v="6870.32"/>
    <n v="8.1470000000000001E-2"/>
    <n v="50"/>
    <n v="50"/>
    <n v="13"/>
    <n v="17"/>
    <n v="1"/>
    <n v="9"/>
    <n v="11"/>
    <n v="6"/>
    <s v="Suspended"/>
    <x v="31"/>
    <x v="4"/>
    <x v="4"/>
    <s v="Standard"/>
    <s v="06-05-2019"/>
    <n v="4"/>
    <n v="3349.9"/>
    <n v="1"/>
    <n v="3"/>
    <n v="1"/>
    <n v="0"/>
    <n v="3"/>
    <n v="50"/>
    <s v="33_2021"/>
    <n v="1"/>
    <n v="2"/>
    <n v="1"/>
    <n v="2"/>
    <n v="2"/>
    <n v="155"/>
    <x v="0"/>
  </r>
  <r>
    <x v="32"/>
    <x v="0"/>
    <n v="766"/>
    <n v="69"/>
    <n v="57"/>
    <n v="2230.79"/>
    <n v="7.4413000000000007E-2"/>
    <n v="14"/>
    <n v="26"/>
    <n v="12"/>
    <n v="6"/>
    <n v="1"/>
    <n v="4"/>
    <n v="4"/>
    <n v="4"/>
    <s v="Suspended"/>
    <x v="32"/>
    <x v="1"/>
    <x v="0"/>
    <s v="Verified"/>
    <s v="19-07-2019"/>
    <n v="3"/>
    <n v="17549.5"/>
    <n v="1"/>
    <n v="1"/>
    <n v="2"/>
    <n v="3"/>
    <n v="2"/>
    <n v="32"/>
    <s v="34_2021"/>
    <n v="1"/>
    <n v="2"/>
    <n v="2"/>
    <n v="2"/>
    <n v="2"/>
    <n v="175"/>
    <x v="0"/>
  </r>
  <r>
    <x v="33"/>
    <x v="0"/>
    <n v="2654"/>
    <n v="262"/>
    <n v="228"/>
    <n v="25669.82"/>
    <n v="8.5907999999999998E-2"/>
    <n v="38"/>
    <n v="89"/>
    <n v="41"/>
    <n v="17"/>
    <n v="1"/>
    <n v="6"/>
    <n v="8"/>
    <n v="8"/>
    <s v="Suspended"/>
    <x v="33"/>
    <x v="3"/>
    <x v="4"/>
    <s v="Verified"/>
    <s v="11-11-2019"/>
    <n v="6"/>
    <n v="22416.3"/>
    <n v="4"/>
    <n v="1"/>
    <n v="5"/>
    <n v="5"/>
    <n v="4"/>
    <n v="76"/>
    <s v="35_2021"/>
    <n v="1"/>
    <n v="2"/>
    <n v="2"/>
    <n v="2"/>
    <n v="2"/>
    <n v="175"/>
    <x v="0"/>
  </r>
  <r>
    <x v="34"/>
    <x v="0"/>
    <n v="2383"/>
    <n v="235"/>
    <n v="189"/>
    <n v="10928.63"/>
    <n v="7.9311999999999994E-2"/>
    <n v="35"/>
    <n v="71"/>
    <n v="28"/>
    <n v="10"/>
    <n v="1"/>
    <n v="5"/>
    <n v="6"/>
    <n v="16"/>
    <s v="Suspended"/>
    <x v="34"/>
    <x v="2"/>
    <x v="2"/>
    <s v="Strategic"/>
    <s v="14-04-2020"/>
    <n v="6"/>
    <n v="11872.11"/>
    <n v="3"/>
    <n v="4"/>
    <n v="2"/>
    <n v="3"/>
    <n v="2"/>
    <n v="75"/>
    <s v="36_2021"/>
    <n v="1"/>
    <n v="2"/>
    <n v="2"/>
    <n v="2"/>
    <n v="2"/>
    <n v="175"/>
    <x v="0"/>
  </r>
  <r>
    <x v="35"/>
    <x v="0"/>
    <n v="874"/>
    <n v="48"/>
    <n v="37"/>
    <n v="2119.1999999999998"/>
    <n v="4.2333999999999997E-2"/>
    <n v="8"/>
    <n v="18"/>
    <n v="9"/>
    <n v="5"/>
    <n v="0"/>
    <n v="1"/>
    <n v="2"/>
    <n v="2"/>
    <s v="Review Required"/>
    <x v="35"/>
    <x v="0"/>
    <x v="4"/>
    <s v="Standard"/>
    <s v="26-07-2021"/>
    <n v="2"/>
    <n v="140.42000000000002"/>
    <n v="0"/>
    <n v="1"/>
    <n v="1"/>
    <n v="0"/>
    <n v="1"/>
    <n v="21"/>
    <s v="37_2021"/>
    <n v="0"/>
    <n v="2"/>
    <n v="1"/>
    <n v="0"/>
    <n v="1"/>
    <n v="80"/>
    <x v="1"/>
  </r>
  <r>
    <x v="36"/>
    <x v="0"/>
    <n v="856"/>
    <n v="88"/>
    <n v="63"/>
    <n v="2918.6"/>
    <n v="7.3597999999999997E-2"/>
    <n v="21"/>
    <n v="33"/>
    <n v="11"/>
    <n v="8"/>
    <n v="1"/>
    <n v="5"/>
    <n v="7"/>
    <n v="5"/>
    <s v="Suspended"/>
    <x v="36"/>
    <x v="3"/>
    <x v="3"/>
    <s v="Verified"/>
    <s v="27-02-2022"/>
    <n v="6"/>
    <n v="16209.75"/>
    <n v="3"/>
    <n v="4"/>
    <n v="2"/>
    <n v="4"/>
    <n v="2"/>
    <n v="63"/>
    <s v="38_2021"/>
    <n v="1"/>
    <n v="2"/>
    <n v="2"/>
    <n v="2"/>
    <n v="2"/>
    <n v="175"/>
    <x v="0"/>
  </r>
  <r>
    <x v="37"/>
    <x v="0"/>
    <n v="901"/>
    <n v="72"/>
    <n v="63"/>
    <n v="6358.76"/>
    <n v="6.9921999999999998E-2"/>
    <n v="18"/>
    <n v="34"/>
    <n v="11"/>
    <n v="10"/>
    <n v="0"/>
    <n v="2"/>
    <n v="6"/>
    <n v="2"/>
    <s v="Review Required"/>
    <x v="37"/>
    <x v="1"/>
    <x v="0"/>
    <s v="Premium"/>
    <s v="21-07-2025"/>
    <n v="3"/>
    <n v="5331.12"/>
    <n v="0"/>
    <n v="2"/>
    <n v="1"/>
    <n v="1"/>
    <n v="1"/>
    <n v="34"/>
    <s v="39_2021"/>
    <n v="1"/>
    <n v="2"/>
    <n v="1"/>
    <n v="0"/>
    <n v="1"/>
    <n v="105"/>
    <x v="1"/>
  </r>
  <r>
    <x v="38"/>
    <x v="0"/>
    <n v="1231"/>
    <n v="138"/>
    <n v="109"/>
    <n v="6176.14"/>
    <n v="8.8546E-2"/>
    <n v="28"/>
    <n v="44"/>
    <n v="15"/>
    <n v="12"/>
    <n v="1"/>
    <n v="4"/>
    <n v="6"/>
    <n v="5"/>
    <s v="Suspended"/>
    <x v="38"/>
    <x v="0"/>
    <x v="2"/>
    <s v="Standard"/>
    <s v="17-12-2020"/>
    <n v="6"/>
    <n v="9278.02"/>
    <n v="5"/>
    <n v="5"/>
    <n v="1"/>
    <n v="2"/>
    <n v="1"/>
    <n v="78"/>
    <s v="40_2021"/>
    <n v="1"/>
    <n v="2"/>
    <n v="2"/>
    <n v="2"/>
    <n v="2"/>
    <n v="175"/>
    <x v="0"/>
  </r>
  <r>
    <x v="39"/>
    <x v="0"/>
    <n v="483"/>
    <n v="44"/>
    <n v="37"/>
    <n v="1427.6"/>
    <n v="7.6605000000000006E-2"/>
    <n v="18"/>
    <n v="20"/>
    <n v="6"/>
    <n v="7"/>
    <n v="1"/>
    <n v="5"/>
    <n v="4"/>
    <n v="2"/>
    <s v="Suspended"/>
    <x v="39"/>
    <x v="4"/>
    <x v="0"/>
    <s v="Standard"/>
    <s v="20-08-2023"/>
    <n v="5"/>
    <n v="16530.7"/>
    <n v="3"/>
    <n v="4"/>
    <n v="1"/>
    <n v="4"/>
    <n v="3"/>
    <n v="33"/>
    <s v="41_2021"/>
    <n v="1"/>
    <n v="2"/>
    <n v="2"/>
    <n v="2"/>
    <n v="2"/>
    <n v="175"/>
    <x v="0"/>
  </r>
  <r>
    <x v="40"/>
    <x v="0"/>
    <n v="296"/>
    <n v="25"/>
    <n v="19"/>
    <n v="837.73"/>
    <n v="6.4188999999999996E-2"/>
    <n v="18"/>
    <n v="18"/>
    <n v="6"/>
    <n v="7"/>
    <n v="1"/>
    <n v="3"/>
    <n v="6"/>
    <n v="2"/>
    <s v="Suspended"/>
    <x v="40"/>
    <x v="1"/>
    <x v="2"/>
    <s v="Strategic"/>
    <s v="09-11-2020"/>
    <n v="3"/>
    <n v="7632.69"/>
    <n v="0"/>
    <n v="2"/>
    <n v="1"/>
    <n v="2"/>
    <n v="1"/>
    <n v="24"/>
    <s v="42_2021"/>
    <n v="1"/>
    <n v="2"/>
    <n v="2"/>
    <n v="2"/>
    <n v="2"/>
    <n v="175"/>
    <x v="0"/>
  </r>
  <r>
    <x v="41"/>
    <x v="0"/>
    <n v="857"/>
    <n v="44"/>
    <n v="41"/>
    <n v="2727.47"/>
    <n v="4.7841000000000002E-2"/>
    <n v="20"/>
    <n v="20"/>
    <n v="9"/>
    <n v="7"/>
    <n v="0"/>
    <n v="1"/>
    <n v="4"/>
    <n v="2"/>
    <s v="Review Required"/>
    <x v="41"/>
    <x v="2"/>
    <x v="4"/>
    <s v="Verified"/>
    <s v="05-03-2018"/>
    <n v="2"/>
    <n v="2196.12"/>
    <n v="0"/>
    <n v="2"/>
    <n v="0"/>
    <n v="0"/>
    <n v="0"/>
    <n v="19"/>
    <s v="43_2021"/>
    <n v="0"/>
    <n v="2"/>
    <n v="1"/>
    <n v="0"/>
    <n v="1"/>
    <n v="80"/>
    <x v="1"/>
  </r>
  <r>
    <x v="42"/>
    <x v="0"/>
    <n v="553"/>
    <n v="27"/>
    <n v="22"/>
    <n v="1342.54"/>
    <n v="3.9782999999999999E-2"/>
    <n v="15"/>
    <n v="18"/>
    <n v="3"/>
    <n v="5"/>
    <n v="0"/>
    <n v="1"/>
    <n v="3"/>
    <n v="1"/>
    <s v="Review Required"/>
    <x v="42"/>
    <x v="1"/>
    <x v="3"/>
    <s v="Standard"/>
    <s v="25-07-2023"/>
    <n v="3"/>
    <n v="2442.42"/>
    <n v="0"/>
    <n v="3"/>
    <n v="0"/>
    <n v="1"/>
    <n v="1"/>
    <n v="24"/>
    <s v="44_2021"/>
    <n v="0"/>
    <n v="2"/>
    <n v="1"/>
    <n v="0"/>
    <n v="1"/>
    <n v="80"/>
    <x v="1"/>
  </r>
  <r>
    <x v="43"/>
    <x v="0"/>
    <n v="903"/>
    <n v="43"/>
    <n v="36"/>
    <n v="1625.13"/>
    <n v="3.9867E-2"/>
    <n v="9"/>
    <n v="24"/>
    <n v="6"/>
    <n v="6"/>
    <n v="0"/>
    <n v="2"/>
    <n v="2"/>
    <n v="1"/>
    <s v="Review Required"/>
    <x v="43"/>
    <x v="2"/>
    <x v="4"/>
    <s v="Premium"/>
    <s v="24-09-2023"/>
    <n v="1"/>
    <n v="528.94000000000005"/>
    <n v="0"/>
    <n v="1"/>
    <n v="0"/>
    <n v="0"/>
    <n v="1"/>
    <n v="3"/>
    <s v="45_2021"/>
    <n v="0"/>
    <n v="2"/>
    <n v="0"/>
    <n v="0"/>
    <n v="1"/>
    <n v="60"/>
    <x v="1"/>
  </r>
  <r>
    <x v="44"/>
    <x v="0"/>
    <n v="1026"/>
    <n v="112"/>
    <n v="98"/>
    <n v="10643.63"/>
    <n v="9.5517000000000005E-2"/>
    <n v="25"/>
    <n v="40"/>
    <n v="19"/>
    <n v="13"/>
    <n v="1"/>
    <n v="6"/>
    <n v="8"/>
    <n v="4"/>
    <s v="Suspended"/>
    <x v="44"/>
    <x v="1"/>
    <x v="4"/>
    <s v="Verified"/>
    <s v="05-08-2020"/>
    <n v="6"/>
    <n v="19989.150000000001"/>
    <n v="3"/>
    <n v="3"/>
    <n v="3"/>
    <n v="5"/>
    <n v="3"/>
    <n v="44"/>
    <s v="46_2021"/>
    <n v="1"/>
    <n v="2"/>
    <n v="2"/>
    <n v="2"/>
    <n v="2"/>
    <n v="175"/>
    <x v="0"/>
  </r>
  <r>
    <x v="45"/>
    <x v="0"/>
    <n v="1287"/>
    <n v="89"/>
    <n v="77"/>
    <n v="3960.48"/>
    <n v="5.9829E-2"/>
    <n v="18"/>
    <n v="29"/>
    <n v="10"/>
    <n v="9"/>
    <n v="0"/>
    <n v="3"/>
    <n v="4"/>
    <n v="3"/>
    <s v="Review Required"/>
    <x v="45"/>
    <x v="1"/>
    <x v="1"/>
    <s v="Verified"/>
    <s v="09-01-2020"/>
    <n v="3"/>
    <n v="2780.96"/>
    <n v="0"/>
    <n v="3"/>
    <n v="0"/>
    <n v="1"/>
    <n v="2"/>
    <n v="35"/>
    <s v="47_2021"/>
    <n v="1"/>
    <n v="2"/>
    <n v="1"/>
    <n v="0"/>
    <n v="1"/>
    <n v="105"/>
    <x v="1"/>
  </r>
  <r>
    <x v="46"/>
    <x v="0"/>
    <n v="702"/>
    <n v="74"/>
    <n v="66"/>
    <n v="3357.7"/>
    <n v="9.4017000000000003E-2"/>
    <n v="17"/>
    <n v="26"/>
    <n v="11"/>
    <n v="9"/>
    <n v="1"/>
    <n v="5"/>
    <n v="6"/>
    <n v="6"/>
    <s v="Suspended"/>
    <x v="46"/>
    <x v="1"/>
    <x v="4"/>
    <s v="Premium"/>
    <s v="24-01-2025"/>
    <n v="3"/>
    <n v="10020.859999999999"/>
    <n v="2"/>
    <n v="2"/>
    <n v="1"/>
    <n v="2"/>
    <n v="1"/>
    <n v="12"/>
    <s v="48_2021"/>
    <n v="1"/>
    <n v="2"/>
    <n v="2"/>
    <n v="2"/>
    <n v="2"/>
    <n v="175"/>
    <x v="0"/>
  </r>
  <r>
    <x v="47"/>
    <x v="0"/>
    <n v="2373"/>
    <n v="254"/>
    <n v="243"/>
    <n v="19407.95"/>
    <n v="0.10240200000000001"/>
    <n v="44"/>
    <n v="83"/>
    <n v="56"/>
    <n v="15"/>
    <n v="1"/>
    <n v="5"/>
    <n v="10"/>
    <n v="14"/>
    <s v="Suspended"/>
    <x v="47"/>
    <x v="0"/>
    <x v="1"/>
    <s v="Verified"/>
    <s v="05-10-2018"/>
    <n v="4"/>
    <n v="10766.820000000002"/>
    <n v="3"/>
    <n v="3"/>
    <n v="1"/>
    <n v="4"/>
    <n v="4"/>
    <n v="47"/>
    <s v="49_2021"/>
    <n v="2"/>
    <n v="2"/>
    <n v="2"/>
    <n v="2"/>
    <n v="2"/>
    <n v="200"/>
    <x v="0"/>
  </r>
  <r>
    <x v="48"/>
    <x v="0"/>
    <n v="995"/>
    <n v="86"/>
    <n v="67"/>
    <n v="4841.6000000000004"/>
    <n v="6.7336999999999994E-2"/>
    <n v="20"/>
    <n v="29"/>
    <n v="10"/>
    <n v="6"/>
    <n v="0"/>
    <n v="2"/>
    <n v="2"/>
    <n v="3"/>
    <s v="Review Required"/>
    <x v="48"/>
    <x v="2"/>
    <x v="1"/>
    <s v="Strategic"/>
    <s v="10-03-2019"/>
    <n v="3"/>
    <n v="2260.2200000000003"/>
    <n v="0"/>
    <n v="3"/>
    <n v="0"/>
    <n v="0"/>
    <n v="0"/>
    <n v="25"/>
    <s v="50_2021"/>
    <n v="1"/>
    <n v="2"/>
    <n v="1"/>
    <n v="0"/>
    <n v="1"/>
    <n v="105"/>
    <x v="1"/>
  </r>
  <r>
    <x v="49"/>
    <x v="0"/>
    <n v="450"/>
    <n v="22"/>
    <n v="21"/>
    <n v="1280.44"/>
    <n v="4.6667E-2"/>
    <n v="8"/>
    <n v="14"/>
    <n v="5"/>
    <n v="4"/>
    <n v="1"/>
    <n v="1"/>
    <n v="2"/>
    <n v="1"/>
    <s v="Restricted"/>
    <x v="49"/>
    <x v="3"/>
    <x v="3"/>
    <s v="Premium"/>
    <s v="23-02-2020"/>
    <n v="2"/>
    <n v="579.59"/>
    <n v="1"/>
    <n v="2"/>
    <n v="0"/>
    <n v="0"/>
    <n v="0"/>
    <n v="11"/>
    <s v="51_2021"/>
    <n v="0"/>
    <n v="2"/>
    <n v="1"/>
    <n v="2"/>
    <n v="1"/>
    <n v="120"/>
    <x v="0"/>
  </r>
  <r>
    <x v="50"/>
    <x v="0"/>
    <n v="1114"/>
    <n v="54"/>
    <n v="40"/>
    <n v="1113.03"/>
    <n v="3.5907000000000001E-2"/>
    <n v="26"/>
    <n v="26"/>
    <n v="5"/>
    <n v="8"/>
    <n v="0"/>
    <n v="2"/>
    <n v="6"/>
    <n v="3"/>
    <s v="Review Required"/>
    <x v="50"/>
    <x v="2"/>
    <x v="0"/>
    <s v="Standard"/>
    <s v="17-02-2023"/>
    <n v="3"/>
    <n v="2441.9"/>
    <n v="0"/>
    <n v="3"/>
    <n v="0"/>
    <n v="0"/>
    <n v="0"/>
    <n v="17"/>
    <s v="52_2021"/>
    <n v="0"/>
    <n v="2"/>
    <n v="1"/>
    <n v="0"/>
    <n v="1"/>
    <n v="80"/>
    <x v="1"/>
  </r>
  <r>
    <x v="51"/>
    <x v="0"/>
    <n v="558"/>
    <n v="49"/>
    <n v="41"/>
    <n v="3864.45"/>
    <n v="7.3477000000000001E-2"/>
    <n v="22"/>
    <n v="25"/>
    <n v="10"/>
    <n v="9"/>
    <n v="1"/>
    <n v="6"/>
    <n v="6"/>
    <n v="2"/>
    <s v="Suspended"/>
    <x v="51"/>
    <x v="1"/>
    <x v="1"/>
    <s v="Premium"/>
    <s v="17-12-2019"/>
    <n v="6"/>
    <n v="15861.58"/>
    <n v="2"/>
    <n v="2"/>
    <n v="4"/>
    <n v="4"/>
    <n v="4"/>
    <n v="61"/>
    <s v="53_2021"/>
    <n v="1"/>
    <n v="2"/>
    <n v="2"/>
    <n v="2"/>
    <n v="2"/>
    <n v="175"/>
    <x v="0"/>
  </r>
  <r>
    <x v="52"/>
    <x v="0"/>
    <n v="1177"/>
    <n v="115"/>
    <n v="103"/>
    <n v="9836.89"/>
    <n v="8.7511000000000005E-2"/>
    <n v="31"/>
    <n v="35"/>
    <n v="16"/>
    <n v="15"/>
    <n v="1"/>
    <n v="6"/>
    <n v="7"/>
    <n v="4"/>
    <s v="Suspended"/>
    <x v="52"/>
    <x v="4"/>
    <x v="4"/>
    <s v="Verified"/>
    <s v="09-02-2021"/>
    <n v="5"/>
    <n v="10622.169999999998"/>
    <n v="2"/>
    <n v="2"/>
    <n v="3"/>
    <n v="3"/>
    <n v="3"/>
    <n v="59"/>
    <s v="54_2021"/>
    <n v="1"/>
    <n v="2"/>
    <n v="2"/>
    <n v="2"/>
    <n v="2"/>
    <n v="175"/>
    <x v="0"/>
  </r>
  <r>
    <x v="53"/>
    <x v="0"/>
    <n v="2177"/>
    <n v="210"/>
    <n v="178"/>
    <n v="6917.92"/>
    <n v="8.1764000000000003E-2"/>
    <n v="34"/>
    <n v="68"/>
    <n v="29"/>
    <n v="13"/>
    <n v="1"/>
    <n v="4"/>
    <n v="7"/>
    <n v="5"/>
    <s v="Suspended"/>
    <x v="53"/>
    <x v="2"/>
    <x v="1"/>
    <s v="Verified"/>
    <s v="26-06-2021"/>
    <n v="6"/>
    <n v="10388.450000000001"/>
    <n v="1"/>
    <n v="2"/>
    <n v="4"/>
    <n v="3"/>
    <n v="3"/>
    <n v="53"/>
    <s v="55_2021"/>
    <n v="1"/>
    <n v="2"/>
    <n v="2"/>
    <n v="2"/>
    <n v="2"/>
    <n v="175"/>
    <x v="0"/>
  </r>
  <r>
    <x v="54"/>
    <x v="0"/>
    <n v="1136"/>
    <n v="89"/>
    <n v="81"/>
    <n v="7437.66"/>
    <n v="7.1303000000000005E-2"/>
    <n v="31"/>
    <n v="31"/>
    <n v="10"/>
    <n v="10"/>
    <n v="0"/>
    <n v="3"/>
    <n v="6"/>
    <n v="2"/>
    <s v="Review Required"/>
    <x v="54"/>
    <x v="3"/>
    <x v="3"/>
    <s v="Strategic"/>
    <s v="18-08-2023"/>
    <n v="3"/>
    <n v="4758.1399999999994"/>
    <n v="0"/>
    <n v="2"/>
    <n v="1"/>
    <n v="1"/>
    <n v="1"/>
    <n v="25"/>
    <s v="56_2021"/>
    <n v="1"/>
    <n v="2"/>
    <n v="1"/>
    <n v="0"/>
    <n v="1"/>
    <n v="105"/>
    <x v="1"/>
  </r>
  <r>
    <x v="55"/>
    <x v="0"/>
    <n v="304"/>
    <n v="8"/>
    <n v="8"/>
    <n v="259.05"/>
    <n v="2.6315999999999999E-2"/>
    <n v="4"/>
    <n v="8"/>
    <n v="1"/>
    <n v="2"/>
    <n v="0"/>
    <n v="1"/>
    <n v="1"/>
    <n v="1"/>
    <s v="Watchlist"/>
    <x v="55"/>
    <x v="3"/>
    <x v="2"/>
    <s v="Premium"/>
    <s v="19-11-2021"/>
    <n v="1"/>
    <n v="943.56"/>
    <n v="0"/>
    <n v="0"/>
    <n v="1"/>
    <n v="0"/>
    <n v="0"/>
    <n v="6"/>
    <s v="57_2021"/>
    <n v="0"/>
    <n v="1"/>
    <n v="0"/>
    <n v="0"/>
    <n v="1"/>
    <n v="35"/>
    <x v="2"/>
  </r>
  <r>
    <x v="56"/>
    <x v="0"/>
    <n v="777"/>
    <n v="67"/>
    <n v="60"/>
    <n v="6268.1"/>
    <n v="7.7219999999999997E-2"/>
    <n v="23"/>
    <n v="23"/>
    <n v="11"/>
    <n v="11"/>
    <n v="0"/>
    <n v="2"/>
    <n v="5"/>
    <n v="4"/>
    <s v="Restricted"/>
    <x v="56"/>
    <x v="1"/>
    <x v="4"/>
    <s v="Strategic"/>
    <s v="04-04-2021"/>
    <n v="5"/>
    <n v="11941.97"/>
    <n v="0"/>
    <n v="2"/>
    <n v="3"/>
    <n v="4"/>
    <n v="4"/>
    <n v="43"/>
    <s v="58_2021"/>
    <n v="1"/>
    <n v="2"/>
    <n v="2"/>
    <n v="0"/>
    <n v="1"/>
    <n v="125"/>
    <x v="0"/>
  </r>
  <r>
    <x v="57"/>
    <x v="0"/>
    <n v="824"/>
    <n v="66"/>
    <n v="53"/>
    <n v="3803.38"/>
    <n v="6.4320000000000002E-2"/>
    <n v="17"/>
    <n v="25"/>
    <n v="7"/>
    <n v="8"/>
    <n v="1"/>
    <n v="5"/>
    <n v="5"/>
    <n v="3"/>
    <s v="Suspended"/>
    <x v="57"/>
    <x v="1"/>
    <x v="4"/>
    <s v="Strategic"/>
    <s v="27-02-2021"/>
    <n v="3"/>
    <n v="6368.09"/>
    <n v="1"/>
    <n v="2"/>
    <n v="1"/>
    <n v="2"/>
    <n v="2"/>
    <n v="13"/>
    <s v="59_2021"/>
    <n v="1"/>
    <n v="2"/>
    <n v="2"/>
    <n v="2"/>
    <n v="2"/>
    <n v="175"/>
    <x v="0"/>
  </r>
  <r>
    <x v="58"/>
    <x v="0"/>
    <n v="1133"/>
    <n v="98"/>
    <n v="93"/>
    <n v="5615.41"/>
    <n v="8.2083000000000003E-2"/>
    <n v="19"/>
    <n v="37"/>
    <n v="16"/>
    <n v="14"/>
    <n v="1"/>
    <n v="5"/>
    <n v="8"/>
    <n v="8"/>
    <s v="Suspended"/>
    <x v="58"/>
    <x v="0"/>
    <x v="0"/>
    <s v="Standard"/>
    <s v="28-11-2019"/>
    <n v="4"/>
    <n v="7638.07"/>
    <n v="2"/>
    <n v="2"/>
    <n v="2"/>
    <n v="3"/>
    <n v="2"/>
    <n v="47"/>
    <s v="60_2021"/>
    <n v="1"/>
    <n v="2"/>
    <n v="2"/>
    <n v="2"/>
    <n v="2"/>
    <n v="175"/>
    <x v="0"/>
  </r>
  <r>
    <x v="59"/>
    <x v="0"/>
    <n v="1986"/>
    <n v="137"/>
    <n v="126"/>
    <n v="5589.6"/>
    <n v="6.3444E-2"/>
    <n v="17"/>
    <n v="47"/>
    <n v="27"/>
    <n v="8"/>
    <n v="1"/>
    <n v="3"/>
    <n v="5"/>
    <n v="8"/>
    <s v="Suspended"/>
    <x v="59"/>
    <x v="0"/>
    <x v="4"/>
    <s v="Verified"/>
    <s v="13-02-2018"/>
    <n v="3"/>
    <n v="3545.28"/>
    <n v="1"/>
    <n v="2"/>
    <n v="1"/>
    <n v="1"/>
    <n v="2"/>
    <n v="29"/>
    <s v="61_2021"/>
    <n v="1"/>
    <n v="2"/>
    <n v="1"/>
    <n v="2"/>
    <n v="2"/>
    <n v="155"/>
    <x v="0"/>
  </r>
  <r>
    <x v="60"/>
    <x v="0"/>
    <n v="2824"/>
    <n v="227"/>
    <n v="214"/>
    <n v="10655.51"/>
    <n v="7.5778999999999999E-2"/>
    <n v="51"/>
    <n v="69"/>
    <n v="29"/>
    <n v="12"/>
    <n v="0"/>
    <n v="5"/>
    <n v="6"/>
    <n v="14"/>
    <s v="Review Required"/>
    <x v="60"/>
    <x v="0"/>
    <x v="1"/>
    <s v="Standard"/>
    <s v="20-10-2024"/>
    <n v="2"/>
    <n v="1176.4000000000001"/>
    <n v="0"/>
    <n v="1"/>
    <n v="1"/>
    <n v="0"/>
    <n v="1"/>
    <n v="8"/>
    <s v="62_2021"/>
    <n v="1"/>
    <n v="2"/>
    <n v="1"/>
    <n v="0"/>
    <n v="1"/>
    <n v="105"/>
    <x v="1"/>
  </r>
  <r>
    <x v="61"/>
    <x v="0"/>
    <n v="909"/>
    <n v="46"/>
    <n v="36"/>
    <n v="3138.55"/>
    <n v="3.9604E-2"/>
    <n v="15"/>
    <n v="20"/>
    <n v="6"/>
    <n v="7"/>
    <n v="0"/>
    <n v="2"/>
    <n v="3"/>
    <n v="2"/>
    <s v="Restricted"/>
    <x v="61"/>
    <x v="1"/>
    <x v="4"/>
    <s v="Standard"/>
    <s v="24-10-2018"/>
    <n v="3"/>
    <n v="6136.96"/>
    <n v="0"/>
    <n v="2"/>
    <n v="1"/>
    <n v="2"/>
    <n v="0"/>
    <n v="14"/>
    <s v="63_2021"/>
    <n v="0"/>
    <n v="2"/>
    <n v="2"/>
    <n v="0"/>
    <n v="1"/>
    <n v="100"/>
    <x v="1"/>
  </r>
  <r>
    <x v="62"/>
    <x v="0"/>
    <n v="589"/>
    <n v="58"/>
    <n v="43"/>
    <n v="2662.53"/>
    <n v="7.3005E-2"/>
    <n v="16"/>
    <n v="16"/>
    <n v="8"/>
    <n v="8"/>
    <n v="1"/>
    <n v="4"/>
    <n v="4"/>
    <n v="3"/>
    <s v="Suspended"/>
    <x v="62"/>
    <x v="4"/>
    <x v="3"/>
    <s v="Verified"/>
    <s v="15-07-2017"/>
    <n v="5"/>
    <n v="9269.1"/>
    <n v="1"/>
    <n v="1"/>
    <n v="4"/>
    <n v="3"/>
    <n v="2"/>
    <n v="54"/>
    <s v="64_2021"/>
    <n v="1"/>
    <n v="2"/>
    <n v="2"/>
    <n v="2"/>
    <n v="2"/>
    <n v="175"/>
    <x v="0"/>
  </r>
  <r>
    <x v="63"/>
    <x v="0"/>
    <n v="2790"/>
    <n v="259"/>
    <n v="227"/>
    <n v="12955.7"/>
    <n v="8.1362000000000004E-2"/>
    <n v="50"/>
    <n v="78"/>
    <n v="24"/>
    <n v="16"/>
    <n v="0"/>
    <n v="6"/>
    <n v="9"/>
    <n v="5"/>
    <s v="Review Required"/>
    <x v="63"/>
    <x v="0"/>
    <x v="1"/>
    <s v="Verified"/>
    <s v="04-07-2021"/>
    <n v="2"/>
    <n v="1582.46"/>
    <n v="0"/>
    <n v="1"/>
    <n v="1"/>
    <n v="0"/>
    <n v="1"/>
    <n v="21"/>
    <s v="65_2021"/>
    <n v="1"/>
    <n v="2"/>
    <n v="1"/>
    <n v="0"/>
    <n v="1"/>
    <n v="105"/>
    <x v="1"/>
  </r>
  <r>
    <x v="64"/>
    <x v="0"/>
    <n v="526"/>
    <n v="30"/>
    <n v="22"/>
    <n v="2061.15"/>
    <n v="4.1825000000000001E-2"/>
    <n v="18"/>
    <n v="18"/>
    <n v="6"/>
    <n v="6"/>
    <n v="0"/>
    <n v="1"/>
    <n v="3"/>
    <n v="2"/>
    <s v="Review Required"/>
    <x v="64"/>
    <x v="2"/>
    <x v="0"/>
    <s v="Strategic"/>
    <s v="04-08-2021"/>
    <n v="2"/>
    <n v="3604.58"/>
    <n v="0"/>
    <n v="1"/>
    <n v="1"/>
    <n v="1"/>
    <n v="0"/>
    <n v="12"/>
    <s v="66_2021"/>
    <n v="0"/>
    <n v="2"/>
    <n v="1"/>
    <n v="0"/>
    <n v="1"/>
    <n v="80"/>
    <x v="1"/>
  </r>
  <r>
    <x v="65"/>
    <x v="0"/>
    <n v="2018"/>
    <n v="204"/>
    <n v="183"/>
    <n v="11022.22"/>
    <n v="9.0684000000000001E-2"/>
    <n v="23"/>
    <n v="60"/>
    <n v="26"/>
    <n v="12"/>
    <n v="0"/>
    <n v="5"/>
    <n v="7"/>
    <n v="4"/>
    <s v="Restricted"/>
    <x v="65"/>
    <x v="2"/>
    <x v="0"/>
    <s v="Premium"/>
    <s v="17-08-2020"/>
    <n v="6"/>
    <n v="11904.369999999999"/>
    <n v="0"/>
    <n v="2"/>
    <n v="4"/>
    <n v="3"/>
    <n v="5"/>
    <n v="79"/>
    <s v="68_2021"/>
    <n v="1"/>
    <n v="2"/>
    <n v="2"/>
    <n v="0"/>
    <n v="1"/>
    <n v="125"/>
    <x v="0"/>
  </r>
  <r>
    <x v="66"/>
    <x v="0"/>
    <n v="1368"/>
    <n v="117"/>
    <n v="103"/>
    <n v="9506.14"/>
    <n v="7.5291999999999998E-2"/>
    <n v="24"/>
    <n v="45"/>
    <n v="24"/>
    <n v="14"/>
    <n v="1"/>
    <n v="6"/>
    <n v="8"/>
    <n v="6"/>
    <s v="Suspended"/>
    <x v="66"/>
    <x v="0"/>
    <x v="2"/>
    <s v="Verified"/>
    <s v="11-06-2024"/>
    <n v="5"/>
    <n v="26097.019999999997"/>
    <n v="5"/>
    <n v="2"/>
    <n v="3"/>
    <n v="5"/>
    <n v="2"/>
    <n v="52"/>
    <s v="69_2021"/>
    <n v="1"/>
    <n v="2"/>
    <n v="2"/>
    <n v="2"/>
    <n v="2"/>
    <n v="175"/>
    <x v="0"/>
  </r>
  <r>
    <x v="67"/>
    <x v="0"/>
    <n v="766"/>
    <n v="40"/>
    <n v="34"/>
    <n v="1393.63"/>
    <n v="4.4386000000000002E-2"/>
    <n v="7"/>
    <n v="21"/>
    <n v="4"/>
    <n v="2"/>
    <n v="0"/>
    <n v="1"/>
    <n v="2"/>
    <n v="2"/>
    <s v="Restricted"/>
    <x v="67"/>
    <x v="4"/>
    <x v="2"/>
    <s v="Premium"/>
    <s v="17-04-2017"/>
    <n v="2"/>
    <n v="7708.67"/>
    <n v="0"/>
    <n v="1"/>
    <n v="1"/>
    <n v="1"/>
    <n v="1"/>
    <n v="19"/>
    <s v="71_2021"/>
    <n v="0"/>
    <n v="1"/>
    <n v="1"/>
    <n v="0"/>
    <n v="1"/>
    <n v="55"/>
    <x v="2"/>
  </r>
  <r>
    <x v="68"/>
    <x v="0"/>
    <n v="395"/>
    <n v="33"/>
    <n v="31"/>
    <n v="2065.5500000000002"/>
    <n v="7.8480999999999995E-2"/>
    <n v="15"/>
    <n v="19"/>
    <n v="9"/>
    <n v="5"/>
    <n v="1"/>
    <n v="4"/>
    <n v="3"/>
    <n v="2"/>
    <s v="Suspended"/>
    <x v="68"/>
    <x v="2"/>
    <x v="2"/>
    <s v="Premium"/>
    <s v="21-01-2018"/>
    <n v="3"/>
    <n v="8838.98"/>
    <n v="1"/>
    <n v="3"/>
    <n v="0"/>
    <n v="3"/>
    <n v="1"/>
    <n v="46"/>
    <s v="72_2021"/>
    <n v="1"/>
    <n v="2"/>
    <n v="2"/>
    <n v="2"/>
    <n v="2"/>
    <n v="175"/>
    <x v="0"/>
  </r>
  <r>
    <x v="69"/>
    <x v="0"/>
    <n v="655"/>
    <n v="50"/>
    <n v="44"/>
    <n v="4049.31"/>
    <n v="6.7176E-2"/>
    <n v="21"/>
    <n v="22"/>
    <n v="8"/>
    <n v="8"/>
    <n v="1"/>
    <n v="4"/>
    <n v="6"/>
    <n v="3"/>
    <s v="Suspended"/>
    <x v="69"/>
    <x v="0"/>
    <x v="2"/>
    <s v="Verified"/>
    <s v="23-08-2020"/>
    <n v="5"/>
    <n v="5697.9"/>
    <n v="2"/>
    <n v="4"/>
    <n v="1"/>
    <n v="1"/>
    <n v="1"/>
    <n v="49"/>
    <s v="73_2021"/>
    <n v="1"/>
    <n v="2"/>
    <n v="2"/>
    <n v="2"/>
    <n v="2"/>
    <n v="175"/>
    <x v="0"/>
  </r>
  <r>
    <x v="70"/>
    <x v="0"/>
    <n v="369"/>
    <n v="19"/>
    <n v="17"/>
    <n v="1315.93"/>
    <n v="4.607E-2"/>
    <n v="15"/>
    <n v="15"/>
    <n v="3"/>
    <n v="5"/>
    <n v="0"/>
    <n v="2"/>
    <n v="2"/>
    <n v="0"/>
    <s v="Review Required"/>
    <x v="70"/>
    <x v="3"/>
    <x v="2"/>
    <s v="Premium"/>
    <s v="09-02-2019"/>
    <n v="1"/>
    <n v="1414.9"/>
    <n v="0"/>
    <n v="0"/>
    <n v="1"/>
    <n v="1"/>
    <n v="1"/>
    <n v="6"/>
    <s v="74_2021"/>
    <n v="0"/>
    <n v="2"/>
    <n v="1"/>
    <n v="0"/>
    <n v="1"/>
    <n v="80"/>
    <x v="1"/>
  </r>
  <r>
    <x v="71"/>
    <x v="0"/>
    <n v="562"/>
    <n v="28"/>
    <n v="24"/>
    <n v="2428.86"/>
    <n v="4.2705E-2"/>
    <n v="16"/>
    <n v="18"/>
    <n v="5"/>
    <n v="7"/>
    <n v="0"/>
    <n v="2"/>
    <n v="4"/>
    <n v="1"/>
    <s v="Restricted"/>
    <x v="71"/>
    <x v="2"/>
    <x v="0"/>
    <s v="Verified"/>
    <s v="15-03-2025"/>
    <n v="2"/>
    <n v="7886.49"/>
    <n v="0"/>
    <n v="1"/>
    <n v="1"/>
    <n v="2"/>
    <n v="1"/>
    <n v="12"/>
    <s v="75_2021"/>
    <n v="0"/>
    <n v="2"/>
    <n v="2"/>
    <n v="0"/>
    <n v="1"/>
    <n v="100"/>
    <x v="1"/>
  </r>
  <r>
    <x v="72"/>
    <x v="0"/>
    <n v="2339"/>
    <n v="171"/>
    <n v="126"/>
    <n v="9015.7900000000009"/>
    <n v="5.3869E-2"/>
    <n v="46"/>
    <n v="64"/>
    <n v="19"/>
    <n v="18"/>
    <n v="0"/>
    <n v="3"/>
    <n v="8"/>
    <n v="8"/>
    <s v="Review Required"/>
    <x v="72"/>
    <x v="3"/>
    <x v="1"/>
    <s v="Premium"/>
    <s v="28-04-2023"/>
    <n v="3"/>
    <n v="2837.48"/>
    <n v="0"/>
    <n v="3"/>
    <n v="0"/>
    <n v="1"/>
    <n v="1"/>
    <n v="30"/>
    <s v="76_2021"/>
    <n v="1"/>
    <n v="2"/>
    <n v="1"/>
    <n v="0"/>
    <n v="1"/>
    <n v="105"/>
    <x v="1"/>
  </r>
  <r>
    <x v="73"/>
    <x v="0"/>
    <n v="1321"/>
    <n v="86"/>
    <n v="79"/>
    <n v="4487.67"/>
    <n v="5.9803000000000002E-2"/>
    <n v="12"/>
    <n v="34"/>
    <n v="15"/>
    <n v="4"/>
    <n v="0"/>
    <n v="2"/>
    <n v="1"/>
    <n v="6"/>
    <s v="Review Required"/>
    <x v="73"/>
    <x v="3"/>
    <x v="2"/>
    <s v="Premium"/>
    <s v="19-09-2019"/>
    <n v="1"/>
    <n v="767.21"/>
    <n v="0"/>
    <n v="0"/>
    <n v="1"/>
    <n v="0"/>
    <n v="0"/>
    <n v="10"/>
    <s v="77_2021"/>
    <n v="1"/>
    <n v="2"/>
    <n v="0"/>
    <n v="0"/>
    <n v="1"/>
    <n v="85"/>
    <x v="1"/>
  </r>
  <r>
    <x v="74"/>
    <x v="0"/>
    <n v="1530"/>
    <n v="102"/>
    <n v="84"/>
    <n v="2728.15"/>
    <n v="5.4901999999999999E-2"/>
    <n v="24"/>
    <n v="35"/>
    <n v="15"/>
    <n v="9"/>
    <n v="0"/>
    <n v="4"/>
    <n v="3"/>
    <n v="3"/>
    <s v="Review Required"/>
    <x v="74"/>
    <x v="3"/>
    <x v="2"/>
    <s v="Standard"/>
    <s v="26-08-2019"/>
    <n v="1"/>
    <n v="1387.52"/>
    <n v="0"/>
    <n v="1"/>
    <n v="0"/>
    <n v="0"/>
    <n v="0"/>
    <n v="10"/>
    <s v="78_2021"/>
    <n v="1"/>
    <n v="2"/>
    <n v="0"/>
    <n v="0"/>
    <n v="1"/>
    <n v="85"/>
    <x v="1"/>
  </r>
  <r>
    <x v="75"/>
    <x v="0"/>
    <n v="1072"/>
    <n v="76"/>
    <n v="69"/>
    <n v="2897.01"/>
    <n v="6.4366000000000007E-2"/>
    <n v="22"/>
    <n v="26"/>
    <n v="11"/>
    <n v="7"/>
    <n v="0"/>
    <n v="2"/>
    <n v="4"/>
    <n v="3"/>
    <s v="Restricted"/>
    <x v="75"/>
    <x v="4"/>
    <x v="2"/>
    <s v="Verified"/>
    <s v="02-09-2025"/>
    <n v="2"/>
    <n v="4616.83"/>
    <n v="0"/>
    <n v="2"/>
    <n v="0"/>
    <n v="1"/>
    <n v="1"/>
    <n v="24"/>
    <s v="79_2021"/>
    <n v="1"/>
    <n v="2"/>
    <n v="1"/>
    <n v="0"/>
    <n v="1"/>
    <n v="105"/>
    <x v="1"/>
  </r>
  <r>
    <x v="76"/>
    <x v="0"/>
    <n v="440"/>
    <n v="20"/>
    <n v="15"/>
    <n v="1437.25"/>
    <n v="3.4091000000000003E-2"/>
    <n v="5"/>
    <n v="9"/>
    <n v="4"/>
    <n v="3"/>
    <n v="0"/>
    <n v="1"/>
    <n v="2"/>
    <n v="0"/>
    <s v="Review Required"/>
    <x v="76"/>
    <x v="0"/>
    <x v="3"/>
    <s v="Verified"/>
    <s v="10-12-2019"/>
    <n v="1"/>
    <n v="189.02"/>
    <n v="0"/>
    <n v="1"/>
    <n v="0"/>
    <n v="0"/>
    <n v="0"/>
    <n v="8"/>
    <s v="80_2021"/>
    <n v="0"/>
    <n v="1"/>
    <n v="0"/>
    <n v="0"/>
    <n v="1"/>
    <n v="35"/>
    <x v="2"/>
  </r>
  <r>
    <x v="77"/>
    <x v="0"/>
    <n v="222"/>
    <n v="19"/>
    <n v="17"/>
    <n v="1839.25"/>
    <n v="7.6577000000000006E-2"/>
    <n v="12"/>
    <n v="12"/>
    <n v="4"/>
    <n v="5"/>
    <n v="1"/>
    <n v="5"/>
    <n v="4"/>
    <n v="3"/>
    <s v="Suspended"/>
    <x v="77"/>
    <x v="4"/>
    <x v="2"/>
    <s v="Verified"/>
    <s v="06-03-2019"/>
    <n v="5"/>
    <n v="17354.829999999998"/>
    <n v="2"/>
    <n v="3"/>
    <n v="2"/>
    <n v="4"/>
    <n v="1"/>
    <n v="51"/>
    <s v="81_2021"/>
    <n v="1"/>
    <n v="2"/>
    <n v="2"/>
    <n v="2"/>
    <n v="2"/>
    <n v="175"/>
    <x v="0"/>
  </r>
  <r>
    <x v="78"/>
    <x v="0"/>
    <n v="1079"/>
    <n v="60"/>
    <n v="50"/>
    <n v="2082.5300000000002"/>
    <n v="4.6338999999999998E-2"/>
    <n v="9"/>
    <n v="29"/>
    <n v="7"/>
    <n v="5"/>
    <n v="1"/>
    <n v="1"/>
    <n v="2"/>
    <n v="2"/>
    <s v="Suspended"/>
    <x v="78"/>
    <x v="1"/>
    <x v="4"/>
    <s v="Verified"/>
    <s v="01-11-2021"/>
    <n v="3"/>
    <n v="1037.3499999999999"/>
    <n v="1"/>
    <n v="2"/>
    <n v="1"/>
    <n v="0"/>
    <n v="1"/>
    <n v="18"/>
    <s v="82_2021"/>
    <n v="0"/>
    <n v="2"/>
    <n v="1"/>
    <n v="2"/>
    <n v="2"/>
    <n v="130"/>
    <x v="0"/>
  </r>
  <r>
    <x v="79"/>
    <x v="0"/>
    <n v="492"/>
    <n v="41"/>
    <n v="37"/>
    <n v="3815.66"/>
    <n v="7.5203000000000006E-2"/>
    <n v="9"/>
    <n v="13"/>
    <n v="6"/>
    <n v="6"/>
    <n v="1"/>
    <n v="5"/>
    <n v="4"/>
    <n v="3"/>
    <s v="Suspended"/>
    <x v="79"/>
    <x v="4"/>
    <x v="4"/>
    <s v="Verified"/>
    <s v="28-08-2022"/>
    <n v="6"/>
    <n v="18947.88"/>
    <n v="4"/>
    <n v="3"/>
    <n v="3"/>
    <n v="4"/>
    <n v="3"/>
    <n v="53"/>
    <s v="83_2021"/>
    <n v="1"/>
    <n v="2"/>
    <n v="2"/>
    <n v="2"/>
    <n v="2"/>
    <n v="175"/>
    <x v="0"/>
  </r>
  <r>
    <x v="80"/>
    <x v="0"/>
    <n v="579"/>
    <n v="29"/>
    <n v="28"/>
    <n v="2580.8200000000002"/>
    <n v="4.8358999999999999E-2"/>
    <n v="12"/>
    <n v="20"/>
    <n v="6"/>
    <n v="11"/>
    <n v="0"/>
    <n v="3"/>
    <n v="4"/>
    <n v="2"/>
    <s v="Review Required"/>
    <x v="80"/>
    <x v="2"/>
    <x v="4"/>
    <s v="Verified"/>
    <s v="01-05-2023"/>
    <n v="2"/>
    <n v="599.70000000000005"/>
    <n v="0"/>
    <n v="2"/>
    <n v="0"/>
    <n v="0"/>
    <n v="0"/>
    <n v="5"/>
    <s v="84_2021"/>
    <n v="0"/>
    <n v="2"/>
    <n v="1"/>
    <n v="0"/>
    <n v="1"/>
    <n v="80"/>
    <x v="1"/>
  </r>
  <r>
    <x v="81"/>
    <x v="0"/>
    <n v="379"/>
    <n v="17"/>
    <n v="13"/>
    <n v="1100.29"/>
    <n v="3.4300999999999998E-2"/>
    <n v="6"/>
    <n v="16"/>
    <n v="3"/>
    <n v="3"/>
    <n v="0"/>
    <n v="1"/>
    <n v="2"/>
    <n v="0"/>
    <s v="Review Required"/>
    <x v="81"/>
    <x v="2"/>
    <x v="1"/>
    <s v="Standard"/>
    <s v="21-04-2022"/>
    <n v="2"/>
    <n v="2430.81"/>
    <n v="0"/>
    <n v="0"/>
    <n v="2"/>
    <n v="0"/>
    <n v="2"/>
    <n v="19"/>
    <s v="85_2021"/>
    <n v="0"/>
    <n v="1"/>
    <n v="1"/>
    <n v="0"/>
    <n v="1"/>
    <n v="55"/>
    <x v="2"/>
  </r>
  <r>
    <x v="82"/>
    <x v="0"/>
    <n v="707"/>
    <n v="62"/>
    <n v="59"/>
    <n v="5279.71"/>
    <n v="8.3450999999999997E-2"/>
    <n v="16"/>
    <n v="23"/>
    <n v="10"/>
    <n v="9"/>
    <n v="0"/>
    <n v="1"/>
    <n v="4"/>
    <n v="4"/>
    <s v="Suspended"/>
    <x v="82"/>
    <x v="0"/>
    <x v="3"/>
    <s v="Premium"/>
    <s v="19-01-2025"/>
    <n v="3"/>
    <n v="11280.159999999998"/>
    <n v="0"/>
    <n v="1"/>
    <n v="2"/>
    <n v="2"/>
    <n v="1"/>
    <n v="32"/>
    <s v="86_2021"/>
    <n v="1"/>
    <n v="2"/>
    <n v="2"/>
    <n v="0"/>
    <n v="2"/>
    <n v="135"/>
    <x v="0"/>
  </r>
  <r>
    <x v="83"/>
    <x v="0"/>
    <n v="1478"/>
    <n v="123"/>
    <n v="109"/>
    <n v="10962.52"/>
    <n v="7.3747999999999994E-2"/>
    <n v="22"/>
    <n v="46"/>
    <n v="21"/>
    <n v="11"/>
    <n v="1"/>
    <n v="5"/>
    <n v="8"/>
    <n v="5"/>
    <s v="Suspended"/>
    <x v="83"/>
    <x v="4"/>
    <x v="4"/>
    <s v="Standard"/>
    <s v="09-03-2022"/>
    <n v="5"/>
    <n v="8158.43"/>
    <n v="4"/>
    <n v="1"/>
    <n v="4"/>
    <n v="3"/>
    <n v="2"/>
    <n v="53"/>
    <s v="87_2021"/>
    <n v="1"/>
    <n v="2"/>
    <n v="2"/>
    <n v="2"/>
    <n v="2"/>
    <n v="175"/>
    <x v="0"/>
  </r>
  <r>
    <x v="84"/>
    <x v="0"/>
    <n v="842"/>
    <n v="56"/>
    <n v="50"/>
    <n v="1892.58"/>
    <n v="5.9381999999999997E-2"/>
    <n v="12"/>
    <n v="25"/>
    <n v="12"/>
    <n v="7"/>
    <n v="1"/>
    <n v="3"/>
    <n v="6"/>
    <n v="3"/>
    <s v="Suspended"/>
    <x v="84"/>
    <x v="1"/>
    <x v="3"/>
    <s v="Verified"/>
    <s v="24-11-2020"/>
    <n v="2"/>
    <n v="603.67999999999995"/>
    <n v="0"/>
    <n v="1"/>
    <n v="1"/>
    <n v="0"/>
    <n v="0"/>
    <n v="19"/>
    <s v="88_2021"/>
    <n v="1"/>
    <n v="2"/>
    <n v="1"/>
    <n v="2"/>
    <n v="2"/>
    <n v="155"/>
    <x v="0"/>
  </r>
  <r>
    <x v="85"/>
    <x v="0"/>
    <n v="844"/>
    <n v="69"/>
    <n v="50"/>
    <n v="4526.75"/>
    <n v="5.9242000000000003E-2"/>
    <n v="15"/>
    <n v="27"/>
    <n v="13"/>
    <n v="6"/>
    <n v="1"/>
    <n v="4"/>
    <n v="3"/>
    <n v="2"/>
    <s v="Suspended"/>
    <x v="85"/>
    <x v="2"/>
    <x v="0"/>
    <s v="Verified"/>
    <s v="22-06-2025"/>
    <n v="6"/>
    <n v="15808.17"/>
    <n v="1"/>
    <n v="5"/>
    <n v="1"/>
    <n v="3"/>
    <n v="2"/>
    <n v="50"/>
    <s v="89_2021"/>
    <n v="1"/>
    <n v="2"/>
    <n v="2"/>
    <n v="2"/>
    <n v="2"/>
    <n v="175"/>
    <x v="0"/>
  </r>
  <r>
    <x v="86"/>
    <x v="0"/>
    <n v="978"/>
    <n v="84"/>
    <n v="68"/>
    <n v="5380.26"/>
    <n v="6.9529999999999995E-2"/>
    <n v="25"/>
    <n v="35"/>
    <n v="8"/>
    <n v="10"/>
    <n v="0"/>
    <n v="3"/>
    <n v="5"/>
    <n v="4"/>
    <s v="Restricted"/>
    <x v="86"/>
    <x v="1"/>
    <x v="3"/>
    <s v="Premium"/>
    <s v="08-10-2022"/>
    <n v="3"/>
    <n v="6135.17"/>
    <n v="0"/>
    <n v="2"/>
    <n v="1"/>
    <n v="2"/>
    <n v="2"/>
    <n v="30"/>
    <s v="90_2021"/>
    <n v="1"/>
    <n v="2"/>
    <n v="2"/>
    <n v="0"/>
    <n v="1"/>
    <n v="125"/>
    <x v="0"/>
  </r>
  <r>
    <x v="87"/>
    <x v="0"/>
    <n v="234"/>
    <n v="20"/>
    <n v="16"/>
    <n v="970.13"/>
    <n v="6.8376000000000006E-2"/>
    <n v="9"/>
    <n v="15"/>
    <n v="4"/>
    <n v="4"/>
    <n v="0"/>
    <n v="1"/>
    <n v="3"/>
    <n v="0"/>
    <s v="Restricted"/>
    <x v="87"/>
    <x v="0"/>
    <x v="3"/>
    <s v="Premium"/>
    <s v="04-02-2025"/>
    <n v="4"/>
    <n v="5608.97"/>
    <n v="0"/>
    <n v="2"/>
    <n v="2"/>
    <n v="2"/>
    <n v="1"/>
    <n v="28"/>
    <s v="91_2021"/>
    <n v="1"/>
    <n v="2"/>
    <n v="2"/>
    <n v="0"/>
    <n v="1"/>
    <n v="125"/>
    <x v="0"/>
  </r>
  <r>
    <x v="88"/>
    <x v="0"/>
    <n v="1822"/>
    <n v="153"/>
    <n v="130"/>
    <n v="12625.26"/>
    <n v="7.1349999999999997E-2"/>
    <n v="15"/>
    <n v="53"/>
    <n v="18"/>
    <n v="7"/>
    <n v="0"/>
    <n v="2"/>
    <n v="4"/>
    <n v="9"/>
    <s v="Restricted"/>
    <x v="88"/>
    <x v="4"/>
    <x v="2"/>
    <s v="Verified"/>
    <s v="21-07-2020"/>
    <n v="3"/>
    <n v="14370.699999999999"/>
    <n v="0"/>
    <n v="2"/>
    <n v="1"/>
    <n v="3"/>
    <n v="1"/>
    <n v="18"/>
    <s v="92_2021"/>
    <n v="1"/>
    <n v="2"/>
    <n v="2"/>
    <n v="0"/>
    <n v="1"/>
    <n v="125"/>
    <x v="0"/>
  </r>
  <r>
    <x v="89"/>
    <x v="0"/>
    <n v="935"/>
    <n v="95"/>
    <n v="74"/>
    <n v="3842.36"/>
    <n v="7.9144000000000006E-2"/>
    <n v="19"/>
    <n v="30"/>
    <n v="16"/>
    <n v="10"/>
    <n v="1"/>
    <n v="6"/>
    <n v="5"/>
    <n v="5"/>
    <s v="Suspended"/>
    <x v="89"/>
    <x v="1"/>
    <x v="2"/>
    <s v="Strategic"/>
    <s v="22-02-2023"/>
    <n v="6"/>
    <n v="19409.819999999996"/>
    <n v="2"/>
    <n v="2"/>
    <n v="4"/>
    <n v="5"/>
    <n v="5"/>
    <n v="65"/>
    <s v="93_2021"/>
    <n v="1"/>
    <n v="2"/>
    <n v="2"/>
    <n v="2"/>
    <n v="2"/>
    <n v="175"/>
    <x v="0"/>
  </r>
  <r>
    <x v="90"/>
    <x v="0"/>
    <n v="369"/>
    <n v="32"/>
    <n v="27"/>
    <n v="1591.93"/>
    <n v="7.3171E-2"/>
    <n v="23"/>
    <n v="23"/>
    <n v="8"/>
    <n v="11"/>
    <n v="0"/>
    <n v="3"/>
    <n v="4"/>
    <n v="2"/>
    <s v="Restricted"/>
    <x v="90"/>
    <x v="1"/>
    <x v="3"/>
    <s v="Standard"/>
    <s v="26-01-2017"/>
    <n v="3"/>
    <n v="10838.8"/>
    <n v="0"/>
    <n v="2"/>
    <n v="1"/>
    <n v="3"/>
    <n v="0"/>
    <n v="22"/>
    <s v="94_2021"/>
    <n v="1"/>
    <n v="2"/>
    <n v="2"/>
    <n v="0"/>
    <n v="1"/>
    <n v="125"/>
    <x v="0"/>
  </r>
  <r>
    <x v="91"/>
    <x v="0"/>
    <n v="710"/>
    <n v="67"/>
    <n v="62"/>
    <n v="5433.42"/>
    <n v="8.7323999999999999E-2"/>
    <n v="25"/>
    <n v="28"/>
    <n v="9"/>
    <n v="9"/>
    <n v="1"/>
    <n v="6"/>
    <n v="5"/>
    <n v="4"/>
    <s v="Suspended"/>
    <x v="91"/>
    <x v="4"/>
    <x v="1"/>
    <s v="Verified"/>
    <s v="26-03-2022"/>
    <n v="3"/>
    <n v="11878.34"/>
    <n v="2"/>
    <n v="0"/>
    <n v="3"/>
    <n v="3"/>
    <n v="1"/>
    <n v="35"/>
    <s v="95_2021"/>
    <n v="1"/>
    <n v="2"/>
    <n v="2"/>
    <n v="2"/>
    <n v="2"/>
    <n v="175"/>
    <x v="0"/>
  </r>
  <r>
    <x v="92"/>
    <x v="0"/>
    <n v="588"/>
    <n v="21"/>
    <n v="20"/>
    <n v="1045.73"/>
    <n v="3.4014000000000003E-2"/>
    <n v="12"/>
    <n v="12"/>
    <n v="5"/>
    <n v="7"/>
    <n v="1"/>
    <n v="2"/>
    <n v="3"/>
    <n v="1"/>
    <s v="Suspended"/>
    <x v="92"/>
    <x v="3"/>
    <x v="3"/>
    <s v="Verified"/>
    <s v="12-01-2019"/>
    <n v="2"/>
    <n v="2290.35"/>
    <n v="1"/>
    <n v="2"/>
    <n v="0"/>
    <n v="1"/>
    <n v="1"/>
    <n v="18"/>
    <s v="96_2021"/>
    <n v="0"/>
    <n v="2"/>
    <n v="1"/>
    <n v="2"/>
    <n v="2"/>
    <n v="130"/>
    <x v="0"/>
  </r>
  <r>
    <x v="93"/>
    <x v="0"/>
    <n v="1188"/>
    <n v="115"/>
    <n v="93"/>
    <n v="3844.36"/>
    <n v="7.8283000000000005E-2"/>
    <n v="35"/>
    <n v="37"/>
    <n v="19"/>
    <n v="14"/>
    <n v="1"/>
    <n v="8"/>
    <n v="6"/>
    <n v="3"/>
    <s v="Suspended"/>
    <x v="93"/>
    <x v="4"/>
    <x v="3"/>
    <s v="Standard"/>
    <s v="25-08-2025"/>
    <n v="3"/>
    <n v="5537.24"/>
    <n v="2"/>
    <n v="1"/>
    <n v="2"/>
    <n v="2"/>
    <n v="2"/>
    <n v="20"/>
    <s v="97_2021"/>
    <n v="1"/>
    <n v="2"/>
    <n v="2"/>
    <n v="2"/>
    <n v="2"/>
    <n v="175"/>
    <x v="0"/>
  </r>
  <r>
    <x v="94"/>
    <x v="0"/>
    <n v="1355"/>
    <n v="53"/>
    <n v="43"/>
    <n v="2073.5500000000002"/>
    <n v="3.1733999999999998E-2"/>
    <n v="14"/>
    <n v="25"/>
    <n v="9"/>
    <n v="9"/>
    <n v="0"/>
    <n v="3"/>
    <n v="4"/>
    <n v="3"/>
    <s v="Review Required"/>
    <x v="94"/>
    <x v="4"/>
    <x v="4"/>
    <s v="Verified"/>
    <s v="16-01-2017"/>
    <n v="1"/>
    <n v="370.26"/>
    <n v="0"/>
    <n v="1"/>
    <n v="0"/>
    <n v="0"/>
    <n v="0"/>
    <n v="4"/>
    <s v="98_2021"/>
    <n v="0"/>
    <n v="2"/>
    <n v="0"/>
    <n v="0"/>
    <n v="1"/>
    <n v="60"/>
    <x v="1"/>
  </r>
  <r>
    <x v="95"/>
    <x v="0"/>
    <n v="426"/>
    <n v="20"/>
    <n v="16"/>
    <n v="1488.41"/>
    <n v="3.7559000000000002E-2"/>
    <n v="6"/>
    <n v="13"/>
    <n v="4"/>
    <n v="3"/>
    <n v="0"/>
    <n v="1"/>
    <n v="1"/>
    <n v="1"/>
    <s v="Review Required"/>
    <x v="95"/>
    <x v="2"/>
    <x v="0"/>
    <s v="Premium"/>
    <s v="09-03-2018"/>
    <n v="3"/>
    <n v="2418.3399999999997"/>
    <n v="0"/>
    <n v="2"/>
    <n v="1"/>
    <n v="0"/>
    <n v="1"/>
    <n v="12"/>
    <s v="99_2021"/>
    <n v="0"/>
    <n v="1"/>
    <n v="1"/>
    <n v="0"/>
    <n v="1"/>
    <n v="55"/>
    <x v="2"/>
  </r>
  <r>
    <x v="96"/>
    <x v="0"/>
    <n v="209"/>
    <n v="10"/>
    <n v="9"/>
    <n v="726.14"/>
    <n v="4.3062000000000003E-2"/>
    <n v="6"/>
    <n v="6"/>
    <n v="2"/>
    <n v="3"/>
    <n v="0"/>
    <n v="0"/>
    <n v="1"/>
    <n v="0"/>
    <s v="Review Required"/>
    <x v="96"/>
    <x v="4"/>
    <x v="0"/>
    <s v="Verified"/>
    <s v="04-12-2018"/>
    <n v="3"/>
    <n v="3181.16"/>
    <n v="0"/>
    <n v="3"/>
    <n v="0"/>
    <n v="1"/>
    <n v="1"/>
    <n v="14"/>
    <s v="100_2021"/>
    <n v="0"/>
    <n v="1"/>
    <n v="1"/>
    <n v="0"/>
    <n v="1"/>
    <n v="55"/>
    <x v="2"/>
  </r>
  <r>
    <x v="0"/>
    <x v="1"/>
    <n v="806"/>
    <n v="70"/>
    <n v="64"/>
    <n v="5048.0200000000004"/>
    <n v="7.9404000000000002E-2"/>
    <n v="18"/>
    <n v="26"/>
    <n v="10"/>
    <n v="6"/>
    <n v="1"/>
    <n v="6"/>
    <n v="6"/>
    <n v="4"/>
    <s v="Suspended"/>
    <x v="0"/>
    <x v="0"/>
    <x v="0"/>
    <s v="Standard"/>
    <s v="01-01-2023"/>
    <n v="6"/>
    <n v="18392.100000000006"/>
    <n v="6"/>
    <n v="2"/>
    <n v="4"/>
    <n v="5"/>
    <n v="2"/>
    <n v="51"/>
    <s v="1_2022"/>
    <n v="1"/>
    <n v="2"/>
    <n v="2"/>
    <n v="2"/>
    <n v="2"/>
    <n v="175"/>
    <x v="0"/>
  </r>
  <r>
    <x v="1"/>
    <x v="1"/>
    <n v="1666"/>
    <n v="160"/>
    <n v="146"/>
    <n v="6387.33"/>
    <n v="8.7635000000000005E-2"/>
    <n v="30"/>
    <n v="46"/>
    <n v="14"/>
    <n v="15"/>
    <n v="0"/>
    <n v="4"/>
    <n v="7"/>
    <n v="3"/>
    <s v="Restricted"/>
    <x v="1"/>
    <x v="1"/>
    <x v="1"/>
    <s v="Verified"/>
    <s v="25-01-2022"/>
    <n v="3"/>
    <n v="5559.2999999999993"/>
    <n v="0"/>
    <n v="2"/>
    <n v="1"/>
    <n v="2"/>
    <n v="2"/>
    <n v="29"/>
    <s v="2_2022"/>
    <n v="1"/>
    <n v="2"/>
    <n v="2"/>
    <n v="0"/>
    <n v="1"/>
    <n v="125"/>
    <x v="0"/>
  </r>
  <r>
    <x v="2"/>
    <x v="1"/>
    <n v="1199"/>
    <n v="121"/>
    <n v="102"/>
    <n v="5475.16"/>
    <n v="8.5070999999999994E-2"/>
    <n v="29"/>
    <n v="39"/>
    <n v="17"/>
    <n v="16"/>
    <n v="1"/>
    <n v="5"/>
    <n v="8"/>
    <n v="8"/>
    <s v="Suspended"/>
    <x v="2"/>
    <x v="0"/>
    <x v="2"/>
    <s v="Standard"/>
    <s v="20-06-2023"/>
    <n v="6"/>
    <n v="15055.120000000003"/>
    <n v="3"/>
    <n v="4"/>
    <n v="2"/>
    <n v="3"/>
    <n v="2"/>
    <n v="34"/>
    <s v="3_2022"/>
    <n v="1"/>
    <n v="2"/>
    <n v="2"/>
    <n v="2"/>
    <n v="2"/>
    <n v="175"/>
    <x v="0"/>
  </r>
  <r>
    <x v="3"/>
    <x v="1"/>
    <n v="923"/>
    <n v="74"/>
    <n v="63"/>
    <n v="6976.75"/>
    <n v="6.8255999999999997E-2"/>
    <n v="22"/>
    <n v="32"/>
    <n v="8"/>
    <n v="7"/>
    <n v="1"/>
    <n v="5"/>
    <n v="6"/>
    <n v="4"/>
    <s v="Suspended"/>
    <x v="3"/>
    <x v="2"/>
    <x v="0"/>
    <s v="Standard"/>
    <s v="03-12-2021"/>
    <n v="4"/>
    <n v="12021.630000000001"/>
    <n v="1"/>
    <n v="2"/>
    <n v="2"/>
    <n v="2"/>
    <n v="1"/>
    <n v="12"/>
    <s v="4_2022"/>
    <n v="1"/>
    <n v="2"/>
    <n v="2"/>
    <n v="2"/>
    <n v="2"/>
    <n v="175"/>
    <x v="0"/>
  </r>
  <r>
    <x v="4"/>
    <x v="1"/>
    <n v="2081"/>
    <n v="146"/>
    <n v="117"/>
    <n v="4049.36"/>
    <n v="5.6223000000000002E-2"/>
    <n v="25"/>
    <n v="52"/>
    <n v="14"/>
    <n v="14"/>
    <n v="0"/>
    <n v="4"/>
    <n v="5"/>
    <n v="6"/>
    <s v="Restricted"/>
    <x v="4"/>
    <x v="2"/>
    <x v="2"/>
    <s v="Standard"/>
    <s v="12-06-2020"/>
    <n v="3"/>
    <n v="7177.72"/>
    <n v="0"/>
    <n v="2"/>
    <n v="1"/>
    <n v="2"/>
    <n v="1"/>
    <n v="17"/>
    <s v="5_2022"/>
    <n v="1"/>
    <n v="2"/>
    <n v="2"/>
    <n v="0"/>
    <n v="1"/>
    <n v="125"/>
    <x v="0"/>
  </r>
  <r>
    <x v="5"/>
    <x v="1"/>
    <n v="1425"/>
    <n v="115"/>
    <n v="86"/>
    <n v="8076.26"/>
    <n v="6.0351000000000002E-2"/>
    <n v="24"/>
    <n v="42"/>
    <n v="16"/>
    <n v="9"/>
    <n v="1"/>
    <n v="5"/>
    <n v="7"/>
    <n v="4"/>
    <s v="Suspended"/>
    <x v="5"/>
    <x v="3"/>
    <x v="1"/>
    <s v="Premium"/>
    <s v="21-05-2023"/>
    <n v="3"/>
    <n v="9649.93"/>
    <n v="3"/>
    <n v="1"/>
    <n v="2"/>
    <n v="2"/>
    <n v="2"/>
    <n v="28"/>
    <s v="6_2022"/>
    <n v="1"/>
    <n v="2"/>
    <n v="2"/>
    <n v="2"/>
    <n v="2"/>
    <n v="175"/>
    <x v="0"/>
  </r>
  <r>
    <x v="6"/>
    <x v="1"/>
    <n v="307"/>
    <n v="25"/>
    <n v="21"/>
    <n v="2048.9699999999998"/>
    <n v="6.8404000000000006E-2"/>
    <n v="9"/>
    <n v="9"/>
    <n v="5"/>
    <n v="5"/>
    <n v="1"/>
    <n v="5"/>
    <n v="4"/>
    <n v="3"/>
    <s v="Suspended"/>
    <x v="6"/>
    <x v="2"/>
    <x v="2"/>
    <s v="Premium"/>
    <s v="19-04-2018"/>
    <n v="5"/>
    <n v="7328.2899999999991"/>
    <n v="3"/>
    <n v="2"/>
    <n v="3"/>
    <n v="4"/>
    <n v="2"/>
    <n v="32"/>
    <s v="7_2022"/>
    <n v="1"/>
    <n v="2"/>
    <n v="2"/>
    <n v="2"/>
    <n v="2"/>
    <n v="175"/>
    <x v="0"/>
  </r>
  <r>
    <x v="7"/>
    <x v="1"/>
    <n v="346"/>
    <n v="17"/>
    <n v="15"/>
    <n v="586.4"/>
    <n v="4.3353000000000003E-2"/>
    <n v="13"/>
    <n v="13"/>
    <n v="2"/>
    <n v="4"/>
    <n v="0"/>
    <n v="1"/>
    <n v="2"/>
    <n v="1"/>
    <s v="Restricted"/>
    <x v="7"/>
    <x v="2"/>
    <x v="1"/>
    <s v="Verified"/>
    <s v="19-12-2021"/>
    <n v="3"/>
    <n v="4684.1099999999997"/>
    <n v="0"/>
    <n v="2"/>
    <n v="1"/>
    <n v="2"/>
    <n v="2"/>
    <n v="24"/>
    <s v="8_2022"/>
    <n v="0"/>
    <n v="2"/>
    <n v="2"/>
    <n v="0"/>
    <n v="1"/>
    <n v="100"/>
    <x v="1"/>
  </r>
  <r>
    <x v="8"/>
    <x v="1"/>
    <n v="1418"/>
    <n v="134"/>
    <n v="120"/>
    <n v="10515.14"/>
    <n v="8.4626000000000007E-2"/>
    <n v="32"/>
    <n v="45"/>
    <n v="15"/>
    <n v="11"/>
    <n v="1"/>
    <n v="5"/>
    <n v="6"/>
    <n v="8"/>
    <s v="Suspended"/>
    <x v="8"/>
    <x v="0"/>
    <x v="3"/>
    <s v="Strategic"/>
    <s v="14-11-2020"/>
    <n v="5"/>
    <n v="9868.15"/>
    <n v="3"/>
    <n v="2"/>
    <n v="3"/>
    <n v="4"/>
    <n v="3"/>
    <n v="57"/>
    <s v="9_2022"/>
    <n v="1"/>
    <n v="2"/>
    <n v="2"/>
    <n v="2"/>
    <n v="2"/>
    <n v="175"/>
    <x v="0"/>
  </r>
  <r>
    <x v="9"/>
    <x v="1"/>
    <n v="1476"/>
    <n v="149"/>
    <n v="141"/>
    <n v="15099.72"/>
    <n v="9.5528000000000002E-2"/>
    <n v="31"/>
    <n v="46"/>
    <n v="16"/>
    <n v="11"/>
    <n v="1"/>
    <n v="6"/>
    <n v="9"/>
    <n v="10"/>
    <s v="Suspended"/>
    <x v="9"/>
    <x v="0"/>
    <x v="3"/>
    <s v="Standard"/>
    <s v="11-11-2022"/>
    <n v="5"/>
    <n v="26914.360000000004"/>
    <n v="3"/>
    <n v="3"/>
    <n v="2"/>
    <n v="5"/>
    <n v="1"/>
    <n v="63"/>
    <s v="10_2022"/>
    <n v="1"/>
    <n v="2"/>
    <n v="2"/>
    <n v="2"/>
    <n v="2"/>
    <n v="175"/>
    <x v="0"/>
  </r>
  <r>
    <x v="97"/>
    <x v="1"/>
    <n v="965"/>
    <n v="55"/>
    <n v="42"/>
    <n v="2247.85"/>
    <n v="4.3522999999999999E-2"/>
    <n v="14"/>
    <n v="19"/>
    <n v="6"/>
    <n v="7"/>
    <n v="1"/>
    <n v="4"/>
    <n v="5"/>
    <n v="2"/>
    <s v="Suspended"/>
    <x v="97"/>
    <x v="4"/>
    <x v="1"/>
    <s v="Strategic"/>
    <s v="10-11-2018"/>
    <n v="3"/>
    <n v="8379.5500000000011"/>
    <n v="0"/>
    <n v="2"/>
    <n v="1"/>
    <n v="2"/>
    <n v="1"/>
    <n v="26"/>
    <s v="11_2022"/>
    <n v="0"/>
    <n v="2"/>
    <n v="2"/>
    <n v="2"/>
    <n v="2"/>
    <n v="150"/>
    <x v="0"/>
  </r>
  <r>
    <x v="10"/>
    <x v="1"/>
    <n v="1012"/>
    <n v="48"/>
    <n v="42"/>
    <n v="2101.9499999999998"/>
    <n v="4.1501999999999997E-2"/>
    <n v="15"/>
    <n v="18"/>
    <n v="8"/>
    <n v="6"/>
    <n v="0"/>
    <n v="1"/>
    <n v="4"/>
    <n v="2"/>
    <s v="Review Required"/>
    <x v="10"/>
    <x v="4"/>
    <x v="3"/>
    <s v="Verified"/>
    <s v="01-08-2023"/>
    <n v="1"/>
    <n v="273.75"/>
    <n v="0"/>
    <n v="1"/>
    <n v="0"/>
    <n v="0"/>
    <n v="0"/>
    <n v="9"/>
    <s v="12_2022"/>
    <n v="0"/>
    <n v="2"/>
    <n v="0"/>
    <n v="0"/>
    <n v="1"/>
    <n v="60"/>
    <x v="1"/>
  </r>
  <r>
    <x v="11"/>
    <x v="1"/>
    <n v="333"/>
    <n v="24"/>
    <n v="19"/>
    <n v="1393.13"/>
    <n v="5.7056999999999997E-2"/>
    <n v="9"/>
    <n v="9"/>
    <n v="6"/>
    <n v="5"/>
    <n v="0"/>
    <n v="1"/>
    <n v="3"/>
    <n v="1"/>
    <s v="Restricted"/>
    <x v="11"/>
    <x v="4"/>
    <x v="3"/>
    <s v="Premium"/>
    <s v="25-02-2025"/>
    <n v="5"/>
    <n v="5919.6099999999988"/>
    <n v="0"/>
    <n v="2"/>
    <n v="3"/>
    <n v="2"/>
    <n v="3"/>
    <n v="34"/>
    <s v="13_2022"/>
    <n v="1"/>
    <n v="2"/>
    <n v="2"/>
    <n v="0"/>
    <n v="1"/>
    <n v="125"/>
    <x v="0"/>
  </r>
  <r>
    <x v="12"/>
    <x v="1"/>
    <n v="2394"/>
    <n v="202"/>
    <n v="164"/>
    <n v="13403.72"/>
    <n v="6.8504999999999996E-2"/>
    <n v="20"/>
    <n v="67"/>
    <n v="19"/>
    <n v="12"/>
    <n v="1"/>
    <n v="6"/>
    <n v="6"/>
    <n v="4"/>
    <s v="Suspended"/>
    <x v="12"/>
    <x v="4"/>
    <x v="2"/>
    <s v="Strategic"/>
    <s v="10-12-2020"/>
    <n v="5"/>
    <n v="16728.439999999999"/>
    <n v="3"/>
    <n v="0"/>
    <n v="5"/>
    <n v="4"/>
    <n v="5"/>
    <n v="59"/>
    <s v="14_2022"/>
    <n v="1"/>
    <n v="2"/>
    <n v="2"/>
    <n v="2"/>
    <n v="2"/>
    <n v="175"/>
    <x v="0"/>
  </r>
  <r>
    <x v="13"/>
    <x v="1"/>
    <n v="1095"/>
    <n v="78"/>
    <n v="63"/>
    <n v="3552.25"/>
    <n v="5.7534000000000002E-2"/>
    <n v="11"/>
    <n v="27"/>
    <n v="15"/>
    <n v="6"/>
    <n v="1"/>
    <n v="5"/>
    <n v="4"/>
    <n v="3"/>
    <s v="Suspended"/>
    <x v="13"/>
    <x v="0"/>
    <x v="4"/>
    <s v="Premium"/>
    <s v="08-10-2021"/>
    <n v="6"/>
    <n v="21926.9"/>
    <n v="2"/>
    <n v="3"/>
    <n v="3"/>
    <n v="4"/>
    <n v="1"/>
    <n v="66"/>
    <s v="15_2022"/>
    <n v="1"/>
    <n v="2"/>
    <n v="2"/>
    <n v="2"/>
    <n v="2"/>
    <n v="175"/>
    <x v="0"/>
  </r>
  <r>
    <x v="14"/>
    <x v="1"/>
    <n v="896"/>
    <n v="48"/>
    <n v="42"/>
    <n v="2247.92"/>
    <n v="4.6875E-2"/>
    <n v="14"/>
    <n v="16"/>
    <n v="10"/>
    <n v="7"/>
    <n v="0"/>
    <n v="2"/>
    <n v="2"/>
    <n v="2"/>
    <s v="Restricted"/>
    <x v="14"/>
    <x v="4"/>
    <x v="1"/>
    <s v="Standard"/>
    <s v="18-04-2025"/>
    <n v="2"/>
    <n v="6615.9"/>
    <n v="0"/>
    <n v="1"/>
    <n v="1"/>
    <n v="1"/>
    <n v="1"/>
    <n v="12"/>
    <s v="16_2022"/>
    <n v="0"/>
    <n v="2"/>
    <n v="1"/>
    <n v="0"/>
    <n v="1"/>
    <n v="80"/>
    <x v="1"/>
  </r>
  <r>
    <x v="15"/>
    <x v="1"/>
    <n v="521"/>
    <n v="29"/>
    <n v="22"/>
    <n v="875.03"/>
    <n v="4.2226E-2"/>
    <n v="13"/>
    <n v="13"/>
    <n v="5"/>
    <n v="6"/>
    <n v="1"/>
    <n v="3"/>
    <n v="4"/>
    <n v="3"/>
    <s v="Suspended"/>
    <x v="15"/>
    <x v="3"/>
    <x v="3"/>
    <s v="Premium"/>
    <s v="14-06-2023"/>
    <n v="3"/>
    <n v="8275.7900000000009"/>
    <n v="2"/>
    <n v="3"/>
    <n v="0"/>
    <n v="2"/>
    <n v="1"/>
    <n v="28"/>
    <s v="17_2022"/>
    <n v="0"/>
    <n v="2"/>
    <n v="2"/>
    <n v="2"/>
    <n v="2"/>
    <n v="150"/>
    <x v="0"/>
  </r>
  <r>
    <x v="16"/>
    <x v="1"/>
    <n v="773"/>
    <n v="30"/>
    <n v="29"/>
    <n v="2508.1799999999998"/>
    <n v="3.7516000000000001E-2"/>
    <n v="13"/>
    <n v="23"/>
    <n v="7"/>
    <n v="3"/>
    <n v="0"/>
    <n v="1"/>
    <n v="2"/>
    <n v="1"/>
    <s v="Review Required"/>
    <x v="16"/>
    <x v="2"/>
    <x v="3"/>
    <s v="Premium"/>
    <s v="18-04-2020"/>
    <n v="1"/>
    <n v="1737.1"/>
    <n v="0"/>
    <n v="0"/>
    <n v="1"/>
    <n v="1"/>
    <n v="1"/>
    <n v="9"/>
    <s v="18_2022"/>
    <n v="0"/>
    <n v="2"/>
    <n v="1"/>
    <n v="0"/>
    <n v="1"/>
    <n v="80"/>
    <x v="1"/>
  </r>
  <r>
    <x v="17"/>
    <x v="1"/>
    <n v="1829"/>
    <n v="192"/>
    <n v="152"/>
    <n v="14783.24"/>
    <n v="8.3105999999999999E-2"/>
    <n v="35"/>
    <n v="65"/>
    <n v="30"/>
    <n v="12"/>
    <n v="1"/>
    <n v="3"/>
    <n v="7"/>
    <n v="12"/>
    <s v="Suspended"/>
    <x v="17"/>
    <x v="4"/>
    <x v="3"/>
    <s v="Standard"/>
    <s v="25-02-2018"/>
    <n v="4"/>
    <n v="10978.970000000001"/>
    <n v="2"/>
    <n v="2"/>
    <n v="2"/>
    <n v="2"/>
    <n v="0"/>
    <n v="36"/>
    <s v="19_2022"/>
    <n v="1"/>
    <n v="2"/>
    <n v="2"/>
    <n v="2"/>
    <n v="2"/>
    <n v="175"/>
    <x v="0"/>
  </r>
  <r>
    <x v="18"/>
    <x v="1"/>
    <n v="1148"/>
    <n v="63"/>
    <n v="53"/>
    <n v="3965.9"/>
    <n v="4.6167E-2"/>
    <n v="10"/>
    <n v="24"/>
    <n v="10"/>
    <n v="3"/>
    <n v="0"/>
    <n v="1"/>
    <n v="1"/>
    <n v="4"/>
    <s v="Review Required"/>
    <x v="18"/>
    <x v="1"/>
    <x v="3"/>
    <s v="Verified"/>
    <s v="10-08-2021"/>
    <n v="3"/>
    <n v="977.85"/>
    <n v="0"/>
    <n v="2"/>
    <n v="1"/>
    <n v="0"/>
    <n v="2"/>
    <n v="18"/>
    <s v="20_2022"/>
    <n v="0"/>
    <n v="2"/>
    <n v="1"/>
    <n v="0"/>
    <n v="1"/>
    <n v="80"/>
    <x v="1"/>
  </r>
  <r>
    <x v="19"/>
    <x v="1"/>
    <n v="1390"/>
    <n v="81"/>
    <n v="76"/>
    <n v="7396.43"/>
    <n v="5.4676000000000002E-2"/>
    <n v="29"/>
    <n v="39"/>
    <n v="15"/>
    <n v="13"/>
    <n v="0"/>
    <n v="3"/>
    <n v="4"/>
    <n v="4"/>
    <s v="Review Required"/>
    <x v="19"/>
    <x v="2"/>
    <x v="1"/>
    <s v="Verified"/>
    <s v="11-12-2018"/>
    <n v="2"/>
    <n v="1866.37"/>
    <n v="0"/>
    <n v="2"/>
    <n v="0"/>
    <n v="0"/>
    <n v="1"/>
    <n v="7"/>
    <s v="21_2022"/>
    <n v="1"/>
    <n v="2"/>
    <n v="1"/>
    <n v="0"/>
    <n v="1"/>
    <n v="105"/>
    <x v="1"/>
  </r>
  <r>
    <x v="20"/>
    <x v="1"/>
    <n v="1266"/>
    <n v="120"/>
    <n v="98"/>
    <n v="7969.79"/>
    <n v="7.7409000000000006E-2"/>
    <n v="46"/>
    <n v="46"/>
    <n v="15"/>
    <n v="13"/>
    <n v="1"/>
    <n v="5"/>
    <n v="11"/>
    <n v="8"/>
    <s v="Suspended"/>
    <x v="20"/>
    <x v="0"/>
    <x v="1"/>
    <s v="Strategic"/>
    <s v="28-11-2018"/>
    <n v="6"/>
    <n v="12056.55"/>
    <n v="2"/>
    <n v="4"/>
    <n v="2"/>
    <n v="4"/>
    <n v="3"/>
    <n v="69"/>
    <s v="22_2022"/>
    <n v="1"/>
    <n v="2"/>
    <n v="2"/>
    <n v="2"/>
    <n v="2"/>
    <n v="175"/>
    <x v="0"/>
  </r>
  <r>
    <x v="21"/>
    <x v="1"/>
    <n v="940"/>
    <n v="77"/>
    <n v="61"/>
    <n v="3350.6"/>
    <n v="6.4893999999999993E-2"/>
    <n v="39"/>
    <n v="39"/>
    <n v="8"/>
    <n v="19"/>
    <n v="1"/>
    <n v="9"/>
    <n v="10"/>
    <n v="4"/>
    <s v="Suspended"/>
    <x v="21"/>
    <x v="1"/>
    <x v="0"/>
    <s v="Standard"/>
    <s v="07-05-2023"/>
    <n v="3"/>
    <n v="15405.61"/>
    <n v="1"/>
    <n v="0"/>
    <n v="3"/>
    <n v="3"/>
    <n v="0"/>
    <n v="28"/>
    <s v="23_2022"/>
    <n v="1"/>
    <n v="2"/>
    <n v="2"/>
    <n v="2"/>
    <n v="2"/>
    <n v="175"/>
    <x v="0"/>
  </r>
  <r>
    <x v="22"/>
    <x v="1"/>
    <n v="812"/>
    <n v="50"/>
    <n v="48"/>
    <n v="1424.19"/>
    <n v="5.9112999999999999E-2"/>
    <n v="23"/>
    <n v="24"/>
    <n v="11"/>
    <n v="8"/>
    <n v="0"/>
    <n v="3"/>
    <n v="4"/>
    <n v="1"/>
    <s v="Review Required"/>
    <x v="22"/>
    <x v="0"/>
    <x v="3"/>
    <s v="Verified"/>
    <s v="18-02-2018"/>
    <n v="1"/>
    <n v="87.34"/>
    <n v="0"/>
    <n v="0"/>
    <n v="1"/>
    <n v="0"/>
    <n v="1"/>
    <n v="5"/>
    <s v="24_2022"/>
    <n v="1"/>
    <n v="2"/>
    <n v="0"/>
    <n v="0"/>
    <n v="1"/>
    <n v="85"/>
    <x v="1"/>
  </r>
  <r>
    <x v="23"/>
    <x v="1"/>
    <n v="791"/>
    <n v="49"/>
    <n v="43"/>
    <n v="1609.34"/>
    <n v="5.4362000000000001E-2"/>
    <n v="20"/>
    <n v="20"/>
    <n v="10"/>
    <n v="8"/>
    <n v="0"/>
    <n v="1"/>
    <n v="3"/>
    <n v="3"/>
    <s v="Review Required"/>
    <x v="23"/>
    <x v="3"/>
    <x v="2"/>
    <s v="Strategic"/>
    <s v="26-10-2021"/>
    <n v="1"/>
    <n v="57.53"/>
    <n v="0"/>
    <n v="1"/>
    <n v="0"/>
    <n v="0"/>
    <n v="0"/>
    <n v="7"/>
    <s v="25_2022"/>
    <n v="1"/>
    <n v="2"/>
    <n v="0"/>
    <n v="0"/>
    <n v="1"/>
    <n v="85"/>
    <x v="1"/>
  </r>
  <r>
    <x v="24"/>
    <x v="1"/>
    <n v="957"/>
    <n v="94"/>
    <n v="75"/>
    <n v="4268.7"/>
    <n v="7.8369999999999995E-2"/>
    <n v="24"/>
    <n v="36"/>
    <n v="18"/>
    <n v="6"/>
    <n v="0"/>
    <n v="1"/>
    <n v="4"/>
    <n v="5"/>
    <s v="Restricted"/>
    <x v="24"/>
    <x v="3"/>
    <x v="4"/>
    <s v="Standard"/>
    <s v="18-12-2019"/>
    <n v="4"/>
    <n v="9599.869999999999"/>
    <n v="0"/>
    <n v="1"/>
    <n v="3"/>
    <n v="3"/>
    <n v="3"/>
    <n v="23"/>
    <s v="26_2022"/>
    <n v="1"/>
    <n v="2"/>
    <n v="2"/>
    <n v="0"/>
    <n v="1"/>
    <n v="125"/>
    <x v="0"/>
  </r>
  <r>
    <x v="25"/>
    <x v="1"/>
    <n v="940"/>
    <n v="52"/>
    <n v="43"/>
    <n v="3524.78"/>
    <n v="4.5745000000000001E-2"/>
    <n v="16"/>
    <n v="23"/>
    <n v="5"/>
    <n v="6"/>
    <n v="0"/>
    <n v="2"/>
    <n v="3"/>
    <n v="1"/>
    <s v="Review Required"/>
    <x v="25"/>
    <x v="4"/>
    <x v="2"/>
    <s v="Standard"/>
    <s v="21-02-2018"/>
    <n v="2"/>
    <n v="1856.04"/>
    <n v="0"/>
    <n v="1"/>
    <n v="1"/>
    <n v="0"/>
    <n v="0"/>
    <n v="18"/>
    <s v="27_2022"/>
    <n v="0"/>
    <n v="2"/>
    <n v="1"/>
    <n v="0"/>
    <n v="1"/>
    <n v="80"/>
    <x v="1"/>
  </r>
  <r>
    <x v="26"/>
    <x v="1"/>
    <n v="1948"/>
    <n v="109"/>
    <n v="87"/>
    <n v="7299.46"/>
    <n v="4.4660999999999999E-2"/>
    <n v="24"/>
    <n v="42"/>
    <n v="16"/>
    <n v="7"/>
    <n v="0"/>
    <n v="1"/>
    <n v="4"/>
    <n v="4"/>
    <s v="Review Required"/>
    <x v="26"/>
    <x v="1"/>
    <x v="0"/>
    <s v="Premium"/>
    <s v="03-02-2017"/>
    <n v="1"/>
    <n v="1421.02"/>
    <n v="0"/>
    <n v="0"/>
    <n v="1"/>
    <n v="1"/>
    <n v="0"/>
    <n v="7"/>
    <s v="28_2022"/>
    <n v="0"/>
    <n v="2"/>
    <n v="1"/>
    <n v="0"/>
    <n v="1"/>
    <n v="80"/>
    <x v="1"/>
  </r>
  <r>
    <x v="27"/>
    <x v="1"/>
    <n v="1303"/>
    <n v="103"/>
    <n v="91"/>
    <n v="6390.06"/>
    <n v="6.9838999999999998E-2"/>
    <n v="23"/>
    <n v="41"/>
    <n v="16"/>
    <n v="9"/>
    <n v="0"/>
    <n v="3"/>
    <n v="5"/>
    <n v="5"/>
    <s v="Restricted"/>
    <x v="27"/>
    <x v="1"/>
    <x v="1"/>
    <s v="Standard"/>
    <s v="26-06-2021"/>
    <n v="3"/>
    <n v="8288.77"/>
    <n v="0"/>
    <n v="1"/>
    <n v="2"/>
    <n v="2"/>
    <n v="1"/>
    <n v="18"/>
    <s v="29_2022"/>
    <n v="1"/>
    <n v="2"/>
    <n v="2"/>
    <n v="0"/>
    <n v="1"/>
    <n v="125"/>
    <x v="0"/>
  </r>
  <r>
    <x v="28"/>
    <x v="1"/>
    <n v="932"/>
    <n v="45"/>
    <n v="37"/>
    <n v="2056.92"/>
    <n v="3.9699999999999999E-2"/>
    <n v="12"/>
    <n v="24"/>
    <n v="8"/>
    <n v="12"/>
    <n v="1"/>
    <n v="6"/>
    <n v="4"/>
    <n v="3"/>
    <s v="Suspended"/>
    <x v="28"/>
    <x v="4"/>
    <x v="2"/>
    <s v="Premium"/>
    <s v="28-04-2019"/>
    <n v="1"/>
    <n v="1554.33"/>
    <n v="1"/>
    <n v="0"/>
    <n v="1"/>
    <n v="1"/>
    <n v="1"/>
    <n v="3"/>
    <s v="30_2022"/>
    <n v="0"/>
    <n v="2"/>
    <n v="1"/>
    <n v="2"/>
    <n v="2"/>
    <n v="130"/>
    <x v="0"/>
  </r>
  <r>
    <x v="29"/>
    <x v="1"/>
    <n v="801"/>
    <n v="73"/>
    <n v="53"/>
    <n v="2653.88"/>
    <n v="6.6167000000000004E-2"/>
    <n v="16"/>
    <n v="29"/>
    <n v="12"/>
    <n v="6"/>
    <n v="1"/>
    <n v="6"/>
    <n v="5"/>
    <n v="4"/>
    <s v="Suspended"/>
    <x v="29"/>
    <x v="1"/>
    <x v="1"/>
    <s v="Verified"/>
    <s v="04-12-2020"/>
    <n v="6"/>
    <n v="14831.89"/>
    <n v="5"/>
    <n v="1"/>
    <n v="5"/>
    <n v="5"/>
    <n v="4"/>
    <n v="41"/>
    <s v="31_2022"/>
    <n v="1"/>
    <n v="2"/>
    <n v="2"/>
    <n v="2"/>
    <n v="2"/>
    <n v="175"/>
    <x v="0"/>
  </r>
  <r>
    <x v="30"/>
    <x v="1"/>
    <n v="772"/>
    <n v="70"/>
    <n v="52"/>
    <n v="3471.22"/>
    <n v="6.7358000000000001E-2"/>
    <n v="28"/>
    <n v="28"/>
    <n v="11"/>
    <n v="12"/>
    <n v="0"/>
    <n v="4"/>
    <n v="8"/>
    <n v="1"/>
    <s v="Restricted"/>
    <x v="30"/>
    <x v="3"/>
    <x v="1"/>
    <s v="Verified"/>
    <s v="11-07-2020"/>
    <n v="4"/>
    <n v="6597.32"/>
    <n v="0"/>
    <n v="3"/>
    <n v="1"/>
    <n v="2"/>
    <n v="1"/>
    <n v="33"/>
    <s v="32_2022"/>
    <n v="1"/>
    <n v="2"/>
    <n v="2"/>
    <n v="0"/>
    <n v="1"/>
    <n v="125"/>
    <x v="0"/>
  </r>
  <r>
    <x v="31"/>
    <x v="1"/>
    <n v="773"/>
    <n v="44"/>
    <n v="32"/>
    <n v="2226.79"/>
    <n v="4.1397000000000003E-2"/>
    <n v="19"/>
    <n v="22"/>
    <n v="4"/>
    <n v="8"/>
    <n v="0"/>
    <n v="2"/>
    <n v="4"/>
    <n v="3"/>
    <s v="Review Required"/>
    <x v="31"/>
    <x v="4"/>
    <x v="4"/>
    <s v="Standard"/>
    <s v="06-05-2019"/>
    <n v="1"/>
    <n v="836.09"/>
    <n v="0"/>
    <n v="1"/>
    <n v="0"/>
    <n v="0"/>
    <n v="0"/>
    <n v="7"/>
    <s v="33_2022"/>
    <n v="0"/>
    <n v="2"/>
    <n v="0"/>
    <n v="0"/>
    <n v="1"/>
    <n v="60"/>
    <x v="1"/>
  </r>
  <r>
    <x v="32"/>
    <x v="1"/>
    <n v="1552"/>
    <n v="141"/>
    <n v="115"/>
    <n v="10346.56"/>
    <n v="7.4097999999999997E-2"/>
    <n v="27"/>
    <n v="49"/>
    <n v="14"/>
    <n v="11"/>
    <n v="0"/>
    <n v="3"/>
    <n v="5"/>
    <n v="8"/>
    <s v="Review Required"/>
    <x v="32"/>
    <x v="1"/>
    <x v="0"/>
    <s v="Verified"/>
    <s v="19-07-2019"/>
    <n v="3"/>
    <n v="3650.0199999999995"/>
    <n v="0"/>
    <n v="3"/>
    <n v="0"/>
    <n v="1"/>
    <n v="1"/>
    <n v="44"/>
    <s v="34_2022"/>
    <n v="1"/>
    <n v="2"/>
    <n v="1"/>
    <n v="0"/>
    <n v="1"/>
    <n v="105"/>
    <x v="1"/>
  </r>
  <r>
    <x v="34"/>
    <x v="1"/>
    <n v="1855"/>
    <n v="132"/>
    <n v="121"/>
    <n v="6203.15"/>
    <n v="6.5228999999999995E-2"/>
    <n v="27"/>
    <n v="41"/>
    <n v="22"/>
    <n v="11"/>
    <n v="0"/>
    <n v="4"/>
    <n v="6"/>
    <n v="5"/>
    <s v="Review Required"/>
    <x v="34"/>
    <x v="2"/>
    <x v="2"/>
    <s v="Strategic"/>
    <s v="14-04-2020"/>
    <n v="3"/>
    <n v="2937.75"/>
    <n v="0"/>
    <n v="3"/>
    <n v="0"/>
    <n v="1"/>
    <n v="0"/>
    <n v="18"/>
    <s v="36_2022"/>
    <n v="1"/>
    <n v="2"/>
    <n v="1"/>
    <n v="0"/>
    <n v="1"/>
    <n v="105"/>
    <x v="1"/>
  </r>
  <r>
    <x v="35"/>
    <x v="1"/>
    <n v="816"/>
    <n v="37"/>
    <n v="32"/>
    <n v="2916.82"/>
    <n v="3.9216000000000001E-2"/>
    <n v="11"/>
    <n v="23"/>
    <n v="7"/>
    <n v="4"/>
    <n v="0"/>
    <n v="0"/>
    <n v="2"/>
    <n v="1"/>
    <s v="Review Required"/>
    <x v="35"/>
    <x v="0"/>
    <x v="4"/>
    <s v="Standard"/>
    <s v="26-07-2021"/>
    <n v="1"/>
    <n v="932.66"/>
    <n v="0"/>
    <n v="1"/>
    <n v="0"/>
    <n v="0"/>
    <n v="1"/>
    <n v="7"/>
    <s v="37_2022"/>
    <n v="0"/>
    <n v="2"/>
    <n v="0"/>
    <n v="0"/>
    <n v="1"/>
    <n v="60"/>
    <x v="1"/>
  </r>
  <r>
    <x v="36"/>
    <x v="1"/>
    <n v="960"/>
    <n v="79"/>
    <n v="69"/>
    <n v="4705.13"/>
    <n v="7.1874999999999994E-2"/>
    <n v="14"/>
    <n v="30"/>
    <n v="15"/>
    <n v="6"/>
    <n v="1"/>
    <n v="5"/>
    <n v="3"/>
    <n v="2"/>
    <s v="Suspended"/>
    <x v="36"/>
    <x v="3"/>
    <x v="3"/>
    <s v="Verified"/>
    <s v="27-02-2022"/>
    <n v="5"/>
    <n v="13210.15"/>
    <n v="4"/>
    <n v="1"/>
    <n v="4"/>
    <n v="4"/>
    <n v="2"/>
    <n v="31"/>
    <s v="38_2022"/>
    <n v="1"/>
    <n v="2"/>
    <n v="2"/>
    <n v="2"/>
    <n v="2"/>
    <n v="175"/>
    <x v="0"/>
  </r>
  <r>
    <x v="37"/>
    <x v="1"/>
    <n v="402"/>
    <n v="30"/>
    <n v="23"/>
    <n v="1916.21"/>
    <n v="5.7214000000000001E-2"/>
    <n v="9"/>
    <n v="11"/>
    <n v="7"/>
    <n v="6"/>
    <n v="1"/>
    <n v="6"/>
    <n v="3"/>
    <n v="2"/>
    <s v="Suspended"/>
    <x v="37"/>
    <x v="1"/>
    <x v="0"/>
    <s v="Premium"/>
    <s v="21-07-2025"/>
    <n v="6"/>
    <n v="17018.22"/>
    <n v="4"/>
    <n v="1"/>
    <n v="5"/>
    <n v="5"/>
    <n v="4"/>
    <n v="50"/>
    <s v="39_2022"/>
    <n v="1"/>
    <n v="2"/>
    <n v="2"/>
    <n v="2"/>
    <n v="2"/>
    <n v="175"/>
    <x v="0"/>
  </r>
  <r>
    <x v="38"/>
    <x v="1"/>
    <n v="1342"/>
    <n v="133"/>
    <n v="123"/>
    <n v="9593.8799999999992"/>
    <n v="9.1653999999999999E-2"/>
    <n v="23"/>
    <n v="44"/>
    <n v="17"/>
    <n v="9"/>
    <n v="1"/>
    <n v="4"/>
    <n v="6"/>
    <n v="8"/>
    <s v="Suspended"/>
    <x v="38"/>
    <x v="0"/>
    <x v="2"/>
    <s v="Standard"/>
    <s v="17-12-2020"/>
    <n v="5"/>
    <n v="7393.6900000000005"/>
    <n v="3"/>
    <n v="3"/>
    <n v="2"/>
    <n v="2"/>
    <n v="2"/>
    <n v="45"/>
    <s v="40_2022"/>
    <n v="1"/>
    <n v="2"/>
    <n v="2"/>
    <n v="2"/>
    <n v="2"/>
    <n v="175"/>
    <x v="0"/>
  </r>
  <r>
    <x v="39"/>
    <x v="1"/>
    <n v="1432"/>
    <n v="118"/>
    <n v="109"/>
    <n v="6570.59"/>
    <n v="7.6117000000000004E-2"/>
    <n v="22"/>
    <n v="45"/>
    <n v="19"/>
    <n v="8"/>
    <n v="1"/>
    <n v="6"/>
    <n v="5"/>
    <n v="7"/>
    <s v="Suspended"/>
    <x v="39"/>
    <x v="4"/>
    <x v="0"/>
    <s v="Standard"/>
    <s v="20-08-2023"/>
    <n v="5"/>
    <n v="11897.82"/>
    <n v="4"/>
    <n v="3"/>
    <n v="2"/>
    <n v="3"/>
    <n v="2"/>
    <n v="35"/>
    <s v="41_2022"/>
    <n v="1"/>
    <n v="2"/>
    <n v="2"/>
    <n v="2"/>
    <n v="2"/>
    <n v="175"/>
    <x v="0"/>
  </r>
  <r>
    <x v="40"/>
    <x v="1"/>
    <n v="1359"/>
    <n v="81"/>
    <n v="59"/>
    <n v="5107.78"/>
    <n v="4.3414000000000001E-2"/>
    <n v="8"/>
    <n v="29"/>
    <n v="7"/>
    <n v="7"/>
    <n v="0"/>
    <n v="2"/>
    <n v="2"/>
    <n v="3"/>
    <s v="Review Required"/>
    <x v="40"/>
    <x v="1"/>
    <x v="2"/>
    <s v="Strategic"/>
    <s v="09-11-2020"/>
    <n v="1"/>
    <n v="1999.92"/>
    <n v="0"/>
    <n v="1"/>
    <n v="0"/>
    <n v="1"/>
    <n v="0"/>
    <n v="2"/>
    <s v="42_2022"/>
    <n v="0"/>
    <n v="2"/>
    <n v="1"/>
    <n v="0"/>
    <n v="1"/>
    <n v="80"/>
    <x v="1"/>
  </r>
  <r>
    <x v="41"/>
    <x v="1"/>
    <n v="651"/>
    <n v="29"/>
    <n v="23"/>
    <n v="608.04999999999995"/>
    <n v="3.533E-2"/>
    <n v="16"/>
    <n v="16"/>
    <n v="3"/>
    <n v="4"/>
    <n v="0"/>
    <n v="1"/>
    <n v="3"/>
    <n v="1"/>
    <s v="Review Required"/>
    <x v="41"/>
    <x v="2"/>
    <x v="4"/>
    <s v="Verified"/>
    <s v="05-03-2018"/>
    <n v="2"/>
    <n v="1055.01"/>
    <n v="0"/>
    <n v="1"/>
    <n v="1"/>
    <n v="0"/>
    <n v="1"/>
    <n v="12"/>
    <s v="43_2022"/>
    <n v="0"/>
    <n v="2"/>
    <n v="1"/>
    <n v="0"/>
    <n v="1"/>
    <n v="80"/>
    <x v="1"/>
  </r>
  <r>
    <x v="42"/>
    <x v="1"/>
    <n v="1563"/>
    <n v="163"/>
    <n v="134"/>
    <n v="12990.59"/>
    <n v="8.5733000000000004E-2"/>
    <n v="34"/>
    <n v="52"/>
    <n v="17"/>
    <n v="17"/>
    <n v="0"/>
    <n v="3"/>
    <n v="7"/>
    <n v="11"/>
    <s v="Restricted"/>
    <x v="42"/>
    <x v="1"/>
    <x v="3"/>
    <s v="Standard"/>
    <s v="25-07-2023"/>
    <n v="4"/>
    <n v="9497.380000000001"/>
    <n v="0"/>
    <n v="2"/>
    <n v="2"/>
    <n v="2"/>
    <n v="3"/>
    <n v="42"/>
    <s v="44_2022"/>
    <n v="1"/>
    <n v="2"/>
    <n v="2"/>
    <n v="0"/>
    <n v="1"/>
    <n v="125"/>
    <x v="0"/>
  </r>
  <r>
    <x v="43"/>
    <x v="1"/>
    <n v="1254"/>
    <n v="76"/>
    <n v="64"/>
    <n v="5874.37"/>
    <n v="5.1036999999999999E-2"/>
    <n v="21"/>
    <n v="29"/>
    <n v="12"/>
    <n v="14"/>
    <n v="0"/>
    <n v="2"/>
    <n v="5"/>
    <n v="4"/>
    <s v="Review Required"/>
    <x v="43"/>
    <x v="2"/>
    <x v="4"/>
    <s v="Premium"/>
    <s v="24-09-2023"/>
    <n v="1"/>
    <n v="70.180000000000007"/>
    <n v="0"/>
    <n v="0"/>
    <n v="1"/>
    <n v="0"/>
    <n v="0"/>
    <n v="4"/>
    <s v="45_2022"/>
    <n v="1"/>
    <n v="2"/>
    <n v="0"/>
    <n v="0"/>
    <n v="1"/>
    <n v="85"/>
    <x v="1"/>
  </r>
  <r>
    <x v="44"/>
    <x v="1"/>
    <n v="1091"/>
    <n v="84"/>
    <n v="65"/>
    <n v="5083.1899999999996"/>
    <n v="5.9577999999999999E-2"/>
    <n v="17"/>
    <n v="33"/>
    <n v="9"/>
    <n v="8"/>
    <n v="1"/>
    <n v="4"/>
    <n v="6"/>
    <n v="5"/>
    <s v="Suspended"/>
    <x v="44"/>
    <x v="1"/>
    <x v="4"/>
    <s v="Verified"/>
    <s v="05-08-2020"/>
    <n v="3"/>
    <n v="8740.130000000001"/>
    <n v="2"/>
    <n v="1"/>
    <n v="2"/>
    <n v="3"/>
    <n v="0"/>
    <n v="34"/>
    <s v="46_2022"/>
    <n v="1"/>
    <n v="2"/>
    <n v="2"/>
    <n v="2"/>
    <n v="2"/>
    <n v="175"/>
    <x v="0"/>
  </r>
  <r>
    <x v="45"/>
    <x v="1"/>
    <n v="1088"/>
    <n v="56"/>
    <n v="41"/>
    <n v="3599.93"/>
    <n v="3.7684000000000002E-2"/>
    <n v="10"/>
    <n v="24"/>
    <n v="7"/>
    <n v="8"/>
    <n v="0"/>
    <n v="3"/>
    <n v="5"/>
    <n v="2"/>
    <s v="Review Required"/>
    <x v="45"/>
    <x v="1"/>
    <x v="1"/>
    <s v="Verified"/>
    <s v="09-01-2020"/>
    <n v="1"/>
    <n v="527.22"/>
    <n v="0"/>
    <n v="1"/>
    <n v="0"/>
    <n v="0"/>
    <n v="0"/>
    <n v="7"/>
    <s v="47_2022"/>
    <n v="0"/>
    <n v="2"/>
    <n v="0"/>
    <n v="0"/>
    <n v="1"/>
    <n v="60"/>
    <x v="1"/>
  </r>
  <r>
    <x v="46"/>
    <x v="1"/>
    <n v="468"/>
    <n v="30"/>
    <n v="28"/>
    <n v="1313.88"/>
    <n v="5.9829E-2"/>
    <n v="11"/>
    <n v="15"/>
    <n v="5"/>
    <n v="5"/>
    <n v="1"/>
    <n v="5"/>
    <n v="3"/>
    <n v="2"/>
    <s v="Suspended"/>
    <x v="46"/>
    <x v="1"/>
    <x v="4"/>
    <s v="Premium"/>
    <s v="24-01-2025"/>
    <n v="5"/>
    <n v="9810"/>
    <n v="3"/>
    <n v="2"/>
    <n v="3"/>
    <n v="4"/>
    <n v="2"/>
    <n v="43"/>
    <s v="48_2022"/>
    <n v="1"/>
    <n v="2"/>
    <n v="2"/>
    <n v="2"/>
    <n v="2"/>
    <n v="175"/>
    <x v="0"/>
  </r>
  <r>
    <x v="47"/>
    <x v="1"/>
    <n v="1105"/>
    <n v="80"/>
    <n v="69"/>
    <n v="6181.46"/>
    <n v="6.2442999999999999E-2"/>
    <n v="11"/>
    <n v="27"/>
    <n v="8"/>
    <n v="4"/>
    <n v="1"/>
    <n v="4"/>
    <n v="4"/>
    <n v="5"/>
    <s v="Suspended"/>
    <x v="47"/>
    <x v="0"/>
    <x v="1"/>
    <s v="Verified"/>
    <s v="05-10-2018"/>
    <n v="4"/>
    <n v="15416.3"/>
    <n v="3"/>
    <n v="1"/>
    <n v="3"/>
    <n v="3"/>
    <n v="2"/>
    <n v="39"/>
    <s v="49_2022"/>
    <n v="1"/>
    <n v="2"/>
    <n v="2"/>
    <n v="2"/>
    <n v="2"/>
    <n v="175"/>
    <x v="0"/>
  </r>
  <r>
    <x v="48"/>
    <x v="1"/>
    <n v="1267"/>
    <n v="124"/>
    <n v="112"/>
    <n v="5768.55"/>
    <n v="8.8398000000000004E-2"/>
    <n v="40"/>
    <n v="45"/>
    <n v="26"/>
    <n v="17"/>
    <n v="1"/>
    <n v="7"/>
    <n v="10"/>
    <n v="10"/>
    <s v="Suspended"/>
    <x v="48"/>
    <x v="2"/>
    <x v="1"/>
    <s v="Strategic"/>
    <s v="10-03-2019"/>
    <n v="4"/>
    <n v="7293.5599999999995"/>
    <n v="2"/>
    <n v="1"/>
    <n v="3"/>
    <n v="3"/>
    <n v="3"/>
    <n v="54"/>
    <s v="50_2022"/>
    <n v="1"/>
    <n v="2"/>
    <n v="2"/>
    <n v="2"/>
    <n v="2"/>
    <n v="175"/>
    <x v="0"/>
  </r>
  <r>
    <x v="49"/>
    <x v="1"/>
    <n v="1244"/>
    <n v="99"/>
    <n v="72"/>
    <n v="5206.47"/>
    <n v="5.7877999999999999E-2"/>
    <n v="15"/>
    <n v="36"/>
    <n v="10"/>
    <n v="8"/>
    <n v="1"/>
    <n v="5"/>
    <n v="6"/>
    <n v="6"/>
    <s v="Suspended"/>
    <x v="49"/>
    <x v="3"/>
    <x v="3"/>
    <s v="Premium"/>
    <s v="23-02-2020"/>
    <n v="6"/>
    <n v="18818.989999999998"/>
    <n v="5"/>
    <n v="3"/>
    <n v="3"/>
    <n v="4"/>
    <n v="2"/>
    <n v="55"/>
    <s v="51_2022"/>
    <n v="1"/>
    <n v="2"/>
    <n v="2"/>
    <n v="2"/>
    <n v="2"/>
    <n v="175"/>
    <x v="0"/>
  </r>
  <r>
    <x v="50"/>
    <x v="1"/>
    <n v="769"/>
    <n v="47"/>
    <n v="37"/>
    <n v="2225.4499999999998"/>
    <n v="4.8113999999999997E-2"/>
    <n v="20"/>
    <n v="21"/>
    <n v="8"/>
    <n v="10"/>
    <n v="0"/>
    <n v="2"/>
    <n v="4"/>
    <n v="2"/>
    <s v="Review Required"/>
    <x v="50"/>
    <x v="2"/>
    <x v="0"/>
    <s v="Standard"/>
    <s v="17-02-2023"/>
    <n v="1"/>
    <n v="1904.08"/>
    <n v="0"/>
    <n v="0"/>
    <n v="1"/>
    <n v="1"/>
    <n v="1"/>
    <n v="6"/>
    <s v="52_2022"/>
    <n v="0"/>
    <n v="2"/>
    <n v="1"/>
    <n v="0"/>
    <n v="1"/>
    <n v="80"/>
    <x v="1"/>
  </r>
  <r>
    <x v="51"/>
    <x v="1"/>
    <n v="508"/>
    <n v="44"/>
    <n v="38"/>
    <n v="2187.16"/>
    <n v="7.4802999999999994E-2"/>
    <n v="8"/>
    <n v="18"/>
    <n v="10"/>
    <n v="3"/>
    <n v="1"/>
    <n v="3"/>
    <n v="4"/>
    <n v="2"/>
    <s v="Suspended"/>
    <x v="51"/>
    <x v="1"/>
    <x v="1"/>
    <s v="Premium"/>
    <s v="17-12-2019"/>
    <n v="3"/>
    <n v="16330.24"/>
    <n v="2"/>
    <n v="1"/>
    <n v="2"/>
    <n v="3"/>
    <n v="2"/>
    <n v="34"/>
    <s v="53_2022"/>
    <n v="1"/>
    <n v="2"/>
    <n v="2"/>
    <n v="2"/>
    <n v="2"/>
    <n v="175"/>
    <x v="0"/>
  </r>
  <r>
    <x v="52"/>
    <x v="1"/>
    <n v="1573"/>
    <n v="105"/>
    <n v="76"/>
    <n v="3077.75"/>
    <n v="4.8314999999999997E-2"/>
    <n v="45"/>
    <n v="45"/>
    <n v="17"/>
    <n v="23"/>
    <n v="1"/>
    <n v="7"/>
    <n v="9"/>
    <n v="6"/>
    <s v="Suspended"/>
    <x v="52"/>
    <x v="4"/>
    <x v="4"/>
    <s v="Verified"/>
    <s v="09-02-2021"/>
    <n v="1"/>
    <n v="1470.96"/>
    <n v="1"/>
    <n v="1"/>
    <n v="0"/>
    <n v="0"/>
    <n v="0"/>
    <n v="11"/>
    <s v="54_2022"/>
    <n v="0"/>
    <n v="2"/>
    <n v="0"/>
    <n v="2"/>
    <n v="2"/>
    <n v="110"/>
    <x v="1"/>
  </r>
  <r>
    <x v="53"/>
    <x v="1"/>
    <n v="275"/>
    <n v="14"/>
    <n v="13"/>
    <n v="996.21"/>
    <n v="4.7273000000000003E-2"/>
    <n v="8"/>
    <n v="8"/>
    <n v="3"/>
    <n v="4"/>
    <n v="0"/>
    <n v="1"/>
    <n v="1"/>
    <n v="1"/>
    <s v="Review Required"/>
    <x v="53"/>
    <x v="2"/>
    <x v="1"/>
    <s v="Verified"/>
    <s v="26-06-2021"/>
    <n v="3"/>
    <n v="2326.02"/>
    <n v="0"/>
    <n v="3"/>
    <n v="0"/>
    <n v="0"/>
    <n v="0"/>
    <n v="21"/>
    <s v="55_2022"/>
    <n v="0"/>
    <n v="2"/>
    <n v="1"/>
    <n v="0"/>
    <n v="1"/>
    <n v="80"/>
    <x v="1"/>
  </r>
  <r>
    <x v="54"/>
    <x v="1"/>
    <n v="1088"/>
    <n v="47"/>
    <n v="39"/>
    <n v="1090.32"/>
    <n v="3.5846000000000003E-2"/>
    <n v="7"/>
    <n v="21"/>
    <n v="8"/>
    <n v="5"/>
    <n v="0"/>
    <n v="2"/>
    <n v="2"/>
    <n v="2"/>
    <s v="Restricted"/>
    <x v="54"/>
    <x v="3"/>
    <x v="3"/>
    <s v="Strategic"/>
    <s v="18-08-2023"/>
    <n v="3"/>
    <n v="5110.08"/>
    <n v="0"/>
    <n v="2"/>
    <n v="1"/>
    <n v="2"/>
    <n v="0"/>
    <n v="19"/>
    <s v="56_2022"/>
    <n v="0"/>
    <n v="1"/>
    <n v="2"/>
    <n v="0"/>
    <n v="1"/>
    <n v="75"/>
    <x v="1"/>
  </r>
  <r>
    <x v="55"/>
    <x v="1"/>
    <n v="2062"/>
    <n v="162"/>
    <n v="131"/>
    <n v="6534.83"/>
    <n v="6.3531000000000004E-2"/>
    <n v="31"/>
    <n v="52"/>
    <n v="29"/>
    <n v="10"/>
    <n v="0"/>
    <n v="2"/>
    <n v="5"/>
    <n v="10"/>
    <s v="Review Required"/>
    <x v="55"/>
    <x v="3"/>
    <x v="2"/>
    <s v="Premium"/>
    <s v="19-11-2021"/>
    <n v="1"/>
    <n v="1161.17"/>
    <n v="0"/>
    <n v="1"/>
    <n v="0"/>
    <n v="0"/>
    <n v="0"/>
    <n v="13"/>
    <s v="57_2022"/>
    <n v="1"/>
    <n v="2"/>
    <n v="0"/>
    <n v="0"/>
    <n v="1"/>
    <n v="85"/>
    <x v="1"/>
  </r>
  <r>
    <x v="56"/>
    <x v="1"/>
    <n v="1061"/>
    <n v="52"/>
    <n v="43"/>
    <n v="2148.16"/>
    <n v="4.0528000000000002E-2"/>
    <n v="24"/>
    <n v="26"/>
    <n v="10"/>
    <n v="11"/>
    <n v="1"/>
    <n v="6"/>
    <n v="7"/>
    <n v="3"/>
    <s v="Suspended"/>
    <x v="56"/>
    <x v="1"/>
    <x v="4"/>
    <s v="Strategic"/>
    <s v="04-04-2021"/>
    <n v="1"/>
    <n v="3269.23"/>
    <n v="1"/>
    <n v="0"/>
    <n v="1"/>
    <n v="1"/>
    <n v="0"/>
    <n v="4"/>
    <s v="58_2022"/>
    <n v="0"/>
    <n v="2"/>
    <n v="1"/>
    <n v="2"/>
    <n v="2"/>
    <n v="130"/>
    <x v="0"/>
  </r>
  <r>
    <x v="57"/>
    <x v="1"/>
    <n v="1528"/>
    <n v="79"/>
    <n v="63"/>
    <n v="2379.42"/>
    <n v="4.1230000000000003E-2"/>
    <n v="15"/>
    <n v="30"/>
    <n v="8"/>
    <n v="6"/>
    <n v="0"/>
    <n v="2"/>
    <n v="3"/>
    <n v="5"/>
    <s v="Review Required"/>
    <x v="57"/>
    <x v="1"/>
    <x v="4"/>
    <s v="Strategic"/>
    <s v="27-02-2021"/>
    <n v="1"/>
    <n v="259.14999999999998"/>
    <n v="0"/>
    <n v="1"/>
    <n v="0"/>
    <n v="0"/>
    <n v="0"/>
    <n v="2"/>
    <s v="59_2022"/>
    <n v="0"/>
    <n v="2"/>
    <n v="0"/>
    <n v="0"/>
    <n v="1"/>
    <n v="60"/>
    <x v="1"/>
  </r>
  <r>
    <x v="58"/>
    <x v="1"/>
    <n v="588"/>
    <n v="31"/>
    <n v="25"/>
    <n v="1261.48"/>
    <n v="4.2516999999999999E-2"/>
    <n v="15"/>
    <n v="21"/>
    <n v="6"/>
    <n v="5"/>
    <n v="0"/>
    <n v="1"/>
    <n v="3"/>
    <n v="2"/>
    <s v="Review Required"/>
    <x v="58"/>
    <x v="0"/>
    <x v="0"/>
    <s v="Standard"/>
    <s v="28-11-2019"/>
    <n v="2"/>
    <n v="1179.9699999999998"/>
    <n v="0"/>
    <n v="2"/>
    <n v="0"/>
    <n v="0"/>
    <n v="0"/>
    <n v="20"/>
    <s v="60_2022"/>
    <n v="0"/>
    <n v="2"/>
    <n v="1"/>
    <n v="0"/>
    <n v="1"/>
    <n v="80"/>
    <x v="1"/>
  </r>
  <r>
    <x v="59"/>
    <x v="1"/>
    <n v="248"/>
    <n v="7"/>
    <n v="5"/>
    <n v="402.07"/>
    <n v="2.0160999999999998E-2"/>
    <n v="3"/>
    <n v="12"/>
    <n v="1"/>
    <n v="2"/>
    <n v="0"/>
    <n v="0"/>
    <n v="0"/>
    <n v="0"/>
    <s v="Watchlist"/>
    <x v="59"/>
    <x v="0"/>
    <x v="4"/>
    <s v="Verified"/>
    <s v="13-02-2018"/>
    <n v="2"/>
    <n v="1004.01"/>
    <n v="0"/>
    <n v="2"/>
    <n v="0"/>
    <n v="0"/>
    <n v="0"/>
    <n v="8"/>
    <s v="61_2022"/>
    <n v="0"/>
    <n v="0"/>
    <n v="1"/>
    <n v="0"/>
    <n v="1"/>
    <n v="30"/>
    <x v="2"/>
  </r>
  <r>
    <x v="60"/>
    <x v="1"/>
    <n v="410"/>
    <n v="35"/>
    <n v="25"/>
    <n v="1324.53"/>
    <n v="6.0976000000000002E-2"/>
    <n v="13"/>
    <n v="13"/>
    <n v="7"/>
    <n v="7"/>
    <n v="0"/>
    <n v="1"/>
    <n v="4"/>
    <n v="1"/>
    <s v="Restricted"/>
    <x v="60"/>
    <x v="0"/>
    <x v="1"/>
    <s v="Standard"/>
    <s v="20-10-2024"/>
    <n v="5"/>
    <n v="8260.14"/>
    <n v="0"/>
    <n v="4"/>
    <n v="1"/>
    <n v="2"/>
    <n v="2"/>
    <n v="28"/>
    <s v="62_2022"/>
    <n v="1"/>
    <n v="2"/>
    <n v="2"/>
    <n v="0"/>
    <n v="1"/>
    <n v="125"/>
    <x v="0"/>
  </r>
  <r>
    <x v="61"/>
    <x v="1"/>
    <n v="475"/>
    <n v="22"/>
    <n v="16"/>
    <n v="1287.06"/>
    <n v="3.3683999999999999E-2"/>
    <n v="21"/>
    <n v="21"/>
    <n v="4"/>
    <n v="5"/>
    <n v="1"/>
    <n v="3"/>
    <n v="4"/>
    <n v="1"/>
    <s v="Suspended"/>
    <x v="61"/>
    <x v="1"/>
    <x v="4"/>
    <s v="Standard"/>
    <s v="24-10-2018"/>
    <n v="2"/>
    <n v="9532.2999999999993"/>
    <n v="2"/>
    <n v="1"/>
    <n v="1"/>
    <n v="2"/>
    <n v="2"/>
    <n v="22"/>
    <s v="63_2022"/>
    <n v="0"/>
    <n v="2"/>
    <n v="2"/>
    <n v="2"/>
    <n v="2"/>
    <n v="150"/>
    <x v="0"/>
  </r>
  <r>
    <x v="62"/>
    <x v="1"/>
    <n v="808"/>
    <n v="45"/>
    <n v="33"/>
    <n v="2594.04"/>
    <n v="4.0842000000000003E-2"/>
    <n v="11"/>
    <n v="19"/>
    <n v="7"/>
    <n v="5"/>
    <n v="0"/>
    <n v="1"/>
    <n v="3"/>
    <n v="2"/>
    <s v="Review Required"/>
    <x v="62"/>
    <x v="4"/>
    <x v="3"/>
    <s v="Verified"/>
    <s v="15-07-2017"/>
    <n v="2"/>
    <n v="913.83999999999992"/>
    <n v="0"/>
    <n v="1"/>
    <n v="1"/>
    <n v="0"/>
    <n v="1"/>
    <n v="21"/>
    <s v="64_2022"/>
    <n v="0"/>
    <n v="2"/>
    <n v="1"/>
    <n v="0"/>
    <n v="1"/>
    <n v="80"/>
    <x v="1"/>
  </r>
  <r>
    <x v="63"/>
    <x v="1"/>
    <n v="316"/>
    <n v="27"/>
    <n v="24"/>
    <n v="1172.9100000000001"/>
    <n v="7.5949000000000003E-2"/>
    <n v="14"/>
    <n v="17"/>
    <n v="6"/>
    <n v="6"/>
    <n v="0"/>
    <n v="1"/>
    <n v="3"/>
    <n v="1"/>
    <s v="Suspended"/>
    <x v="63"/>
    <x v="0"/>
    <x v="1"/>
    <s v="Verified"/>
    <s v="04-07-2021"/>
    <n v="6"/>
    <n v="14920.070000000002"/>
    <n v="0"/>
    <n v="5"/>
    <n v="1"/>
    <n v="2"/>
    <n v="0"/>
    <n v="70"/>
    <s v="65_2022"/>
    <n v="1"/>
    <n v="2"/>
    <n v="2"/>
    <n v="0"/>
    <n v="2"/>
    <n v="135"/>
    <x v="0"/>
  </r>
  <r>
    <x v="98"/>
    <x v="1"/>
    <n v="1529"/>
    <n v="101"/>
    <n v="93"/>
    <n v="7685.2"/>
    <n v="6.0824000000000003E-2"/>
    <n v="29"/>
    <n v="34"/>
    <n v="15"/>
    <n v="14"/>
    <n v="0"/>
    <n v="4"/>
    <n v="6"/>
    <n v="3"/>
    <s v="Review Required"/>
    <x v="98"/>
    <x v="4"/>
    <x v="3"/>
    <s v="Verified"/>
    <s v="09-10-2022"/>
    <n v="1"/>
    <n v="321.66000000000003"/>
    <n v="0"/>
    <n v="1"/>
    <n v="0"/>
    <n v="0"/>
    <n v="0"/>
    <n v="9"/>
    <s v="67_2022"/>
    <n v="1"/>
    <n v="2"/>
    <n v="0"/>
    <n v="0"/>
    <n v="1"/>
    <n v="85"/>
    <x v="1"/>
  </r>
  <r>
    <x v="65"/>
    <x v="1"/>
    <n v="425"/>
    <n v="42"/>
    <n v="34"/>
    <n v="3950.64"/>
    <n v="0.08"/>
    <n v="15"/>
    <n v="19"/>
    <n v="7"/>
    <n v="6"/>
    <n v="1"/>
    <n v="5"/>
    <n v="3"/>
    <n v="1"/>
    <s v="Suspended"/>
    <x v="65"/>
    <x v="2"/>
    <x v="0"/>
    <s v="Premium"/>
    <s v="17-08-2020"/>
    <n v="5"/>
    <n v="10647.91"/>
    <n v="2"/>
    <n v="4"/>
    <n v="1"/>
    <n v="4"/>
    <n v="3"/>
    <n v="37"/>
    <s v="68_2022"/>
    <n v="1"/>
    <n v="2"/>
    <n v="2"/>
    <n v="2"/>
    <n v="2"/>
    <n v="175"/>
    <x v="0"/>
  </r>
  <r>
    <x v="66"/>
    <x v="1"/>
    <n v="885"/>
    <n v="55"/>
    <n v="44"/>
    <n v="3699.24"/>
    <n v="4.9717999999999998E-2"/>
    <n v="16"/>
    <n v="26"/>
    <n v="8"/>
    <n v="5"/>
    <n v="1"/>
    <n v="3"/>
    <n v="3"/>
    <n v="3"/>
    <s v="Suspended"/>
    <x v="66"/>
    <x v="0"/>
    <x v="2"/>
    <s v="Verified"/>
    <s v="11-06-2024"/>
    <n v="3"/>
    <n v="9082"/>
    <n v="2"/>
    <n v="1"/>
    <n v="2"/>
    <n v="2"/>
    <n v="0"/>
    <n v="20"/>
    <s v="69_2022"/>
    <n v="0"/>
    <n v="2"/>
    <n v="2"/>
    <n v="2"/>
    <n v="2"/>
    <n v="150"/>
    <x v="0"/>
  </r>
  <r>
    <x v="99"/>
    <x v="1"/>
    <n v="515"/>
    <n v="46"/>
    <n v="34"/>
    <n v="3051.92"/>
    <n v="6.6018999999999994E-2"/>
    <n v="25"/>
    <n v="25"/>
    <n v="6"/>
    <n v="8"/>
    <n v="1"/>
    <n v="4"/>
    <n v="4"/>
    <n v="3"/>
    <s v="Suspended"/>
    <x v="99"/>
    <x v="4"/>
    <x v="3"/>
    <s v="Premium"/>
    <s v="09-06-2019"/>
    <n v="4"/>
    <n v="17368.759999999998"/>
    <n v="2"/>
    <n v="2"/>
    <n v="2"/>
    <n v="3"/>
    <n v="2"/>
    <n v="28"/>
    <s v="70_2022"/>
    <n v="1"/>
    <n v="2"/>
    <n v="2"/>
    <n v="2"/>
    <n v="2"/>
    <n v="175"/>
    <x v="0"/>
  </r>
  <r>
    <x v="67"/>
    <x v="1"/>
    <n v="1023"/>
    <n v="96"/>
    <n v="83"/>
    <n v="7574.29"/>
    <n v="8.1133999999999998E-2"/>
    <n v="31"/>
    <n v="34"/>
    <n v="17"/>
    <n v="12"/>
    <n v="1"/>
    <n v="3"/>
    <n v="8"/>
    <n v="6"/>
    <s v="Suspended"/>
    <x v="67"/>
    <x v="4"/>
    <x v="2"/>
    <s v="Premium"/>
    <s v="17-04-2017"/>
    <n v="3"/>
    <n v="6735.92"/>
    <n v="1"/>
    <n v="2"/>
    <n v="1"/>
    <n v="2"/>
    <n v="1"/>
    <n v="21"/>
    <s v="71_2022"/>
    <n v="1"/>
    <n v="2"/>
    <n v="2"/>
    <n v="2"/>
    <n v="2"/>
    <n v="175"/>
    <x v="0"/>
  </r>
  <r>
    <x v="68"/>
    <x v="1"/>
    <n v="694"/>
    <n v="54"/>
    <n v="41"/>
    <n v="3658.48"/>
    <n v="5.9077999999999999E-2"/>
    <n v="13"/>
    <n v="24"/>
    <n v="9"/>
    <n v="6"/>
    <n v="1"/>
    <n v="4"/>
    <n v="3"/>
    <n v="5"/>
    <s v="Suspended"/>
    <x v="68"/>
    <x v="2"/>
    <x v="2"/>
    <s v="Premium"/>
    <s v="21-01-2018"/>
    <n v="4"/>
    <n v="5621.26"/>
    <n v="2"/>
    <n v="4"/>
    <n v="0"/>
    <n v="1"/>
    <n v="0"/>
    <n v="18"/>
    <s v="72_2022"/>
    <n v="1"/>
    <n v="2"/>
    <n v="1"/>
    <n v="2"/>
    <n v="2"/>
    <n v="155"/>
    <x v="0"/>
  </r>
  <r>
    <x v="70"/>
    <x v="1"/>
    <n v="731"/>
    <n v="53"/>
    <n v="43"/>
    <n v="3190.67"/>
    <n v="5.8824000000000001E-2"/>
    <n v="13"/>
    <n v="22"/>
    <n v="8"/>
    <n v="5"/>
    <n v="1"/>
    <n v="4"/>
    <n v="5"/>
    <n v="3"/>
    <s v="Suspended"/>
    <x v="70"/>
    <x v="3"/>
    <x v="2"/>
    <s v="Premium"/>
    <s v="09-02-2019"/>
    <n v="4"/>
    <n v="11326.119999999999"/>
    <n v="0"/>
    <n v="2"/>
    <n v="2"/>
    <n v="3"/>
    <n v="1"/>
    <n v="23"/>
    <s v="74_2022"/>
    <n v="1"/>
    <n v="2"/>
    <n v="2"/>
    <n v="2"/>
    <n v="2"/>
    <n v="175"/>
    <x v="0"/>
  </r>
  <r>
    <x v="71"/>
    <x v="1"/>
    <n v="2308"/>
    <n v="189"/>
    <n v="162"/>
    <n v="8617.09"/>
    <n v="7.0191000000000003E-2"/>
    <n v="25"/>
    <n v="73"/>
    <n v="18"/>
    <n v="15"/>
    <n v="1"/>
    <n v="4"/>
    <n v="9"/>
    <n v="9"/>
    <s v="Suspended"/>
    <x v="71"/>
    <x v="2"/>
    <x v="0"/>
    <s v="Verified"/>
    <s v="15-03-2025"/>
    <n v="5"/>
    <n v="10283.48"/>
    <n v="3"/>
    <n v="3"/>
    <n v="2"/>
    <n v="2"/>
    <n v="2"/>
    <n v="37"/>
    <s v="75_2022"/>
    <n v="1"/>
    <n v="2"/>
    <n v="2"/>
    <n v="2"/>
    <n v="2"/>
    <n v="175"/>
    <x v="0"/>
  </r>
  <r>
    <x v="72"/>
    <x v="1"/>
    <n v="874"/>
    <n v="54"/>
    <n v="42"/>
    <n v="4358.16"/>
    <n v="4.8055E-2"/>
    <n v="21"/>
    <n v="27"/>
    <n v="9"/>
    <n v="11"/>
    <n v="0"/>
    <n v="4"/>
    <n v="4"/>
    <n v="2"/>
    <s v="Suspended"/>
    <x v="72"/>
    <x v="3"/>
    <x v="1"/>
    <s v="Premium"/>
    <s v="28-04-2023"/>
    <n v="2"/>
    <n v="11419.66"/>
    <n v="0"/>
    <n v="1"/>
    <n v="1"/>
    <n v="2"/>
    <n v="1"/>
    <n v="11"/>
    <s v="76_2022"/>
    <n v="0"/>
    <n v="2"/>
    <n v="2"/>
    <n v="0"/>
    <n v="2"/>
    <n v="110"/>
    <x v="1"/>
  </r>
  <r>
    <x v="73"/>
    <x v="1"/>
    <n v="415"/>
    <n v="32"/>
    <n v="29"/>
    <n v="1559.54"/>
    <n v="6.9879999999999998E-2"/>
    <n v="14"/>
    <n v="14"/>
    <n v="5"/>
    <n v="8"/>
    <n v="0"/>
    <n v="1"/>
    <n v="4"/>
    <n v="2"/>
    <s v="Restricted"/>
    <x v="73"/>
    <x v="3"/>
    <x v="2"/>
    <s v="Premium"/>
    <s v="19-09-2019"/>
    <n v="4"/>
    <n v="7689.0399999999991"/>
    <n v="0"/>
    <n v="1"/>
    <n v="3"/>
    <n v="2"/>
    <n v="2"/>
    <n v="37"/>
    <s v="77_2022"/>
    <n v="1"/>
    <n v="2"/>
    <n v="2"/>
    <n v="0"/>
    <n v="1"/>
    <n v="125"/>
    <x v="0"/>
  </r>
  <r>
    <x v="74"/>
    <x v="1"/>
    <n v="1664"/>
    <n v="187"/>
    <n v="161"/>
    <n v="14709.05"/>
    <n v="9.6754999999999994E-2"/>
    <n v="37"/>
    <n v="55"/>
    <n v="18"/>
    <n v="15"/>
    <n v="1"/>
    <n v="6"/>
    <n v="12"/>
    <n v="11"/>
    <s v="Suspended"/>
    <x v="74"/>
    <x v="3"/>
    <x v="2"/>
    <s v="Standard"/>
    <s v="26-08-2019"/>
    <n v="5"/>
    <n v="19355.150000000001"/>
    <n v="2"/>
    <n v="2"/>
    <n v="3"/>
    <n v="5"/>
    <n v="3"/>
    <n v="47"/>
    <s v="78_2022"/>
    <n v="1"/>
    <n v="2"/>
    <n v="2"/>
    <n v="2"/>
    <n v="2"/>
    <n v="175"/>
    <x v="0"/>
  </r>
  <r>
    <x v="75"/>
    <x v="1"/>
    <n v="1907"/>
    <n v="211"/>
    <n v="169"/>
    <n v="15928.43"/>
    <n v="8.8621000000000005E-2"/>
    <n v="37"/>
    <n v="69"/>
    <n v="31"/>
    <n v="13"/>
    <n v="1"/>
    <n v="7"/>
    <n v="7"/>
    <n v="11"/>
    <s v="Suspended"/>
    <x v="75"/>
    <x v="4"/>
    <x v="2"/>
    <s v="Verified"/>
    <s v="02-09-2025"/>
    <n v="4"/>
    <n v="7308.2700000000013"/>
    <n v="4"/>
    <n v="3"/>
    <n v="1"/>
    <n v="3"/>
    <n v="0"/>
    <n v="19"/>
    <s v="79_2022"/>
    <n v="1"/>
    <n v="2"/>
    <n v="2"/>
    <n v="2"/>
    <n v="2"/>
    <n v="175"/>
    <x v="0"/>
  </r>
  <r>
    <x v="76"/>
    <x v="1"/>
    <n v="955"/>
    <n v="58"/>
    <n v="47"/>
    <n v="3613.66"/>
    <n v="4.9215000000000002E-2"/>
    <n v="37"/>
    <n v="37"/>
    <n v="6"/>
    <n v="14"/>
    <n v="0"/>
    <n v="4"/>
    <n v="5"/>
    <n v="3"/>
    <s v="Review Required"/>
    <x v="76"/>
    <x v="0"/>
    <x v="3"/>
    <s v="Verified"/>
    <s v="10-12-2019"/>
    <n v="3"/>
    <n v="4418.99"/>
    <n v="0"/>
    <n v="2"/>
    <n v="1"/>
    <n v="1"/>
    <n v="1"/>
    <n v="17"/>
    <s v="80_2022"/>
    <n v="0"/>
    <n v="2"/>
    <n v="1"/>
    <n v="0"/>
    <n v="1"/>
    <n v="80"/>
    <x v="1"/>
  </r>
  <r>
    <x v="77"/>
    <x v="1"/>
    <n v="951"/>
    <n v="82"/>
    <n v="77"/>
    <n v="2809.43"/>
    <n v="8.0966999999999997E-2"/>
    <n v="17"/>
    <n v="32"/>
    <n v="17"/>
    <n v="8"/>
    <n v="1"/>
    <n v="5"/>
    <n v="5"/>
    <n v="3"/>
    <s v="Suspended"/>
    <x v="77"/>
    <x v="4"/>
    <x v="2"/>
    <s v="Verified"/>
    <s v="06-03-2019"/>
    <n v="4"/>
    <n v="7752.66"/>
    <n v="2"/>
    <n v="1"/>
    <n v="3"/>
    <n v="2"/>
    <n v="2"/>
    <n v="35"/>
    <s v="81_2022"/>
    <n v="1"/>
    <n v="2"/>
    <n v="2"/>
    <n v="2"/>
    <n v="2"/>
    <n v="175"/>
    <x v="0"/>
  </r>
  <r>
    <x v="78"/>
    <x v="1"/>
    <n v="1440"/>
    <n v="81"/>
    <n v="60"/>
    <n v="6138.52"/>
    <n v="4.1667000000000003E-2"/>
    <n v="26"/>
    <n v="29"/>
    <n v="8"/>
    <n v="9"/>
    <n v="0"/>
    <n v="2"/>
    <n v="6"/>
    <n v="4"/>
    <s v="Restricted"/>
    <x v="78"/>
    <x v="1"/>
    <x v="4"/>
    <s v="Verified"/>
    <s v="01-11-2021"/>
    <n v="2"/>
    <n v="6450.63"/>
    <n v="0"/>
    <n v="1"/>
    <n v="1"/>
    <n v="2"/>
    <n v="2"/>
    <n v="7"/>
    <s v="82_2022"/>
    <n v="0"/>
    <n v="2"/>
    <n v="2"/>
    <n v="0"/>
    <n v="1"/>
    <n v="100"/>
    <x v="1"/>
  </r>
  <r>
    <x v="79"/>
    <x v="1"/>
    <n v="686"/>
    <n v="49"/>
    <n v="35"/>
    <n v="1497.16"/>
    <n v="5.1020000000000003E-2"/>
    <n v="16"/>
    <n v="22"/>
    <n v="7"/>
    <n v="6"/>
    <n v="0"/>
    <n v="2"/>
    <n v="4"/>
    <n v="2"/>
    <s v="Suspended"/>
    <x v="79"/>
    <x v="4"/>
    <x v="4"/>
    <s v="Verified"/>
    <s v="28-08-2022"/>
    <n v="6"/>
    <n v="14774.24"/>
    <n v="0"/>
    <n v="3"/>
    <n v="3"/>
    <n v="2"/>
    <n v="2"/>
    <n v="40"/>
    <s v="83_2022"/>
    <n v="1"/>
    <n v="2"/>
    <n v="2"/>
    <n v="0"/>
    <n v="2"/>
    <n v="135"/>
    <x v="0"/>
  </r>
  <r>
    <x v="80"/>
    <x v="1"/>
    <n v="908"/>
    <n v="42"/>
    <n v="36"/>
    <n v="2582.3000000000002"/>
    <n v="3.9648000000000003E-2"/>
    <n v="12"/>
    <n v="22"/>
    <n v="5"/>
    <n v="7"/>
    <n v="0"/>
    <n v="1"/>
    <n v="3"/>
    <n v="2"/>
    <s v="Review Required"/>
    <x v="80"/>
    <x v="2"/>
    <x v="4"/>
    <s v="Verified"/>
    <s v="01-05-2023"/>
    <n v="1"/>
    <n v="498.11"/>
    <n v="0"/>
    <n v="1"/>
    <n v="0"/>
    <n v="0"/>
    <n v="1"/>
    <n v="4"/>
    <s v="84_2022"/>
    <n v="0"/>
    <n v="2"/>
    <n v="0"/>
    <n v="0"/>
    <n v="1"/>
    <n v="60"/>
    <x v="1"/>
  </r>
  <r>
    <x v="81"/>
    <x v="1"/>
    <n v="316"/>
    <n v="15"/>
    <n v="13"/>
    <n v="464.97"/>
    <n v="4.1139000000000002E-2"/>
    <n v="3"/>
    <n v="7"/>
    <n v="3"/>
    <n v="1"/>
    <n v="0"/>
    <n v="0"/>
    <n v="0"/>
    <n v="0"/>
    <s v="Watchlist"/>
    <x v="81"/>
    <x v="2"/>
    <x v="1"/>
    <s v="Standard"/>
    <s v="21-04-2022"/>
    <n v="1"/>
    <n v="3096.15"/>
    <n v="0"/>
    <n v="1"/>
    <n v="0"/>
    <n v="1"/>
    <n v="0"/>
    <n v="2"/>
    <s v="85_2022"/>
    <n v="0"/>
    <n v="0"/>
    <n v="1"/>
    <n v="0"/>
    <n v="1"/>
    <n v="30"/>
    <x v="2"/>
  </r>
  <r>
    <x v="82"/>
    <x v="1"/>
    <n v="1576"/>
    <n v="163"/>
    <n v="149"/>
    <n v="5914.36"/>
    <n v="9.4543000000000002E-2"/>
    <n v="22"/>
    <n v="52"/>
    <n v="25"/>
    <n v="15"/>
    <n v="0"/>
    <n v="2"/>
    <n v="5"/>
    <n v="11"/>
    <s v="Restricted"/>
    <x v="82"/>
    <x v="0"/>
    <x v="3"/>
    <s v="Premium"/>
    <s v="19-01-2025"/>
    <n v="6"/>
    <n v="12218.66"/>
    <n v="0"/>
    <n v="4"/>
    <n v="2"/>
    <n v="3"/>
    <n v="3"/>
    <n v="37"/>
    <s v="86_2022"/>
    <n v="1"/>
    <n v="2"/>
    <n v="2"/>
    <n v="0"/>
    <n v="1"/>
    <n v="125"/>
    <x v="0"/>
  </r>
  <r>
    <x v="83"/>
    <x v="1"/>
    <n v="589"/>
    <n v="48"/>
    <n v="42"/>
    <n v="2817.96"/>
    <n v="7.1306999999999995E-2"/>
    <n v="16"/>
    <n v="16"/>
    <n v="8"/>
    <n v="8"/>
    <n v="0"/>
    <n v="3"/>
    <n v="6"/>
    <n v="1"/>
    <s v="Suspended"/>
    <x v="83"/>
    <x v="4"/>
    <x v="4"/>
    <s v="Standard"/>
    <s v="09-03-2022"/>
    <n v="6"/>
    <n v="21765"/>
    <n v="0"/>
    <n v="3"/>
    <n v="3"/>
    <n v="4"/>
    <n v="4"/>
    <n v="50"/>
    <s v="87_2022"/>
    <n v="1"/>
    <n v="2"/>
    <n v="2"/>
    <n v="0"/>
    <n v="2"/>
    <n v="135"/>
    <x v="0"/>
  </r>
  <r>
    <x v="84"/>
    <x v="1"/>
    <n v="836"/>
    <n v="77"/>
    <n v="60"/>
    <n v="4142.34"/>
    <n v="7.177E-2"/>
    <n v="20"/>
    <n v="28"/>
    <n v="8"/>
    <n v="11"/>
    <n v="0"/>
    <n v="3"/>
    <n v="4"/>
    <n v="4"/>
    <s v="Restricted"/>
    <x v="84"/>
    <x v="1"/>
    <x v="3"/>
    <s v="Verified"/>
    <s v="24-11-2020"/>
    <n v="4"/>
    <n v="11658.09"/>
    <n v="0"/>
    <n v="0"/>
    <n v="4"/>
    <n v="4"/>
    <n v="2"/>
    <n v="44"/>
    <s v="88_2022"/>
    <n v="1"/>
    <n v="2"/>
    <n v="2"/>
    <n v="0"/>
    <n v="1"/>
    <n v="125"/>
    <x v="0"/>
  </r>
  <r>
    <x v="85"/>
    <x v="1"/>
    <n v="1025"/>
    <n v="104"/>
    <n v="99"/>
    <n v="8867.25"/>
    <n v="9.6585000000000004E-2"/>
    <n v="25"/>
    <n v="31"/>
    <n v="14"/>
    <n v="12"/>
    <n v="1"/>
    <n v="7"/>
    <n v="8"/>
    <n v="7"/>
    <s v="Suspended"/>
    <x v="85"/>
    <x v="2"/>
    <x v="0"/>
    <s v="Verified"/>
    <s v="22-06-2025"/>
    <n v="6"/>
    <n v="21460.159999999996"/>
    <n v="3"/>
    <n v="4"/>
    <n v="2"/>
    <n v="5"/>
    <n v="1"/>
    <n v="52"/>
    <s v="89_2022"/>
    <n v="1"/>
    <n v="2"/>
    <n v="2"/>
    <n v="2"/>
    <n v="2"/>
    <n v="175"/>
    <x v="0"/>
  </r>
  <r>
    <x v="86"/>
    <x v="1"/>
    <n v="770"/>
    <n v="41"/>
    <n v="32"/>
    <n v="1118.98"/>
    <n v="4.1557999999999998E-2"/>
    <n v="12"/>
    <n v="16"/>
    <n v="4"/>
    <n v="4"/>
    <n v="0"/>
    <n v="2"/>
    <n v="2"/>
    <n v="2"/>
    <s v="Review Required"/>
    <x v="86"/>
    <x v="1"/>
    <x v="3"/>
    <s v="Premium"/>
    <s v="08-10-2022"/>
    <n v="1"/>
    <n v="1229.42"/>
    <n v="0"/>
    <n v="1"/>
    <n v="0"/>
    <n v="0"/>
    <n v="0"/>
    <n v="3"/>
    <s v="90_2022"/>
    <n v="0"/>
    <n v="2"/>
    <n v="0"/>
    <n v="0"/>
    <n v="1"/>
    <n v="60"/>
    <x v="1"/>
  </r>
  <r>
    <x v="87"/>
    <x v="1"/>
    <n v="576"/>
    <n v="53"/>
    <n v="51"/>
    <n v="4703.4799999999996"/>
    <n v="8.8541999999999996E-2"/>
    <n v="18"/>
    <n v="22"/>
    <n v="11"/>
    <n v="7"/>
    <n v="0"/>
    <n v="2"/>
    <n v="3"/>
    <n v="4"/>
    <s v="Restricted"/>
    <x v="87"/>
    <x v="0"/>
    <x v="3"/>
    <s v="Premium"/>
    <s v="04-02-2025"/>
    <n v="5"/>
    <n v="6375.24"/>
    <n v="0"/>
    <n v="2"/>
    <n v="3"/>
    <n v="2"/>
    <n v="2"/>
    <n v="51"/>
    <s v="91_2022"/>
    <n v="1"/>
    <n v="2"/>
    <n v="2"/>
    <n v="0"/>
    <n v="1"/>
    <n v="125"/>
    <x v="0"/>
  </r>
  <r>
    <x v="88"/>
    <x v="1"/>
    <n v="1197"/>
    <n v="99"/>
    <n v="80"/>
    <n v="6699.57"/>
    <n v="6.6834000000000005E-2"/>
    <n v="17"/>
    <n v="34"/>
    <n v="9"/>
    <n v="10"/>
    <n v="1"/>
    <n v="4"/>
    <n v="5"/>
    <n v="3"/>
    <s v="Suspended"/>
    <x v="88"/>
    <x v="4"/>
    <x v="2"/>
    <s v="Verified"/>
    <s v="21-07-2020"/>
    <n v="4"/>
    <n v="8165.26"/>
    <n v="1"/>
    <n v="2"/>
    <n v="2"/>
    <n v="3"/>
    <n v="2"/>
    <n v="27"/>
    <s v="92_2022"/>
    <n v="1"/>
    <n v="2"/>
    <n v="2"/>
    <n v="2"/>
    <n v="2"/>
    <n v="175"/>
    <x v="0"/>
  </r>
  <r>
    <x v="89"/>
    <x v="1"/>
    <n v="118"/>
    <n v="11"/>
    <n v="10"/>
    <n v="560.27"/>
    <n v="8.4746000000000002E-2"/>
    <n v="13"/>
    <n v="13"/>
    <n v="5"/>
    <n v="8"/>
    <n v="1"/>
    <n v="3"/>
    <n v="4"/>
    <n v="1"/>
    <s v="Suspended"/>
    <x v="89"/>
    <x v="1"/>
    <x v="2"/>
    <s v="Strategic"/>
    <s v="22-02-2023"/>
    <n v="3"/>
    <n v="4344.08"/>
    <n v="1"/>
    <n v="3"/>
    <n v="0"/>
    <n v="1"/>
    <n v="0"/>
    <n v="35"/>
    <s v="93_2022"/>
    <n v="1"/>
    <n v="2"/>
    <n v="1"/>
    <n v="2"/>
    <n v="2"/>
    <n v="155"/>
    <x v="0"/>
  </r>
  <r>
    <x v="90"/>
    <x v="1"/>
    <n v="622"/>
    <n v="56"/>
    <n v="42"/>
    <n v="1704.09"/>
    <n v="6.7524000000000001E-2"/>
    <n v="16"/>
    <n v="24"/>
    <n v="10"/>
    <n v="8"/>
    <n v="1"/>
    <n v="5"/>
    <n v="5"/>
    <n v="3"/>
    <s v="Suspended"/>
    <x v="90"/>
    <x v="1"/>
    <x v="3"/>
    <s v="Standard"/>
    <s v="26-01-2017"/>
    <n v="6"/>
    <n v="16718.72"/>
    <n v="3"/>
    <n v="3"/>
    <n v="3"/>
    <n v="3"/>
    <n v="1"/>
    <n v="51"/>
    <s v="94_2022"/>
    <n v="1"/>
    <n v="2"/>
    <n v="2"/>
    <n v="2"/>
    <n v="2"/>
    <n v="175"/>
    <x v="0"/>
  </r>
  <r>
    <x v="91"/>
    <x v="1"/>
    <n v="1091"/>
    <n v="46"/>
    <n v="43"/>
    <n v="1753.3"/>
    <n v="3.9412999999999997E-2"/>
    <n v="11"/>
    <n v="26"/>
    <n v="8"/>
    <n v="3"/>
    <n v="0"/>
    <n v="0"/>
    <n v="1"/>
    <n v="1"/>
    <s v="Review Required"/>
    <x v="91"/>
    <x v="4"/>
    <x v="1"/>
    <s v="Verified"/>
    <s v="26-03-2022"/>
    <n v="3"/>
    <n v="2022.55"/>
    <n v="0"/>
    <n v="2"/>
    <n v="1"/>
    <n v="0"/>
    <n v="1"/>
    <n v="16"/>
    <s v="95_2022"/>
    <n v="0"/>
    <n v="2"/>
    <n v="1"/>
    <n v="0"/>
    <n v="1"/>
    <n v="80"/>
    <x v="1"/>
  </r>
  <r>
    <x v="92"/>
    <x v="1"/>
    <n v="409"/>
    <n v="17"/>
    <n v="13"/>
    <n v="1242.78"/>
    <n v="3.1785000000000001E-2"/>
    <n v="7"/>
    <n v="16"/>
    <n v="3"/>
    <n v="4"/>
    <n v="1"/>
    <n v="3"/>
    <n v="3"/>
    <n v="2"/>
    <s v="Restricted"/>
    <x v="92"/>
    <x v="3"/>
    <x v="3"/>
    <s v="Verified"/>
    <s v="12-01-2019"/>
    <n v="3"/>
    <n v="7187.0599999999995"/>
    <n v="1"/>
    <n v="2"/>
    <n v="1"/>
    <n v="1"/>
    <n v="0"/>
    <n v="28"/>
    <s v="96_2022"/>
    <n v="0"/>
    <n v="1"/>
    <n v="1"/>
    <n v="2"/>
    <n v="1"/>
    <n v="95"/>
    <x v="1"/>
  </r>
  <r>
    <x v="93"/>
    <x v="1"/>
    <n v="337"/>
    <n v="27"/>
    <n v="24"/>
    <n v="2271.9699999999998"/>
    <n v="7.1217000000000003E-2"/>
    <n v="15"/>
    <n v="15"/>
    <n v="5"/>
    <n v="5"/>
    <n v="1"/>
    <n v="5"/>
    <n v="5"/>
    <n v="2"/>
    <s v="Suspended"/>
    <x v="93"/>
    <x v="4"/>
    <x v="3"/>
    <s v="Standard"/>
    <s v="25-08-2025"/>
    <n v="5"/>
    <n v="22000.81"/>
    <n v="1"/>
    <n v="3"/>
    <n v="2"/>
    <n v="5"/>
    <n v="1"/>
    <n v="31"/>
    <s v="97_2022"/>
    <n v="1"/>
    <n v="2"/>
    <n v="2"/>
    <n v="2"/>
    <n v="2"/>
    <n v="175"/>
    <x v="0"/>
  </r>
  <r>
    <x v="94"/>
    <x v="1"/>
    <n v="323"/>
    <n v="12"/>
    <n v="11"/>
    <n v="488.52"/>
    <n v="3.4056000000000003E-2"/>
    <n v="6"/>
    <n v="9"/>
    <n v="3"/>
    <n v="2"/>
    <n v="0"/>
    <n v="1"/>
    <n v="1"/>
    <n v="1"/>
    <s v="Watchlist"/>
    <x v="94"/>
    <x v="4"/>
    <x v="4"/>
    <s v="Verified"/>
    <s v="16-01-2017"/>
    <n v="1"/>
    <n v="2923.98"/>
    <n v="0"/>
    <n v="0"/>
    <n v="1"/>
    <n v="1"/>
    <n v="1"/>
    <n v="2"/>
    <s v="98_2022"/>
    <n v="0"/>
    <n v="1"/>
    <n v="1"/>
    <n v="0"/>
    <n v="1"/>
    <n v="55"/>
    <x v="2"/>
  </r>
  <r>
    <x v="95"/>
    <x v="1"/>
    <n v="428"/>
    <n v="29"/>
    <n v="24"/>
    <n v="2014.68"/>
    <n v="5.6075E-2"/>
    <n v="11"/>
    <n v="15"/>
    <n v="4"/>
    <n v="4"/>
    <n v="0"/>
    <n v="2"/>
    <n v="4"/>
    <n v="2"/>
    <s v="Suspended"/>
    <x v="95"/>
    <x v="2"/>
    <x v="0"/>
    <s v="Premium"/>
    <s v="09-03-2018"/>
    <n v="4"/>
    <n v="13308.3"/>
    <n v="0"/>
    <n v="1"/>
    <n v="3"/>
    <n v="4"/>
    <n v="2"/>
    <n v="53"/>
    <s v="99_2022"/>
    <n v="1"/>
    <n v="2"/>
    <n v="2"/>
    <n v="0"/>
    <n v="2"/>
    <n v="135"/>
    <x v="0"/>
  </r>
  <r>
    <x v="96"/>
    <x v="1"/>
    <n v="1046"/>
    <n v="93"/>
    <n v="69"/>
    <n v="3599.75"/>
    <n v="6.5965999999999997E-2"/>
    <n v="26"/>
    <n v="30"/>
    <n v="13"/>
    <n v="7"/>
    <n v="1"/>
    <n v="5"/>
    <n v="6"/>
    <n v="5"/>
    <s v="Suspended"/>
    <x v="96"/>
    <x v="4"/>
    <x v="0"/>
    <s v="Verified"/>
    <s v="04-12-2018"/>
    <n v="6"/>
    <n v="26594.059999999998"/>
    <n v="4"/>
    <n v="1"/>
    <n v="5"/>
    <n v="4"/>
    <n v="3"/>
    <n v="36"/>
    <s v="100_2022"/>
    <n v="1"/>
    <n v="2"/>
    <n v="2"/>
    <n v="2"/>
    <n v="2"/>
    <n v="175"/>
    <x v="0"/>
  </r>
  <r>
    <x v="0"/>
    <x v="2"/>
    <n v="398"/>
    <n v="20"/>
    <n v="15"/>
    <n v="518.55999999999995"/>
    <n v="3.7687999999999999E-2"/>
    <n v="10"/>
    <n v="10"/>
    <n v="4"/>
    <n v="4"/>
    <n v="0"/>
    <n v="1"/>
    <n v="2"/>
    <n v="0"/>
    <s v="Review Required"/>
    <x v="0"/>
    <x v="0"/>
    <x v="0"/>
    <s v="Standard"/>
    <s v="01-01-2023"/>
    <n v="2"/>
    <n v="1097.6500000000001"/>
    <n v="0"/>
    <n v="1"/>
    <n v="1"/>
    <n v="0"/>
    <n v="0"/>
    <n v="5"/>
    <s v="1_2023"/>
    <n v="0"/>
    <n v="2"/>
    <n v="1"/>
    <n v="0"/>
    <n v="1"/>
    <n v="80"/>
    <x v="1"/>
  </r>
  <r>
    <x v="1"/>
    <x v="2"/>
    <n v="713"/>
    <n v="68"/>
    <n v="64"/>
    <n v="2858.51"/>
    <n v="8.9761999999999995E-2"/>
    <n v="30"/>
    <n v="30"/>
    <n v="13"/>
    <n v="11"/>
    <n v="1"/>
    <n v="6"/>
    <n v="6"/>
    <n v="3"/>
    <s v="Suspended"/>
    <x v="1"/>
    <x v="1"/>
    <x v="1"/>
    <s v="Verified"/>
    <s v="25-01-2022"/>
    <n v="6"/>
    <n v="17782.71"/>
    <n v="5"/>
    <n v="4"/>
    <n v="2"/>
    <n v="5"/>
    <n v="3"/>
    <n v="43"/>
    <s v="2_2023"/>
    <n v="1"/>
    <n v="2"/>
    <n v="2"/>
    <n v="2"/>
    <n v="2"/>
    <n v="175"/>
    <x v="0"/>
  </r>
  <r>
    <x v="2"/>
    <x v="2"/>
    <n v="547"/>
    <n v="49"/>
    <n v="39"/>
    <n v="3621.02"/>
    <n v="7.1298E-2"/>
    <n v="20"/>
    <n v="23"/>
    <n v="10"/>
    <n v="7"/>
    <n v="1"/>
    <n v="5"/>
    <n v="6"/>
    <n v="4"/>
    <s v="Suspended"/>
    <x v="2"/>
    <x v="0"/>
    <x v="2"/>
    <s v="Standard"/>
    <s v="20-06-2023"/>
    <n v="4"/>
    <n v="16711.96"/>
    <n v="3"/>
    <n v="2"/>
    <n v="2"/>
    <n v="4"/>
    <n v="2"/>
    <n v="42"/>
    <s v="3_2023"/>
    <n v="1"/>
    <n v="2"/>
    <n v="2"/>
    <n v="2"/>
    <n v="2"/>
    <n v="175"/>
    <x v="0"/>
  </r>
  <r>
    <x v="3"/>
    <x v="2"/>
    <n v="1603"/>
    <n v="147"/>
    <n v="121"/>
    <n v="13785.04"/>
    <n v="7.5482999999999995E-2"/>
    <n v="21"/>
    <n v="52"/>
    <n v="18"/>
    <n v="7"/>
    <n v="1"/>
    <n v="5"/>
    <n v="5"/>
    <n v="11"/>
    <s v="Suspended"/>
    <x v="3"/>
    <x v="2"/>
    <x v="0"/>
    <s v="Standard"/>
    <s v="03-12-2021"/>
    <n v="4"/>
    <n v="18273.79"/>
    <n v="3"/>
    <n v="4"/>
    <n v="0"/>
    <n v="4"/>
    <n v="2"/>
    <n v="31"/>
    <s v="4_2023"/>
    <n v="1"/>
    <n v="2"/>
    <n v="2"/>
    <n v="2"/>
    <n v="2"/>
    <n v="175"/>
    <x v="0"/>
  </r>
  <r>
    <x v="4"/>
    <x v="2"/>
    <n v="631"/>
    <n v="50"/>
    <n v="47"/>
    <n v="3658.1"/>
    <n v="7.4484999999999996E-2"/>
    <n v="31"/>
    <n v="31"/>
    <n v="8"/>
    <n v="13"/>
    <n v="1"/>
    <n v="5"/>
    <n v="8"/>
    <n v="4"/>
    <s v="Suspended"/>
    <x v="4"/>
    <x v="2"/>
    <x v="2"/>
    <s v="Standard"/>
    <s v="12-06-2020"/>
    <n v="3"/>
    <n v="9065.7099999999991"/>
    <n v="3"/>
    <n v="1"/>
    <n v="2"/>
    <n v="3"/>
    <n v="2"/>
    <n v="28"/>
    <s v="5_2023"/>
    <n v="1"/>
    <n v="2"/>
    <n v="2"/>
    <n v="2"/>
    <n v="2"/>
    <n v="175"/>
    <x v="0"/>
  </r>
  <r>
    <x v="5"/>
    <x v="2"/>
    <n v="1043"/>
    <n v="84"/>
    <n v="62"/>
    <n v="5478.44"/>
    <n v="5.9443999999999997E-2"/>
    <n v="16"/>
    <n v="30"/>
    <n v="10"/>
    <n v="6"/>
    <n v="1"/>
    <n v="5"/>
    <n v="5"/>
    <n v="5"/>
    <s v="Suspended"/>
    <x v="5"/>
    <x v="3"/>
    <x v="1"/>
    <s v="Premium"/>
    <s v="21-05-2023"/>
    <n v="6"/>
    <n v="11785.35"/>
    <n v="3"/>
    <n v="4"/>
    <n v="2"/>
    <n v="3"/>
    <n v="2"/>
    <n v="74"/>
    <s v="6_2023"/>
    <n v="1"/>
    <n v="2"/>
    <n v="2"/>
    <n v="2"/>
    <n v="2"/>
    <n v="175"/>
    <x v="0"/>
  </r>
  <r>
    <x v="6"/>
    <x v="2"/>
    <n v="1308"/>
    <n v="126"/>
    <n v="100"/>
    <n v="4483.95"/>
    <n v="7.6452999999999993E-2"/>
    <n v="23"/>
    <n v="41"/>
    <n v="17"/>
    <n v="11"/>
    <n v="1"/>
    <n v="5"/>
    <n v="9"/>
    <n v="4"/>
    <s v="Suspended"/>
    <x v="6"/>
    <x v="2"/>
    <x v="2"/>
    <s v="Premium"/>
    <s v="19-04-2018"/>
    <n v="6"/>
    <n v="15688.740000000002"/>
    <n v="1"/>
    <n v="4"/>
    <n v="2"/>
    <n v="4"/>
    <n v="1"/>
    <n v="64"/>
    <s v="7_2023"/>
    <n v="1"/>
    <n v="2"/>
    <n v="2"/>
    <n v="2"/>
    <n v="2"/>
    <n v="175"/>
    <x v="0"/>
  </r>
  <r>
    <x v="7"/>
    <x v="2"/>
    <n v="1504"/>
    <n v="117"/>
    <n v="94"/>
    <n v="9386.99"/>
    <n v="6.25E-2"/>
    <n v="23"/>
    <n v="45"/>
    <n v="14"/>
    <n v="12"/>
    <n v="1"/>
    <n v="7"/>
    <n v="8"/>
    <n v="6"/>
    <s v="Suspended"/>
    <x v="7"/>
    <x v="2"/>
    <x v="1"/>
    <s v="Verified"/>
    <s v="19-12-2021"/>
    <n v="5"/>
    <n v="9425.5500000000011"/>
    <n v="3"/>
    <n v="2"/>
    <n v="3"/>
    <n v="4"/>
    <n v="3"/>
    <n v="43"/>
    <s v="8_2023"/>
    <n v="1"/>
    <n v="2"/>
    <n v="2"/>
    <n v="2"/>
    <n v="2"/>
    <n v="175"/>
    <x v="0"/>
  </r>
  <r>
    <x v="8"/>
    <x v="2"/>
    <n v="1304"/>
    <n v="116"/>
    <n v="91"/>
    <n v="4173.96"/>
    <n v="6.9785E-2"/>
    <n v="11"/>
    <n v="37"/>
    <n v="22"/>
    <n v="5"/>
    <n v="0"/>
    <n v="2"/>
    <n v="3"/>
    <n v="4"/>
    <s v="Restricted"/>
    <x v="8"/>
    <x v="0"/>
    <x v="3"/>
    <s v="Strategic"/>
    <s v="14-11-2020"/>
    <n v="4"/>
    <n v="7698.8099999999995"/>
    <n v="0"/>
    <n v="0"/>
    <n v="4"/>
    <n v="4"/>
    <n v="3"/>
    <n v="42"/>
    <s v="9_2023"/>
    <n v="1"/>
    <n v="2"/>
    <n v="2"/>
    <n v="0"/>
    <n v="1"/>
    <n v="125"/>
    <x v="0"/>
  </r>
  <r>
    <x v="9"/>
    <x v="2"/>
    <n v="733"/>
    <n v="48"/>
    <n v="40"/>
    <n v="1448.88"/>
    <n v="5.457E-2"/>
    <n v="21"/>
    <n v="21"/>
    <n v="5"/>
    <n v="8"/>
    <n v="0"/>
    <n v="1"/>
    <n v="6"/>
    <n v="3"/>
    <s v="Review Required"/>
    <x v="9"/>
    <x v="0"/>
    <x v="3"/>
    <s v="Standard"/>
    <s v="11-11-2022"/>
    <n v="3"/>
    <n v="3691.12"/>
    <n v="0"/>
    <n v="2"/>
    <n v="1"/>
    <n v="1"/>
    <n v="1"/>
    <n v="28"/>
    <s v="10_2023"/>
    <n v="1"/>
    <n v="2"/>
    <n v="1"/>
    <n v="0"/>
    <n v="1"/>
    <n v="105"/>
    <x v="1"/>
  </r>
  <r>
    <x v="97"/>
    <x v="2"/>
    <n v="862"/>
    <n v="68"/>
    <n v="62"/>
    <n v="5774.28"/>
    <n v="7.1926000000000004E-2"/>
    <n v="18"/>
    <n v="22"/>
    <n v="10"/>
    <n v="5"/>
    <n v="0"/>
    <n v="2"/>
    <n v="3"/>
    <n v="4"/>
    <s v="Restricted"/>
    <x v="97"/>
    <x v="4"/>
    <x v="1"/>
    <s v="Strategic"/>
    <s v="10-11-2018"/>
    <n v="3"/>
    <n v="6068.96"/>
    <n v="0"/>
    <n v="1"/>
    <n v="2"/>
    <n v="3"/>
    <n v="1"/>
    <n v="26"/>
    <s v="11_2023"/>
    <n v="1"/>
    <n v="2"/>
    <n v="2"/>
    <n v="0"/>
    <n v="1"/>
    <n v="125"/>
    <x v="0"/>
  </r>
  <r>
    <x v="10"/>
    <x v="2"/>
    <n v="1164"/>
    <n v="113"/>
    <n v="103"/>
    <n v="6600.73"/>
    <n v="8.8487999999999997E-2"/>
    <n v="22"/>
    <n v="35"/>
    <n v="16"/>
    <n v="12"/>
    <n v="1"/>
    <n v="6"/>
    <n v="9"/>
    <n v="7"/>
    <s v="Suspended"/>
    <x v="10"/>
    <x v="4"/>
    <x v="3"/>
    <s v="Verified"/>
    <s v="01-08-2023"/>
    <n v="5"/>
    <n v="11186.890000000001"/>
    <n v="3"/>
    <n v="4"/>
    <n v="1"/>
    <n v="4"/>
    <n v="1"/>
    <n v="44"/>
    <s v="12_2023"/>
    <n v="1"/>
    <n v="2"/>
    <n v="2"/>
    <n v="2"/>
    <n v="2"/>
    <n v="175"/>
    <x v="0"/>
  </r>
  <r>
    <x v="11"/>
    <x v="2"/>
    <n v="991"/>
    <n v="59"/>
    <n v="45"/>
    <n v="2492.59"/>
    <n v="4.5408999999999998E-2"/>
    <n v="19"/>
    <n v="28"/>
    <n v="8"/>
    <n v="11"/>
    <n v="1"/>
    <n v="2"/>
    <n v="6"/>
    <n v="1"/>
    <s v="Suspended"/>
    <x v="11"/>
    <x v="4"/>
    <x v="3"/>
    <s v="Premium"/>
    <s v="25-02-2025"/>
    <n v="3"/>
    <n v="949.96"/>
    <n v="1"/>
    <n v="3"/>
    <n v="0"/>
    <n v="0"/>
    <n v="0"/>
    <n v="27"/>
    <s v="13_2023"/>
    <n v="0"/>
    <n v="2"/>
    <n v="1"/>
    <n v="2"/>
    <n v="2"/>
    <n v="130"/>
    <x v="0"/>
  </r>
  <r>
    <x v="12"/>
    <x v="2"/>
    <n v="80"/>
    <n v="3"/>
    <n v="2"/>
    <n v="61.41"/>
    <n v="2.5000000000000001E-2"/>
    <n v="4"/>
    <n v="10"/>
    <n v="1"/>
    <n v="1"/>
    <n v="0"/>
    <n v="0"/>
    <n v="1"/>
    <n v="0"/>
    <s v="Watchlist"/>
    <x v="12"/>
    <x v="4"/>
    <x v="2"/>
    <s v="Strategic"/>
    <s v="10-12-2020"/>
    <n v="1"/>
    <n v="652.4"/>
    <n v="0"/>
    <n v="1"/>
    <n v="0"/>
    <n v="0"/>
    <n v="0"/>
    <n v="4"/>
    <s v="14_2023"/>
    <n v="0"/>
    <n v="1"/>
    <n v="0"/>
    <n v="0"/>
    <n v="1"/>
    <n v="35"/>
    <x v="2"/>
  </r>
  <r>
    <x v="13"/>
    <x v="2"/>
    <n v="1671"/>
    <n v="108"/>
    <n v="80"/>
    <n v="4045.77"/>
    <n v="4.7876000000000002E-2"/>
    <n v="17"/>
    <n v="42"/>
    <n v="15"/>
    <n v="7"/>
    <n v="1"/>
    <n v="4"/>
    <n v="5"/>
    <n v="4"/>
    <s v="Suspended"/>
    <x v="13"/>
    <x v="0"/>
    <x v="4"/>
    <s v="Premium"/>
    <s v="08-10-2021"/>
    <n v="3"/>
    <n v="14167.529999999999"/>
    <n v="2"/>
    <n v="3"/>
    <n v="0"/>
    <n v="2"/>
    <n v="2"/>
    <n v="23"/>
    <s v="15_2023"/>
    <n v="0"/>
    <n v="2"/>
    <n v="2"/>
    <n v="2"/>
    <n v="2"/>
    <n v="150"/>
    <x v="0"/>
  </r>
  <r>
    <x v="14"/>
    <x v="2"/>
    <n v="1252"/>
    <n v="106"/>
    <n v="86"/>
    <n v="8302.68"/>
    <n v="6.8690000000000001E-2"/>
    <n v="23"/>
    <n v="38"/>
    <n v="13"/>
    <n v="7"/>
    <n v="1"/>
    <n v="5"/>
    <n v="5"/>
    <n v="4"/>
    <s v="Suspended"/>
    <x v="14"/>
    <x v="4"/>
    <x v="1"/>
    <s v="Standard"/>
    <s v="18-04-2025"/>
    <n v="6"/>
    <n v="14902.5"/>
    <n v="3"/>
    <n v="2"/>
    <n v="4"/>
    <n v="4"/>
    <n v="3"/>
    <n v="59"/>
    <s v="16_2023"/>
    <n v="1"/>
    <n v="2"/>
    <n v="2"/>
    <n v="2"/>
    <n v="2"/>
    <n v="175"/>
    <x v="0"/>
  </r>
  <r>
    <x v="15"/>
    <x v="2"/>
    <n v="1054"/>
    <n v="80"/>
    <n v="64"/>
    <n v="4545.45"/>
    <n v="6.0720999999999997E-2"/>
    <n v="11"/>
    <n v="31"/>
    <n v="7"/>
    <n v="6"/>
    <n v="1"/>
    <n v="6"/>
    <n v="4"/>
    <n v="5"/>
    <s v="Suspended"/>
    <x v="15"/>
    <x v="3"/>
    <x v="3"/>
    <s v="Premium"/>
    <s v="14-06-2023"/>
    <n v="6"/>
    <n v="20337.180000000004"/>
    <n v="1"/>
    <n v="2"/>
    <n v="4"/>
    <n v="6"/>
    <n v="3"/>
    <n v="62"/>
    <s v="17_2023"/>
    <n v="1"/>
    <n v="2"/>
    <n v="2"/>
    <n v="2"/>
    <n v="2"/>
    <n v="175"/>
    <x v="0"/>
  </r>
  <r>
    <x v="17"/>
    <x v="2"/>
    <n v="594"/>
    <n v="27"/>
    <n v="22"/>
    <n v="1856.19"/>
    <n v="3.7037E-2"/>
    <n v="12"/>
    <n v="14"/>
    <n v="6"/>
    <n v="6"/>
    <n v="0"/>
    <n v="2"/>
    <n v="3"/>
    <n v="0"/>
    <s v="Review Required"/>
    <x v="17"/>
    <x v="4"/>
    <x v="3"/>
    <s v="Standard"/>
    <s v="25-02-2018"/>
    <n v="1"/>
    <n v="1223.5999999999999"/>
    <n v="0"/>
    <n v="0"/>
    <n v="1"/>
    <n v="0"/>
    <n v="0"/>
    <n v="1"/>
    <s v="19_2023"/>
    <n v="0"/>
    <n v="2"/>
    <n v="0"/>
    <n v="0"/>
    <n v="1"/>
    <n v="60"/>
    <x v="1"/>
  </r>
  <r>
    <x v="18"/>
    <x v="2"/>
    <n v="2017"/>
    <n v="184"/>
    <n v="163"/>
    <n v="6824.46"/>
    <n v="8.0812999999999996E-2"/>
    <n v="21"/>
    <n v="60"/>
    <n v="35"/>
    <n v="6"/>
    <n v="1"/>
    <n v="5"/>
    <n v="5"/>
    <n v="11"/>
    <s v="Suspended"/>
    <x v="18"/>
    <x v="1"/>
    <x v="3"/>
    <s v="Verified"/>
    <s v="10-08-2021"/>
    <n v="5"/>
    <n v="12133.02"/>
    <n v="4"/>
    <n v="3"/>
    <n v="2"/>
    <n v="4"/>
    <n v="2"/>
    <n v="55"/>
    <s v="20_2023"/>
    <n v="1"/>
    <n v="2"/>
    <n v="2"/>
    <n v="2"/>
    <n v="2"/>
    <n v="175"/>
    <x v="0"/>
  </r>
  <r>
    <x v="19"/>
    <x v="2"/>
    <n v="1841"/>
    <n v="149"/>
    <n v="141"/>
    <n v="5393.52"/>
    <n v="7.6589000000000004E-2"/>
    <n v="26"/>
    <n v="45"/>
    <n v="30"/>
    <n v="11"/>
    <n v="0"/>
    <n v="1"/>
    <n v="5"/>
    <n v="7"/>
    <s v="Review Required"/>
    <x v="19"/>
    <x v="2"/>
    <x v="1"/>
    <s v="Verified"/>
    <s v="11-12-2018"/>
    <n v="1"/>
    <n v="511.05"/>
    <n v="0"/>
    <n v="1"/>
    <n v="0"/>
    <n v="0"/>
    <n v="1"/>
    <n v="1"/>
    <s v="21_2023"/>
    <n v="1"/>
    <n v="2"/>
    <n v="0"/>
    <n v="0"/>
    <n v="1"/>
    <n v="85"/>
    <x v="1"/>
  </r>
  <r>
    <x v="20"/>
    <x v="2"/>
    <n v="844"/>
    <n v="37"/>
    <n v="31"/>
    <n v="2418.1"/>
    <n v="3.6729999999999999E-2"/>
    <n v="5"/>
    <n v="24"/>
    <n v="4"/>
    <n v="3"/>
    <n v="0"/>
    <n v="1"/>
    <n v="2"/>
    <n v="1"/>
    <s v="Review Required"/>
    <x v="20"/>
    <x v="0"/>
    <x v="1"/>
    <s v="Strategic"/>
    <s v="28-11-2018"/>
    <n v="2"/>
    <n v="1654.71"/>
    <n v="0"/>
    <n v="2"/>
    <n v="0"/>
    <n v="0"/>
    <n v="0"/>
    <n v="16"/>
    <s v="22_2023"/>
    <n v="0"/>
    <n v="1"/>
    <n v="1"/>
    <n v="0"/>
    <n v="1"/>
    <n v="55"/>
    <x v="2"/>
  </r>
  <r>
    <x v="21"/>
    <x v="2"/>
    <n v="1064"/>
    <n v="69"/>
    <n v="53"/>
    <n v="4955.26"/>
    <n v="4.9812000000000002E-2"/>
    <n v="19"/>
    <n v="24"/>
    <n v="12"/>
    <n v="10"/>
    <n v="0"/>
    <n v="3"/>
    <n v="6"/>
    <n v="3"/>
    <s v="Review Required"/>
    <x v="21"/>
    <x v="1"/>
    <x v="0"/>
    <s v="Standard"/>
    <s v="07-05-2023"/>
    <n v="1"/>
    <n v="543.25"/>
    <n v="0"/>
    <n v="1"/>
    <n v="0"/>
    <n v="0"/>
    <n v="0"/>
    <n v="2"/>
    <s v="23_2023"/>
    <n v="0"/>
    <n v="2"/>
    <n v="0"/>
    <n v="0"/>
    <n v="1"/>
    <n v="60"/>
    <x v="1"/>
  </r>
  <r>
    <x v="22"/>
    <x v="2"/>
    <n v="2408"/>
    <n v="147"/>
    <n v="137"/>
    <n v="8710.77"/>
    <n v="5.6894E-2"/>
    <n v="17"/>
    <n v="50"/>
    <n v="14"/>
    <n v="8"/>
    <n v="1"/>
    <n v="3"/>
    <n v="7"/>
    <n v="8"/>
    <s v="Suspended"/>
    <x v="22"/>
    <x v="0"/>
    <x v="3"/>
    <s v="Verified"/>
    <s v="18-02-2018"/>
    <n v="2"/>
    <n v="3524.0199999999995"/>
    <n v="0"/>
    <n v="1"/>
    <n v="1"/>
    <n v="1"/>
    <n v="2"/>
    <n v="19"/>
    <s v="24_2023"/>
    <n v="1"/>
    <n v="2"/>
    <n v="1"/>
    <n v="2"/>
    <n v="2"/>
    <n v="155"/>
    <x v="0"/>
  </r>
  <r>
    <x v="23"/>
    <x v="2"/>
    <n v="1222"/>
    <n v="73"/>
    <n v="70"/>
    <n v="5231.34"/>
    <n v="5.7283000000000001E-2"/>
    <n v="20"/>
    <n v="32"/>
    <n v="15"/>
    <n v="8"/>
    <n v="0"/>
    <n v="3"/>
    <n v="5"/>
    <n v="5"/>
    <s v="Review Required"/>
    <x v="23"/>
    <x v="3"/>
    <x v="2"/>
    <s v="Strategic"/>
    <s v="26-10-2021"/>
    <n v="1"/>
    <n v="170.51"/>
    <n v="0"/>
    <n v="0"/>
    <n v="1"/>
    <n v="0"/>
    <n v="1"/>
    <n v="4"/>
    <s v="25_2023"/>
    <n v="1"/>
    <n v="2"/>
    <n v="0"/>
    <n v="0"/>
    <n v="1"/>
    <n v="85"/>
    <x v="1"/>
  </r>
  <r>
    <x v="24"/>
    <x v="2"/>
    <n v="869"/>
    <n v="88"/>
    <n v="69"/>
    <n v="4960.01"/>
    <n v="7.9402E-2"/>
    <n v="26"/>
    <n v="27"/>
    <n v="10"/>
    <n v="13"/>
    <n v="1"/>
    <n v="4"/>
    <n v="7"/>
    <n v="3"/>
    <s v="Suspended"/>
    <x v="24"/>
    <x v="3"/>
    <x v="4"/>
    <s v="Standard"/>
    <s v="18-12-2019"/>
    <n v="6"/>
    <n v="5993.2099999999991"/>
    <n v="1"/>
    <n v="4"/>
    <n v="2"/>
    <n v="3"/>
    <n v="2"/>
    <n v="71"/>
    <s v="26_2023"/>
    <n v="1"/>
    <n v="2"/>
    <n v="2"/>
    <n v="2"/>
    <n v="2"/>
    <n v="175"/>
    <x v="0"/>
  </r>
  <r>
    <x v="25"/>
    <x v="2"/>
    <n v="799"/>
    <n v="83"/>
    <n v="65"/>
    <n v="6184.87"/>
    <n v="8.1351999999999994E-2"/>
    <n v="35"/>
    <n v="35"/>
    <n v="9"/>
    <n v="15"/>
    <n v="0"/>
    <n v="5"/>
    <n v="8"/>
    <n v="4"/>
    <s v="Review Required"/>
    <x v="25"/>
    <x v="4"/>
    <x v="2"/>
    <s v="Standard"/>
    <s v="21-02-2018"/>
    <n v="3"/>
    <n v="668.98"/>
    <n v="0"/>
    <n v="3"/>
    <n v="0"/>
    <n v="0"/>
    <n v="0"/>
    <n v="49"/>
    <s v="27_2023"/>
    <n v="1"/>
    <n v="2"/>
    <n v="1"/>
    <n v="0"/>
    <n v="1"/>
    <n v="105"/>
    <x v="1"/>
  </r>
  <r>
    <x v="26"/>
    <x v="2"/>
    <n v="1877"/>
    <n v="99"/>
    <n v="81"/>
    <n v="8193.5"/>
    <n v="4.3153999999999998E-2"/>
    <n v="18"/>
    <n v="33"/>
    <n v="10"/>
    <n v="8"/>
    <n v="1"/>
    <n v="4"/>
    <n v="5"/>
    <n v="4"/>
    <s v="Suspended"/>
    <x v="26"/>
    <x v="1"/>
    <x v="0"/>
    <s v="Premium"/>
    <s v="03-02-2017"/>
    <n v="1"/>
    <n v="253.42"/>
    <n v="0"/>
    <n v="1"/>
    <n v="0"/>
    <n v="0"/>
    <n v="0"/>
    <n v="11"/>
    <s v="28_2023"/>
    <n v="0"/>
    <n v="2"/>
    <n v="0"/>
    <n v="2"/>
    <n v="2"/>
    <n v="110"/>
    <x v="1"/>
  </r>
  <r>
    <x v="27"/>
    <x v="2"/>
    <n v="817"/>
    <n v="58"/>
    <n v="43"/>
    <n v="1736.68"/>
    <n v="5.2631999999999998E-2"/>
    <n v="23"/>
    <n v="23"/>
    <n v="6"/>
    <n v="13"/>
    <n v="0"/>
    <n v="2"/>
    <n v="3"/>
    <n v="1"/>
    <s v="Review Required"/>
    <x v="27"/>
    <x v="1"/>
    <x v="1"/>
    <s v="Standard"/>
    <s v="26-06-2021"/>
    <n v="1"/>
    <n v="1536.91"/>
    <n v="0"/>
    <n v="0"/>
    <n v="1"/>
    <n v="1"/>
    <n v="1"/>
    <n v="6"/>
    <s v="29_2023"/>
    <n v="1"/>
    <n v="2"/>
    <n v="1"/>
    <n v="0"/>
    <n v="1"/>
    <n v="105"/>
    <x v="1"/>
  </r>
  <r>
    <x v="28"/>
    <x v="2"/>
    <n v="164"/>
    <n v="9"/>
    <n v="8"/>
    <n v="817.46"/>
    <n v="4.8779999999999997E-2"/>
    <n v="10"/>
    <n v="10"/>
    <n v="2"/>
    <n v="5"/>
    <n v="1"/>
    <n v="3"/>
    <n v="4"/>
    <n v="2"/>
    <s v="Suspended"/>
    <x v="28"/>
    <x v="4"/>
    <x v="2"/>
    <s v="Premium"/>
    <s v="28-04-2019"/>
    <n v="3"/>
    <n v="7352.34"/>
    <n v="2"/>
    <n v="1"/>
    <n v="2"/>
    <n v="2"/>
    <n v="2"/>
    <n v="25"/>
    <s v="30_2023"/>
    <n v="0"/>
    <n v="2"/>
    <n v="2"/>
    <n v="2"/>
    <n v="2"/>
    <n v="150"/>
    <x v="0"/>
  </r>
  <r>
    <x v="29"/>
    <x v="2"/>
    <n v="1521"/>
    <n v="151"/>
    <n v="130"/>
    <n v="12820.56"/>
    <n v="8.5470000000000004E-2"/>
    <n v="21"/>
    <n v="49"/>
    <n v="30"/>
    <n v="7"/>
    <n v="1"/>
    <n v="3"/>
    <n v="7"/>
    <n v="8"/>
    <s v="Suspended"/>
    <x v="29"/>
    <x v="1"/>
    <x v="1"/>
    <s v="Verified"/>
    <s v="04-12-2020"/>
    <n v="3"/>
    <n v="4698.53"/>
    <n v="3"/>
    <n v="1"/>
    <n v="2"/>
    <n v="1"/>
    <n v="2"/>
    <n v="32"/>
    <s v="31_2023"/>
    <n v="1"/>
    <n v="2"/>
    <n v="1"/>
    <n v="2"/>
    <n v="2"/>
    <n v="155"/>
    <x v="0"/>
  </r>
  <r>
    <x v="30"/>
    <x v="2"/>
    <n v="905"/>
    <n v="51"/>
    <n v="39"/>
    <n v="1913.91"/>
    <n v="4.3094E-2"/>
    <n v="14"/>
    <n v="24"/>
    <n v="8"/>
    <n v="7"/>
    <n v="0"/>
    <n v="1"/>
    <n v="3"/>
    <n v="3"/>
    <s v="Review Required"/>
    <x v="30"/>
    <x v="3"/>
    <x v="1"/>
    <s v="Verified"/>
    <s v="11-07-2020"/>
    <n v="3"/>
    <n v="2159.61"/>
    <n v="0"/>
    <n v="2"/>
    <n v="1"/>
    <n v="1"/>
    <n v="0"/>
    <n v="23"/>
    <s v="32_2023"/>
    <n v="0"/>
    <n v="2"/>
    <n v="1"/>
    <n v="0"/>
    <n v="1"/>
    <n v="80"/>
    <x v="1"/>
  </r>
  <r>
    <x v="31"/>
    <x v="2"/>
    <n v="636"/>
    <n v="62"/>
    <n v="51"/>
    <n v="5563.37"/>
    <n v="8.0188999999999996E-2"/>
    <n v="18"/>
    <n v="24"/>
    <n v="13"/>
    <n v="8"/>
    <n v="1"/>
    <n v="6"/>
    <n v="5"/>
    <n v="5"/>
    <s v="Suspended"/>
    <x v="31"/>
    <x v="4"/>
    <x v="4"/>
    <s v="Standard"/>
    <s v="06-05-2019"/>
    <n v="3"/>
    <n v="8914.58"/>
    <n v="3"/>
    <n v="3"/>
    <n v="0"/>
    <n v="2"/>
    <n v="0"/>
    <n v="23"/>
    <s v="33_2023"/>
    <n v="1"/>
    <n v="2"/>
    <n v="2"/>
    <n v="2"/>
    <n v="2"/>
    <n v="175"/>
    <x v="0"/>
  </r>
  <r>
    <x v="33"/>
    <x v="2"/>
    <n v="344"/>
    <n v="26"/>
    <n v="20"/>
    <n v="1777.15"/>
    <n v="5.8139999999999997E-2"/>
    <n v="8"/>
    <n v="12"/>
    <n v="4"/>
    <n v="4"/>
    <n v="1"/>
    <n v="4"/>
    <n v="3"/>
    <n v="2"/>
    <s v="Restricted"/>
    <x v="33"/>
    <x v="3"/>
    <x v="4"/>
    <s v="Verified"/>
    <s v="11-11-2019"/>
    <n v="4"/>
    <n v="10663.8"/>
    <n v="3"/>
    <n v="3"/>
    <n v="1"/>
    <n v="3"/>
    <n v="2"/>
    <n v="39"/>
    <s v="35_2023"/>
    <n v="1"/>
    <n v="2"/>
    <n v="2"/>
    <n v="2"/>
    <n v="1"/>
    <n v="165"/>
    <x v="0"/>
  </r>
  <r>
    <x v="34"/>
    <x v="2"/>
    <n v="781"/>
    <n v="44"/>
    <n v="37"/>
    <n v="1435.89"/>
    <n v="4.7375E-2"/>
    <n v="15"/>
    <n v="15"/>
    <n v="7"/>
    <n v="7"/>
    <n v="0"/>
    <n v="1"/>
    <n v="2"/>
    <n v="2"/>
    <s v="Review Required"/>
    <x v="34"/>
    <x v="2"/>
    <x v="2"/>
    <s v="Strategic"/>
    <s v="14-04-2020"/>
    <n v="2"/>
    <n v="563.28"/>
    <n v="0"/>
    <n v="1"/>
    <n v="1"/>
    <n v="0"/>
    <n v="0"/>
    <n v="4"/>
    <s v="36_2023"/>
    <n v="0"/>
    <n v="2"/>
    <n v="1"/>
    <n v="0"/>
    <n v="1"/>
    <n v="80"/>
    <x v="1"/>
  </r>
  <r>
    <x v="35"/>
    <x v="2"/>
    <n v="1621"/>
    <n v="171"/>
    <n v="127"/>
    <n v="6607.85"/>
    <n v="7.8347E-2"/>
    <n v="36"/>
    <n v="51"/>
    <n v="28"/>
    <n v="14"/>
    <n v="0"/>
    <n v="3"/>
    <n v="9"/>
    <n v="3"/>
    <s v="Suspended"/>
    <x v="35"/>
    <x v="0"/>
    <x v="4"/>
    <s v="Standard"/>
    <s v="26-07-2021"/>
    <n v="6"/>
    <n v="15021.900000000001"/>
    <n v="0"/>
    <n v="4"/>
    <n v="2"/>
    <n v="3"/>
    <n v="3"/>
    <n v="60"/>
    <s v="37_2023"/>
    <n v="1"/>
    <n v="2"/>
    <n v="2"/>
    <n v="0"/>
    <n v="2"/>
    <n v="135"/>
    <x v="0"/>
  </r>
  <r>
    <x v="36"/>
    <x v="2"/>
    <n v="1861"/>
    <n v="178"/>
    <n v="143"/>
    <n v="9852.93"/>
    <n v="7.6840000000000006E-2"/>
    <n v="25"/>
    <n v="56"/>
    <n v="29"/>
    <n v="7"/>
    <n v="1"/>
    <n v="4"/>
    <n v="7"/>
    <n v="6"/>
    <s v="Suspended"/>
    <x v="36"/>
    <x v="3"/>
    <x v="3"/>
    <s v="Verified"/>
    <s v="27-02-2022"/>
    <n v="5"/>
    <n v="16124.810000000001"/>
    <n v="4"/>
    <n v="3"/>
    <n v="2"/>
    <n v="3"/>
    <n v="2"/>
    <n v="56"/>
    <s v="38_2023"/>
    <n v="1"/>
    <n v="2"/>
    <n v="2"/>
    <n v="2"/>
    <n v="2"/>
    <n v="175"/>
    <x v="0"/>
  </r>
  <r>
    <x v="38"/>
    <x v="2"/>
    <n v="831"/>
    <n v="69"/>
    <n v="65"/>
    <n v="3623.07"/>
    <n v="7.8218999999999997E-2"/>
    <n v="9"/>
    <n v="22"/>
    <n v="15"/>
    <n v="5"/>
    <n v="1"/>
    <n v="4"/>
    <n v="4"/>
    <n v="5"/>
    <s v="Suspended"/>
    <x v="38"/>
    <x v="0"/>
    <x v="2"/>
    <s v="Standard"/>
    <s v="17-12-2020"/>
    <n v="3"/>
    <n v="10351.31"/>
    <n v="3"/>
    <n v="1"/>
    <n v="2"/>
    <n v="3"/>
    <n v="0"/>
    <n v="39"/>
    <s v="40_2023"/>
    <n v="1"/>
    <n v="2"/>
    <n v="2"/>
    <n v="2"/>
    <n v="2"/>
    <n v="175"/>
    <x v="0"/>
  </r>
  <r>
    <x v="39"/>
    <x v="2"/>
    <n v="218"/>
    <n v="11"/>
    <n v="9"/>
    <n v="623.83000000000004"/>
    <n v="4.1284000000000001E-2"/>
    <n v="11"/>
    <n v="11"/>
    <n v="2"/>
    <n v="3"/>
    <n v="0"/>
    <n v="0"/>
    <n v="2"/>
    <n v="0"/>
    <s v="Restricted"/>
    <x v="39"/>
    <x v="4"/>
    <x v="0"/>
    <s v="Standard"/>
    <s v="20-08-2023"/>
    <n v="3"/>
    <n v="5848.22"/>
    <n v="0"/>
    <n v="2"/>
    <n v="1"/>
    <n v="2"/>
    <n v="1"/>
    <n v="24"/>
    <s v="41_2023"/>
    <n v="0"/>
    <n v="2"/>
    <n v="2"/>
    <n v="0"/>
    <n v="1"/>
    <n v="100"/>
    <x v="1"/>
  </r>
  <r>
    <x v="40"/>
    <x v="2"/>
    <n v="985"/>
    <n v="82"/>
    <n v="69"/>
    <n v="7629.3"/>
    <n v="7.0051000000000002E-2"/>
    <n v="13"/>
    <n v="31"/>
    <n v="10"/>
    <n v="6"/>
    <n v="1"/>
    <n v="5"/>
    <n v="5"/>
    <n v="4"/>
    <s v="Suspended"/>
    <x v="40"/>
    <x v="1"/>
    <x v="2"/>
    <s v="Strategic"/>
    <s v="09-11-2020"/>
    <n v="6"/>
    <n v="22564.959999999999"/>
    <n v="3"/>
    <n v="3"/>
    <n v="3"/>
    <n v="4"/>
    <n v="1"/>
    <n v="50"/>
    <s v="42_2023"/>
    <n v="1"/>
    <n v="2"/>
    <n v="2"/>
    <n v="2"/>
    <n v="2"/>
    <n v="175"/>
    <x v="0"/>
  </r>
  <r>
    <x v="41"/>
    <x v="2"/>
    <n v="903"/>
    <n v="49"/>
    <n v="39"/>
    <n v="2995.45"/>
    <n v="4.3188999999999998E-2"/>
    <n v="11"/>
    <n v="22"/>
    <n v="5"/>
    <n v="10"/>
    <n v="1"/>
    <n v="5"/>
    <n v="4"/>
    <n v="4"/>
    <s v="Suspended"/>
    <x v="41"/>
    <x v="2"/>
    <x v="4"/>
    <s v="Verified"/>
    <s v="05-03-2018"/>
    <n v="2"/>
    <n v="3144.32"/>
    <n v="1"/>
    <n v="1"/>
    <n v="1"/>
    <n v="1"/>
    <n v="0"/>
    <n v="9"/>
    <s v="43_2023"/>
    <n v="0"/>
    <n v="2"/>
    <n v="1"/>
    <n v="2"/>
    <n v="2"/>
    <n v="130"/>
    <x v="0"/>
  </r>
  <r>
    <x v="42"/>
    <x v="2"/>
    <n v="610"/>
    <n v="22"/>
    <n v="17"/>
    <n v="695.27"/>
    <n v="2.7869000000000001E-2"/>
    <n v="11"/>
    <n v="11"/>
    <n v="4"/>
    <n v="5"/>
    <n v="0"/>
    <n v="1"/>
    <n v="2"/>
    <n v="1"/>
    <s v="Review Required"/>
    <x v="42"/>
    <x v="1"/>
    <x v="3"/>
    <s v="Standard"/>
    <s v="25-07-2023"/>
    <n v="3"/>
    <n v="2090.02"/>
    <n v="0"/>
    <n v="1"/>
    <n v="2"/>
    <n v="0"/>
    <n v="2"/>
    <n v="12"/>
    <s v="44_2023"/>
    <n v="0"/>
    <n v="2"/>
    <n v="1"/>
    <n v="0"/>
    <n v="1"/>
    <n v="80"/>
    <x v="1"/>
  </r>
  <r>
    <x v="43"/>
    <x v="2"/>
    <n v="1779"/>
    <n v="92"/>
    <n v="76"/>
    <n v="4038.47"/>
    <n v="4.2721000000000002E-2"/>
    <n v="12"/>
    <n v="36"/>
    <n v="7"/>
    <n v="5"/>
    <n v="0"/>
    <n v="1"/>
    <n v="2"/>
    <n v="5"/>
    <s v="Review Required"/>
    <x v="43"/>
    <x v="2"/>
    <x v="4"/>
    <s v="Premium"/>
    <s v="24-09-2023"/>
    <n v="1"/>
    <n v="884.9"/>
    <n v="0"/>
    <n v="0"/>
    <n v="1"/>
    <n v="0"/>
    <n v="1"/>
    <n v="9"/>
    <s v="45_2023"/>
    <n v="0"/>
    <n v="2"/>
    <n v="0"/>
    <n v="0"/>
    <n v="1"/>
    <n v="60"/>
    <x v="1"/>
  </r>
  <r>
    <x v="44"/>
    <x v="2"/>
    <n v="612"/>
    <n v="26"/>
    <n v="22"/>
    <n v="1076.1500000000001"/>
    <n v="3.5948000000000001E-2"/>
    <n v="6"/>
    <n v="20"/>
    <n v="5"/>
    <n v="2"/>
    <n v="1"/>
    <n v="2"/>
    <n v="1"/>
    <n v="1"/>
    <s v="Watchlist"/>
    <x v="44"/>
    <x v="1"/>
    <x v="4"/>
    <s v="Verified"/>
    <s v="05-08-2020"/>
    <n v="2"/>
    <n v="1801.47"/>
    <n v="1"/>
    <n v="1"/>
    <n v="1"/>
    <n v="1"/>
    <n v="1"/>
    <n v="11"/>
    <s v="46_2023"/>
    <n v="0"/>
    <n v="1"/>
    <n v="1"/>
    <n v="2"/>
    <n v="1"/>
    <n v="95"/>
    <x v="1"/>
  </r>
  <r>
    <x v="45"/>
    <x v="2"/>
    <n v="2614"/>
    <n v="262"/>
    <n v="191"/>
    <n v="18818.82"/>
    <n v="7.3067999999999994E-2"/>
    <n v="36"/>
    <n v="83"/>
    <n v="34"/>
    <n v="22"/>
    <n v="1"/>
    <n v="8"/>
    <n v="12"/>
    <n v="13"/>
    <s v="Suspended"/>
    <x v="45"/>
    <x v="1"/>
    <x v="1"/>
    <s v="Verified"/>
    <s v="09-01-2020"/>
    <n v="6"/>
    <n v="17630.37"/>
    <n v="2"/>
    <n v="5"/>
    <n v="1"/>
    <n v="4"/>
    <n v="0"/>
    <n v="50"/>
    <s v="47_2023"/>
    <n v="1"/>
    <n v="2"/>
    <n v="2"/>
    <n v="2"/>
    <n v="2"/>
    <n v="175"/>
    <x v="0"/>
  </r>
  <r>
    <x v="46"/>
    <x v="2"/>
    <n v="537"/>
    <n v="40"/>
    <n v="37"/>
    <n v="2032.1"/>
    <n v="6.8901000000000004E-2"/>
    <n v="16"/>
    <n v="19"/>
    <n v="7"/>
    <n v="5"/>
    <n v="1"/>
    <n v="5"/>
    <n v="5"/>
    <n v="1"/>
    <s v="Suspended"/>
    <x v="46"/>
    <x v="1"/>
    <x v="4"/>
    <s v="Premium"/>
    <s v="24-01-2025"/>
    <n v="4"/>
    <n v="9543.2200000000012"/>
    <n v="4"/>
    <n v="0"/>
    <n v="4"/>
    <n v="4"/>
    <n v="4"/>
    <n v="27"/>
    <s v="48_2023"/>
    <n v="1"/>
    <n v="2"/>
    <n v="2"/>
    <n v="2"/>
    <n v="2"/>
    <n v="175"/>
    <x v="0"/>
  </r>
  <r>
    <x v="47"/>
    <x v="2"/>
    <n v="1110"/>
    <n v="106"/>
    <n v="96"/>
    <n v="6230.63"/>
    <n v="8.6485999999999993E-2"/>
    <n v="30"/>
    <n v="36"/>
    <n v="10"/>
    <n v="15"/>
    <n v="1"/>
    <n v="7"/>
    <n v="5"/>
    <n v="5"/>
    <s v="Suspended"/>
    <x v="47"/>
    <x v="0"/>
    <x v="1"/>
    <s v="Verified"/>
    <s v="05-10-2018"/>
    <n v="5"/>
    <n v="18778.46"/>
    <n v="3"/>
    <n v="1"/>
    <n v="4"/>
    <n v="4"/>
    <n v="4"/>
    <n v="68"/>
    <s v="49_2023"/>
    <n v="1"/>
    <n v="2"/>
    <n v="2"/>
    <n v="2"/>
    <n v="2"/>
    <n v="175"/>
    <x v="0"/>
  </r>
  <r>
    <x v="48"/>
    <x v="2"/>
    <n v="761"/>
    <n v="45"/>
    <n v="33"/>
    <n v="2301.79"/>
    <n v="4.3364E-2"/>
    <n v="20"/>
    <n v="20"/>
    <n v="7"/>
    <n v="7"/>
    <n v="0"/>
    <n v="1"/>
    <n v="3"/>
    <n v="1"/>
    <s v="Review Required"/>
    <x v="48"/>
    <x v="2"/>
    <x v="1"/>
    <s v="Strategic"/>
    <s v="10-03-2019"/>
    <n v="3"/>
    <n v="1279.24"/>
    <n v="0"/>
    <n v="2"/>
    <n v="1"/>
    <n v="0"/>
    <n v="1"/>
    <n v="26"/>
    <s v="50_2023"/>
    <n v="0"/>
    <n v="2"/>
    <n v="1"/>
    <n v="0"/>
    <n v="1"/>
    <n v="80"/>
    <x v="1"/>
  </r>
  <r>
    <x v="49"/>
    <x v="2"/>
    <n v="1780"/>
    <n v="104"/>
    <n v="90"/>
    <n v="6471.19"/>
    <n v="5.0562000000000003E-2"/>
    <n v="30"/>
    <n v="40"/>
    <n v="13"/>
    <n v="13"/>
    <n v="0"/>
    <n v="4"/>
    <n v="7"/>
    <n v="5"/>
    <s v="Restricted"/>
    <x v="49"/>
    <x v="3"/>
    <x v="3"/>
    <s v="Premium"/>
    <s v="23-02-2020"/>
    <n v="1"/>
    <n v="5495.83"/>
    <n v="0"/>
    <n v="1"/>
    <n v="0"/>
    <n v="1"/>
    <n v="0"/>
    <n v="12"/>
    <s v="51_2023"/>
    <n v="1"/>
    <n v="2"/>
    <n v="1"/>
    <n v="0"/>
    <n v="1"/>
    <n v="105"/>
    <x v="1"/>
  </r>
  <r>
    <x v="50"/>
    <x v="2"/>
    <n v="687"/>
    <n v="66"/>
    <n v="55"/>
    <n v="3993.65"/>
    <n v="8.0058000000000004E-2"/>
    <n v="23"/>
    <n v="23"/>
    <n v="12"/>
    <n v="8"/>
    <n v="1"/>
    <n v="5"/>
    <n v="6"/>
    <n v="4"/>
    <s v="Suspended"/>
    <x v="50"/>
    <x v="2"/>
    <x v="0"/>
    <s v="Standard"/>
    <s v="17-02-2023"/>
    <n v="6"/>
    <n v="20821.97"/>
    <n v="4"/>
    <n v="3"/>
    <n v="3"/>
    <n v="4"/>
    <n v="3"/>
    <n v="65"/>
    <s v="52_2023"/>
    <n v="1"/>
    <n v="2"/>
    <n v="2"/>
    <n v="2"/>
    <n v="2"/>
    <n v="175"/>
    <x v="0"/>
  </r>
  <r>
    <x v="51"/>
    <x v="2"/>
    <n v="705"/>
    <n v="51"/>
    <n v="45"/>
    <n v="3242.24"/>
    <n v="6.3829999999999998E-2"/>
    <n v="9"/>
    <n v="26"/>
    <n v="8"/>
    <n v="3"/>
    <n v="1"/>
    <n v="3"/>
    <n v="4"/>
    <n v="2"/>
    <s v="Restricted"/>
    <x v="51"/>
    <x v="1"/>
    <x v="1"/>
    <s v="Premium"/>
    <s v="17-12-2019"/>
    <n v="3"/>
    <n v="10879.11"/>
    <n v="3"/>
    <n v="1"/>
    <n v="2"/>
    <n v="3"/>
    <n v="2"/>
    <n v="35"/>
    <s v="53_2023"/>
    <n v="1"/>
    <n v="2"/>
    <n v="2"/>
    <n v="2"/>
    <n v="1"/>
    <n v="165"/>
    <x v="0"/>
  </r>
  <r>
    <x v="52"/>
    <x v="2"/>
    <n v="1799"/>
    <n v="185"/>
    <n v="144"/>
    <n v="11074.3"/>
    <n v="8.0044000000000004E-2"/>
    <n v="41"/>
    <n v="60"/>
    <n v="33"/>
    <n v="12"/>
    <n v="1"/>
    <n v="7"/>
    <n v="6"/>
    <n v="10"/>
    <s v="Suspended"/>
    <x v="52"/>
    <x v="4"/>
    <x v="4"/>
    <s v="Verified"/>
    <s v="09-02-2021"/>
    <n v="4"/>
    <n v="6678.7300000000005"/>
    <n v="2"/>
    <n v="2"/>
    <n v="2"/>
    <n v="2"/>
    <n v="2"/>
    <n v="51"/>
    <s v="54_2023"/>
    <n v="1"/>
    <n v="2"/>
    <n v="2"/>
    <n v="2"/>
    <n v="2"/>
    <n v="175"/>
    <x v="0"/>
  </r>
  <r>
    <x v="53"/>
    <x v="2"/>
    <n v="1116"/>
    <n v="99"/>
    <n v="83"/>
    <n v="3507.6"/>
    <n v="7.4372999999999995E-2"/>
    <n v="22"/>
    <n v="33"/>
    <n v="15"/>
    <n v="12"/>
    <n v="1"/>
    <n v="6"/>
    <n v="6"/>
    <n v="4"/>
    <s v="Suspended"/>
    <x v="53"/>
    <x v="2"/>
    <x v="1"/>
    <s v="Verified"/>
    <s v="26-06-2021"/>
    <n v="5"/>
    <n v="15119.03"/>
    <n v="2"/>
    <n v="2"/>
    <n v="3"/>
    <n v="4"/>
    <n v="2"/>
    <n v="53"/>
    <s v="55_2023"/>
    <n v="1"/>
    <n v="2"/>
    <n v="2"/>
    <n v="2"/>
    <n v="2"/>
    <n v="175"/>
    <x v="0"/>
  </r>
  <r>
    <x v="54"/>
    <x v="2"/>
    <n v="1085"/>
    <n v="54"/>
    <n v="41"/>
    <n v="2779.91"/>
    <n v="3.7788000000000002E-2"/>
    <n v="22"/>
    <n v="28"/>
    <n v="9"/>
    <n v="7"/>
    <n v="1"/>
    <n v="4"/>
    <n v="4"/>
    <n v="4"/>
    <s v="Suspended"/>
    <x v="54"/>
    <x v="3"/>
    <x v="3"/>
    <s v="Strategic"/>
    <s v="18-08-2023"/>
    <n v="3"/>
    <n v="8346.9500000000007"/>
    <n v="2"/>
    <n v="1"/>
    <n v="2"/>
    <n v="3"/>
    <n v="0"/>
    <n v="23"/>
    <s v="56_2023"/>
    <n v="0"/>
    <n v="2"/>
    <n v="2"/>
    <n v="2"/>
    <n v="2"/>
    <n v="150"/>
    <x v="0"/>
  </r>
  <r>
    <x v="55"/>
    <x v="2"/>
    <n v="787"/>
    <n v="49"/>
    <n v="37"/>
    <n v="3637.13"/>
    <n v="4.7014E-2"/>
    <n v="10"/>
    <n v="20"/>
    <n v="6"/>
    <n v="5"/>
    <n v="1"/>
    <n v="4"/>
    <n v="4"/>
    <n v="3"/>
    <s v="Suspended"/>
    <x v="55"/>
    <x v="3"/>
    <x v="2"/>
    <s v="Premium"/>
    <s v="19-11-2021"/>
    <n v="3"/>
    <n v="7446.26"/>
    <n v="1"/>
    <n v="0"/>
    <n v="3"/>
    <n v="2"/>
    <n v="2"/>
    <n v="29"/>
    <s v="57_2023"/>
    <n v="0"/>
    <n v="2"/>
    <n v="2"/>
    <n v="2"/>
    <n v="2"/>
    <n v="150"/>
    <x v="0"/>
  </r>
  <r>
    <x v="56"/>
    <x v="2"/>
    <n v="536"/>
    <n v="46"/>
    <n v="35"/>
    <n v="2828.41"/>
    <n v="6.5298999999999996E-2"/>
    <n v="14"/>
    <n v="22"/>
    <n v="6"/>
    <n v="10"/>
    <n v="1"/>
    <n v="7"/>
    <n v="7"/>
    <n v="3"/>
    <s v="Suspended"/>
    <x v="56"/>
    <x v="1"/>
    <x v="4"/>
    <s v="Strategic"/>
    <s v="04-04-2021"/>
    <n v="6"/>
    <n v="27077.46"/>
    <n v="4"/>
    <n v="3"/>
    <n v="3"/>
    <n v="6"/>
    <n v="2"/>
    <n v="62"/>
    <s v="58_2023"/>
    <n v="1"/>
    <n v="2"/>
    <n v="2"/>
    <n v="2"/>
    <n v="2"/>
    <n v="175"/>
    <x v="0"/>
  </r>
  <r>
    <x v="57"/>
    <x v="2"/>
    <n v="1046"/>
    <n v="93"/>
    <n v="82"/>
    <n v="7175.16"/>
    <n v="7.8394000000000005E-2"/>
    <n v="14"/>
    <n v="29"/>
    <n v="9"/>
    <n v="6"/>
    <n v="1"/>
    <n v="4"/>
    <n v="4"/>
    <n v="4"/>
    <s v="Suspended"/>
    <x v="57"/>
    <x v="1"/>
    <x v="4"/>
    <s v="Strategic"/>
    <s v="27-02-2021"/>
    <n v="3"/>
    <n v="19685.349999999999"/>
    <n v="1"/>
    <n v="0"/>
    <n v="3"/>
    <n v="3"/>
    <n v="2"/>
    <n v="37"/>
    <s v="59_2023"/>
    <n v="1"/>
    <n v="2"/>
    <n v="2"/>
    <n v="2"/>
    <n v="2"/>
    <n v="175"/>
    <x v="0"/>
  </r>
  <r>
    <x v="58"/>
    <x v="2"/>
    <n v="641"/>
    <n v="30"/>
    <n v="22"/>
    <n v="904.04"/>
    <n v="3.4320999999999997E-2"/>
    <n v="9"/>
    <n v="19"/>
    <n v="6"/>
    <n v="3"/>
    <n v="0"/>
    <n v="1"/>
    <n v="2"/>
    <n v="1"/>
    <s v="Review Required"/>
    <x v="58"/>
    <x v="0"/>
    <x v="0"/>
    <s v="Standard"/>
    <s v="28-11-2019"/>
    <n v="2"/>
    <n v="2802.3"/>
    <n v="0"/>
    <n v="0"/>
    <n v="2"/>
    <n v="1"/>
    <n v="1"/>
    <n v="12"/>
    <s v="60_2023"/>
    <n v="0"/>
    <n v="2"/>
    <n v="1"/>
    <n v="0"/>
    <n v="1"/>
    <n v="80"/>
    <x v="1"/>
  </r>
  <r>
    <x v="59"/>
    <x v="2"/>
    <n v="610"/>
    <n v="31"/>
    <n v="29"/>
    <n v="1043.05"/>
    <n v="4.7541E-2"/>
    <n v="12"/>
    <n v="14"/>
    <n v="4"/>
    <n v="10"/>
    <n v="0"/>
    <n v="3"/>
    <n v="4"/>
    <n v="1"/>
    <s v="Review Required"/>
    <x v="59"/>
    <x v="0"/>
    <x v="4"/>
    <s v="Verified"/>
    <s v="13-02-2018"/>
    <n v="1"/>
    <n v="553.47"/>
    <n v="0"/>
    <n v="1"/>
    <n v="0"/>
    <n v="0"/>
    <n v="0"/>
    <n v="1"/>
    <s v="61_2023"/>
    <n v="0"/>
    <n v="2"/>
    <n v="0"/>
    <n v="0"/>
    <n v="1"/>
    <n v="60"/>
    <x v="1"/>
  </r>
  <r>
    <x v="60"/>
    <x v="2"/>
    <n v="113"/>
    <n v="11"/>
    <n v="9"/>
    <n v="513.79"/>
    <n v="7.9645999999999995E-2"/>
    <n v="11"/>
    <n v="11"/>
    <n v="5"/>
    <n v="4"/>
    <n v="1"/>
    <n v="3"/>
    <n v="3"/>
    <n v="1"/>
    <s v="Restricted"/>
    <x v="60"/>
    <x v="0"/>
    <x v="1"/>
    <s v="Standard"/>
    <s v="20-10-2024"/>
    <n v="3"/>
    <n v="7817.05"/>
    <n v="2"/>
    <n v="3"/>
    <n v="0"/>
    <n v="2"/>
    <n v="1"/>
    <n v="20"/>
    <s v="62_2023"/>
    <n v="1"/>
    <n v="2"/>
    <n v="2"/>
    <n v="2"/>
    <n v="1"/>
    <n v="165"/>
    <x v="0"/>
  </r>
  <r>
    <x v="61"/>
    <x v="2"/>
    <n v="1926"/>
    <n v="212"/>
    <n v="196"/>
    <n v="17109.48"/>
    <n v="0.10176499999999999"/>
    <n v="67"/>
    <n v="67"/>
    <n v="31"/>
    <n v="32"/>
    <n v="1"/>
    <n v="8"/>
    <n v="11"/>
    <n v="15"/>
    <s v="Suspended"/>
    <x v="61"/>
    <x v="1"/>
    <x v="4"/>
    <s v="Standard"/>
    <s v="24-10-2018"/>
    <n v="5"/>
    <n v="6220.53"/>
    <n v="2"/>
    <n v="4"/>
    <n v="1"/>
    <n v="1"/>
    <n v="1"/>
    <n v="54"/>
    <s v="63_2023"/>
    <n v="2"/>
    <n v="2"/>
    <n v="2"/>
    <n v="2"/>
    <n v="2"/>
    <n v="200"/>
    <x v="0"/>
  </r>
  <r>
    <x v="62"/>
    <x v="2"/>
    <n v="1767"/>
    <n v="182"/>
    <n v="149"/>
    <n v="8459.07"/>
    <n v="8.4323999999999996E-2"/>
    <n v="41"/>
    <n v="51"/>
    <n v="32"/>
    <n v="11"/>
    <n v="1"/>
    <n v="6"/>
    <n v="7"/>
    <n v="9"/>
    <s v="Suspended"/>
    <x v="62"/>
    <x v="4"/>
    <x v="3"/>
    <s v="Verified"/>
    <s v="15-07-2017"/>
    <n v="6"/>
    <n v="17356.870000000003"/>
    <n v="5"/>
    <n v="5"/>
    <n v="1"/>
    <n v="5"/>
    <n v="3"/>
    <n v="65"/>
    <s v="64_2023"/>
    <n v="1"/>
    <n v="2"/>
    <n v="2"/>
    <n v="2"/>
    <n v="2"/>
    <n v="175"/>
    <x v="0"/>
  </r>
  <r>
    <x v="63"/>
    <x v="2"/>
    <n v="1824"/>
    <n v="106"/>
    <n v="80"/>
    <n v="2914.16"/>
    <n v="4.3860000000000003E-2"/>
    <n v="17"/>
    <n v="43"/>
    <n v="13"/>
    <n v="9"/>
    <n v="0"/>
    <n v="3"/>
    <n v="4"/>
    <n v="5"/>
    <s v="Review Required"/>
    <x v="63"/>
    <x v="0"/>
    <x v="1"/>
    <s v="Verified"/>
    <s v="04-07-2021"/>
    <n v="2"/>
    <n v="227.03"/>
    <n v="0"/>
    <n v="2"/>
    <n v="0"/>
    <n v="0"/>
    <n v="0"/>
    <n v="22"/>
    <s v="65_2023"/>
    <n v="0"/>
    <n v="2"/>
    <n v="1"/>
    <n v="0"/>
    <n v="1"/>
    <n v="80"/>
    <x v="1"/>
  </r>
  <r>
    <x v="64"/>
    <x v="2"/>
    <n v="388"/>
    <n v="15"/>
    <n v="12"/>
    <n v="298.33"/>
    <n v="3.0928000000000001E-2"/>
    <n v="2"/>
    <n v="14"/>
    <n v="3"/>
    <n v="3"/>
    <n v="1"/>
    <n v="2"/>
    <n v="2"/>
    <n v="1"/>
    <s v="Restricted"/>
    <x v="64"/>
    <x v="2"/>
    <x v="0"/>
    <s v="Strategic"/>
    <s v="04-08-2021"/>
    <n v="3"/>
    <n v="1828"/>
    <n v="1"/>
    <n v="1"/>
    <n v="2"/>
    <n v="1"/>
    <n v="1"/>
    <n v="13"/>
    <s v="66_2023"/>
    <n v="0"/>
    <n v="0"/>
    <n v="1"/>
    <n v="2"/>
    <n v="1"/>
    <n v="70"/>
    <x v="1"/>
  </r>
  <r>
    <x v="98"/>
    <x v="2"/>
    <n v="582"/>
    <n v="27"/>
    <n v="26"/>
    <n v="2564.4699999999998"/>
    <n v="4.4673999999999998E-2"/>
    <n v="12"/>
    <n v="17"/>
    <n v="6"/>
    <n v="7"/>
    <n v="0"/>
    <n v="2"/>
    <n v="3"/>
    <n v="1"/>
    <s v="Review Required"/>
    <x v="98"/>
    <x v="4"/>
    <x v="3"/>
    <s v="Verified"/>
    <s v="09-10-2022"/>
    <n v="2"/>
    <n v="2037.1200000000001"/>
    <n v="0"/>
    <n v="2"/>
    <n v="0"/>
    <n v="1"/>
    <n v="0"/>
    <n v="13"/>
    <s v="67_2023"/>
    <n v="0"/>
    <n v="2"/>
    <n v="1"/>
    <n v="0"/>
    <n v="1"/>
    <n v="80"/>
    <x v="1"/>
  </r>
  <r>
    <x v="65"/>
    <x v="2"/>
    <n v="686"/>
    <n v="75"/>
    <n v="67"/>
    <n v="7603.41"/>
    <n v="9.7668000000000005E-2"/>
    <n v="19"/>
    <n v="30"/>
    <n v="14"/>
    <n v="11"/>
    <n v="1"/>
    <n v="5"/>
    <n v="8"/>
    <n v="4"/>
    <s v="Suspended"/>
    <x v="65"/>
    <x v="2"/>
    <x v="0"/>
    <s v="Premium"/>
    <s v="17-08-2020"/>
    <n v="4"/>
    <n v="9873.66"/>
    <n v="2"/>
    <n v="0"/>
    <n v="4"/>
    <n v="2"/>
    <n v="2"/>
    <n v="47"/>
    <s v="68_2023"/>
    <n v="1"/>
    <n v="2"/>
    <n v="2"/>
    <n v="2"/>
    <n v="2"/>
    <n v="175"/>
    <x v="0"/>
  </r>
  <r>
    <x v="66"/>
    <x v="2"/>
    <n v="1542"/>
    <n v="134"/>
    <n v="99"/>
    <n v="9993.89"/>
    <n v="6.4201999999999995E-2"/>
    <n v="18"/>
    <n v="46"/>
    <n v="14"/>
    <n v="12"/>
    <n v="1"/>
    <n v="4"/>
    <n v="7"/>
    <n v="6"/>
    <s v="Suspended"/>
    <x v="66"/>
    <x v="0"/>
    <x v="2"/>
    <s v="Verified"/>
    <s v="11-06-2024"/>
    <n v="3"/>
    <n v="8036.29"/>
    <n v="0"/>
    <n v="0"/>
    <n v="3"/>
    <n v="3"/>
    <n v="1"/>
    <n v="30"/>
    <s v="69_2023"/>
    <n v="1"/>
    <n v="2"/>
    <n v="2"/>
    <n v="2"/>
    <n v="2"/>
    <n v="175"/>
    <x v="0"/>
  </r>
  <r>
    <x v="99"/>
    <x v="2"/>
    <n v="1070"/>
    <n v="98"/>
    <n v="86"/>
    <n v="7498.62"/>
    <n v="8.0374000000000001E-2"/>
    <n v="19"/>
    <n v="40"/>
    <n v="20"/>
    <n v="8"/>
    <n v="1"/>
    <n v="5"/>
    <n v="5"/>
    <n v="2"/>
    <s v="Suspended"/>
    <x v="99"/>
    <x v="4"/>
    <x v="3"/>
    <s v="Premium"/>
    <s v="09-06-2019"/>
    <n v="4"/>
    <n v="17922.72"/>
    <n v="2"/>
    <n v="3"/>
    <n v="1"/>
    <n v="3"/>
    <n v="2"/>
    <n v="28"/>
    <s v="70_2023"/>
    <n v="1"/>
    <n v="2"/>
    <n v="2"/>
    <n v="2"/>
    <n v="2"/>
    <n v="175"/>
    <x v="0"/>
  </r>
  <r>
    <x v="68"/>
    <x v="2"/>
    <n v="894"/>
    <n v="54"/>
    <n v="47"/>
    <n v="4664.16"/>
    <n v="5.2573000000000002E-2"/>
    <n v="32"/>
    <n v="32"/>
    <n v="7"/>
    <n v="11"/>
    <n v="0"/>
    <n v="4"/>
    <n v="6"/>
    <n v="3"/>
    <s v="Review Required"/>
    <x v="68"/>
    <x v="2"/>
    <x v="2"/>
    <s v="Premium"/>
    <s v="21-01-2018"/>
    <n v="3"/>
    <n v="3173.48"/>
    <n v="0"/>
    <n v="2"/>
    <n v="1"/>
    <n v="1"/>
    <n v="1"/>
    <n v="15"/>
    <s v="72_2023"/>
    <n v="1"/>
    <n v="2"/>
    <n v="1"/>
    <n v="0"/>
    <n v="1"/>
    <n v="105"/>
    <x v="1"/>
  </r>
  <r>
    <x v="69"/>
    <x v="2"/>
    <n v="455"/>
    <n v="43"/>
    <n v="33"/>
    <n v="2711.6"/>
    <n v="7.2526999999999994E-2"/>
    <n v="26"/>
    <n v="26"/>
    <n v="8"/>
    <n v="13"/>
    <n v="1"/>
    <n v="5"/>
    <n v="4"/>
    <n v="2"/>
    <s v="Suspended"/>
    <x v="69"/>
    <x v="0"/>
    <x v="2"/>
    <s v="Verified"/>
    <s v="23-08-2020"/>
    <n v="6"/>
    <n v="16468.11"/>
    <n v="1"/>
    <n v="4"/>
    <n v="2"/>
    <n v="4"/>
    <n v="2"/>
    <n v="60"/>
    <s v="73_2023"/>
    <n v="1"/>
    <n v="2"/>
    <n v="2"/>
    <n v="2"/>
    <n v="2"/>
    <n v="175"/>
    <x v="0"/>
  </r>
  <r>
    <x v="70"/>
    <x v="2"/>
    <n v="695"/>
    <n v="56"/>
    <n v="50"/>
    <n v="5215.5"/>
    <n v="7.1942000000000006E-2"/>
    <n v="17"/>
    <n v="21"/>
    <n v="10"/>
    <n v="12"/>
    <n v="1"/>
    <n v="4"/>
    <n v="5"/>
    <n v="3"/>
    <s v="Suspended"/>
    <x v="70"/>
    <x v="3"/>
    <x v="2"/>
    <s v="Premium"/>
    <s v="09-02-2019"/>
    <n v="5"/>
    <n v="12513.31"/>
    <n v="2"/>
    <n v="3"/>
    <n v="2"/>
    <n v="3"/>
    <n v="1"/>
    <n v="44"/>
    <s v="74_2023"/>
    <n v="1"/>
    <n v="2"/>
    <n v="2"/>
    <n v="2"/>
    <n v="2"/>
    <n v="175"/>
    <x v="0"/>
  </r>
  <r>
    <x v="72"/>
    <x v="2"/>
    <n v="1281"/>
    <n v="124"/>
    <n v="107"/>
    <n v="11240.78"/>
    <n v="8.3528000000000005E-2"/>
    <n v="33"/>
    <n v="41"/>
    <n v="21"/>
    <n v="18"/>
    <n v="1"/>
    <n v="5"/>
    <n v="8"/>
    <n v="3"/>
    <s v="Suspended"/>
    <x v="72"/>
    <x v="3"/>
    <x v="1"/>
    <s v="Premium"/>
    <s v="28-04-2023"/>
    <n v="5"/>
    <n v="9751.41"/>
    <n v="2"/>
    <n v="3"/>
    <n v="2"/>
    <n v="3"/>
    <n v="2"/>
    <n v="52"/>
    <s v="76_2023"/>
    <n v="1"/>
    <n v="2"/>
    <n v="2"/>
    <n v="2"/>
    <n v="2"/>
    <n v="175"/>
    <x v="0"/>
  </r>
  <r>
    <x v="73"/>
    <x v="2"/>
    <n v="1944"/>
    <n v="125"/>
    <n v="110"/>
    <n v="8151.46"/>
    <n v="5.6584000000000002E-2"/>
    <n v="19"/>
    <n v="42"/>
    <n v="11"/>
    <n v="11"/>
    <n v="0"/>
    <n v="2"/>
    <n v="4"/>
    <n v="9"/>
    <s v="Review Required"/>
    <x v="73"/>
    <x v="3"/>
    <x v="2"/>
    <s v="Premium"/>
    <s v="19-09-2019"/>
    <n v="1"/>
    <n v="2331.91"/>
    <n v="0"/>
    <n v="1"/>
    <n v="0"/>
    <n v="1"/>
    <n v="1"/>
    <n v="11"/>
    <s v="77_2023"/>
    <n v="1"/>
    <n v="2"/>
    <n v="1"/>
    <n v="0"/>
    <n v="1"/>
    <n v="105"/>
    <x v="1"/>
  </r>
  <r>
    <x v="74"/>
    <x v="2"/>
    <n v="573"/>
    <n v="38"/>
    <n v="28"/>
    <n v="1016.42"/>
    <n v="4.8866E-2"/>
    <n v="15"/>
    <n v="22"/>
    <n v="4"/>
    <n v="6"/>
    <n v="1"/>
    <n v="4"/>
    <n v="2"/>
    <n v="1"/>
    <s v="Suspended"/>
    <x v="74"/>
    <x v="3"/>
    <x v="2"/>
    <s v="Standard"/>
    <s v="26-08-2019"/>
    <n v="5"/>
    <n v="13240.21"/>
    <n v="1"/>
    <n v="4"/>
    <n v="1"/>
    <n v="3"/>
    <n v="3"/>
    <n v="64"/>
    <s v="78_2023"/>
    <n v="0"/>
    <n v="2"/>
    <n v="2"/>
    <n v="2"/>
    <n v="2"/>
    <n v="150"/>
    <x v="0"/>
  </r>
  <r>
    <x v="76"/>
    <x v="2"/>
    <n v="749"/>
    <n v="39"/>
    <n v="29"/>
    <n v="1891.16"/>
    <n v="3.8718000000000002E-2"/>
    <n v="13"/>
    <n v="15"/>
    <n v="6"/>
    <n v="7"/>
    <n v="0"/>
    <n v="2"/>
    <n v="3"/>
    <n v="2"/>
    <s v="Review Required"/>
    <x v="76"/>
    <x v="0"/>
    <x v="3"/>
    <s v="Verified"/>
    <s v="10-12-2019"/>
    <n v="1"/>
    <n v="227.3"/>
    <n v="0"/>
    <n v="0"/>
    <n v="1"/>
    <n v="0"/>
    <n v="0"/>
    <n v="11"/>
    <s v="80_2023"/>
    <n v="0"/>
    <n v="2"/>
    <n v="0"/>
    <n v="0"/>
    <n v="1"/>
    <n v="60"/>
    <x v="1"/>
  </r>
  <r>
    <x v="77"/>
    <x v="2"/>
    <n v="258"/>
    <n v="10"/>
    <n v="8"/>
    <n v="671.93"/>
    <n v="3.1008000000000001E-2"/>
    <n v="12"/>
    <n v="12"/>
    <n v="2"/>
    <n v="6"/>
    <n v="0"/>
    <n v="1"/>
    <n v="2"/>
    <n v="0"/>
    <s v="Review Required"/>
    <x v="77"/>
    <x v="4"/>
    <x v="2"/>
    <s v="Verified"/>
    <s v="06-03-2019"/>
    <n v="3"/>
    <n v="776.73"/>
    <n v="0"/>
    <n v="3"/>
    <n v="0"/>
    <n v="0"/>
    <n v="0"/>
    <n v="21"/>
    <s v="81_2023"/>
    <n v="0"/>
    <n v="2"/>
    <n v="1"/>
    <n v="0"/>
    <n v="1"/>
    <n v="80"/>
    <x v="1"/>
  </r>
  <r>
    <x v="78"/>
    <x v="2"/>
    <n v="292"/>
    <n v="24"/>
    <n v="20"/>
    <n v="2014.53"/>
    <n v="6.8492999999999998E-2"/>
    <n v="9"/>
    <n v="17"/>
    <n v="6"/>
    <n v="5"/>
    <n v="1"/>
    <n v="5"/>
    <n v="5"/>
    <n v="2"/>
    <s v="Suspended"/>
    <x v="78"/>
    <x v="1"/>
    <x v="4"/>
    <s v="Verified"/>
    <s v="01-11-2021"/>
    <n v="5"/>
    <n v="14091.029999999999"/>
    <n v="3"/>
    <n v="2"/>
    <n v="3"/>
    <n v="4"/>
    <n v="2"/>
    <n v="34"/>
    <s v="82_2023"/>
    <n v="1"/>
    <n v="2"/>
    <n v="2"/>
    <n v="2"/>
    <n v="2"/>
    <n v="175"/>
    <x v="0"/>
  </r>
  <r>
    <x v="79"/>
    <x v="2"/>
    <n v="587"/>
    <n v="60"/>
    <n v="52"/>
    <n v="4947.55"/>
    <n v="8.8585999999999998E-2"/>
    <n v="20"/>
    <n v="21"/>
    <n v="9"/>
    <n v="6"/>
    <n v="1"/>
    <n v="5"/>
    <n v="5"/>
    <n v="2"/>
    <s v="Suspended"/>
    <x v="79"/>
    <x v="4"/>
    <x v="4"/>
    <s v="Verified"/>
    <s v="28-08-2022"/>
    <n v="3"/>
    <n v="10527.35"/>
    <n v="3"/>
    <n v="1"/>
    <n v="2"/>
    <n v="3"/>
    <n v="1"/>
    <n v="15"/>
    <s v="83_2023"/>
    <n v="1"/>
    <n v="2"/>
    <n v="2"/>
    <n v="2"/>
    <n v="2"/>
    <n v="175"/>
    <x v="0"/>
  </r>
  <r>
    <x v="80"/>
    <x v="2"/>
    <n v="365"/>
    <n v="31"/>
    <n v="23"/>
    <n v="1246.75"/>
    <n v="6.3014000000000001E-2"/>
    <n v="12"/>
    <n v="19"/>
    <n v="6"/>
    <n v="8"/>
    <n v="1"/>
    <n v="3"/>
    <n v="4"/>
    <n v="2"/>
    <s v="Suspended"/>
    <x v="80"/>
    <x v="2"/>
    <x v="4"/>
    <s v="Verified"/>
    <s v="01-05-2023"/>
    <n v="4"/>
    <n v="11760.07"/>
    <n v="1"/>
    <n v="0"/>
    <n v="4"/>
    <n v="2"/>
    <n v="1"/>
    <n v="37"/>
    <s v="84_2023"/>
    <n v="1"/>
    <n v="2"/>
    <n v="2"/>
    <n v="2"/>
    <n v="2"/>
    <n v="175"/>
    <x v="0"/>
  </r>
  <r>
    <x v="81"/>
    <x v="2"/>
    <n v="919"/>
    <n v="50"/>
    <n v="47"/>
    <n v="4719.0200000000004"/>
    <n v="5.1143000000000001E-2"/>
    <n v="26"/>
    <n v="26"/>
    <n v="8"/>
    <n v="10"/>
    <n v="0"/>
    <n v="2"/>
    <n v="6"/>
    <n v="1"/>
    <s v="Review Required"/>
    <x v="81"/>
    <x v="2"/>
    <x v="1"/>
    <s v="Standard"/>
    <s v="21-04-2022"/>
    <n v="2"/>
    <n v="1019.9"/>
    <n v="0"/>
    <n v="1"/>
    <n v="1"/>
    <n v="0"/>
    <n v="1"/>
    <n v="24"/>
    <s v="85_2023"/>
    <n v="1"/>
    <n v="2"/>
    <n v="1"/>
    <n v="0"/>
    <n v="1"/>
    <n v="105"/>
    <x v="1"/>
  </r>
  <r>
    <x v="82"/>
    <x v="2"/>
    <n v="1559"/>
    <n v="130"/>
    <n v="99"/>
    <n v="9656.85"/>
    <n v="6.3502000000000003E-2"/>
    <n v="25"/>
    <n v="53"/>
    <n v="16"/>
    <n v="15"/>
    <n v="1"/>
    <n v="7"/>
    <n v="7"/>
    <n v="5"/>
    <s v="Suspended"/>
    <x v="82"/>
    <x v="0"/>
    <x v="3"/>
    <s v="Premium"/>
    <s v="19-01-2025"/>
    <n v="4"/>
    <n v="18986.509999999998"/>
    <n v="4"/>
    <n v="3"/>
    <n v="1"/>
    <n v="3"/>
    <n v="1"/>
    <n v="32"/>
    <s v="86_2023"/>
    <n v="1"/>
    <n v="2"/>
    <n v="2"/>
    <n v="2"/>
    <n v="2"/>
    <n v="175"/>
    <x v="0"/>
  </r>
  <r>
    <x v="83"/>
    <x v="2"/>
    <n v="777"/>
    <n v="83"/>
    <n v="70"/>
    <n v="3585.12"/>
    <n v="9.0090000000000003E-2"/>
    <n v="23"/>
    <n v="26"/>
    <n v="15"/>
    <n v="9"/>
    <n v="1"/>
    <n v="7"/>
    <n v="6"/>
    <n v="2"/>
    <s v="Suspended"/>
    <x v="83"/>
    <x v="4"/>
    <x v="4"/>
    <s v="Standard"/>
    <s v="09-03-2022"/>
    <n v="6"/>
    <n v="23770.98"/>
    <n v="1"/>
    <n v="2"/>
    <n v="4"/>
    <n v="6"/>
    <n v="2"/>
    <n v="86"/>
    <s v="87_2023"/>
    <n v="1"/>
    <n v="2"/>
    <n v="2"/>
    <n v="2"/>
    <n v="2"/>
    <n v="175"/>
    <x v="0"/>
  </r>
  <r>
    <x v="84"/>
    <x v="2"/>
    <n v="853"/>
    <n v="46"/>
    <n v="34"/>
    <n v="3459.02"/>
    <n v="3.9858999999999999E-2"/>
    <n v="14"/>
    <n v="18"/>
    <n v="7"/>
    <n v="6"/>
    <n v="0"/>
    <n v="1"/>
    <n v="3"/>
    <n v="2"/>
    <s v="Review Required"/>
    <x v="84"/>
    <x v="1"/>
    <x v="3"/>
    <s v="Verified"/>
    <s v="24-11-2020"/>
    <n v="1"/>
    <n v="356.62"/>
    <n v="0"/>
    <n v="1"/>
    <n v="0"/>
    <n v="0"/>
    <n v="0"/>
    <n v="7"/>
    <s v="88_2023"/>
    <n v="0"/>
    <n v="2"/>
    <n v="0"/>
    <n v="0"/>
    <n v="1"/>
    <n v="60"/>
    <x v="1"/>
  </r>
  <r>
    <x v="85"/>
    <x v="2"/>
    <n v="260"/>
    <n v="10"/>
    <n v="9"/>
    <n v="480.6"/>
    <n v="3.4615E-2"/>
    <n v="7"/>
    <n v="7"/>
    <n v="2"/>
    <n v="5"/>
    <n v="0"/>
    <n v="1"/>
    <n v="2"/>
    <n v="1"/>
    <s v="Review Required"/>
    <x v="85"/>
    <x v="2"/>
    <x v="0"/>
    <s v="Verified"/>
    <s v="22-06-2025"/>
    <n v="1"/>
    <n v="1095.73"/>
    <n v="0"/>
    <n v="1"/>
    <n v="0"/>
    <n v="0"/>
    <n v="0"/>
    <n v="8"/>
    <s v="89_2023"/>
    <n v="0"/>
    <n v="1"/>
    <n v="0"/>
    <n v="0"/>
    <n v="1"/>
    <n v="35"/>
    <x v="2"/>
  </r>
  <r>
    <x v="86"/>
    <x v="2"/>
    <n v="405"/>
    <n v="22"/>
    <n v="18"/>
    <n v="581.51"/>
    <n v="4.4443999999999997E-2"/>
    <n v="8"/>
    <n v="11"/>
    <n v="4"/>
    <n v="4"/>
    <n v="1"/>
    <n v="4"/>
    <n v="3"/>
    <n v="3"/>
    <s v="Restricted"/>
    <x v="86"/>
    <x v="1"/>
    <x v="3"/>
    <s v="Premium"/>
    <s v="08-10-2022"/>
    <n v="3"/>
    <n v="4325.7299999999996"/>
    <n v="1"/>
    <n v="1"/>
    <n v="2"/>
    <n v="1"/>
    <n v="2"/>
    <n v="31"/>
    <s v="90_2023"/>
    <n v="0"/>
    <n v="2"/>
    <n v="1"/>
    <n v="2"/>
    <n v="1"/>
    <n v="120"/>
    <x v="0"/>
  </r>
  <r>
    <x v="87"/>
    <x v="2"/>
    <n v="80"/>
    <n v="8"/>
    <n v="7"/>
    <n v="428.79"/>
    <n v="8.7499999999999994E-2"/>
    <n v="11"/>
    <n v="11"/>
    <n v="3"/>
    <n v="7"/>
    <n v="1"/>
    <n v="4"/>
    <n v="5"/>
    <n v="1"/>
    <s v="Suspended"/>
    <x v="87"/>
    <x v="0"/>
    <x v="3"/>
    <s v="Premium"/>
    <s v="04-02-2025"/>
    <n v="3"/>
    <n v="8756.36"/>
    <n v="2"/>
    <n v="0"/>
    <n v="3"/>
    <n v="3"/>
    <n v="3"/>
    <n v="35"/>
    <s v="91_2023"/>
    <n v="1"/>
    <n v="2"/>
    <n v="2"/>
    <n v="2"/>
    <n v="2"/>
    <n v="175"/>
    <x v="0"/>
  </r>
  <r>
    <x v="88"/>
    <x v="2"/>
    <n v="1310"/>
    <n v="99"/>
    <n v="77"/>
    <n v="4908.8599999999997"/>
    <n v="5.8778999999999998E-2"/>
    <n v="26"/>
    <n v="35"/>
    <n v="10"/>
    <n v="19"/>
    <n v="1"/>
    <n v="7"/>
    <n v="7"/>
    <n v="5"/>
    <s v="Suspended"/>
    <x v="88"/>
    <x v="4"/>
    <x v="2"/>
    <s v="Verified"/>
    <s v="21-07-2020"/>
    <n v="2"/>
    <n v="8140.87"/>
    <n v="1"/>
    <n v="0"/>
    <n v="2"/>
    <n v="2"/>
    <n v="1"/>
    <n v="17"/>
    <s v="92_2023"/>
    <n v="1"/>
    <n v="2"/>
    <n v="2"/>
    <n v="2"/>
    <n v="2"/>
    <n v="175"/>
    <x v="0"/>
  </r>
  <r>
    <x v="89"/>
    <x v="2"/>
    <n v="1353"/>
    <n v="77"/>
    <n v="67"/>
    <n v="3495.82"/>
    <n v="4.9520000000000002E-2"/>
    <n v="19"/>
    <n v="29"/>
    <n v="10"/>
    <n v="11"/>
    <n v="0"/>
    <n v="1"/>
    <n v="5"/>
    <n v="3"/>
    <s v="Review Required"/>
    <x v="89"/>
    <x v="1"/>
    <x v="2"/>
    <s v="Strategic"/>
    <s v="22-02-2023"/>
    <n v="2"/>
    <n v="1062.46"/>
    <n v="0"/>
    <n v="2"/>
    <n v="0"/>
    <n v="0"/>
    <n v="0"/>
    <n v="4"/>
    <s v="93_2023"/>
    <n v="0"/>
    <n v="2"/>
    <n v="1"/>
    <n v="0"/>
    <n v="1"/>
    <n v="80"/>
    <x v="1"/>
  </r>
  <r>
    <x v="90"/>
    <x v="2"/>
    <n v="531"/>
    <n v="22"/>
    <n v="17"/>
    <n v="729.53"/>
    <n v="3.2015000000000002E-2"/>
    <n v="8"/>
    <n v="18"/>
    <n v="4"/>
    <n v="3"/>
    <n v="0"/>
    <n v="1"/>
    <n v="2"/>
    <n v="1"/>
    <s v="Restricted"/>
    <x v="90"/>
    <x v="1"/>
    <x v="3"/>
    <s v="Standard"/>
    <s v="26-01-2017"/>
    <n v="3"/>
    <n v="6660.9000000000005"/>
    <n v="0"/>
    <n v="0"/>
    <n v="3"/>
    <n v="2"/>
    <n v="2"/>
    <n v="19"/>
    <s v="94_2023"/>
    <n v="0"/>
    <n v="2"/>
    <n v="2"/>
    <n v="0"/>
    <n v="1"/>
    <n v="100"/>
    <x v="1"/>
  </r>
  <r>
    <x v="91"/>
    <x v="2"/>
    <n v="676"/>
    <n v="37"/>
    <n v="33"/>
    <n v="2982.38"/>
    <n v="4.8816999999999999E-2"/>
    <n v="13"/>
    <n v="16"/>
    <n v="4"/>
    <n v="7"/>
    <n v="0"/>
    <n v="2"/>
    <n v="2"/>
    <n v="2"/>
    <s v="Restricted"/>
    <x v="91"/>
    <x v="4"/>
    <x v="1"/>
    <s v="Verified"/>
    <s v="26-03-2022"/>
    <n v="3"/>
    <n v="7629.52"/>
    <n v="0"/>
    <n v="2"/>
    <n v="1"/>
    <n v="2"/>
    <n v="2"/>
    <n v="22"/>
    <s v="95_2023"/>
    <n v="0"/>
    <n v="2"/>
    <n v="2"/>
    <n v="0"/>
    <n v="1"/>
    <n v="100"/>
    <x v="1"/>
  </r>
  <r>
    <x v="92"/>
    <x v="2"/>
    <n v="1070"/>
    <n v="88"/>
    <n v="76"/>
    <n v="8557.0400000000009"/>
    <n v="7.1027999999999994E-2"/>
    <n v="18"/>
    <n v="31"/>
    <n v="19"/>
    <n v="7"/>
    <n v="1"/>
    <n v="4"/>
    <n v="5"/>
    <n v="5"/>
    <s v="Suspended"/>
    <x v="92"/>
    <x v="3"/>
    <x v="3"/>
    <s v="Verified"/>
    <s v="12-01-2019"/>
    <n v="3"/>
    <n v="11775.939999999999"/>
    <n v="2"/>
    <n v="2"/>
    <n v="1"/>
    <n v="3"/>
    <n v="2"/>
    <n v="29"/>
    <s v="96_2023"/>
    <n v="1"/>
    <n v="2"/>
    <n v="2"/>
    <n v="2"/>
    <n v="2"/>
    <n v="175"/>
    <x v="0"/>
  </r>
  <r>
    <x v="93"/>
    <x v="2"/>
    <n v="170"/>
    <n v="15"/>
    <n v="14"/>
    <n v="1114.6400000000001"/>
    <n v="8.2352999999999996E-2"/>
    <n v="16"/>
    <n v="16"/>
    <n v="4"/>
    <n v="7"/>
    <n v="1"/>
    <n v="6"/>
    <n v="6"/>
    <n v="2"/>
    <s v="Suspended"/>
    <x v="93"/>
    <x v="4"/>
    <x v="3"/>
    <s v="Standard"/>
    <s v="25-08-2025"/>
    <n v="5"/>
    <n v="20553.490000000002"/>
    <n v="3"/>
    <n v="1"/>
    <n v="4"/>
    <n v="5"/>
    <n v="3"/>
    <n v="52"/>
    <s v="97_2023"/>
    <n v="1"/>
    <n v="2"/>
    <n v="2"/>
    <n v="2"/>
    <n v="2"/>
    <n v="175"/>
    <x v="0"/>
  </r>
  <r>
    <x v="94"/>
    <x v="2"/>
    <n v="457"/>
    <n v="41"/>
    <n v="33"/>
    <n v="3184.11"/>
    <n v="7.2209999999999996E-2"/>
    <n v="17"/>
    <n v="17"/>
    <n v="9"/>
    <n v="8"/>
    <n v="1"/>
    <n v="5"/>
    <n v="3"/>
    <n v="1"/>
    <s v="Suspended"/>
    <x v="94"/>
    <x v="4"/>
    <x v="4"/>
    <s v="Verified"/>
    <s v="16-01-2017"/>
    <n v="6"/>
    <n v="21353.66"/>
    <n v="1"/>
    <n v="5"/>
    <n v="1"/>
    <n v="4"/>
    <n v="2"/>
    <n v="50"/>
    <s v="98_2023"/>
    <n v="1"/>
    <n v="2"/>
    <n v="2"/>
    <n v="2"/>
    <n v="2"/>
    <n v="175"/>
    <x v="0"/>
  </r>
  <r>
    <x v="95"/>
    <x v="2"/>
    <n v="174"/>
    <n v="13"/>
    <n v="9"/>
    <n v="421.1"/>
    <n v="5.1723999999999999E-2"/>
    <n v="11"/>
    <n v="11"/>
    <n v="3"/>
    <n v="6"/>
    <n v="1"/>
    <n v="6"/>
    <n v="4"/>
    <n v="2"/>
    <s v="Suspended"/>
    <x v="95"/>
    <x v="2"/>
    <x v="0"/>
    <s v="Premium"/>
    <s v="09-03-2018"/>
    <n v="6"/>
    <n v="19743.989999999998"/>
    <n v="3"/>
    <n v="2"/>
    <n v="4"/>
    <n v="5"/>
    <n v="2"/>
    <n v="51"/>
    <s v="99_2023"/>
    <n v="1"/>
    <n v="2"/>
    <n v="2"/>
    <n v="2"/>
    <n v="2"/>
    <n v="175"/>
    <x v="0"/>
  </r>
  <r>
    <x v="96"/>
    <x v="2"/>
    <n v="1110"/>
    <n v="72"/>
    <n v="64"/>
    <n v="5043.08"/>
    <n v="5.7658000000000001E-2"/>
    <n v="20"/>
    <n v="26"/>
    <n v="10"/>
    <n v="10"/>
    <n v="0"/>
    <n v="3"/>
    <n v="4"/>
    <n v="4"/>
    <s v="Review Required"/>
    <x v="96"/>
    <x v="4"/>
    <x v="0"/>
    <s v="Verified"/>
    <s v="04-12-2018"/>
    <n v="1"/>
    <n v="539.64"/>
    <n v="0"/>
    <n v="1"/>
    <n v="0"/>
    <n v="0"/>
    <n v="0"/>
    <n v="7"/>
    <s v="100_2023"/>
    <n v="1"/>
    <n v="2"/>
    <n v="0"/>
    <n v="0"/>
    <n v="1"/>
    <n v="85"/>
    <x v="1"/>
  </r>
  <r>
    <x v="0"/>
    <x v="3"/>
    <n v="80"/>
    <n v="2"/>
    <n v="2"/>
    <n v="92.54"/>
    <n v="2.5000000000000001E-2"/>
    <n v="1"/>
    <n v="1"/>
    <n v="1"/>
    <n v="1"/>
    <n v="0"/>
    <n v="0"/>
    <n v="1"/>
    <n v="0"/>
    <s v="Watchlist"/>
    <x v="0"/>
    <x v="0"/>
    <x v="0"/>
    <s v="Standard"/>
    <s v="01-01-2023"/>
    <n v="1"/>
    <n v="1362.14"/>
    <n v="0"/>
    <n v="0"/>
    <n v="1"/>
    <n v="0"/>
    <n v="0"/>
    <n v="5"/>
    <s v="1_2024"/>
    <n v="0"/>
    <n v="0"/>
    <n v="0"/>
    <n v="0"/>
    <n v="1"/>
    <n v="10"/>
    <x v="2"/>
  </r>
  <r>
    <x v="1"/>
    <x v="3"/>
    <n v="715"/>
    <n v="67"/>
    <n v="61"/>
    <n v="6166.17"/>
    <n v="8.5315000000000002E-2"/>
    <n v="16"/>
    <n v="21"/>
    <n v="9"/>
    <n v="8"/>
    <n v="0"/>
    <n v="2"/>
    <n v="4"/>
    <n v="4"/>
    <s v="Restricted"/>
    <x v="1"/>
    <x v="1"/>
    <x v="1"/>
    <s v="Verified"/>
    <s v="25-01-2022"/>
    <n v="4"/>
    <n v="4292.62"/>
    <n v="0"/>
    <n v="2"/>
    <n v="2"/>
    <n v="2"/>
    <n v="1"/>
    <n v="20"/>
    <s v="2_2024"/>
    <n v="1"/>
    <n v="2"/>
    <n v="2"/>
    <n v="0"/>
    <n v="1"/>
    <n v="125"/>
    <x v="0"/>
  </r>
  <r>
    <x v="2"/>
    <x v="3"/>
    <n v="1520"/>
    <n v="154"/>
    <n v="141"/>
    <n v="12904.42"/>
    <n v="9.2762999999999998E-2"/>
    <n v="42"/>
    <n v="51"/>
    <n v="27"/>
    <n v="16"/>
    <n v="1"/>
    <n v="7"/>
    <n v="7"/>
    <n v="12"/>
    <s v="Suspended"/>
    <x v="2"/>
    <x v="0"/>
    <x v="2"/>
    <s v="Standard"/>
    <s v="20-06-2023"/>
    <n v="6"/>
    <n v="15444.659999999998"/>
    <n v="4"/>
    <n v="5"/>
    <n v="1"/>
    <n v="6"/>
    <n v="3"/>
    <n v="64"/>
    <s v="3_2024"/>
    <n v="1"/>
    <n v="2"/>
    <n v="2"/>
    <n v="2"/>
    <n v="2"/>
    <n v="175"/>
    <x v="0"/>
  </r>
  <r>
    <x v="3"/>
    <x v="3"/>
    <n v="1520"/>
    <n v="82"/>
    <n v="65"/>
    <n v="6104.62"/>
    <n v="4.2763000000000002E-2"/>
    <n v="24"/>
    <n v="32"/>
    <n v="13"/>
    <n v="10"/>
    <n v="1"/>
    <n v="3"/>
    <n v="7"/>
    <n v="4"/>
    <s v="Suspended"/>
    <x v="3"/>
    <x v="2"/>
    <x v="0"/>
    <s v="Standard"/>
    <s v="03-12-2021"/>
    <n v="2"/>
    <n v="810.68"/>
    <n v="1"/>
    <n v="1"/>
    <n v="1"/>
    <n v="0"/>
    <n v="0"/>
    <n v="21"/>
    <s v="4_2024"/>
    <n v="0"/>
    <n v="2"/>
    <n v="1"/>
    <n v="2"/>
    <n v="2"/>
    <n v="130"/>
    <x v="0"/>
  </r>
  <r>
    <x v="4"/>
    <x v="3"/>
    <n v="1146"/>
    <n v="96"/>
    <n v="92"/>
    <n v="6953.46"/>
    <n v="8.0279000000000003E-2"/>
    <n v="21"/>
    <n v="40"/>
    <n v="16"/>
    <n v="11"/>
    <n v="0"/>
    <n v="1"/>
    <n v="6"/>
    <n v="2"/>
    <s v="Restricted"/>
    <x v="4"/>
    <x v="2"/>
    <x v="2"/>
    <s v="Standard"/>
    <s v="12-06-2020"/>
    <n v="4"/>
    <n v="9883.9"/>
    <n v="0"/>
    <n v="1"/>
    <n v="3"/>
    <n v="1"/>
    <n v="2"/>
    <n v="29"/>
    <s v="5_2024"/>
    <n v="1"/>
    <n v="2"/>
    <n v="1"/>
    <n v="0"/>
    <n v="1"/>
    <n v="105"/>
    <x v="1"/>
  </r>
  <r>
    <x v="5"/>
    <x v="3"/>
    <n v="142"/>
    <n v="3"/>
    <n v="3"/>
    <n v="68.150000000000006"/>
    <n v="2.1127E-2"/>
    <n v="4"/>
    <n v="5"/>
    <n v="1"/>
    <n v="3"/>
    <n v="0"/>
    <n v="0"/>
    <n v="1"/>
    <n v="0"/>
    <s v="Review Required"/>
    <x v="5"/>
    <x v="3"/>
    <x v="1"/>
    <s v="Premium"/>
    <s v="21-05-2023"/>
    <n v="3"/>
    <n v="2094.23"/>
    <n v="0"/>
    <n v="2"/>
    <n v="1"/>
    <n v="0"/>
    <n v="0"/>
    <n v="11"/>
    <s v="6_2024"/>
    <n v="0"/>
    <n v="1"/>
    <n v="1"/>
    <n v="0"/>
    <n v="1"/>
    <n v="55"/>
    <x v="2"/>
  </r>
  <r>
    <x v="6"/>
    <x v="3"/>
    <n v="979"/>
    <n v="45"/>
    <n v="35"/>
    <n v="1568.86"/>
    <n v="3.5750999999999998E-2"/>
    <n v="9"/>
    <n v="19"/>
    <n v="6"/>
    <n v="7"/>
    <n v="0"/>
    <n v="3"/>
    <n v="3"/>
    <n v="2"/>
    <s v="Review Required"/>
    <x v="6"/>
    <x v="2"/>
    <x v="2"/>
    <s v="Premium"/>
    <s v="19-04-2018"/>
    <n v="1"/>
    <n v="838.12"/>
    <n v="0"/>
    <n v="1"/>
    <n v="0"/>
    <n v="0"/>
    <n v="0"/>
    <n v="1"/>
    <s v="7_2024"/>
    <n v="0"/>
    <n v="2"/>
    <n v="0"/>
    <n v="0"/>
    <n v="1"/>
    <n v="60"/>
    <x v="1"/>
  </r>
  <r>
    <x v="7"/>
    <x v="3"/>
    <n v="862"/>
    <n v="80"/>
    <n v="73"/>
    <n v="5984.42"/>
    <n v="8.4686999999999998E-2"/>
    <n v="26"/>
    <n v="29"/>
    <n v="10"/>
    <n v="11"/>
    <n v="1"/>
    <n v="5"/>
    <n v="6"/>
    <n v="2"/>
    <s v="Suspended"/>
    <x v="7"/>
    <x v="2"/>
    <x v="1"/>
    <s v="Verified"/>
    <s v="19-12-2021"/>
    <n v="5"/>
    <n v="14535.04"/>
    <n v="2"/>
    <n v="4"/>
    <n v="1"/>
    <n v="3"/>
    <n v="1"/>
    <n v="46"/>
    <s v="8_2024"/>
    <n v="1"/>
    <n v="2"/>
    <n v="2"/>
    <n v="2"/>
    <n v="2"/>
    <n v="175"/>
    <x v="0"/>
  </r>
  <r>
    <x v="8"/>
    <x v="3"/>
    <n v="891"/>
    <n v="57"/>
    <n v="54"/>
    <n v="4553.0200000000004"/>
    <n v="6.0606E-2"/>
    <n v="14"/>
    <n v="25"/>
    <n v="10"/>
    <n v="7"/>
    <n v="0"/>
    <n v="2"/>
    <n v="2"/>
    <n v="1"/>
    <s v="Review Required"/>
    <x v="8"/>
    <x v="0"/>
    <x v="3"/>
    <s v="Strategic"/>
    <s v="14-11-2020"/>
    <n v="2"/>
    <n v="2341.4699999999998"/>
    <n v="0"/>
    <n v="2"/>
    <n v="0"/>
    <n v="1"/>
    <n v="0"/>
    <n v="23"/>
    <s v="9_2024"/>
    <n v="1"/>
    <n v="2"/>
    <n v="1"/>
    <n v="0"/>
    <n v="1"/>
    <n v="105"/>
    <x v="1"/>
  </r>
  <r>
    <x v="9"/>
    <x v="3"/>
    <n v="483"/>
    <n v="41"/>
    <n v="31"/>
    <n v="1964.53"/>
    <n v="6.4182000000000003E-2"/>
    <n v="20"/>
    <n v="20"/>
    <n v="9"/>
    <n v="11"/>
    <n v="1"/>
    <n v="7"/>
    <n v="6"/>
    <n v="1"/>
    <s v="Suspended"/>
    <x v="9"/>
    <x v="0"/>
    <x v="3"/>
    <s v="Standard"/>
    <s v="11-11-2022"/>
    <n v="6"/>
    <n v="18139.02"/>
    <n v="5"/>
    <n v="4"/>
    <n v="2"/>
    <n v="6"/>
    <n v="4"/>
    <n v="52"/>
    <s v="10_2024"/>
    <n v="1"/>
    <n v="2"/>
    <n v="2"/>
    <n v="2"/>
    <n v="2"/>
    <n v="175"/>
    <x v="0"/>
  </r>
  <r>
    <x v="97"/>
    <x v="3"/>
    <n v="1441"/>
    <n v="92"/>
    <n v="88"/>
    <n v="5349.04"/>
    <n v="6.1068999999999998E-2"/>
    <n v="35"/>
    <n v="40"/>
    <n v="13"/>
    <n v="15"/>
    <n v="0"/>
    <n v="4"/>
    <n v="5"/>
    <n v="5"/>
    <s v="Review Required"/>
    <x v="97"/>
    <x v="4"/>
    <x v="1"/>
    <s v="Strategic"/>
    <s v="10-11-2018"/>
    <n v="2"/>
    <n v="3036.39"/>
    <n v="0"/>
    <n v="2"/>
    <n v="0"/>
    <n v="1"/>
    <n v="1"/>
    <n v="11"/>
    <s v="11_2024"/>
    <n v="1"/>
    <n v="2"/>
    <n v="1"/>
    <n v="0"/>
    <n v="1"/>
    <n v="105"/>
    <x v="1"/>
  </r>
  <r>
    <x v="11"/>
    <x v="3"/>
    <n v="676"/>
    <n v="71"/>
    <n v="67"/>
    <n v="5673.45"/>
    <n v="9.9112000000000006E-2"/>
    <n v="39"/>
    <n v="39"/>
    <n v="9"/>
    <n v="21"/>
    <n v="1"/>
    <n v="6"/>
    <n v="11"/>
    <n v="4"/>
    <s v="Suspended"/>
    <x v="11"/>
    <x v="4"/>
    <x v="3"/>
    <s v="Premium"/>
    <s v="25-02-2025"/>
    <n v="6"/>
    <n v="17789.759999999998"/>
    <n v="2"/>
    <n v="2"/>
    <n v="4"/>
    <n v="5"/>
    <n v="0"/>
    <n v="94"/>
    <s v="13_2024"/>
    <n v="1"/>
    <n v="2"/>
    <n v="2"/>
    <n v="2"/>
    <n v="2"/>
    <n v="175"/>
    <x v="0"/>
  </r>
  <r>
    <x v="12"/>
    <x v="3"/>
    <n v="421"/>
    <n v="19"/>
    <n v="15"/>
    <n v="1390.97"/>
    <n v="3.5629000000000001E-2"/>
    <n v="8"/>
    <n v="14"/>
    <n v="2"/>
    <n v="6"/>
    <n v="0"/>
    <n v="2"/>
    <n v="2"/>
    <n v="1"/>
    <s v="Review Required"/>
    <x v="12"/>
    <x v="4"/>
    <x v="2"/>
    <s v="Strategic"/>
    <s v="10-12-2020"/>
    <n v="1"/>
    <n v="1449.09"/>
    <n v="0"/>
    <n v="0"/>
    <n v="1"/>
    <n v="0"/>
    <n v="1"/>
    <n v="5"/>
    <s v="14_2024"/>
    <n v="0"/>
    <n v="2"/>
    <n v="0"/>
    <n v="0"/>
    <n v="1"/>
    <n v="60"/>
    <x v="1"/>
  </r>
  <r>
    <x v="13"/>
    <x v="3"/>
    <n v="1910"/>
    <n v="194"/>
    <n v="146"/>
    <n v="9294.44"/>
    <n v="7.6439999999999994E-2"/>
    <n v="31"/>
    <n v="55"/>
    <n v="20"/>
    <n v="15"/>
    <n v="1"/>
    <n v="4"/>
    <n v="7"/>
    <n v="6"/>
    <s v="Suspended"/>
    <x v="13"/>
    <x v="0"/>
    <x v="4"/>
    <s v="Premium"/>
    <s v="08-10-2021"/>
    <n v="5"/>
    <n v="15609.21"/>
    <n v="1"/>
    <n v="0"/>
    <n v="5"/>
    <n v="3"/>
    <n v="2"/>
    <n v="47"/>
    <s v="15_2024"/>
    <n v="1"/>
    <n v="2"/>
    <n v="2"/>
    <n v="2"/>
    <n v="2"/>
    <n v="175"/>
    <x v="0"/>
  </r>
  <r>
    <x v="14"/>
    <x v="3"/>
    <n v="1014"/>
    <n v="98"/>
    <n v="81"/>
    <n v="7626.47"/>
    <n v="7.9881999999999995E-2"/>
    <n v="23"/>
    <n v="33"/>
    <n v="18"/>
    <n v="8"/>
    <n v="0"/>
    <n v="2"/>
    <n v="5"/>
    <n v="2"/>
    <s v="Suspended"/>
    <x v="14"/>
    <x v="4"/>
    <x v="1"/>
    <s v="Standard"/>
    <s v="18-04-2025"/>
    <n v="3"/>
    <n v="10733.58"/>
    <n v="0"/>
    <n v="2"/>
    <n v="1"/>
    <n v="3"/>
    <n v="1"/>
    <n v="33"/>
    <s v="16_2024"/>
    <n v="1"/>
    <n v="2"/>
    <n v="2"/>
    <n v="0"/>
    <n v="2"/>
    <n v="135"/>
    <x v="0"/>
  </r>
  <r>
    <x v="15"/>
    <x v="3"/>
    <n v="1152"/>
    <n v="105"/>
    <n v="83"/>
    <n v="4842.93"/>
    <n v="7.2049000000000002E-2"/>
    <n v="24"/>
    <n v="32"/>
    <n v="14"/>
    <n v="12"/>
    <n v="0"/>
    <n v="3"/>
    <n v="6"/>
    <n v="3"/>
    <s v="Restricted"/>
    <x v="15"/>
    <x v="3"/>
    <x v="3"/>
    <s v="Premium"/>
    <s v="14-06-2023"/>
    <n v="4"/>
    <n v="7977.3900000000012"/>
    <n v="0"/>
    <n v="3"/>
    <n v="1"/>
    <n v="2"/>
    <n v="2"/>
    <n v="29"/>
    <s v="17_2024"/>
    <n v="1"/>
    <n v="2"/>
    <n v="2"/>
    <n v="0"/>
    <n v="1"/>
    <n v="125"/>
    <x v="0"/>
  </r>
  <r>
    <x v="16"/>
    <x v="3"/>
    <n v="827"/>
    <n v="38"/>
    <n v="33"/>
    <n v="3090.15"/>
    <n v="3.9903000000000001E-2"/>
    <n v="10"/>
    <n v="19"/>
    <n v="5"/>
    <n v="9"/>
    <n v="0"/>
    <n v="3"/>
    <n v="4"/>
    <n v="2"/>
    <s v="Review Required"/>
    <x v="16"/>
    <x v="2"/>
    <x v="3"/>
    <s v="Premium"/>
    <s v="18-04-2020"/>
    <n v="3"/>
    <n v="2324.5500000000002"/>
    <n v="0"/>
    <n v="2"/>
    <n v="1"/>
    <n v="1"/>
    <n v="1"/>
    <n v="24"/>
    <s v="18_2024"/>
    <n v="0"/>
    <n v="2"/>
    <n v="1"/>
    <n v="0"/>
    <n v="1"/>
    <n v="80"/>
    <x v="1"/>
  </r>
  <r>
    <x v="17"/>
    <x v="3"/>
    <n v="2185"/>
    <n v="248"/>
    <n v="188"/>
    <n v="14317.93"/>
    <n v="8.6041000000000006E-2"/>
    <n v="52"/>
    <n v="80"/>
    <n v="20"/>
    <n v="15"/>
    <n v="1"/>
    <n v="5"/>
    <n v="10"/>
    <n v="7"/>
    <s v="Suspended"/>
    <x v="17"/>
    <x v="4"/>
    <x v="3"/>
    <s v="Standard"/>
    <s v="25-02-2018"/>
    <n v="6"/>
    <n v="14407.199999999999"/>
    <n v="1"/>
    <n v="2"/>
    <n v="4"/>
    <n v="4"/>
    <n v="4"/>
    <n v="56"/>
    <s v="19_2024"/>
    <n v="1"/>
    <n v="2"/>
    <n v="2"/>
    <n v="2"/>
    <n v="2"/>
    <n v="175"/>
    <x v="0"/>
  </r>
  <r>
    <x v="18"/>
    <x v="3"/>
    <n v="1108"/>
    <n v="84"/>
    <n v="80"/>
    <n v="6114.36"/>
    <n v="7.2202000000000002E-2"/>
    <n v="18"/>
    <n v="36"/>
    <n v="10"/>
    <n v="5"/>
    <n v="0"/>
    <n v="1"/>
    <n v="3"/>
    <n v="3"/>
    <s v="Restricted"/>
    <x v="18"/>
    <x v="1"/>
    <x v="3"/>
    <s v="Verified"/>
    <s v="10-08-2021"/>
    <n v="5"/>
    <n v="6356.09"/>
    <n v="0"/>
    <n v="4"/>
    <n v="1"/>
    <n v="2"/>
    <n v="2"/>
    <n v="54"/>
    <s v="20_2024"/>
    <n v="1"/>
    <n v="2"/>
    <n v="2"/>
    <n v="0"/>
    <n v="1"/>
    <n v="125"/>
    <x v="0"/>
  </r>
  <r>
    <x v="19"/>
    <x v="3"/>
    <n v="1962"/>
    <n v="181"/>
    <n v="169"/>
    <n v="16802.5"/>
    <n v="8.6137000000000005E-2"/>
    <n v="27"/>
    <n v="58"/>
    <n v="26"/>
    <n v="12"/>
    <n v="1"/>
    <n v="7"/>
    <n v="7"/>
    <n v="13"/>
    <s v="Suspended"/>
    <x v="19"/>
    <x v="2"/>
    <x v="1"/>
    <s v="Verified"/>
    <s v="11-12-2018"/>
    <n v="6"/>
    <n v="23401.57"/>
    <n v="4"/>
    <n v="2"/>
    <n v="4"/>
    <n v="6"/>
    <n v="2"/>
    <n v="55"/>
    <s v="21_2024"/>
    <n v="1"/>
    <n v="2"/>
    <n v="2"/>
    <n v="2"/>
    <n v="2"/>
    <n v="175"/>
    <x v="0"/>
  </r>
  <r>
    <x v="20"/>
    <x v="3"/>
    <n v="723"/>
    <n v="38"/>
    <n v="31"/>
    <n v="2303.17"/>
    <n v="4.2876999999999998E-2"/>
    <n v="12"/>
    <n v="18"/>
    <n v="4"/>
    <n v="7"/>
    <n v="1"/>
    <n v="4"/>
    <n v="4"/>
    <n v="3"/>
    <s v="Suspended"/>
    <x v="20"/>
    <x v="0"/>
    <x v="1"/>
    <s v="Strategic"/>
    <s v="28-11-2018"/>
    <n v="1"/>
    <n v="6316.69"/>
    <n v="1"/>
    <n v="1"/>
    <n v="0"/>
    <n v="1"/>
    <n v="0"/>
    <n v="9"/>
    <s v="22_2024"/>
    <n v="0"/>
    <n v="2"/>
    <n v="1"/>
    <n v="2"/>
    <n v="2"/>
    <n v="130"/>
    <x v="0"/>
  </r>
  <r>
    <x v="21"/>
    <x v="3"/>
    <n v="426"/>
    <n v="21"/>
    <n v="20"/>
    <n v="1925.98"/>
    <n v="4.6947999999999997E-2"/>
    <n v="15"/>
    <n v="15"/>
    <n v="4"/>
    <n v="5"/>
    <n v="1"/>
    <n v="2"/>
    <n v="3"/>
    <n v="1"/>
    <s v="Suspended"/>
    <x v="21"/>
    <x v="1"/>
    <x v="0"/>
    <s v="Standard"/>
    <s v="07-05-2023"/>
    <n v="1"/>
    <n v="3138.49"/>
    <n v="1"/>
    <n v="1"/>
    <n v="0"/>
    <n v="1"/>
    <n v="1"/>
    <n v="3"/>
    <s v="23_2024"/>
    <n v="0"/>
    <n v="2"/>
    <n v="1"/>
    <n v="2"/>
    <n v="2"/>
    <n v="130"/>
    <x v="0"/>
  </r>
  <r>
    <x v="22"/>
    <x v="3"/>
    <n v="872"/>
    <n v="49"/>
    <n v="45"/>
    <n v="3543.49"/>
    <n v="5.1605999999999999E-2"/>
    <n v="15"/>
    <n v="18"/>
    <n v="5"/>
    <n v="8"/>
    <n v="0"/>
    <n v="2"/>
    <n v="2"/>
    <n v="3"/>
    <s v="Review Required"/>
    <x v="22"/>
    <x v="0"/>
    <x v="3"/>
    <s v="Verified"/>
    <s v="18-02-2018"/>
    <n v="1"/>
    <n v="187.83"/>
    <n v="0"/>
    <n v="1"/>
    <n v="0"/>
    <n v="0"/>
    <n v="0"/>
    <n v="12"/>
    <s v="24_2024"/>
    <n v="1"/>
    <n v="2"/>
    <n v="0"/>
    <n v="0"/>
    <n v="1"/>
    <n v="85"/>
    <x v="1"/>
  </r>
  <r>
    <x v="23"/>
    <x v="3"/>
    <n v="1583"/>
    <n v="109"/>
    <n v="96"/>
    <n v="7518.14"/>
    <n v="6.0644000000000003E-2"/>
    <n v="18"/>
    <n v="40"/>
    <n v="11"/>
    <n v="18"/>
    <n v="1"/>
    <n v="6"/>
    <n v="9"/>
    <n v="8"/>
    <s v="Suspended"/>
    <x v="23"/>
    <x v="3"/>
    <x v="2"/>
    <s v="Strategic"/>
    <s v="26-10-2021"/>
    <n v="2"/>
    <n v="8220.9"/>
    <n v="1"/>
    <n v="0"/>
    <n v="2"/>
    <n v="1"/>
    <n v="2"/>
    <n v="14"/>
    <s v="25_2024"/>
    <n v="1"/>
    <n v="2"/>
    <n v="1"/>
    <n v="2"/>
    <n v="2"/>
    <n v="155"/>
    <x v="0"/>
  </r>
  <r>
    <x v="24"/>
    <x v="3"/>
    <n v="892"/>
    <n v="91"/>
    <n v="66"/>
    <n v="3591.2"/>
    <n v="7.3991000000000001E-2"/>
    <n v="29"/>
    <n v="34"/>
    <n v="10"/>
    <n v="10"/>
    <n v="0"/>
    <n v="3"/>
    <n v="6"/>
    <n v="2"/>
    <s v="Restricted"/>
    <x v="24"/>
    <x v="3"/>
    <x v="4"/>
    <s v="Standard"/>
    <s v="18-12-2019"/>
    <n v="4"/>
    <n v="5583.71"/>
    <n v="0"/>
    <n v="3"/>
    <n v="1"/>
    <n v="2"/>
    <n v="0"/>
    <n v="23"/>
    <s v="26_2024"/>
    <n v="1"/>
    <n v="2"/>
    <n v="2"/>
    <n v="0"/>
    <n v="1"/>
    <n v="125"/>
    <x v="0"/>
  </r>
  <r>
    <x v="25"/>
    <x v="3"/>
    <n v="603"/>
    <n v="56"/>
    <n v="46"/>
    <n v="1951.27"/>
    <n v="7.6285000000000006E-2"/>
    <n v="18"/>
    <n v="23"/>
    <n v="7"/>
    <n v="8"/>
    <n v="1"/>
    <n v="5"/>
    <n v="6"/>
    <n v="5"/>
    <s v="Suspended"/>
    <x v="25"/>
    <x v="4"/>
    <x v="2"/>
    <s v="Standard"/>
    <s v="21-02-2018"/>
    <n v="3"/>
    <n v="7507.29"/>
    <n v="2"/>
    <n v="0"/>
    <n v="3"/>
    <n v="2"/>
    <n v="3"/>
    <n v="51"/>
    <s v="27_2024"/>
    <n v="1"/>
    <n v="2"/>
    <n v="2"/>
    <n v="2"/>
    <n v="2"/>
    <n v="175"/>
    <x v="0"/>
  </r>
  <r>
    <x v="27"/>
    <x v="3"/>
    <n v="251"/>
    <n v="12"/>
    <n v="11"/>
    <n v="987.38"/>
    <n v="4.3825000000000003E-2"/>
    <n v="11"/>
    <n v="11"/>
    <n v="2"/>
    <n v="5"/>
    <n v="0"/>
    <n v="1"/>
    <n v="3"/>
    <n v="1"/>
    <s v="Restricted"/>
    <x v="27"/>
    <x v="1"/>
    <x v="1"/>
    <s v="Standard"/>
    <s v="26-06-2021"/>
    <n v="3"/>
    <n v="6866.51"/>
    <n v="0"/>
    <n v="0"/>
    <n v="3"/>
    <n v="2"/>
    <n v="2"/>
    <n v="17"/>
    <s v="29_2024"/>
    <n v="0"/>
    <n v="2"/>
    <n v="2"/>
    <n v="0"/>
    <n v="1"/>
    <n v="100"/>
    <x v="1"/>
  </r>
  <r>
    <x v="28"/>
    <x v="3"/>
    <n v="208"/>
    <n v="10"/>
    <n v="8"/>
    <n v="722.6"/>
    <n v="3.8462000000000003E-2"/>
    <n v="17"/>
    <n v="17"/>
    <n v="2"/>
    <n v="6"/>
    <n v="0"/>
    <n v="2"/>
    <n v="3"/>
    <n v="0"/>
    <s v="Review Required"/>
    <x v="28"/>
    <x v="4"/>
    <x v="2"/>
    <s v="Premium"/>
    <s v="28-04-2019"/>
    <n v="1"/>
    <n v="927.46"/>
    <n v="0"/>
    <n v="1"/>
    <n v="0"/>
    <n v="0"/>
    <n v="0"/>
    <n v="7"/>
    <s v="30_2024"/>
    <n v="0"/>
    <n v="2"/>
    <n v="0"/>
    <n v="0"/>
    <n v="1"/>
    <n v="60"/>
    <x v="1"/>
  </r>
  <r>
    <x v="29"/>
    <x v="3"/>
    <n v="725"/>
    <n v="45"/>
    <n v="34"/>
    <n v="1994.8"/>
    <n v="4.6897000000000001E-2"/>
    <n v="24"/>
    <n v="24"/>
    <n v="6"/>
    <n v="10"/>
    <n v="0"/>
    <n v="4"/>
    <n v="6"/>
    <n v="2"/>
    <s v="Review Required"/>
    <x v="29"/>
    <x v="1"/>
    <x v="1"/>
    <s v="Verified"/>
    <s v="04-12-2020"/>
    <n v="2"/>
    <n v="1718.5900000000001"/>
    <n v="0"/>
    <n v="1"/>
    <n v="1"/>
    <n v="0"/>
    <n v="1"/>
    <n v="13"/>
    <s v="31_2024"/>
    <n v="0"/>
    <n v="2"/>
    <n v="1"/>
    <n v="0"/>
    <n v="1"/>
    <n v="80"/>
    <x v="1"/>
  </r>
  <r>
    <x v="30"/>
    <x v="3"/>
    <n v="1320"/>
    <n v="79"/>
    <n v="72"/>
    <n v="3602.38"/>
    <n v="5.4545000000000003E-2"/>
    <n v="19"/>
    <n v="34"/>
    <n v="11"/>
    <n v="11"/>
    <n v="0"/>
    <n v="2"/>
    <n v="3"/>
    <n v="5"/>
    <s v="Review Required"/>
    <x v="30"/>
    <x v="3"/>
    <x v="1"/>
    <s v="Verified"/>
    <s v="11-07-2020"/>
    <n v="3"/>
    <n v="1772.7499999999998"/>
    <n v="0"/>
    <n v="2"/>
    <n v="1"/>
    <n v="0"/>
    <n v="2"/>
    <n v="23"/>
    <s v="32_2024"/>
    <n v="1"/>
    <n v="2"/>
    <n v="1"/>
    <n v="0"/>
    <n v="1"/>
    <n v="105"/>
    <x v="1"/>
  </r>
  <r>
    <x v="31"/>
    <x v="3"/>
    <n v="663"/>
    <n v="29"/>
    <n v="21"/>
    <n v="1984.94"/>
    <n v="3.1674000000000001E-2"/>
    <n v="7"/>
    <n v="16"/>
    <n v="5"/>
    <n v="3"/>
    <n v="0"/>
    <n v="1"/>
    <n v="1"/>
    <n v="2"/>
    <s v="Review Required"/>
    <x v="31"/>
    <x v="4"/>
    <x v="4"/>
    <s v="Standard"/>
    <s v="06-05-2019"/>
    <n v="2"/>
    <n v="1064.0999999999999"/>
    <n v="0"/>
    <n v="1"/>
    <n v="1"/>
    <n v="0"/>
    <n v="0"/>
    <n v="10"/>
    <s v="33_2024"/>
    <n v="0"/>
    <n v="1"/>
    <n v="1"/>
    <n v="0"/>
    <n v="1"/>
    <n v="55"/>
    <x v="2"/>
  </r>
  <r>
    <x v="32"/>
    <x v="3"/>
    <n v="1130"/>
    <n v="117"/>
    <n v="100"/>
    <n v="5153.66"/>
    <n v="8.8496000000000005E-2"/>
    <n v="20"/>
    <n v="41"/>
    <n v="18"/>
    <n v="17"/>
    <n v="1"/>
    <n v="8"/>
    <n v="8"/>
    <n v="5"/>
    <s v="Suspended"/>
    <x v="32"/>
    <x v="1"/>
    <x v="0"/>
    <s v="Verified"/>
    <s v="19-07-2019"/>
    <n v="3"/>
    <n v="7894.91"/>
    <n v="2"/>
    <n v="1"/>
    <n v="2"/>
    <n v="2"/>
    <n v="2"/>
    <n v="23"/>
    <s v="34_2024"/>
    <n v="1"/>
    <n v="2"/>
    <n v="2"/>
    <n v="2"/>
    <n v="2"/>
    <n v="175"/>
    <x v="0"/>
  </r>
  <r>
    <x v="33"/>
    <x v="3"/>
    <n v="493"/>
    <n v="43"/>
    <n v="31"/>
    <n v="2454.1799999999998"/>
    <n v="6.2880000000000005E-2"/>
    <n v="12"/>
    <n v="20"/>
    <n v="7"/>
    <n v="7"/>
    <n v="1"/>
    <n v="6"/>
    <n v="6"/>
    <n v="1"/>
    <s v="Suspended"/>
    <x v="33"/>
    <x v="3"/>
    <x v="4"/>
    <s v="Verified"/>
    <s v="11-11-2019"/>
    <n v="6"/>
    <n v="29197.22"/>
    <n v="3"/>
    <n v="4"/>
    <n v="2"/>
    <n v="5"/>
    <n v="1"/>
    <n v="68"/>
    <s v="35_2024"/>
    <n v="1"/>
    <n v="2"/>
    <n v="2"/>
    <n v="2"/>
    <n v="2"/>
    <n v="175"/>
    <x v="0"/>
  </r>
  <r>
    <x v="34"/>
    <x v="3"/>
    <n v="1291"/>
    <n v="67"/>
    <n v="62"/>
    <n v="1917.7"/>
    <n v="4.8024999999999998E-2"/>
    <n v="15"/>
    <n v="31"/>
    <n v="8"/>
    <n v="12"/>
    <n v="1"/>
    <n v="4"/>
    <n v="5"/>
    <n v="5"/>
    <s v="Suspended"/>
    <x v="34"/>
    <x v="2"/>
    <x v="2"/>
    <s v="Strategic"/>
    <s v="14-04-2020"/>
    <n v="1"/>
    <n v="3808.85"/>
    <n v="1"/>
    <n v="0"/>
    <n v="1"/>
    <n v="1"/>
    <n v="1"/>
    <n v="10"/>
    <s v="36_2024"/>
    <n v="0"/>
    <n v="2"/>
    <n v="1"/>
    <n v="2"/>
    <n v="2"/>
    <n v="130"/>
    <x v="0"/>
  </r>
  <r>
    <x v="35"/>
    <x v="3"/>
    <n v="556"/>
    <n v="26"/>
    <n v="21"/>
    <n v="812.81"/>
    <n v="3.7769999999999998E-2"/>
    <n v="15"/>
    <n v="15"/>
    <n v="5"/>
    <n v="6"/>
    <n v="0"/>
    <n v="1"/>
    <n v="3"/>
    <n v="1"/>
    <s v="Review Required"/>
    <x v="35"/>
    <x v="0"/>
    <x v="4"/>
    <s v="Standard"/>
    <s v="26-07-2021"/>
    <n v="1"/>
    <n v="299.29000000000002"/>
    <n v="0"/>
    <n v="1"/>
    <n v="0"/>
    <n v="0"/>
    <n v="0"/>
    <n v="10"/>
    <s v="37_2024"/>
    <n v="0"/>
    <n v="2"/>
    <n v="0"/>
    <n v="0"/>
    <n v="1"/>
    <n v="60"/>
    <x v="1"/>
  </r>
  <r>
    <x v="36"/>
    <x v="3"/>
    <n v="722"/>
    <n v="37"/>
    <n v="29"/>
    <n v="1688.51"/>
    <n v="4.0166E-2"/>
    <n v="7"/>
    <n v="13"/>
    <n v="5"/>
    <n v="6"/>
    <n v="0"/>
    <n v="2"/>
    <n v="3"/>
    <n v="2"/>
    <s v="Review Required"/>
    <x v="36"/>
    <x v="3"/>
    <x v="3"/>
    <s v="Verified"/>
    <s v="27-02-2022"/>
    <n v="3"/>
    <n v="3133.3500000000004"/>
    <n v="0"/>
    <n v="2"/>
    <n v="1"/>
    <n v="1"/>
    <n v="2"/>
    <n v="20"/>
    <s v="38_2024"/>
    <n v="0"/>
    <n v="1"/>
    <n v="1"/>
    <n v="0"/>
    <n v="1"/>
    <n v="55"/>
    <x v="2"/>
  </r>
  <r>
    <x v="37"/>
    <x v="3"/>
    <n v="1168"/>
    <n v="112"/>
    <n v="94"/>
    <n v="10694.74"/>
    <n v="8.0478999999999995E-2"/>
    <n v="24"/>
    <n v="34"/>
    <n v="13"/>
    <n v="9"/>
    <n v="1"/>
    <n v="5"/>
    <n v="6"/>
    <n v="6"/>
    <s v="Suspended"/>
    <x v="37"/>
    <x v="1"/>
    <x v="0"/>
    <s v="Premium"/>
    <s v="21-07-2025"/>
    <n v="6"/>
    <n v="11899.800000000001"/>
    <n v="4"/>
    <n v="5"/>
    <n v="1"/>
    <n v="3"/>
    <n v="1"/>
    <n v="48"/>
    <s v="39_2024"/>
    <n v="1"/>
    <n v="2"/>
    <n v="2"/>
    <n v="2"/>
    <n v="2"/>
    <n v="175"/>
    <x v="0"/>
  </r>
  <r>
    <x v="38"/>
    <x v="3"/>
    <n v="859"/>
    <n v="48"/>
    <n v="38"/>
    <n v="2955.94"/>
    <n v="4.4236999999999999E-2"/>
    <n v="16"/>
    <n v="18"/>
    <n v="9"/>
    <n v="9"/>
    <n v="1"/>
    <n v="2"/>
    <n v="2"/>
    <n v="1"/>
    <s v="Suspended"/>
    <x v="38"/>
    <x v="0"/>
    <x v="2"/>
    <s v="Standard"/>
    <s v="17-12-2020"/>
    <n v="1"/>
    <n v="26.47"/>
    <n v="1"/>
    <n v="1"/>
    <n v="0"/>
    <n v="0"/>
    <n v="0"/>
    <n v="3"/>
    <s v="40_2024"/>
    <n v="0"/>
    <n v="2"/>
    <n v="0"/>
    <n v="2"/>
    <n v="2"/>
    <n v="110"/>
    <x v="1"/>
  </r>
  <r>
    <x v="39"/>
    <x v="3"/>
    <n v="1781"/>
    <n v="112"/>
    <n v="92"/>
    <n v="5141.79"/>
    <n v="5.1656000000000001E-2"/>
    <n v="30"/>
    <n v="41"/>
    <n v="14"/>
    <n v="17"/>
    <n v="0"/>
    <n v="4"/>
    <n v="7"/>
    <n v="3"/>
    <s v="Review Required"/>
    <x v="39"/>
    <x v="4"/>
    <x v="0"/>
    <s v="Standard"/>
    <s v="20-08-2023"/>
    <n v="1"/>
    <n v="3654.85"/>
    <n v="0"/>
    <n v="1"/>
    <n v="0"/>
    <n v="1"/>
    <n v="0"/>
    <n v="8"/>
    <s v="41_2024"/>
    <n v="1"/>
    <n v="2"/>
    <n v="1"/>
    <n v="0"/>
    <n v="1"/>
    <n v="105"/>
    <x v="1"/>
  </r>
  <r>
    <x v="40"/>
    <x v="3"/>
    <n v="745"/>
    <n v="53"/>
    <n v="46"/>
    <n v="2766.77"/>
    <n v="6.1745000000000001E-2"/>
    <n v="14"/>
    <n v="21"/>
    <n v="6"/>
    <n v="9"/>
    <n v="1"/>
    <n v="4"/>
    <n v="5"/>
    <n v="1"/>
    <s v="Suspended"/>
    <x v="40"/>
    <x v="1"/>
    <x v="2"/>
    <s v="Strategic"/>
    <s v="09-11-2020"/>
    <n v="4"/>
    <n v="6031.8200000000006"/>
    <n v="3"/>
    <n v="3"/>
    <n v="1"/>
    <n v="1"/>
    <n v="2"/>
    <n v="34"/>
    <s v="42_2024"/>
    <n v="1"/>
    <n v="2"/>
    <n v="1"/>
    <n v="2"/>
    <n v="2"/>
    <n v="155"/>
    <x v="0"/>
  </r>
  <r>
    <x v="41"/>
    <x v="3"/>
    <n v="415"/>
    <n v="32"/>
    <n v="26"/>
    <n v="2153.7199999999998"/>
    <n v="6.2650999999999998E-2"/>
    <n v="12"/>
    <n v="20"/>
    <n v="5"/>
    <n v="6"/>
    <n v="0"/>
    <n v="1"/>
    <n v="3"/>
    <n v="1"/>
    <s v="Restricted"/>
    <x v="41"/>
    <x v="2"/>
    <x v="4"/>
    <s v="Verified"/>
    <s v="05-03-2018"/>
    <n v="4"/>
    <n v="9020.07"/>
    <n v="0"/>
    <n v="1"/>
    <n v="3"/>
    <n v="2"/>
    <n v="1"/>
    <n v="33"/>
    <s v="43_2024"/>
    <n v="1"/>
    <n v="2"/>
    <n v="2"/>
    <n v="0"/>
    <n v="1"/>
    <n v="125"/>
    <x v="0"/>
  </r>
  <r>
    <x v="42"/>
    <x v="3"/>
    <n v="544"/>
    <n v="44"/>
    <n v="40"/>
    <n v="1780.4"/>
    <n v="7.3528999999999997E-2"/>
    <n v="18"/>
    <n v="24"/>
    <n v="10"/>
    <n v="10"/>
    <n v="1"/>
    <n v="4"/>
    <n v="5"/>
    <n v="2"/>
    <s v="Suspended"/>
    <x v="42"/>
    <x v="1"/>
    <x v="3"/>
    <s v="Standard"/>
    <s v="25-07-2023"/>
    <n v="4"/>
    <n v="14752.98"/>
    <n v="1"/>
    <n v="2"/>
    <n v="2"/>
    <n v="3"/>
    <n v="1"/>
    <n v="35"/>
    <s v="44_2024"/>
    <n v="1"/>
    <n v="2"/>
    <n v="2"/>
    <n v="2"/>
    <n v="2"/>
    <n v="175"/>
    <x v="0"/>
  </r>
  <r>
    <x v="43"/>
    <x v="3"/>
    <n v="1117"/>
    <n v="62"/>
    <n v="46"/>
    <n v="1406.23"/>
    <n v="4.1182000000000003E-2"/>
    <n v="23"/>
    <n v="28"/>
    <n v="10"/>
    <n v="10"/>
    <n v="1"/>
    <n v="4"/>
    <n v="4"/>
    <n v="3"/>
    <s v="Suspended"/>
    <x v="43"/>
    <x v="2"/>
    <x v="4"/>
    <s v="Premium"/>
    <s v="24-09-2023"/>
    <n v="3"/>
    <n v="4599.2599999999993"/>
    <n v="3"/>
    <n v="1"/>
    <n v="2"/>
    <n v="2"/>
    <n v="2"/>
    <n v="21"/>
    <s v="45_2024"/>
    <n v="0"/>
    <n v="2"/>
    <n v="2"/>
    <n v="2"/>
    <n v="2"/>
    <n v="150"/>
    <x v="0"/>
  </r>
  <r>
    <x v="44"/>
    <x v="3"/>
    <n v="617"/>
    <n v="34"/>
    <n v="26"/>
    <n v="1002.68"/>
    <n v="4.2139000000000003E-2"/>
    <n v="17"/>
    <n v="19"/>
    <n v="6"/>
    <n v="6"/>
    <n v="0"/>
    <n v="2"/>
    <n v="5"/>
    <n v="2"/>
    <s v="Review Required"/>
    <x v="44"/>
    <x v="1"/>
    <x v="4"/>
    <s v="Verified"/>
    <s v="05-08-2020"/>
    <n v="1"/>
    <n v="106.58"/>
    <n v="0"/>
    <n v="1"/>
    <n v="0"/>
    <n v="0"/>
    <n v="0"/>
    <n v="8"/>
    <s v="46_2024"/>
    <n v="0"/>
    <n v="2"/>
    <n v="0"/>
    <n v="0"/>
    <n v="1"/>
    <n v="60"/>
    <x v="1"/>
  </r>
  <r>
    <x v="45"/>
    <x v="3"/>
    <n v="2029"/>
    <n v="197"/>
    <n v="177"/>
    <n v="14862.3"/>
    <n v="8.7234999999999993E-2"/>
    <n v="34"/>
    <n v="67"/>
    <n v="18"/>
    <n v="13"/>
    <n v="1"/>
    <n v="5"/>
    <n v="8"/>
    <n v="5"/>
    <s v="Suspended"/>
    <x v="45"/>
    <x v="1"/>
    <x v="1"/>
    <s v="Verified"/>
    <s v="09-01-2020"/>
    <n v="6"/>
    <n v="15585.03"/>
    <n v="4"/>
    <n v="3"/>
    <n v="3"/>
    <n v="3"/>
    <n v="4"/>
    <n v="64"/>
    <s v="47_2024"/>
    <n v="1"/>
    <n v="2"/>
    <n v="2"/>
    <n v="2"/>
    <n v="2"/>
    <n v="175"/>
    <x v="0"/>
  </r>
  <r>
    <x v="46"/>
    <x v="3"/>
    <n v="608"/>
    <n v="58"/>
    <n v="51"/>
    <n v="5216"/>
    <n v="8.3881999999999998E-2"/>
    <n v="18"/>
    <n v="26"/>
    <n v="7"/>
    <n v="9"/>
    <n v="1"/>
    <n v="5"/>
    <n v="6"/>
    <n v="2"/>
    <s v="Suspended"/>
    <x v="46"/>
    <x v="1"/>
    <x v="4"/>
    <s v="Premium"/>
    <s v="24-01-2025"/>
    <n v="5"/>
    <n v="15460.46"/>
    <n v="2"/>
    <n v="3"/>
    <n v="2"/>
    <n v="4"/>
    <n v="3"/>
    <n v="52"/>
    <s v="48_2024"/>
    <n v="1"/>
    <n v="2"/>
    <n v="2"/>
    <n v="2"/>
    <n v="2"/>
    <n v="175"/>
    <x v="0"/>
  </r>
  <r>
    <x v="47"/>
    <x v="3"/>
    <n v="1661"/>
    <n v="161"/>
    <n v="135"/>
    <n v="11874.48"/>
    <n v="8.1276000000000001E-2"/>
    <n v="31"/>
    <n v="53"/>
    <n v="20"/>
    <n v="14"/>
    <n v="1"/>
    <n v="7"/>
    <n v="8"/>
    <n v="7"/>
    <s v="Suspended"/>
    <x v="47"/>
    <x v="0"/>
    <x v="1"/>
    <s v="Verified"/>
    <s v="05-10-2018"/>
    <n v="5"/>
    <n v="14289.91"/>
    <n v="3"/>
    <n v="3"/>
    <n v="2"/>
    <n v="4"/>
    <n v="2"/>
    <n v="36"/>
    <s v="49_2024"/>
    <n v="1"/>
    <n v="2"/>
    <n v="2"/>
    <n v="2"/>
    <n v="2"/>
    <n v="175"/>
    <x v="0"/>
  </r>
  <r>
    <x v="48"/>
    <x v="3"/>
    <n v="130"/>
    <n v="10"/>
    <n v="8"/>
    <n v="398.78"/>
    <n v="6.1538000000000002E-2"/>
    <n v="9"/>
    <n v="9"/>
    <n v="3"/>
    <n v="6"/>
    <n v="1"/>
    <n v="6"/>
    <n v="4"/>
    <n v="1"/>
    <s v="Suspended"/>
    <x v="48"/>
    <x v="2"/>
    <x v="1"/>
    <s v="Strategic"/>
    <s v="10-03-2019"/>
    <n v="6"/>
    <n v="20803.93"/>
    <n v="4"/>
    <n v="3"/>
    <n v="3"/>
    <n v="5"/>
    <n v="5"/>
    <n v="49"/>
    <s v="50_2024"/>
    <n v="1"/>
    <n v="2"/>
    <n v="2"/>
    <n v="2"/>
    <n v="2"/>
    <n v="175"/>
    <x v="0"/>
  </r>
  <r>
    <x v="49"/>
    <x v="3"/>
    <n v="1246"/>
    <n v="109"/>
    <n v="94"/>
    <n v="6908.62"/>
    <n v="7.5440999999999994E-2"/>
    <n v="22"/>
    <n v="42"/>
    <n v="12"/>
    <n v="12"/>
    <n v="1"/>
    <n v="5"/>
    <n v="7"/>
    <n v="6"/>
    <s v="Suspended"/>
    <x v="49"/>
    <x v="3"/>
    <x v="3"/>
    <s v="Premium"/>
    <s v="23-02-2020"/>
    <n v="5"/>
    <n v="12582.78"/>
    <n v="3"/>
    <n v="2"/>
    <n v="3"/>
    <n v="4"/>
    <n v="2"/>
    <n v="39"/>
    <s v="51_2024"/>
    <n v="1"/>
    <n v="2"/>
    <n v="2"/>
    <n v="2"/>
    <n v="2"/>
    <n v="175"/>
    <x v="0"/>
  </r>
  <r>
    <x v="50"/>
    <x v="3"/>
    <n v="2555"/>
    <n v="269"/>
    <n v="231"/>
    <n v="24837.49"/>
    <n v="9.0411000000000005E-2"/>
    <n v="32"/>
    <n v="84"/>
    <n v="35"/>
    <n v="19"/>
    <n v="1"/>
    <n v="10"/>
    <n v="8"/>
    <n v="14"/>
    <s v="Suspended"/>
    <x v="50"/>
    <x v="2"/>
    <x v="0"/>
    <s v="Standard"/>
    <s v="17-02-2023"/>
    <n v="4"/>
    <n v="10436.17"/>
    <n v="3"/>
    <n v="3"/>
    <n v="1"/>
    <n v="3"/>
    <n v="2"/>
    <n v="50"/>
    <s v="52_2024"/>
    <n v="1"/>
    <n v="2"/>
    <n v="2"/>
    <n v="2"/>
    <n v="2"/>
    <n v="175"/>
    <x v="0"/>
  </r>
  <r>
    <x v="51"/>
    <x v="3"/>
    <n v="1719"/>
    <n v="154"/>
    <n v="124"/>
    <n v="10715.34"/>
    <n v="7.2135000000000005E-2"/>
    <n v="27"/>
    <n v="46"/>
    <n v="15"/>
    <n v="10"/>
    <n v="1"/>
    <n v="6"/>
    <n v="6"/>
    <n v="6"/>
    <s v="Suspended"/>
    <x v="51"/>
    <x v="1"/>
    <x v="1"/>
    <s v="Premium"/>
    <s v="17-12-2019"/>
    <n v="6"/>
    <n v="18018.46"/>
    <n v="4"/>
    <n v="5"/>
    <n v="1"/>
    <n v="5"/>
    <n v="3"/>
    <n v="73"/>
    <s v="53_2024"/>
    <n v="1"/>
    <n v="2"/>
    <n v="2"/>
    <n v="2"/>
    <n v="2"/>
    <n v="175"/>
    <x v="0"/>
  </r>
  <r>
    <x v="52"/>
    <x v="3"/>
    <n v="645"/>
    <n v="34"/>
    <n v="27"/>
    <n v="1584.8"/>
    <n v="4.1860000000000001E-2"/>
    <n v="17"/>
    <n v="19"/>
    <n v="5"/>
    <n v="6"/>
    <n v="0"/>
    <n v="1"/>
    <n v="3"/>
    <n v="2"/>
    <s v="Review Required"/>
    <x v="52"/>
    <x v="4"/>
    <x v="4"/>
    <s v="Verified"/>
    <s v="09-02-2021"/>
    <n v="1"/>
    <n v="1268.2"/>
    <n v="0"/>
    <n v="0"/>
    <n v="1"/>
    <n v="0"/>
    <n v="1"/>
    <n v="9"/>
    <s v="54_2024"/>
    <n v="0"/>
    <n v="2"/>
    <n v="0"/>
    <n v="0"/>
    <n v="1"/>
    <n v="60"/>
    <x v="1"/>
  </r>
  <r>
    <x v="53"/>
    <x v="3"/>
    <n v="1354"/>
    <n v="80"/>
    <n v="74"/>
    <n v="2951.3"/>
    <n v="5.4653E-2"/>
    <n v="20"/>
    <n v="35"/>
    <n v="7"/>
    <n v="6"/>
    <n v="0"/>
    <n v="1"/>
    <n v="3"/>
    <n v="2"/>
    <s v="Review Required"/>
    <x v="53"/>
    <x v="2"/>
    <x v="1"/>
    <s v="Verified"/>
    <s v="26-06-2021"/>
    <n v="2"/>
    <n v="631.53"/>
    <n v="0"/>
    <n v="1"/>
    <n v="1"/>
    <n v="0"/>
    <n v="1"/>
    <n v="18"/>
    <s v="55_2024"/>
    <n v="1"/>
    <n v="2"/>
    <n v="1"/>
    <n v="0"/>
    <n v="1"/>
    <n v="105"/>
    <x v="1"/>
  </r>
  <r>
    <x v="54"/>
    <x v="3"/>
    <n v="612"/>
    <n v="32"/>
    <n v="25"/>
    <n v="1035.3"/>
    <n v="4.0849999999999997E-2"/>
    <n v="17"/>
    <n v="17"/>
    <n v="6"/>
    <n v="6"/>
    <n v="0"/>
    <n v="2"/>
    <n v="3"/>
    <n v="1"/>
    <s v="Restricted"/>
    <x v="54"/>
    <x v="3"/>
    <x v="3"/>
    <s v="Strategic"/>
    <s v="18-08-2023"/>
    <n v="1"/>
    <n v="5109.3900000000003"/>
    <n v="0"/>
    <n v="1"/>
    <n v="0"/>
    <n v="1"/>
    <n v="0"/>
    <n v="3"/>
    <s v="56_2024"/>
    <n v="0"/>
    <n v="2"/>
    <n v="1"/>
    <n v="0"/>
    <n v="1"/>
    <n v="80"/>
    <x v="1"/>
  </r>
  <r>
    <x v="55"/>
    <x v="3"/>
    <n v="391"/>
    <n v="38"/>
    <n v="33"/>
    <n v="3377.7"/>
    <n v="8.4399000000000002E-2"/>
    <n v="8"/>
    <n v="18"/>
    <n v="8"/>
    <n v="4"/>
    <n v="1"/>
    <n v="4"/>
    <n v="3"/>
    <n v="3"/>
    <s v="Restricted"/>
    <x v="55"/>
    <x v="3"/>
    <x v="2"/>
    <s v="Premium"/>
    <s v="19-11-2021"/>
    <n v="4"/>
    <n v="6697.8900000000012"/>
    <n v="0"/>
    <n v="3"/>
    <n v="1"/>
    <n v="3"/>
    <n v="1"/>
    <n v="40"/>
    <s v="57_2024"/>
    <n v="1"/>
    <n v="2"/>
    <n v="2"/>
    <n v="2"/>
    <n v="1"/>
    <n v="165"/>
    <x v="0"/>
  </r>
  <r>
    <x v="56"/>
    <x v="3"/>
    <n v="1367"/>
    <n v="116"/>
    <n v="102"/>
    <n v="6078.7"/>
    <n v="7.4616000000000002E-2"/>
    <n v="12"/>
    <n v="41"/>
    <n v="17"/>
    <n v="6"/>
    <n v="1"/>
    <n v="5"/>
    <n v="5"/>
    <n v="9"/>
    <s v="Suspended"/>
    <x v="56"/>
    <x v="1"/>
    <x v="4"/>
    <s v="Strategic"/>
    <s v="04-04-2021"/>
    <n v="4"/>
    <n v="23420.469999999998"/>
    <n v="2"/>
    <n v="2"/>
    <n v="2"/>
    <n v="4"/>
    <n v="3"/>
    <n v="40"/>
    <s v="58_2024"/>
    <n v="1"/>
    <n v="2"/>
    <n v="2"/>
    <n v="2"/>
    <n v="2"/>
    <n v="175"/>
    <x v="0"/>
  </r>
  <r>
    <x v="57"/>
    <x v="3"/>
    <n v="197"/>
    <n v="7"/>
    <n v="7"/>
    <n v="380.42"/>
    <n v="3.5533000000000002E-2"/>
    <n v="6"/>
    <n v="6"/>
    <n v="2"/>
    <n v="2"/>
    <n v="1"/>
    <n v="4"/>
    <n v="3"/>
    <n v="2"/>
    <s v="Review Required"/>
    <x v="57"/>
    <x v="1"/>
    <x v="4"/>
    <s v="Strategic"/>
    <s v="27-02-2021"/>
    <n v="1"/>
    <n v="30.97"/>
    <n v="0"/>
    <n v="0"/>
    <n v="1"/>
    <n v="0"/>
    <n v="0"/>
    <n v="5"/>
    <s v="59_2024"/>
    <n v="0"/>
    <n v="1"/>
    <n v="0"/>
    <n v="2"/>
    <n v="1"/>
    <n v="75"/>
    <x v="1"/>
  </r>
  <r>
    <x v="58"/>
    <x v="3"/>
    <n v="1063"/>
    <n v="89"/>
    <n v="72"/>
    <n v="5845.79"/>
    <n v="6.7733000000000002E-2"/>
    <n v="18"/>
    <n v="38"/>
    <n v="17"/>
    <n v="9"/>
    <n v="1"/>
    <n v="3"/>
    <n v="5"/>
    <n v="6"/>
    <s v="Suspended"/>
    <x v="58"/>
    <x v="0"/>
    <x v="0"/>
    <s v="Standard"/>
    <s v="28-11-2019"/>
    <n v="3"/>
    <n v="5485.2"/>
    <n v="2"/>
    <n v="2"/>
    <n v="1"/>
    <n v="2"/>
    <n v="1"/>
    <n v="33"/>
    <s v="60_2024"/>
    <n v="1"/>
    <n v="2"/>
    <n v="2"/>
    <n v="2"/>
    <n v="2"/>
    <n v="175"/>
    <x v="0"/>
  </r>
  <r>
    <x v="59"/>
    <x v="3"/>
    <n v="1481"/>
    <n v="168"/>
    <n v="140"/>
    <n v="9353.26"/>
    <n v="9.4531000000000004E-2"/>
    <n v="25"/>
    <n v="54"/>
    <n v="31"/>
    <n v="13"/>
    <n v="0"/>
    <n v="3"/>
    <n v="6"/>
    <n v="10"/>
    <s v="Review Required"/>
    <x v="59"/>
    <x v="0"/>
    <x v="4"/>
    <s v="Verified"/>
    <s v="13-02-2018"/>
    <n v="6"/>
    <n v="6439.3899999999994"/>
    <n v="0"/>
    <n v="4"/>
    <n v="2"/>
    <n v="1"/>
    <n v="3"/>
    <n v="44"/>
    <s v="61_2024"/>
    <n v="1"/>
    <n v="2"/>
    <n v="2"/>
    <n v="0"/>
    <n v="1"/>
    <n v="125"/>
    <x v="0"/>
  </r>
  <r>
    <x v="60"/>
    <x v="3"/>
    <n v="1390"/>
    <n v="96"/>
    <n v="92"/>
    <n v="6211.99"/>
    <n v="6.6186999999999996E-2"/>
    <n v="38"/>
    <n v="38"/>
    <n v="20"/>
    <n v="13"/>
    <n v="1"/>
    <n v="7"/>
    <n v="8"/>
    <n v="5"/>
    <s v="Suspended"/>
    <x v="60"/>
    <x v="0"/>
    <x v="1"/>
    <s v="Standard"/>
    <s v="20-10-2024"/>
    <n v="2"/>
    <n v="2921.3700000000003"/>
    <n v="2"/>
    <n v="0"/>
    <n v="2"/>
    <n v="1"/>
    <n v="0"/>
    <n v="18"/>
    <s v="62_2024"/>
    <n v="1"/>
    <n v="2"/>
    <n v="1"/>
    <n v="2"/>
    <n v="2"/>
    <n v="155"/>
    <x v="0"/>
  </r>
  <r>
    <x v="61"/>
    <x v="3"/>
    <n v="1336"/>
    <n v="123"/>
    <n v="110"/>
    <n v="8661.51"/>
    <n v="8.2335000000000005E-2"/>
    <n v="22"/>
    <n v="47"/>
    <n v="22"/>
    <n v="15"/>
    <n v="1"/>
    <n v="6"/>
    <n v="7"/>
    <n v="10"/>
    <s v="Suspended"/>
    <x v="61"/>
    <x v="1"/>
    <x v="4"/>
    <s v="Standard"/>
    <s v="24-10-2018"/>
    <n v="4"/>
    <n v="18510.25"/>
    <n v="2"/>
    <n v="1"/>
    <n v="3"/>
    <n v="3"/>
    <n v="1"/>
    <n v="34"/>
    <s v="63_2024"/>
    <n v="1"/>
    <n v="2"/>
    <n v="2"/>
    <n v="2"/>
    <n v="2"/>
    <n v="175"/>
    <x v="0"/>
  </r>
  <r>
    <x v="62"/>
    <x v="3"/>
    <n v="445"/>
    <n v="24"/>
    <n v="18"/>
    <n v="1051.6099999999999"/>
    <n v="4.0448999999999999E-2"/>
    <n v="9"/>
    <n v="13"/>
    <n v="4"/>
    <n v="3"/>
    <n v="1"/>
    <n v="4"/>
    <n v="3"/>
    <n v="2"/>
    <s v="Restricted"/>
    <x v="62"/>
    <x v="4"/>
    <x v="3"/>
    <s v="Verified"/>
    <s v="15-07-2017"/>
    <n v="3"/>
    <n v="5983.31"/>
    <n v="1"/>
    <n v="2"/>
    <n v="1"/>
    <n v="1"/>
    <n v="1"/>
    <n v="13"/>
    <s v="64_2024"/>
    <n v="0"/>
    <n v="2"/>
    <n v="1"/>
    <n v="2"/>
    <n v="1"/>
    <n v="120"/>
    <x v="0"/>
  </r>
  <r>
    <x v="63"/>
    <x v="3"/>
    <n v="638"/>
    <n v="60"/>
    <n v="47"/>
    <n v="3329.97"/>
    <n v="7.3667999999999997E-2"/>
    <n v="17"/>
    <n v="19"/>
    <n v="12"/>
    <n v="9"/>
    <n v="1"/>
    <n v="4"/>
    <n v="6"/>
    <n v="4"/>
    <s v="Suspended"/>
    <x v="63"/>
    <x v="0"/>
    <x v="1"/>
    <s v="Verified"/>
    <s v="04-07-2021"/>
    <n v="3"/>
    <n v="5604.67"/>
    <n v="1"/>
    <n v="2"/>
    <n v="1"/>
    <n v="2"/>
    <n v="2"/>
    <n v="22"/>
    <s v="65_2024"/>
    <n v="1"/>
    <n v="2"/>
    <n v="2"/>
    <n v="2"/>
    <n v="2"/>
    <n v="175"/>
    <x v="0"/>
  </r>
  <r>
    <x v="64"/>
    <x v="3"/>
    <n v="987"/>
    <n v="100"/>
    <n v="90"/>
    <n v="6731.54"/>
    <n v="9.1185000000000002E-2"/>
    <n v="16"/>
    <n v="29"/>
    <n v="18"/>
    <n v="10"/>
    <n v="0"/>
    <n v="1"/>
    <n v="4"/>
    <n v="3"/>
    <s v="Suspended"/>
    <x v="64"/>
    <x v="2"/>
    <x v="0"/>
    <s v="Strategic"/>
    <s v="04-08-2021"/>
    <n v="3"/>
    <n v="14301.119999999999"/>
    <n v="0"/>
    <n v="3"/>
    <n v="0"/>
    <n v="2"/>
    <n v="1"/>
    <n v="14"/>
    <s v="66_2024"/>
    <n v="1"/>
    <n v="2"/>
    <n v="2"/>
    <n v="0"/>
    <n v="2"/>
    <n v="135"/>
    <x v="0"/>
  </r>
  <r>
    <x v="98"/>
    <x v="3"/>
    <n v="1359"/>
    <n v="87"/>
    <n v="72"/>
    <n v="7231.03"/>
    <n v="5.2979999999999999E-2"/>
    <n v="23"/>
    <n v="34"/>
    <n v="8"/>
    <n v="14"/>
    <n v="0"/>
    <n v="5"/>
    <n v="5"/>
    <n v="5"/>
    <s v="Review Required"/>
    <x v="98"/>
    <x v="4"/>
    <x v="3"/>
    <s v="Verified"/>
    <s v="09-10-2022"/>
    <n v="2"/>
    <n v="4174.09"/>
    <n v="0"/>
    <n v="1"/>
    <n v="1"/>
    <n v="1"/>
    <n v="1"/>
    <n v="14"/>
    <s v="67_2024"/>
    <n v="1"/>
    <n v="2"/>
    <n v="1"/>
    <n v="0"/>
    <n v="1"/>
    <n v="105"/>
    <x v="1"/>
  </r>
  <r>
    <x v="65"/>
    <x v="3"/>
    <n v="893"/>
    <n v="76"/>
    <n v="57"/>
    <n v="3265.75"/>
    <n v="6.3829999999999998E-2"/>
    <n v="22"/>
    <n v="28"/>
    <n v="13"/>
    <n v="14"/>
    <n v="0"/>
    <n v="5"/>
    <n v="6"/>
    <n v="3"/>
    <s v="Suspended"/>
    <x v="65"/>
    <x v="2"/>
    <x v="0"/>
    <s v="Premium"/>
    <s v="17-08-2020"/>
    <n v="6"/>
    <n v="16639.05"/>
    <n v="0"/>
    <n v="2"/>
    <n v="4"/>
    <n v="3"/>
    <n v="2"/>
    <n v="56"/>
    <s v="68_2024"/>
    <n v="1"/>
    <n v="2"/>
    <n v="2"/>
    <n v="0"/>
    <n v="2"/>
    <n v="135"/>
    <x v="0"/>
  </r>
  <r>
    <x v="66"/>
    <x v="3"/>
    <n v="1270"/>
    <n v="125"/>
    <n v="105"/>
    <n v="11444.19"/>
    <n v="8.2677E-2"/>
    <n v="32"/>
    <n v="43"/>
    <n v="17"/>
    <n v="18"/>
    <n v="1"/>
    <n v="5"/>
    <n v="5"/>
    <n v="5"/>
    <s v="Suspended"/>
    <x v="66"/>
    <x v="0"/>
    <x v="2"/>
    <s v="Verified"/>
    <s v="11-06-2024"/>
    <n v="4"/>
    <n v="11931.11"/>
    <n v="1"/>
    <n v="2"/>
    <n v="2"/>
    <n v="4"/>
    <n v="2"/>
    <n v="37"/>
    <s v="69_2024"/>
    <n v="1"/>
    <n v="2"/>
    <n v="2"/>
    <n v="2"/>
    <n v="2"/>
    <n v="175"/>
    <x v="0"/>
  </r>
  <r>
    <x v="99"/>
    <x v="3"/>
    <n v="216"/>
    <n v="11"/>
    <n v="10"/>
    <n v="1000.53"/>
    <n v="4.6295999999999997E-2"/>
    <n v="9"/>
    <n v="9"/>
    <n v="3"/>
    <n v="5"/>
    <n v="0"/>
    <n v="2"/>
    <n v="2"/>
    <n v="0"/>
    <s v="Review Required"/>
    <x v="99"/>
    <x v="4"/>
    <x v="3"/>
    <s v="Premium"/>
    <s v="09-06-2019"/>
    <n v="2"/>
    <n v="1861.48"/>
    <n v="0"/>
    <n v="1"/>
    <n v="1"/>
    <n v="0"/>
    <n v="1"/>
    <n v="9"/>
    <s v="70_2024"/>
    <n v="0"/>
    <n v="2"/>
    <n v="1"/>
    <n v="0"/>
    <n v="1"/>
    <n v="80"/>
    <x v="1"/>
  </r>
  <r>
    <x v="67"/>
    <x v="3"/>
    <n v="844"/>
    <n v="54"/>
    <n v="43"/>
    <n v="2079.11"/>
    <n v="5.0948E-2"/>
    <n v="13"/>
    <n v="22"/>
    <n v="7"/>
    <n v="7"/>
    <n v="1"/>
    <n v="5"/>
    <n v="4"/>
    <n v="5"/>
    <s v="Suspended"/>
    <x v="67"/>
    <x v="4"/>
    <x v="2"/>
    <s v="Premium"/>
    <s v="17-04-2017"/>
    <n v="4"/>
    <n v="8029.36"/>
    <n v="3"/>
    <n v="3"/>
    <n v="1"/>
    <n v="2"/>
    <n v="3"/>
    <n v="31"/>
    <s v="71_2024"/>
    <n v="1"/>
    <n v="2"/>
    <n v="2"/>
    <n v="2"/>
    <n v="2"/>
    <n v="175"/>
    <x v="0"/>
  </r>
  <r>
    <x v="68"/>
    <x v="3"/>
    <n v="570"/>
    <n v="38"/>
    <n v="35"/>
    <n v="2073.23"/>
    <n v="6.1404E-2"/>
    <n v="18"/>
    <n v="18"/>
    <n v="6"/>
    <n v="9"/>
    <n v="1"/>
    <n v="4"/>
    <n v="5"/>
    <n v="3"/>
    <s v="Suspended"/>
    <x v="68"/>
    <x v="2"/>
    <x v="2"/>
    <s v="Premium"/>
    <s v="21-01-2018"/>
    <n v="4"/>
    <n v="7723.9400000000005"/>
    <n v="3"/>
    <n v="4"/>
    <n v="0"/>
    <n v="3"/>
    <n v="2"/>
    <n v="34"/>
    <s v="72_2024"/>
    <n v="1"/>
    <n v="2"/>
    <n v="2"/>
    <n v="2"/>
    <n v="2"/>
    <n v="175"/>
    <x v="0"/>
  </r>
  <r>
    <x v="69"/>
    <x v="3"/>
    <n v="362"/>
    <n v="14"/>
    <n v="10"/>
    <n v="669.17"/>
    <n v="2.7623999999999999E-2"/>
    <n v="3"/>
    <n v="13"/>
    <n v="2"/>
    <n v="3"/>
    <n v="0"/>
    <n v="0"/>
    <n v="2"/>
    <n v="0"/>
    <s v="Restricted"/>
    <x v="69"/>
    <x v="0"/>
    <x v="2"/>
    <s v="Verified"/>
    <s v="23-08-2020"/>
    <n v="3"/>
    <n v="7273.3099999999995"/>
    <n v="0"/>
    <n v="1"/>
    <n v="2"/>
    <n v="2"/>
    <n v="3"/>
    <n v="17"/>
    <s v="73_2024"/>
    <n v="0"/>
    <n v="0"/>
    <n v="2"/>
    <n v="0"/>
    <n v="1"/>
    <n v="50"/>
    <x v="2"/>
  </r>
  <r>
    <x v="70"/>
    <x v="3"/>
    <n v="456"/>
    <n v="24"/>
    <n v="19"/>
    <n v="1173.6500000000001"/>
    <n v="4.1667000000000003E-2"/>
    <n v="12"/>
    <n v="12"/>
    <n v="4"/>
    <n v="3"/>
    <n v="0"/>
    <n v="1"/>
    <n v="2"/>
    <n v="1"/>
    <s v="Review Required"/>
    <x v="70"/>
    <x v="3"/>
    <x v="2"/>
    <s v="Premium"/>
    <s v="09-02-2019"/>
    <n v="3"/>
    <n v="2136.14"/>
    <n v="0"/>
    <n v="2"/>
    <n v="1"/>
    <n v="0"/>
    <n v="1"/>
    <n v="19"/>
    <s v="74_2024"/>
    <n v="0"/>
    <n v="2"/>
    <n v="1"/>
    <n v="0"/>
    <n v="1"/>
    <n v="80"/>
    <x v="1"/>
  </r>
  <r>
    <x v="71"/>
    <x v="3"/>
    <n v="80"/>
    <n v="7"/>
    <n v="6"/>
    <n v="249.77"/>
    <n v="7.4999999999999997E-2"/>
    <n v="11"/>
    <n v="11"/>
    <n v="4"/>
    <n v="6"/>
    <n v="1"/>
    <n v="4"/>
    <n v="3"/>
    <n v="1"/>
    <s v="Suspended"/>
    <x v="71"/>
    <x v="2"/>
    <x v="0"/>
    <s v="Verified"/>
    <s v="15-03-2025"/>
    <n v="6"/>
    <n v="13334.420000000002"/>
    <n v="3"/>
    <n v="5"/>
    <n v="1"/>
    <n v="3"/>
    <n v="2"/>
    <n v="79"/>
    <s v="75_2024"/>
    <n v="1"/>
    <n v="2"/>
    <n v="2"/>
    <n v="2"/>
    <n v="2"/>
    <n v="175"/>
    <x v="0"/>
  </r>
  <r>
    <x v="72"/>
    <x v="3"/>
    <n v="387"/>
    <n v="11"/>
    <n v="10"/>
    <n v="947.46"/>
    <n v="2.5839999999999998E-2"/>
    <n v="3"/>
    <n v="12"/>
    <n v="2"/>
    <n v="1"/>
    <n v="0"/>
    <n v="0"/>
    <n v="1"/>
    <n v="1"/>
    <s v="Watchlist"/>
    <x v="72"/>
    <x v="3"/>
    <x v="1"/>
    <s v="Premium"/>
    <s v="28-04-2023"/>
    <n v="1"/>
    <n v="947.28"/>
    <n v="0"/>
    <n v="0"/>
    <n v="1"/>
    <n v="0"/>
    <n v="0"/>
    <n v="5"/>
    <s v="76_2024"/>
    <n v="0"/>
    <n v="0"/>
    <n v="0"/>
    <n v="0"/>
    <n v="1"/>
    <n v="10"/>
    <x v="2"/>
  </r>
  <r>
    <x v="73"/>
    <x v="3"/>
    <n v="193"/>
    <n v="15"/>
    <n v="12"/>
    <n v="1285.21"/>
    <n v="6.2176000000000002E-2"/>
    <n v="13"/>
    <n v="14"/>
    <n v="3"/>
    <n v="6"/>
    <n v="1"/>
    <n v="4"/>
    <n v="4"/>
    <n v="3"/>
    <s v="Suspended"/>
    <x v="73"/>
    <x v="3"/>
    <x v="2"/>
    <s v="Premium"/>
    <s v="19-09-2019"/>
    <n v="3"/>
    <n v="4771.1399999999994"/>
    <n v="0"/>
    <n v="2"/>
    <n v="1"/>
    <n v="1"/>
    <n v="1"/>
    <n v="28"/>
    <s v="77_2024"/>
    <n v="1"/>
    <n v="2"/>
    <n v="1"/>
    <n v="2"/>
    <n v="2"/>
    <n v="155"/>
    <x v="0"/>
  </r>
  <r>
    <x v="74"/>
    <x v="3"/>
    <n v="759"/>
    <n v="46"/>
    <n v="36"/>
    <n v="2681.63"/>
    <n v="4.7431000000000001E-2"/>
    <n v="19"/>
    <n v="19"/>
    <n v="6"/>
    <n v="10"/>
    <n v="0"/>
    <n v="3"/>
    <n v="6"/>
    <n v="1"/>
    <s v="Restricted"/>
    <x v="74"/>
    <x v="3"/>
    <x v="2"/>
    <s v="Standard"/>
    <s v="26-08-2019"/>
    <n v="1"/>
    <n v="2717.9"/>
    <n v="0"/>
    <n v="0"/>
    <n v="1"/>
    <n v="1"/>
    <n v="0"/>
    <n v="4"/>
    <s v="78_2024"/>
    <n v="0"/>
    <n v="2"/>
    <n v="1"/>
    <n v="0"/>
    <n v="1"/>
    <n v="80"/>
    <x v="1"/>
  </r>
  <r>
    <x v="75"/>
    <x v="3"/>
    <n v="81"/>
    <n v="6"/>
    <n v="5"/>
    <n v="423.65"/>
    <n v="6.1727999999999998E-2"/>
    <n v="8"/>
    <n v="9"/>
    <n v="3"/>
    <n v="3"/>
    <n v="0"/>
    <n v="0"/>
    <n v="2"/>
    <n v="0"/>
    <s v="Restricted"/>
    <x v="75"/>
    <x v="4"/>
    <x v="2"/>
    <s v="Verified"/>
    <s v="02-09-2025"/>
    <n v="3"/>
    <n v="9491.67"/>
    <n v="0"/>
    <n v="2"/>
    <n v="1"/>
    <n v="2"/>
    <n v="2"/>
    <n v="41"/>
    <s v="79_2024"/>
    <n v="1"/>
    <n v="2"/>
    <n v="2"/>
    <n v="0"/>
    <n v="1"/>
    <n v="125"/>
    <x v="0"/>
  </r>
  <r>
    <x v="76"/>
    <x v="3"/>
    <n v="107"/>
    <n v="9"/>
    <n v="8"/>
    <n v="663.75"/>
    <n v="7.4765999999999999E-2"/>
    <n v="8"/>
    <n v="8"/>
    <n v="3"/>
    <n v="5"/>
    <n v="1"/>
    <n v="5"/>
    <n v="3"/>
    <n v="1"/>
    <s v="Suspended"/>
    <x v="76"/>
    <x v="0"/>
    <x v="3"/>
    <s v="Verified"/>
    <s v="10-12-2019"/>
    <n v="5"/>
    <n v="14764.08"/>
    <n v="2"/>
    <n v="3"/>
    <n v="2"/>
    <n v="4"/>
    <n v="1"/>
    <n v="56"/>
    <s v="80_2024"/>
    <n v="1"/>
    <n v="2"/>
    <n v="2"/>
    <n v="2"/>
    <n v="2"/>
    <n v="175"/>
    <x v="0"/>
  </r>
  <r>
    <x v="77"/>
    <x v="3"/>
    <n v="438"/>
    <n v="24"/>
    <n v="17"/>
    <n v="1496.69"/>
    <n v="3.8813E-2"/>
    <n v="15"/>
    <n v="15"/>
    <n v="3"/>
    <n v="7"/>
    <n v="0"/>
    <n v="2"/>
    <n v="2"/>
    <n v="1"/>
    <s v="Review Required"/>
    <x v="77"/>
    <x v="4"/>
    <x v="2"/>
    <s v="Verified"/>
    <s v="06-03-2019"/>
    <n v="3"/>
    <n v="1416.12"/>
    <n v="0"/>
    <n v="2"/>
    <n v="1"/>
    <n v="0"/>
    <n v="1"/>
    <n v="16"/>
    <s v="81_2024"/>
    <n v="0"/>
    <n v="2"/>
    <n v="1"/>
    <n v="0"/>
    <n v="1"/>
    <n v="80"/>
    <x v="1"/>
  </r>
  <r>
    <x v="78"/>
    <x v="3"/>
    <n v="650"/>
    <n v="43"/>
    <n v="34"/>
    <n v="3496.23"/>
    <n v="5.2308E-2"/>
    <n v="17"/>
    <n v="20"/>
    <n v="9"/>
    <n v="5"/>
    <n v="1"/>
    <n v="4"/>
    <n v="4"/>
    <n v="3"/>
    <s v="Suspended"/>
    <x v="78"/>
    <x v="1"/>
    <x v="4"/>
    <s v="Verified"/>
    <s v="01-11-2021"/>
    <n v="4"/>
    <n v="12409.63"/>
    <n v="4"/>
    <n v="2"/>
    <n v="2"/>
    <n v="3"/>
    <n v="1"/>
    <n v="39"/>
    <s v="82_2024"/>
    <n v="1"/>
    <n v="2"/>
    <n v="2"/>
    <n v="2"/>
    <n v="2"/>
    <n v="175"/>
    <x v="0"/>
  </r>
  <r>
    <x v="79"/>
    <x v="3"/>
    <n v="1395"/>
    <n v="111"/>
    <n v="98"/>
    <n v="5300.06"/>
    <n v="7.0250999999999994E-2"/>
    <n v="32"/>
    <n v="45"/>
    <n v="21"/>
    <n v="9"/>
    <n v="1"/>
    <n v="7"/>
    <n v="6"/>
    <n v="4"/>
    <s v="Suspended"/>
    <x v="79"/>
    <x v="4"/>
    <x v="4"/>
    <s v="Verified"/>
    <s v="28-08-2022"/>
    <n v="6"/>
    <n v="14147.520000000002"/>
    <n v="4"/>
    <n v="2"/>
    <n v="4"/>
    <n v="6"/>
    <n v="3"/>
    <n v="50"/>
    <s v="83_2024"/>
    <n v="1"/>
    <n v="2"/>
    <n v="2"/>
    <n v="2"/>
    <n v="2"/>
    <n v="175"/>
    <x v="0"/>
  </r>
  <r>
    <x v="80"/>
    <x v="3"/>
    <n v="563"/>
    <n v="34"/>
    <n v="27"/>
    <n v="1258.5"/>
    <n v="4.7957E-2"/>
    <n v="17"/>
    <n v="20"/>
    <n v="6"/>
    <n v="6"/>
    <n v="0"/>
    <n v="2"/>
    <n v="3"/>
    <n v="1"/>
    <s v="Review Required"/>
    <x v="80"/>
    <x v="2"/>
    <x v="4"/>
    <s v="Verified"/>
    <s v="01-05-2023"/>
    <n v="1"/>
    <n v="1386.98"/>
    <n v="0"/>
    <n v="0"/>
    <n v="1"/>
    <n v="0"/>
    <n v="0"/>
    <n v="11"/>
    <s v="84_2024"/>
    <n v="0"/>
    <n v="2"/>
    <n v="0"/>
    <n v="0"/>
    <n v="1"/>
    <n v="60"/>
    <x v="1"/>
  </r>
  <r>
    <x v="81"/>
    <x v="3"/>
    <n v="1196"/>
    <n v="108"/>
    <n v="91"/>
    <n v="6808.59"/>
    <n v="7.6087000000000002E-2"/>
    <n v="23"/>
    <n v="39"/>
    <n v="18"/>
    <n v="12"/>
    <n v="0"/>
    <n v="2"/>
    <n v="6"/>
    <n v="6"/>
    <s v="Suspended"/>
    <x v="81"/>
    <x v="2"/>
    <x v="1"/>
    <s v="Standard"/>
    <s v="21-04-2022"/>
    <n v="5"/>
    <n v="16749.29"/>
    <n v="0"/>
    <n v="4"/>
    <n v="1"/>
    <n v="3"/>
    <n v="2"/>
    <n v="54"/>
    <s v="85_2024"/>
    <n v="1"/>
    <n v="2"/>
    <n v="2"/>
    <n v="0"/>
    <n v="2"/>
    <n v="135"/>
    <x v="0"/>
  </r>
  <r>
    <x v="82"/>
    <x v="3"/>
    <n v="156"/>
    <n v="7"/>
    <n v="5"/>
    <n v="422.91"/>
    <n v="3.2051000000000003E-2"/>
    <n v="5"/>
    <n v="9"/>
    <n v="2"/>
    <n v="2"/>
    <n v="0"/>
    <n v="0"/>
    <n v="1"/>
    <n v="0"/>
    <s v="Watchlist"/>
    <x v="82"/>
    <x v="0"/>
    <x v="3"/>
    <s v="Premium"/>
    <s v="19-01-2025"/>
    <n v="2"/>
    <n v="3062.21"/>
    <n v="0"/>
    <n v="2"/>
    <n v="0"/>
    <n v="1"/>
    <n v="1"/>
    <n v="15"/>
    <s v="86_2024"/>
    <n v="0"/>
    <n v="1"/>
    <n v="1"/>
    <n v="0"/>
    <n v="1"/>
    <n v="55"/>
    <x v="2"/>
  </r>
  <r>
    <x v="83"/>
    <x v="3"/>
    <n v="332"/>
    <n v="33"/>
    <n v="29"/>
    <n v="1566.39"/>
    <n v="8.7348999999999996E-2"/>
    <n v="27"/>
    <n v="27"/>
    <n v="8"/>
    <n v="8"/>
    <n v="1"/>
    <n v="5"/>
    <n v="4"/>
    <n v="2"/>
    <s v="Suspended"/>
    <x v="83"/>
    <x v="4"/>
    <x v="4"/>
    <s v="Standard"/>
    <s v="09-03-2022"/>
    <n v="3"/>
    <n v="10990.960000000001"/>
    <n v="2"/>
    <n v="2"/>
    <n v="1"/>
    <n v="2"/>
    <n v="1"/>
    <n v="52"/>
    <s v="87_2024"/>
    <n v="1"/>
    <n v="2"/>
    <n v="2"/>
    <n v="2"/>
    <n v="2"/>
    <n v="175"/>
    <x v="0"/>
  </r>
  <r>
    <x v="84"/>
    <x v="3"/>
    <n v="416"/>
    <n v="15"/>
    <n v="11"/>
    <n v="640.12"/>
    <n v="2.6442E-2"/>
    <n v="7"/>
    <n v="15"/>
    <n v="2"/>
    <n v="5"/>
    <n v="0"/>
    <n v="1"/>
    <n v="3"/>
    <n v="0"/>
    <s v="Review Required"/>
    <x v="84"/>
    <x v="1"/>
    <x v="3"/>
    <s v="Verified"/>
    <s v="24-11-2020"/>
    <n v="2"/>
    <n v="870.9"/>
    <n v="0"/>
    <n v="1"/>
    <n v="1"/>
    <n v="0"/>
    <n v="1"/>
    <n v="10"/>
    <s v="88_2024"/>
    <n v="0"/>
    <n v="1"/>
    <n v="1"/>
    <n v="0"/>
    <n v="1"/>
    <n v="55"/>
    <x v="2"/>
  </r>
  <r>
    <x v="85"/>
    <x v="3"/>
    <n v="765"/>
    <n v="57"/>
    <n v="49"/>
    <n v="2047.67"/>
    <n v="6.4051999999999998E-2"/>
    <n v="20"/>
    <n v="27"/>
    <n v="11"/>
    <n v="10"/>
    <n v="0"/>
    <n v="1"/>
    <n v="6"/>
    <n v="3"/>
    <s v="Restricted"/>
    <x v="85"/>
    <x v="2"/>
    <x v="0"/>
    <s v="Verified"/>
    <s v="22-06-2025"/>
    <n v="2"/>
    <n v="4263.45"/>
    <n v="0"/>
    <n v="1"/>
    <n v="1"/>
    <n v="1"/>
    <n v="1"/>
    <n v="19"/>
    <s v="89_2024"/>
    <n v="1"/>
    <n v="2"/>
    <n v="1"/>
    <n v="0"/>
    <n v="1"/>
    <n v="105"/>
    <x v="1"/>
  </r>
  <r>
    <x v="86"/>
    <x v="3"/>
    <n v="1390"/>
    <n v="85"/>
    <n v="81"/>
    <n v="5303.8"/>
    <n v="5.8272999999999998E-2"/>
    <n v="15"/>
    <n v="37"/>
    <n v="9"/>
    <n v="7"/>
    <n v="1"/>
    <n v="3"/>
    <n v="4"/>
    <n v="5"/>
    <s v="Suspended"/>
    <x v="86"/>
    <x v="1"/>
    <x v="3"/>
    <s v="Premium"/>
    <s v="08-10-2022"/>
    <n v="3"/>
    <n v="3972.97"/>
    <n v="1"/>
    <n v="1"/>
    <n v="2"/>
    <n v="2"/>
    <n v="1"/>
    <n v="27"/>
    <s v="90_2024"/>
    <n v="1"/>
    <n v="2"/>
    <n v="2"/>
    <n v="2"/>
    <n v="2"/>
    <n v="175"/>
    <x v="0"/>
  </r>
  <r>
    <x v="87"/>
    <x v="3"/>
    <n v="1217"/>
    <n v="64"/>
    <n v="54"/>
    <n v="5647.25"/>
    <n v="4.4371000000000001E-2"/>
    <n v="14"/>
    <n v="29"/>
    <n v="8"/>
    <n v="6"/>
    <n v="0"/>
    <n v="2"/>
    <n v="4"/>
    <n v="3"/>
    <s v="Review Required"/>
    <x v="87"/>
    <x v="0"/>
    <x v="3"/>
    <s v="Premium"/>
    <s v="04-02-2025"/>
    <n v="3"/>
    <n v="2042.26"/>
    <n v="0"/>
    <n v="3"/>
    <n v="0"/>
    <n v="0"/>
    <n v="1"/>
    <n v="29"/>
    <s v="91_2024"/>
    <n v="0"/>
    <n v="2"/>
    <n v="1"/>
    <n v="0"/>
    <n v="1"/>
    <n v="80"/>
    <x v="1"/>
  </r>
  <r>
    <x v="88"/>
    <x v="3"/>
    <n v="598"/>
    <n v="29"/>
    <n v="24"/>
    <n v="2070.17"/>
    <n v="4.0134000000000003E-2"/>
    <n v="19"/>
    <n v="19"/>
    <n v="4"/>
    <n v="7"/>
    <n v="0"/>
    <n v="1"/>
    <n v="4"/>
    <n v="1"/>
    <s v="Review Required"/>
    <x v="88"/>
    <x v="4"/>
    <x v="2"/>
    <s v="Verified"/>
    <s v="21-07-2020"/>
    <n v="1"/>
    <n v="519.15"/>
    <n v="0"/>
    <n v="1"/>
    <n v="0"/>
    <n v="0"/>
    <n v="0"/>
    <n v="12"/>
    <s v="92_2024"/>
    <n v="0"/>
    <n v="2"/>
    <n v="0"/>
    <n v="0"/>
    <n v="1"/>
    <n v="60"/>
    <x v="1"/>
  </r>
  <r>
    <x v="89"/>
    <x v="3"/>
    <n v="666"/>
    <n v="67"/>
    <n v="54"/>
    <n v="3361.17"/>
    <n v="8.1081E-2"/>
    <n v="18"/>
    <n v="19"/>
    <n v="11"/>
    <n v="13"/>
    <n v="1"/>
    <n v="6"/>
    <n v="7"/>
    <n v="4"/>
    <s v="Suspended"/>
    <x v="89"/>
    <x v="1"/>
    <x v="2"/>
    <s v="Strategic"/>
    <s v="22-02-2023"/>
    <n v="4"/>
    <n v="13481.099999999999"/>
    <n v="2"/>
    <n v="2"/>
    <n v="2"/>
    <n v="3"/>
    <n v="4"/>
    <n v="25"/>
    <s v="93_2024"/>
    <n v="1"/>
    <n v="2"/>
    <n v="2"/>
    <n v="2"/>
    <n v="2"/>
    <n v="175"/>
    <x v="0"/>
  </r>
  <r>
    <x v="90"/>
    <x v="3"/>
    <n v="294"/>
    <n v="23"/>
    <n v="21"/>
    <n v="2284.83"/>
    <n v="7.1429000000000006E-2"/>
    <n v="12"/>
    <n v="16"/>
    <n v="6"/>
    <n v="5"/>
    <n v="1"/>
    <n v="5"/>
    <n v="5"/>
    <n v="1"/>
    <s v="Suspended"/>
    <x v="90"/>
    <x v="1"/>
    <x v="3"/>
    <s v="Standard"/>
    <s v="26-01-2017"/>
    <n v="5"/>
    <n v="23480.42"/>
    <n v="1"/>
    <n v="1"/>
    <n v="4"/>
    <n v="4"/>
    <n v="2"/>
    <n v="42"/>
    <s v="94_2024"/>
    <n v="1"/>
    <n v="2"/>
    <n v="2"/>
    <n v="2"/>
    <n v="2"/>
    <n v="175"/>
    <x v="0"/>
  </r>
  <r>
    <x v="91"/>
    <x v="3"/>
    <n v="455"/>
    <n v="37"/>
    <n v="33"/>
    <n v="2124.9499999999998"/>
    <n v="7.2526999999999994E-2"/>
    <n v="19"/>
    <n v="19"/>
    <n v="7"/>
    <n v="8"/>
    <n v="1"/>
    <n v="4"/>
    <n v="4"/>
    <n v="2"/>
    <s v="Suspended"/>
    <x v="91"/>
    <x v="4"/>
    <x v="1"/>
    <s v="Verified"/>
    <s v="26-03-2022"/>
    <n v="6"/>
    <n v="8735.42"/>
    <n v="3"/>
    <n v="4"/>
    <n v="2"/>
    <n v="3"/>
    <n v="3"/>
    <n v="67"/>
    <s v="95_2024"/>
    <n v="1"/>
    <n v="2"/>
    <n v="2"/>
    <n v="2"/>
    <n v="2"/>
    <n v="175"/>
    <x v="0"/>
  </r>
  <r>
    <x v="92"/>
    <x v="3"/>
    <n v="810"/>
    <n v="64"/>
    <n v="54"/>
    <n v="4156.21"/>
    <n v="6.6667000000000004E-2"/>
    <n v="16"/>
    <n v="29"/>
    <n v="9"/>
    <n v="7"/>
    <n v="1"/>
    <n v="4"/>
    <n v="5"/>
    <n v="3"/>
    <s v="Suspended"/>
    <x v="92"/>
    <x v="3"/>
    <x v="3"/>
    <s v="Verified"/>
    <s v="12-01-2019"/>
    <n v="4"/>
    <n v="10738.89"/>
    <n v="3"/>
    <n v="1"/>
    <n v="3"/>
    <n v="3"/>
    <n v="2"/>
    <n v="32"/>
    <s v="96_2024"/>
    <n v="1"/>
    <n v="2"/>
    <n v="2"/>
    <n v="2"/>
    <n v="2"/>
    <n v="175"/>
    <x v="0"/>
  </r>
  <r>
    <x v="93"/>
    <x v="3"/>
    <n v="1033"/>
    <n v="101"/>
    <n v="86"/>
    <n v="8953.68"/>
    <n v="8.3252999999999994E-2"/>
    <n v="31"/>
    <n v="34"/>
    <n v="13"/>
    <n v="13"/>
    <n v="0"/>
    <n v="2"/>
    <n v="5"/>
    <n v="2"/>
    <s v="Suspended"/>
    <x v="93"/>
    <x v="4"/>
    <x v="3"/>
    <s v="Standard"/>
    <s v="25-08-2025"/>
    <n v="4"/>
    <n v="12123.759999999998"/>
    <n v="0"/>
    <n v="2"/>
    <n v="2"/>
    <n v="3"/>
    <n v="2"/>
    <n v="60"/>
    <s v="97_2024"/>
    <n v="1"/>
    <n v="2"/>
    <n v="2"/>
    <n v="0"/>
    <n v="2"/>
    <n v="135"/>
    <x v="0"/>
  </r>
  <r>
    <x v="94"/>
    <x v="3"/>
    <n v="1511"/>
    <n v="141"/>
    <n v="131"/>
    <n v="10953.71"/>
    <n v="8.6697999999999997E-2"/>
    <n v="37"/>
    <n v="53"/>
    <n v="15"/>
    <n v="9"/>
    <n v="1"/>
    <n v="5"/>
    <n v="5"/>
    <n v="6"/>
    <s v="Suspended"/>
    <x v="94"/>
    <x v="4"/>
    <x v="4"/>
    <s v="Verified"/>
    <s v="16-01-2017"/>
    <n v="5"/>
    <n v="17434.04"/>
    <n v="3"/>
    <n v="3"/>
    <n v="2"/>
    <n v="4"/>
    <n v="1"/>
    <n v="39"/>
    <s v="98_2024"/>
    <n v="1"/>
    <n v="2"/>
    <n v="2"/>
    <n v="2"/>
    <n v="2"/>
    <n v="175"/>
    <x v="0"/>
  </r>
  <r>
    <x v="95"/>
    <x v="3"/>
    <n v="1653"/>
    <n v="175"/>
    <n v="153"/>
    <n v="7777.68"/>
    <n v="9.2559000000000002E-2"/>
    <n v="29"/>
    <n v="58"/>
    <n v="22"/>
    <n v="22"/>
    <n v="0"/>
    <n v="6"/>
    <n v="10"/>
    <n v="11"/>
    <s v="Suspended"/>
    <x v="95"/>
    <x v="2"/>
    <x v="0"/>
    <s v="Premium"/>
    <s v="09-03-2018"/>
    <n v="4"/>
    <n v="11568.22"/>
    <n v="0"/>
    <n v="3"/>
    <n v="1"/>
    <n v="4"/>
    <n v="0"/>
    <n v="44"/>
    <s v="99_2024"/>
    <n v="1"/>
    <n v="2"/>
    <n v="2"/>
    <n v="0"/>
    <n v="2"/>
    <n v="135"/>
    <x v="0"/>
  </r>
  <r>
    <x v="0"/>
    <x v="4"/>
    <n v="791"/>
    <n v="65"/>
    <n v="56"/>
    <n v="2300.1"/>
    <n v="7.0795999999999998E-2"/>
    <n v="12"/>
    <n v="21"/>
    <n v="11"/>
    <n v="7"/>
    <n v="1"/>
    <n v="5"/>
    <n v="4"/>
    <n v="2"/>
    <s v="Suspended"/>
    <x v="0"/>
    <x v="0"/>
    <x v="0"/>
    <s v="Standard"/>
    <s v="01-01-2023"/>
    <n v="5"/>
    <n v="17489.86"/>
    <n v="4"/>
    <n v="1"/>
    <n v="4"/>
    <n v="4"/>
    <n v="1"/>
    <n v="33"/>
    <s v="1_2025"/>
    <n v="1"/>
    <n v="2"/>
    <n v="2"/>
    <n v="2"/>
    <n v="2"/>
    <n v="175"/>
    <x v="0"/>
  </r>
  <r>
    <x v="1"/>
    <x v="4"/>
    <n v="690"/>
    <n v="35"/>
    <n v="30"/>
    <n v="2785.56"/>
    <n v="4.3478000000000003E-2"/>
    <n v="13"/>
    <n v="13"/>
    <n v="4"/>
    <n v="5"/>
    <n v="0"/>
    <n v="1"/>
    <n v="2"/>
    <n v="1"/>
    <s v="Review Required"/>
    <x v="1"/>
    <x v="1"/>
    <x v="1"/>
    <s v="Verified"/>
    <s v="25-01-2022"/>
    <n v="1"/>
    <n v="2596.4"/>
    <n v="0"/>
    <n v="1"/>
    <n v="0"/>
    <n v="1"/>
    <n v="0"/>
    <n v="11"/>
    <s v="2_2025"/>
    <n v="0"/>
    <n v="2"/>
    <n v="1"/>
    <n v="0"/>
    <n v="1"/>
    <n v="80"/>
    <x v="1"/>
  </r>
  <r>
    <x v="2"/>
    <x v="4"/>
    <n v="1322"/>
    <n v="129"/>
    <n v="119"/>
    <n v="6049.66"/>
    <n v="9.0014999999999998E-2"/>
    <n v="53"/>
    <n v="53"/>
    <n v="27"/>
    <n v="13"/>
    <n v="1"/>
    <n v="6"/>
    <n v="8"/>
    <n v="10"/>
    <s v="Suspended"/>
    <x v="2"/>
    <x v="0"/>
    <x v="2"/>
    <s v="Standard"/>
    <s v="20-06-2023"/>
    <n v="4"/>
    <n v="10178.009999999998"/>
    <n v="1"/>
    <n v="1"/>
    <n v="3"/>
    <n v="3"/>
    <n v="1"/>
    <n v="43"/>
    <s v="3_2025"/>
    <n v="1"/>
    <n v="2"/>
    <n v="2"/>
    <n v="2"/>
    <n v="2"/>
    <n v="175"/>
    <x v="0"/>
  </r>
  <r>
    <x v="3"/>
    <x v="4"/>
    <n v="555"/>
    <n v="43"/>
    <n v="35"/>
    <n v="3451.03"/>
    <n v="6.3062999999999994E-2"/>
    <n v="16"/>
    <n v="16"/>
    <n v="9"/>
    <n v="7"/>
    <n v="1"/>
    <n v="5"/>
    <n v="6"/>
    <n v="2"/>
    <s v="Suspended"/>
    <x v="3"/>
    <x v="2"/>
    <x v="0"/>
    <s v="Standard"/>
    <s v="03-12-2021"/>
    <n v="6"/>
    <n v="28218.07"/>
    <n v="5"/>
    <n v="3"/>
    <n v="3"/>
    <n v="4"/>
    <n v="4"/>
    <n v="53"/>
    <s v="4_2025"/>
    <n v="1"/>
    <n v="2"/>
    <n v="2"/>
    <n v="2"/>
    <n v="2"/>
    <n v="175"/>
    <x v="0"/>
  </r>
  <r>
    <x v="4"/>
    <x v="4"/>
    <n v="1176"/>
    <n v="112"/>
    <n v="99"/>
    <n v="6679.11"/>
    <n v="8.4183999999999995E-2"/>
    <n v="22"/>
    <n v="43"/>
    <n v="15"/>
    <n v="20"/>
    <n v="1"/>
    <n v="11"/>
    <n v="9"/>
    <n v="8"/>
    <s v="Suspended"/>
    <x v="4"/>
    <x v="2"/>
    <x v="2"/>
    <s v="Standard"/>
    <s v="12-06-2020"/>
    <n v="5"/>
    <n v="13011.56"/>
    <n v="2"/>
    <n v="3"/>
    <n v="2"/>
    <n v="4"/>
    <n v="2"/>
    <n v="38"/>
    <s v="5_2025"/>
    <n v="1"/>
    <n v="2"/>
    <n v="2"/>
    <n v="2"/>
    <n v="2"/>
    <n v="175"/>
    <x v="0"/>
  </r>
  <r>
    <x v="5"/>
    <x v="4"/>
    <n v="860"/>
    <n v="66"/>
    <n v="55"/>
    <n v="4743.3999999999996"/>
    <n v="6.3952999999999996E-2"/>
    <n v="13"/>
    <n v="29"/>
    <n v="12"/>
    <n v="7"/>
    <n v="1"/>
    <n v="7"/>
    <n v="4"/>
    <n v="2"/>
    <s v="Suspended"/>
    <x v="5"/>
    <x v="3"/>
    <x v="1"/>
    <s v="Premium"/>
    <s v="21-05-2023"/>
    <n v="6"/>
    <n v="17338.38"/>
    <n v="5"/>
    <n v="4"/>
    <n v="2"/>
    <n v="6"/>
    <n v="2"/>
    <n v="63"/>
    <s v="6_2025"/>
    <n v="1"/>
    <n v="2"/>
    <n v="2"/>
    <n v="2"/>
    <n v="2"/>
    <n v="175"/>
    <x v="0"/>
  </r>
  <r>
    <x v="6"/>
    <x v="4"/>
    <n v="1215"/>
    <n v="72"/>
    <n v="52"/>
    <n v="5371.71"/>
    <n v="4.2798000000000003E-2"/>
    <n v="17"/>
    <n v="35"/>
    <n v="7"/>
    <n v="7"/>
    <n v="1"/>
    <n v="5"/>
    <n v="5"/>
    <n v="5"/>
    <s v="Suspended"/>
    <x v="6"/>
    <x v="2"/>
    <x v="2"/>
    <s v="Premium"/>
    <s v="19-04-2018"/>
    <n v="1"/>
    <n v="335.49"/>
    <n v="0"/>
    <n v="1"/>
    <n v="0"/>
    <n v="0"/>
    <n v="0"/>
    <n v="9"/>
    <s v="7_2025"/>
    <n v="0"/>
    <n v="2"/>
    <n v="0"/>
    <n v="2"/>
    <n v="2"/>
    <n v="110"/>
    <x v="1"/>
  </r>
  <r>
    <x v="8"/>
    <x v="4"/>
    <n v="1086"/>
    <n v="109"/>
    <n v="89"/>
    <n v="9879.52"/>
    <n v="8.1951999999999997E-2"/>
    <n v="31"/>
    <n v="35"/>
    <n v="12"/>
    <n v="15"/>
    <n v="1"/>
    <n v="7"/>
    <n v="8"/>
    <n v="8"/>
    <s v="Suspended"/>
    <x v="8"/>
    <x v="0"/>
    <x v="3"/>
    <s v="Strategic"/>
    <s v="14-11-2020"/>
    <n v="6"/>
    <n v="14474.710000000001"/>
    <n v="5"/>
    <n v="1"/>
    <n v="5"/>
    <n v="4"/>
    <n v="5"/>
    <n v="74"/>
    <s v="9_2025"/>
    <n v="1"/>
    <n v="2"/>
    <n v="2"/>
    <n v="2"/>
    <n v="2"/>
    <n v="175"/>
    <x v="0"/>
  </r>
  <r>
    <x v="9"/>
    <x v="4"/>
    <n v="1898"/>
    <n v="207"/>
    <n v="176"/>
    <n v="14201.85"/>
    <n v="9.2729000000000006E-2"/>
    <n v="41"/>
    <n v="69"/>
    <n v="22"/>
    <n v="15"/>
    <n v="1"/>
    <n v="5"/>
    <n v="8"/>
    <n v="9"/>
    <s v="Suspended"/>
    <x v="9"/>
    <x v="0"/>
    <x v="3"/>
    <s v="Standard"/>
    <s v="11-11-2022"/>
    <n v="4"/>
    <n v="16280.37"/>
    <n v="1"/>
    <n v="2"/>
    <n v="2"/>
    <n v="4"/>
    <n v="1"/>
    <n v="39"/>
    <s v="10_2025"/>
    <n v="1"/>
    <n v="2"/>
    <n v="2"/>
    <n v="2"/>
    <n v="2"/>
    <n v="175"/>
    <x v="0"/>
  </r>
  <r>
    <x v="97"/>
    <x v="4"/>
    <n v="316"/>
    <n v="20"/>
    <n v="16"/>
    <n v="1364.43"/>
    <n v="5.0632999999999997E-2"/>
    <n v="7"/>
    <n v="13"/>
    <n v="5"/>
    <n v="4"/>
    <n v="1"/>
    <n v="4"/>
    <n v="3"/>
    <n v="2"/>
    <s v="Restricted"/>
    <x v="97"/>
    <x v="4"/>
    <x v="1"/>
    <s v="Strategic"/>
    <s v="10-11-2018"/>
    <n v="4"/>
    <n v="11120.92"/>
    <n v="4"/>
    <n v="3"/>
    <n v="1"/>
    <n v="4"/>
    <n v="2"/>
    <n v="40"/>
    <s v="11_2025"/>
    <n v="1"/>
    <n v="1"/>
    <n v="2"/>
    <n v="2"/>
    <n v="1"/>
    <n v="140"/>
    <x v="0"/>
  </r>
  <r>
    <x v="10"/>
    <x v="4"/>
    <n v="1045"/>
    <n v="92"/>
    <n v="71"/>
    <n v="6332.21"/>
    <n v="6.7943000000000003E-2"/>
    <n v="30"/>
    <n v="38"/>
    <n v="9"/>
    <n v="13"/>
    <n v="1"/>
    <n v="5"/>
    <n v="9"/>
    <n v="6"/>
    <s v="Suspended"/>
    <x v="10"/>
    <x v="4"/>
    <x v="3"/>
    <s v="Verified"/>
    <s v="01-08-2023"/>
    <n v="4"/>
    <n v="14510.03"/>
    <n v="1"/>
    <n v="0"/>
    <n v="4"/>
    <n v="3"/>
    <n v="3"/>
    <n v="42"/>
    <s v="12_2025"/>
    <n v="1"/>
    <n v="2"/>
    <n v="2"/>
    <n v="2"/>
    <n v="2"/>
    <n v="175"/>
    <x v="0"/>
  </r>
  <r>
    <x v="11"/>
    <x v="4"/>
    <n v="334"/>
    <n v="29"/>
    <n v="26"/>
    <n v="2191.79"/>
    <n v="7.7843999999999997E-2"/>
    <n v="18"/>
    <n v="18"/>
    <n v="4"/>
    <n v="8"/>
    <n v="1"/>
    <n v="5"/>
    <n v="5"/>
    <n v="3"/>
    <s v="Suspended"/>
    <x v="11"/>
    <x v="4"/>
    <x v="3"/>
    <s v="Premium"/>
    <s v="25-02-2025"/>
    <n v="4"/>
    <n v="17773.61"/>
    <n v="1"/>
    <n v="1"/>
    <n v="3"/>
    <n v="4"/>
    <n v="2"/>
    <n v="37"/>
    <s v="13_2025"/>
    <n v="1"/>
    <n v="2"/>
    <n v="2"/>
    <n v="2"/>
    <n v="2"/>
    <n v="175"/>
    <x v="0"/>
  </r>
  <r>
    <x v="12"/>
    <x v="4"/>
    <n v="860"/>
    <n v="54"/>
    <n v="39"/>
    <n v="1950.97"/>
    <n v="4.5349E-2"/>
    <n v="23"/>
    <n v="23"/>
    <n v="6"/>
    <n v="11"/>
    <n v="0"/>
    <n v="3"/>
    <n v="5"/>
    <n v="2"/>
    <s v="Review Required"/>
    <x v="12"/>
    <x v="4"/>
    <x v="2"/>
    <s v="Strategic"/>
    <s v="10-12-2020"/>
    <n v="1"/>
    <n v="1292.9100000000001"/>
    <n v="0"/>
    <n v="1"/>
    <n v="0"/>
    <n v="0"/>
    <n v="0"/>
    <n v="13"/>
    <s v="14_2025"/>
    <n v="0"/>
    <n v="2"/>
    <n v="0"/>
    <n v="0"/>
    <n v="1"/>
    <n v="60"/>
    <x v="1"/>
  </r>
  <r>
    <x v="13"/>
    <x v="4"/>
    <n v="1724"/>
    <n v="185"/>
    <n v="159"/>
    <n v="13541.17"/>
    <n v="9.2227000000000003E-2"/>
    <n v="48"/>
    <n v="60"/>
    <n v="37"/>
    <n v="19"/>
    <n v="1"/>
    <n v="6"/>
    <n v="14"/>
    <n v="8"/>
    <s v="Suspended"/>
    <x v="13"/>
    <x v="0"/>
    <x v="4"/>
    <s v="Premium"/>
    <s v="08-10-2021"/>
    <n v="5"/>
    <n v="18215.72"/>
    <n v="4"/>
    <n v="3"/>
    <n v="2"/>
    <n v="5"/>
    <n v="1"/>
    <n v="39"/>
    <s v="15_2025"/>
    <n v="1"/>
    <n v="2"/>
    <n v="2"/>
    <n v="2"/>
    <n v="2"/>
    <n v="175"/>
    <x v="0"/>
  </r>
  <r>
    <x v="14"/>
    <x v="4"/>
    <n v="1193"/>
    <n v="60"/>
    <n v="49"/>
    <n v="2091.34"/>
    <n v="4.1072999999999998E-2"/>
    <n v="18"/>
    <n v="27"/>
    <n v="5"/>
    <n v="8"/>
    <n v="0"/>
    <n v="2"/>
    <n v="3"/>
    <n v="3"/>
    <s v="Review Required"/>
    <x v="14"/>
    <x v="4"/>
    <x v="1"/>
    <s v="Standard"/>
    <s v="18-04-2025"/>
    <n v="3"/>
    <n v="1368.01"/>
    <n v="0"/>
    <n v="2"/>
    <n v="1"/>
    <n v="0"/>
    <n v="0"/>
    <n v="34"/>
    <s v="16_2025"/>
    <n v="0"/>
    <n v="2"/>
    <n v="1"/>
    <n v="0"/>
    <n v="1"/>
    <n v="80"/>
    <x v="1"/>
  </r>
  <r>
    <x v="15"/>
    <x v="4"/>
    <n v="927"/>
    <n v="76"/>
    <n v="73"/>
    <n v="3187.66"/>
    <n v="7.8749E-2"/>
    <n v="16"/>
    <n v="31"/>
    <n v="11"/>
    <n v="8"/>
    <n v="1"/>
    <n v="4"/>
    <n v="6"/>
    <n v="4"/>
    <s v="Suspended"/>
    <x v="15"/>
    <x v="3"/>
    <x v="3"/>
    <s v="Premium"/>
    <s v="14-06-2023"/>
    <n v="3"/>
    <n v="5990.9400000000005"/>
    <n v="1"/>
    <n v="1"/>
    <n v="2"/>
    <n v="2"/>
    <n v="2"/>
    <n v="21"/>
    <s v="17_2025"/>
    <n v="1"/>
    <n v="2"/>
    <n v="2"/>
    <n v="2"/>
    <n v="2"/>
    <n v="175"/>
    <x v="0"/>
  </r>
  <r>
    <x v="16"/>
    <x v="4"/>
    <n v="514"/>
    <n v="35"/>
    <n v="30"/>
    <n v="1532.85"/>
    <n v="5.8366000000000001E-2"/>
    <n v="13"/>
    <n v="14"/>
    <n v="5"/>
    <n v="7"/>
    <n v="1"/>
    <n v="4"/>
    <n v="4"/>
    <n v="1"/>
    <s v="Suspended"/>
    <x v="16"/>
    <x v="2"/>
    <x v="3"/>
    <s v="Premium"/>
    <s v="18-04-2020"/>
    <n v="4"/>
    <n v="10395.519999999999"/>
    <n v="0"/>
    <n v="3"/>
    <n v="1"/>
    <n v="1"/>
    <n v="1"/>
    <n v="59"/>
    <s v="18_2025"/>
    <n v="1"/>
    <n v="2"/>
    <n v="1"/>
    <n v="2"/>
    <n v="2"/>
    <n v="155"/>
    <x v="0"/>
  </r>
  <r>
    <x v="17"/>
    <x v="4"/>
    <n v="133"/>
    <n v="11"/>
    <n v="10"/>
    <n v="898.37"/>
    <n v="7.5188000000000005E-2"/>
    <n v="11"/>
    <n v="11"/>
    <n v="3"/>
    <n v="5"/>
    <n v="1"/>
    <n v="5"/>
    <n v="4"/>
    <n v="1"/>
    <s v="Suspended"/>
    <x v="17"/>
    <x v="4"/>
    <x v="3"/>
    <s v="Standard"/>
    <s v="25-02-2018"/>
    <n v="5"/>
    <n v="11083.76"/>
    <n v="2"/>
    <n v="3"/>
    <n v="2"/>
    <n v="4"/>
    <n v="1"/>
    <n v="56"/>
    <s v="19_2025"/>
    <n v="1"/>
    <n v="2"/>
    <n v="2"/>
    <n v="2"/>
    <n v="2"/>
    <n v="175"/>
    <x v="0"/>
  </r>
  <r>
    <x v="19"/>
    <x v="4"/>
    <n v="469"/>
    <n v="42"/>
    <n v="35"/>
    <n v="1548.47"/>
    <n v="7.4626999999999999E-2"/>
    <n v="24"/>
    <n v="24"/>
    <n v="6"/>
    <n v="11"/>
    <n v="0"/>
    <n v="3"/>
    <n v="6"/>
    <n v="1"/>
    <s v="Restricted"/>
    <x v="19"/>
    <x v="2"/>
    <x v="1"/>
    <s v="Verified"/>
    <s v="11-12-2018"/>
    <n v="4"/>
    <n v="7802.56"/>
    <n v="0"/>
    <n v="2"/>
    <n v="2"/>
    <n v="3"/>
    <n v="2"/>
    <n v="61"/>
    <s v="21_2025"/>
    <n v="1"/>
    <n v="2"/>
    <n v="2"/>
    <n v="0"/>
    <n v="1"/>
    <n v="125"/>
    <x v="0"/>
  </r>
  <r>
    <x v="20"/>
    <x v="4"/>
    <n v="1146"/>
    <n v="101"/>
    <n v="87"/>
    <n v="8968.33"/>
    <n v="7.5915999999999997E-2"/>
    <n v="17"/>
    <n v="33"/>
    <n v="18"/>
    <n v="6"/>
    <n v="1"/>
    <n v="3"/>
    <n v="4"/>
    <n v="4"/>
    <s v="Suspended"/>
    <x v="20"/>
    <x v="0"/>
    <x v="1"/>
    <s v="Strategic"/>
    <s v="28-11-2018"/>
    <n v="3"/>
    <n v="12272.26"/>
    <n v="2"/>
    <n v="1"/>
    <n v="2"/>
    <n v="2"/>
    <n v="1"/>
    <n v="32"/>
    <s v="22_2025"/>
    <n v="1"/>
    <n v="2"/>
    <n v="2"/>
    <n v="2"/>
    <n v="2"/>
    <n v="175"/>
    <x v="0"/>
  </r>
  <r>
    <x v="21"/>
    <x v="4"/>
    <n v="2011"/>
    <n v="126"/>
    <n v="91"/>
    <n v="6980.18"/>
    <n v="4.5251E-2"/>
    <n v="39"/>
    <n v="51"/>
    <n v="20"/>
    <n v="18"/>
    <n v="0"/>
    <n v="4"/>
    <n v="6"/>
    <n v="3"/>
    <s v="Review Required"/>
    <x v="21"/>
    <x v="1"/>
    <x v="0"/>
    <s v="Standard"/>
    <s v="07-05-2023"/>
    <n v="3"/>
    <n v="2308.61"/>
    <n v="0"/>
    <n v="2"/>
    <n v="1"/>
    <n v="1"/>
    <n v="1"/>
    <n v="33"/>
    <s v="23_2025"/>
    <n v="0"/>
    <n v="2"/>
    <n v="1"/>
    <n v="0"/>
    <n v="1"/>
    <n v="80"/>
    <x v="1"/>
  </r>
  <r>
    <x v="22"/>
    <x v="4"/>
    <n v="807"/>
    <n v="46"/>
    <n v="40"/>
    <n v="2616.0300000000002"/>
    <n v="4.9565999999999999E-2"/>
    <n v="8"/>
    <n v="25"/>
    <n v="5"/>
    <n v="7"/>
    <n v="1"/>
    <n v="2"/>
    <n v="5"/>
    <n v="3"/>
    <s v="Suspended"/>
    <x v="22"/>
    <x v="0"/>
    <x v="3"/>
    <s v="Verified"/>
    <s v="18-02-2018"/>
    <n v="3"/>
    <n v="4406.34"/>
    <n v="1"/>
    <n v="2"/>
    <n v="1"/>
    <n v="1"/>
    <n v="1"/>
    <n v="18"/>
    <s v="24_2025"/>
    <n v="0"/>
    <n v="2"/>
    <n v="1"/>
    <n v="2"/>
    <n v="2"/>
    <n v="130"/>
    <x v="0"/>
  </r>
  <r>
    <x v="23"/>
    <x v="4"/>
    <n v="600"/>
    <n v="55"/>
    <n v="52"/>
    <n v="2176.15"/>
    <n v="8.6666999999999994E-2"/>
    <n v="8"/>
    <n v="20"/>
    <n v="9"/>
    <n v="4"/>
    <n v="1"/>
    <n v="4"/>
    <n v="3"/>
    <n v="3"/>
    <s v="Restricted"/>
    <x v="23"/>
    <x v="3"/>
    <x v="2"/>
    <s v="Strategic"/>
    <s v="26-10-2021"/>
    <n v="4"/>
    <n v="5888.03"/>
    <n v="2"/>
    <n v="3"/>
    <n v="1"/>
    <n v="2"/>
    <n v="0"/>
    <n v="39"/>
    <s v="25_2025"/>
    <n v="1"/>
    <n v="2"/>
    <n v="2"/>
    <n v="2"/>
    <n v="1"/>
    <n v="165"/>
    <x v="0"/>
  </r>
  <r>
    <x v="24"/>
    <x v="4"/>
    <n v="421"/>
    <n v="36"/>
    <n v="33"/>
    <n v="2777.03"/>
    <n v="7.8384999999999996E-2"/>
    <n v="10"/>
    <n v="13"/>
    <n v="9"/>
    <n v="6"/>
    <n v="1"/>
    <n v="6"/>
    <n v="4"/>
    <n v="4"/>
    <s v="Suspended"/>
    <x v="24"/>
    <x v="3"/>
    <x v="4"/>
    <s v="Standard"/>
    <s v="18-12-2019"/>
    <n v="6"/>
    <n v="10674.7"/>
    <n v="5"/>
    <n v="4"/>
    <n v="2"/>
    <n v="5"/>
    <n v="3"/>
    <n v="57"/>
    <s v="26_2025"/>
    <n v="1"/>
    <n v="2"/>
    <n v="2"/>
    <n v="2"/>
    <n v="2"/>
    <n v="175"/>
    <x v="0"/>
  </r>
  <r>
    <x v="25"/>
    <x v="4"/>
    <n v="1176"/>
    <n v="69"/>
    <n v="52"/>
    <n v="2680.59"/>
    <n v="4.4218E-2"/>
    <n v="30"/>
    <n v="33"/>
    <n v="7"/>
    <n v="13"/>
    <n v="0"/>
    <n v="2"/>
    <n v="6"/>
    <n v="2"/>
    <s v="Review Required"/>
    <x v="25"/>
    <x v="4"/>
    <x v="2"/>
    <s v="Standard"/>
    <s v="21-02-2018"/>
    <n v="2"/>
    <n v="2195.9300000000003"/>
    <n v="0"/>
    <n v="0"/>
    <n v="2"/>
    <n v="0"/>
    <n v="1"/>
    <n v="29"/>
    <s v="27_2025"/>
    <n v="0"/>
    <n v="2"/>
    <n v="1"/>
    <n v="0"/>
    <n v="1"/>
    <n v="80"/>
    <x v="1"/>
  </r>
  <r>
    <x v="26"/>
    <x v="4"/>
    <n v="578"/>
    <n v="44"/>
    <n v="38"/>
    <n v="1821.86"/>
    <n v="6.5743999999999997E-2"/>
    <n v="16"/>
    <n v="17"/>
    <n v="7"/>
    <n v="7"/>
    <n v="1"/>
    <n v="4"/>
    <n v="6"/>
    <n v="2"/>
    <s v="Suspended"/>
    <x v="26"/>
    <x v="1"/>
    <x v="0"/>
    <s v="Premium"/>
    <s v="03-02-2017"/>
    <n v="4"/>
    <n v="10392.94"/>
    <n v="1"/>
    <n v="3"/>
    <n v="1"/>
    <n v="3"/>
    <n v="1"/>
    <n v="39"/>
    <s v="28_2025"/>
    <n v="1"/>
    <n v="2"/>
    <n v="2"/>
    <n v="2"/>
    <n v="2"/>
    <n v="175"/>
    <x v="0"/>
  </r>
  <r>
    <x v="27"/>
    <x v="4"/>
    <n v="1451"/>
    <n v="84"/>
    <n v="77"/>
    <n v="4185.0200000000004"/>
    <n v="5.3067000000000003E-2"/>
    <n v="22"/>
    <n v="31"/>
    <n v="16"/>
    <n v="6"/>
    <n v="0"/>
    <n v="2"/>
    <n v="3"/>
    <n v="6"/>
    <s v="Restricted"/>
    <x v="27"/>
    <x v="1"/>
    <x v="1"/>
    <s v="Standard"/>
    <s v="26-06-2021"/>
    <n v="3"/>
    <n v="6231.59"/>
    <n v="0"/>
    <n v="2"/>
    <n v="1"/>
    <n v="2"/>
    <n v="0"/>
    <n v="30"/>
    <s v="29_2025"/>
    <n v="1"/>
    <n v="2"/>
    <n v="2"/>
    <n v="0"/>
    <n v="1"/>
    <n v="125"/>
    <x v="0"/>
  </r>
  <r>
    <x v="28"/>
    <x v="4"/>
    <n v="873"/>
    <n v="47"/>
    <n v="39"/>
    <n v="1364.14"/>
    <n v="4.4673999999999998E-2"/>
    <n v="5"/>
    <n v="21"/>
    <n v="5"/>
    <n v="3"/>
    <n v="0"/>
    <n v="0"/>
    <n v="1"/>
    <n v="2"/>
    <s v="Restricted"/>
    <x v="28"/>
    <x v="4"/>
    <x v="2"/>
    <s v="Premium"/>
    <s v="28-04-2019"/>
    <n v="3"/>
    <n v="4575.22"/>
    <n v="0"/>
    <n v="3"/>
    <n v="0"/>
    <n v="2"/>
    <n v="1"/>
    <n v="22"/>
    <s v="30_2025"/>
    <n v="0"/>
    <n v="1"/>
    <n v="2"/>
    <n v="0"/>
    <n v="1"/>
    <n v="75"/>
    <x v="1"/>
  </r>
  <r>
    <x v="30"/>
    <x v="4"/>
    <n v="1778"/>
    <n v="167"/>
    <n v="146"/>
    <n v="14092.19"/>
    <n v="8.2114999999999994E-2"/>
    <n v="20"/>
    <n v="55"/>
    <n v="30"/>
    <n v="11"/>
    <n v="1"/>
    <n v="4"/>
    <n v="5"/>
    <n v="7"/>
    <s v="Suspended"/>
    <x v="30"/>
    <x v="3"/>
    <x v="1"/>
    <s v="Verified"/>
    <s v="11-07-2020"/>
    <n v="3"/>
    <n v="11560.25"/>
    <n v="2"/>
    <n v="2"/>
    <n v="1"/>
    <n v="3"/>
    <n v="1"/>
    <n v="23"/>
    <s v="32_2025"/>
    <n v="1"/>
    <n v="2"/>
    <n v="2"/>
    <n v="2"/>
    <n v="2"/>
    <n v="175"/>
    <x v="0"/>
  </r>
  <r>
    <x v="31"/>
    <x v="4"/>
    <n v="1025"/>
    <n v="101"/>
    <n v="96"/>
    <n v="9539.2999999999993"/>
    <n v="9.3659000000000006E-2"/>
    <n v="33"/>
    <n v="39"/>
    <n v="20"/>
    <n v="10"/>
    <n v="1"/>
    <n v="3"/>
    <n v="7"/>
    <n v="6"/>
    <s v="Suspended"/>
    <x v="31"/>
    <x v="4"/>
    <x v="4"/>
    <s v="Standard"/>
    <s v="06-05-2019"/>
    <n v="3"/>
    <n v="3277.78"/>
    <n v="0"/>
    <n v="2"/>
    <n v="1"/>
    <n v="1"/>
    <n v="1"/>
    <n v="33"/>
    <s v="33_2025"/>
    <n v="1"/>
    <n v="2"/>
    <n v="1"/>
    <n v="2"/>
    <n v="2"/>
    <n v="155"/>
    <x v="0"/>
  </r>
  <r>
    <x v="32"/>
    <x v="4"/>
    <n v="781"/>
    <n v="59"/>
    <n v="45"/>
    <n v="4386.83"/>
    <n v="5.7618000000000003E-2"/>
    <n v="22"/>
    <n v="28"/>
    <n v="12"/>
    <n v="11"/>
    <n v="1"/>
    <n v="4"/>
    <n v="4"/>
    <n v="3"/>
    <s v="Suspended"/>
    <x v="32"/>
    <x v="1"/>
    <x v="0"/>
    <s v="Verified"/>
    <s v="19-07-2019"/>
    <n v="3"/>
    <n v="10944.59"/>
    <n v="3"/>
    <n v="1"/>
    <n v="2"/>
    <n v="2"/>
    <n v="1"/>
    <n v="43"/>
    <s v="34_2025"/>
    <n v="1"/>
    <n v="2"/>
    <n v="2"/>
    <n v="2"/>
    <n v="2"/>
    <n v="175"/>
    <x v="0"/>
  </r>
  <r>
    <x v="33"/>
    <x v="4"/>
    <n v="80"/>
    <n v="4"/>
    <n v="3"/>
    <n v="196.99"/>
    <n v="3.7499999999999999E-2"/>
    <n v="6"/>
    <n v="6"/>
    <n v="1"/>
    <n v="4"/>
    <n v="0"/>
    <n v="1"/>
    <n v="2"/>
    <n v="0"/>
    <s v="Restricted"/>
    <x v="33"/>
    <x v="3"/>
    <x v="4"/>
    <s v="Verified"/>
    <s v="11-11-2019"/>
    <n v="3"/>
    <n v="7612.12"/>
    <n v="0"/>
    <n v="3"/>
    <n v="0"/>
    <n v="1"/>
    <n v="1"/>
    <n v="24"/>
    <s v="35_2025"/>
    <n v="0"/>
    <n v="1"/>
    <n v="1"/>
    <n v="0"/>
    <n v="1"/>
    <n v="55"/>
    <x v="2"/>
  </r>
  <r>
    <x v="34"/>
    <x v="4"/>
    <n v="1600"/>
    <n v="107"/>
    <n v="84"/>
    <n v="3131.24"/>
    <n v="5.2499999999999998E-2"/>
    <n v="19"/>
    <n v="43"/>
    <n v="18"/>
    <n v="7"/>
    <n v="1"/>
    <n v="2"/>
    <n v="3"/>
    <n v="3"/>
    <s v="Suspended"/>
    <x v="34"/>
    <x v="2"/>
    <x v="2"/>
    <s v="Strategic"/>
    <s v="14-04-2020"/>
    <n v="2"/>
    <n v="8360.2900000000009"/>
    <n v="1"/>
    <n v="0"/>
    <n v="2"/>
    <n v="1"/>
    <n v="0"/>
    <n v="10"/>
    <s v="36_2025"/>
    <n v="1"/>
    <n v="2"/>
    <n v="1"/>
    <n v="2"/>
    <n v="2"/>
    <n v="155"/>
    <x v="0"/>
  </r>
  <r>
    <x v="35"/>
    <x v="4"/>
    <n v="1439"/>
    <n v="142"/>
    <n v="114"/>
    <n v="10985.61"/>
    <n v="7.9222000000000001E-2"/>
    <n v="36"/>
    <n v="53"/>
    <n v="22"/>
    <n v="17"/>
    <n v="1"/>
    <n v="7"/>
    <n v="8"/>
    <n v="7"/>
    <s v="Suspended"/>
    <x v="35"/>
    <x v="0"/>
    <x v="4"/>
    <s v="Standard"/>
    <s v="26-07-2021"/>
    <n v="5"/>
    <n v="20563.75"/>
    <n v="3"/>
    <n v="2"/>
    <n v="3"/>
    <n v="5"/>
    <n v="2"/>
    <n v="77"/>
    <s v="37_2025"/>
    <n v="1"/>
    <n v="2"/>
    <n v="2"/>
    <n v="2"/>
    <n v="2"/>
    <n v="175"/>
    <x v="0"/>
  </r>
  <r>
    <x v="36"/>
    <x v="4"/>
    <n v="1294"/>
    <n v="88"/>
    <n v="73"/>
    <n v="4734.08"/>
    <n v="5.6413999999999999E-2"/>
    <n v="19"/>
    <n v="26"/>
    <n v="8"/>
    <n v="5"/>
    <n v="0"/>
    <n v="2"/>
    <n v="2"/>
    <n v="4"/>
    <s v="Review Required"/>
    <x v="36"/>
    <x v="3"/>
    <x v="3"/>
    <s v="Verified"/>
    <s v="27-02-2022"/>
    <n v="1"/>
    <n v="540.11"/>
    <n v="0"/>
    <n v="1"/>
    <n v="0"/>
    <n v="0"/>
    <n v="0"/>
    <n v="3"/>
    <s v="38_2025"/>
    <n v="1"/>
    <n v="2"/>
    <n v="0"/>
    <n v="0"/>
    <n v="1"/>
    <n v="85"/>
    <x v="1"/>
  </r>
  <r>
    <x v="37"/>
    <x v="4"/>
    <n v="1707"/>
    <n v="165"/>
    <n v="146"/>
    <n v="6059.01"/>
    <n v="8.5529999999999995E-2"/>
    <n v="28"/>
    <n v="56"/>
    <n v="21"/>
    <n v="17"/>
    <n v="1"/>
    <n v="6"/>
    <n v="9"/>
    <n v="8"/>
    <s v="Suspended"/>
    <x v="37"/>
    <x v="1"/>
    <x v="0"/>
    <s v="Premium"/>
    <s v="21-07-2025"/>
    <n v="6"/>
    <n v="23332.300000000003"/>
    <n v="3"/>
    <n v="2"/>
    <n v="4"/>
    <n v="5"/>
    <n v="3"/>
    <n v="48"/>
    <s v="39_2025"/>
    <n v="1"/>
    <n v="2"/>
    <n v="2"/>
    <n v="2"/>
    <n v="2"/>
    <n v="175"/>
    <x v="0"/>
  </r>
  <r>
    <x v="38"/>
    <x v="4"/>
    <n v="1175"/>
    <n v="103"/>
    <n v="85"/>
    <n v="8958.89"/>
    <n v="7.2340000000000002E-2"/>
    <n v="24"/>
    <n v="39"/>
    <n v="21"/>
    <n v="11"/>
    <n v="1"/>
    <n v="4"/>
    <n v="9"/>
    <n v="2"/>
    <s v="Suspended"/>
    <x v="38"/>
    <x v="0"/>
    <x v="2"/>
    <s v="Standard"/>
    <s v="17-12-2020"/>
    <n v="3"/>
    <n v="9537.17"/>
    <n v="2"/>
    <n v="1"/>
    <n v="2"/>
    <n v="3"/>
    <n v="1"/>
    <n v="31"/>
    <s v="40_2025"/>
    <n v="1"/>
    <n v="2"/>
    <n v="2"/>
    <n v="2"/>
    <n v="2"/>
    <n v="175"/>
    <x v="0"/>
  </r>
  <r>
    <x v="39"/>
    <x v="4"/>
    <n v="440"/>
    <n v="49"/>
    <n v="45"/>
    <n v="4269.47"/>
    <n v="0.102273"/>
    <n v="17"/>
    <n v="21"/>
    <n v="11"/>
    <n v="8"/>
    <n v="0"/>
    <n v="1"/>
    <n v="4"/>
    <n v="3"/>
    <s v="Suspended"/>
    <x v="39"/>
    <x v="4"/>
    <x v="0"/>
    <s v="Standard"/>
    <s v="20-08-2023"/>
    <n v="4"/>
    <n v="18451.64"/>
    <n v="0"/>
    <n v="2"/>
    <n v="2"/>
    <n v="4"/>
    <n v="1"/>
    <n v="49"/>
    <s v="41_2025"/>
    <n v="2"/>
    <n v="2"/>
    <n v="2"/>
    <n v="0"/>
    <n v="2"/>
    <n v="160"/>
    <x v="0"/>
  </r>
  <r>
    <x v="40"/>
    <x v="4"/>
    <n v="943"/>
    <n v="61"/>
    <n v="59"/>
    <n v="4527.21"/>
    <n v="6.2565999999999997E-2"/>
    <n v="9"/>
    <n v="24"/>
    <n v="12"/>
    <n v="7"/>
    <n v="1"/>
    <n v="4"/>
    <n v="5"/>
    <n v="3"/>
    <s v="Suspended"/>
    <x v="40"/>
    <x v="1"/>
    <x v="2"/>
    <s v="Strategic"/>
    <s v="09-11-2020"/>
    <n v="2"/>
    <n v="5723.28"/>
    <n v="2"/>
    <n v="1"/>
    <n v="1"/>
    <n v="2"/>
    <n v="2"/>
    <n v="22"/>
    <s v="42_2025"/>
    <n v="1"/>
    <n v="2"/>
    <n v="2"/>
    <n v="2"/>
    <n v="2"/>
    <n v="175"/>
    <x v="0"/>
  </r>
  <r>
    <x v="41"/>
    <x v="4"/>
    <n v="1159"/>
    <n v="81"/>
    <n v="59"/>
    <n v="2323.6"/>
    <n v="5.0906E-2"/>
    <n v="10"/>
    <n v="37"/>
    <n v="14"/>
    <n v="4"/>
    <n v="0"/>
    <n v="1"/>
    <n v="1"/>
    <n v="2"/>
    <s v="Restricted"/>
    <x v="41"/>
    <x v="2"/>
    <x v="4"/>
    <s v="Verified"/>
    <s v="05-03-2018"/>
    <n v="4"/>
    <n v="7758.47"/>
    <n v="0"/>
    <n v="3"/>
    <n v="1"/>
    <n v="3"/>
    <n v="1"/>
    <n v="38"/>
    <s v="43_2025"/>
    <n v="1"/>
    <n v="2"/>
    <n v="2"/>
    <n v="0"/>
    <n v="1"/>
    <n v="125"/>
    <x v="0"/>
  </r>
  <r>
    <x v="42"/>
    <x v="4"/>
    <n v="895"/>
    <n v="63"/>
    <n v="46"/>
    <n v="4349.17"/>
    <n v="5.1396999999999998E-2"/>
    <n v="14"/>
    <n v="30"/>
    <n v="8"/>
    <n v="8"/>
    <n v="0"/>
    <n v="1"/>
    <n v="2"/>
    <n v="2"/>
    <s v="Restricted"/>
    <x v="42"/>
    <x v="1"/>
    <x v="3"/>
    <s v="Standard"/>
    <s v="25-07-2023"/>
    <n v="5"/>
    <n v="11946.36"/>
    <n v="0"/>
    <n v="4"/>
    <n v="1"/>
    <n v="2"/>
    <n v="0"/>
    <n v="38"/>
    <s v="44_2025"/>
    <n v="1"/>
    <n v="2"/>
    <n v="2"/>
    <n v="0"/>
    <n v="1"/>
    <n v="125"/>
    <x v="0"/>
  </r>
  <r>
    <x v="43"/>
    <x v="4"/>
    <n v="677"/>
    <n v="28"/>
    <n v="25"/>
    <n v="877.02"/>
    <n v="3.6928000000000002E-2"/>
    <n v="5"/>
    <n v="11"/>
    <n v="5"/>
    <n v="2"/>
    <n v="1"/>
    <n v="2"/>
    <n v="2"/>
    <n v="1"/>
    <s v="Review Required"/>
    <x v="43"/>
    <x v="2"/>
    <x v="4"/>
    <s v="Premium"/>
    <s v="24-09-2023"/>
    <n v="2"/>
    <n v="1540.4299999999998"/>
    <n v="2"/>
    <n v="0"/>
    <n v="2"/>
    <n v="0"/>
    <n v="2"/>
    <n v="11"/>
    <s v="45_2025"/>
    <n v="0"/>
    <n v="1"/>
    <n v="1"/>
    <n v="2"/>
    <n v="1"/>
    <n v="95"/>
    <x v="1"/>
  </r>
  <r>
    <x v="44"/>
    <x v="4"/>
    <n v="707"/>
    <n v="66"/>
    <n v="49"/>
    <n v="2997.07"/>
    <n v="6.9306999999999994E-2"/>
    <n v="19"/>
    <n v="26"/>
    <n v="11"/>
    <n v="8"/>
    <n v="1"/>
    <n v="5"/>
    <n v="7"/>
    <n v="3"/>
    <s v="Suspended"/>
    <x v="44"/>
    <x v="1"/>
    <x v="4"/>
    <s v="Verified"/>
    <s v="05-08-2020"/>
    <n v="5"/>
    <n v="11482.630000000001"/>
    <n v="3"/>
    <n v="1"/>
    <n v="4"/>
    <n v="4"/>
    <n v="5"/>
    <n v="54"/>
    <s v="46_2025"/>
    <n v="1"/>
    <n v="2"/>
    <n v="2"/>
    <n v="2"/>
    <n v="2"/>
    <n v="175"/>
    <x v="0"/>
  </r>
  <r>
    <x v="45"/>
    <x v="4"/>
    <n v="877"/>
    <n v="68"/>
    <n v="61"/>
    <n v="2671.06"/>
    <n v="6.9555000000000006E-2"/>
    <n v="17"/>
    <n v="31"/>
    <n v="13"/>
    <n v="5"/>
    <n v="1"/>
    <n v="3"/>
    <n v="4"/>
    <n v="3"/>
    <s v="Suspended"/>
    <x v="45"/>
    <x v="1"/>
    <x v="1"/>
    <s v="Verified"/>
    <s v="09-01-2020"/>
    <n v="3"/>
    <n v="10348.119999999999"/>
    <n v="0"/>
    <n v="1"/>
    <n v="2"/>
    <n v="2"/>
    <n v="1"/>
    <n v="25"/>
    <s v="47_2025"/>
    <n v="1"/>
    <n v="2"/>
    <n v="2"/>
    <n v="2"/>
    <n v="2"/>
    <n v="175"/>
    <x v="0"/>
  </r>
  <r>
    <x v="46"/>
    <x v="4"/>
    <n v="1408"/>
    <n v="105"/>
    <n v="83"/>
    <n v="5370.77"/>
    <n v="5.8949000000000001E-2"/>
    <n v="11"/>
    <n v="37"/>
    <n v="14"/>
    <n v="5"/>
    <n v="1"/>
    <n v="4"/>
    <n v="4"/>
    <n v="6"/>
    <s v="Suspended"/>
    <x v="46"/>
    <x v="1"/>
    <x v="4"/>
    <s v="Premium"/>
    <s v="24-01-2025"/>
    <n v="4"/>
    <n v="11557.869999999999"/>
    <n v="1"/>
    <n v="2"/>
    <n v="2"/>
    <n v="3"/>
    <n v="1"/>
    <n v="34"/>
    <s v="48_2025"/>
    <n v="1"/>
    <n v="2"/>
    <n v="2"/>
    <n v="2"/>
    <n v="2"/>
    <n v="175"/>
    <x v="0"/>
  </r>
  <r>
    <x v="47"/>
    <x v="4"/>
    <n v="215"/>
    <n v="20"/>
    <n v="16"/>
    <n v="1791.04"/>
    <n v="7.4418999999999999E-2"/>
    <n v="13"/>
    <n v="13"/>
    <n v="6"/>
    <n v="6"/>
    <n v="1"/>
    <n v="3"/>
    <n v="4"/>
    <n v="1"/>
    <s v="Suspended"/>
    <x v="47"/>
    <x v="0"/>
    <x v="1"/>
    <s v="Verified"/>
    <s v="05-10-2018"/>
    <n v="3"/>
    <n v="8387.9699999999993"/>
    <n v="2"/>
    <n v="3"/>
    <n v="0"/>
    <n v="2"/>
    <n v="2"/>
    <n v="23"/>
    <s v="49_2025"/>
    <n v="1"/>
    <n v="2"/>
    <n v="2"/>
    <n v="2"/>
    <n v="2"/>
    <n v="175"/>
    <x v="0"/>
  </r>
  <r>
    <x v="48"/>
    <x v="4"/>
    <n v="1320"/>
    <n v="73"/>
    <n v="60"/>
    <n v="2681.78"/>
    <n v="4.5455000000000002E-2"/>
    <n v="22"/>
    <n v="34"/>
    <n v="13"/>
    <n v="11"/>
    <n v="1"/>
    <n v="2"/>
    <n v="6"/>
    <n v="5"/>
    <s v="Suspended"/>
    <x v="48"/>
    <x v="2"/>
    <x v="1"/>
    <s v="Strategic"/>
    <s v="10-03-2019"/>
    <n v="1"/>
    <n v="1318.85"/>
    <n v="1"/>
    <n v="0"/>
    <n v="1"/>
    <n v="0"/>
    <n v="1"/>
    <n v="2"/>
    <s v="50_2025"/>
    <n v="0"/>
    <n v="2"/>
    <n v="0"/>
    <n v="2"/>
    <n v="2"/>
    <n v="110"/>
    <x v="1"/>
  </r>
  <r>
    <x v="49"/>
    <x v="4"/>
    <n v="1861"/>
    <n v="188"/>
    <n v="164"/>
    <n v="6447.14"/>
    <n v="8.8124999999999995E-2"/>
    <n v="23"/>
    <n v="54"/>
    <n v="28"/>
    <n v="13"/>
    <n v="1"/>
    <n v="4"/>
    <n v="7"/>
    <n v="8"/>
    <s v="Suspended"/>
    <x v="49"/>
    <x v="3"/>
    <x v="3"/>
    <s v="Premium"/>
    <s v="23-02-2020"/>
    <n v="4"/>
    <n v="10085.57"/>
    <n v="0"/>
    <n v="1"/>
    <n v="3"/>
    <n v="2"/>
    <n v="1"/>
    <n v="36"/>
    <s v="51_2025"/>
    <n v="1"/>
    <n v="2"/>
    <n v="2"/>
    <n v="2"/>
    <n v="2"/>
    <n v="175"/>
    <x v="0"/>
  </r>
  <r>
    <x v="50"/>
    <x v="4"/>
    <n v="2054"/>
    <n v="207"/>
    <n v="188"/>
    <n v="14013.56"/>
    <n v="9.1528999999999999E-2"/>
    <n v="18"/>
    <n v="66"/>
    <n v="20"/>
    <n v="10"/>
    <n v="1"/>
    <n v="4"/>
    <n v="5"/>
    <n v="4"/>
    <s v="Suspended"/>
    <x v="50"/>
    <x v="2"/>
    <x v="0"/>
    <s v="Standard"/>
    <s v="17-02-2023"/>
    <n v="3"/>
    <n v="12858.439999999999"/>
    <n v="1"/>
    <n v="3"/>
    <n v="0"/>
    <n v="2"/>
    <n v="2"/>
    <n v="35"/>
    <s v="52_2025"/>
    <n v="1"/>
    <n v="2"/>
    <n v="2"/>
    <n v="2"/>
    <n v="2"/>
    <n v="175"/>
    <x v="0"/>
  </r>
  <r>
    <x v="51"/>
    <x v="4"/>
    <n v="630"/>
    <n v="57"/>
    <n v="47"/>
    <n v="4148.66"/>
    <n v="7.4603000000000003E-2"/>
    <n v="22"/>
    <n v="23"/>
    <n v="6"/>
    <n v="10"/>
    <n v="1"/>
    <n v="6"/>
    <n v="8"/>
    <n v="2"/>
    <s v="Suspended"/>
    <x v="51"/>
    <x v="1"/>
    <x v="1"/>
    <s v="Premium"/>
    <s v="17-12-2019"/>
    <n v="3"/>
    <n v="6914.6399999999994"/>
    <n v="2"/>
    <n v="2"/>
    <n v="1"/>
    <n v="2"/>
    <n v="1"/>
    <n v="25"/>
    <s v="53_2025"/>
    <n v="1"/>
    <n v="2"/>
    <n v="2"/>
    <n v="2"/>
    <n v="2"/>
    <n v="175"/>
    <x v="0"/>
  </r>
  <r>
    <x v="52"/>
    <x v="4"/>
    <n v="516"/>
    <n v="39"/>
    <n v="32"/>
    <n v="3344.17"/>
    <n v="6.2016000000000002E-2"/>
    <n v="15"/>
    <n v="19"/>
    <n v="9"/>
    <n v="9"/>
    <n v="1"/>
    <n v="6"/>
    <n v="6"/>
    <n v="2"/>
    <s v="Suspended"/>
    <x v="52"/>
    <x v="4"/>
    <x v="4"/>
    <s v="Verified"/>
    <s v="09-02-2021"/>
    <n v="3"/>
    <n v="8931.8799999999992"/>
    <n v="2"/>
    <n v="2"/>
    <n v="1"/>
    <n v="3"/>
    <n v="2"/>
    <n v="31"/>
    <s v="54_2025"/>
    <n v="1"/>
    <n v="2"/>
    <n v="2"/>
    <n v="2"/>
    <n v="2"/>
    <n v="175"/>
    <x v="0"/>
  </r>
  <r>
    <x v="53"/>
    <x v="4"/>
    <n v="2864"/>
    <n v="322"/>
    <n v="245"/>
    <n v="22227.63"/>
    <n v="8.5544999999999996E-2"/>
    <n v="66"/>
    <n v="97"/>
    <n v="40"/>
    <n v="32"/>
    <n v="1"/>
    <n v="13"/>
    <n v="23"/>
    <n v="12"/>
    <s v="Suspended"/>
    <x v="53"/>
    <x v="2"/>
    <x v="1"/>
    <s v="Verified"/>
    <s v="26-06-2021"/>
    <n v="6"/>
    <n v="12183.27"/>
    <n v="4"/>
    <n v="4"/>
    <n v="2"/>
    <n v="3"/>
    <n v="3"/>
    <n v="69"/>
    <s v="55_2025"/>
    <n v="1"/>
    <n v="2"/>
    <n v="2"/>
    <n v="2"/>
    <n v="2"/>
    <n v="175"/>
    <x v="0"/>
  </r>
  <r>
    <x v="55"/>
    <x v="4"/>
    <n v="1018"/>
    <n v="86"/>
    <n v="63"/>
    <n v="4801.78"/>
    <n v="6.1885999999999997E-2"/>
    <n v="21"/>
    <n v="33"/>
    <n v="14"/>
    <n v="9"/>
    <n v="1"/>
    <n v="5"/>
    <n v="7"/>
    <n v="4"/>
    <s v="Suspended"/>
    <x v="55"/>
    <x v="3"/>
    <x v="2"/>
    <s v="Premium"/>
    <s v="19-11-2021"/>
    <n v="4"/>
    <n v="16328.060000000001"/>
    <n v="1"/>
    <n v="2"/>
    <n v="2"/>
    <n v="4"/>
    <n v="3"/>
    <n v="30"/>
    <s v="57_2025"/>
    <n v="1"/>
    <n v="2"/>
    <n v="2"/>
    <n v="2"/>
    <n v="2"/>
    <n v="175"/>
    <x v="0"/>
  </r>
  <r>
    <x v="56"/>
    <x v="4"/>
    <n v="488"/>
    <n v="17"/>
    <n v="16"/>
    <n v="961.53"/>
    <n v="3.2786999999999997E-2"/>
    <n v="4"/>
    <n v="17"/>
    <n v="3"/>
    <n v="4"/>
    <n v="1"/>
    <n v="3"/>
    <n v="3"/>
    <n v="2"/>
    <s v="Restricted"/>
    <x v="56"/>
    <x v="1"/>
    <x v="4"/>
    <s v="Strategic"/>
    <s v="04-04-2021"/>
    <n v="1"/>
    <n v="7115.29"/>
    <n v="0"/>
    <n v="1"/>
    <n v="0"/>
    <n v="1"/>
    <n v="1"/>
    <n v="9"/>
    <s v="58_2025"/>
    <n v="0"/>
    <n v="1"/>
    <n v="1"/>
    <n v="2"/>
    <n v="1"/>
    <n v="95"/>
    <x v="1"/>
  </r>
  <r>
    <x v="57"/>
    <x v="4"/>
    <n v="412"/>
    <n v="32"/>
    <n v="27"/>
    <n v="2882.47"/>
    <n v="6.5533999999999995E-2"/>
    <n v="15"/>
    <n v="18"/>
    <n v="7"/>
    <n v="8"/>
    <n v="1"/>
    <n v="5"/>
    <n v="6"/>
    <n v="1"/>
    <s v="Suspended"/>
    <x v="57"/>
    <x v="1"/>
    <x v="4"/>
    <s v="Strategic"/>
    <s v="27-02-2021"/>
    <n v="6"/>
    <n v="19953.8"/>
    <n v="4"/>
    <n v="2"/>
    <n v="4"/>
    <n v="4"/>
    <n v="2"/>
    <n v="67"/>
    <s v="59_2025"/>
    <n v="1"/>
    <n v="2"/>
    <n v="2"/>
    <n v="2"/>
    <n v="2"/>
    <n v="175"/>
    <x v="0"/>
  </r>
  <r>
    <x v="58"/>
    <x v="4"/>
    <n v="1295"/>
    <n v="112"/>
    <n v="94"/>
    <n v="8530.99"/>
    <n v="7.2586999999999999E-2"/>
    <n v="22"/>
    <n v="36"/>
    <n v="13"/>
    <n v="16"/>
    <n v="1"/>
    <n v="7"/>
    <n v="10"/>
    <n v="6"/>
    <s v="Suspended"/>
    <x v="58"/>
    <x v="0"/>
    <x v="0"/>
    <s v="Standard"/>
    <s v="28-11-2019"/>
    <n v="4"/>
    <n v="7927.77"/>
    <n v="3"/>
    <n v="2"/>
    <n v="2"/>
    <n v="3"/>
    <n v="2"/>
    <n v="55"/>
    <s v="60_2025"/>
    <n v="1"/>
    <n v="2"/>
    <n v="2"/>
    <n v="2"/>
    <n v="2"/>
    <n v="175"/>
    <x v="0"/>
  </r>
  <r>
    <x v="59"/>
    <x v="4"/>
    <n v="900"/>
    <n v="64"/>
    <n v="47"/>
    <n v="4145.0200000000004"/>
    <n v="5.2221999999999998E-2"/>
    <n v="25"/>
    <n v="25"/>
    <n v="11"/>
    <n v="11"/>
    <n v="1"/>
    <n v="4"/>
    <n v="5"/>
    <n v="2"/>
    <s v="Suspended"/>
    <x v="59"/>
    <x v="0"/>
    <x v="4"/>
    <s v="Verified"/>
    <s v="13-02-2018"/>
    <n v="5"/>
    <n v="13973.04"/>
    <n v="3"/>
    <n v="2"/>
    <n v="3"/>
    <n v="3"/>
    <n v="3"/>
    <n v="37"/>
    <s v="61_2025"/>
    <n v="1"/>
    <n v="2"/>
    <n v="2"/>
    <n v="2"/>
    <n v="2"/>
    <n v="175"/>
    <x v="0"/>
  </r>
  <r>
    <x v="60"/>
    <x v="4"/>
    <n v="983"/>
    <n v="56"/>
    <n v="42"/>
    <n v="2609.4699999999998"/>
    <n v="4.2726E-2"/>
    <n v="28"/>
    <n v="28"/>
    <n v="10"/>
    <n v="18"/>
    <n v="1"/>
    <n v="9"/>
    <n v="12"/>
    <n v="4"/>
    <s v="Suspended"/>
    <x v="60"/>
    <x v="0"/>
    <x v="1"/>
    <s v="Standard"/>
    <s v="20-10-2024"/>
    <n v="3"/>
    <n v="12141.119999999999"/>
    <n v="3"/>
    <n v="1"/>
    <n v="2"/>
    <n v="2"/>
    <n v="3"/>
    <n v="31"/>
    <s v="62_2025"/>
    <n v="0"/>
    <n v="2"/>
    <n v="2"/>
    <n v="2"/>
    <n v="2"/>
    <n v="150"/>
    <x v="0"/>
  </r>
  <r>
    <x v="61"/>
    <x v="4"/>
    <n v="688"/>
    <n v="61"/>
    <n v="44"/>
    <n v="1880.3"/>
    <n v="6.3952999999999996E-2"/>
    <n v="27"/>
    <n v="27"/>
    <n v="11"/>
    <n v="7"/>
    <n v="0"/>
    <n v="1"/>
    <n v="3"/>
    <n v="3"/>
    <s v="Review Required"/>
    <x v="61"/>
    <x v="1"/>
    <x v="4"/>
    <s v="Standard"/>
    <s v="24-10-2018"/>
    <n v="5"/>
    <n v="5455.7999999999993"/>
    <n v="0"/>
    <n v="2"/>
    <n v="3"/>
    <n v="1"/>
    <n v="2"/>
    <n v="42"/>
    <s v="63_2025"/>
    <n v="1"/>
    <n v="2"/>
    <n v="2"/>
    <n v="0"/>
    <n v="1"/>
    <n v="125"/>
    <x v="0"/>
  </r>
  <r>
    <x v="62"/>
    <x v="4"/>
    <n v="1328"/>
    <n v="91"/>
    <n v="82"/>
    <n v="5313.32"/>
    <n v="6.1747000000000003E-2"/>
    <n v="30"/>
    <n v="35"/>
    <n v="14"/>
    <n v="12"/>
    <n v="1"/>
    <n v="4"/>
    <n v="6"/>
    <n v="6"/>
    <s v="Suspended"/>
    <x v="62"/>
    <x v="4"/>
    <x v="3"/>
    <s v="Verified"/>
    <s v="15-07-2017"/>
    <n v="1"/>
    <n v="19.510000000000002"/>
    <n v="0"/>
    <n v="1"/>
    <n v="0"/>
    <n v="0"/>
    <n v="0"/>
    <n v="14"/>
    <s v="64_2025"/>
    <n v="1"/>
    <n v="2"/>
    <n v="0"/>
    <n v="2"/>
    <n v="2"/>
    <n v="135"/>
    <x v="0"/>
  </r>
  <r>
    <x v="63"/>
    <x v="4"/>
    <n v="914"/>
    <n v="50"/>
    <n v="40"/>
    <n v="3233.21"/>
    <n v="4.3763999999999997E-2"/>
    <n v="6"/>
    <n v="15"/>
    <n v="9"/>
    <n v="3"/>
    <n v="0"/>
    <n v="1"/>
    <n v="2"/>
    <n v="2"/>
    <s v="Review Required"/>
    <x v="63"/>
    <x v="0"/>
    <x v="1"/>
    <s v="Verified"/>
    <s v="04-07-2021"/>
    <n v="3"/>
    <n v="539.26"/>
    <n v="0"/>
    <n v="1"/>
    <n v="2"/>
    <n v="0"/>
    <n v="0"/>
    <n v="13"/>
    <s v="65_2025"/>
    <n v="0"/>
    <n v="1"/>
    <n v="1"/>
    <n v="0"/>
    <n v="1"/>
    <n v="55"/>
    <x v="2"/>
  </r>
  <r>
    <x v="98"/>
    <x v="4"/>
    <n v="1040"/>
    <n v="87"/>
    <n v="71"/>
    <n v="4753.04"/>
    <n v="6.8268999999999996E-2"/>
    <n v="14"/>
    <n v="29"/>
    <n v="10"/>
    <n v="8"/>
    <n v="0"/>
    <n v="2"/>
    <n v="2"/>
    <n v="3"/>
    <s v="Review Required"/>
    <x v="98"/>
    <x v="4"/>
    <x v="3"/>
    <s v="Verified"/>
    <s v="09-10-2022"/>
    <n v="5"/>
    <n v="4148.01"/>
    <n v="0"/>
    <n v="4"/>
    <n v="1"/>
    <n v="1"/>
    <n v="2"/>
    <n v="54"/>
    <s v="67_2025"/>
    <n v="1"/>
    <n v="2"/>
    <n v="2"/>
    <n v="0"/>
    <n v="1"/>
    <n v="125"/>
    <x v="0"/>
  </r>
  <r>
    <x v="65"/>
    <x v="4"/>
    <n v="1050"/>
    <n v="59"/>
    <n v="55"/>
    <n v="2463.42"/>
    <n v="5.2380999999999997E-2"/>
    <n v="20"/>
    <n v="27"/>
    <n v="8"/>
    <n v="17"/>
    <n v="0"/>
    <n v="5"/>
    <n v="7"/>
    <n v="1"/>
    <s v="Review Required"/>
    <x v="65"/>
    <x v="2"/>
    <x v="0"/>
    <s v="Premium"/>
    <s v="17-08-2020"/>
    <n v="3"/>
    <n v="2858.7200000000003"/>
    <n v="0"/>
    <n v="3"/>
    <n v="0"/>
    <n v="0"/>
    <n v="0"/>
    <n v="20"/>
    <s v="68_2025"/>
    <n v="1"/>
    <n v="2"/>
    <n v="1"/>
    <n v="0"/>
    <n v="1"/>
    <n v="105"/>
    <x v="1"/>
  </r>
  <r>
    <x v="66"/>
    <x v="4"/>
    <n v="1155"/>
    <n v="114"/>
    <n v="99"/>
    <n v="8049.58"/>
    <n v="8.5713999999999999E-2"/>
    <n v="28"/>
    <n v="39"/>
    <n v="23"/>
    <n v="15"/>
    <n v="1"/>
    <n v="5"/>
    <n v="9"/>
    <n v="2"/>
    <s v="Suspended"/>
    <x v="66"/>
    <x v="0"/>
    <x v="2"/>
    <s v="Verified"/>
    <s v="11-06-2024"/>
    <n v="4"/>
    <n v="10213.540000000001"/>
    <n v="1"/>
    <n v="1"/>
    <n v="3"/>
    <n v="2"/>
    <n v="3"/>
    <n v="47"/>
    <s v="69_2025"/>
    <n v="1"/>
    <n v="2"/>
    <n v="2"/>
    <n v="2"/>
    <n v="2"/>
    <n v="175"/>
    <x v="0"/>
  </r>
  <r>
    <x v="99"/>
    <x v="4"/>
    <n v="1222"/>
    <n v="115"/>
    <n v="89"/>
    <n v="7792.71"/>
    <n v="7.2831000000000007E-2"/>
    <n v="24"/>
    <n v="37"/>
    <n v="17"/>
    <n v="12"/>
    <n v="1"/>
    <n v="4"/>
    <n v="5"/>
    <n v="4"/>
    <s v="Suspended"/>
    <x v="99"/>
    <x v="4"/>
    <x v="3"/>
    <s v="Premium"/>
    <s v="09-06-2019"/>
    <n v="3"/>
    <n v="3861.84"/>
    <n v="1"/>
    <n v="2"/>
    <n v="1"/>
    <n v="2"/>
    <n v="2"/>
    <n v="27"/>
    <s v="70_2025"/>
    <n v="1"/>
    <n v="2"/>
    <n v="2"/>
    <n v="2"/>
    <n v="2"/>
    <n v="175"/>
    <x v="0"/>
  </r>
  <r>
    <x v="67"/>
    <x v="4"/>
    <n v="555"/>
    <n v="32"/>
    <n v="29"/>
    <n v="2581.9899999999998"/>
    <n v="5.2252E-2"/>
    <n v="17"/>
    <n v="17"/>
    <n v="5"/>
    <n v="8"/>
    <n v="0"/>
    <n v="1"/>
    <n v="3"/>
    <n v="2"/>
    <s v="Restricted"/>
    <x v="67"/>
    <x v="4"/>
    <x v="2"/>
    <s v="Premium"/>
    <s v="17-04-2017"/>
    <n v="2"/>
    <n v="5092.0199999999995"/>
    <n v="0"/>
    <n v="2"/>
    <n v="0"/>
    <n v="1"/>
    <n v="1"/>
    <n v="16"/>
    <s v="71_2025"/>
    <n v="1"/>
    <n v="2"/>
    <n v="1"/>
    <n v="0"/>
    <n v="1"/>
    <n v="105"/>
    <x v="1"/>
  </r>
  <r>
    <x v="68"/>
    <x v="4"/>
    <n v="375"/>
    <n v="32"/>
    <n v="29"/>
    <n v="1816.14"/>
    <n v="7.7332999999999999E-2"/>
    <n v="11"/>
    <n v="11"/>
    <n v="4"/>
    <n v="6"/>
    <n v="0"/>
    <n v="1"/>
    <n v="2"/>
    <n v="2"/>
    <s v="Review Required"/>
    <x v="68"/>
    <x v="2"/>
    <x v="2"/>
    <s v="Premium"/>
    <s v="21-01-2018"/>
    <n v="3"/>
    <n v="2884.84"/>
    <n v="0"/>
    <n v="2"/>
    <n v="1"/>
    <n v="1"/>
    <n v="2"/>
    <n v="21"/>
    <s v="72_2025"/>
    <n v="1"/>
    <n v="2"/>
    <n v="1"/>
    <n v="0"/>
    <n v="1"/>
    <n v="105"/>
    <x v="1"/>
  </r>
  <r>
    <x v="69"/>
    <x v="4"/>
    <n v="787"/>
    <n v="70"/>
    <n v="51"/>
    <n v="4545.1400000000003"/>
    <n v="6.4802999999999999E-2"/>
    <n v="16"/>
    <n v="25"/>
    <n v="12"/>
    <n v="9"/>
    <n v="1"/>
    <n v="5"/>
    <n v="5"/>
    <n v="3"/>
    <s v="Suspended"/>
    <x v="69"/>
    <x v="0"/>
    <x v="2"/>
    <s v="Verified"/>
    <s v="23-08-2020"/>
    <n v="5"/>
    <n v="10686.17"/>
    <n v="2"/>
    <n v="4"/>
    <n v="1"/>
    <n v="4"/>
    <n v="2"/>
    <n v="47"/>
    <s v="73_2025"/>
    <n v="1"/>
    <n v="2"/>
    <n v="2"/>
    <n v="2"/>
    <n v="2"/>
    <n v="175"/>
    <x v="0"/>
  </r>
  <r>
    <x v="70"/>
    <x v="4"/>
    <n v="914"/>
    <n v="47"/>
    <n v="44"/>
    <n v="3826.68"/>
    <n v="4.8140000000000002E-2"/>
    <n v="12"/>
    <n v="23"/>
    <n v="8"/>
    <n v="7"/>
    <n v="0"/>
    <n v="2"/>
    <n v="4"/>
    <n v="3"/>
    <s v="Restricted"/>
    <x v="70"/>
    <x v="3"/>
    <x v="2"/>
    <s v="Premium"/>
    <s v="09-02-2019"/>
    <n v="3"/>
    <n v="4657.8099999999995"/>
    <n v="0"/>
    <n v="2"/>
    <n v="1"/>
    <n v="1"/>
    <n v="1"/>
    <n v="25"/>
    <s v="74_2025"/>
    <n v="0"/>
    <n v="2"/>
    <n v="1"/>
    <n v="0"/>
    <n v="1"/>
    <n v="80"/>
    <x v="1"/>
  </r>
  <r>
    <x v="71"/>
    <x v="4"/>
    <n v="1342"/>
    <n v="134"/>
    <n v="107"/>
    <n v="4575.51"/>
    <n v="7.9731999999999997E-2"/>
    <n v="23"/>
    <n v="43"/>
    <n v="16"/>
    <n v="14"/>
    <n v="1"/>
    <n v="6"/>
    <n v="6"/>
    <n v="7"/>
    <s v="Suspended"/>
    <x v="71"/>
    <x v="2"/>
    <x v="0"/>
    <s v="Verified"/>
    <s v="15-03-2025"/>
    <n v="6"/>
    <n v="15449.279999999999"/>
    <n v="1"/>
    <n v="5"/>
    <n v="1"/>
    <n v="3"/>
    <n v="3"/>
    <n v="56"/>
    <s v="75_2025"/>
    <n v="1"/>
    <n v="2"/>
    <n v="2"/>
    <n v="2"/>
    <n v="2"/>
    <n v="175"/>
    <x v="0"/>
  </r>
  <r>
    <x v="72"/>
    <x v="4"/>
    <n v="372"/>
    <n v="26"/>
    <n v="22"/>
    <n v="2312.6999999999998"/>
    <n v="5.9139999999999998E-2"/>
    <n v="18"/>
    <n v="18"/>
    <n v="7"/>
    <n v="8"/>
    <n v="1"/>
    <n v="7"/>
    <n v="4"/>
    <n v="2"/>
    <s v="Suspended"/>
    <x v="72"/>
    <x v="3"/>
    <x v="1"/>
    <s v="Premium"/>
    <s v="28-04-2023"/>
    <n v="6"/>
    <n v="22150.540000000005"/>
    <n v="3"/>
    <n v="3"/>
    <n v="3"/>
    <n v="6"/>
    <n v="3"/>
    <n v="62"/>
    <s v="76_2025"/>
    <n v="1"/>
    <n v="2"/>
    <n v="2"/>
    <n v="2"/>
    <n v="2"/>
    <n v="175"/>
    <x v="0"/>
  </r>
  <r>
    <x v="74"/>
    <x v="4"/>
    <n v="612"/>
    <n v="44"/>
    <n v="40"/>
    <n v="2024.41"/>
    <n v="6.5359E-2"/>
    <n v="18"/>
    <n v="22"/>
    <n v="7"/>
    <n v="7"/>
    <n v="1"/>
    <n v="5"/>
    <n v="4"/>
    <n v="2"/>
    <s v="Suspended"/>
    <x v="74"/>
    <x v="3"/>
    <x v="2"/>
    <s v="Standard"/>
    <s v="26-08-2019"/>
    <n v="6"/>
    <n v="19648.02"/>
    <n v="2"/>
    <n v="3"/>
    <n v="3"/>
    <n v="4"/>
    <n v="3"/>
    <n v="35"/>
    <s v="78_2025"/>
    <n v="1"/>
    <n v="2"/>
    <n v="2"/>
    <n v="2"/>
    <n v="2"/>
    <n v="175"/>
    <x v="0"/>
  </r>
  <r>
    <x v="75"/>
    <x v="4"/>
    <n v="772"/>
    <n v="48"/>
    <n v="43"/>
    <n v="1430.96"/>
    <n v="5.5698999999999999E-2"/>
    <n v="15"/>
    <n v="18"/>
    <n v="6"/>
    <n v="15"/>
    <n v="0"/>
    <n v="3"/>
    <n v="3"/>
    <n v="3"/>
    <s v="Review Required"/>
    <x v="75"/>
    <x v="4"/>
    <x v="2"/>
    <s v="Verified"/>
    <s v="02-09-2025"/>
    <n v="2"/>
    <n v="1511.5300000000002"/>
    <n v="0"/>
    <n v="2"/>
    <n v="0"/>
    <n v="0"/>
    <n v="0"/>
    <n v="13"/>
    <s v="79_2025"/>
    <n v="1"/>
    <n v="2"/>
    <n v="1"/>
    <n v="0"/>
    <n v="1"/>
    <n v="105"/>
    <x v="1"/>
  </r>
  <r>
    <x v="76"/>
    <x v="4"/>
    <n v="726"/>
    <n v="38"/>
    <n v="33"/>
    <n v="2114.3200000000002"/>
    <n v="4.5455000000000002E-2"/>
    <n v="16"/>
    <n v="18"/>
    <n v="6"/>
    <n v="6"/>
    <n v="1"/>
    <n v="2"/>
    <n v="2"/>
    <n v="1"/>
    <s v="Suspended"/>
    <x v="76"/>
    <x v="0"/>
    <x v="3"/>
    <s v="Verified"/>
    <s v="10-12-2019"/>
    <n v="1"/>
    <n v="7580.92"/>
    <n v="1"/>
    <n v="0"/>
    <n v="1"/>
    <n v="1"/>
    <n v="1"/>
    <n v="10"/>
    <s v="80_2025"/>
    <n v="0"/>
    <n v="2"/>
    <n v="1"/>
    <n v="2"/>
    <n v="2"/>
    <n v="130"/>
    <x v="0"/>
  </r>
  <r>
    <x v="77"/>
    <x v="4"/>
    <n v="1365"/>
    <n v="134"/>
    <n v="116"/>
    <n v="10072.27"/>
    <n v="8.4982000000000002E-2"/>
    <n v="43"/>
    <n v="49"/>
    <n v="15"/>
    <n v="15"/>
    <n v="1"/>
    <n v="4"/>
    <n v="10"/>
    <n v="3"/>
    <s v="Suspended"/>
    <x v="77"/>
    <x v="4"/>
    <x v="2"/>
    <s v="Verified"/>
    <s v="06-03-2019"/>
    <n v="4"/>
    <n v="7450.329999999999"/>
    <n v="2"/>
    <n v="3"/>
    <n v="1"/>
    <n v="1"/>
    <n v="1"/>
    <n v="43"/>
    <s v="81_2025"/>
    <n v="1"/>
    <n v="2"/>
    <n v="1"/>
    <n v="2"/>
    <n v="2"/>
    <n v="155"/>
    <x v="0"/>
  </r>
  <r>
    <x v="78"/>
    <x v="4"/>
    <n v="1465"/>
    <n v="127"/>
    <n v="98"/>
    <n v="7276.42"/>
    <n v="6.6893999999999995E-2"/>
    <n v="35"/>
    <n v="43"/>
    <n v="24"/>
    <n v="8"/>
    <n v="1"/>
    <n v="4"/>
    <n v="6"/>
    <n v="5"/>
    <s v="Suspended"/>
    <x v="78"/>
    <x v="1"/>
    <x v="4"/>
    <s v="Verified"/>
    <s v="01-11-2021"/>
    <n v="4"/>
    <n v="16578.29"/>
    <n v="4"/>
    <n v="3"/>
    <n v="1"/>
    <n v="3"/>
    <n v="0"/>
    <n v="44"/>
    <s v="82_2025"/>
    <n v="1"/>
    <n v="2"/>
    <n v="2"/>
    <n v="2"/>
    <n v="2"/>
    <n v="175"/>
    <x v="0"/>
  </r>
  <r>
    <x v="79"/>
    <x v="4"/>
    <n v="1895"/>
    <n v="185"/>
    <n v="149"/>
    <n v="8284.83"/>
    <n v="7.8628000000000003E-2"/>
    <n v="41"/>
    <n v="61"/>
    <n v="23"/>
    <n v="20"/>
    <n v="1"/>
    <n v="9"/>
    <n v="7"/>
    <n v="7"/>
    <s v="Suspended"/>
    <x v="79"/>
    <x v="4"/>
    <x v="4"/>
    <s v="Verified"/>
    <s v="28-08-2022"/>
    <n v="5"/>
    <n v="19587.359999999997"/>
    <n v="4"/>
    <n v="4"/>
    <n v="1"/>
    <n v="4"/>
    <n v="3"/>
    <n v="37"/>
    <s v="83_2025"/>
    <n v="1"/>
    <n v="2"/>
    <n v="2"/>
    <n v="2"/>
    <n v="2"/>
    <n v="175"/>
    <x v="0"/>
  </r>
  <r>
    <x v="80"/>
    <x v="4"/>
    <n v="1041"/>
    <n v="111"/>
    <n v="84"/>
    <n v="4896.47"/>
    <n v="8.0692E-2"/>
    <n v="23"/>
    <n v="38"/>
    <n v="19"/>
    <n v="18"/>
    <n v="1"/>
    <n v="6"/>
    <n v="9"/>
    <n v="3"/>
    <s v="Suspended"/>
    <x v="80"/>
    <x v="2"/>
    <x v="4"/>
    <s v="Verified"/>
    <s v="01-05-2023"/>
    <n v="5"/>
    <n v="16344.499999999998"/>
    <n v="3"/>
    <n v="1"/>
    <n v="4"/>
    <n v="5"/>
    <n v="2"/>
    <n v="41"/>
    <s v="84_2025"/>
    <n v="1"/>
    <n v="2"/>
    <n v="2"/>
    <n v="2"/>
    <n v="2"/>
    <n v="175"/>
    <x v="0"/>
  </r>
  <r>
    <x v="81"/>
    <x v="4"/>
    <n v="498"/>
    <n v="38"/>
    <n v="30"/>
    <n v="2386.64"/>
    <n v="6.0241000000000003E-2"/>
    <n v="8"/>
    <n v="20"/>
    <n v="4"/>
    <n v="3"/>
    <n v="1"/>
    <n v="3"/>
    <n v="3"/>
    <n v="2"/>
    <s v="Restricted"/>
    <x v="81"/>
    <x v="2"/>
    <x v="1"/>
    <s v="Standard"/>
    <s v="21-04-2022"/>
    <n v="3"/>
    <n v="5330.33"/>
    <n v="3"/>
    <n v="1"/>
    <n v="2"/>
    <n v="2"/>
    <n v="0"/>
    <n v="10"/>
    <s v="85_2025"/>
    <n v="1"/>
    <n v="2"/>
    <n v="2"/>
    <n v="2"/>
    <n v="1"/>
    <n v="165"/>
    <x v="0"/>
  </r>
  <r>
    <x v="82"/>
    <x v="4"/>
    <n v="479"/>
    <n v="26"/>
    <n v="25"/>
    <n v="2219.59"/>
    <n v="5.2192000000000002E-2"/>
    <n v="13"/>
    <n v="15"/>
    <n v="4"/>
    <n v="3"/>
    <n v="0"/>
    <n v="1"/>
    <n v="2"/>
    <n v="2"/>
    <s v="Review Required"/>
    <x v="82"/>
    <x v="0"/>
    <x v="3"/>
    <s v="Premium"/>
    <s v="19-01-2025"/>
    <n v="3"/>
    <n v="2663.33"/>
    <n v="0"/>
    <n v="2"/>
    <n v="1"/>
    <n v="0"/>
    <n v="0"/>
    <n v="25"/>
    <s v="86_2025"/>
    <n v="1"/>
    <n v="2"/>
    <n v="1"/>
    <n v="0"/>
    <n v="1"/>
    <n v="105"/>
    <x v="1"/>
  </r>
  <r>
    <x v="83"/>
    <x v="4"/>
    <n v="870"/>
    <n v="54"/>
    <n v="49"/>
    <n v="3629.65"/>
    <n v="5.6321999999999997E-2"/>
    <n v="14"/>
    <n v="20"/>
    <n v="10"/>
    <n v="7"/>
    <n v="0"/>
    <n v="2"/>
    <n v="4"/>
    <n v="1"/>
    <s v="Restricted"/>
    <x v="83"/>
    <x v="4"/>
    <x v="4"/>
    <s v="Standard"/>
    <s v="09-03-2022"/>
    <n v="3"/>
    <n v="8569.7099999999991"/>
    <n v="0"/>
    <n v="2"/>
    <n v="1"/>
    <n v="2"/>
    <n v="0"/>
    <n v="24"/>
    <s v="87_2025"/>
    <n v="1"/>
    <n v="2"/>
    <n v="2"/>
    <n v="0"/>
    <n v="1"/>
    <n v="125"/>
    <x v="0"/>
  </r>
  <r>
    <x v="84"/>
    <x v="4"/>
    <n v="1139"/>
    <n v="65"/>
    <n v="60"/>
    <n v="3653.3"/>
    <n v="5.2678000000000003E-2"/>
    <n v="16"/>
    <n v="31"/>
    <n v="11"/>
    <n v="13"/>
    <n v="0"/>
    <n v="4"/>
    <n v="3"/>
    <n v="2"/>
    <s v="Review Required"/>
    <x v="84"/>
    <x v="1"/>
    <x v="3"/>
    <s v="Verified"/>
    <s v="24-11-2020"/>
    <n v="2"/>
    <n v="1593.98"/>
    <n v="0"/>
    <n v="2"/>
    <n v="0"/>
    <n v="1"/>
    <n v="0"/>
    <n v="16"/>
    <s v="88_2025"/>
    <n v="1"/>
    <n v="2"/>
    <n v="1"/>
    <n v="0"/>
    <n v="1"/>
    <n v="105"/>
    <x v="1"/>
  </r>
  <r>
    <x v="85"/>
    <x v="4"/>
    <n v="858"/>
    <n v="63"/>
    <n v="57"/>
    <n v="6280.95"/>
    <n v="6.6433999999999993E-2"/>
    <n v="18"/>
    <n v="24"/>
    <n v="11"/>
    <n v="5"/>
    <n v="1"/>
    <n v="4"/>
    <n v="3"/>
    <n v="5"/>
    <s v="Suspended"/>
    <x v="85"/>
    <x v="2"/>
    <x v="0"/>
    <s v="Verified"/>
    <s v="22-06-2025"/>
    <n v="3"/>
    <n v="8515.57"/>
    <n v="2"/>
    <n v="2"/>
    <n v="1"/>
    <n v="3"/>
    <n v="1"/>
    <n v="27"/>
    <s v="89_2025"/>
    <n v="1"/>
    <n v="2"/>
    <n v="2"/>
    <n v="2"/>
    <n v="2"/>
    <n v="175"/>
    <x v="0"/>
  </r>
  <r>
    <x v="86"/>
    <x v="4"/>
    <n v="1819"/>
    <n v="116"/>
    <n v="110"/>
    <n v="6672.31"/>
    <n v="6.0472999999999999E-2"/>
    <n v="21"/>
    <n v="48"/>
    <n v="13"/>
    <n v="17"/>
    <n v="0"/>
    <n v="6"/>
    <n v="8"/>
    <n v="6"/>
    <s v="Review Required"/>
    <x v="86"/>
    <x v="1"/>
    <x v="3"/>
    <s v="Premium"/>
    <s v="08-10-2022"/>
    <n v="2"/>
    <n v="1401.8200000000002"/>
    <n v="0"/>
    <n v="1"/>
    <n v="1"/>
    <n v="0"/>
    <n v="1"/>
    <n v="13"/>
    <s v="90_2025"/>
    <n v="1"/>
    <n v="2"/>
    <n v="1"/>
    <n v="0"/>
    <n v="1"/>
    <n v="105"/>
    <x v="1"/>
  </r>
  <r>
    <x v="87"/>
    <x v="4"/>
    <n v="226"/>
    <n v="23"/>
    <n v="20"/>
    <n v="1781.77"/>
    <n v="8.8496000000000005E-2"/>
    <n v="17"/>
    <n v="17"/>
    <n v="7"/>
    <n v="6"/>
    <n v="1"/>
    <n v="3"/>
    <n v="5"/>
    <n v="2"/>
    <s v="Suspended"/>
    <x v="87"/>
    <x v="0"/>
    <x v="3"/>
    <s v="Premium"/>
    <s v="04-02-2025"/>
    <n v="5"/>
    <n v="8855.75"/>
    <n v="3"/>
    <n v="3"/>
    <n v="2"/>
    <n v="2"/>
    <n v="2"/>
    <n v="42"/>
    <s v="91_2025"/>
    <n v="1"/>
    <n v="2"/>
    <n v="2"/>
    <n v="2"/>
    <n v="2"/>
    <n v="175"/>
    <x v="0"/>
  </r>
  <r>
    <x v="88"/>
    <x v="4"/>
    <n v="80"/>
    <n v="8"/>
    <n v="7"/>
    <n v="475.94"/>
    <n v="8.7499999999999994E-2"/>
    <n v="12"/>
    <n v="12"/>
    <n v="3"/>
    <n v="5"/>
    <n v="1"/>
    <n v="4"/>
    <n v="4"/>
    <n v="1"/>
    <s v="Suspended"/>
    <x v="88"/>
    <x v="4"/>
    <x v="2"/>
    <s v="Verified"/>
    <s v="21-07-2020"/>
    <n v="3"/>
    <n v="5452.19"/>
    <n v="2"/>
    <n v="1"/>
    <n v="2"/>
    <n v="3"/>
    <n v="2"/>
    <n v="34"/>
    <s v="92_2025"/>
    <n v="1"/>
    <n v="2"/>
    <n v="2"/>
    <n v="2"/>
    <n v="2"/>
    <n v="175"/>
    <x v="0"/>
  </r>
  <r>
    <x v="89"/>
    <x v="4"/>
    <n v="344"/>
    <n v="24"/>
    <n v="22"/>
    <n v="975.5"/>
    <n v="6.3952999999999996E-2"/>
    <n v="16"/>
    <n v="18"/>
    <n v="6"/>
    <n v="6"/>
    <n v="1"/>
    <n v="4"/>
    <n v="3"/>
    <n v="2"/>
    <s v="Suspended"/>
    <x v="89"/>
    <x v="1"/>
    <x v="2"/>
    <s v="Strategic"/>
    <s v="22-02-2023"/>
    <n v="6"/>
    <n v="15848.660000000002"/>
    <n v="2"/>
    <n v="4"/>
    <n v="2"/>
    <n v="3"/>
    <n v="2"/>
    <n v="50"/>
    <s v="93_2025"/>
    <n v="1"/>
    <n v="2"/>
    <n v="2"/>
    <n v="2"/>
    <n v="2"/>
    <n v="175"/>
    <x v="0"/>
  </r>
  <r>
    <x v="90"/>
    <x v="4"/>
    <n v="701"/>
    <n v="29"/>
    <n v="25"/>
    <n v="1239.08"/>
    <n v="3.5663E-2"/>
    <n v="3"/>
    <n v="19"/>
    <n v="6"/>
    <n v="2"/>
    <n v="0"/>
    <n v="0"/>
    <n v="1"/>
    <n v="2"/>
    <s v="Watchlist"/>
    <x v="90"/>
    <x v="1"/>
    <x v="3"/>
    <s v="Standard"/>
    <s v="26-01-2017"/>
    <n v="2"/>
    <n v="2846.83"/>
    <n v="0"/>
    <n v="2"/>
    <n v="0"/>
    <n v="1"/>
    <n v="0"/>
    <n v="12"/>
    <s v="94_2025"/>
    <n v="0"/>
    <n v="0"/>
    <n v="1"/>
    <n v="0"/>
    <n v="1"/>
    <n v="30"/>
    <x v="2"/>
  </r>
  <r>
    <x v="91"/>
    <x v="4"/>
    <n v="483"/>
    <n v="40"/>
    <n v="34"/>
    <n v="3461.37"/>
    <n v="7.0392999999999997E-2"/>
    <n v="18"/>
    <n v="22"/>
    <n v="5"/>
    <n v="10"/>
    <n v="1"/>
    <n v="6"/>
    <n v="7"/>
    <n v="3"/>
    <s v="Suspended"/>
    <x v="91"/>
    <x v="4"/>
    <x v="1"/>
    <s v="Verified"/>
    <s v="26-03-2022"/>
    <n v="6"/>
    <n v="14642.04"/>
    <n v="4"/>
    <n v="3"/>
    <n v="3"/>
    <n v="5"/>
    <n v="1"/>
    <n v="62"/>
    <s v="95_2025"/>
    <n v="1"/>
    <n v="2"/>
    <n v="2"/>
    <n v="2"/>
    <n v="2"/>
    <n v="175"/>
    <x v="0"/>
  </r>
  <r>
    <x v="92"/>
    <x v="4"/>
    <n v="1208"/>
    <n v="117"/>
    <n v="110"/>
    <n v="4656.3100000000004"/>
    <n v="9.1060000000000002E-2"/>
    <n v="19"/>
    <n v="41"/>
    <n v="24"/>
    <n v="11"/>
    <n v="1"/>
    <n v="4"/>
    <n v="8"/>
    <n v="8"/>
    <s v="Suspended"/>
    <x v="92"/>
    <x v="3"/>
    <x v="3"/>
    <s v="Verified"/>
    <s v="12-01-2019"/>
    <n v="3"/>
    <n v="4624.3999999999996"/>
    <n v="2"/>
    <n v="2"/>
    <n v="1"/>
    <n v="3"/>
    <n v="1"/>
    <n v="43"/>
    <s v="96_2025"/>
    <n v="1"/>
    <n v="2"/>
    <n v="2"/>
    <n v="2"/>
    <n v="2"/>
    <n v="175"/>
    <x v="0"/>
  </r>
  <r>
    <x v="93"/>
    <x v="4"/>
    <n v="713"/>
    <n v="66"/>
    <n v="56"/>
    <n v="2556.59"/>
    <n v="7.8541E-2"/>
    <n v="19"/>
    <n v="29"/>
    <n v="9"/>
    <n v="8"/>
    <n v="1"/>
    <n v="4"/>
    <n v="6"/>
    <n v="4"/>
    <s v="Suspended"/>
    <x v="93"/>
    <x v="4"/>
    <x v="3"/>
    <s v="Standard"/>
    <s v="25-08-2025"/>
    <n v="4"/>
    <n v="14094.210000000001"/>
    <n v="4"/>
    <n v="2"/>
    <n v="2"/>
    <n v="3"/>
    <n v="1"/>
    <n v="46"/>
    <s v="97_2025"/>
    <n v="1"/>
    <n v="2"/>
    <n v="2"/>
    <n v="2"/>
    <n v="2"/>
    <n v="175"/>
    <x v="0"/>
  </r>
  <r>
    <x v="94"/>
    <x v="4"/>
    <n v="1588"/>
    <n v="63"/>
    <n v="59"/>
    <n v="4434.46"/>
    <n v="3.7154E-2"/>
    <n v="9"/>
    <n v="27"/>
    <n v="10"/>
    <n v="4"/>
    <n v="0"/>
    <n v="1"/>
    <n v="2"/>
    <n v="4"/>
    <s v="Review Required"/>
    <x v="94"/>
    <x v="4"/>
    <x v="4"/>
    <s v="Verified"/>
    <s v="16-01-2017"/>
    <n v="2"/>
    <n v="1513.78"/>
    <n v="0"/>
    <n v="2"/>
    <n v="0"/>
    <n v="0"/>
    <n v="0"/>
    <n v="9"/>
    <s v="98_2025"/>
    <n v="0"/>
    <n v="2"/>
    <n v="1"/>
    <n v="0"/>
    <n v="1"/>
    <n v="80"/>
    <x v="1"/>
  </r>
  <r>
    <x v="95"/>
    <x v="4"/>
    <n v="315"/>
    <n v="19"/>
    <n v="16"/>
    <n v="1081.24"/>
    <n v="5.0793999999999999E-2"/>
    <n v="11"/>
    <n v="11"/>
    <n v="4"/>
    <n v="4"/>
    <n v="0"/>
    <n v="1"/>
    <n v="4"/>
    <n v="1"/>
    <s v="Suspended"/>
    <x v="95"/>
    <x v="2"/>
    <x v="0"/>
    <s v="Premium"/>
    <s v="09-03-2018"/>
    <n v="4"/>
    <n v="15585.21"/>
    <n v="0"/>
    <n v="2"/>
    <n v="2"/>
    <n v="4"/>
    <n v="1"/>
    <n v="26"/>
    <s v="99_2025"/>
    <n v="1"/>
    <n v="2"/>
    <n v="2"/>
    <n v="0"/>
    <n v="2"/>
    <n v="135"/>
    <x v="0"/>
  </r>
  <r>
    <x v="96"/>
    <x v="4"/>
    <n v="1277"/>
    <n v="141"/>
    <n v="116"/>
    <n v="7559.22"/>
    <n v="9.0838000000000002E-2"/>
    <n v="36"/>
    <n v="50"/>
    <n v="26"/>
    <n v="21"/>
    <n v="0"/>
    <n v="3"/>
    <n v="9"/>
    <n v="8"/>
    <s v="Restricted"/>
    <x v="96"/>
    <x v="4"/>
    <x v="0"/>
    <s v="Verified"/>
    <s v="04-12-2018"/>
    <n v="5"/>
    <n v="8908.7199999999993"/>
    <n v="0"/>
    <n v="2"/>
    <n v="3"/>
    <n v="3"/>
    <n v="2"/>
    <n v="27"/>
    <s v="100_2025"/>
    <n v="1"/>
    <n v="2"/>
    <n v="2"/>
    <n v="0"/>
    <n v="1"/>
    <n v="12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26A2E2-3E73-4616-ADB8-CF7BD989DBCC}"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20:L99" firstHeaderRow="0" firstDataRow="1" firstDataCol="1" rowPageCount="3" colPageCount="1"/>
  <pivotFields count="37">
    <pivotField dataField="1" compact="0" outline="0" showAll="0"/>
    <pivotField axis="axisPage"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01">
        <item x="13"/>
        <item x="33"/>
        <item x="53"/>
        <item x="71"/>
        <item x="91"/>
        <item x="1"/>
        <item x="20"/>
        <item x="40"/>
        <item x="60"/>
        <item x="78"/>
        <item x="7"/>
        <item x="26"/>
        <item x="46"/>
        <item x="65"/>
        <item x="84"/>
        <item x="5"/>
        <item x="24"/>
        <item x="44"/>
        <item x="64"/>
        <item x="82"/>
        <item x="17"/>
        <item x="37"/>
        <item x="57"/>
        <item x="75"/>
        <item x="95"/>
        <item x="9"/>
        <item x="28"/>
        <item x="48"/>
        <item x="99"/>
        <item x="86"/>
        <item x="8"/>
        <item x="27"/>
        <item x="47"/>
        <item x="66"/>
        <item x="85"/>
        <item x="16"/>
        <item x="36"/>
        <item x="56"/>
        <item x="74"/>
        <item x="94"/>
        <item x="15"/>
        <item x="35"/>
        <item x="55"/>
        <item x="73"/>
        <item x="93"/>
        <item x="14"/>
        <item x="34"/>
        <item x="54"/>
        <item x="72"/>
        <item x="92"/>
        <item x="18"/>
        <item x="38"/>
        <item x="58"/>
        <item x="76"/>
        <item x="96"/>
        <item x="97"/>
        <item x="29"/>
        <item x="49"/>
        <item x="67"/>
        <item x="87"/>
        <item x="12"/>
        <item x="32"/>
        <item x="52"/>
        <item x="70"/>
        <item x="90"/>
        <item x="10"/>
        <item x="30"/>
        <item x="50"/>
        <item x="68"/>
        <item x="88"/>
        <item x="11"/>
        <item x="31"/>
        <item x="51"/>
        <item x="69"/>
        <item x="89"/>
        <item x="0"/>
        <item x="19"/>
        <item x="39"/>
        <item x="59"/>
        <item x="77"/>
        <item x="4"/>
        <item x="23"/>
        <item x="43"/>
        <item x="63"/>
        <item x="81"/>
        <item x="6"/>
        <item x="25"/>
        <item x="45"/>
        <item x="98"/>
        <item x="83"/>
        <item x="2"/>
        <item x="21"/>
        <item x="41"/>
        <item x="61"/>
        <item x="79"/>
        <item x="3"/>
        <item x="22"/>
        <item x="42"/>
        <item x="62"/>
        <item x="80"/>
        <item t="default"/>
      </items>
      <autoSortScope>
        <pivotArea dataOnly="0" outline="0" fieldPosition="0">
          <references count="1">
            <reference field="4294967294" count="1" selected="0">
              <x v="1"/>
            </reference>
          </references>
        </pivotArea>
      </autoSortScope>
    </pivotField>
    <pivotField axis="axisPage" compact="0" outline="0" multipleItemSelectionAllowed="1" showAll="0">
      <items count="6">
        <item x="3"/>
        <item x="0"/>
        <item x="2"/>
        <item x="4"/>
        <item x="1"/>
        <item t="default"/>
      </items>
    </pivotField>
    <pivotField compact="0" outline="0" showAll="0">
      <items count="6">
        <item h="1" x="4"/>
        <item x="3"/>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Page" compact="0" outline="0" multipleItemSelectionAllowed="1" showAll="0">
      <items count="4">
        <item x="0"/>
        <item x="2"/>
        <item x="1"/>
        <item t="default"/>
      </items>
    </pivotField>
  </pivotFields>
  <rowFields count="1">
    <field x="16"/>
  </rowFields>
  <rowItems count="79">
    <i>
      <x v="32"/>
    </i>
    <i>
      <x v="52"/>
    </i>
    <i>
      <x v="79"/>
    </i>
    <i>
      <x v="72"/>
    </i>
    <i>
      <x v="5"/>
    </i>
    <i>
      <x v="4"/>
    </i>
    <i>
      <x v="7"/>
    </i>
    <i>
      <x v="65"/>
    </i>
    <i>
      <x v="10"/>
    </i>
    <i>
      <x v="74"/>
    </i>
    <i>
      <x v="26"/>
    </i>
    <i>
      <x v="85"/>
    </i>
    <i>
      <x v="95"/>
    </i>
    <i>
      <x v="98"/>
    </i>
    <i>
      <x v="51"/>
    </i>
    <i>
      <x v="33"/>
    </i>
    <i>
      <x v="61"/>
    </i>
    <i>
      <x v="34"/>
    </i>
    <i>
      <x v="68"/>
    </i>
    <i>
      <x v="35"/>
    </i>
    <i>
      <x v="73"/>
    </i>
    <i>
      <x v="36"/>
    </i>
    <i>
      <x v="77"/>
    </i>
    <i>
      <x v="40"/>
    </i>
    <i>
      <x v="80"/>
    </i>
    <i>
      <x v="44"/>
    </i>
    <i>
      <x v="90"/>
    </i>
    <i>
      <x v="45"/>
    </i>
    <i>
      <x v="96"/>
    </i>
    <i>
      <x v="46"/>
    </i>
    <i>
      <x v="2"/>
    </i>
    <i>
      <x v="14"/>
    </i>
    <i>
      <x v="76"/>
    </i>
    <i>
      <x v="75"/>
    </i>
    <i>
      <x v="19"/>
    </i>
    <i>
      <x v="70"/>
    </i>
    <i>
      <x v="49"/>
    </i>
    <i>
      <x v="64"/>
    </i>
    <i>
      <x v="11"/>
    </i>
    <i>
      <x v="29"/>
    </i>
    <i>
      <x v="59"/>
    </i>
    <i>
      <x v="13"/>
    </i>
    <i>
      <x v="60"/>
    </i>
    <i>
      <x v="69"/>
    </i>
    <i>
      <x v="57"/>
    </i>
    <i>
      <x v="20"/>
    </i>
    <i>
      <x v="83"/>
    </i>
    <i>
      <x v="21"/>
    </i>
    <i>
      <x v="8"/>
    </i>
    <i>
      <x v="23"/>
    </i>
    <i>
      <x v="87"/>
    </i>
    <i>
      <x v="27"/>
    </i>
    <i>
      <x v="91"/>
    </i>
    <i>
      <x v="50"/>
    </i>
    <i>
      <x v="15"/>
    </i>
    <i>
      <x v="47"/>
    </i>
    <i>
      <x v="48"/>
    </i>
    <i>
      <x v="66"/>
    </i>
    <i>
      <x v="30"/>
    </i>
    <i>
      <x v="3"/>
    </i>
    <i>
      <x v="38"/>
    </i>
    <i>
      <x v="43"/>
    </i>
    <i>
      <x v="97"/>
    </i>
    <i>
      <x v="18"/>
    </i>
    <i>
      <x v="67"/>
    </i>
    <i>
      <x v="56"/>
    </i>
    <i>
      <x v="63"/>
    </i>
    <i>
      <x v="25"/>
    </i>
    <i>
      <x v="31"/>
    </i>
    <i>
      <x v="6"/>
    </i>
    <i>
      <x v="84"/>
    </i>
    <i>
      <x v="81"/>
    </i>
    <i>
      <x v="54"/>
    </i>
    <i>
      <x v="58"/>
    </i>
    <i>
      <x v="24"/>
    </i>
    <i>
      <x v="42"/>
    </i>
    <i>
      <x v="53"/>
    </i>
    <i>
      <x v="86"/>
    </i>
    <i t="grand">
      <x/>
    </i>
  </rowItems>
  <colFields count="1">
    <field x="-2"/>
  </colFields>
  <colItems count="2">
    <i>
      <x/>
    </i>
    <i i="1">
      <x v="1"/>
    </i>
  </colItems>
  <pageFields count="3">
    <pageField fld="36" hier="-1"/>
    <pageField fld="1" item="0" hier="-1"/>
    <pageField fld="17" hier="-1"/>
  </pageFields>
  <dataFields count="2">
    <dataField name="Count of Seller_ID" fld="0" subtotal="count" baseField="16" baseItem="0"/>
    <dataField name="Average of Overall_Risk_Score" fld="35"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921B8B-DCB3-4917-8296-FAF950903850}"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C36" firstHeaderRow="0" firstDataRow="1" firstDataCol="1" rowPageCount="2" colPageCount="1"/>
  <pivotFields count="37">
    <pivotField dataField="1" compact="0" outline="0" showAll="0"/>
    <pivotField axis="axisPage"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6">
        <item x="3"/>
        <item x="0"/>
        <item x="2"/>
        <item x="4"/>
        <item x="1"/>
        <item t="default"/>
      </items>
      <autoSortScope>
        <pivotArea dataOnly="0" outline="0" fieldPosition="0">
          <references count="1">
            <reference field="4294967294" count="1" selected="0">
              <x v="1"/>
            </reference>
          </references>
        </pivotArea>
      </autoSortScope>
    </pivotField>
    <pivotField compact="0" outline="0" showAll="0">
      <items count="6">
        <item h="1" x="4"/>
        <item x="3"/>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Page" compact="0" outline="0" multipleItemSelectionAllowed="1" showAll="0">
      <items count="4">
        <item x="0"/>
        <item x="2"/>
        <item x="1"/>
        <item t="default"/>
      </items>
    </pivotField>
  </pivotFields>
  <rowFields count="1">
    <field x="17"/>
  </rowFields>
  <rowItems count="6">
    <i>
      <x v="2"/>
    </i>
    <i>
      <x v="1"/>
    </i>
    <i>
      <x v="3"/>
    </i>
    <i>
      <x v="4"/>
    </i>
    <i>
      <x/>
    </i>
    <i t="grand">
      <x/>
    </i>
  </rowItems>
  <colFields count="1">
    <field x="-2"/>
  </colFields>
  <colItems count="2">
    <i>
      <x/>
    </i>
    <i i="1">
      <x v="1"/>
    </i>
  </colItems>
  <pageFields count="2">
    <pageField fld="1" item="0" hier="-1"/>
    <pageField fld="36" hier="-1"/>
  </pageFields>
  <dataFields count="2">
    <dataField name="Average of Seller_ID" fld="0" subtotal="average" baseField="17" baseItem="4"/>
    <dataField name="Average of Overall_Risk_Score" fld="35" subtotal="average" baseField="17"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52FADB-2A48-4123-999E-2D66AD01D0F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5:E22" firstHeaderRow="1" firstDataRow="2" firstDataCol="1" rowPageCount="1" colPageCount="1"/>
  <pivotFields count="37">
    <pivotField dataField="1" compact="0" outline="0" showAll="0"/>
    <pivotField axis="axisPage"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0"/>
        <item x="2"/>
        <item x="4"/>
        <item x="1"/>
        <item t="default"/>
      </items>
    </pivotField>
    <pivotField compact="0" outline="0" showAll="0">
      <items count="6">
        <item h="1" x="4"/>
        <item x="3"/>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s>
  <rowFields count="1">
    <field x="17"/>
  </rowFields>
  <rowItems count="6">
    <i>
      <x/>
    </i>
    <i>
      <x v="1"/>
    </i>
    <i>
      <x v="2"/>
    </i>
    <i>
      <x v="3"/>
    </i>
    <i>
      <x v="4"/>
    </i>
    <i t="grand">
      <x/>
    </i>
  </rowItems>
  <colFields count="1">
    <field x="36"/>
  </colFields>
  <colItems count="4">
    <i>
      <x/>
    </i>
    <i>
      <x v="1"/>
    </i>
    <i>
      <x v="2"/>
    </i>
    <i t="grand">
      <x/>
    </i>
  </colItems>
  <pageFields count="1">
    <pageField fld="1" item="0" hier="-1"/>
  </pageFields>
  <dataFields count="1">
    <dataField name="Count of Seller_ID" fld="0"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9B5AC3-09A0-40DE-9E3D-7494D6A8443D}"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5:L11" firstHeaderRow="1" firstDataRow="2" firstDataCol="1" rowPageCount="1" colPageCount="1"/>
  <pivotFields count="37">
    <pivotField dataField="1" compact="0" outline="0" showAll="0"/>
    <pivotField axis="axisPage"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3"/>
        <item x="0"/>
        <item x="2"/>
        <item x="4"/>
        <item x="1"/>
        <item t="default"/>
      </items>
    </pivotField>
    <pivotField axis="axisRow" compact="0" outline="0" showAll="0">
      <items count="6">
        <item h="1" x="4"/>
        <item x="3"/>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s>
  <rowFields count="1">
    <field x="18"/>
  </rowFields>
  <rowItems count="5">
    <i>
      <x v="1"/>
    </i>
    <i>
      <x v="2"/>
    </i>
    <i>
      <x v="3"/>
    </i>
    <i>
      <x v="4"/>
    </i>
    <i t="grand">
      <x/>
    </i>
  </rowItems>
  <colFields count="1">
    <field x="36"/>
  </colFields>
  <colItems count="4">
    <i>
      <x/>
    </i>
    <i>
      <x v="1"/>
    </i>
    <i>
      <x v="2"/>
    </i>
    <i t="grand">
      <x/>
    </i>
  </colItems>
  <pageFields count="1">
    <pageField fld="1" item="0" hier="-1"/>
  </pageFields>
  <dataFields count="1">
    <dataField name="Count of Seller_ID" fld="0"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0FE1C9-C269-4FF5-97B0-3CA77662B84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B8" firstHeaderRow="1" firstDataRow="1" firstDataCol="1" rowPageCount="1" colPageCount="1"/>
  <pivotFields count="37">
    <pivotField dataField="1" compact="0" outline="0" showAll="0"/>
    <pivotField axis="axisPage"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3"/>
        <item x="0"/>
        <item x="2"/>
        <item x="4"/>
        <item x="1"/>
        <item t="default"/>
      </items>
    </pivotField>
    <pivotField compact="0" outline="0" showAll="0">
      <items count="6">
        <item h="1" x="4"/>
        <item x="3"/>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s>
  <rowFields count="1">
    <field x="36"/>
  </rowFields>
  <rowItems count="4">
    <i>
      <x/>
    </i>
    <i>
      <x v="1"/>
    </i>
    <i>
      <x v="2"/>
    </i>
    <i t="grand">
      <x/>
    </i>
  </rowItems>
  <colItems count="1">
    <i/>
  </colItems>
  <pageFields count="1">
    <pageField fld="1" item="0" hier="-1"/>
  </pageFields>
  <dataFields count="1">
    <dataField name="Count of Seller_ID" fld="0" subtotal="count" baseField="3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7EAC23-547E-4DB3-A95C-CB5AB35D69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B60" firstHeaderRow="1" firstDataRow="1" firstDataCol="1" rowPageCount="1" colPageCount="1"/>
  <pivotFields count="37">
    <pivotField dataField="1" showAll="0"/>
    <pivotField axis="axisPage" multipleItemSelectionAllowed="1" showAll="0">
      <items count="6">
        <item x="0"/>
        <item h="1" x="1"/>
        <item h="1"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4"/>
        <item x="1"/>
        <item t="default"/>
      </items>
    </pivotField>
    <pivotField showAll="0">
      <items count="6">
        <item h="1" x="4"/>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s>
  <rowFields count="1">
    <field x="17"/>
  </rowFields>
  <rowItems count="6">
    <i>
      <x/>
    </i>
    <i>
      <x v="1"/>
    </i>
    <i>
      <x v="2"/>
    </i>
    <i>
      <x v="3"/>
    </i>
    <i>
      <x v="4"/>
    </i>
    <i t="grand">
      <x/>
    </i>
  </rowItems>
  <colItems count="1">
    <i/>
  </colItems>
  <pageFields count="1">
    <pageField fld="1" hier="-1"/>
  </pageFields>
  <dataFields count="1">
    <dataField name="Count of Seller_ID" fld="0"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1C607E-19EA-487B-ACEB-870067432D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3:G75" firstHeaderRow="0" firstDataRow="1" firstDataCol="1" rowPageCount="3" colPageCount="1"/>
  <pivotFields count="37">
    <pivotField dataField="1" showAll="0" measureFilter="1" sortType="descending">
      <items count="101">
        <item x="0"/>
        <item x="1"/>
        <item x="2"/>
        <item x="3"/>
        <item x="4"/>
        <item x="5"/>
        <item x="6"/>
        <item x="7"/>
        <item x="8"/>
        <item x="9"/>
        <item x="97"/>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98"/>
        <item x="65"/>
        <item x="66"/>
        <item x="99"/>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autoSortScope>
        <pivotArea dataOnly="0" outline="0" fieldPosition="0">
          <references count="1">
            <reference field="4294967294" count="1" selected="0">
              <x v="0"/>
            </reference>
          </references>
        </pivotArea>
      </autoSortScope>
    </pivotField>
    <pivotField axis="axisPage" multipleItemSelectionAllowed="1" showAll="0">
      <items count="6">
        <item x="0"/>
        <item h="1" x="1"/>
        <item h="1"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01">
        <item x="13"/>
        <item x="33"/>
        <item x="53"/>
        <item x="71"/>
        <item x="91"/>
        <item x="1"/>
        <item x="20"/>
        <item x="40"/>
        <item x="60"/>
        <item x="78"/>
        <item x="7"/>
        <item x="26"/>
        <item x="46"/>
        <item x="65"/>
        <item x="84"/>
        <item x="5"/>
        <item x="24"/>
        <item x="44"/>
        <item x="64"/>
        <item x="82"/>
        <item x="17"/>
        <item x="37"/>
        <item x="57"/>
        <item x="75"/>
        <item x="95"/>
        <item x="9"/>
        <item x="28"/>
        <item x="48"/>
        <item x="99"/>
        <item x="86"/>
        <item x="8"/>
        <item x="27"/>
        <item x="47"/>
        <item x="66"/>
        <item x="85"/>
        <item x="16"/>
        <item x="36"/>
        <item x="56"/>
        <item x="74"/>
        <item x="94"/>
        <item x="15"/>
        <item x="35"/>
        <item x="55"/>
        <item x="73"/>
        <item x="93"/>
        <item x="14"/>
        <item x="34"/>
        <item x="54"/>
        <item x="72"/>
        <item x="92"/>
        <item x="18"/>
        <item x="38"/>
        <item x="58"/>
        <item x="76"/>
        <item x="96"/>
        <item x="97"/>
        <item x="29"/>
        <item x="49"/>
        <item x="67"/>
        <item x="87"/>
        <item x="12"/>
        <item x="32"/>
        <item x="52"/>
        <item x="70"/>
        <item x="90"/>
        <item x="10"/>
        <item x="30"/>
        <item x="50"/>
        <item x="68"/>
        <item x="88"/>
        <item x="11"/>
        <item x="31"/>
        <item x="51"/>
        <item x="69"/>
        <item x="89"/>
        <item x="0"/>
        <item x="19"/>
        <item x="39"/>
        <item x="59"/>
        <item x="77"/>
        <item x="4"/>
        <item x="23"/>
        <item x="43"/>
        <item x="63"/>
        <item x="81"/>
        <item x="6"/>
        <item x="25"/>
        <item x="45"/>
        <item x="98"/>
        <item x="83"/>
        <item x="2"/>
        <item x="21"/>
        <item x="41"/>
        <item x="61"/>
        <item x="79"/>
        <item x="3"/>
        <item x="22"/>
        <item x="42"/>
        <item x="62"/>
        <item x="80"/>
        <item t="default"/>
      </items>
    </pivotField>
    <pivotField axis="axisPage" showAll="0">
      <items count="6">
        <item x="3"/>
        <item x="0"/>
        <item x="2"/>
        <item x="4"/>
        <item x="1"/>
        <item t="default"/>
      </items>
    </pivotField>
    <pivotField showAll="0">
      <items count="6">
        <item h="1" x="4"/>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4">
        <item x="0"/>
        <item x="2"/>
        <item x="1"/>
        <item t="default"/>
      </items>
    </pivotField>
  </pivotFields>
  <rowFields count="1">
    <field x="16"/>
  </rowFields>
  <rowItems count="32">
    <i>
      <x v="2"/>
    </i>
    <i>
      <x v="4"/>
    </i>
    <i>
      <x v="5"/>
    </i>
    <i>
      <x v="7"/>
    </i>
    <i>
      <x v="10"/>
    </i>
    <i>
      <x v="26"/>
    </i>
    <i>
      <x v="32"/>
    </i>
    <i>
      <x v="33"/>
    </i>
    <i>
      <x v="34"/>
    </i>
    <i>
      <x v="35"/>
    </i>
    <i>
      <x v="36"/>
    </i>
    <i>
      <x v="40"/>
    </i>
    <i>
      <x v="44"/>
    </i>
    <i>
      <x v="45"/>
    </i>
    <i>
      <x v="46"/>
    </i>
    <i>
      <x v="51"/>
    </i>
    <i>
      <x v="52"/>
    </i>
    <i>
      <x v="61"/>
    </i>
    <i>
      <x v="65"/>
    </i>
    <i>
      <x v="68"/>
    </i>
    <i>
      <x v="72"/>
    </i>
    <i>
      <x v="73"/>
    </i>
    <i>
      <x v="74"/>
    </i>
    <i>
      <x v="77"/>
    </i>
    <i>
      <x v="79"/>
    </i>
    <i>
      <x v="80"/>
    </i>
    <i>
      <x v="85"/>
    </i>
    <i>
      <x v="90"/>
    </i>
    <i>
      <x v="95"/>
    </i>
    <i>
      <x v="96"/>
    </i>
    <i>
      <x v="98"/>
    </i>
    <i t="grand">
      <x/>
    </i>
  </rowItems>
  <colFields count="1">
    <field x="-2"/>
  </colFields>
  <colItems count="2">
    <i>
      <x/>
    </i>
    <i i="1">
      <x v="1"/>
    </i>
  </colItems>
  <pageFields count="3">
    <pageField fld="1" hier="-1"/>
    <pageField fld="36" hier="-1"/>
    <pageField fld="17" hier="-1"/>
  </pageFields>
  <dataFields count="2">
    <dataField name="Average of Overall_Risk_Score" fld="35" subtotal="average" baseField="0" baseItem="0"/>
    <dataField name="Count of Seller_ID" fld="0" subtotal="count" baseField="0" baseItem="1"/>
  </dataFields>
  <pivotTableStyleInfo name="PivotStyleLight16" showRowHeaders="1" showColHeaders="1" showRowStripes="0" showColStripes="0" showLastColumn="1"/>
  <filters count="2">
    <filter fld="0" type="count" evalOrder="-1" id="4" iMeasureFld="0">
      <autoFilter ref="A1">
        <filterColumn colId="0">
          <top10 val="10" filterVal="10"/>
        </filterColumn>
      </autoFilter>
    </filter>
    <filter fld="1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AA0507-784C-4C8A-8C41-3853742B47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K27" firstHeaderRow="0" firstDataRow="1" firstDataCol="1" rowPageCount="2" colPageCount="1"/>
  <pivotFields count="37">
    <pivotField dataField="1" showAll="0"/>
    <pivotField axis="axisPage" multipleItemSelectionAllowed="1" showAll="0">
      <items count="6">
        <item x="0"/>
        <item h="1" x="1"/>
        <item h="1"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items count="6">
        <item h="1" x="4"/>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4">
        <item x="0"/>
        <item x="2"/>
        <item x="1"/>
        <item t="default"/>
      </items>
    </pivotField>
  </pivotFields>
  <rowFields count="1">
    <field x="17"/>
  </rowFields>
  <rowItems count="6">
    <i>
      <x v="2"/>
    </i>
    <i>
      <x v="1"/>
    </i>
    <i>
      <x v="3"/>
    </i>
    <i>
      <x v="4"/>
    </i>
    <i>
      <x/>
    </i>
    <i t="grand">
      <x/>
    </i>
  </rowItems>
  <colFields count="1">
    <field x="-2"/>
  </colFields>
  <colItems count="2">
    <i>
      <x/>
    </i>
    <i i="1">
      <x v="1"/>
    </i>
  </colItems>
  <pageFields count="2">
    <pageField fld="1" hier="-1"/>
    <pageField fld="36" hier="-1"/>
  </pageFields>
  <dataFields count="2">
    <dataField name="Average of Overall_Risk_Score" fld="35" subtotal="average" baseField="17" baseItem="0"/>
    <dataField name="Average of Seller_ID" fld="0" subtotal="average" baseField="17" baseItem="2"/>
  </dataField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F5E9EA-686D-4EEC-B5E2-45D7814DE3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7:C41" firstHeaderRow="1" firstDataRow="1" firstDataCol="1" rowPageCount="1" colPageCount="1"/>
  <pivotFields count="37">
    <pivotField dataField="1" showAll="0"/>
    <pivotField axis="axisPage" multipleItemSelectionAllowed="1" showAll="0">
      <items count="6">
        <item x="0"/>
        <item h="1" x="1"/>
        <item h="1"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0"/>
        <item x="2"/>
        <item x="4"/>
        <item x="1"/>
        <item t="default"/>
      </items>
    </pivotField>
    <pivotField showAll="0">
      <items count="6">
        <item h="1" x="4"/>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s>
  <rowFields count="1">
    <field x="36"/>
  </rowFields>
  <rowItems count="4">
    <i>
      <x/>
    </i>
    <i>
      <x v="1"/>
    </i>
    <i>
      <x v="2"/>
    </i>
    <i t="grand">
      <x/>
    </i>
  </rowItems>
  <colItems count="1">
    <i/>
  </colItems>
  <pageFields count="1">
    <pageField fld="1" hier="-1"/>
  </pageFields>
  <dataFields count="1">
    <dataField name="Count of Seller_ID" fld="0" subtotal="count" baseField="3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7FA86C-904F-4953-B3A8-CDD91779E8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M11" firstHeaderRow="1" firstDataRow="2" firstDataCol="1" rowPageCount="1" colPageCount="1"/>
  <pivotFields count="37">
    <pivotField showAll="0"/>
    <pivotField axis="axisPage" multipleItemSelectionAllowed="1" showAll="0">
      <items count="6">
        <item x="0"/>
        <item h="1" x="1"/>
        <item h="1"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0"/>
        <item x="2"/>
        <item x="4"/>
        <item x="1"/>
        <item t="default"/>
      </items>
    </pivotField>
    <pivotField axis="axisRow" showAll="0">
      <items count="6">
        <item h="1" x="4"/>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4">
        <item x="0"/>
        <item x="2"/>
        <item x="1"/>
        <item t="default"/>
      </items>
    </pivotField>
  </pivotFields>
  <rowFields count="1">
    <field x="18"/>
  </rowFields>
  <rowItems count="5">
    <i>
      <x v="1"/>
    </i>
    <i>
      <x v="2"/>
    </i>
    <i>
      <x v="3"/>
    </i>
    <i>
      <x v="4"/>
    </i>
    <i t="grand">
      <x/>
    </i>
  </rowItems>
  <colFields count="1">
    <field x="36"/>
  </colFields>
  <colItems count="4">
    <i>
      <x/>
    </i>
    <i>
      <x v="1"/>
    </i>
    <i>
      <x v="2"/>
    </i>
    <i t="grand">
      <x/>
    </i>
  </colItems>
  <pageFields count="1">
    <pageField fld="1" hier="-1"/>
  </pageFields>
  <dataFields count="1">
    <dataField name="Average of Overall_Risk_Score" fld="35" subtotal="average"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7" xr16:uid="{53BE0D59-0A48-498A-B4E7-54AE484DB3FF}" autoFormatId="16" applyNumberFormats="0" applyBorderFormats="0" applyFontFormats="0" applyPatternFormats="0" applyAlignmentFormats="0" applyWidthHeightFormats="0">
  <queryTableRefresh nextId="12" unboundColumnsRight="1">
    <queryTableFields count="11">
      <queryTableField id="1" name="Seller_ID" tableColumnId="1"/>
      <queryTableField id="2" name="Analysis_Year" tableColumnId="2"/>
      <queryTableField id="3" name="Violation_Count" tableColumnId="3"/>
      <queryTableField id="4" name="Total_Penalty_Amount" tableColumnId="4"/>
      <queryTableField id="5" name="Fraud_Linked_Violation_Count" tableColumnId="5"/>
      <queryTableField id="6" name="Resolved_Violation_Count" tableColumnId="6"/>
      <queryTableField id="7" name="Unresolved_Violation_Count" tableColumnId="7"/>
      <queryTableField id="8" name="Critical_High_Severity_Count" tableColumnId="8"/>
      <queryTableField id="9" name="Escalated_Open_Violation_Count" tableColumnId="9"/>
      <queryTableField id="10" name="Affected_Order_Total"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ECE5DF8F-68F4-4379-BCA7-CEC2C6CD1511}" autoFormatId="16" applyNumberFormats="0" applyBorderFormats="0" applyFontFormats="0" applyPatternFormats="0" applyAlignmentFormats="0" applyWidthHeightFormats="0">
  <queryTableRefresh nextId="14">
    <queryTableFields count="13">
      <queryTableField id="1" name="Violation_ID" tableColumnId="1"/>
      <queryTableField id="2" name="Seller_ID" tableColumnId="2"/>
      <queryTableField id="3" name="Violation_Date" tableColumnId="3"/>
      <queryTableField id="4" name="Violation_Year" tableColumnId="4"/>
      <queryTableField id="5" name="Violation_Type" tableColumnId="5"/>
      <queryTableField id="6" name="Severity_Level" tableColumnId="6"/>
      <queryTableField id="7" name="Violation_Status" tableColumnId="7"/>
      <queryTableField id="8" name="Reported_Source" tableColumnId="8"/>
      <queryTableField id="9" name="Affected_Order_Count" tableColumnId="9"/>
      <queryTableField id="10" name="Penalty_Amount" tableColumnId="10"/>
      <queryTableField id="11" name="Fraud_Linked_Flag" tableColumnId="11"/>
      <queryTableField id="12" name="Action_Taken" tableColumnId="12"/>
      <queryTableField id="13" name="Resolved_Flag"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10" xr16:uid="{EB3AEC2B-10D8-45D3-8820-424045144097}" autoFormatId="16" applyNumberFormats="0" applyBorderFormats="0" applyFontFormats="0" applyPatternFormats="0" applyAlignmentFormats="0" applyWidthHeightFormats="0">
  <queryTableRefresh nextId="14">
    <queryTableFields count="13">
      <queryTableField id="1" name="Violation_ID" tableColumnId="1"/>
      <queryTableField id="2" name="Seller_ID" tableColumnId="2"/>
      <queryTableField id="3" name="Violation_Date" tableColumnId="3"/>
      <queryTableField id="4" name="Violation_Year" tableColumnId="4"/>
      <queryTableField id="5" name="Violation_Type" tableColumnId="5"/>
      <queryTableField id="6" name="Severity_Level" tableColumnId="6"/>
      <queryTableField id="7" name="Violation_Status" tableColumnId="7"/>
      <queryTableField id="8" name="Reported_Source" tableColumnId="8"/>
      <queryTableField id="9" name="Affected_Order_Count" tableColumnId="9"/>
      <queryTableField id="10" name="Penalty_Amount" tableColumnId="10"/>
      <queryTableField id="11" name="Fraud_Linked_Flag" tableColumnId="11"/>
      <queryTableField id="12" name="Action_Taken" tableColumnId="12"/>
      <queryTableField id="13" name="Resolved_Flag"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2" xr16:uid="{2A58360B-E2D3-4BAB-AE88-8F3DF132FBE2}" autoFormatId="16" applyNumberFormats="0" applyBorderFormats="0" applyFontFormats="0" applyPatternFormats="0" applyAlignmentFormats="0" applyWidthHeightFormats="0">
  <queryTableRefresh nextId="17">
    <queryTableFields count="16">
      <queryTableField id="1" name="Seller_ID" tableColumnId="1"/>
      <queryTableField id="2" name="Metric_Year" tableColumnId="2"/>
      <queryTableField id="3" name="Total_Orders" tableColumnId="3"/>
      <queryTableField id="4" name="Returned_Orders" tableColumnId="4"/>
      <queryTableField id="5" name="Refund_Requests" tableColumnId="5"/>
      <queryTableField id="6" name="Refund_Amount" tableColumnId="6"/>
      <queryTableField id="7" name="Refund_Rate" tableColumnId="7"/>
      <queryTableField id="8" name="User_Reports_Count" tableColumnId="8"/>
      <queryTableField id="9" name="Negative_Review_Count" tableColumnId="9"/>
      <queryTableField id="10" name="Customer_Dispute_Count" tableColumnId="10"/>
      <queryTableField id="11" name="Policy_Violation_Count" tableColumnId="11"/>
      <queryTableField id="12" name="Fraud_Flag" tableColumnId="12"/>
      <queryTableField id="13" name="Fraud_Review_Count" tableColumnId="13"/>
      <queryTableField id="14" name="Escalation_Count" tableColumnId="14"/>
      <queryTableField id="15" name="Chargeback_Count" tableColumnId="15"/>
      <queryTableField id="16" name="Governance_Action_Status"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1" xr16:uid="{E43A0DED-D33C-4A6F-AF91-B662123DF30F}" autoFormatId="16" applyNumberFormats="0" applyBorderFormats="0" applyFontFormats="0" applyPatternFormats="0" applyAlignmentFormats="0" applyWidthHeightFormats="0">
  <queryTableRefresh nextId="17">
    <queryTableFields count="16">
      <queryTableField id="1" name="Seller_ID" tableColumnId="1"/>
      <queryTableField id="2" name="Metric_Year" tableColumnId="2"/>
      <queryTableField id="3" name="Total_Orders" tableColumnId="3"/>
      <queryTableField id="4" name="Returned_Orders" tableColumnId="4"/>
      <queryTableField id="5" name="Refund_Requests" tableColumnId="5"/>
      <queryTableField id="6" name="Refund_Amount" tableColumnId="6"/>
      <queryTableField id="7" name="Refund_Rate" tableColumnId="7"/>
      <queryTableField id="8" name="User_Reports_Count" tableColumnId="8"/>
      <queryTableField id="9" name="Negative_Review_Count" tableColumnId="9"/>
      <queryTableField id="10" name="Customer_Dispute_Count" tableColumnId="10"/>
      <queryTableField id="11" name="Policy_Violation_Count" tableColumnId="11"/>
      <queryTableField id="12" name="Fraud_Flag" tableColumnId="12"/>
      <queryTableField id="13" name="Fraud_Review_Count" tableColumnId="13"/>
      <queryTableField id="14" name="Escalation_Count" tableColumnId="14"/>
      <queryTableField id="15" name="Chargeback_Count" tableColumnId="15"/>
      <queryTableField id="16" name="Governance_Action_Status"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7150550E-4A85-48AE-8D02-37D14D8E1C21}" autoFormatId="16" applyNumberFormats="0" applyBorderFormats="0" applyFontFormats="0" applyPatternFormats="0" applyAlignmentFormats="0" applyWidthHeightFormats="0">
  <queryTableRefresh nextId="13">
    <queryTableFields count="12">
      <queryTableField id="1" name="Seller_ID" tableColumnId="1"/>
      <queryTableField id="2" name="Seller_Name" tableColumnId="2"/>
      <queryTableField id="3" name="Seller_Type" tableColumnId="3"/>
      <queryTableField id="4" name="Primary_Category" tableColumnId="4"/>
      <queryTableField id="5" name="Region" tableColumnId="5"/>
      <queryTableField id="6" name="Country" tableColumnId="6"/>
      <queryTableField id="7" name="Onboarding_Date" tableColumnId="7"/>
      <queryTableField id="8" name="Marketplace_Tier" tableColumnId="8"/>
      <queryTableField id="9" name="Business_Size" tableColumnId="9"/>
      <queryTableField id="10" name="KYC_Status" tableColumnId="10"/>
      <queryTableField id="11" name="Preferred_Fulfillment_Mode" tableColumnId="11"/>
      <queryTableField id="12" name="Account_Status"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8" xr16:uid="{ABDEEB3C-CB4B-4563-99E8-B27F873D8B2F}" autoFormatId="16" applyNumberFormats="0" applyBorderFormats="0" applyFontFormats="0" applyPatternFormats="0" applyAlignmentFormats="0" applyWidthHeightFormats="0">
  <queryTableRefresh nextId="13">
    <queryTableFields count="12">
      <queryTableField id="1" name="Seller_ID" tableColumnId="1"/>
      <queryTableField id="2" name="Seller_Name" tableColumnId="2"/>
      <queryTableField id="3" name="Seller_Type" tableColumnId="3"/>
      <queryTableField id="4" name="Primary_Category" tableColumnId="4"/>
      <queryTableField id="5" name="Region" tableColumnId="5"/>
      <queryTableField id="6" name="Country" tableColumnId="6"/>
      <queryTableField id="7" name="Onboarding_Date" tableColumnId="7"/>
      <queryTableField id="8" name="Marketplace_Tier" tableColumnId="8"/>
      <queryTableField id="9" name="Business_Size" tableColumnId="9"/>
      <queryTableField id="10" name="KYC_Status" tableColumnId="10"/>
      <queryTableField id="11" name="Preferred_Fulfillment_Mode" tableColumnId="11"/>
      <queryTableField id="12" name="Account_Status" tableColumnId="1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5" xr16:uid="{BDD3DF07-4BA1-4E1C-9229-8938CA3B1015}" autoFormatId="16" applyNumberFormats="0" applyBorderFormats="0" applyFontFormats="0" applyPatternFormats="0" applyAlignmentFormats="0" applyWidthHeightFormats="0">
  <queryTableRefresh nextId="17">
    <queryTableFields count="12">
      <queryTableField id="13" name="Seller_ID" tableColumnId="13"/>
      <queryTableField id="14" name="Risk_Year" tableColumnId="14"/>
      <queryTableField id="3" name="Financial_Stability_Score" tableColumnId="3"/>
      <queryTableField id="4" name="Delivery_Performance_Score" tableColumnId="4"/>
      <queryTableField id="5" name="Quality_Compliance_Score" tableColumnId="5"/>
      <queryTableField id="6" name="Regulatory_Adherence_Score" tableColumnId="6"/>
      <queryTableField id="7" name="Sustainability_Score" tableColumnId="7"/>
      <queryTableField id="8" name="Past_Risk_Level" tableColumnId="8"/>
      <queryTableField id="9" name="ERP_Transactions" tableColumnId="9"/>
      <queryTableField id="10" name="Incidents_Count" tableColumnId="10"/>
      <queryTableField id="11" name="MCDM_Score" tableColumnId="11"/>
      <queryTableField id="12" name="Risk_Category" tableColumnId="1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9" xr16:uid="{5471FBF3-64EF-430F-83AD-9B5B703EFDD7}" autoFormatId="16" applyNumberFormats="0" applyBorderFormats="0" applyFontFormats="0" applyPatternFormats="0" applyAlignmentFormats="0" applyWidthHeightFormats="0">
  <queryTableRefresh nextId="13">
    <queryTableFields count="12">
      <queryTableField id="1" name="Supplier_ID" tableColumnId="1"/>
      <queryTableField id="2" name="Year" tableColumnId="2"/>
      <queryTableField id="3" name="Financial_Stability_Score" tableColumnId="3"/>
      <queryTableField id="4" name="Delivery_Performance_Score" tableColumnId="4"/>
      <queryTableField id="5" name="Quality_Compliance_Score" tableColumnId="5"/>
      <queryTableField id="6" name="Regulatory_Adherence_Score" tableColumnId="6"/>
      <queryTableField id="7" name="Sustainability_Score" tableColumnId="7"/>
      <queryTableField id="8" name="Past_Risk_Level" tableColumnId="8"/>
      <queryTableField id="9" name="ERP_Transactions" tableColumnId="9"/>
      <queryTableField id="10" name="Incidents_Count" tableColumnId="10"/>
      <queryTableField id="11" name="MCDM_Score" tableColumnId="11"/>
      <queryTableField id="12" name="Risk_Category" tableColumnId="1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4" connectionId="4" xr16:uid="{2593835E-273A-4E63-90A6-69EB7B12A488}" autoFormatId="16" applyNumberFormats="0" applyBorderFormats="0" applyFontFormats="0" applyPatternFormats="0" applyAlignmentFormats="0" applyWidthHeightFormats="0">
  <queryTableRefresh nextId="38" unboundColumnsRight="21">
    <queryTableFields count="37">
      <queryTableField id="1" name="Seller_ID" tableColumnId="1"/>
      <queryTableField id="2" name="Metric_Year" tableColumnId="2"/>
      <queryTableField id="3" name="Total_Orders" tableColumnId="3"/>
      <queryTableField id="4" name="Returned_Orders" tableColumnId="4"/>
      <queryTableField id="5" name="Refund_Requests" tableColumnId="5"/>
      <queryTableField id="6" name="Refund_Amount" tableColumnId="6"/>
      <queryTableField id="7" name="Refund_Rate" tableColumnId="7"/>
      <queryTableField id="8" name="User_Reports_Count" tableColumnId="8"/>
      <queryTableField id="9" name="Negative_Review_Count" tableColumnId="9"/>
      <queryTableField id="10" name="Customer_Dispute_Count" tableColumnId="10"/>
      <queryTableField id="11" name="Policy_Violation_Count" tableColumnId="11"/>
      <queryTableField id="12" name="Fraud_Flag" tableColumnId="12"/>
      <queryTableField id="13" name="Fraud_Review_Count" tableColumnId="13"/>
      <queryTableField id="14" name="Escalation_Count" tableColumnId="14"/>
      <queryTableField id="15" name="Chargeback_Count" tableColumnId="15"/>
      <queryTableField id="16" name="Governance_Action_Status"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 id="35" dataBound="0" tableColumnId="35"/>
      <queryTableField id="36" dataBound="0" tableColumnId="36"/>
      <queryTableField id="37" dataBound="0"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Seller_Risk" xr10:uid="{CCC7ABA2-792D-4567-B0E2-9AFBCB6D0BB3}" sourceName="Final_Seller_Risk">
  <pivotTables>
    <pivotTable tabId="15" name="PivotTable1"/>
    <pivotTable tabId="15" name="PivotTable2"/>
    <pivotTable tabId="15" name="PivotTable3"/>
    <pivotTable tabId="15" name="PivotTable4"/>
    <pivotTable tabId="15" name="PivotTable5"/>
    <pivotTable tabId="16" name="PivotTable1"/>
    <pivotTable tabId="16" name="PivotTable2"/>
    <pivotTable tabId="16" name="PivotTable3"/>
    <pivotTable tabId="16" name="PivotTable4"/>
    <pivotTable tabId="16" name="PivotTable5"/>
  </pivotTables>
  <data>
    <tabular pivotCacheId="54811805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FB2319-B8EF-40DD-A2C2-1783D9D28AAC}" sourceName="Region">
  <pivotTables>
    <pivotTable tabId="15" name="PivotTable1"/>
    <pivotTable tabId="15" name="PivotTable2"/>
    <pivotTable tabId="15" name="PivotTable3"/>
    <pivotTable tabId="15" name="PivotTable4"/>
    <pivotTable tabId="15" name="PivotTable5"/>
    <pivotTable tabId="16" name="PivotTable1"/>
    <pivotTable tabId="16" name="PivotTable2"/>
    <pivotTable tabId="16" name="PivotTable3"/>
    <pivotTable tabId="16" name="PivotTable4"/>
    <pivotTable tabId="16" name="PivotTable5"/>
  </pivotTables>
  <data>
    <tabular pivotCacheId="548118056">
      <items count="5">
        <i x="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Category" xr10:uid="{83974961-A521-4F01-87D0-779583AD9611}" sourceName="Primary_Category">
  <pivotTables>
    <pivotTable tabId="15" name="PivotTable1"/>
    <pivotTable tabId="15" name="PivotTable2"/>
    <pivotTable tabId="15" name="PivotTable3"/>
    <pivotTable tabId="15" name="PivotTable4"/>
    <pivotTable tabId="15" name="PivotTable5"/>
    <pivotTable tabId="16" name="PivotTable1"/>
    <pivotTable tabId="16" name="PivotTable2"/>
    <pivotTable tabId="16" name="PivotTable3"/>
    <pivotTable tabId="16" name="PivotTable4"/>
    <pivotTable tabId="16" name="PivotTable5"/>
  </pivotTables>
  <data>
    <tabular pivotCacheId="548118056">
      <items count="5">
        <i x="3" s="1"/>
        <i x="0" s="1"/>
        <i x="2"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alysis_Year" xr10:uid="{4EE73E9A-C506-47E1-86C1-296D37566DD2}" sourceName="Analysis_Year">
  <pivotTables>
    <pivotTable tabId="15" name="PivotTable1"/>
    <pivotTable tabId="15" name="PivotTable2"/>
    <pivotTable tabId="15" name="PivotTable3"/>
    <pivotTable tabId="15" name="PivotTable4"/>
    <pivotTable tabId="15" name="PivotTable5"/>
    <pivotTable tabId="16" name="PivotTable1"/>
    <pivotTable tabId="16" name="PivotTable2"/>
    <pivotTable tabId="16" name="PivotTable3"/>
    <pivotTable tabId="16" name="PivotTable4"/>
    <pivotTable tabId="16" name="PivotTable5"/>
  </pivotTables>
  <data>
    <tabular pivotCacheId="548118056">
      <items count="5">
        <i x="0" s="1"/>
        <i x="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l_Seller_Risk" xr10:uid="{3CCE926C-2E96-47D5-B125-EF7834CC8C36}" cache="Slicer_Final_Seller_Risk" caption="Final_Seller_Risk" rowHeight="234950"/>
  <slicer name="Region" xr10:uid="{27BB0106-5761-4A86-B48C-5C7EE82A96E4}" cache="Slicer_Region" caption="Region" rowHeight="234950"/>
  <slicer name="Primary_Category" xr10:uid="{61EBDAD5-116E-4888-ABEB-A5A859CBBD89}" cache="Slicer_Primary_Category" caption="Primary_Category" rowHeight="234950"/>
  <slicer name="Analysis_Year" xr10:uid="{B37808D9-0367-465F-A6ED-A8B5846B1908}" cache="Slicer_Analysis_Year" caption="Analysis_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0F5E272-0686-4690-86DA-4FAB790EFBA0}" name="tbl_violation_summary_seller_year" displayName="tbl_violation_summary_seller_year" ref="A1:K480" tableType="queryTable" totalsRowShown="0">
  <autoFilter ref="A1:K480" xr:uid="{30F5E272-0686-4690-86DA-4FAB790EFBA0}"/>
  <tableColumns count="11">
    <tableColumn id="1" xr3:uid="{1415A737-1A68-45E4-AAEC-744522695B6A}" uniqueName="1" name="Seller_ID" queryTableFieldId="1"/>
    <tableColumn id="2" xr3:uid="{F121CC15-F785-43AE-B092-279BA078EADB}" uniqueName="2" name="Analysis_Year" queryTableFieldId="2"/>
    <tableColumn id="3" xr3:uid="{34DB6354-2770-41D2-888B-7326BEB5630E}" uniqueName="3" name="Violation_Count" queryTableFieldId="3"/>
    <tableColumn id="4" xr3:uid="{CDE1348C-48B1-4A77-A2DB-39490254D973}" uniqueName="4" name="Total_Penalty_Amount" queryTableFieldId="4"/>
    <tableColumn id="5" xr3:uid="{B2B86E96-230A-4825-A3ED-A63537F2C674}" uniqueName="5" name="Fraud_Linked_Violation_Count" queryTableFieldId="5"/>
    <tableColumn id="6" xr3:uid="{DD55CBC5-91B4-4303-B34A-1DAD15650626}" uniqueName="6" name="Resolved_Violation_Count" queryTableFieldId="6"/>
    <tableColumn id="7" xr3:uid="{727728F1-3C42-483B-BE9B-5E3D158B7E8F}" uniqueName="7" name="Unresolved_Violation_Count" queryTableFieldId="7"/>
    <tableColumn id="8" xr3:uid="{3DB6AB5F-1A1D-4B2D-84CC-3FB2A8EBAA74}" uniqueName="8" name="Critical_High_Severity_Count" queryTableFieldId="8"/>
    <tableColumn id="9" xr3:uid="{C92E01D1-4B2C-4B38-944B-549508458640}" uniqueName="9" name="Escalated_Open_Violation_Count" queryTableFieldId="9"/>
    <tableColumn id="10" xr3:uid="{97C32B0D-AF16-4740-933C-411983B9F71D}" uniqueName="10" name="Affected_Order_Total" queryTableFieldId="10"/>
    <tableColumn id="11" xr3:uid="{B5178EB9-0AA0-48A9-9F08-33539979422E}" uniqueName="11" name="Seller_Year_Key" queryTableFieldId="11" dataDxfId="62">
      <calculatedColumnFormula>A2&amp;"_"&amp;B2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28CD88-B06D-4C6D-8A28-F3838741FF56}" name="tbl_violation_log_clean" displayName="tbl_violation_log_clean" ref="A1:M1647" tableType="queryTable" totalsRowShown="0">
  <autoFilter ref="A1:M1647" xr:uid="{2528CD88-B06D-4C6D-8A28-F3838741FF56}"/>
  <tableColumns count="13">
    <tableColumn id="1" xr3:uid="{F050649F-8192-49B5-8606-37FD98B32A40}" uniqueName="1" name="Violation_ID" queryTableFieldId="1" dataDxfId="61"/>
    <tableColumn id="2" xr3:uid="{E89CBE77-B6CA-4345-B437-39D8EAA15839}" uniqueName="2" name="Seller_ID" queryTableFieldId="2"/>
    <tableColumn id="3" xr3:uid="{660E8E41-4149-4EBE-82B7-8E7FD1C55AFE}" uniqueName="3" name="Violation_Date" queryTableFieldId="3" dataDxfId="60"/>
    <tableColumn id="4" xr3:uid="{6F98CE88-15EB-446D-B775-07B246D14491}" uniqueName="4" name="Violation_Year" queryTableFieldId="4"/>
    <tableColumn id="5" xr3:uid="{9D13397D-4104-42EE-BA75-90065D6C85CA}" uniqueName="5" name="Violation_Type" queryTableFieldId="5" dataDxfId="59"/>
    <tableColumn id="6" xr3:uid="{E36364EC-5843-44ED-B57E-A0D2B6F13A1F}" uniqueName="6" name="Severity_Level" queryTableFieldId="6" dataDxfId="58"/>
    <tableColumn id="7" xr3:uid="{A88ECB4E-F40C-4C7D-8664-D151F0FBFDF8}" uniqueName="7" name="Violation_Status" queryTableFieldId="7" dataDxfId="57"/>
    <tableColumn id="8" xr3:uid="{C296BCB5-6B5A-4EB4-B3EF-D6AA47D43705}" uniqueName="8" name="Reported_Source" queryTableFieldId="8" dataDxfId="56"/>
    <tableColumn id="9" xr3:uid="{526E9E22-8C16-4848-B2F7-552284846E8A}" uniqueName="9" name="Affected_Order_Count" queryTableFieldId="9"/>
    <tableColumn id="10" xr3:uid="{A3FE3C34-C3E5-4925-9DE4-D03D19C68E9F}" uniqueName="10" name="Penalty_Amount" queryTableFieldId="10"/>
    <tableColumn id="11" xr3:uid="{B58B31AA-D3EC-4398-A36B-9C691B1B91C6}" uniqueName="11" name="Fraud_Linked_Flag" queryTableFieldId="11"/>
    <tableColumn id="12" xr3:uid="{964FF55A-812D-4401-8AE9-81467175756C}" uniqueName="12" name="Action_Taken" queryTableFieldId="12" dataDxfId="55"/>
    <tableColumn id="13" xr3:uid="{9D53EB46-0E45-4A96-9A36-56AA9521C435}" uniqueName="13" name="Resolved_Flag"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4AD37F-A01D-402F-837A-D9A8D690E8E7}" name="tbl_voilation_log_raw" displayName="tbl_voilation_log_raw" ref="A1:M1647" tableType="queryTable" totalsRowShown="0">
  <autoFilter ref="A1:M1647" xr:uid="{C94AD37F-A01D-402F-837A-D9A8D690E8E7}"/>
  <tableColumns count="13">
    <tableColumn id="1" xr3:uid="{4368AA60-6AE8-41C2-B50E-9A29C7E24A1E}" uniqueName="1" name="Violation_ID" queryTableFieldId="1" dataDxfId="54"/>
    <tableColumn id="2" xr3:uid="{EB551E42-C4C6-45DA-9FF1-D941C70AB6B5}" uniqueName="2" name="Seller_ID" queryTableFieldId="2"/>
    <tableColumn id="3" xr3:uid="{416F6172-16B3-46C0-BE4F-F3C1C4B408D5}" uniqueName="3" name="Violation_Date" queryTableFieldId="3" dataDxfId="53"/>
    <tableColumn id="4" xr3:uid="{5D134CE4-2564-4D88-A280-C1E5CE42AED2}" uniqueName="4" name="Violation_Year" queryTableFieldId="4"/>
    <tableColumn id="5" xr3:uid="{0003452D-7C01-441D-A2EA-1D685158D4DE}" uniqueName="5" name="Violation_Type" queryTableFieldId="5" dataDxfId="52"/>
    <tableColumn id="6" xr3:uid="{0AB1CBA9-997C-4598-A88C-0143323E96F5}" uniqueName="6" name="Severity_Level" queryTableFieldId="6" dataDxfId="51"/>
    <tableColumn id="7" xr3:uid="{FAE885C6-8408-4ACC-926C-CD3CF6C26E9B}" uniqueName="7" name="Violation_Status" queryTableFieldId="7" dataDxfId="50"/>
    <tableColumn id="8" xr3:uid="{088955D7-59E6-4695-8082-673D350CBFB3}" uniqueName="8" name="Reported_Source" queryTableFieldId="8" dataDxfId="49"/>
    <tableColumn id="9" xr3:uid="{C128C58C-A86E-44C1-809B-9E2D779A7931}" uniqueName="9" name="Affected_Order_Count" queryTableFieldId="9"/>
    <tableColumn id="10" xr3:uid="{BBE342EF-62FA-4834-A31F-3B99202607E6}" uniqueName="10" name="Penalty_Amount" queryTableFieldId="10"/>
    <tableColumn id="11" xr3:uid="{9007CDEC-1BAC-461D-ABD7-2448B426CCFE}" uniqueName="11" name="Fraud_Linked_Flag" queryTableFieldId="11"/>
    <tableColumn id="12" xr3:uid="{9801CF30-A448-4A02-9C72-984E5EBB370A}" uniqueName="12" name="Action_Taken" queryTableFieldId="12" dataDxfId="48"/>
    <tableColumn id="13" xr3:uid="{8C448FF0-1E0E-411F-8A9E-61012B3D14DA}" uniqueName="13" name="Resolved_Flag" queryTableField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E0CB6A5-470E-492A-923B-9FE7126105AF}" name="tbl_governance_metrics_clean" displayName="tbl_governance_metrics_clean" ref="A1:P480" tableType="queryTable" totalsRowShown="0">
  <autoFilter ref="A1:P480" xr:uid="{DE0CB6A5-470E-492A-923B-9FE7126105AF}"/>
  <sortState xmlns:xlrd2="http://schemas.microsoft.com/office/spreadsheetml/2017/richdata2" ref="A2:P480">
    <sortCondition ref="B1:B480"/>
  </sortState>
  <tableColumns count="16">
    <tableColumn id="1" xr3:uid="{6C2374D9-E646-4DE2-8006-270F425EF09D}" uniqueName="1" name="Seller_ID" queryTableFieldId="1"/>
    <tableColumn id="2" xr3:uid="{EA6983CD-9F21-4736-9278-904E3B32ABBE}" uniqueName="2" name="Metric_Year" queryTableFieldId="2"/>
    <tableColumn id="3" xr3:uid="{8188865D-FD0A-47BD-845A-236F0C88C48A}" uniqueName="3" name="Total_Orders" queryTableFieldId="3"/>
    <tableColumn id="4" xr3:uid="{E1E1782D-FB85-49B1-A90F-F5CD93A973B5}" uniqueName="4" name="Returned_Orders" queryTableFieldId="4"/>
    <tableColumn id="5" xr3:uid="{1DD251DB-B291-4474-B1D2-C52088C05365}" uniqueName="5" name="Refund_Requests" queryTableFieldId="5"/>
    <tableColumn id="6" xr3:uid="{B27B33D7-5872-4A2B-B739-4ABBA885536D}" uniqueName="6" name="Refund_Amount" queryTableFieldId="6"/>
    <tableColumn id="7" xr3:uid="{1E38E69D-035B-4935-8871-3FC654C988FB}" uniqueName="7" name="Refund_Rate" queryTableFieldId="7"/>
    <tableColumn id="8" xr3:uid="{F62547C8-57C3-4163-9BAA-B7D2568E821B}" uniqueName="8" name="User_Reports_Count" queryTableFieldId="8"/>
    <tableColumn id="9" xr3:uid="{046EB736-7CEC-4FEC-9B7F-F8E46D204608}" uniqueName="9" name="Negative_Review_Count" queryTableFieldId="9"/>
    <tableColumn id="10" xr3:uid="{15CAC6EE-D1A1-4593-A7B1-2F1C95E9106F}" uniqueName="10" name="Customer_Dispute_Count" queryTableFieldId="10"/>
    <tableColumn id="11" xr3:uid="{C3B80F4F-41FD-4065-A465-4556A5FD60C8}" uniqueName="11" name="Policy_Violation_Count" queryTableFieldId="11"/>
    <tableColumn id="12" xr3:uid="{5246D73B-9A47-4270-99E3-723DCD6E982E}" uniqueName="12" name="Fraud_Flag" queryTableFieldId="12"/>
    <tableColumn id="13" xr3:uid="{702172B8-791C-498A-895B-F98AEE46CBE8}" uniqueName="13" name="Fraud_Review_Count" queryTableFieldId="13"/>
    <tableColumn id="14" xr3:uid="{0F6B7A61-EACF-405D-903F-6C55C180CD04}" uniqueName="14" name="Escalation_Count" queryTableFieldId="14"/>
    <tableColumn id="15" xr3:uid="{21C3BECF-3910-4F6E-8C65-191B175D70E9}" uniqueName="15" name="Chargeback_Count" queryTableFieldId="15"/>
    <tableColumn id="16" xr3:uid="{8A9EEEBF-5277-4D9B-8E38-CE53622B7259}" uniqueName="16" name="Governance_Action_Status" queryTableFieldId="16" dataDxfId="4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EE77CD-E428-41F7-B2CB-F0EE2F5197FF}" name="tbl_governance_metrics_raw" displayName="tbl_governance_metrics_raw" ref="A1:P480" tableType="queryTable" totalsRowShown="0">
  <autoFilter ref="A1:P480" xr:uid="{00EE77CD-E428-41F7-B2CB-F0EE2F5197FF}"/>
  <tableColumns count="16">
    <tableColumn id="1" xr3:uid="{8070AA47-6883-4DC0-85A4-07A0C5D176D2}" uniqueName="1" name="Seller_ID" queryTableFieldId="1"/>
    <tableColumn id="2" xr3:uid="{1ED5F222-F499-4318-AE06-0A2DB2161751}" uniqueName="2" name="Metric_Year" queryTableFieldId="2"/>
    <tableColumn id="3" xr3:uid="{9CDC5965-3CA0-4E7C-9288-6A7AFCA678BB}" uniqueName="3" name="Total_Orders" queryTableFieldId="3"/>
    <tableColumn id="4" xr3:uid="{572E99DC-BD6E-4D65-9E0C-511838CB3557}" uniqueName="4" name="Returned_Orders" queryTableFieldId="4"/>
    <tableColumn id="5" xr3:uid="{1B8560EB-A412-4E4D-9979-C5BA22DF4FEE}" uniqueName="5" name="Refund_Requests" queryTableFieldId="5"/>
    <tableColumn id="6" xr3:uid="{490C98D5-EFF3-4E1E-A68B-9A19B40AA709}" uniqueName="6" name="Refund_Amount" queryTableFieldId="6"/>
    <tableColumn id="7" xr3:uid="{B8018ACB-454B-4D63-A253-12804B33E451}" uniqueName="7" name="Refund_Rate" queryTableFieldId="7"/>
    <tableColumn id="8" xr3:uid="{837B3B9B-5C9B-406C-B0BA-1F8724A068C6}" uniqueName="8" name="User_Reports_Count" queryTableFieldId="8"/>
    <tableColumn id="9" xr3:uid="{87EC7C45-6F05-44A1-B1C8-4164D0BFF51A}" uniqueName="9" name="Negative_Review_Count" queryTableFieldId="9"/>
    <tableColumn id="10" xr3:uid="{3B1B8A78-8351-4863-A3B9-838490D84BD9}" uniqueName="10" name="Customer_Dispute_Count" queryTableFieldId="10"/>
    <tableColumn id="11" xr3:uid="{B54DA6E2-EC47-4CBD-A06F-0DA92565D878}" uniqueName="11" name="Policy_Violation_Count" queryTableFieldId="11"/>
    <tableColumn id="12" xr3:uid="{36783144-CD10-4C96-992D-35E4E96D0597}" uniqueName="12" name="Fraud_Flag" queryTableFieldId="12"/>
    <tableColumn id="13" xr3:uid="{6123DC08-1BCB-4414-BA94-8E52A3672147}" uniqueName="13" name="Fraud_Review_Count" queryTableFieldId="13"/>
    <tableColumn id="14" xr3:uid="{6B2F710D-E59E-4C3C-BB36-79F8E23B8926}" uniqueName="14" name="Escalation_Count" queryTableFieldId="14"/>
    <tableColumn id="15" xr3:uid="{5C4EB3AE-EED2-4A07-908A-B94DFAB28D6E}" uniqueName="15" name="Chargeback_Count" queryTableFieldId="15"/>
    <tableColumn id="16" xr3:uid="{58A6F82A-D62D-4C6A-B828-603A1497000C}" uniqueName="16" name="Governance_Action_Status" queryTableFieldId="16" dataDxfId="4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513252-D20E-42F5-87E5-4E7F51724E76}" name="tbl_seller_master_clean" displayName="tbl_seller_master_clean" ref="A1:L101" tableType="queryTable" totalsRowShown="0">
  <autoFilter ref="A1:L101" xr:uid="{F5513252-D20E-42F5-87E5-4E7F51724E76}"/>
  <tableColumns count="12">
    <tableColumn id="1" xr3:uid="{91F8557A-D1F0-4609-BAED-87BFBACAE251}" uniqueName="1" name="Seller_ID" queryTableFieldId="1"/>
    <tableColumn id="2" xr3:uid="{946D941A-5556-4FA3-B2B4-24A8BFC29245}" uniqueName="2" name="Seller_Name" queryTableFieldId="2" dataDxfId="45"/>
    <tableColumn id="3" xr3:uid="{6C95A01B-A5DC-42CA-9B9F-AC85A7B1F179}" uniqueName="3" name="Seller_Type" queryTableFieldId="3" dataDxfId="44"/>
    <tableColumn id="4" xr3:uid="{B7EE0CED-CAA6-46BD-86D0-CA44F40E7C3D}" uniqueName="4" name="Primary_Category" queryTableFieldId="4" dataDxfId="43"/>
    <tableColumn id="5" xr3:uid="{F5831E00-E2A6-4F2D-9BC3-9D24BB5E07FF}" uniqueName="5" name="Region" queryTableFieldId="5" dataDxfId="42"/>
    <tableColumn id="6" xr3:uid="{F2A87173-4E5D-4960-A422-FA681FA578FB}" uniqueName="6" name="Country" queryTableFieldId="6" dataDxfId="41"/>
    <tableColumn id="7" xr3:uid="{20D6F19A-5757-4C90-9DFE-DCA746A3487F}" uniqueName="7" name="Onboarding_Date" queryTableFieldId="7" dataDxfId="40"/>
    <tableColumn id="8" xr3:uid="{CEF8CCA9-9C40-49A0-AE1E-55E2F65C1662}" uniqueName="8" name="Marketplace_Tier" queryTableFieldId="8" dataDxfId="39"/>
    <tableColumn id="9" xr3:uid="{CC977F99-08CF-4232-862C-514C7F7E4FED}" uniqueName="9" name="Business_Size" queryTableFieldId="9" dataDxfId="38"/>
    <tableColumn id="10" xr3:uid="{B39A575B-EC8A-416B-B960-B8E349599C4E}" uniqueName="10" name="KYC_Status" queryTableFieldId="10" dataDxfId="37"/>
    <tableColumn id="11" xr3:uid="{AE7A8282-7AC4-48E5-88A0-538DB316881D}" uniqueName="11" name="Preferred_Fulfillment_Mode" queryTableFieldId="11" dataDxfId="36"/>
    <tableColumn id="12" xr3:uid="{D0BAADBB-68B5-4266-A203-90D1CB157DB5}" uniqueName="12" name="Account_Status" queryTableFieldId="12" dataDxfId="3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9978DD-CAEE-4138-B5A2-E493CE0EC344}" name="tbl_seller_master_raw" displayName="tbl_seller_master_raw" ref="A1:L101" tableType="queryTable" totalsRowShown="0">
  <autoFilter ref="A1:L101" xr:uid="{7C9978DD-CAEE-4138-B5A2-E493CE0EC344}"/>
  <tableColumns count="12">
    <tableColumn id="1" xr3:uid="{F0190FB6-5A0A-439D-87CA-6F84FFD656E7}" uniqueName="1" name="Seller_ID" queryTableFieldId="1"/>
    <tableColumn id="2" xr3:uid="{9DB8E3F4-1BA8-4CBA-A4E5-CB231CBB8E91}" uniqueName="2" name="Seller_Name" queryTableFieldId="2" dataDxfId="34"/>
    <tableColumn id="3" xr3:uid="{D36EA30B-BE1B-447C-A420-C4B4AE7B72ED}" uniqueName="3" name="Seller_Type" queryTableFieldId="3" dataDxfId="33"/>
    <tableColumn id="4" xr3:uid="{CE7CAD78-5EF0-4934-B154-4048165CB59A}" uniqueName="4" name="Primary_Category" queryTableFieldId="4" dataDxfId="32"/>
    <tableColumn id="5" xr3:uid="{A12BC81C-B206-4C11-9945-375A7644B034}" uniqueName="5" name="Region" queryTableFieldId="5" dataDxfId="31"/>
    <tableColumn id="6" xr3:uid="{03C7A007-7BD8-40F6-9BC4-873CA9EFBF45}" uniqueName="6" name="Country" queryTableFieldId="6" dataDxfId="30"/>
    <tableColumn id="7" xr3:uid="{55A26E27-A084-4D57-9975-535F24ABF3F0}" uniqueName="7" name="Onboarding_Date" queryTableFieldId="7" dataDxfId="29"/>
    <tableColumn id="8" xr3:uid="{019AF55D-C033-4FA4-841C-8F3638315EAC}" uniqueName="8" name="Marketplace_Tier" queryTableFieldId="8" dataDxfId="28"/>
    <tableColumn id="9" xr3:uid="{A20ACE44-39B6-491C-827A-B1F4BC71E572}" uniqueName="9" name="Business_Size" queryTableFieldId="9" dataDxfId="27"/>
    <tableColumn id="10" xr3:uid="{37D23C9D-E461-4B11-953A-67121337135D}" uniqueName="10" name="KYC_Status" queryTableFieldId="10" dataDxfId="26"/>
    <tableColumn id="11" xr3:uid="{9552D0EE-CA2B-4870-91AE-F7D541A69285}" uniqueName="11" name="Preferred_Fulfillment_Mode" queryTableFieldId="11" dataDxfId="25"/>
    <tableColumn id="12" xr3:uid="{21590C96-FC1E-4CC9-B343-CA8EDD58C19B}" uniqueName="12" name="Account_Status" queryTableFieldId="12" dataDxfId="2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0098E4-B621-4E54-A54E-54CEE968B3E3}" name="tbl_supplier_risk_clean" displayName="tbl_supplier_risk_clean" ref="A1:L1801" tableType="queryTable" totalsRowShown="0">
  <autoFilter ref="A1:L1801" xr:uid="{A70098E4-B621-4E54-A54E-54CEE968B3E3}"/>
  <sortState xmlns:xlrd2="http://schemas.microsoft.com/office/spreadsheetml/2017/richdata2" ref="A2:L1801">
    <sortCondition ref="B1:B1801"/>
  </sortState>
  <tableColumns count="12">
    <tableColumn id="13" xr3:uid="{C7475EF8-1FBA-4DF4-8878-D21F4E1F29AC}" uniqueName="13" name="Seller_ID" queryTableFieldId="13"/>
    <tableColumn id="14" xr3:uid="{4ECA0FCC-C560-4E63-9618-83EEFC30706C}" uniqueName="14" name="Risk_Year" queryTableFieldId="14"/>
    <tableColumn id="3" xr3:uid="{97D3E4AB-EBC0-42EF-B288-643A108E7817}" uniqueName="3" name="Financial_Stability_Score" queryTableFieldId="3"/>
    <tableColumn id="4" xr3:uid="{AC5B38C5-70B5-4511-9B97-81F388352D60}" uniqueName="4" name="Delivery_Performance_Score" queryTableFieldId="4"/>
    <tableColumn id="5" xr3:uid="{3935D99E-0063-4224-9C93-B7FDD66923A4}" uniqueName="5" name="Quality_Compliance_Score" queryTableFieldId="5"/>
    <tableColumn id="6" xr3:uid="{310CAC76-6676-4EA4-9413-5F74F0D73C89}" uniqueName="6" name="Regulatory_Adherence_Score" queryTableFieldId="6"/>
    <tableColumn id="7" xr3:uid="{99837728-A46E-475A-B860-C36BB001C27C}" uniqueName="7" name="Sustainability_Score" queryTableFieldId="7"/>
    <tableColumn id="8" xr3:uid="{5D55174F-0F12-4735-B628-6F02CFF9C6B9}" uniqueName="8" name="Past_Risk_Level" queryTableFieldId="8"/>
    <tableColumn id="9" xr3:uid="{ECF2093D-99C3-48DE-BB6C-89566AB1260A}" uniqueName="9" name="ERP_Transactions" queryTableFieldId="9"/>
    <tableColumn id="10" xr3:uid="{325A11B1-9034-4521-A910-55FB05160E6A}" uniqueName="10" name="Incidents_Count" queryTableFieldId="10"/>
    <tableColumn id="11" xr3:uid="{3ADE5ADB-9B96-489A-AF98-CF36FC078101}" uniqueName="11" name="MCDM_Score" queryTableFieldId="11"/>
    <tableColumn id="12" xr3:uid="{CB3718EB-AED4-47EB-AF8F-AE5DCF97A236}" uniqueName="12" name="Risk_Category" queryTableFieldId="12" dataDxfId="2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36A927-C23D-4E0E-B11E-CA47B1E9C68B}" name="tbl_supplier_risk_raw" displayName="tbl_supplier_risk_raw" ref="A1:L1801" tableType="queryTable" totalsRowShown="0">
  <autoFilter ref="A1:L1801" xr:uid="{EE36A927-C23D-4E0E-B11E-CA47B1E9C68B}"/>
  <tableColumns count="12">
    <tableColumn id="1" xr3:uid="{73C89024-4F87-4F0F-A046-BE51CDBF3312}" uniqueName="1" name="Supplier_ID" queryTableFieldId="1"/>
    <tableColumn id="2" xr3:uid="{BC50542A-A7B0-468E-81C9-9053C48B9BD6}" uniqueName="2" name="Year" queryTableFieldId="2"/>
    <tableColumn id="3" xr3:uid="{EDB919CF-5172-45EB-8D30-31176B44F16B}" uniqueName="3" name="Financial_Stability_Score" queryTableFieldId="3"/>
    <tableColumn id="4" xr3:uid="{1615C317-CFA4-4ED5-85F3-81D6E4E9BBBF}" uniqueName="4" name="Delivery_Performance_Score" queryTableFieldId="4"/>
    <tableColumn id="5" xr3:uid="{BCECA4CD-3EE3-4583-ABE6-B67225FE7354}" uniqueName="5" name="Quality_Compliance_Score" queryTableFieldId="5"/>
    <tableColumn id="6" xr3:uid="{D09B6A4A-1CD3-4534-8715-7F79B9A7A78E}" uniqueName="6" name="Regulatory_Adherence_Score" queryTableFieldId="6"/>
    <tableColumn id="7" xr3:uid="{E98C34A1-95F9-41AE-AB94-C275FC666D15}" uniqueName="7" name="Sustainability_Score" queryTableFieldId="7"/>
    <tableColumn id="8" xr3:uid="{6D90719C-4814-46EF-9581-C0E806F4CFB0}" uniqueName="8" name="Past_Risk_Level" queryTableFieldId="8"/>
    <tableColumn id="9" xr3:uid="{FBE5DA50-1634-4B71-844A-A46FDDEEA715}" uniqueName="9" name="ERP_Transactions" queryTableFieldId="9"/>
    <tableColumn id="10" xr3:uid="{191005CF-BEE5-49D4-9B1E-75D4824D36C9}" uniqueName="10" name="Incidents_Count" queryTableFieldId="10"/>
    <tableColumn id="11" xr3:uid="{F016EC84-E8BB-4027-A6B8-A0296141BCF0}" uniqueName="11" name="MCDM_Score" queryTableFieldId="11"/>
    <tableColumn id="12" xr3:uid="{DEED7A25-00AB-4FB4-AB69-CDE6FBC4073F}" uniqueName="12" name="Risk_Category" queryTableFieldId="12" dataDxfId="2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E7F8C99-4C83-4441-B424-5F383A3CCB30}" name="tbl_seller_risk_analysis" displayName="tbl_seller_risk_analysis" ref="A1:AK480" tableType="queryTable" totalsRowShown="0">
  <autoFilter ref="A1:AK480" xr:uid="{CE7F8C99-4C83-4441-B424-5F383A3CCB30}"/>
  <sortState xmlns:xlrd2="http://schemas.microsoft.com/office/spreadsheetml/2017/richdata2" ref="A2:P480">
    <sortCondition ref="B1:B480"/>
  </sortState>
  <tableColumns count="37">
    <tableColumn id="1" xr3:uid="{B01AA561-C91A-49CE-8F60-D66A62D5A37A}" uniqueName="1" name="Seller_ID" queryTableFieldId="1"/>
    <tableColumn id="2" xr3:uid="{EE08B019-2EA2-46CA-B3AC-851A621A7F72}" uniqueName="2" name="Analysis_Year" queryTableFieldId="2"/>
    <tableColumn id="3" xr3:uid="{DA8CF2B4-1B48-47B8-AD4B-CAF96AF9A572}" uniqueName="3" name="Total_Orders" queryTableFieldId="3"/>
    <tableColumn id="4" xr3:uid="{7DFA9E75-4138-4E9A-920C-3DA3D9252490}" uniqueName="4" name="Returned_Orders" queryTableFieldId="4"/>
    <tableColumn id="5" xr3:uid="{42531BD7-0FEA-4D1A-B4C8-225D942C5320}" uniqueName="5" name="Refund_Requests" queryTableFieldId="5"/>
    <tableColumn id="6" xr3:uid="{25671771-9FD4-454D-97F7-52C1B60A3047}" uniqueName="6" name="Refund_Amount" queryTableFieldId="6"/>
    <tableColumn id="7" xr3:uid="{E9B6B63C-55A6-404F-8041-3A696DAACF39}" uniqueName="7" name="Refund_Rate" queryTableFieldId="7"/>
    <tableColumn id="8" xr3:uid="{D737F2C8-DD62-4379-AAD9-BDA592FED364}" uniqueName="8" name="User_Reports_Count" queryTableFieldId="8"/>
    <tableColumn id="9" xr3:uid="{E371C69E-F6D7-463A-AEB7-1521392E04F1}" uniqueName="9" name="Negative_Review_Count" queryTableFieldId="9"/>
    <tableColumn id="10" xr3:uid="{1724CD71-C86D-4CFC-8455-92F5FBE5CA6E}" uniqueName="10" name="Customer_Dispute_Count" queryTableFieldId="10"/>
    <tableColumn id="11" xr3:uid="{80B51E31-9176-46B8-B9CB-32359CB4FFE0}" uniqueName="11" name="Policy_Violation_Count" queryTableFieldId="11"/>
    <tableColumn id="12" xr3:uid="{DAEE41CD-491F-4DC6-9EA8-157F2E244C46}" uniqueName="12" name="Fraud_Flag" queryTableFieldId="12"/>
    <tableColumn id="13" xr3:uid="{6AB4AEB7-B4B1-437C-A756-21CE845C9BC1}" uniqueName="13" name="Fraud_Review_Count" queryTableFieldId="13"/>
    <tableColumn id="14" xr3:uid="{DB6D380D-E7CD-4B2D-B749-16D30AC8E269}" uniqueName="14" name="Escalation_Count" queryTableFieldId="14"/>
    <tableColumn id="15" xr3:uid="{795FC22A-CAEA-4251-A48C-BF65F1619F09}" uniqueName="15" name="Chargeback_Count" queryTableFieldId="15"/>
    <tableColumn id="16" xr3:uid="{758DA461-37C4-4E27-93DF-9186D4E5419E}" uniqueName="16" name="Governance_Action_Status" queryTableFieldId="16" dataDxfId="21"/>
    <tableColumn id="17" xr3:uid="{F8A3BF9A-A746-4166-A7EB-F3A26AA3AEFA}" uniqueName="17" name="Seller_Name" queryTableFieldId="17" dataDxfId="20">
      <calculatedColumnFormula>VLOOKUP(A2,Cleaned_Seller_Master!$A:$H,2,FALSE)</calculatedColumnFormula>
    </tableColumn>
    <tableColumn id="18" xr3:uid="{1D3E11BB-BFBB-467D-A8CC-A17CE76643E1}" uniqueName="18" name="Primary_Category" queryTableFieldId="18" dataDxfId="19">
      <calculatedColumnFormula>VLOOKUP(A2,Cleaned_Seller_Master!$A:$H,4,FALSE)</calculatedColumnFormula>
    </tableColumn>
    <tableColumn id="19" xr3:uid="{345236B5-4909-4FA4-AA23-65BB9E8BE2A7}" uniqueName="19" name="Region" queryTableFieldId="19" dataDxfId="18">
      <calculatedColumnFormula>VLOOKUP(A2,Cleaned_Seller_Master!$A:$H,5,FALSE)</calculatedColumnFormula>
    </tableColumn>
    <tableColumn id="20" xr3:uid="{F5DFCC2E-A0BE-4A2A-AFE0-B170520508B7}" uniqueName="20" name="Marketplace_Tier" queryTableFieldId="20" dataDxfId="17">
      <calculatedColumnFormula>VLOOKUP(A2,Cleaned_Seller_Master!$A:$H,8,FALSE)</calculatedColumnFormula>
    </tableColumn>
    <tableColumn id="21" xr3:uid="{595192B8-B66E-4E54-B581-BE4AE5976085}" uniqueName="21" name="Onboarding_Date" queryTableFieldId="21" dataDxfId="16">
      <calculatedColumnFormula>VLOOKUP(A2,Cleaned_Seller_Master!$A:$H,7,FALSE)</calculatedColumnFormula>
    </tableColumn>
    <tableColumn id="22" xr3:uid="{CEBFEF76-9ACC-4505-B8F9-FD660156DB1F}" uniqueName="22" name="Violation_Count" queryTableFieldId="22" dataDxfId="15">
      <calculatedColumnFormula>IFERROR(INDEX(Violation_Summary_Seller_Year!$C:$C,MATCH(AD2,Violation_Summary_Seller_Year!$K:$K,0)),0)</calculatedColumnFormula>
    </tableColumn>
    <tableColumn id="23" xr3:uid="{E646AC14-0277-4EB6-9A25-F24ED2DB5BDE}" uniqueName="23" name="Total_Penalty_Amount" queryTableFieldId="23" dataDxfId="14">
      <calculatedColumnFormula>IFERROR(INDEX(Violation_Summary_Seller_Year!$D:$D,MATCH(AD2,Violation_Summary_Seller_Year!$K:$K,0)),0)</calculatedColumnFormula>
    </tableColumn>
    <tableColumn id="24" xr3:uid="{EAAB0924-7CEA-41FE-B09C-E930298EF4E0}" uniqueName="24" name="Fraud_Linked_Violation_Count" queryTableFieldId="24" dataDxfId="13">
      <calculatedColumnFormula>IFERROR(INDEX(Violation_Summary_Seller_Year!$E:$E,MATCH(AD2,Violation_Summary_Seller_Year!$K:$K,0)),0)</calculatedColumnFormula>
    </tableColumn>
    <tableColumn id="25" xr3:uid="{B42655B0-1DF5-4A8A-B594-4CBE881B33EF}" uniqueName="25" name="Resolved_Violation_Count" queryTableFieldId="25" dataDxfId="12">
      <calculatedColumnFormula>IFERROR(INDEX(Violation_Summary_Seller_Year!$F:$F,MATCH(AD2,Violation_Summary_Seller_Year!$K:$K,0)),0)</calculatedColumnFormula>
    </tableColumn>
    <tableColumn id="26" xr3:uid="{BFD178AD-E96F-4DEB-80E9-0827EE6883D3}" uniqueName="26" name="Unresolved_Violation_Count" queryTableFieldId="26" dataDxfId="11">
      <calculatedColumnFormula>IFERROR(INDEX(Violation_Summary_Seller_Year!$G:$G,MATCH(AD2,Violation_Summary_Seller_Year!$K:$K,0)),0)</calculatedColumnFormula>
    </tableColumn>
    <tableColumn id="27" xr3:uid="{685463E0-4DF1-4B63-9F55-18D4CDA5277A}" uniqueName="27" name="Critical_High_Severity_Count" queryTableFieldId="27" dataDxfId="10">
      <calculatedColumnFormula>IFERROR(INDEX(Violation_Summary_Seller_Year!$H:$H,MATCH(AD2,Violation_Summary_Seller_Year!$K:$K,0)),0)</calculatedColumnFormula>
    </tableColumn>
    <tableColumn id="28" xr3:uid="{D5FC936F-68EE-4E83-BA6B-E40078ACDBD9}" uniqueName="28" name="Escalated_Open_Violation_Count" queryTableFieldId="28" dataDxfId="9">
      <calculatedColumnFormula>IFERROR(INDEX(Violation_Summary_Seller_Year!$I:$I,MATCH(AD2,Violation_Summary_Seller_Year!$K:$K,0)),0)</calculatedColumnFormula>
    </tableColumn>
    <tableColumn id="29" xr3:uid="{9FAD4FB9-36FC-4913-9A4C-0E80ED0B6C28}" uniqueName="29" name="Affected_Order_Total" queryTableFieldId="29" dataDxfId="8">
      <calculatedColumnFormula>IFERROR(INDEX(Violation_Summary_Seller_Year!$J:$J,MATCH(AD2,Violation_Summary_Seller_Year!$K:$K,0)),0)</calculatedColumnFormula>
    </tableColumn>
    <tableColumn id="30" xr3:uid="{A5E3F903-403B-49DE-8025-AD4A2C4C0AD8}" uniqueName="30" name="Seller_Year_Key" queryTableFieldId="30" dataDxfId="7">
      <calculatedColumnFormula>A2&amp;"_"&amp;B2</calculatedColumnFormula>
    </tableColumn>
    <tableColumn id="31" xr3:uid="{CB768417-AC86-47C2-9E99-31AA965FD265}" uniqueName="31" name="Refund_Risk_Flag" queryTableFieldId="31" dataDxfId="6">
      <calculatedColumnFormula>IF(G2&gt;=0.1,2,IF(G2&gt;=0.05,1,0))</calculatedColumnFormula>
    </tableColumn>
    <tableColumn id="32" xr3:uid="{C96F588D-614F-483D-A72F-61C00CD2A1AB}" uniqueName="32" name="User_Report_Risk_Flag" queryTableFieldId="32" dataDxfId="5">
      <calculatedColumnFormula>IF(H2&gt;=8,2,IF(H2&gt;=4,1,0))</calculatedColumnFormula>
    </tableColumn>
    <tableColumn id="33" xr3:uid="{9C3D1793-E806-488C-8EC4-D2F7C2B8BBCC}" uniqueName="33" name="Violation_Severity_Flag" queryTableFieldId="33" dataDxfId="4">
      <calculatedColumnFormula>IF(OR(AA2&gt;=2,V2&gt;=5),2,IF(OR(AA2&gt;=1,V2&gt;=2),1,0))</calculatedColumnFormula>
    </tableColumn>
    <tableColumn id="34" xr3:uid="{EBB3E030-34F2-4B53-BD1B-5B1C561674ED}" uniqueName="34" name="Fraud_Concern_Flag" queryTableFieldId="34" dataDxfId="3">
      <calculatedColumnFormula>IF(OR(L2=1,X2&gt;=2),2,IF(X2&gt;=1,1,0))</calculatedColumnFormula>
    </tableColumn>
    <tableColumn id="35" xr3:uid="{0195C687-A985-4156-B4CB-9E50896DD43B}" uniqueName="35" name="Governance_Action_Severity_Flag" queryTableFieldId="35" dataDxfId="2">
      <calculatedColumnFormula>IF(OR(P2="Suspended",P2="Blocked"),2,IF(OR(P2="Under Review",P2="Warning",P2="Review Required",P2="Restricted",P2="Watchlist"),1,0))</calculatedColumnFormula>
    </tableColumn>
    <tableColumn id="36" xr3:uid="{0D4D30CA-4371-4FD4-8778-E05E7DBB0315}" uniqueName="36" name="Overall_Risk_Score" queryTableFieldId="36" dataDxfId="1">
      <calculatedColumnFormula>(AE2*25)+(AF2*25)+(AG2*20)+(AH2*20)+(AI2*10)</calculatedColumnFormula>
    </tableColumn>
    <tableColumn id="37" xr3:uid="{41E98262-55CC-4152-97D3-3230C9D337E7}" uniqueName="37" name="Final_Seller_Risk" queryTableFieldId="37" dataDxfId="0">
      <calculatedColumnFormula>IF(AJ2&gt;=120,"High",IF(AJ2&gt;=60,"Medium","Low"))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8.xml"/><Relationship Id="rId7"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1.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27B20-7829-43B4-87DB-4CA4E233FF3A}">
  <dimension ref="A1:K480"/>
  <sheetViews>
    <sheetView tabSelected="1" workbookViewId="0"/>
  </sheetViews>
  <sheetFormatPr defaultRowHeight="14.4" x14ac:dyDescent="0.3"/>
  <cols>
    <col min="1" max="1" width="10.5546875" bestFit="1" customWidth="1"/>
    <col min="2" max="2" width="14.6640625" bestFit="1" customWidth="1"/>
    <col min="3" max="3" width="17" bestFit="1" customWidth="1"/>
    <col min="4" max="4" width="22.88671875" bestFit="1" customWidth="1"/>
    <col min="5" max="5" width="29.6640625" bestFit="1" customWidth="1"/>
    <col min="6" max="6" width="25.77734375" bestFit="1" customWidth="1"/>
    <col min="7" max="7" width="27.88671875" bestFit="1" customWidth="1"/>
    <col min="8" max="8" width="28" bestFit="1" customWidth="1"/>
    <col min="9" max="9" width="31.88671875" bestFit="1" customWidth="1"/>
    <col min="10" max="10" width="21.6640625" bestFit="1" customWidth="1"/>
    <col min="11" max="11" width="16.6640625" bestFit="1" customWidth="1"/>
  </cols>
  <sheetData>
    <row r="1" spans="1:11" x14ac:dyDescent="0.3">
      <c r="A1" t="s">
        <v>14</v>
      </c>
      <c r="B1" t="s">
        <v>1957</v>
      </c>
      <c r="C1" t="s">
        <v>1958</v>
      </c>
      <c r="D1" t="s">
        <v>1959</v>
      </c>
      <c r="E1" t="s">
        <v>1960</v>
      </c>
      <c r="F1" t="s">
        <v>1961</v>
      </c>
      <c r="G1" t="s">
        <v>1962</v>
      </c>
      <c r="H1" t="s">
        <v>1963</v>
      </c>
      <c r="I1" t="s">
        <v>1964</v>
      </c>
      <c r="J1" t="s">
        <v>1965</v>
      </c>
      <c r="K1" t="s">
        <v>1966</v>
      </c>
    </row>
    <row r="2" spans="1:11" x14ac:dyDescent="0.3">
      <c r="A2">
        <v>1</v>
      </c>
      <c r="B2">
        <v>2021</v>
      </c>
      <c r="C2">
        <v>2</v>
      </c>
      <c r="D2">
        <v>3866.18</v>
      </c>
      <c r="E2">
        <v>1</v>
      </c>
      <c r="F2">
        <v>0</v>
      </c>
      <c r="G2">
        <v>2</v>
      </c>
      <c r="H2">
        <v>2</v>
      </c>
      <c r="I2">
        <v>2</v>
      </c>
      <c r="J2">
        <v>21</v>
      </c>
      <c r="K2" t="str">
        <f t="shared" ref="K2:K65" si="0">A2&amp;"_"&amp;B2</f>
        <v>1_2021</v>
      </c>
    </row>
    <row r="3" spans="1:11" x14ac:dyDescent="0.3">
      <c r="A3">
        <v>1</v>
      </c>
      <c r="B3">
        <v>2022</v>
      </c>
      <c r="C3">
        <v>6</v>
      </c>
      <c r="D3">
        <v>18392.100000000006</v>
      </c>
      <c r="E3">
        <v>6</v>
      </c>
      <c r="F3">
        <v>2</v>
      </c>
      <c r="G3">
        <v>4</v>
      </c>
      <c r="H3">
        <v>5</v>
      </c>
      <c r="I3">
        <v>2</v>
      </c>
      <c r="J3">
        <v>51</v>
      </c>
      <c r="K3" t="str">
        <f>A3&amp;"_"&amp;B3</f>
        <v>1_2022</v>
      </c>
    </row>
    <row r="4" spans="1:11" x14ac:dyDescent="0.3">
      <c r="A4">
        <v>1</v>
      </c>
      <c r="B4">
        <v>2023</v>
      </c>
      <c r="C4">
        <v>2</v>
      </c>
      <c r="D4">
        <v>1097.6500000000001</v>
      </c>
      <c r="E4">
        <v>0</v>
      </c>
      <c r="F4">
        <v>1</v>
      </c>
      <c r="G4">
        <v>1</v>
      </c>
      <c r="H4">
        <v>0</v>
      </c>
      <c r="I4">
        <v>0</v>
      </c>
      <c r="J4">
        <v>5</v>
      </c>
      <c r="K4" t="str">
        <f t="shared" si="0"/>
        <v>1_2023</v>
      </c>
    </row>
    <row r="5" spans="1:11" x14ac:dyDescent="0.3">
      <c r="A5">
        <v>1</v>
      </c>
      <c r="B5">
        <v>2024</v>
      </c>
      <c r="C5">
        <v>1</v>
      </c>
      <c r="D5">
        <v>1362.14</v>
      </c>
      <c r="E5">
        <v>0</v>
      </c>
      <c r="F5">
        <v>0</v>
      </c>
      <c r="G5">
        <v>1</v>
      </c>
      <c r="H5">
        <v>0</v>
      </c>
      <c r="I5">
        <v>0</v>
      </c>
      <c r="J5">
        <v>5</v>
      </c>
      <c r="K5" t="str">
        <f t="shared" si="0"/>
        <v>1_2024</v>
      </c>
    </row>
    <row r="6" spans="1:11" x14ac:dyDescent="0.3">
      <c r="A6">
        <v>1</v>
      </c>
      <c r="B6">
        <v>2025</v>
      </c>
      <c r="C6">
        <v>5</v>
      </c>
      <c r="D6">
        <v>17489.86</v>
      </c>
      <c r="E6">
        <v>4</v>
      </c>
      <c r="F6">
        <v>1</v>
      </c>
      <c r="G6">
        <v>4</v>
      </c>
      <c r="H6">
        <v>4</v>
      </c>
      <c r="I6">
        <v>1</v>
      </c>
      <c r="J6">
        <v>33</v>
      </c>
      <c r="K6" t="str">
        <f t="shared" si="0"/>
        <v>1_2025</v>
      </c>
    </row>
    <row r="7" spans="1:11" x14ac:dyDescent="0.3">
      <c r="A7">
        <v>2</v>
      </c>
      <c r="B7">
        <v>2021</v>
      </c>
      <c r="C7">
        <v>6</v>
      </c>
      <c r="D7">
        <v>9238.5500000000011</v>
      </c>
      <c r="E7">
        <v>5</v>
      </c>
      <c r="F7">
        <v>5</v>
      </c>
      <c r="G7">
        <v>1</v>
      </c>
      <c r="H7">
        <v>3</v>
      </c>
      <c r="I7">
        <v>2</v>
      </c>
      <c r="J7">
        <v>80</v>
      </c>
      <c r="K7" t="str">
        <f t="shared" si="0"/>
        <v>2_2021</v>
      </c>
    </row>
    <row r="8" spans="1:11" x14ac:dyDescent="0.3">
      <c r="A8">
        <v>2</v>
      </c>
      <c r="B8">
        <v>2022</v>
      </c>
      <c r="C8">
        <v>3</v>
      </c>
      <c r="D8">
        <v>5559.2999999999993</v>
      </c>
      <c r="E8">
        <v>0</v>
      </c>
      <c r="F8">
        <v>2</v>
      </c>
      <c r="G8">
        <v>1</v>
      </c>
      <c r="H8">
        <v>2</v>
      </c>
      <c r="I8">
        <v>2</v>
      </c>
      <c r="J8">
        <v>29</v>
      </c>
      <c r="K8" t="str">
        <f t="shared" si="0"/>
        <v>2_2022</v>
      </c>
    </row>
    <row r="9" spans="1:11" x14ac:dyDescent="0.3">
      <c r="A9">
        <v>2</v>
      </c>
      <c r="B9">
        <v>2023</v>
      </c>
      <c r="C9">
        <v>6</v>
      </c>
      <c r="D9">
        <v>17782.71</v>
      </c>
      <c r="E9">
        <v>5</v>
      </c>
      <c r="F9">
        <v>4</v>
      </c>
      <c r="G9">
        <v>2</v>
      </c>
      <c r="H9">
        <v>5</v>
      </c>
      <c r="I9">
        <v>3</v>
      </c>
      <c r="J9">
        <v>43</v>
      </c>
      <c r="K9" t="str">
        <f t="shared" si="0"/>
        <v>2_2023</v>
      </c>
    </row>
    <row r="10" spans="1:11" x14ac:dyDescent="0.3">
      <c r="A10">
        <v>2</v>
      </c>
      <c r="B10">
        <v>2024</v>
      </c>
      <c r="C10">
        <v>4</v>
      </c>
      <c r="D10">
        <v>4292.62</v>
      </c>
      <c r="E10">
        <v>0</v>
      </c>
      <c r="F10">
        <v>2</v>
      </c>
      <c r="G10">
        <v>2</v>
      </c>
      <c r="H10">
        <v>2</v>
      </c>
      <c r="I10">
        <v>1</v>
      </c>
      <c r="J10">
        <v>20</v>
      </c>
      <c r="K10" t="str">
        <f t="shared" si="0"/>
        <v>2_2024</v>
      </c>
    </row>
    <row r="11" spans="1:11" x14ac:dyDescent="0.3">
      <c r="A11">
        <v>2</v>
      </c>
      <c r="B11">
        <v>2025</v>
      </c>
      <c r="C11">
        <v>1</v>
      </c>
      <c r="D11">
        <v>2596.4</v>
      </c>
      <c r="E11">
        <v>0</v>
      </c>
      <c r="F11">
        <v>1</v>
      </c>
      <c r="G11">
        <v>0</v>
      </c>
      <c r="H11">
        <v>1</v>
      </c>
      <c r="I11">
        <v>0</v>
      </c>
      <c r="J11">
        <v>11</v>
      </c>
      <c r="K11" t="str">
        <f t="shared" si="0"/>
        <v>2_2025</v>
      </c>
    </row>
    <row r="12" spans="1:11" x14ac:dyDescent="0.3">
      <c r="A12">
        <v>3</v>
      </c>
      <c r="B12">
        <v>2021</v>
      </c>
      <c r="C12">
        <v>6</v>
      </c>
      <c r="D12">
        <v>17324.54</v>
      </c>
      <c r="E12">
        <v>4</v>
      </c>
      <c r="F12">
        <v>3</v>
      </c>
      <c r="G12">
        <v>3</v>
      </c>
      <c r="H12">
        <v>6</v>
      </c>
      <c r="I12">
        <v>5</v>
      </c>
      <c r="J12">
        <v>47</v>
      </c>
      <c r="K12" t="str">
        <f t="shared" si="0"/>
        <v>3_2021</v>
      </c>
    </row>
    <row r="13" spans="1:11" x14ac:dyDescent="0.3">
      <c r="A13">
        <v>3</v>
      </c>
      <c r="B13">
        <v>2022</v>
      </c>
      <c r="C13">
        <v>6</v>
      </c>
      <c r="D13">
        <v>15055.120000000003</v>
      </c>
      <c r="E13">
        <v>3</v>
      </c>
      <c r="F13">
        <v>4</v>
      </c>
      <c r="G13">
        <v>2</v>
      </c>
      <c r="H13">
        <v>3</v>
      </c>
      <c r="I13">
        <v>2</v>
      </c>
      <c r="J13">
        <v>34</v>
      </c>
      <c r="K13" t="str">
        <f t="shared" si="0"/>
        <v>3_2022</v>
      </c>
    </row>
    <row r="14" spans="1:11" x14ac:dyDescent="0.3">
      <c r="A14">
        <v>3</v>
      </c>
      <c r="B14">
        <v>2023</v>
      </c>
      <c r="C14">
        <v>4</v>
      </c>
      <c r="D14">
        <v>16711.96</v>
      </c>
      <c r="E14">
        <v>3</v>
      </c>
      <c r="F14">
        <v>2</v>
      </c>
      <c r="G14">
        <v>2</v>
      </c>
      <c r="H14">
        <v>4</v>
      </c>
      <c r="I14">
        <v>2</v>
      </c>
      <c r="J14">
        <v>42</v>
      </c>
      <c r="K14" t="str">
        <f t="shared" si="0"/>
        <v>3_2023</v>
      </c>
    </row>
    <row r="15" spans="1:11" x14ac:dyDescent="0.3">
      <c r="A15">
        <v>3</v>
      </c>
      <c r="B15">
        <v>2024</v>
      </c>
      <c r="C15">
        <v>6</v>
      </c>
      <c r="D15">
        <v>15444.659999999998</v>
      </c>
      <c r="E15">
        <v>4</v>
      </c>
      <c r="F15">
        <v>5</v>
      </c>
      <c r="G15">
        <v>1</v>
      </c>
      <c r="H15">
        <v>6</v>
      </c>
      <c r="I15">
        <v>3</v>
      </c>
      <c r="J15">
        <v>64</v>
      </c>
      <c r="K15" t="str">
        <f t="shared" si="0"/>
        <v>3_2024</v>
      </c>
    </row>
    <row r="16" spans="1:11" x14ac:dyDescent="0.3">
      <c r="A16">
        <v>3</v>
      </c>
      <c r="B16">
        <v>2025</v>
      </c>
      <c r="C16">
        <v>4</v>
      </c>
      <c r="D16">
        <v>10178.009999999998</v>
      </c>
      <c r="E16">
        <v>1</v>
      </c>
      <c r="F16">
        <v>1</v>
      </c>
      <c r="G16">
        <v>3</v>
      </c>
      <c r="H16">
        <v>3</v>
      </c>
      <c r="I16">
        <v>1</v>
      </c>
      <c r="J16">
        <v>43</v>
      </c>
      <c r="K16" t="str">
        <f t="shared" si="0"/>
        <v>3_2025</v>
      </c>
    </row>
    <row r="17" spans="1:11" x14ac:dyDescent="0.3">
      <c r="A17">
        <v>4</v>
      </c>
      <c r="B17">
        <v>2021</v>
      </c>
      <c r="C17">
        <v>5</v>
      </c>
      <c r="D17">
        <v>17378.91</v>
      </c>
      <c r="E17">
        <v>3</v>
      </c>
      <c r="F17">
        <v>2</v>
      </c>
      <c r="G17">
        <v>3</v>
      </c>
      <c r="H17">
        <v>5</v>
      </c>
      <c r="I17">
        <v>3</v>
      </c>
      <c r="J17">
        <v>48</v>
      </c>
      <c r="K17" t="str">
        <f t="shared" si="0"/>
        <v>4_2021</v>
      </c>
    </row>
    <row r="18" spans="1:11" x14ac:dyDescent="0.3">
      <c r="A18">
        <v>4</v>
      </c>
      <c r="B18">
        <v>2022</v>
      </c>
      <c r="C18">
        <v>4</v>
      </c>
      <c r="D18">
        <v>12021.630000000001</v>
      </c>
      <c r="E18">
        <v>1</v>
      </c>
      <c r="F18">
        <v>2</v>
      </c>
      <c r="G18">
        <v>2</v>
      </c>
      <c r="H18">
        <v>2</v>
      </c>
      <c r="I18">
        <v>1</v>
      </c>
      <c r="J18">
        <v>12</v>
      </c>
      <c r="K18" t="str">
        <f t="shared" si="0"/>
        <v>4_2022</v>
      </c>
    </row>
    <row r="19" spans="1:11" x14ac:dyDescent="0.3">
      <c r="A19">
        <v>4</v>
      </c>
      <c r="B19">
        <v>2023</v>
      </c>
      <c r="C19">
        <v>4</v>
      </c>
      <c r="D19">
        <v>18273.79</v>
      </c>
      <c r="E19">
        <v>3</v>
      </c>
      <c r="F19">
        <v>4</v>
      </c>
      <c r="G19">
        <v>0</v>
      </c>
      <c r="H19">
        <v>4</v>
      </c>
      <c r="I19">
        <v>2</v>
      </c>
      <c r="J19">
        <v>31</v>
      </c>
      <c r="K19" t="str">
        <f t="shared" si="0"/>
        <v>4_2023</v>
      </c>
    </row>
    <row r="20" spans="1:11" x14ac:dyDescent="0.3">
      <c r="A20">
        <v>4</v>
      </c>
      <c r="B20">
        <v>2024</v>
      </c>
      <c r="C20">
        <v>2</v>
      </c>
      <c r="D20">
        <v>810.68</v>
      </c>
      <c r="E20">
        <v>1</v>
      </c>
      <c r="F20">
        <v>1</v>
      </c>
      <c r="G20">
        <v>1</v>
      </c>
      <c r="H20">
        <v>0</v>
      </c>
      <c r="I20">
        <v>0</v>
      </c>
      <c r="J20">
        <v>21</v>
      </c>
      <c r="K20" t="str">
        <f t="shared" si="0"/>
        <v>4_2024</v>
      </c>
    </row>
    <row r="21" spans="1:11" x14ac:dyDescent="0.3">
      <c r="A21">
        <v>4</v>
      </c>
      <c r="B21">
        <v>2025</v>
      </c>
      <c r="C21">
        <v>6</v>
      </c>
      <c r="D21">
        <v>28218.07</v>
      </c>
      <c r="E21">
        <v>5</v>
      </c>
      <c r="F21">
        <v>3</v>
      </c>
      <c r="G21">
        <v>3</v>
      </c>
      <c r="H21">
        <v>4</v>
      </c>
      <c r="I21">
        <v>4</v>
      </c>
      <c r="J21">
        <v>53</v>
      </c>
      <c r="K21" t="str">
        <f t="shared" si="0"/>
        <v>4_2025</v>
      </c>
    </row>
    <row r="22" spans="1:11" x14ac:dyDescent="0.3">
      <c r="A22">
        <v>5</v>
      </c>
      <c r="B22">
        <v>2021</v>
      </c>
      <c r="C22">
        <v>4</v>
      </c>
      <c r="D22">
        <v>11543.59</v>
      </c>
      <c r="E22">
        <v>2</v>
      </c>
      <c r="F22">
        <v>3</v>
      </c>
      <c r="G22">
        <v>1</v>
      </c>
      <c r="H22">
        <v>3</v>
      </c>
      <c r="I22">
        <v>0</v>
      </c>
      <c r="J22">
        <v>43</v>
      </c>
      <c r="K22" t="str">
        <f t="shared" si="0"/>
        <v>5_2021</v>
      </c>
    </row>
    <row r="23" spans="1:11" x14ac:dyDescent="0.3">
      <c r="A23">
        <v>5</v>
      </c>
      <c r="B23">
        <v>2022</v>
      </c>
      <c r="C23">
        <v>3</v>
      </c>
      <c r="D23">
        <v>7177.72</v>
      </c>
      <c r="E23">
        <v>0</v>
      </c>
      <c r="F23">
        <v>2</v>
      </c>
      <c r="G23">
        <v>1</v>
      </c>
      <c r="H23">
        <v>2</v>
      </c>
      <c r="I23">
        <v>1</v>
      </c>
      <c r="J23">
        <v>17</v>
      </c>
      <c r="K23" t="str">
        <f t="shared" si="0"/>
        <v>5_2022</v>
      </c>
    </row>
    <row r="24" spans="1:11" x14ac:dyDescent="0.3">
      <c r="A24">
        <v>5</v>
      </c>
      <c r="B24">
        <v>2023</v>
      </c>
      <c r="C24">
        <v>3</v>
      </c>
      <c r="D24">
        <v>9065.7099999999991</v>
      </c>
      <c r="E24">
        <v>3</v>
      </c>
      <c r="F24">
        <v>1</v>
      </c>
      <c r="G24">
        <v>2</v>
      </c>
      <c r="H24">
        <v>3</v>
      </c>
      <c r="I24">
        <v>2</v>
      </c>
      <c r="J24">
        <v>28</v>
      </c>
      <c r="K24" t="str">
        <f t="shared" si="0"/>
        <v>5_2023</v>
      </c>
    </row>
    <row r="25" spans="1:11" x14ac:dyDescent="0.3">
      <c r="A25">
        <v>5</v>
      </c>
      <c r="B25">
        <v>2024</v>
      </c>
      <c r="C25">
        <v>4</v>
      </c>
      <c r="D25">
        <v>9883.9</v>
      </c>
      <c r="E25">
        <v>0</v>
      </c>
      <c r="F25">
        <v>1</v>
      </c>
      <c r="G25">
        <v>3</v>
      </c>
      <c r="H25">
        <v>1</v>
      </c>
      <c r="I25">
        <v>2</v>
      </c>
      <c r="J25">
        <v>29</v>
      </c>
      <c r="K25" t="str">
        <f t="shared" si="0"/>
        <v>5_2024</v>
      </c>
    </row>
    <row r="26" spans="1:11" x14ac:dyDescent="0.3">
      <c r="A26">
        <v>5</v>
      </c>
      <c r="B26">
        <v>2025</v>
      </c>
      <c r="C26">
        <v>5</v>
      </c>
      <c r="D26">
        <v>13011.56</v>
      </c>
      <c r="E26">
        <v>2</v>
      </c>
      <c r="F26">
        <v>3</v>
      </c>
      <c r="G26">
        <v>2</v>
      </c>
      <c r="H26">
        <v>4</v>
      </c>
      <c r="I26">
        <v>2</v>
      </c>
      <c r="J26">
        <v>38</v>
      </c>
      <c r="K26" t="str">
        <f t="shared" si="0"/>
        <v>5_2025</v>
      </c>
    </row>
    <row r="27" spans="1:11" x14ac:dyDescent="0.3">
      <c r="A27">
        <v>6</v>
      </c>
      <c r="B27">
        <v>2021</v>
      </c>
      <c r="C27">
        <v>2</v>
      </c>
      <c r="D27">
        <v>1782.84</v>
      </c>
      <c r="E27">
        <v>0</v>
      </c>
      <c r="F27">
        <v>1</v>
      </c>
      <c r="G27">
        <v>1</v>
      </c>
      <c r="H27">
        <v>0</v>
      </c>
      <c r="I27">
        <v>1</v>
      </c>
      <c r="J27">
        <v>7</v>
      </c>
      <c r="K27" t="str">
        <f t="shared" si="0"/>
        <v>6_2021</v>
      </c>
    </row>
    <row r="28" spans="1:11" x14ac:dyDescent="0.3">
      <c r="A28">
        <v>6</v>
      </c>
      <c r="B28">
        <v>2022</v>
      </c>
      <c r="C28">
        <v>3</v>
      </c>
      <c r="D28">
        <v>9649.93</v>
      </c>
      <c r="E28">
        <v>3</v>
      </c>
      <c r="F28">
        <v>1</v>
      </c>
      <c r="G28">
        <v>2</v>
      </c>
      <c r="H28">
        <v>2</v>
      </c>
      <c r="I28">
        <v>2</v>
      </c>
      <c r="J28">
        <v>28</v>
      </c>
      <c r="K28" t="str">
        <f t="shared" si="0"/>
        <v>6_2022</v>
      </c>
    </row>
    <row r="29" spans="1:11" x14ac:dyDescent="0.3">
      <c r="A29">
        <v>6</v>
      </c>
      <c r="B29">
        <v>2023</v>
      </c>
      <c r="C29">
        <v>6</v>
      </c>
      <c r="D29">
        <v>11785.35</v>
      </c>
      <c r="E29">
        <v>3</v>
      </c>
      <c r="F29">
        <v>4</v>
      </c>
      <c r="G29">
        <v>2</v>
      </c>
      <c r="H29">
        <v>3</v>
      </c>
      <c r="I29">
        <v>2</v>
      </c>
      <c r="J29">
        <v>74</v>
      </c>
      <c r="K29" t="str">
        <f t="shared" si="0"/>
        <v>6_2023</v>
      </c>
    </row>
    <row r="30" spans="1:11" x14ac:dyDescent="0.3">
      <c r="A30">
        <v>6</v>
      </c>
      <c r="B30">
        <v>2024</v>
      </c>
      <c r="C30">
        <v>3</v>
      </c>
      <c r="D30">
        <v>2094.23</v>
      </c>
      <c r="E30">
        <v>0</v>
      </c>
      <c r="F30">
        <v>2</v>
      </c>
      <c r="G30">
        <v>1</v>
      </c>
      <c r="H30">
        <v>0</v>
      </c>
      <c r="I30">
        <v>0</v>
      </c>
      <c r="J30">
        <v>11</v>
      </c>
      <c r="K30" t="str">
        <f t="shared" si="0"/>
        <v>6_2024</v>
      </c>
    </row>
    <row r="31" spans="1:11" x14ac:dyDescent="0.3">
      <c r="A31">
        <v>6</v>
      </c>
      <c r="B31">
        <v>2025</v>
      </c>
      <c r="C31">
        <v>6</v>
      </c>
      <c r="D31">
        <v>17338.38</v>
      </c>
      <c r="E31">
        <v>5</v>
      </c>
      <c r="F31">
        <v>4</v>
      </c>
      <c r="G31">
        <v>2</v>
      </c>
      <c r="H31">
        <v>6</v>
      </c>
      <c r="I31">
        <v>2</v>
      </c>
      <c r="J31">
        <v>63</v>
      </c>
      <c r="K31" t="str">
        <f t="shared" si="0"/>
        <v>6_2025</v>
      </c>
    </row>
    <row r="32" spans="1:11" x14ac:dyDescent="0.3">
      <c r="A32">
        <v>7</v>
      </c>
      <c r="B32">
        <v>2021</v>
      </c>
      <c r="C32">
        <v>4</v>
      </c>
      <c r="D32">
        <v>16370.74</v>
      </c>
      <c r="E32">
        <v>1</v>
      </c>
      <c r="F32">
        <v>2</v>
      </c>
      <c r="G32">
        <v>2</v>
      </c>
      <c r="H32">
        <v>4</v>
      </c>
      <c r="I32">
        <v>2</v>
      </c>
      <c r="J32">
        <v>35</v>
      </c>
      <c r="K32" t="str">
        <f t="shared" si="0"/>
        <v>7_2021</v>
      </c>
    </row>
    <row r="33" spans="1:11" x14ac:dyDescent="0.3">
      <c r="A33">
        <v>7</v>
      </c>
      <c r="B33">
        <v>2022</v>
      </c>
      <c r="C33">
        <v>5</v>
      </c>
      <c r="D33">
        <v>7328.2899999999991</v>
      </c>
      <c r="E33">
        <v>3</v>
      </c>
      <c r="F33">
        <v>2</v>
      </c>
      <c r="G33">
        <v>3</v>
      </c>
      <c r="H33">
        <v>4</v>
      </c>
      <c r="I33">
        <v>2</v>
      </c>
      <c r="J33">
        <v>32</v>
      </c>
      <c r="K33" t="str">
        <f t="shared" si="0"/>
        <v>7_2022</v>
      </c>
    </row>
    <row r="34" spans="1:11" x14ac:dyDescent="0.3">
      <c r="A34">
        <v>7</v>
      </c>
      <c r="B34">
        <v>2023</v>
      </c>
      <c r="C34">
        <v>6</v>
      </c>
      <c r="D34">
        <v>15688.740000000002</v>
      </c>
      <c r="E34">
        <v>1</v>
      </c>
      <c r="F34">
        <v>4</v>
      </c>
      <c r="G34">
        <v>2</v>
      </c>
      <c r="H34">
        <v>4</v>
      </c>
      <c r="I34">
        <v>1</v>
      </c>
      <c r="J34">
        <v>64</v>
      </c>
      <c r="K34" t="str">
        <f t="shared" si="0"/>
        <v>7_2023</v>
      </c>
    </row>
    <row r="35" spans="1:11" x14ac:dyDescent="0.3">
      <c r="A35">
        <v>7</v>
      </c>
      <c r="B35">
        <v>2024</v>
      </c>
      <c r="C35">
        <v>1</v>
      </c>
      <c r="D35">
        <v>838.12</v>
      </c>
      <c r="E35">
        <v>0</v>
      </c>
      <c r="F35">
        <v>1</v>
      </c>
      <c r="G35">
        <v>0</v>
      </c>
      <c r="H35">
        <v>0</v>
      </c>
      <c r="I35">
        <v>0</v>
      </c>
      <c r="J35">
        <v>1</v>
      </c>
      <c r="K35" t="str">
        <f t="shared" si="0"/>
        <v>7_2024</v>
      </c>
    </row>
    <row r="36" spans="1:11" x14ac:dyDescent="0.3">
      <c r="A36">
        <v>7</v>
      </c>
      <c r="B36">
        <v>2025</v>
      </c>
      <c r="C36">
        <v>1</v>
      </c>
      <c r="D36">
        <v>335.49</v>
      </c>
      <c r="E36">
        <v>0</v>
      </c>
      <c r="F36">
        <v>1</v>
      </c>
      <c r="G36">
        <v>0</v>
      </c>
      <c r="H36">
        <v>0</v>
      </c>
      <c r="I36">
        <v>0</v>
      </c>
      <c r="J36">
        <v>9</v>
      </c>
      <c r="K36" t="str">
        <f t="shared" si="0"/>
        <v>7_2025</v>
      </c>
    </row>
    <row r="37" spans="1:11" x14ac:dyDescent="0.3">
      <c r="A37">
        <v>8</v>
      </c>
      <c r="B37">
        <v>2021</v>
      </c>
      <c r="C37">
        <v>5</v>
      </c>
      <c r="D37">
        <v>11161.78</v>
      </c>
      <c r="E37">
        <v>3</v>
      </c>
      <c r="F37">
        <v>1</v>
      </c>
      <c r="G37">
        <v>4</v>
      </c>
      <c r="H37">
        <v>4</v>
      </c>
      <c r="I37">
        <v>4</v>
      </c>
      <c r="J37">
        <v>37</v>
      </c>
      <c r="K37" t="str">
        <f t="shared" si="0"/>
        <v>8_2021</v>
      </c>
    </row>
    <row r="38" spans="1:11" x14ac:dyDescent="0.3">
      <c r="A38">
        <v>8</v>
      </c>
      <c r="B38">
        <v>2022</v>
      </c>
      <c r="C38">
        <v>3</v>
      </c>
      <c r="D38">
        <v>4684.1099999999997</v>
      </c>
      <c r="E38">
        <v>0</v>
      </c>
      <c r="F38">
        <v>2</v>
      </c>
      <c r="G38">
        <v>1</v>
      </c>
      <c r="H38">
        <v>2</v>
      </c>
      <c r="I38">
        <v>2</v>
      </c>
      <c r="J38">
        <v>24</v>
      </c>
      <c r="K38" t="str">
        <f t="shared" si="0"/>
        <v>8_2022</v>
      </c>
    </row>
    <row r="39" spans="1:11" x14ac:dyDescent="0.3">
      <c r="A39">
        <v>8</v>
      </c>
      <c r="B39">
        <v>2023</v>
      </c>
      <c r="C39">
        <v>5</v>
      </c>
      <c r="D39">
        <v>9425.5500000000011</v>
      </c>
      <c r="E39">
        <v>3</v>
      </c>
      <c r="F39">
        <v>2</v>
      </c>
      <c r="G39">
        <v>3</v>
      </c>
      <c r="H39">
        <v>4</v>
      </c>
      <c r="I39">
        <v>3</v>
      </c>
      <c r="J39">
        <v>43</v>
      </c>
      <c r="K39" t="str">
        <f t="shared" si="0"/>
        <v>8_2023</v>
      </c>
    </row>
    <row r="40" spans="1:11" x14ac:dyDescent="0.3">
      <c r="A40">
        <v>8</v>
      </c>
      <c r="B40">
        <v>2024</v>
      </c>
      <c r="C40">
        <v>5</v>
      </c>
      <c r="D40">
        <v>14535.04</v>
      </c>
      <c r="E40">
        <v>2</v>
      </c>
      <c r="F40">
        <v>4</v>
      </c>
      <c r="G40">
        <v>1</v>
      </c>
      <c r="H40">
        <v>3</v>
      </c>
      <c r="I40">
        <v>1</v>
      </c>
      <c r="J40">
        <v>46</v>
      </c>
      <c r="K40" t="str">
        <f t="shared" si="0"/>
        <v>8_2024</v>
      </c>
    </row>
    <row r="41" spans="1:11" x14ac:dyDescent="0.3">
      <c r="A41">
        <v>9</v>
      </c>
      <c r="B41">
        <v>2021</v>
      </c>
      <c r="C41">
        <v>1</v>
      </c>
      <c r="D41">
        <v>1102.52</v>
      </c>
      <c r="E41">
        <v>0</v>
      </c>
      <c r="F41">
        <v>1</v>
      </c>
      <c r="G41">
        <v>0</v>
      </c>
      <c r="H41">
        <v>0</v>
      </c>
      <c r="I41">
        <v>0</v>
      </c>
      <c r="J41">
        <v>5</v>
      </c>
      <c r="K41" t="str">
        <f t="shared" si="0"/>
        <v>9_2021</v>
      </c>
    </row>
    <row r="42" spans="1:11" x14ac:dyDescent="0.3">
      <c r="A42">
        <v>9</v>
      </c>
      <c r="B42">
        <v>2022</v>
      </c>
      <c r="C42">
        <v>5</v>
      </c>
      <c r="D42">
        <v>9868.15</v>
      </c>
      <c r="E42">
        <v>3</v>
      </c>
      <c r="F42">
        <v>2</v>
      </c>
      <c r="G42">
        <v>3</v>
      </c>
      <c r="H42">
        <v>4</v>
      </c>
      <c r="I42">
        <v>3</v>
      </c>
      <c r="J42">
        <v>57</v>
      </c>
      <c r="K42" t="str">
        <f t="shared" si="0"/>
        <v>9_2022</v>
      </c>
    </row>
    <row r="43" spans="1:11" x14ac:dyDescent="0.3">
      <c r="A43">
        <v>9</v>
      </c>
      <c r="B43">
        <v>2023</v>
      </c>
      <c r="C43">
        <v>4</v>
      </c>
      <c r="D43">
        <v>7698.8099999999995</v>
      </c>
      <c r="E43">
        <v>0</v>
      </c>
      <c r="F43">
        <v>0</v>
      </c>
      <c r="G43">
        <v>4</v>
      </c>
      <c r="H43">
        <v>4</v>
      </c>
      <c r="I43">
        <v>3</v>
      </c>
      <c r="J43">
        <v>42</v>
      </c>
      <c r="K43" t="str">
        <f t="shared" si="0"/>
        <v>9_2023</v>
      </c>
    </row>
    <row r="44" spans="1:11" x14ac:dyDescent="0.3">
      <c r="A44">
        <v>9</v>
      </c>
      <c r="B44">
        <v>2024</v>
      </c>
      <c r="C44">
        <v>2</v>
      </c>
      <c r="D44">
        <v>2341.4699999999998</v>
      </c>
      <c r="E44">
        <v>0</v>
      </c>
      <c r="F44">
        <v>2</v>
      </c>
      <c r="G44">
        <v>0</v>
      </c>
      <c r="H44">
        <v>1</v>
      </c>
      <c r="I44">
        <v>0</v>
      </c>
      <c r="J44">
        <v>23</v>
      </c>
      <c r="K44" t="str">
        <f t="shared" si="0"/>
        <v>9_2024</v>
      </c>
    </row>
    <row r="45" spans="1:11" x14ac:dyDescent="0.3">
      <c r="A45">
        <v>9</v>
      </c>
      <c r="B45">
        <v>2025</v>
      </c>
      <c r="C45">
        <v>6</v>
      </c>
      <c r="D45">
        <v>14474.710000000001</v>
      </c>
      <c r="E45">
        <v>5</v>
      </c>
      <c r="F45">
        <v>1</v>
      </c>
      <c r="G45">
        <v>5</v>
      </c>
      <c r="H45">
        <v>4</v>
      </c>
      <c r="I45">
        <v>5</v>
      </c>
      <c r="J45">
        <v>74</v>
      </c>
      <c r="K45" t="str">
        <f t="shared" si="0"/>
        <v>9_2025</v>
      </c>
    </row>
    <row r="46" spans="1:11" x14ac:dyDescent="0.3">
      <c r="A46">
        <v>10</v>
      </c>
      <c r="B46">
        <v>2021</v>
      </c>
      <c r="C46">
        <v>2</v>
      </c>
      <c r="D46">
        <v>719.28</v>
      </c>
      <c r="E46">
        <v>0</v>
      </c>
      <c r="F46">
        <v>2</v>
      </c>
      <c r="G46">
        <v>0</v>
      </c>
      <c r="H46">
        <v>0</v>
      </c>
      <c r="I46">
        <v>0</v>
      </c>
      <c r="J46">
        <v>8</v>
      </c>
      <c r="K46" t="str">
        <f t="shared" si="0"/>
        <v>10_2021</v>
      </c>
    </row>
    <row r="47" spans="1:11" x14ac:dyDescent="0.3">
      <c r="A47">
        <v>10</v>
      </c>
      <c r="B47">
        <v>2022</v>
      </c>
      <c r="C47">
        <v>5</v>
      </c>
      <c r="D47">
        <v>26914.360000000004</v>
      </c>
      <c r="E47">
        <v>3</v>
      </c>
      <c r="F47">
        <v>3</v>
      </c>
      <c r="G47">
        <v>2</v>
      </c>
      <c r="H47">
        <v>5</v>
      </c>
      <c r="I47">
        <v>1</v>
      </c>
      <c r="J47">
        <v>63</v>
      </c>
      <c r="K47" t="str">
        <f t="shared" si="0"/>
        <v>10_2022</v>
      </c>
    </row>
    <row r="48" spans="1:11" x14ac:dyDescent="0.3">
      <c r="A48">
        <v>10</v>
      </c>
      <c r="B48">
        <v>2023</v>
      </c>
      <c r="C48">
        <v>3</v>
      </c>
      <c r="D48">
        <v>3691.12</v>
      </c>
      <c r="E48">
        <v>0</v>
      </c>
      <c r="F48">
        <v>2</v>
      </c>
      <c r="G48">
        <v>1</v>
      </c>
      <c r="H48">
        <v>1</v>
      </c>
      <c r="I48">
        <v>1</v>
      </c>
      <c r="J48">
        <v>28</v>
      </c>
      <c r="K48" t="str">
        <f t="shared" si="0"/>
        <v>10_2023</v>
      </c>
    </row>
    <row r="49" spans="1:11" x14ac:dyDescent="0.3">
      <c r="A49">
        <v>10</v>
      </c>
      <c r="B49">
        <v>2024</v>
      </c>
      <c r="C49">
        <v>6</v>
      </c>
      <c r="D49">
        <v>18139.02</v>
      </c>
      <c r="E49">
        <v>5</v>
      </c>
      <c r="F49">
        <v>4</v>
      </c>
      <c r="G49">
        <v>2</v>
      </c>
      <c r="H49">
        <v>6</v>
      </c>
      <c r="I49">
        <v>4</v>
      </c>
      <c r="J49">
        <v>52</v>
      </c>
      <c r="K49" t="str">
        <f t="shared" si="0"/>
        <v>10_2024</v>
      </c>
    </row>
    <row r="50" spans="1:11" x14ac:dyDescent="0.3">
      <c r="A50">
        <v>10</v>
      </c>
      <c r="B50">
        <v>2025</v>
      </c>
      <c r="C50">
        <v>4</v>
      </c>
      <c r="D50">
        <v>16280.37</v>
      </c>
      <c r="E50">
        <v>1</v>
      </c>
      <c r="F50">
        <v>2</v>
      </c>
      <c r="G50">
        <v>2</v>
      </c>
      <c r="H50">
        <v>4</v>
      </c>
      <c r="I50">
        <v>1</v>
      </c>
      <c r="J50">
        <v>39</v>
      </c>
      <c r="K50" t="str">
        <f t="shared" si="0"/>
        <v>10_2025</v>
      </c>
    </row>
    <row r="51" spans="1:11" x14ac:dyDescent="0.3">
      <c r="A51">
        <v>11</v>
      </c>
      <c r="B51">
        <v>2022</v>
      </c>
      <c r="C51">
        <v>3</v>
      </c>
      <c r="D51">
        <v>8379.5500000000011</v>
      </c>
      <c r="E51">
        <v>0</v>
      </c>
      <c r="F51">
        <v>2</v>
      </c>
      <c r="G51">
        <v>1</v>
      </c>
      <c r="H51">
        <v>2</v>
      </c>
      <c r="I51">
        <v>1</v>
      </c>
      <c r="J51">
        <v>26</v>
      </c>
      <c r="K51" t="str">
        <f t="shared" si="0"/>
        <v>11_2022</v>
      </c>
    </row>
    <row r="52" spans="1:11" x14ac:dyDescent="0.3">
      <c r="A52">
        <v>11</v>
      </c>
      <c r="B52">
        <v>2023</v>
      </c>
      <c r="C52">
        <v>3</v>
      </c>
      <c r="D52">
        <v>6068.96</v>
      </c>
      <c r="E52">
        <v>0</v>
      </c>
      <c r="F52">
        <v>1</v>
      </c>
      <c r="G52">
        <v>2</v>
      </c>
      <c r="H52">
        <v>3</v>
      </c>
      <c r="I52">
        <v>1</v>
      </c>
      <c r="J52">
        <v>26</v>
      </c>
      <c r="K52" t="str">
        <f t="shared" si="0"/>
        <v>11_2023</v>
      </c>
    </row>
    <row r="53" spans="1:11" x14ac:dyDescent="0.3">
      <c r="A53">
        <v>11</v>
      </c>
      <c r="B53">
        <v>2024</v>
      </c>
      <c r="C53">
        <v>2</v>
      </c>
      <c r="D53">
        <v>3036.39</v>
      </c>
      <c r="E53">
        <v>0</v>
      </c>
      <c r="F53">
        <v>2</v>
      </c>
      <c r="G53">
        <v>0</v>
      </c>
      <c r="H53">
        <v>1</v>
      </c>
      <c r="I53">
        <v>1</v>
      </c>
      <c r="J53">
        <v>11</v>
      </c>
      <c r="K53" t="str">
        <f t="shared" si="0"/>
        <v>11_2024</v>
      </c>
    </row>
    <row r="54" spans="1:11" x14ac:dyDescent="0.3">
      <c r="A54">
        <v>11</v>
      </c>
      <c r="B54">
        <v>2025</v>
      </c>
      <c r="C54">
        <v>4</v>
      </c>
      <c r="D54">
        <v>11120.92</v>
      </c>
      <c r="E54">
        <v>4</v>
      </c>
      <c r="F54">
        <v>3</v>
      </c>
      <c r="G54">
        <v>1</v>
      </c>
      <c r="H54">
        <v>4</v>
      </c>
      <c r="I54">
        <v>2</v>
      </c>
      <c r="J54">
        <v>40</v>
      </c>
      <c r="K54" t="str">
        <f t="shared" si="0"/>
        <v>11_2025</v>
      </c>
    </row>
    <row r="55" spans="1:11" x14ac:dyDescent="0.3">
      <c r="A55">
        <v>12</v>
      </c>
      <c r="B55">
        <v>2021</v>
      </c>
      <c r="C55">
        <v>5</v>
      </c>
      <c r="D55">
        <v>16001.04</v>
      </c>
      <c r="E55">
        <v>3</v>
      </c>
      <c r="F55">
        <v>2</v>
      </c>
      <c r="G55">
        <v>3</v>
      </c>
      <c r="H55">
        <v>5</v>
      </c>
      <c r="I55">
        <v>2</v>
      </c>
      <c r="J55">
        <v>50</v>
      </c>
      <c r="K55" t="str">
        <f t="shared" si="0"/>
        <v>12_2021</v>
      </c>
    </row>
    <row r="56" spans="1:11" x14ac:dyDescent="0.3">
      <c r="A56">
        <v>12</v>
      </c>
      <c r="B56">
        <v>2022</v>
      </c>
      <c r="C56">
        <v>1</v>
      </c>
      <c r="D56">
        <v>273.75</v>
      </c>
      <c r="E56">
        <v>0</v>
      </c>
      <c r="F56">
        <v>1</v>
      </c>
      <c r="G56">
        <v>0</v>
      </c>
      <c r="H56">
        <v>0</v>
      </c>
      <c r="I56">
        <v>0</v>
      </c>
      <c r="J56">
        <v>9</v>
      </c>
      <c r="K56" t="str">
        <f t="shared" si="0"/>
        <v>12_2022</v>
      </c>
    </row>
    <row r="57" spans="1:11" x14ac:dyDescent="0.3">
      <c r="A57">
        <v>12</v>
      </c>
      <c r="B57">
        <v>2023</v>
      </c>
      <c r="C57">
        <v>5</v>
      </c>
      <c r="D57">
        <v>11186.890000000001</v>
      </c>
      <c r="E57">
        <v>3</v>
      </c>
      <c r="F57">
        <v>4</v>
      </c>
      <c r="G57">
        <v>1</v>
      </c>
      <c r="H57">
        <v>4</v>
      </c>
      <c r="I57">
        <v>1</v>
      </c>
      <c r="J57">
        <v>44</v>
      </c>
      <c r="K57" t="str">
        <f t="shared" si="0"/>
        <v>12_2023</v>
      </c>
    </row>
    <row r="58" spans="1:11" x14ac:dyDescent="0.3">
      <c r="A58">
        <v>12</v>
      </c>
      <c r="B58">
        <v>2025</v>
      </c>
      <c r="C58">
        <v>4</v>
      </c>
      <c r="D58">
        <v>14510.03</v>
      </c>
      <c r="E58">
        <v>1</v>
      </c>
      <c r="F58">
        <v>0</v>
      </c>
      <c r="G58">
        <v>4</v>
      </c>
      <c r="H58">
        <v>3</v>
      </c>
      <c r="I58">
        <v>3</v>
      </c>
      <c r="J58">
        <v>42</v>
      </c>
      <c r="K58" t="str">
        <f t="shared" si="0"/>
        <v>12_2025</v>
      </c>
    </row>
    <row r="59" spans="1:11" x14ac:dyDescent="0.3">
      <c r="A59">
        <v>13</v>
      </c>
      <c r="B59">
        <v>2021</v>
      </c>
      <c r="C59">
        <v>6</v>
      </c>
      <c r="D59">
        <v>21731.769999999997</v>
      </c>
      <c r="E59">
        <v>0</v>
      </c>
      <c r="F59">
        <v>2</v>
      </c>
      <c r="G59">
        <v>4</v>
      </c>
      <c r="H59">
        <v>5</v>
      </c>
      <c r="I59">
        <v>2</v>
      </c>
      <c r="J59">
        <v>65</v>
      </c>
      <c r="K59" t="str">
        <f t="shared" si="0"/>
        <v>13_2021</v>
      </c>
    </row>
    <row r="60" spans="1:11" x14ac:dyDescent="0.3">
      <c r="A60">
        <v>13</v>
      </c>
      <c r="B60">
        <v>2022</v>
      </c>
      <c r="C60">
        <v>5</v>
      </c>
      <c r="D60">
        <v>5919.6099999999988</v>
      </c>
      <c r="E60">
        <v>0</v>
      </c>
      <c r="F60">
        <v>2</v>
      </c>
      <c r="G60">
        <v>3</v>
      </c>
      <c r="H60">
        <v>2</v>
      </c>
      <c r="I60">
        <v>3</v>
      </c>
      <c r="J60">
        <v>34</v>
      </c>
      <c r="K60" t="str">
        <f t="shared" si="0"/>
        <v>13_2022</v>
      </c>
    </row>
    <row r="61" spans="1:11" x14ac:dyDescent="0.3">
      <c r="A61">
        <v>13</v>
      </c>
      <c r="B61">
        <v>2023</v>
      </c>
      <c r="C61">
        <v>3</v>
      </c>
      <c r="D61">
        <v>949.96</v>
      </c>
      <c r="E61">
        <v>1</v>
      </c>
      <c r="F61">
        <v>3</v>
      </c>
      <c r="G61">
        <v>0</v>
      </c>
      <c r="H61">
        <v>0</v>
      </c>
      <c r="I61">
        <v>0</v>
      </c>
      <c r="J61">
        <v>27</v>
      </c>
      <c r="K61" t="str">
        <f t="shared" si="0"/>
        <v>13_2023</v>
      </c>
    </row>
    <row r="62" spans="1:11" x14ac:dyDescent="0.3">
      <c r="A62">
        <v>13</v>
      </c>
      <c r="B62">
        <v>2024</v>
      </c>
      <c r="C62">
        <v>6</v>
      </c>
      <c r="D62">
        <v>17789.759999999998</v>
      </c>
      <c r="E62">
        <v>2</v>
      </c>
      <c r="F62">
        <v>2</v>
      </c>
      <c r="G62">
        <v>4</v>
      </c>
      <c r="H62">
        <v>5</v>
      </c>
      <c r="I62">
        <v>0</v>
      </c>
      <c r="J62">
        <v>94</v>
      </c>
      <c r="K62" t="str">
        <f t="shared" si="0"/>
        <v>13_2024</v>
      </c>
    </row>
    <row r="63" spans="1:11" x14ac:dyDescent="0.3">
      <c r="A63">
        <v>13</v>
      </c>
      <c r="B63">
        <v>2025</v>
      </c>
      <c r="C63">
        <v>4</v>
      </c>
      <c r="D63">
        <v>17773.61</v>
      </c>
      <c r="E63">
        <v>1</v>
      </c>
      <c r="F63">
        <v>1</v>
      </c>
      <c r="G63">
        <v>3</v>
      </c>
      <c r="H63">
        <v>4</v>
      </c>
      <c r="I63">
        <v>2</v>
      </c>
      <c r="J63">
        <v>37</v>
      </c>
      <c r="K63" t="str">
        <f t="shared" si="0"/>
        <v>13_2025</v>
      </c>
    </row>
    <row r="64" spans="1:11" x14ac:dyDescent="0.3">
      <c r="A64">
        <v>14</v>
      </c>
      <c r="B64">
        <v>2021</v>
      </c>
      <c r="C64">
        <v>6</v>
      </c>
      <c r="D64">
        <v>14699.390000000001</v>
      </c>
      <c r="E64">
        <v>4</v>
      </c>
      <c r="F64">
        <v>3</v>
      </c>
      <c r="G64">
        <v>3</v>
      </c>
      <c r="H64">
        <v>5</v>
      </c>
      <c r="I64">
        <v>3</v>
      </c>
      <c r="J64">
        <v>51</v>
      </c>
      <c r="K64" t="str">
        <f t="shared" si="0"/>
        <v>14_2021</v>
      </c>
    </row>
    <row r="65" spans="1:11" x14ac:dyDescent="0.3">
      <c r="A65">
        <v>14</v>
      </c>
      <c r="B65">
        <v>2022</v>
      </c>
      <c r="C65">
        <v>5</v>
      </c>
      <c r="D65">
        <v>16728.439999999999</v>
      </c>
      <c r="E65">
        <v>3</v>
      </c>
      <c r="F65">
        <v>0</v>
      </c>
      <c r="G65">
        <v>5</v>
      </c>
      <c r="H65">
        <v>4</v>
      </c>
      <c r="I65">
        <v>5</v>
      </c>
      <c r="J65">
        <v>59</v>
      </c>
      <c r="K65" t="str">
        <f t="shared" si="0"/>
        <v>14_2022</v>
      </c>
    </row>
    <row r="66" spans="1:11" x14ac:dyDescent="0.3">
      <c r="A66">
        <v>14</v>
      </c>
      <c r="B66">
        <v>2023</v>
      </c>
      <c r="C66">
        <v>1</v>
      </c>
      <c r="D66">
        <v>652.4</v>
      </c>
      <c r="E66">
        <v>0</v>
      </c>
      <c r="F66">
        <v>1</v>
      </c>
      <c r="G66">
        <v>0</v>
      </c>
      <c r="H66">
        <v>0</v>
      </c>
      <c r="I66">
        <v>0</v>
      </c>
      <c r="J66">
        <v>4</v>
      </c>
      <c r="K66" t="str">
        <f t="shared" ref="K66:K129" si="1">A66&amp;"_"&amp;B66</f>
        <v>14_2023</v>
      </c>
    </row>
    <row r="67" spans="1:11" x14ac:dyDescent="0.3">
      <c r="A67">
        <v>14</v>
      </c>
      <c r="B67">
        <v>2024</v>
      </c>
      <c r="C67">
        <v>1</v>
      </c>
      <c r="D67">
        <v>1449.09</v>
      </c>
      <c r="E67">
        <v>0</v>
      </c>
      <c r="F67">
        <v>0</v>
      </c>
      <c r="G67">
        <v>1</v>
      </c>
      <c r="H67">
        <v>0</v>
      </c>
      <c r="I67">
        <v>1</v>
      </c>
      <c r="J67">
        <v>5</v>
      </c>
      <c r="K67" t="str">
        <f t="shared" si="1"/>
        <v>14_2024</v>
      </c>
    </row>
    <row r="68" spans="1:11" x14ac:dyDescent="0.3">
      <c r="A68">
        <v>14</v>
      </c>
      <c r="B68">
        <v>2025</v>
      </c>
      <c r="C68">
        <v>1</v>
      </c>
      <c r="D68">
        <v>1292.9100000000001</v>
      </c>
      <c r="E68">
        <v>0</v>
      </c>
      <c r="F68">
        <v>1</v>
      </c>
      <c r="G68">
        <v>0</v>
      </c>
      <c r="H68">
        <v>0</v>
      </c>
      <c r="I68">
        <v>0</v>
      </c>
      <c r="J68">
        <v>13</v>
      </c>
      <c r="K68" t="str">
        <f t="shared" si="1"/>
        <v>14_2025</v>
      </c>
    </row>
    <row r="69" spans="1:11" x14ac:dyDescent="0.3">
      <c r="A69">
        <v>15</v>
      </c>
      <c r="B69">
        <v>2021</v>
      </c>
      <c r="C69">
        <v>2</v>
      </c>
      <c r="D69">
        <v>1200.48</v>
      </c>
      <c r="E69">
        <v>0</v>
      </c>
      <c r="F69">
        <v>1</v>
      </c>
      <c r="G69">
        <v>1</v>
      </c>
      <c r="H69">
        <v>0</v>
      </c>
      <c r="I69">
        <v>1</v>
      </c>
      <c r="J69">
        <v>13</v>
      </c>
      <c r="K69" t="str">
        <f t="shared" si="1"/>
        <v>15_2021</v>
      </c>
    </row>
    <row r="70" spans="1:11" x14ac:dyDescent="0.3">
      <c r="A70">
        <v>15</v>
      </c>
      <c r="B70">
        <v>2022</v>
      </c>
      <c r="C70">
        <v>6</v>
      </c>
      <c r="D70">
        <v>21926.9</v>
      </c>
      <c r="E70">
        <v>2</v>
      </c>
      <c r="F70">
        <v>3</v>
      </c>
      <c r="G70">
        <v>3</v>
      </c>
      <c r="H70">
        <v>4</v>
      </c>
      <c r="I70">
        <v>1</v>
      </c>
      <c r="J70">
        <v>66</v>
      </c>
      <c r="K70" t="str">
        <f t="shared" si="1"/>
        <v>15_2022</v>
      </c>
    </row>
    <row r="71" spans="1:11" x14ac:dyDescent="0.3">
      <c r="A71">
        <v>15</v>
      </c>
      <c r="B71">
        <v>2023</v>
      </c>
      <c r="C71">
        <v>3</v>
      </c>
      <c r="D71">
        <v>14167.529999999999</v>
      </c>
      <c r="E71">
        <v>2</v>
      </c>
      <c r="F71">
        <v>3</v>
      </c>
      <c r="G71">
        <v>0</v>
      </c>
      <c r="H71">
        <v>2</v>
      </c>
      <c r="I71">
        <v>2</v>
      </c>
      <c r="J71">
        <v>23</v>
      </c>
      <c r="K71" t="str">
        <f t="shared" si="1"/>
        <v>15_2023</v>
      </c>
    </row>
    <row r="72" spans="1:11" x14ac:dyDescent="0.3">
      <c r="A72">
        <v>15</v>
      </c>
      <c r="B72">
        <v>2024</v>
      </c>
      <c r="C72">
        <v>5</v>
      </c>
      <c r="D72">
        <v>15609.21</v>
      </c>
      <c r="E72">
        <v>1</v>
      </c>
      <c r="F72">
        <v>0</v>
      </c>
      <c r="G72">
        <v>5</v>
      </c>
      <c r="H72">
        <v>3</v>
      </c>
      <c r="I72">
        <v>2</v>
      </c>
      <c r="J72">
        <v>47</v>
      </c>
      <c r="K72" t="str">
        <f t="shared" si="1"/>
        <v>15_2024</v>
      </c>
    </row>
    <row r="73" spans="1:11" x14ac:dyDescent="0.3">
      <c r="A73">
        <v>15</v>
      </c>
      <c r="B73">
        <v>2025</v>
      </c>
      <c r="C73">
        <v>5</v>
      </c>
      <c r="D73">
        <v>18215.72</v>
      </c>
      <c r="E73">
        <v>4</v>
      </c>
      <c r="F73">
        <v>3</v>
      </c>
      <c r="G73">
        <v>2</v>
      </c>
      <c r="H73">
        <v>5</v>
      </c>
      <c r="I73">
        <v>1</v>
      </c>
      <c r="J73">
        <v>39</v>
      </c>
      <c r="K73" t="str">
        <f t="shared" si="1"/>
        <v>15_2025</v>
      </c>
    </row>
    <row r="74" spans="1:11" x14ac:dyDescent="0.3">
      <c r="A74">
        <v>16</v>
      </c>
      <c r="B74">
        <v>2021</v>
      </c>
      <c r="C74">
        <v>4</v>
      </c>
      <c r="D74">
        <v>14110.26</v>
      </c>
      <c r="E74">
        <v>0</v>
      </c>
      <c r="F74">
        <v>1</v>
      </c>
      <c r="G74">
        <v>3</v>
      </c>
      <c r="H74">
        <v>4</v>
      </c>
      <c r="I74">
        <v>3</v>
      </c>
      <c r="J74">
        <v>40</v>
      </c>
      <c r="K74" t="str">
        <f t="shared" si="1"/>
        <v>16_2021</v>
      </c>
    </row>
    <row r="75" spans="1:11" x14ac:dyDescent="0.3">
      <c r="A75">
        <v>16</v>
      </c>
      <c r="B75">
        <v>2022</v>
      </c>
      <c r="C75">
        <v>2</v>
      </c>
      <c r="D75">
        <v>6615.9</v>
      </c>
      <c r="E75">
        <v>0</v>
      </c>
      <c r="F75">
        <v>1</v>
      </c>
      <c r="G75">
        <v>1</v>
      </c>
      <c r="H75">
        <v>1</v>
      </c>
      <c r="I75">
        <v>1</v>
      </c>
      <c r="J75">
        <v>12</v>
      </c>
      <c r="K75" t="str">
        <f t="shared" si="1"/>
        <v>16_2022</v>
      </c>
    </row>
    <row r="76" spans="1:11" x14ac:dyDescent="0.3">
      <c r="A76">
        <v>16</v>
      </c>
      <c r="B76">
        <v>2023</v>
      </c>
      <c r="C76">
        <v>6</v>
      </c>
      <c r="D76">
        <v>14902.5</v>
      </c>
      <c r="E76">
        <v>3</v>
      </c>
      <c r="F76">
        <v>2</v>
      </c>
      <c r="G76">
        <v>4</v>
      </c>
      <c r="H76">
        <v>4</v>
      </c>
      <c r="I76">
        <v>3</v>
      </c>
      <c r="J76">
        <v>59</v>
      </c>
      <c r="K76" t="str">
        <f t="shared" si="1"/>
        <v>16_2023</v>
      </c>
    </row>
    <row r="77" spans="1:11" x14ac:dyDescent="0.3">
      <c r="A77">
        <v>16</v>
      </c>
      <c r="B77">
        <v>2024</v>
      </c>
      <c r="C77">
        <v>3</v>
      </c>
      <c r="D77">
        <v>10733.58</v>
      </c>
      <c r="E77">
        <v>0</v>
      </c>
      <c r="F77">
        <v>2</v>
      </c>
      <c r="G77">
        <v>1</v>
      </c>
      <c r="H77">
        <v>3</v>
      </c>
      <c r="I77">
        <v>1</v>
      </c>
      <c r="J77">
        <v>33</v>
      </c>
      <c r="K77" t="str">
        <f t="shared" si="1"/>
        <v>16_2024</v>
      </c>
    </row>
    <row r="78" spans="1:11" x14ac:dyDescent="0.3">
      <c r="A78">
        <v>16</v>
      </c>
      <c r="B78">
        <v>2025</v>
      </c>
      <c r="C78">
        <v>3</v>
      </c>
      <c r="D78">
        <v>1368.01</v>
      </c>
      <c r="E78">
        <v>0</v>
      </c>
      <c r="F78">
        <v>2</v>
      </c>
      <c r="G78">
        <v>1</v>
      </c>
      <c r="H78">
        <v>0</v>
      </c>
      <c r="I78">
        <v>0</v>
      </c>
      <c r="J78">
        <v>34</v>
      </c>
      <c r="K78" t="str">
        <f t="shared" si="1"/>
        <v>16_2025</v>
      </c>
    </row>
    <row r="79" spans="1:11" x14ac:dyDescent="0.3">
      <c r="A79">
        <v>17</v>
      </c>
      <c r="B79">
        <v>2021</v>
      </c>
      <c r="C79">
        <v>3</v>
      </c>
      <c r="D79">
        <v>10971.82</v>
      </c>
      <c r="E79">
        <v>3</v>
      </c>
      <c r="F79">
        <v>1</v>
      </c>
      <c r="G79">
        <v>2</v>
      </c>
      <c r="H79">
        <v>3</v>
      </c>
      <c r="I79">
        <v>2</v>
      </c>
      <c r="J79">
        <v>32</v>
      </c>
      <c r="K79" t="str">
        <f t="shared" si="1"/>
        <v>17_2021</v>
      </c>
    </row>
    <row r="80" spans="1:11" x14ac:dyDescent="0.3">
      <c r="A80">
        <v>17</v>
      </c>
      <c r="B80">
        <v>2022</v>
      </c>
      <c r="C80">
        <v>3</v>
      </c>
      <c r="D80">
        <v>8275.7900000000009</v>
      </c>
      <c r="E80">
        <v>2</v>
      </c>
      <c r="F80">
        <v>3</v>
      </c>
      <c r="G80">
        <v>0</v>
      </c>
      <c r="H80">
        <v>2</v>
      </c>
      <c r="I80">
        <v>1</v>
      </c>
      <c r="J80">
        <v>28</v>
      </c>
      <c r="K80" t="str">
        <f t="shared" si="1"/>
        <v>17_2022</v>
      </c>
    </row>
    <row r="81" spans="1:11" x14ac:dyDescent="0.3">
      <c r="A81">
        <v>17</v>
      </c>
      <c r="B81">
        <v>2023</v>
      </c>
      <c r="C81">
        <v>6</v>
      </c>
      <c r="D81">
        <v>20337.180000000004</v>
      </c>
      <c r="E81">
        <v>1</v>
      </c>
      <c r="F81">
        <v>2</v>
      </c>
      <c r="G81">
        <v>4</v>
      </c>
      <c r="H81">
        <v>6</v>
      </c>
      <c r="I81">
        <v>3</v>
      </c>
      <c r="J81">
        <v>62</v>
      </c>
      <c r="K81" t="str">
        <f t="shared" si="1"/>
        <v>17_2023</v>
      </c>
    </row>
    <row r="82" spans="1:11" x14ac:dyDescent="0.3">
      <c r="A82">
        <v>17</v>
      </c>
      <c r="B82">
        <v>2024</v>
      </c>
      <c r="C82">
        <v>4</v>
      </c>
      <c r="D82">
        <v>7977.3900000000012</v>
      </c>
      <c r="E82">
        <v>0</v>
      </c>
      <c r="F82">
        <v>3</v>
      </c>
      <c r="G82">
        <v>1</v>
      </c>
      <c r="H82">
        <v>2</v>
      </c>
      <c r="I82">
        <v>2</v>
      </c>
      <c r="J82">
        <v>29</v>
      </c>
      <c r="K82" t="str">
        <f t="shared" si="1"/>
        <v>17_2024</v>
      </c>
    </row>
    <row r="83" spans="1:11" x14ac:dyDescent="0.3">
      <c r="A83">
        <v>17</v>
      </c>
      <c r="B83">
        <v>2025</v>
      </c>
      <c r="C83">
        <v>3</v>
      </c>
      <c r="D83">
        <v>5990.9400000000005</v>
      </c>
      <c r="E83">
        <v>1</v>
      </c>
      <c r="F83">
        <v>1</v>
      </c>
      <c r="G83">
        <v>2</v>
      </c>
      <c r="H83">
        <v>2</v>
      </c>
      <c r="I83">
        <v>2</v>
      </c>
      <c r="J83">
        <v>21</v>
      </c>
      <c r="K83" t="str">
        <f t="shared" si="1"/>
        <v>17_2025</v>
      </c>
    </row>
    <row r="84" spans="1:11" x14ac:dyDescent="0.3">
      <c r="A84">
        <v>18</v>
      </c>
      <c r="B84">
        <v>2021</v>
      </c>
      <c r="C84">
        <v>4</v>
      </c>
      <c r="D84">
        <v>15926.249999999998</v>
      </c>
      <c r="E84">
        <v>2</v>
      </c>
      <c r="F84">
        <v>0</v>
      </c>
      <c r="G84">
        <v>4</v>
      </c>
      <c r="H84">
        <v>3</v>
      </c>
      <c r="I84">
        <v>2</v>
      </c>
      <c r="J84">
        <v>37</v>
      </c>
      <c r="K84" t="str">
        <f t="shared" si="1"/>
        <v>18_2021</v>
      </c>
    </row>
    <row r="85" spans="1:11" x14ac:dyDescent="0.3">
      <c r="A85">
        <v>18</v>
      </c>
      <c r="B85">
        <v>2022</v>
      </c>
      <c r="C85">
        <v>1</v>
      </c>
      <c r="D85">
        <v>1737.1</v>
      </c>
      <c r="E85">
        <v>0</v>
      </c>
      <c r="F85">
        <v>0</v>
      </c>
      <c r="G85">
        <v>1</v>
      </c>
      <c r="H85">
        <v>1</v>
      </c>
      <c r="I85">
        <v>1</v>
      </c>
      <c r="J85">
        <v>9</v>
      </c>
      <c r="K85" t="str">
        <f t="shared" si="1"/>
        <v>18_2022</v>
      </c>
    </row>
    <row r="86" spans="1:11" x14ac:dyDescent="0.3">
      <c r="A86">
        <v>18</v>
      </c>
      <c r="B86">
        <v>2024</v>
      </c>
      <c r="C86">
        <v>3</v>
      </c>
      <c r="D86">
        <v>2324.5500000000002</v>
      </c>
      <c r="E86">
        <v>0</v>
      </c>
      <c r="F86">
        <v>2</v>
      </c>
      <c r="G86">
        <v>1</v>
      </c>
      <c r="H86">
        <v>1</v>
      </c>
      <c r="I86">
        <v>1</v>
      </c>
      <c r="J86">
        <v>24</v>
      </c>
      <c r="K86" t="str">
        <f t="shared" si="1"/>
        <v>18_2024</v>
      </c>
    </row>
    <row r="87" spans="1:11" x14ac:dyDescent="0.3">
      <c r="A87">
        <v>18</v>
      </c>
      <c r="B87">
        <v>2025</v>
      </c>
      <c r="C87">
        <v>4</v>
      </c>
      <c r="D87">
        <v>10395.519999999999</v>
      </c>
      <c r="E87">
        <v>0</v>
      </c>
      <c r="F87">
        <v>3</v>
      </c>
      <c r="G87">
        <v>1</v>
      </c>
      <c r="H87">
        <v>1</v>
      </c>
      <c r="I87">
        <v>1</v>
      </c>
      <c r="J87">
        <v>59</v>
      </c>
      <c r="K87" t="str">
        <f t="shared" si="1"/>
        <v>18_2025</v>
      </c>
    </row>
    <row r="88" spans="1:11" x14ac:dyDescent="0.3">
      <c r="A88">
        <v>19</v>
      </c>
      <c r="B88">
        <v>2021</v>
      </c>
      <c r="C88">
        <v>1</v>
      </c>
      <c r="D88">
        <v>565.89</v>
      </c>
      <c r="E88">
        <v>0</v>
      </c>
      <c r="F88">
        <v>1</v>
      </c>
      <c r="G88">
        <v>0</v>
      </c>
      <c r="H88">
        <v>0</v>
      </c>
      <c r="I88">
        <v>1</v>
      </c>
      <c r="J88">
        <v>14</v>
      </c>
      <c r="K88" t="str">
        <f t="shared" si="1"/>
        <v>19_2021</v>
      </c>
    </row>
    <row r="89" spans="1:11" x14ac:dyDescent="0.3">
      <c r="A89">
        <v>19</v>
      </c>
      <c r="B89">
        <v>2022</v>
      </c>
      <c r="C89">
        <v>4</v>
      </c>
      <c r="D89">
        <v>10978.970000000001</v>
      </c>
      <c r="E89">
        <v>2</v>
      </c>
      <c r="F89">
        <v>2</v>
      </c>
      <c r="G89">
        <v>2</v>
      </c>
      <c r="H89">
        <v>2</v>
      </c>
      <c r="I89">
        <v>0</v>
      </c>
      <c r="J89">
        <v>36</v>
      </c>
      <c r="K89" t="str">
        <f t="shared" si="1"/>
        <v>19_2022</v>
      </c>
    </row>
    <row r="90" spans="1:11" x14ac:dyDescent="0.3">
      <c r="A90">
        <v>19</v>
      </c>
      <c r="B90">
        <v>2023</v>
      </c>
      <c r="C90">
        <v>1</v>
      </c>
      <c r="D90">
        <v>1223.5999999999999</v>
      </c>
      <c r="E90">
        <v>0</v>
      </c>
      <c r="F90">
        <v>0</v>
      </c>
      <c r="G90">
        <v>1</v>
      </c>
      <c r="H90">
        <v>0</v>
      </c>
      <c r="I90">
        <v>0</v>
      </c>
      <c r="J90">
        <v>1</v>
      </c>
      <c r="K90" t="str">
        <f t="shared" si="1"/>
        <v>19_2023</v>
      </c>
    </row>
    <row r="91" spans="1:11" x14ac:dyDescent="0.3">
      <c r="A91">
        <v>19</v>
      </c>
      <c r="B91">
        <v>2024</v>
      </c>
      <c r="C91">
        <v>6</v>
      </c>
      <c r="D91">
        <v>14407.199999999999</v>
      </c>
      <c r="E91">
        <v>1</v>
      </c>
      <c r="F91">
        <v>2</v>
      </c>
      <c r="G91">
        <v>4</v>
      </c>
      <c r="H91">
        <v>4</v>
      </c>
      <c r="I91">
        <v>4</v>
      </c>
      <c r="J91">
        <v>56</v>
      </c>
      <c r="K91" t="str">
        <f t="shared" si="1"/>
        <v>19_2024</v>
      </c>
    </row>
    <row r="92" spans="1:11" x14ac:dyDescent="0.3">
      <c r="A92">
        <v>19</v>
      </c>
      <c r="B92">
        <v>2025</v>
      </c>
      <c r="C92">
        <v>5</v>
      </c>
      <c r="D92">
        <v>11083.76</v>
      </c>
      <c r="E92">
        <v>2</v>
      </c>
      <c r="F92">
        <v>3</v>
      </c>
      <c r="G92">
        <v>2</v>
      </c>
      <c r="H92">
        <v>4</v>
      </c>
      <c r="I92">
        <v>1</v>
      </c>
      <c r="J92">
        <v>56</v>
      </c>
      <c r="K92" t="str">
        <f t="shared" si="1"/>
        <v>19_2025</v>
      </c>
    </row>
    <row r="93" spans="1:11" x14ac:dyDescent="0.3">
      <c r="A93">
        <v>20</v>
      </c>
      <c r="B93">
        <v>2021</v>
      </c>
      <c r="C93">
        <v>2</v>
      </c>
      <c r="D93">
        <v>2226.71</v>
      </c>
      <c r="E93">
        <v>0</v>
      </c>
      <c r="F93">
        <v>2</v>
      </c>
      <c r="G93">
        <v>0</v>
      </c>
      <c r="H93">
        <v>1</v>
      </c>
      <c r="I93">
        <v>0</v>
      </c>
      <c r="J93">
        <v>22</v>
      </c>
      <c r="K93" t="str">
        <f t="shared" si="1"/>
        <v>20_2021</v>
      </c>
    </row>
    <row r="94" spans="1:11" x14ac:dyDescent="0.3">
      <c r="A94">
        <v>20</v>
      </c>
      <c r="B94">
        <v>2022</v>
      </c>
      <c r="C94">
        <v>3</v>
      </c>
      <c r="D94">
        <v>977.85</v>
      </c>
      <c r="E94">
        <v>0</v>
      </c>
      <c r="F94">
        <v>2</v>
      </c>
      <c r="G94">
        <v>1</v>
      </c>
      <c r="H94">
        <v>0</v>
      </c>
      <c r="I94">
        <v>2</v>
      </c>
      <c r="J94">
        <v>18</v>
      </c>
      <c r="K94" t="str">
        <f t="shared" si="1"/>
        <v>20_2022</v>
      </c>
    </row>
    <row r="95" spans="1:11" x14ac:dyDescent="0.3">
      <c r="A95">
        <v>20</v>
      </c>
      <c r="B95">
        <v>2023</v>
      </c>
      <c r="C95">
        <v>5</v>
      </c>
      <c r="D95">
        <v>12133.02</v>
      </c>
      <c r="E95">
        <v>4</v>
      </c>
      <c r="F95">
        <v>3</v>
      </c>
      <c r="G95">
        <v>2</v>
      </c>
      <c r="H95">
        <v>4</v>
      </c>
      <c r="I95">
        <v>2</v>
      </c>
      <c r="J95">
        <v>55</v>
      </c>
      <c r="K95" t="str">
        <f t="shared" si="1"/>
        <v>20_2023</v>
      </c>
    </row>
    <row r="96" spans="1:11" x14ac:dyDescent="0.3">
      <c r="A96">
        <v>20</v>
      </c>
      <c r="B96">
        <v>2024</v>
      </c>
      <c r="C96">
        <v>5</v>
      </c>
      <c r="D96">
        <v>6356.09</v>
      </c>
      <c r="E96">
        <v>0</v>
      </c>
      <c r="F96">
        <v>4</v>
      </c>
      <c r="G96">
        <v>1</v>
      </c>
      <c r="H96">
        <v>2</v>
      </c>
      <c r="I96">
        <v>2</v>
      </c>
      <c r="J96">
        <v>54</v>
      </c>
      <c r="K96" t="str">
        <f t="shared" si="1"/>
        <v>20_2024</v>
      </c>
    </row>
    <row r="97" spans="1:11" x14ac:dyDescent="0.3">
      <c r="A97">
        <v>21</v>
      </c>
      <c r="B97">
        <v>2021</v>
      </c>
      <c r="C97">
        <v>3</v>
      </c>
      <c r="D97">
        <v>2731.09</v>
      </c>
      <c r="E97">
        <v>2</v>
      </c>
      <c r="F97">
        <v>2</v>
      </c>
      <c r="G97">
        <v>1</v>
      </c>
      <c r="H97">
        <v>1</v>
      </c>
      <c r="I97">
        <v>1</v>
      </c>
      <c r="J97">
        <v>14</v>
      </c>
      <c r="K97" t="str">
        <f t="shared" si="1"/>
        <v>21_2021</v>
      </c>
    </row>
    <row r="98" spans="1:11" x14ac:dyDescent="0.3">
      <c r="A98">
        <v>21</v>
      </c>
      <c r="B98">
        <v>2022</v>
      </c>
      <c r="C98">
        <v>2</v>
      </c>
      <c r="D98">
        <v>1866.37</v>
      </c>
      <c r="E98">
        <v>0</v>
      </c>
      <c r="F98">
        <v>2</v>
      </c>
      <c r="G98">
        <v>0</v>
      </c>
      <c r="H98">
        <v>0</v>
      </c>
      <c r="I98">
        <v>1</v>
      </c>
      <c r="J98">
        <v>7</v>
      </c>
      <c r="K98" t="str">
        <f t="shared" si="1"/>
        <v>21_2022</v>
      </c>
    </row>
    <row r="99" spans="1:11" x14ac:dyDescent="0.3">
      <c r="A99">
        <v>21</v>
      </c>
      <c r="B99">
        <v>2023</v>
      </c>
      <c r="C99">
        <v>1</v>
      </c>
      <c r="D99">
        <v>511.05</v>
      </c>
      <c r="E99">
        <v>0</v>
      </c>
      <c r="F99">
        <v>1</v>
      </c>
      <c r="G99">
        <v>0</v>
      </c>
      <c r="H99">
        <v>0</v>
      </c>
      <c r="I99">
        <v>1</v>
      </c>
      <c r="J99">
        <v>1</v>
      </c>
      <c r="K99" t="str">
        <f t="shared" si="1"/>
        <v>21_2023</v>
      </c>
    </row>
    <row r="100" spans="1:11" x14ac:dyDescent="0.3">
      <c r="A100">
        <v>21</v>
      </c>
      <c r="B100">
        <v>2024</v>
      </c>
      <c r="C100">
        <v>6</v>
      </c>
      <c r="D100">
        <v>23401.57</v>
      </c>
      <c r="E100">
        <v>4</v>
      </c>
      <c r="F100">
        <v>2</v>
      </c>
      <c r="G100">
        <v>4</v>
      </c>
      <c r="H100">
        <v>6</v>
      </c>
      <c r="I100">
        <v>2</v>
      </c>
      <c r="J100">
        <v>55</v>
      </c>
      <c r="K100" t="str">
        <f t="shared" si="1"/>
        <v>21_2024</v>
      </c>
    </row>
    <row r="101" spans="1:11" x14ac:dyDescent="0.3">
      <c r="A101">
        <v>21</v>
      </c>
      <c r="B101">
        <v>2025</v>
      </c>
      <c r="C101">
        <v>4</v>
      </c>
      <c r="D101">
        <v>7802.56</v>
      </c>
      <c r="E101">
        <v>0</v>
      </c>
      <c r="F101">
        <v>2</v>
      </c>
      <c r="G101">
        <v>2</v>
      </c>
      <c r="H101">
        <v>3</v>
      </c>
      <c r="I101">
        <v>2</v>
      </c>
      <c r="J101">
        <v>61</v>
      </c>
      <c r="K101" t="str">
        <f t="shared" si="1"/>
        <v>21_2025</v>
      </c>
    </row>
    <row r="102" spans="1:11" x14ac:dyDescent="0.3">
      <c r="A102">
        <v>22</v>
      </c>
      <c r="B102">
        <v>2021</v>
      </c>
      <c r="C102">
        <v>1</v>
      </c>
      <c r="D102">
        <v>1371.76</v>
      </c>
      <c r="E102">
        <v>0</v>
      </c>
      <c r="F102">
        <v>1</v>
      </c>
      <c r="G102">
        <v>0</v>
      </c>
      <c r="H102">
        <v>0</v>
      </c>
      <c r="I102">
        <v>0</v>
      </c>
      <c r="J102">
        <v>13</v>
      </c>
      <c r="K102" t="str">
        <f t="shared" si="1"/>
        <v>22_2021</v>
      </c>
    </row>
    <row r="103" spans="1:11" x14ac:dyDescent="0.3">
      <c r="A103">
        <v>22</v>
      </c>
      <c r="B103">
        <v>2022</v>
      </c>
      <c r="C103">
        <v>6</v>
      </c>
      <c r="D103">
        <v>12056.55</v>
      </c>
      <c r="E103">
        <v>2</v>
      </c>
      <c r="F103">
        <v>4</v>
      </c>
      <c r="G103">
        <v>2</v>
      </c>
      <c r="H103">
        <v>4</v>
      </c>
      <c r="I103">
        <v>3</v>
      </c>
      <c r="J103">
        <v>69</v>
      </c>
      <c r="K103" t="str">
        <f t="shared" si="1"/>
        <v>22_2022</v>
      </c>
    </row>
    <row r="104" spans="1:11" x14ac:dyDescent="0.3">
      <c r="A104">
        <v>22</v>
      </c>
      <c r="B104">
        <v>2023</v>
      </c>
      <c r="C104">
        <v>2</v>
      </c>
      <c r="D104">
        <v>1654.71</v>
      </c>
      <c r="E104">
        <v>0</v>
      </c>
      <c r="F104">
        <v>2</v>
      </c>
      <c r="G104">
        <v>0</v>
      </c>
      <c r="H104">
        <v>0</v>
      </c>
      <c r="I104">
        <v>0</v>
      </c>
      <c r="J104">
        <v>16</v>
      </c>
      <c r="K104" t="str">
        <f t="shared" si="1"/>
        <v>22_2023</v>
      </c>
    </row>
    <row r="105" spans="1:11" x14ac:dyDescent="0.3">
      <c r="A105">
        <v>22</v>
      </c>
      <c r="B105">
        <v>2024</v>
      </c>
      <c r="C105">
        <v>1</v>
      </c>
      <c r="D105">
        <v>6316.69</v>
      </c>
      <c r="E105">
        <v>1</v>
      </c>
      <c r="F105">
        <v>1</v>
      </c>
      <c r="G105">
        <v>0</v>
      </c>
      <c r="H105">
        <v>1</v>
      </c>
      <c r="I105">
        <v>0</v>
      </c>
      <c r="J105">
        <v>9</v>
      </c>
      <c r="K105" t="str">
        <f t="shared" si="1"/>
        <v>22_2024</v>
      </c>
    </row>
    <row r="106" spans="1:11" x14ac:dyDescent="0.3">
      <c r="A106">
        <v>22</v>
      </c>
      <c r="B106">
        <v>2025</v>
      </c>
      <c r="C106">
        <v>3</v>
      </c>
      <c r="D106">
        <v>12272.26</v>
      </c>
      <c r="E106">
        <v>2</v>
      </c>
      <c r="F106">
        <v>1</v>
      </c>
      <c r="G106">
        <v>2</v>
      </c>
      <c r="H106">
        <v>2</v>
      </c>
      <c r="I106">
        <v>1</v>
      </c>
      <c r="J106">
        <v>32</v>
      </c>
      <c r="K106" t="str">
        <f t="shared" si="1"/>
        <v>22_2025</v>
      </c>
    </row>
    <row r="107" spans="1:11" x14ac:dyDescent="0.3">
      <c r="A107">
        <v>23</v>
      </c>
      <c r="B107">
        <v>2021</v>
      </c>
      <c r="C107">
        <v>2</v>
      </c>
      <c r="D107">
        <v>1652.56</v>
      </c>
      <c r="E107">
        <v>0</v>
      </c>
      <c r="F107">
        <v>0</v>
      </c>
      <c r="G107">
        <v>2</v>
      </c>
      <c r="H107">
        <v>1</v>
      </c>
      <c r="I107">
        <v>1</v>
      </c>
      <c r="J107">
        <v>12</v>
      </c>
      <c r="K107" t="str">
        <f t="shared" si="1"/>
        <v>23_2021</v>
      </c>
    </row>
    <row r="108" spans="1:11" x14ac:dyDescent="0.3">
      <c r="A108">
        <v>23</v>
      </c>
      <c r="B108">
        <v>2022</v>
      </c>
      <c r="C108">
        <v>3</v>
      </c>
      <c r="D108">
        <v>15405.61</v>
      </c>
      <c r="E108">
        <v>1</v>
      </c>
      <c r="F108">
        <v>0</v>
      </c>
      <c r="G108">
        <v>3</v>
      </c>
      <c r="H108">
        <v>3</v>
      </c>
      <c r="I108">
        <v>0</v>
      </c>
      <c r="J108">
        <v>28</v>
      </c>
      <c r="K108" t="str">
        <f t="shared" si="1"/>
        <v>23_2022</v>
      </c>
    </row>
    <row r="109" spans="1:11" x14ac:dyDescent="0.3">
      <c r="A109">
        <v>23</v>
      </c>
      <c r="B109">
        <v>2023</v>
      </c>
      <c r="C109">
        <v>1</v>
      </c>
      <c r="D109">
        <v>543.25</v>
      </c>
      <c r="E109">
        <v>0</v>
      </c>
      <c r="F109">
        <v>1</v>
      </c>
      <c r="G109">
        <v>0</v>
      </c>
      <c r="H109">
        <v>0</v>
      </c>
      <c r="I109">
        <v>0</v>
      </c>
      <c r="J109">
        <v>2</v>
      </c>
      <c r="K109" t="str">
        <f t="shared" si="1"/>
        <v>23_2023</v>
      </c>
    </row>
    <row r="110" spans="1:11" x14ac:dyDescent="0.3">
      <c r="A110">
        <v>23</v>
      </c>
      <c r="B110">
        <v>2024</v>
      </c>
      <c r="C110">
        <v>1</v>
      </c>
      <c r="D110">
        <v>3138.49</v>
      </c>
      <c r="E110">
        <v>1</v>
      </c>
      <c r="F110">
        <v>1</v>
      </c>
      <c r="G110">
        <v>0</v>
      </c>
      <c r="H110">
        <v>1</v>
      </c>
      <c r="I110">
        <v>1</v>
      </c>
      <c r="J110">
        <v>3</v>
      </c>
      <c r="K110" t="str">
        <f t="shared" si="1"/>
        <v>23_2024</v>
      </c>
    </row>
    <row r="111" spans="1:11" x14ac:dyDescent="0.3">
      <c r="A111">
        <v>23</v>
      </c>
      <c r="B111">
        <v>2025</v>
      </c>
      <c r="C111">
        <v>3</v>
      </c>
      <c r="D111">
        <v>2308.61</v>
      </c>
      <c r="E111">
        <v>0</v>
      </c>
      <c r="F111">
        <v>2</v>
      </c>
      <c r="G111">
        <v>1</v>
      </c>
      <c r="H111">
        <v>1</v>
      </c>
      <c r="I111">
        <v>1</v>
      </c>
      <c r="J111">
        <v>33</v>
      </c>
      <c r="K111" t="str">
        <f t="shared" si="1"/>
        <v>23_2025</v>
      </c>
    </row>
    <row r="112" spans="1:11" x14ac:dyDescent="0.3">
      <c r="A112">
        <v>24</v>
      </c>
      <c r="B112">
        <v>2021</v>
      </c>
      <c r="C112">
        <v>6</v>
      </c>
      <c r="D112">
        <v>17028.939999999999</v>
      </c>
      <c r="E112">
        <v>2</v>
      </c>
      <c r="F112">
        <v>0</v>
      </c>
      <c r="G112">
        <v>6</v>
      </c>
      <c r="H112">
        <v>4</v>
      </c>
      <c r="I112">
        <v>2</v>
      </c>
      <c r="J112">
        <v>57</v>
      </c>
      <c r="K112" t="str">
        <f t="shared" si="1"/>
        <v>24_2021</v>
      </c>
    </row>
    <row r="113" spans="1:11" x14ac:dyDescent="0.3">
      <c r="A113">
        <v>24</v>
      </c>
      <c r="B113">
        <v>2022</v>
      </c>
      <c r="C113">
        <v>1</v>
      </c>
      <c r="D113">
        <v>87.34</v>
      </c>
      <c r="E113">
        <v>0</v>
      </c>
      <c r="F113">
        <v>0</v>
      </c>
      <c r="G113">
        <v>1</v>
      </c>
      <c r="H113">
        <v>0</v>
      </c>
      <c r="I113">
        <v>1</v>
      </c>
      <c r="J113">
        <v>5</v>
      </c>
      <c r="K113" t="str">
        <f t="shared" si="1"/>
        <v>24_2022</v>
      </c>
    </row>
    <row r="114" spans="1:11" x14ac:dyDescent="0.3">
      <c r="A114">
        <v>24</v>
      </c>
      <c r="B114">
        <v>2023</v>
      </c>
      <c r="C114">
        <v>2</v>
      </c>
      <c r="D114">
        <v>3524.0199999999995</v>
      </c>
      <c r="E114">
        <v>0</v>
      </c>
      <c r="F114">
        <v>1</v>
      </c>
      <c r="G114">
        <v>1</v>
      </c>
      <c r="H114">
        <v>1</v>
      </c>
      <c r="I114">
        <v>2</v>
      </c>
      <c r="J114">
        <v>19</v>
      </c>
      <c r="K114" t="str">
        <f t="shared" si="1"/>
        <v>24_2023</v>
      </c>
    </row>
    <row r="115" spans="1:11" x14ac:dyDescent="0.3">
      <c r="A115">
        <v>24</v>
      </c>
      <c r="B115">
        <v>2024</v>
      </c>
      <c r="C115">
        <v>1</v>
      </c>
      <c r="D115">
        <v>187.83</v>
      </c>
      <c r="E115">
        <v>0</v>
      </c>
      <c r="F115">
        <v>1</v>
      </c>
      <c r="G115">
        <v>0</v>
      </c>
      <c r="H115">
        <v>0</v>
      </c>
      <c r="I115">
        <v>0</v>
      </c>
      <c r="J115">
        <v>12</v>
      </c>
      <c r="K115" t="str">
        <f t="shared" si="1"/>
        <v>24_2024</v>
      </c>
    </row>
    <row r="116" spans="1:11" x14ac:dyDescent="0.3">
      <c r="A116">
        <v>24</v>
      </c>
      <c r="B116">
        <v>2025</v>
      </c>
      <c r="C116">
        <v>3</v>
      </c>
      <c r="D116">
        <v>4406.34</v>
      </c>
      <c r="E116">
        <v>1</v>
      </c>
      <c r="F116">
        <v>2</v>
      </c>
      <c r="G116">
        <v>1</v>
      </c>
      <c r="H116">
        <v>1</v>
      </c>
      <c r="I116">
        <v>1</v>
      </c>
      <c r="J116">
        <v>18</v>
      </c>
      <c r="K116" t="str">
        <f t="shared" si="1"/>
        <v>24_2025</v>
      </c>
    </row>
    <row r="117" spans="1:11" x14ac:dyDescent="0.3">
      <c r="A117">
        <v>25</v>
      </c>
      <c r="B117">
        <v>2021</v>
      </c>
      <c r="C117">
        <v>3</v>
      </c>
      <c r="D117">
        <v>6246.25</v>
      </c>
      <c r="E117">
        <v>0</v>
      </c>
      <c r="F117">
        <v>2</v>
      </c>
      <c r="G117">
        <v>1</v>
      </c>
      <c r="H117">
        <v>1</v>
      </c>
      <c r="I117">
        <v>1</v>
      </c>
      <c r="J117">
        <v>10</v>
      </c>
      <c r="K117" t="str">
        <f t="shared" si="1"/>
        <v>25_2021</v>
      </c>
    </row>
    <row r="118" spans="1:11" x14ac:dyDescent="0.3">
      <c r="A118">
        <v>25</v>
      </c>
      <c r="B118">
        <v>2022</v>
      </c>
      <c r="C118">
        <v>1</v>
      </c>
      <c r="D118">
        <v>57.53</v>
      </c>
      <c r="E118">
        <v>0</v>
      </c>
      <c r="F118">
        <v>1</v>
      </c>
      <c r="G118">
        <v>0</v>
      </c>
      <c r="H118">
        <v>0</v>
      </c>
      <c r="I118">
        <v>0</v>
      </c>
      <c r="J118">
        <v>7</v>
      </c>
      <c r="K118" t="str">
        <f t="shared" si="1"/>
        <v>25_2022</v>
      </c>
    </row>
    <row r="119" spans="1:11" x14ac:dyDescent="0.3">
      <c r="A119">
        <v>25</v>
      </c>
      <c r="B119">
        <v>2023</v>
      </c>
      <c r="C119">
        <v>1</v>
      </c>
      <c r="D119">
        <v>170.51</v>
      </c>
      <c r="E119">
        <v>0</v>
      </c>
      <c r="F119">
        <v>0</v>
      </c>
      <c r="G119">
        <v>1</v>
      </c>
      <c r="H119">
        <v>0</v>
      </c>
      <c r="I119">
        <v>1</v>
      </c>
      <c r="J119">
        <v>4</v>
      </c>
      <c r="K119" t="str">
        <f t="shared" si="1"/>
        <v>25_2023</v>
      </c>
    </row>
    <row r="120" spans="1:11" x14ac:dyDescent="0.3">
      <c r="A120">
        <v>25</v>
      </c>
      <c r="B120">
        <v>2024</v>
      </c>
      <c r="C120">
        <v>2</v>
      </c>
      <c r="D120">
        <v>8220.9</v>
      </c>
      <c r="E120">
        <v>1</v>
      </c>
      <c r="F120">
        <v>0</v>
      </c>
      <c r="G120">
        <v>2</v>
      </c>
      <c r="H120">
        <v>1</v>
      </c>
      <c r="I120">
        <v>2</v>
      </c>
      <c r="J120">
        <v>14</v>
      </c>
      <c r="K120" t="str">
        <f t="shared" si="1"/>
        <v>25_2024</v>
      </c>
    </row>
    <row r="121" spans="1:11" x14ac:dyDescent="0.3">
      <c r="A121">
        <v>25</v>
      </c>
      <c r="B121">
        <v>2025</v>
      </c>
      <c r="C121">
        <v>4</v>
      </c>
      <c r="D121">
        <v>5888.03</v>
      </c>
      <c r="E121">
        <v>2</v>
      </c>
      <c r="F121">
        <v>3</v>
      </c>
      <c r="G121">
        <v>1</v>
      </c>
      <c r="H121">
        <v>2</v>
      </c>
      <c r="I121">
        <v>0</v>
      </c>
      <c r="J121">
        <v>39</v>
      </c>
      <c r="K121" t="str">
        <f t="shared" si="1"/>
        <v>25_2025</v>
      </c>
    </row>
    <row r="122" spans="1:11" x14ac:dyDescent="0.3">
      <c r="A122">
        <v>26</v>
      </c>
      <c r="B122">
        <v>2021</v>
      </c>
      <c r="C122">
        <v>6</v>
      </c>
      <c r="D122">
        <v>14648.359999999999</v>
      </c>
      <c r="E122">
        <v>4</v>
      </c>
      <c r="F122">
        <v>1</v>
      </c>
      <c r="G122">
        <v>5</v>
      </c>
      <c r="H122">
        <v>4</v>
      </c>
      <c r="I122">
        <v>2</v>
      </c>
      <c r="J122">
        <v>55</v>
      </c>
      <c r="K122" t="str">
        <f t="shared" si="1"/>
        <v>26_2021</v>
      </c>
    </row>
    <row r="123" spans="1:11" x14ac:dyDescent="0.3">
      <c r="A123">
        <v>26</v>
      </c>
      <c r="B123">
        <v>2022</v>
      </c>
      <c r="C123">
        <v>4</v>
      </c>
      <c r="D123">
        <v>9599.869999999999</v>
      </c>
      <c r="E123">
        <v>0</v>
      </c>
      <c r="F123">
        <v>1</v>
      </c>
      <c r="G123">
        <v>3</v>
      </c>
      <c r="H123">
        <v>3</v>
      </c>
      <c r="I123">
        <v>3</v>
      </c>
      <c r="J123">
        <v>23</v>
      </c>
      <c r="K123" t="str">
        <f t="shared" si="1"/>
        <v>26_2022</v>
      </c>
    </row>
    <row r="124" spans="1:11" x14ac:dyDescent="0.3">
      <c r="A124">
        <v>26</v>
      </c>
      <c r="B124">
        <v>2023</v>
      </c>
      <c r="C124">
        <v>6</v>
      </c>
      <c r="D124">
        <v>5993.2099999999991</v>
      </c>
      <c r="E124">
        <v>1</v>
      </c>
      <c r="F124">
        <v>4</v>
      </c>
      <c r="G124">
        <v>2</v>
      </c>
      <c r="H124">
        <v>3</v>
      </c>
      <c r="I124">
        <v>2</v>
      </c>
      <c r="J124">
        <v>71</v>
      </c>
      <c r="K124" t="str">
        <f t="shared" si="1"/>
        <v>26_2023</v>
      </c>
    </row>
    <row r="125" spans="1:11" x14ac:dyDescent="0.3">
      <c r="A125">
        <v>26</v>
      </c>
      <c r="B125">
        <v>2024</v>
      </c>
      <c r="C125">
        <v>4</v>
      </c>
      <c r="D125">
        <v>5583.71</v>
      </c>
      <c r="E125">
        <v>0</v>
      </c>
      <c r="F125">
        <v>3</v>
      </c>
      <c r="G125">
        <v>1</v>
      </c>
      <c r="H125">
        <v>2</v>
      </c>
      <c r="I125">
        <v>0</v>
      </c>
      <c r="J125">
        <v>23</v>
      </c>
      <c r="K125" t="str">
        <f t="shared" si="1"/>
        <v>26_2024</v>
      </c>
    </row>
    <row r="126" spans="1:11" x14ac:dyDescent="0.3">
      <c r="A126">
        <v>26</v>
      </c>
      <c r="B126">
        <v>2025</v>
      </c>
      <c r="C126">
        <v>6</v>
      </c>
      <c r="D126">
        <v>10674.7</v>
      </c>
      <c r="E126">
        <v>5</v>
      </c>
      <c r="F126">
        <v>4</v>
      </c>
      <c r="G126">
        <v>2</v>
      </c>
      <c r="H126">
        <v>5</v>
      </c>
      <c r="I126">
        <v>3</v>
      </c>
      <c r="J126">
        <v>57</v>
      </c>
      <c r="K126" t="str">
        <f t="shared" si="1"/>
        <v>26_2025</v>
      </c>
    </row>
    <row r="127" spans="1:11" x14ac:dyDescent="0.3">
      <c r="A127">
        <v>27</v>
      </c>
      <c r="B127">
        <v>2021</v>
      </c>
      <c r="C127">
        <v>2</v>
      </c>
      <c r="D127">
        <v>1279.3499999999999</v>
      </c>
      <c r="E127">
        <v>0</v>
      </c>
      <c r="F127">
        <v>2</v>
      </c>
      <c r="G127">
        <v>0</v>
      </c>
      <c r="H127">
        <v>0</v>
      </c>
      <c r="I127">
        <v>0</v>
      </c>
      <c r="J127">
        <v>10</v>
      </c>
      <c r="K127" t="str">
        <f t="shared" si="1"/>
        <v>27_2021</v>
      </c>
    </row>
    <row r="128" spans="1:11" x14ac:dyDescent="0.3">
      <c r="A128">
        <v>27</v>
      </c>
      <c r="B128">
        <v>2022</v>
      </c>
      <c r="C128">
        <v>2</v>
      </c>
      <c r="D128">
        <v>1856.04</v>
      </c>
      <c r="E128">
        <v>0</v>
      </c>
      <c r="F128">
        <v>1</v>
      </c>
      <c r="G128">
        <v>1</v>
      </c>
      <c r="H128">
        <v>0</v>
      </c>
      <c r="I128">
        <v>0</v>
      </c>
      <c r="J128">
        <v>18</v>
      </c>
      <c r="K128" t="str">
        <f t="shared" si="1"/>
        <v>27_2022</v>
      </c>
    </row>
    <row r="129" spans="1:11" x14ac:dyDescent="0.3">
      <c r="A129">
        <v>27</v>
      </c>
      <c r="B129">
        <v>2023</v>
      </c>
      <c r="C129">
        <v>3</v>
      </c>
      <c r="D129">
        <v>668.98</v>
      </c>
      <c r="E129">
        <v>0</v>
      </c>
      <c r="F129">
        <v>3</v>
      </c>
      <c r="G129">
        <v>0</v>
      </c>
      <c r="H129">
        <v>0</v>
      </c>
      <c r="I129">
        <v>0</v>
      </c>
      <c r="J129">
        <v>49</v>
      </c>
      <c r="K129" t="str">
        <f t="shared" si="1"/>
        <v>27_2023</v>
      </c>
    </row>
    <row r="130" spans="1:11" x14ac:dyDescent="0.3">
      <c r="A130">
        <v>27</v>
      </c>
      <c r="B130">
        <v>2024</v>
      </c>
      <c r="C130">
        <v>3</v>
      </c>
      <c r="D130">
        <v>7507.29</v>
      </c>
      <c r="E130">
        <v>2</v>
      </c>
      <c r="F130">
        <v>0</v>
      </c>
      <c r="G130">
        <v>3</v>
      </c>
      <c r="H130">
        <v>2</v>
      </c>
      <c r="I130">
        <v>3</v>
      </c>
      <c r="J130">
        <v>51</v>
      </c>
      <c r="K130" t="str">
        <f t="shared" ref="K130:K193" si="2">A130&amp;"_"&amp;B130</f>
        <v>27_2024</v>
      </c>
    </row>
    <row r="131" spans="1:11" x14ac:dyDescent="0.3">
      <c r="A131">
        <v>27</v>
      </c>
      <c r="B131">
        <v>2025</v>
      </c>
      <c r="C131">
        <v>2</v>
      </c>
      <c r="D131">
        <v>2195.9300000000003</v>
      </c>
      <c r="E131">
        <v>0</v>
      </c>
      <c r="F131">
        <v>0</v>
      </c>
      <c r="G131">
        <v>2</v>
      </c>
      <c r="H131">
        <v>0</v>
      </c>
      <c r="I131">
        <v>1</v>
      </c>
      <c r="J131">
        <v>29</v>
      </c>
      <c r="K131" t="str">
        <f t="shared" si="2"/>
        <v>27_2025</v>
      </c>
    </row>
    <row r="132" spans="1:11" x14ac:dyDescent="0.3">
      <c r="A132">
        <v>28</v>
      </c>
      <c r="B132">
        <v>2021</v>
      </c>
      <c r="C132">
        <v>3</v>
      </c>
      <c r="D132">
        <v>9031.7199999999993</v>
      </c>
      <c r="E132">
        <v>0</v>
      </c>
      <c r="F132">
        <v>0</v>
      </c>
      <c r="G132">
        <v>3</v>
      </c>
      <c r="H132">
        <v>2</v>
      </c>
      <c r="I132">
        <v>0</v>
      </c>
      <c r="J132">
        <v>23</v>
      </c>
      <c r="K132" t="str">
        <f t="shared" si="2"/>
        <v>28_2021</v>
      </c>
    </row>
    <row r="133" spans="1:11" x14ac:dyDescent="0.3">
      <c r="A133">
        <v>28</v>
      </c>
      <c r="B133">
        <v>2022</v>
      </c>
      <c r="C133">
        <v>1</v>
      </c>
      <c r="D133">
        <v>1421.02</v>
      </c>
      <c r="E133">
        <v>0</v>
      </c>
      <c r="F133">
        <v>0</v>
      </c>
      <c r="G133">
        <v>1</v>
      </c>
      <c r="H133">
        <v>1</v>
      </c>
      <c r="I133">
        <v>0</v>
      </c>
      <c r="J133">
        <v>7</v>
      </c>
      <c r="K133" t="str">
        <f t="shared" si="2"/>
        <v>28_2022</v>
      </c>
    </row>
    <row r="134" spans="1:11" x14ac:dyDescent="0.3">
      <c r="A134">
        <v>28</v>
      </c>
      <c r="B134">
        <v>2023</v>
      </c>
      <c r="C134">
        <v>1</v>
      </c>
      <c r="D134">
        <v>253.42</v>
      </c>
      <c r="E134">
        <v>0</v>
      </c>
      <c r="F134">
        <v>1</v>
      </c>
      <c r="G134">
        <v>0</v>
      </c>
      <c r="H134">
        <v>0</v>
      </c>
      <c r="I134">
        <v>0</v>
      </c>
      <c r="J134">
        <v>11</v>
      </c>
      <c r="K134" t="str">
        <f t="shared" si="2"/>
        <v>28_2023</v>
      </c>
    </row>
    <row r="135" spans="1:11" x14ac:dyDescent="0.3">
      <c r="A135">
        <v>28</v>
      </c>
      <c r="B135">
        <v>2025</v>
      </c>
      <c r="C135">
        <v>4</v>
      </c>
      <c r="D135">
        <v>10392.94</v>
      </c>
      <c r="E135">
        <v>1</v>
      </c>
      <c r="F135">
        <v>3</v>
      </c>
      <c r="G135">
        <v>1</v>
      </c>
      <c r="H135">
        <v>3</v>
      </c>
      <c r="I135">
        <v>1</v>
      </c>
      <c r="J135">
        <v>39</v>
      </c>
      <c r="K135" t="str">
        <f t="shared" si="2"/>
        <v>28_2025</v>
      </c>
    </row>
    <row r="136" spans="1:11" x14ac:dyDescent="0.3">
      <c r="A136">
        <v>29</v>
      </c>
      <c r="B136">
        <v>2021</v>
      </c>
      <c r="C136">
        <v>2</v>
      </c>
      <c r="D136">
        <v>2811.06</v>
      </c>
      <c r="E136">
        <v>0</v>
      </c>
      <c r="F136">
        <v>0</v>
      </c>
      <c r="G136">
        <v>2</v>
      </c>
      <c r="H136">
        <v>1</v>
      </c>
      <c r="I136">
        <v>2</v>
      </c>
      <c r="J136">
        <v>19</v>
      </c>
      <c r="K136" t="str">
        <f t="shared" si="2"/>
        <v>29_2021</v>
      </c>
    </row>
    <row r="137" spans="1:11" x14ac:dyDescent="0.3">
      <c r="A137">
        <v>29</v>
      </c>
      <c r="B137">
        <v>2022</v>
      </c>
      <c r="C137">
        <v>3</v>
      </c>
      <c r="D137">
        <v>8288.77</v>
      </c>
      <c r="E137">
        <v>0</v>
      </c>
      <c r="F137">
        <v>1</v>
      </c>
      <c r="G137">
        <v>2</v>
      </c>
      <c r="H137">
        <v>2</v>
      </c>
      <c r="I137">
        <v>1</v>
      </c>
      <c r="J137">
        <v>18</v>
      </c>
      <c r="K137" t="str">
        <f t="shared" si="2"/>
        <v>29_2022</v>
      </c>
    </row>
    <row r="138" spans="1:11" x14ac:dyDescent="0.3">
      <c r="A138">
        <v>29</v>
      </c>
      <c r="B138">
        <v>2023</v>
      </c>
      <c r="C138">
        <v>1</v>
      </c>
      <c r="D138">
        <v>1536.91</v>
      </c>
      <c r="E138">
        <v>0</v>
      </c>
      <c r="F138">
        <v>0</v>
      </c>
      <c r="G138">
        <v>1</v>
      </c>
      <c r="H138">
        <v>1</v>
      </c>
      <c r="I138">
        <v>1</v>
      </c>
      <c r="J138">
        <v>6</v>
      </c>
      <c r="K138" t="str">
        <f t="shared" si="2"/>
        <v>29_2023</v>
      </c>
    </row>
    <row r="139" spans="1:11" x14ac:dyDescent="0.3">
      <c r="A139">
        <v>29</v>
      </c>
      <c r="B139">
        <v>2024</v>
      </c>
      <c r="C139">
        <v>3</v>
      </c>
      <c r="D139">
        <v>6866.51</v>
      </c>
      <c r="E139">
        <v>0</v>
      </c>
      <c r="F139">
        <v>0</v>
      </c>
      <c r="G139">
        <v>3</v>
      </c>
      <c r="H139">
        <v>2</v>
      </c>
      <c r="I139">
        <v>2</v>
      </c>
      <c r="J139">
        <v>17</v>
      </c>
      <c r="K139" t="str">
        <f t="shared" si="2"/>
        <v>29_2024</v>
      </c>
    </row>
    <row r="140" spans="1:11" x14ac:dyDescent="0.3">
      <c r="A140">
        <v>29</v>
      </c>
      <c r="B140">
        <v>2025</v>
      </c>
      <c r="C140">
        <v>3</v>
      </c>
      <c r="D140">
        <v>6231.59</v>
      </c>
      <c r="E140">
        <v>0</v>
      </c>
      <c r="F140">
        <v>2</v>
      </c>
      <c r="G140">
        <v>1</v>
      </c>
      <c r="H140">
        <v>2</v>
      </c>
      <c r="I140">
        <v>0</v>
      </c>
      <c r="J140">
        <v>30</v>
      </c>
      <c r="K140" t="str">
        <f t="shared" si="2"/>
        <v>29_2025</v>
      </c>
    </row>
    <row r="141" spans="1:11" x14ac:dyDescent="0.3">
      <c r="A141">
        <v>30</v>
      </c>
      <c r="B141">
        <v>2021</v>
      </c>
      <c r="C141">
        <v>3</v>
      </c>
      <c r="D141">
        <v>8478.61</v>
      </c>
      <c r="E141">
        <v>1</v>
      </c>
      <c r="F141">
        <v>3</v>
      </c>
      <c r="G141">
        <v>0</v>
      </c>
      <c r="H141">
        <v>3</v>
      </c>
      <c r="I141">
        <v>2</v>
      </c>
      <c r="J141">
        <v>17</v>
      </c>
      <c r="K141" t="str">
        <f t="shared" si="2"/>
        <v>30_2021</v>
      </c>
    </row>
    <row r="142" spans="1:11" x14ac:dyDescent="0.3">
      <c r="A142">
        <v>30</v>
      </c>
      <c r="B142">
        <v>2022</v>
      </c>
      <c r="C142">
        <v>1</v>
      </c>
      <c r="D142">
        <v>1554.33</v>
      </c>
      <c r="E142">
        <v>1</v>
      </c>
      <c r="F142">
        <v>0</v>
      </c>
      <c r="G142">
        <v>1</v>
      </c>
      <c r="H142">
        <v>1</v>
      </c>
      <c r="I142">
        <v>1</v>
      </c>
      <c r="J142">
        <v>3</v>
      </c>
      <c r="K142" t="str">
        <f t="shared" si="2"/>
        <v>30_2022</v>
      </c>
    </row>
    <row r="143" spans="1:11" x14ac:dyDescent="0.3">
      <c r="A143">
        <v>30</v>
      </c>
      <c r="B143">
        <v>2023</v>
      </c>
      <c r="C143">
        <v>3</v>
      </c>
      <c r="D143">
        <v>7352.34</v>
      </c>
      <c r="E143">
        <v>2</v>
      </c>
      <c r="F143">
        <v>1</v>
      </c>
      <c r="G143">
        <v>2</v>
      </c>
      <c r="H143">
        <v>2</v>
      </c>
      <c r="I143">
        <v>2</v>
      </c>
      <c r="J143">
        <v>25</v>
      </c>
      <c r="K143" t="str">
        <f t="shared" si="2"/>
        <v>30_2023</v>
      </c>
    </row>
    <row r="144" spans="1:11" x14ac:dyDescent="0.3">
      <c r="A144">
        <v>30</v>
      </c>
      <c r="B144">
        <v>2024</v>
      </c>
      <c r="C144">
        <v>1</v>
      </c>
      <c r="D144">
        <v>927.46</v>
      </c>
      <c r="E144">
        <v>0</v>
      </c>
      <c r="F144">
        <v>1</v>
      </c>
      <c r="G144">
        <v>0</v>
      </c>
      <c r="H144">
        <v>0</v>
      </c>
      <c r="I144">
        <v>0</v>
      </c>
      <c r="J144">
        <v>7</v>
      </c>
      <c r="K144" t="str">
        <f t="shared" si="2"/>
        <v>30_2024</v>
      </c>
    </row>
    <row r="145" spans="1:11" x14ac:dyDescent="0.3">
      <c r="A145">
        <v>30</v>
      </c>
      <c r="B145">
        <v>2025</v>
      </c>
      <c r="C145">
        <v>3</v>
      </c>
      <c r="D145">
        <v>4575.22</v>
      </c>
      <c r="E145">
        <v>0</v>
      </c>
      <c r="F145">
        <v>3</v>
      </c>
      <c r="G145">
        <v>0</v>
      </c>
      <c r="H145">
        <v>2</v>
      </c>
      <c r="I145">
        <v>1</v>
      </c>
      <c r="J145">
        <v>22</v>
      </c>
      <c r="K145" t="str">
        <f t="shared" si="2"/>
        <v>30_2025</v>
      </c>
    </row>
    <row r="146" spans="1:11" x14ac:dyDescent="0.3">
      <c r="A146">
        <v>31</v>
      </c>
      <c r="B146">
        <v>2021</v>
      </c>
      <c r="C146">
        <v>3</v>
      </c>
      <c r="D146">
        <v>4579.55</v>
      </c>
      <c r="E146">
        <v>0</v>
      </c>
      <c r="F146">
        <v>3</v>
      </c>
      <c r="G146">
        <v>0</v>
      </c>
      <c r="H146">
        <v>1</v>
      </c>
      <c r="I146">
        <v>0</v>
      </c>
      <c r="J146">
        <v>24</v>
      </c>
      <c r="K146" t="str">
        <f t="shared" si="2"/>
        <v>31_2021</v>
      </c>
    </row>
    <row r="147" spans="1:11" x14ac:dyDescent="0.3">
      <c r="A147">
        <v>31</v>
      </c>
      <c r="B147">
        <v>2022</v>
      </c>
      <c r="C147">
        <v>6</v>
      </c>
      <c r="D147">
        <v>14831.89</v>
      </c>
      <c r="E147">
        <v>5</v>
      </c>
      <c r="F147">
        <v>1</v>
      </c>
      <c r="G147">
        <v>5</v>
      </c>
      <c r="H147">
        <v>5</v>
      </c>
      <c r="I147">
        <v>4</v>
      </c>
      <c r="J147">
        <v>41</v>
      </c>
      <c r="K147" t="str">
        <f t="shared" si="2"/>
        <v>31_2022</v>
      </c>
    </row>
    <row r="148" spans="1:11" x14ac:dyDescent="0.3">
      <c r="A148">
        <v>31</v>
      </c>
      <c r="B148">
        <v>2023</v>
      </c>
      <c r="C148">
        <v>3</v>
      </c>
      <c r="D148">
        <v>4698.53</v>
      </c>
      <c r="E148">
        <v>3</v>
      </c>
      <c r="F148">
        <v>1</v>
      </c>
      <c r="G148">
        <v>2</v>
      </c>
      <c r="H148">
        <v>1</v>
      </c>
      <c r="I148">
        <v>2</v>
      </c>
      <c r="J148">
        <v>32</v>
      </c>
      <c r="K148" t="str">
        <f t="shared" si="2"/>
        <v>31_2023</v>
      </c>
    </row>
    <row r="149" spans="1:11" x14ac:dyDescent="0.3">
      <c r="A149">
        <v>31</v>
      </c>
      <c r="B149">
        <v>2024</v>
      </c>
      <c r="C149">
        <v>2</v>
      </c>
      <c r="D149">
        <v>1718.5900000000001</v>
      </c>
      <c r="E149">
        <v>0</v>
      </c>
      <c r="F149">
        <v>1</v>
      </c>
      <c r="G149">
        <v>1</v>
      </c>
      <c r="H149">
        <v>0</v>
      </c>
      <c r="I149">
        <v>1</v>
      </c>
      <c r="J149">
        <v>13</v>
      </c>
      <c r="K149" t="str">
        <f t="shared" si="2"/>
        <v>31_2024</v>
      </c>
    </row>
    <row r="150" spans="1:11" x14ac:dyDescent="0.3">
      <c r="A150">
        <v>32</v>
      </c>
      <c r="B150">
        <v>2021</v>
      </c>
      <c r="C150">
        <v>3</v>
      </c>
      <c r="D150">
        <v>9967.31</v>
      </c>
      <c r="E150">
        <v>0</v>
      </c>
      <c r="F150">
        <v>2</v>
      </c>
      <c r="G150">
        <v>1</v>
      </c>
      <c r="H150">
        <v>2</v>
      </c>
      <c r="I150">
        <v>0</v>
      </c>
      <c r="J150">
        <v>15</v>
      </c>
      <c r="K150" t="str">
        <f t="shared" si="2"/>
        <v>32_2021</v>
      </c>
    </row>
    <row r="151" spans="1:11" x14ac:dyDescent="0.3">
      <c r="A151">
        <v>32</v>
      </c>
      <c r="B151">
        <v>2022</v>
      </c>
      <c r="C151">
        <v>4</v>
      </c>
      <c r="D151">
        <v>6597.32</v>
      </c>
      <c r="E151">
        <v>0</v>
      </c>
      <c r="F151">
        <v>3</v>
      </c>
      <c r="G151">
        <v>1</v>
      </c>
      <c r="H151">
        <v>2</v>
      </c>
      <c r="I151">
        <v>1</v>
      </c>
      <c r="J151">
        <v>33</v>
      </c>
      <c r="K151" t="str">
        <f t="shared" si="2"/>
        <v>32_2022</v>
      </c>
    </row>
    <row r="152" spans="1:11" x14ac:dyDescent="0.3">
      <c r="A152">
        <v>32</v>
      </c>
      <c r="B152">
        <v>2023</v>
      </c>
      <c r="C152">
        <v>3</v>
      </c>
      <c r="D152">
        <v>2159.61</v>
      </c>
      <c r="E152">
        <v>0</v>
      </c>
      <c r="F152">
        <v>2</v>
      </c>
      <c r="G152">
        <v>1</v>
      </c>
      <c r="H152">
        <v>1</v>
      </c>
      <c r="I152">
        <v>0</v>
      </c>
      <c r="J152">
        <v>23</v>
      </c>
      <c r="K152" t="str">
        <f t="shared" si="2"/>
        <v>32_2023</v>
      </c>
    </row>
    <row r="153" spans="1:11" x14ac:dyDescent="0.3">
      <c r="A153">
        <v>32</v>
      </c>
      <c r="B153">
        <v>2024</v>
      </c>
      <c r="C153">
        <v>3</v>
      </c>
      <c r="D153">
        <v>1772.7499999999998</v>
      </c>
      <c r="E153">
        <v>0</v>
      </c>
      <c r="F153">
        <v>2</v>
      </c>
      <c r="G153">
        <v>1</v>
      </c>
      <c r="H153">
        <v>0</v>
      </c>
      <c r="I153">
        <v>2</v>
      </c>
      <c r="J153">
        <v>23</v>
      </c>
      <c r="K153" t="str">
        <f t="shared" si="2"/>
        <v>32_2024</v>
      </c>
    </row>
    <row r="154" spans="1:11" x14ac:dyDescent="0.3">
      <c r="A154">
        <v>32</v>
      </c>
      <c r="B154">
        <v>2025</v>
      </c>
      <c r="C154">
        <v>3</v>
      </c>
      <c r="D154">
        <v>11560.25</v>
      </c>
      <c r="E154">
        <v>2</v>
      </c>
      <c r="F154">
        <v>2</v>
      </c>
      <c r="G154">
        <v>1</v>
      </c>
      <c r="H154">
        <v>3</v>
      </c>
      <c r="I154">
        <v>1</v>
      </c>
      <c r="J154">
        <v>23</v>
      </c>
      <c r="K154" t="str">
        <f t="shared" si="2"/>
        <v>32_2025</v>
      </c>
    </row>
    <row r="155" spans="1:11" x14ac:dyDescent="0.3">
      <c r="A155">
        <v>33</v>
      </c>
      <c r="B155">
        <v>2021</v>
      </c>
      <c r="C155">
        <v>4</v>
      </c>
      <c r="D155">
        <v>3349.9</v>
      </c>
      <c r="E155">
        <v>1</v>
      </c>
      <c r="F155">
        <v>3</v>
      </c>
      <c r="G155">
        <v>1</v>
      </c>
      <c r="H155">
        <v>0</v>
      </c>
      <c r="I155">
        <v>3</v>
      </c>
      <c r="J155">
        <v>50</v>
      </c>
      <c r="K155" t="str">
        <f t="shared" si="2"/>
        <v>33_2021</v>
      </c>
    </row>
    <row r="156" spans="1:11" x14ac:dyDescent="0.3">
      <c r="A156">
        <v>33</v>
      </c>
      <c r="B156">
        <v>2022</v>
      </c>
      <c r="C156">
        <v>1</v>
      </c>
      <c r="D156">
        <v>836.09</v>
      </c>
      <c r="E156">
        <v>0</v>
      </c>
      <c r="F156">
        <v>1</v>
      </c>
      <c r="G156">
        <v>0</v>
      </c>
      <c r="H156">
        <v>0</v>
      </c>
      <c r="I156">
        <v>0</v>
      </c>
      <c r="J156">
        <v>7</v>
      </c>
      <c r="K156" t="str">
        <f t="shared" si="2"/>
        <v>33_2022</v>
      </c>
    </row>
    <row r="157" spans="1:11" x14ac:dyDescent="0.3">
      <c r="A157">
        <v>33</v>
      </c>
      <c r="B157">
        <v>2023</v>
      </c>
      <c r="C157">
        <v>3</v>
      </c>
      <c r="D157">
        <v>8914.58</v>
      </c>
      <c r="E157">
        <v>3</v>
      </c>
      <c r="F157">
        <v>3</v>
      </c>
      <c r="G157">
        <v>0</v>
      </c>
      <c r="H157">
        <v>2</v>
      </c>
      <c r="I157">
        <v>0</v>
      </c>
      <c r="J157">
        <v>23</v>
      </c>
      <c r="K157" t="str">
        <f t="shared" si="2"/>
        <v>33_2023</v>
      </c>
    </row>
    <row r="158" spans="1:11" x14ac:dyDescent="0.3">
      <c r="A158">
        <v>33</v>
      </c>
      <c r="B158">
        <v>2024</v>
      </c>
      <c r="C158">
        <v>2</v>
      </c>
      <c r="D158">
        <v>1064.0999999999999</v>
      </c>
      <c r="E158">
        <v>0</v>
      </c>
      <c r="F158">
        <v>1</v>
      </c>
      <c r="G158">
        <v>1</v>
      </c>
      <c r="H158">
        <v>0</v>
      </c>
      <c r="I158">
        <v>0</v>
      </c>
      <c r="J158">
        <v>10</v>
      </c>
      <c r="K158" t="str">
        <f t="shared" si="2"/>
        <v>33_2024</v>
      </c>
    </row>
    <row r="159" spans="1:11" x14ac:dyDescent="0.3">
      <c r="A159">
        <v>33</v>
      </c>
      <c r="B159">
        <v>2025</v>
      </c>
      <c r="C159">
        <v>3</v>
      </c>
      <c r="D159">
        <v>3277.78</v>
      </c>
      <c r="E159">
        <v>0</v>
      </c>
      <c r="F159">
        <v>2</v>
      </c>
      <c r="G159">
        <v>1</v>
      </c>
      <c r="H159">
        <v>1</v>
      </c>
      <c r="I159">
        <v>1</v>
      </c>
      <c r="J159">
        <v>33</v>
      </c>
      <c r="K159" t="str">
        <f t="shared" si="2"/>
        <v>33_2025</v>
      </c>
    </row>
    <row r="160" spans="1:11" x14ac:dyDescent="0.3">
      <c r="A160">
        <v>34</v>
      </c>
      <c r="B160">
        <v>2021</v>
      </c>
      <c r="C160">
        <v>3</v>
      </c>
      <c r="D160">
        <v>17549.5</v>
      </c>
      <c r="E160">
        <v>1</v>
      </c>
      <c r="F160">
        <v>1</v>
      </c>
      <c r="G160">
        <v>2</v>
      </c>
      <c r="H160">
        <v>3</v>
      </c>
      <c r="I160">
        <v>2</v>
      </c>
      <c r="J160">
        <v>32</v>
      </c>
      <c r="K160" t="str">
        <f t="shared" si="2"/>
        <v>34_2021</v>
      </c>
    </row>
    <row r="161" spans="1:11" x14ac:dyDescent="0.3">
      <c r="A161">
        <v>34</v>
      </c>
      <c r="B161">
        <v>2022</v>
      </c>
      <c r="C161">
        <v>3</v>
      </c>
      <c r="D161">
        <v>3650.0199999999995</v>
      </c>
      <c r="E161">
        <v>0</v>
      </c>
      <c r="F161">
        <v>3</v>
      </c>
      <c r="G161">
        <v>0</v>
      </c>
      <c r="H161">
        <v>1</v>
      </c>
      <c r="I161">
        <v>1</v>
      </c>
      <c r="J161">
        <v>44</v>
      </c>
      <c r="K161" t="str">
        <f t="shared" si="2"/>
        <v>34_2022</v>
      </c>
    </row>
    <row r="162" spans="1:11" x14ac:dyDescent="0.3">
      <c r="A162">
        <v>34</v>
      </c>
      <c r="B162">
        <v>2024</v>
      </c>
      <c r="C162">
        <v>3</v>
      </c>
      <c r="D162">
        <v>7894.91</v>
      </c>
      <c r="E162">
        <v>2</v>
      </c>
      <c r="F162">
        <v>1</v>
      </c>
      <c r="G162">
        <v>2</v>
      </c>
      <c r="H162">
        <v>2</v>
      </c>
      <c r="I162">
        <v>2</v>
      </c>
      <c r="J162">
        <v>23</v>
      </c>
      <c r="K162" t="str">
        <f t="shared" si="2"/>
        <v>34_2024</v>
      </c>
    </row>
    <row r="163" spans="1:11" x14ac:dyDescent="0.3">
      <c r="A163">
        <v>34</v>
      </c>
      <c r="B163">
        <v>2025</v>
      </c>
      <c r="C163">
        <v>3</v>
      </c>
      <c r="D163">
        <v>10944.59</v>
      </c>
      <c r="E163">
        <v>3</v>
      </c>
      <c r="F163">
        <v>1</v>
      </c>
      <c r="G163">
        <v>2</v>
      </c>
      <c r="H163">
        <v>2</v>
      </c>
      <c r="I163">
        <v>1</v>
      </c>
      <c r="J163">
        <v>43</v>
      </c>
      <c r="K163" t="str">
        <f t="shared" si="2"/>
        <v>34_2025</v>
      </c>
    </row>
    <row r="164" spans="1:11" x14ac:dyDescent="0.3">
      <c r="A164">
        <v>35</v>
      </c>
      <c r="B164">
        <v>2021</v>
      </c>
      <c r="C164">
        <v>6</v>
      </c>
      <c r="D164">
        <v>22416.3</v>
      </c>
      <c r="E164">
        <v>4</v>
      </c>
      <c r="F164">
        <v>1</v>
      </c>
      <c r="G164">
        <v>5</v>
      </c>
      <c r="H164">
        <v>5</v>
      </c>
      <c r="I164">
        <v>4</v>
      </c>
      <c r="J164">
        <v>76</v>
      </c>
      <c r="K164" t="str">
        <f t="shared" si="2"/>
        <v>35_2021</v>
      </c>
    </row>
    <row r="165" spans="1:11" x14ac:dyDescent="0.3">
      <c r="A165">
        <v>35</v>
      </c>
      <c r="B165">
        <v>2023</v>
      </c>
      <c r="C165">
        <v>4</v>
      </c>
      <c r="D165">
        <v>10663.8</v>
      </c>
      <c r="E165">
        <v>3</v>
      </c>
      <c r="F165">
        <v>3</v>
      </c>
      <c r="G165">
        <v>1</v>
      </c>
      <c r="H165">
        <v>3</v>
      </c>
      <c r="I165">
        <v>2</v>
      </c>
      <c r="J165">
        <v>39</v>
      </c>
      <c r="K165" t="str">
        <f t="shared" si="2"/>
        <v>35_2023</v>
      </c>
    </row>
    <row r="166" spans="1:11" x14ac:dyDescent="0.3">
      <c r="A166">
        <v>35</v>
      </c>
      <c r="B166">
        <v>2024</v>
      </c>
      <c r="C166">
        <v>6</v>
      </c>
      <c r="D166">
        <v>29197.22</v>
      </c>
      <c r="E166">
        <v>3</v>
      </c>
      <c r="F166">
        <v>4</v>
      </c>
      <c r="G166">
        <v>2</v>
      </c>
      <c r="H166">
        <v>5</v>
      </c>
      <c r="I166">
        <v>1</v>
      </c>
      <c r="J166">
        <v>68</v>
      </c>
      <c r="K166" t="str">
        <f t="shared" si="2"/>
        <v>35_2024</v>
      </c>
    </row>
    <row r="167" spans="1:11" x14ac:dyDescent="0.3">
      <c r="A167">
        <v>35</v>
      </c>
      <c r="B167">
        <v>2025</v>
      </c>
      <c r="C167">
        <v>3</v>
      </c>
      <c r="D167">
        <v>7612.12</v>
      </c>
      <c r="E167">
        <v>0</v>
      </c>
      <c r="F167">
        <v>3</v>
      </c>
      <c r="G167">
        <v>0</v>
      </c>
      <c r="H167">
        <v>1</v>
      </c>
      <c r="I167">
        <v>1</v>
      </c>
      <c r="J167">
        <v>24</v>
      </c>
      <c r="K167" t="str">
        <f t="shared" si="2"/>
        <v>35_2025</v>
      </c>
    </row>
    <row r="168" spans="1:11" x14ac:dyDescent="0.3">
      <c r="A168">
        <v>36</v>
      </c>
      <c r="B168">
        <v>2021</v>
      </c>
      <c r="C168">
        <v>6</v>
      </c>
      <c r="D168">
        <v>11872.11</v>
      </c>
      <c r="E168">
        <v>3</v>
      </c>
      <c r="F168">
        <v>4</v>
      </c>
      <c r="G168">
        <v>2</v>
      </c>
      <c r="H168">
        <v>3</v>
      </c>
      <c r="I168">
        <v>2</v>
      </c>
      <c r="J168">
        <v>75</v>
      </c>
      <c r="K168" t="str">
        <f t="shared" si="2"/>
        <v>36_2021</v>
      </c>
    </row>
    <row r="169" spans="1:11" x14ac:dyDescent="0.3">
      <c r="A169">
        <v>36</v>
      </c>
      <c r="B169">
        <v>2022</v>
      </c>
      <c r="C169">
        <v>3</v>
      </c>
      <c r="D169">
        <v>2937.75</v>
      </c>
      <c r="E169">
        <v>0</v>
      </c>
      <c r="F169">
        <v>3</v>
      </c>
      <c r="G169">
        <v>0</v>
      </c>
      <c r="H169">
        <v>1</v>
      </c>
      <c r="I169">
        <v>0</v>
      </c>
      <c r="J169">
        <v>18</v>
      </c>
      <c r="K169" t="str">
        <f t="shared" si="2"/>
        <v>36_2022</v>
      </c>
    </row>
    <row r="170" spans="1:11" x14ac:dyDescent="0.3">
      <c r="A170">
        <v>36</v>
      </c>
      <c r="B170">
        <v>2023</v>
      </c>
      <c r="C170">
        <v>2</v>
      </c>
      <c r="D170">
        <v>563.28</v>
      </c>
      <c r="E170">
        <v>0</v>
      </c>
      <c r="F170">
        <v>1</v>
      </c>
      <c r="G170">
        <v>1</v>
      </c>
      <c r="H170">
        <v>0</v>
      </c>
      <c r="I170">
        <v>0</v>
      </c>
      <c r="J170">
        <v>4</v>
      </c>
      <c r="K170" t="str">
        <f t="shared" si="2"/>
        <v>36_2023</v>
      </c>
    </row>
    <row r="171" spans="1:11" x14ac:dyDescent="0.3">
      <c r="A171">
        <v>36</v>
      </c>
      <c r="B171">
        <v>2024</v>
      </c>
      <c r="C171">
        <v>1</v>
      </c>
      <c r="D171">
        <v>3808.85</v>
      </c>
      <c r="E171">
        <v>1</v>
      </c>
      <c r="F171">
        <v>0</v>
      </c>
      <c r="G171">
        <v>1</v>
      </c>
      <c r="H171">
        <v>1</v>
      </c>
      <c r="I171">
        <v>1</v>
      </c>
      <c r="J171">
        <v>10</v>
      </c>
      <c r="K171" t="str">
        <f t="shared" si="2"/>
        <v>36_2024</v>
      </c>
    </row>
    <row r="172" spans="1:11" x14ac:dyDescent="0.3">
      <c r="A172">
        <v>36</v>
      </c>
      <c r="B172">
        <v>2025</v>
      </c>
      <c r="C172">
        <v>2</v>
      </c>
      <c r="D172">
        <v>8360.2900000000009</v>
      </c>
      <c r="E172">
        <v>1</v>
      </c>
      <c r="F172">
        <v>0</v>
      </c>
      <c r="G172">
        <v>2</v>
      </c>
      <c r="H172">
        <v>1</v>
      </c>
      <c r="I172">
        <v>0</v>
      </c>
      <c r="J172">
        <v>10</v>
      </c>
      <c r="K172" t="str">
        <f t="shared" si="2"/>
        <v>36_2025</v>
      </c>
    </row>
    <row r="173" spans="1:11" x14ac:dyDescent="0.3">
      <c r="A173">
        <v>37</v>
      </c>
      <c r="B173">
        <v>2021</v>
      </c>
      <c r="C173">
        <v>2</v>
      </c>
      <c r="D173">
        <v>140.42000000000002</v>
      </c>
      <c r="E173">
        <v>0</v>
      </c>
      <c r="F173">
        <v>1</v>
      </c>
      <c r="G173">
        <v>1</v>
      </c>
      <c r="H173">
        <v>0</v>
      </c>
      <c r="I173">
        <v>1</v>
      </c>
      <c r="J173">
        <v>21</v>
      </c>
      <c r="K173" t="str">
        <f t="shared" si="2"/>
        <v>37_2021</v>
      </c>
    </row>
    <row r="174" spans="1:11" x14ac:dyDescent="0.3">
      <c r="A174">
        <v>37</v>
      </c>
      <c r="B174">
        <v>2022</v>
      </c>
      <c r="C174">
        <v>1</v>
      </c>
      <c r="D174">
        <v>932.66</v>
      </c>
      <c r="E174">
        <v>0</v>
      </c>
      <c r="F174">
        <v>1</v>
      </c>
      <c r="G174">
        <v>0</v>
      </c>
      <c r="H174">
        <v>0</v>
      </c>
      <c r="I174">
        <v>1</v>
      </c>
      <c r="J174">
        <v>7</v>
      </c>
      <c r="K174" t="str">
        <f t="shared" si="2"/>
        <v>37_2022</v>
      </c>
    </row>
    <row r="175" spans="1:11" x14ac:dyDescent="0.3">
      <c r="A175">
        <v>37</v>
      </c>
      <c r="B175">
        <v>2023</v>
      </c>
      <c r="C175">
        <v>6</v>
      </c>
      <c r="D175">
        <v>15021.900000000001</v>
      </c>
      <c r="E175">
        <v>0</v>
      </c>
      <c r="F175">
        <v>4</v>
      </c>
      <c r="G175">
        <v>2</v>
      </c>
      <c r="H175">
        <v>3</v>
      </c>
      <c r="I175">
        <v>3</v>
      </c>
      <c r="J175">
        <v>60</v>
      </c>
      <c r="K175" t="str">
        <f t="shared" si="2"/>
        <v>37_2023</v>
      </c>
    </row>
    <row r="176" spans="1:11" x14ac:dyDescent="0.3">
      <c r="A176">
        <v>37</v>
      </c>
      <c r="B176">
        <v>2024</v>
      </c>
      <c r="C176">
        <v>1</v>
      </c>
      <c r="D176">
        <v>299.29000000000002</v>
      </c>
      <c r="E176">
        <v>0</v>
      </c>
      <c r="F176">
        <v>1</v>
      </c>
      <c r="G176">
        <v>0</v>
      </c>
      <c r="H176">
        <v>0</v>
      </c>
      <c r="I176">
        <v>0</v>
      </c>
      <c r="J176">
        <v>10</v>
      </c>
      <c r="K176" t="str">
        <f t="shared" si="2"/>
        <v>37_2024</v>
      </c>
    </row>
    <row r="177" spans="1:11" x14ac:dyDescent="0.3">
      <c r="A177">
        <v>37</v>
      </c>
      <c r="B177">
        <v>2025</v>
      </c>
      <c r="C177">
        <v>5</v>
      </c>
      <c r="D177">
        <v>20563.75</v>
      </c>
      <c r="E177">
        <v>3</v>
      </c>
      <c r="F177">
        <v>2</v>
      </c>
      <c r="G177">
        <v>3</v>
      </c>
      <c r="H177">
        <v>5</v>
      </c>
      <c r="I177">
        <v>2</v>
      </c>
      <c r="J177">
        <v>77</v>
      </c>
      <c r="K177" t="str">
        <f t="shared" si="2"/>
        <v>37_2025</v>
      </c>
    </row>
    <row r="178" spans="1:11" x14ac:dyDescent="0.3">
      <c r="A178">
        <v>38</v>
      </c>
      <c r="B178">
        <v>2021</v>
      </c>
      <c r="C178">
        <v>6</v>
      </c>
      <c r="D178">
        <v>16209.75</v>
      </c>
      <c r="E178">
        <v>3</v>
      </c>
      <c r="F178">
        <v>4</v>
      </c>
      <c r="G178">
        <v>2</v>
      </c>
      <c r="H178">
        <v>4</v>
      </c>
      <c r="I178">
        <v>2</v>
      </c>
      <c r="J178">
        <v>63</v>
      </c>
      <c r="K178" t="str">
        <f t="shared" si="2"/>
        <v>38_2021</v>
      </c>
    </row>
    <row r="179" spans="1:11" x14ac:dyDescent="0.3">
      <c r="A179">
        <v>38</v>
      </c>
      <c r="B179">
        <v>2022</v>
      </c>
      <c r="C179">
        <v>5</v>
      </c>
      <c r="D179">
        <v>13210.15</v>
      </c>
      <c r="E179">
        <v>4</v>
      </c>
      <c r="F179">
        <v>1</v>
      </c>
      <c r="G179">
        <v>4</v>
      </c>
      <c r="H179">
        <v>4</v>
      </c>
      <c r="I179">
        <v>2</v>
      </c>
      <c r="J179">
        <v>31</v>
      </c>
      <c r="K179" t="str">
        <f t="shared" si="2"/>
        <v>38_2022</v>
      </c>
    </row>
    <row r="180" spans="1:11" x14ac:dyDescent="0.3">
      <c r="A180">
        <v>38</v>
      </c>
      <c r="B180">
        <v>2023</v>
      </c>
      <c r="C180">
        <v>5</v>
      </c>
      <c r="D180">
        <v>16124.810000000001</v>
      </c>
      <c r="E180">
        <v>4</v>
      </c>
      <c r="F180">
        <v>3</v>
      </c>
      <c r="G180">
        <v>2</v>
      </c>
      <c r="H180">
        <v>3</v>
      </c>
      <c r="I180">
        <v>2</v>
      </c>
      <c r="J180">
        <v>56</v>
      </c>
      <c r="K180" t="str">
        <f t="shared" si="2"/>
        <v>38_2023</v>
      </c>
    </row>
    <row r="181" spans="1:11" x14ac:dyDescent="0.3">
      <c r="A181">
        <v>38</v>
      </c>
      <c r="B181">
        <v>2024</v>
      </c>
      <c r="C181">
        <v>3</v>
      </c>
      <c r="D181">
        <v>3133.3500000000004</v>
      </c>
      <c r="E181">
        <v>0</v>
      </c>
      <c r="F181">
        <v>2</v>
      </c>
      <c r="G181">
        <v>1</v>
      </c>
      <c r="H181">
        <v>1</v>
      </c>
      <c r="I181">
        <v>2</v>
      </c>
      <c r="J181">
        <v>20</v>
      </c>
      <c r="K181" t="str">
        <f t="shared" si="2"/>
        <v>38_2024</v>
      </c>
    </row>
    <row r="182" spans="1:11" x14ac:dyDescent="0.3">
      <c r="A182">
        <v>38</v>
      </c>
      <c r="B182">
        <v>2025</v>
      </c>
      <c r="C182">
        <v>1</v>
      </c>
      <c r="D182">
        <v>540.11</v>
      </c>
      <c r="E182">
        <v>0</v>
      </c>
      <c r="F182">
        <v>1</v>
      </c>
      <c r="G182">
        <v>0</v>
      </c>
      <c r="H182">
        <v>0</v>
      </c>
      <c r="I182">
        <v>0</v>
      </c>
      <c r="J182">
        <v>3</v>
      </c>
      <c r="K182" t="str">
        <f t="shared" si="2"/>
        <v>38_2025</v>
      </c>
    </row>
    <row r="183" spans="1:11" x14ac:dyDescent="0.3">
      <c r="A183">
        <v>39</v>
      </c>
      <c r="B183">
        <v>2021</v>
      </c>
      <c r="C183">
        <v>3</v>
      </c>
      <c r="D183">
        <v>5331.12</v>
      </c>
      <c r="E183">
        <v>0</v>
      </c>
      <c r="F183">
        <v>2</v>
      </c>
      <c r="G183">
        <v>1</v>
      </c>
      <c r="H183">
        <v>1</v>
      </c>
      <c r="I183">
        <v>1</v>
      </c>
      <c r="J183">
        <v>34</v>
      </c>
      <c r="K183" t="str">
        <f t="shared" si="2"/>
        <v>39_2021</v>
      </c>
    </row>
    <row r="184" spans="1:11" x14ac:dyDescent="0.3">
      <c r="A184">
        <v>39</v>
      </c>
      <c r="B184">
        <v>2022</v>
      </c>
      <c r="C184">
        <v>6</v>
      </c>
      <c r="D184">
        <v>17018.22</v>
      </c>
      <c r="E184">
        <v>4</v>
      </c>
      <c r="F184">
        <v>1</v>
      </c>
      <c r="G184">
        <v>5</v>
      </c>
      <c r="H184">
        <v>5</v>
      </c>
      <c r="I184">
        <v>4</v>
      </c>
      <c r="J184">
        <v>50</v>
      </c>
      <c r="K184" t="str">
        <f t="shared" si="2"/>
        <v>39_2022</v>
      </c>
    </row>
    <row r="185" spans="1:11" x14ac:dyDescent="0.3">
      <c r="A185">
        <v>39</v>
      </c>
      <c r="B185">
        <v>2024</v>
      </c>
      <c r="C185">
        <v>6</v>
      </c>
      <c r="D185">
        <v>11899.800000000001</v>
      </c>
      <c r="E185">
        <v>4</v>
      </c>
      <c r="F185">
        <v>5</v>
      </c>
      <c r="G185">
        <v>1</v>
      </c>
      <c r="H185">
        <v>3</v>
      </c>
      <c r="I185">
        <v>1</v>
      </c>
      <c r="J185">
        <v>48</v>
      </c>
      <c r="K185" t="str">
        <f t="shared" si="2"/>
        <v>39_2024</v>
      </c>
    </row>
    <row r="186" spans="1:11" x14ac:dyDescent="0.3">
      <c r="A186">
        <v>39</v>
      </c>
      <c r="B186">
        <v>2025</v>
      </c>
      <c r="C186">
        <v>6</v>
      </c>
      <c r="D186">
        <v>23332.300000000003</v>
      </c>
      <c r="E186">
        <v>3</v>
      </c>
      <c r="F186">
        <v>2</v>
      </c>
      <c r="G186">
        <v>4</v>
      </c>
      <c r="H186">
        <v>5</v>
      </c>
      <c r="I186">
        <v>3</v>
      </c>
      <c r="J186">
        <v>48</v>
      </c>
      <c r="K186" t="str">
        <f t="shared" si="2"/>
        <v>39_2025</v>
      </c>
    </row>
    <row r="187" spans="1:11" x14ac:dyDescent="0.3">
      <c r="A187">
        <v>40</v>
      </c>
      <c r="B187">
        <v>2021</v>
      </c>
      <c r="C187">
        <v>6</v>
      </c>
      <c r="D187">
        <v>9278.02</v>
      </c>
      <c r="E187">
        <v>5</v>
      </c>
      <c r="F187">
        <v>5</v>
      </c>
      <c r="G187">
        <v>1</v>
      </c>
      <c r="H187">
        <v>2</v>
      </c>
      <c r="I187">
        <v>1</v>
      </c>
      <c r="J187">
        <v>78</v>
      </c>
      <c r="K187" t="str">
        <f t="shared" si="2"/>
        <v>40_2021</v>
      </c>
    </row>
    <row r="188" spans="1:11" x14ac:dyDescent="0.3">
      <c r="A188">
        <v>40</v>
      </c>
      <c r="B188">
        <v>2022</v>
      </c>
      <c r="C188">
        <v>5</v>
      </c>
      <c r="D188">
        <v>7393.6900000000005</v>
      </c>
      <c r="E188">
        <v>3</v>
      </c>
      <c r="F188">
        <v>3</v>
      </c>
      <c r="G188">
        <v>2</v>
      </c>
      <c r="H188">
        <v>2</v>
      </c>
      <c r="I188">
        <v>2</v>
      </c>
      <c r="J188">
        <v>45</v>
      </c>
      <c r="K188" t="str">
        <f t="shared" si="2"/>
        <v>40_2022</v>
      </c>
    </row>
    <row r="189" spans="1:11" x14ac:dyDescent="0.3">
      <c r="A189">
        <v>40</v>
      </c>
      <c r="B189">
        <v>2023</v>
      </c>
      <c r="C189">
        <v>3</v>
      </c>
      <c r="D189">
        <v>10351.31</v>
      </c>
      <c r="E189">
        <v>3</v>
      </c>
      <c r="F189">
        <v>1</v>
      </c>
      <c r="G189">
        <v>2</v>
      </c>
      <c r="H189">
        <v>3</v>
      </c>
      <c r="I189">
        <v>0</v>
      </c>
      <c r="J189">
        <v>39</v>
      </c>
      <c r="K189" t="str">
        <f t="shared" si="2"/>
        <v>40_2023</v>
      </c>
    </row>
    <row r="190" spans="1:11" x14ac:dyDescent="0.3">
      <c r="A190">
        <v>40</v>
      </c>
      <c r="B190">
        <v>2024</v>
      </c>
      <c r="C190">
        <v>1</v>
      </c>
      <c r="D190">
        <v>26.47</v>
      </c>
      <c r="E190">
        <v>1</v>
      </c>
      <c r="F190">
        <v>1</v>
      </c>
      <c r="G190">
        <v>0</v>
      </c>
      <c r="H190">
        <v>0</v>
      </c>
      <c r="I190">
        <v>0</v>
      </c>
      <c r="J190">
        <v>3</v>
      </c>
      <c r="K190" t="str">
        <f t="shared" si="2"/>
        <v>40_2024</v>
      </c>
    </row>
    <row r="191" spans="1:11" x14ac:dyDescent="0.3">
      <c r="A191">
        <v>40</v>
      </c>
      <c r="B191">
        <v>2025</v>
      </c>
      <c r="C191">
        <v>3</v>
      </c>
      <c r="D191">
        <v>9537.17</v>
      </c>
      <c r="E191">
        <v>2</v>
      </c>
      <c r="F191">
        <v>1</v>
      </c>
      <c r="G191">
        <v>2</v>
      </c>
      <c r="H191">
        <v>3</v>
      </c>
      <c r="I191">
        <v>1</v>
      </c>
      <c r="J191">
        <v>31</v>
      </c>
      <c r="K191" t="str">
        <f t="shared" si="2"/>
        <v>40_2025</v>
      </c>
    </row>
    <row r="192" spans="1:11" x14ac:dyDescent="0.3">
      <c r="A192">
        <v>41</v>
      </c>
      <c r="B192">
        <v>2021</v>
      </c>
      <c r="C192">
        <v>5</v>
      </c>
      <c r="D192">
        <v>16530.7</v>
      </c>
      <c r="E192">
        <v>3</v>
      </c>
      <c r="F192">
        <v>4</v>
      </c>
      <c r="G192">
        <v>1</v>
      </c>
      <c r="H192">
        <v>4</v>
      </c>
      <c r="I192">
        <v>3</v>
      </c>
      <c r="J192">
        <v>33</v>
      </c>
      <c r="K192" t="str">
        <f t="shared" si="2"/>
        <v>41_2021</v>
      </c>
    </row>
    <row r="193" spans="1:11" x14ac:dyDescent="0.3">
      <c r="A193">
        <v>41</v>
      </c>
      <c r="B193">
        <v>2022</v>
      </c>
      <c r="C193">
        <v>5</v>
      </c>
      <c r="D193">
        <v>11897.82</v>
      </c>
      <c r="E193">
        <v>4</v>
      </c>
      <c r="F193">
        <v>3</v>
      </c>
      <c r="G193">
        <v>2</v>
      </c>
      <c r="H193">
        <v>3</v>
      </c>
      <c r="I193">
        <v>2</v>
      </c>
      <c r="J193">
        <v>35</v>
      </c>
      <c r="K193" t="str">
        <f t="shared" si="2"/>
        <v>41_2022</v>
      </c>
    </row>
    <row r="194" spans="1:11" x14ac:dyDescent="0.3">
      <c r="A194">
        <v>41</v>
      </c>
      <c r="B194">
        <v>2023</v>
      </c>
      <c r="C194">
        <v>3</v>
      </c>
      <c r="D194">
        <v>5848.22</v>
      </c>
      <c r="E194">
        <v>0</v>
      </c>
      <c r="F194">
        <v>2</v>
      </c>
      <c r="G194">
        <v>1</v>
      </c>
      <c r="H194">
        <v>2</v>
      </c>
      <c r="I194">
        <v>1</v>
      </c>
      <c r="J194">
        <v>24</v>
      </c>
      <c r="K194" t="str">
        <f t="shared" ref="K194:K257" si="3">A194&amp;"_"&amp;B194</f>
        <v>41_2023</v>
      </c>
    </row>
    <row r="195" spans="1:11" x14ac:dyDescent="0.3">
      <c r="A195">
        <v>41</v>
      </c>
      <c r="B195">
        <v>2024</v>
      </c>
      <c r="C195">
        <v>1</v>
      </c>
      <c r="D195">
        <v>3654.85</v>
      </c>
      <c r="E195">
        <v>0</v>
      </c>
      <c r="F195">
        <v>1</v>
      </c>
      <c r="G195">
        <v>0</v>
      </c>
      <c r="H195">
        <v>1</v>
      </c>
      <c r="I195">
        <v>0</v>
      </c>
      <c r="J195">
        <v>8</v>
      </c>
      <c r="K195" t="str">
        <f t="shared" si="3"/>
        <v>41_2024</v>
      </c>
    </row>
    <row r="196" spans="1:11" x14ac:dyDescent="0.3">
      <c r="A196">
        <v>41</v>
      </c>
      <c r="B196">
        <v>2025</v>
      </c>
      <c r="C196">
        <v>4</v>
      </c>
      <c r="D196">
        <v>18451.64</v>
      </c>
      <c r="E196">
        <v>0</v>
      </c>
      <c r="F196">
        <v>2</v>
      </c>
      <c r="G196">
        <v>2</v>
      </c>
      <c r="H196">
        <v>4</v>
      </c>
      <c r="I196">
        <v>1</v>
      </c>
      <c r="J196">
        <v>49</v>
      </c>
      <c r="K196" t="str">
        <f t="shared" si="3"/>
        <v>41_2025</v>
      </c>
    </row>
    <row r="197" spans="1:11" x14ac:dyDescent="0.3">
      <c r="A197">
        <v>42</v>
      </c>
      <c r="B197">
        <v>2021</v>
      </c>
      <c r="C197">
        <v>3</v>
      </c>
      <c r="D197">
        <v>7632.69</v>
      </c>
      <c r="E197">
        <v>0</v>
      </c>
      <c r="F197">
        <v>2</v>
      </c>
      <c r="G197">
        <v>1</v>
      </c>
      <c r="H197">
        <v>2</v>
      </c>
      <c r="I197">
        <v>1</v>
      </c>
      <c r="J197">
        <v>24</v>
      </c>
      <c r="K197" t="str">
        <f t="shared" si="3"/>
        <v>42_2021</v>
      </c>
    </row>
    <row r="198" spans="1:11" x14ac:dyDescent="0.3">
      <c r="A198">
        <v>42</v>
      </c>
      <c r="B198">
        <v>2022</v>
      </c>
      <c r="C198">
        <v>1</v>
      </c>
      <c r="D198">
        <v>1999.92</v>
      </c>
      <c r="E198">
        <v>0</v>
      </c>
      <c r="F198">
        <v>1</v>
      </c>
      <c r="G198">
        <v>0</v>
      </c>
      <c r="H198">
        <v>1</v>
      </c>
      <c r="I198">
        <v>0</v>
      </c>
      <c r="J198">
        <v>2</v>
      </c>
      <c r="K198" t="str">
        <f t="shared" si="3"/>
        <v>42_2022</v>
      </c>
    </row>
    <row r="199" spans="1:11" x14ac:dyDescent="0.3">
      <c r="A199">
        <v>42</v>
      </c>
      <c r="B199">
        <v>2023</v>
      </c>
      <c r="C199">
        <v>6</v>
      </c>
      <c r="D199">
        <v>22564.959999999999</v>
      </c>
      <c r="E199">
        <v>3</v>
      </c>
      <c r="F199">
        <v>3</v>
      </c>
      <c r="G199">
        <v>3</v>
      </c>
      <c r="H199">
        <v>4</v>
      </c>
      <c r="I199">
        <v>1</v>
      </c>
      <c r="J199">
        <v>50</v>
      </c>
      <c r="K199" t="str">
        <f t="shared" si="3"/>
        <v>42_2023</v>
      </c>
    </row>
    <row r="200" spans="1:11" x14ac:dyDescent="0.3">
      <c r="A200">
        <v>42</v>
      </c>
      <c r="B200">
        <v>2024</v>
      </c>
      <c r="C200">
        <v>4</v>
      </c>
      <c r="D200">
        <v>6031.8200000000006</v>
      </c>
      <c r="E200">
        <v>3</v>
      </c>
      <c r="F200">
        <v>3</v>
      </c>
      <c r="G200">
        <v>1</v>
      </c>
      <c r="H200">
        <v>1</v>
      </c>
      <c r="I200">
        <v>2</v>
      </c>
      <c r="J200">
        <v>34</v>
      </c>
      <c r="K200" t="str">
        <f t="shared" si="3"/>
        <v>42_2024</v>
      </c>
    </row>
    <row r="201" spans="1:11" x14ac:dyDescent="0.3">
      <c r="A201">
        <v>42</v>
      </c>
      <c r="B201">
        <v>2025</v>
      </c>
      <c r="C201">
        <v>2</v>
      </c>
      <c r="D201">
        <v>5723.28</v>
      </c>
      <c r="E201">
        <v>2</v>
      </c>
      <c r="F201">
        <v>1</v>
      </c>
      <c r="G201">
        <v>1</v>
      </c>
      <c r="H201">
        <v>2</v>
      </c>
      <c r="I201">
        <v>2</v>
      </c>
      <c r="J201">
        <v>22</v>
      </c>
      <c r="K201" t="str">
        <f t="shared" si="3"/>
        <v>42_2025</v>
      </c>
    </row>
    <row r="202" spans="1:11" x14ac:dyDescent="0.3">
      <c r="A202">
        <v>43</v>
      </c>
      <c r="B202">
        <v>2021</v>
      </c>
      <c r="C202">
        <v>2</v>
      </c>
      <c r="D202">
        <v>2196.12</v>
      </c>
      <c r="E202">
        <v>0</v>
      </c>
      <c r="F202">
        <v>2</v>
      </c>
      <c r="G202">
        <v>0</v>
      </c>
      <c r="H202">
        <v>0</v>
      </c>
      <c r="I202">
        <v>0</v>
      </c>
      <c r="J202">
        <v>19</v>
      </c>
      <c r="K202" t="str">
        <f t="shared" si="3"/>
        <v>43_2021</v>
      </c>
    </row>
    <row r="203" spans="1:11" x14ac:dyDescent="0.3">
      <c r="A203">
        <v>43</v>
      </c>
      <c r="B203">
        <v>2022</v>
      </c>
      <c r="C203">
        <v>2</v>
      </c>
      <c r="D203">
        <v>1055.01</v>
      </c>
      <c r="E203">
        <v>0</v>
      </c>
      <c r="F203">
        <v>1</v>
      </c>
      <c r="G203">
        <v>1</v>
      </c>
      <c r="H203">
        <v>0</v>
      </c>
      <c r="I203">
        <v>1</v>
      </c>
      <c r="J203">
        <v>12</v>
      </c>
      <c r="K203" t="str">
        <f t="shared" si="3"/>
        <v>43_2022</v>
      </c>
    </row>
    <row r="204" spans="1:11" x14ac:dyDescent="0.3">
      <c r="A204">
        <v>43</v>
      </c>
      <c r="B204">
        <v>2023</v>
      </c>
      <c r="C204">
        <v>2</v>
      </c>
      <c r="D204">
        <v>3144.32</v>
      </c>
      <c r="E204">
        <v>1</v>
      </c>
      <c r="F204">
        <v>1</v>
      </c>
      <c r="G204">
        <v>1</v>
      </c>
      <c r="H204">
        <v>1</v>
      </c>
      <c r="I204">
        <v>0</v>
      </c>
      <c r="J204">
        <v>9</v>
      </c>
      <c r="K204" t="str">
        <f t="shared" si="3"/>
        <v>43_2023</v>
      </c>
    </row>
    <row r="205" spans="1:11" x14ac:dyDescent="0.3">
      <c r="A205">
        <v>43</v>
      </c>
      <c r="B205">
        <v>2024</v>
      </c>
      <c r="C205">
        <v>4</v>
      </c>
      <c r="D205">
        <v>9020.07</v>
      </c>
      <c r="E205">
        <v>0</v>
      </c>
      <c r="F205">
        <v>1</v>
      </c>
      <c r="G205">
        <v>3</v>
      </c>
      <c r="H205">
        <v>2</v>
      </c>
      <c r="I205">
        <v>1</v>
      </c>
      <c r="J205">
        <v>33</v>
      </c>
      <c r="K205" t="str">
        <f t="shared" si="3"/>
        <v>43_2024</v>
      </c>
    </row>
    <row r="206" spans="1:11" x14ac:dyDescent="0.3">
      <c r="A206">
        <v>43</v>
      </c>
      <c r="B206">
        <v>2025</v>
      </c>
      <c r="C206">
        <v>4</v>
      </c>
      <c r="D206">
        <v>7758.47</v>
      </c>
      <c r="E206">
        <v>0</v>
      </c>
      <c r="F206">
        <v>3</v>
      </c>
      <c r="G206">
        <v>1</v>
      </c>
      <c r="H206">
        <v>3</v>
      </c>
      <c r="I206">
        <v>1</v>
      </c>
      <c r="J206">
        <v>38</v>
      </c>
      <c r="K206" t="str">
        <f t="shared" si="3"/>
        <v>43_2025</v>
      </c>
    </row>
    <row r="207" spans="1:11" x14ac:dyDescent="0.3">
      <c r="A207">
        <v>44</v>
      </c>
      <c r="B207">
        <v>2021</v>
      </c>
      <c r="C207">
        <v>3</v>
      </c>
      <c r="D207">
        <v>2442.42</v>
      </c>
      <c r="E207">
        <v>0</v>
      </c>
      <c r="F207">
        <v>3</v>
      </c>
      <c r="G207">
        <v>0</v>
      </c>
      <c r="H207">
        <v>1</v>
      </c>
      <c r="I207">
        <v>1</v>
      </c>
      <c r="J207">
        <v>24</v>
      </c>
      <c r="K207" t="str">
        <f t="shared" si="3"/>
        <v>44_2021</v>
      </c>
    </row>
    <row r="208" spans="1:11" x14ac:dyDescent="0.3">
      <c r="A208">
        <v>44</v>
      </c>
      <c r="B208">
        <v>2022</v>
      </c>
      <c r="C208">
        <v>4</v>
      </c>
      <c r="D208">
        <v>9497.380000000001</v>
      </c>
      <c r="E208">
        <v>0</v>
      </c>
      <c r="F208">
        <v>2</v>
      </c>
      <c r="G208">
        <v>2</v>
      </c>
      <c r="H208">
        <v>2</v>
      </c>
      <c r="I208">
        <v>3</v>
      </c>
      <c r="J208">
        <v>42</v>
      </c>
      <c r="K208" t="str">
        <f t="shared" si="3"/>
        <v>44_2022</v>
      </c>
    </row>
    <row r="209" spans="1:11" x14ac:dyDescent="0.3">
      <c r="A209">
        <v>44</v>
      </c>
      <c r="B209">
        <v>2023</v>
      </c>
      <c r="C209">
        <v>3</v>
      </c>
      <c r="D209">
        <v>2090.02</v>
      </c>
      <c r="E209">
        <v>0</v>
      </c>
      <c r="F209">
        <v>1</v>
      </c>
      <c r="G209">
        <v>2</v>
      </c>
      <c r="H209">
        <v>0</v>
      </c>
      <c r="I209">
        <v>2</v>
      </c>
      <c r="J209">
        <v>12</v>
      </c>
      <c r="K209" t="str">
        <f t="shared" si="3"/>
        <v>44_2023</v>
      </c>
    </row>
    <row r="210" spans="1:11" x14ac:dyDescent="0.3">
      <c r="A210">
        <v>44</v>
      </c>
      <c r="B210">
        <v>2024</v>
      </c>
      <c r="C210">
        <v>4</v>
      </c>
      <c r="D210">
        <v>14752.98</v>
      </c>
      <c r="E210">
        <v>1</v>
      </c>
      <c r="F210">
        <v>2</v>
      </c>
      <c r="G210">
        <v>2</v>
      </c>
      <c r="H210">
        <v>3</v>
      </c>
      <c r="I210">
        <v>1</v>
      </c>
      <c r="J210">
        <v>35</v>
      </c>
      <c r="K210" t="str">
        <f t="shared" si="3"/>
        <v>44_2024</v>
      </c>
    </row>
    <row r="211" spans="1:11" x14ac:dyDescent="0.3">
      <c r="A211">
        <v>44</v>
      </c>
      <c r="B211">
        <v>2025</v>
      </c>
      <c r="C211">
        <v>5</v>
      </c>
      <c r="D211">
        <v>11946.36</v>
      </c>
      <c r="E211">
        <v>0</v>
      </c>
      <c r="F211">
        <v>4</v>
      </c>
      <c r="G211">
        <v>1</v>
      </c>
      <c r="H211">
        <v>2</v>
      </c>
      <c r="I211">
        <v>0</v>
      </c>
      <c r="J211">
        <v>38</v>
      </c>
      <c r="K211" t="str">
        <f t="shared" si="3"/>
        <v>44_2025</v>
      </c>
    </row>
    <row r="212" spans="1:11" x14ac:dyDescent="0.3">
      <c r="A212">
        <v>45</v>
      </c>
      <c r="B212">
        <v>2021</v>
      </c>
      <c r="C212">
        <v>1</v>
      </c>
      <c r="D212">
        <v>528.94000000000005</v>
      </c>
      <c r="E212">
        <v>0</v>
      </c>
      <c r="F212">
        <v>1</v>
      </c>
      <c r="G212">
        <v>0</v>
      </c>
      <c r="H212">
        <v>0</v>
      </c>
      <c r="I212">
        <v>1</v>
      </c>
      <c r="J212">
        <v>3</v>
      </c>
      <c r="K212" t="str">
        <f t="shared" si="3"/>
        <v>45_2021</v>
      </c>
    </row>
    <row r="213" spans="1:11" x14ac:dyDescent="0.3">
      <c r="A213">
        <v>45</v>
      </c>
      <c r="B213">
        <v>2022</v>
      </c>
      <c r="C213">
        <v>1</v>
      </c>
      <c r="D213">
        <v>70.180000000000007</v>
      </c>
      <c r="E213">
        <v>0</v>
      </c>
      <c r="F213">
        <v>0</v>
      </c>
      <c r="G213">
        <v>1</v>
      </c>
      <c r="H213">
        <v>0</v>
      </c>
      <c r="I213">
        <v>0</v>
      </c>
      <c r="J213">
        <v>4</v>
      </c>
      <c r="K213" t="str">
        <f t="shared" si="3"/>
        <v>45_2022</v>
      </c>
    </row>
    <row r="214" spans="1:11" x14ac:dyDescent="0.3">
      <c r="A214">
        <v>45</v>
      </c>
      <c r="B214">
        <v>2023</v>
      </c>
      <c r="C214">
        <v>1</v>
      </c>
      <c r="D214">
        <v>884.9</v>
      </c>
      <c r="E214">
        <v>0</v>
      </c>
      <c r="F214">
        <v>0</v>
      </c>
      <c r="G214">
        <v>1</v>
      </c>
      <c r="H214">
        <v>0</v>
      </c>
      <c r="I214">
        <v>1</v>
      </c>
      <c r="J214">
        <v>9</v>
      </c>
      <c r="K214" t="str">
        <f t="shared" si="3"/>
        <v>45_2023</v>
      </c>
    </row>
    <row r="215" spans="1:11" x14ac:dyDescent="0.3">
      <c r="A215">
        <v>45</v>
      </c>
      <c r="B215">
        <v>2024</v>
      </c>
      <c r="C215">
        <v>3</v>
      </c>
      <c r="D215">
        <v>4599.2599999999993</v>
      </c>
      <c r="E215">
        <v>3</v>
      </c>
      <c r="F215">
        <v>1</v>
      </c>
      <c r="G215">
        <v>2</v>
      </c>
      <c r="H215">
        <v>2</v>
      </c>
      <c r="I215">
        <v>2</v>
      </c>
      <c r="J215">
        <v>21</v>
      </c>
      <c r="K215" t="str">
        <f t="shared" si="3"/>
        <v>45_2024</v>
      </c>
    </row>
    <row r="216" spans="1:11" x14ac:dyDescent="0.3">
      <c r="A216">
        <v>45</v>
      </c>
      <c r="B216">
        <v>2025</v>
      </c>
      <c r="C216">
        <v>2</v>
      </c>
      <c r="D216">
        <v>1540.4299999999998</v>
      </c>
      <c r="E216">
        <v>2</v>
      </c>
      <c r="F216">
        <v>0</v>
      </c>
      <c r="G216">
        <v>2</v>
      </c>
      <c r="H216">
        <v>0</v>
      </c>
      <c r="I216">
        <v>2</v>
      </c>
      <c r="J216">
        <v>11</v>
      </c>
      <c r="K216" t="str">
        <f t="shared" si="3"/>
        <v>45_2025</v>
      </c>
    </row>
    <row r="217" spans="1:11" x14ac:dyDescent="0.3">
      <c r="A217">
        <v>46</v>
      </c>
      <c r="B217">
        <v>2021</v>
      </c>
      <c r="C217">
        <v>6</v>
      </c>
      <c r="D217">
        <v>19989.150000000001</v>
      </c>
      <c r="E217">
        <v>3</v>
      </c>
      <c r="F217">
        <v>3</v>
      </c>
      <c r="G217">
        <v>3</v>
      </c>
      <c r="H217">
        <v>5</v>
      </c>
      <c r="I217">
        <v>3</v>
      </c>
      <c r="J217">
        <v>44</v>
      </c>
      <c r="K217" t="str">
        <f t="shared" si="3"/>
        <v>46_2021</v>
      </c>
    </row>
    <row r="218" spans="1:11" x14ac:dyDescent="0.3">
      <c r="A218">
        <v>46</v>
      </c>
      <c r="B218">
        <v>2022</v>
      </c>
      <c r="C218">
        <v>3</v>
      </c>
      <c r="D218">
        <v>8740.130000000001</v>
      </c>
      <c r="E218">
        <v>2</v>
      </c>
      <c r="F218">
        <v>1</v>
      </c>
      <c r="G218">
        <v>2</v>
      </c>
      <c r="H218">
        <v>3</v>
      </c>
      <c r="I218">
        <v>0</v>
      </c>
      <c r="J218">
        <v>34</v>
      </c>
      <c r="K218" t="str">
        <f t="shared" si="3"/>
        <v>46_2022</v>
      </c>
    </row>
    <row r="219" spans="1:11" x14ac:dyDescent="0.3">
      <c r="A219">
        <v>46</v>
      </c>
      <c r="B219">
        <v>2023</v>
      </c>
      <c r="C219">
        <v>2</v>
      </c>
      <c r="D219">
        <v>1801.47</v>
      </c>
      <c r="E219">
        <v>1</v>
      </c>
      <c r="F219">
        <v>1</v>
      </c>
      <c r="G219">
        <v>1</v>
      </c>
      <c r="H219">
        <v>1</v>
      </c>
      <c r="I219">
        <v>1</v>
      </c>
      <c r="J219">
        <v>11</v>
      </c>
      <c r="K219" t="str">
        <f t="shared" si="3"/>
        <v>46_2023</v>
      </c>
    </row>
    <row r="220" spans="1:11" x14ac:dyDescent="0.3">
      <c r="A220">
        <v>46</v>
      </c>
      <c r="B220">
        <v>2024</v>
      </c>
      <c r="C220">
        <v>1</v>
      </c>
      <c r="D220">
        <v>106.58</v>
      </c>
      <c r="E220">
        <v>0</v>
      </c>
      <c r="F220">
        <v>1</v>
      </c>
      <c r="G220">
        <v>0</v>
      </c>
      <c r="H220">
        <v>0</v>
      </c>
      <c r="I220">
        <v>0</v>
      </c>
      <c r="J220">
        <v>8</v>
      </c>
      <c r="K220" t="str">
        <f t="shared" si="3"/>
        <v>46_2024</v>
      </c>
    </row>
    <row r="221" spans="1:11" x14ac:dyDescent="0.3">
      <c r="A221">
        <v>46</v>
      </c>
      <c r="B221">
        <v>2025</v>
      </c>
      <c r="C221">
        <v>5</v>
      </c>
      <c r="D221">
        <v>11482.630000000001</v>
      </c>
      <c r="E221">
        <v>3</v>
      </c>
      <c r="F221">
        <v>1</v>
      </c>
      <c r="G221">
        <v>4</v>
      </c>
      <c r="H221">
        <v>4</v>
      </c>
      <c r="I221">
        <v>5</v>
      </c>
      <c r="J221">
        <v>54</v>
      </c>
      <c r="K221" t="str">
        <f t="shared" si="3"/>
        <v>46_2025</v>
      </c>
    </row>
    <row r="222" spans="1:11" x14ac:dyDescent="0.3">
      <c r="A222">
        <v>47</v>
      </c>
      <c r="B222">
        <v>2021</v>
      </c>
      <c r="C222">
        <v>3</v>
      </c>
      <c r="D222">
        <v>2780.96</v>
      </c>
      <c r="E222">
        <v>0</v>
      </c>
      <c r="F222">
        <v>3</v>
      </c>
      <c r="G222">
        <v>0</v>
      </c>
      <c r="H222">
        <v>1</v>
      </c>
      <c r="I222">
        <v>2</v>
      </c>
      <c r="J222">
        <v>35</v>
      </c>
      <c r="K222" t="str">
        <f t="shared" si="3"/>
        <v>47_2021</v>
      </c>
    </row>
    <row r="223" spans="1:11" x14ac:dyDescent="0.3">
      <c r="A223">
        <v>47</v>
      </c>
      <c r="B223">
        <v>2022</v>
      </c>
      <c r="C223">
        <v>1</v>
      </c>
      <c r="D223">
        <v>527.22</v>
      </c>
      <c r="E223">
        <v>0</v>
      </c>
      <c r="F223">
        <v>1</v>
      </c>
      <c r="G223">
        <v>0</v>
      </c>
      <c r="H223">
        <v>0</v>
      </c>
      <c r="I223">
        <v>0</v>
      </c>
      <c r="J223">
        <v>7</v>
      </c>
      <c r="K223" t="str">
        <f t="shared" si="3"/>
        <v>47_2022</v>
      </c>
    </row>
    <row r="224" spans="1:11" x14ac:dyDescent="0.3">
      <c r="A224">
        <v>47</v>
      </c>
      <c r="B224">
        <v>2023</v>
      </c>
      <c r="C224">
        <v>6</v>
      </c>
      <c r="D224">
        <v>17630.37</v>
      </c>
      <c r="E224">
        <v>2</v>
      </c>
      <c r="F224">
        <v>5</v>
      </c>
      <c r="G224">
        <v>1</v>
      </c>
      <c r="H224">
        <v>4</v>
      </c>
      <c r="I224">
        <v>0</v>
      </c>
      <c r="J224">
        <v>50</v>
      </c>
      <c r="K224" t="str">
        <f t="shared" si="3"/>
        <v>47_2023</v>
      </c>
    </row>
    <row r="225" spans="1:11" x14ac:dyDescent="0.3">
      <c r="A225">
        <v>47</v>
      </c>
      <c r="B225">
        <v>2024</v>
      </c>
      <c r="C225">
        <v>6</v>
      </c>
      <c r="D225">
        <v>15585.03</v>
      </c>
      <c r="E225">
        <v>4</v>
      </c>
      <c r="F225">
        <v>3</v>
      </c>
      <c r="G225">
        <v>3</v>
      </c>
      <c r="H225">
        <v>3</v>
      </c>
      <c r="I225">
        <v>4</v>
      </c>
      <c r="J225">
        <v>64</v>
      </c>
      <c r="K225" t="str">
        <f t="shared" si="3"/>
        <v>47_2024</v>
      </c>
    </row>
    <row r="226" spans="1:11" x14ac:dyDescent="0.3">
      <c r="A226">
        <v>47</v>
      </c>
      <c r="B226">
        <v>2025</v>
      </c>
      <c r="C226">
        <v>3</v>
      </c>
      <c r="D226">
        <v>10348.119999999999</v>
      </c>
      <c r="E226">
        <v>0</v>
      </c>
      <c r="F226">
        <v>1</v>
      </c>
      <c r="G226">
        <v>2</v>
      </c>
      <c r="H226">
        <v>2</v>
      </c>
      <c r="I226">
        <v>1</v>
      </c>
      <c r="J226">
        <v>25</v>
      </c>
      <c r="K226" t="str">
        <f t="shared" si="3"/>
        <v>47_2025</v>
      </c>
    </row>
    <row r="227" spans="1:11" x14ac:dyDescent="0.3">
      <c r="A227">
        <v>48</v>
      </c>
      <c r="B227">
        <v>2021</v>
      </c>
      <c r="C227">
        <v>3</v>
      </c>
      <c r="D227">
        <v>10020.859999999999</v>
      </c>
      <c r="E227">
        <v>2</v>
      </c>
      <c r="F227">
        <v>2</v>
      </c>
      <c r="G227">
        <v>1</v>
      </c>
      <c r="H227">
        <v>2</v>
      </c>
      <c r="I227">
        <v>1</v>
      </c>
      <c r="J227">
        <v>12</v>
      </c>
      <c r="K227" t="str">
        <f t="shared" si="3"/>
        <v>48_2021</v>
      </c>
    </row>
    <row r="228" spans="1:11" x14ac:dyDescent="0.3">
      <c r="A228">
        <v>48</v>
      </c>
      <c r="B228">
        <v>2022</v>
      </c>
      <c r="C228">
        <v>5</v>
      </c>
      <c r="D228">
        <v>9810</v>
      </c>
      <c r="E228">
        <v>3</v>
      </c>
      <c r="F228">
        <v>2</v>
      </c>
      <c r="G228">
        <v>3</v>
      </c>
      <c r="H228">
        <v>4</v>
      </c>
      <c r="I228">
        <v>2</v>
      </c>
      <c r="J228">
        <v>43</v>
      </c>
      <c r="K228" t="str">
        <f t="shared" si="3"/>
        <v>48_2022</v>
      </c>
    </row>
    <row r="229" spans="1:11" x14ac:dyDescent="0.3">
      <c r="A229">
        <v>48</v>
      </c>
      <c r="B229">
        <v>2023</v>
      </c>
      <c r="C229">
        <v>4</v>
      </c>
      <c r="D229">
        <v>9543.2200000000012</v>
      </c>
      <c r="E229">
        <v>4</v>
      </c>
      <c r="F229">
        <v>0</v>
      </c>
      <c r="G229">
        <v>4</v>
      </c>
      <c r="H229">
        <v>4</v>
      </c>
      <c r="I229">
        <v>4</v>
      </c>
      <c r="J229">
        <v>27</v>
      </c>
      <c r="K229" t="str">
        <f t="shared" si="3"/>
        <v>48_2023</v>
      </c>
    </row>
    <row r="230" spans="1:11" x14ac:dyDescent="0.3">
      <c r="A230">
        <v>48</v>
      </c>
      <c r="B230">
        <v>2024</v>
      </c>
      <c r="C230">
        <v>5</v>
      </c>
      <c r="D230">
        <v>15460.46</v>
      </c>
      <c r="E230">
        <v>2</v>
      </c>
      <c r="F230">
        <v>3</v>
      </c>
      <c r="G230">
        <v>2</v>
      </c>
      <c r="H230">
        <v>4</v>
      </c>
      <c r="I230">
        <v>3</v>
      </c>
      <c r="J230">
        <v>52</v>
      </c>
      <c r="K230" t="str">
        <f t="shared" si="3"/>
        <v>48_2024</v>
      </c>
    </row>
    <row r="231" spans="1:11" x14ac:dyDescent="0.3">
      <c r="A231">
        <v>48</v>
      </c>
      <c r="B231">
        <v>2025</v>
      </c>
      <c r="C231">
        <v>4</v>
      </c>
      <c r="D231">
        <v>11557.869999999999</v>
      </c>
      <c r="E231">
        <v>1</v>
      </c>
      <c r="F231">
        <v>2</v>
      </c>
      <c r="G231">
        <v>2</v>
      </c>
      <c r="H231">
        <v>3</v>
      </c>
      <c r="I231">
        <v>1</v>
      </c>
      <c r="J231">
        <v>34</v>
      </c>
      <c r="K231" t="str">
        <f t="shared" si="3"/>
        <v>48_2025</v>
      </c>
    </row>
    <row r="232" spans="1:11" x14ac:dyDescent="0.3">
      <c r="A232">
        <v>49</v>
      </c>
      <c r="B232">
        <v>2021</v>
      </c>
      <c r="C232">
        <v>4</v>
      </c>
      <c r="D232">
        <v>10766.820000000002</v>
      </c>
      <c r="E232">
        <v>3</v>
      </c>
      <c r="F232">
        <v>3</v>
      </c>
      <c r="G232">
        <v>1</v>
      </c>
      <c r="H232">
        <v>4</v>
      </c>
      <c r="I232">
        <v>4</v>
      </c>
      <c r="J232">
        <v>47</v>
      </c>
      <c r="K232" t="str">
        <f t="shared" si="3"/>
        <v>49_2021</v>
      </c>
    </row>
    <row r="233" spans="1:11" x14ac:dyDescent="0.3">
      <c r="A233">
        <v>49</v>
      </c>
      <c r="B233">
        <v>2022</v>
      </c>
      <c r="C233">
        <v>4</v>
      </c>
      <c r="D233">
        <v>15416.3</v>
      </c>
      <c r="E233">
        <v>3</v>
      </c>
      <c r="F233">
        <v>1</v>
      </c>
      <c r="G233">
        <v>3</v>
      </c>
      <c r="H233">
        <v>3</v>
      </c>
      <c r="I233">
        <v>2</v>
      </c>
      <c r="J233">
        <v>39</v>
      </c>
      <c r="K233" t="str">
        <f t="shared" si="3"/>
        <v>49_2022</v>
      </c>
    </row>
    <row r="234" spans="1:11" x14ac:dyDescent="0.3">
      <c r="A234">
        <v>49</v>
      </c>
      <c r="B234">
        <v>2023</v>
      </c>
      <c r="C234">
        <v>5</v>
      </c>
      <c r="D234">
        <v>18778.46</v>
      </c>
      <c r="E234">
        <v>3</v>
      </c>
      <c r="F234">
        <v>1</v>
      </c>
      <c r="G234">
        <v>4</v>
      </c>
      <c r="H234">
        <v>4</v>
      </c>
      <c r="I234">
        <v>4</v>
      </c>
      <c r="J234">
        <v>68</v>
      </c>
      <c r="K234" t="str">
        <f t="shared" si="3"/>
        <v>49_2023</v>
      </c>
    </row>
    <row r="235" spans="1:11" x14ac:dyDescent="0.3">
      <c r="A235">
        <v>49</v>
      </c>
      <c r="B235">
        <v>2024</v>
      </c>
      <c r="C235">
        <v>5</v>
      </c>
      <c r="D235">
        <v>14289.91</v>
      </c>
      <c r="E235">
        <v>3</v>
      </c>
      <c r="F235">
        <v>3</v>
      </c>
      <c r="G235">
        <v>2</v>
      </c>
      <c r="H235">
        <v>4</v>
      </c>
      <c r="I235">
        <v>2</v>
      </c>
      <c r="J235">
        <v>36</v>
      </c>
      <c r="K235" t="str">
        <f t="shared" si="3"/>
        <v>49_2024</v>
      </c>
    </row>
    <row r="236" spans="1:11" x14ac:dyDescent="0.3">
      <c r="A236">
        <v>49</v>
      </c>
      <c r="B236">
        <v>2025</v>
      </c>
      <c r="C236">
        <v>3</v>
      </c>
      <c r="D236">
        <v>8387.9699999999993</v>
      </c>
      <c r="E236">
        <v>2</v>
      </c>
      <c r="F236">
        <v>3</v>
      </c>
      <c r="G236">
        <v>0</v>
      </c>
      <c r="H236">
        <v>2</v>
      </c>
      <c r="I236">
        <v>2</v>
      </c>
      <c r="J236">
        <v>23</v>
      </c>
      <c r="K236" t="str">
        <f t="shared" si="3"/>
        <v>49_2025</v>
      </c>
    </row>
    <row r="237" spans="1:11" x14ac:dyDescent="0.3">
      <c r="A237">
        <v>50</v>
      </c>
      <c r="B237">
        <v>2021</v>
      </c>
      <c r="C237">
        <v>3</v>
      </c>
      <c r="D237">
        <v>2260.2200000000003</v>
      </c>
      <c r="E237">
        <v>0</v>
      </c>
      <c r="F237">
        <v>3</v>
      </c>
      <c r="G237">
        <v>0</v>
      </c>
      <c r="H237">
        <v>0</v>
      </c>
      <c r="I237">
        <v>0</v>
      </c>
      <c r="J237">
        <v>25</v>
      </c>
      <c r="K237" t="str">
        <f t="shared" si="3"/>
        <v>50_2021</v>
      </c>
    </row>
    <row r="238" spans="1:11" x14ac:dyDescent="0.3">
      <c r="A238">
        <v>50</v>
      </c>
      <c r="B238">
        <v>2022</v>
      </c>
      <c r="C238">
        <v>4</v>
      </c>
      <c r="D238">
        <v>7293.5599999999995</v>
      </c>
      <c r="E238">
        <v>2</v>
      </c>
      <c r="F238">
        <v>1</v>
      </c>
      <c r="G238">
        <v>3</v>
      </c>
      <c r="H238">
        <v>3</v>
      </c>
      <c r="I238">
        <v>3</v>
      </c>
      <c r="J238">
        <v>54</v>
      </c>
      <c r="K238" t="str">
        <f t="shared" si="3"/>
        <v>50_2022</v>
      </c>
    </row>
    <row r="239" spans="1:11" x14ac:dyDescent="0.3">
      <c r="A239">
        <v>50</v>
      </c>
      <c r="B239">
        <v>2023</v>
      </c>
      <c r="C239">
        <v>3</v>
      </c>
      <c r="D239">
        <v>1279.24</v>
      </c>
      <c r="E239">
        <v>0</v>
      </c>
      <c r="F239">
        <v>2</v>
      </c>
      <c r="G239">
        <v>1</v>
      </c>
      <c r="H239">
        <v>0</v>
      </c>
      <c r="I239">
        <v>1</v>
      </c>
      <c r="J239">
        <v>26</v>
      </c>
      <c r="K239" t="str">
        <f t="shared" si="3"/>
        <v>50_2023</v>
      </c>
    </row>
    <row r="240" spans="1:11" x14ac:dyDescent="0.3">
      <c r="A240">
        <v>50</v>
      </c>
      <c r="B240">
        <v>2024</v>
      </c>
      <c r="C240">
        <v>6</v>
      </c>
      <c r="D240">
        <v>20803.93</v>
      </c>
      <c r="E240">
        <v>4</v>
      </c>
      <c r="F240">
        <v>3</v>
      </c>
      <c r="G240">
        <v>3</v>
      </c>
      <c r="H240">
        <v>5</v>
      </c>
      <c r="I240">
        <v>5</v>
      </c>
      <c r="J240">
        <v>49</v>
      </c>
      <c r="K240" t="str">
        <f t="shared" si="3"/>
        <v>50_2024</v>
      </c>
    </row>
    <row r="241" spans="1:11" x14ac:dyDescent="0.3">
      <c r="A241">
        <v>50</v>
      </c>
      <c r="B241">
        <v>2025</v>
      </c>
      <c r="C241">
        <v>1</v>
      </c>
      <c r="D241">
        <v>1318.85</v>
      </c>
      <c r="E241">
        <v>1</v>
      </c>
      <c r="F241">
        <v>0</v>
      </c>
      <c r="G241">
        <v>1</v>
      </c>
      <c r="H241">
        <v>0</v>
      </c>
      <c r="I241">
        <v>1</v>
      </c>
      <c r="J241">
        <v>2</v>
      </c>
      <c r="K241" t="str">
        <f t="shared" si="3"/>
        <v>50_2025</v>
      </c>
    </row>
    <row r="242" spans="1:11" x14ac:dyDescent="0.3">
      <c r="A242">
        <v>51</v>
      </c>
      <c r="B242">
        <v>2021</v>
      </c>
      <c r="C242">
        <v>2</v>
      </c>
      <c r="D242">
        <v>579.59</v>
      </c>
      <c r="E242">
        <v>1</v>
      </c>
      <c r="F242">
        <v>2</v>
      </c>
      <c r="G242">
        <v>0</v>
      </c>
      <c r="H242">
        <v>0</v>
      </c>
      <c r="I242">
        <v>0</v>
      </c>
      <c r="J242">
        <v>11</v>
      </c>
      <c r="K242" t="str">
        <f t="shared" si="3"/>
        <v>51_2021</v>
      </c>
    </row>
    <row r="243" spans="1:11" x14ac:dyDescent="0.3">
      <c r="A243">
        <v>51</v>
      </c>
      <c r="B243">
        <v>2022</v>
      </c>
      <c r="C243">
        <v>6</v>
      </c>
      <c r="D243">
        <v>18818.989999999998</v>
      </c>
      <c r="E243">
        <v>5</v>
      </c>
      <c r="F243">
        <v>3</v>
      </c>
      <c r="G243">
        <v>3</v>
      </c>
      <c r="H243">
        <v>4</v>
      </c>
      <c r="I243">
        <v>2</v>
      </c>
      <c r="J243">
        <v>55</v>
      </c>
      <c r="K243" t="str">
        <f t="shared" si="3"/>
        <v>51_2022</v>
      </c>
    </row>
    <row r="244" spans="1:11" x14ac:dyDescent="0.3">
      <c r="A244">
        <v>51</v>
      </c>
      <c r="B244">
        <v>2023</v>
      </c>
      <c r="C244">
        <v>1</v>
      </c>
      <c r="D244">
        <v>5495.83</v>
      </c>
      <c r="E244">
        <v>0</v>
      </c>
      <c r="F244">
        <v>1</v>
      </c>
      <c r="G244">
        <v>0</v>
      </c>
      <c r="H244">
        <v>1</v>
      </c>
      <c r="I244">
        <v>0</v>
      </c>
      <c r="J244">
        <v>12</v>
      </c>
      <c r="K244" t="str">
        <f t="shared" si="3"/>
        <v>51_2023</v>
      </c>
    </row>
    <row r="245" spans="1:11" x14ac:dyDescent="0.3">
      <c r="A245">
        <v>51</v>
      </c>
      <c r="B245">
        <v>2024</v>
      </c>
      <c r="C245">
        <v>5</v>
      </c>
      <c r="D245">
        <v>12582.78</v>
      </c>
      <c r="E245">
        <v>3</v>
      </c>
      <c r="F245">
        <v>2</v>
      </c>
      <c r="G245">
        <v>3</v>
      </c>
      <c r="H245">
        <v>4</v>
      </c>
      <c r="I245">
        <v>2</v>
      </c>
      <c r="J245">
        <v>39</v>
      </c>
      <c r="K245" t="str">
        <f t="shared" si="3"/>
        <v>51_2024</v>
      </c>
    </row>
    <row r="246" spans="1:11" x14ac:dyDescent="0.3">
      <c r="A246">
        <v>51</v>
      </c>
      <c r="B246">
        <v>2025</v>
      </c>
      <c r="C246">
        <v>4</v>
      </c>
      <c r="D246">
        <v>10085.57</v>
      </c>
      <c r="E246">
        <v>0</v>
      </c>
      <c r="F246">
        <v>1</v>
      </c>
      <c r="G246">
        <v>3</v>
      </c>
      <c r="H246">
        <v>2</v>
      </c>
      <c r="I246">
        <v>1</v>
      </c>
      <c r="J246">
        <v>36</v>
      </c>
      <c r="K246" t="str">
        <f t="shared" si="3"/>
        <v>51_2025</v>
      </c>
    </row>
    <row r="247" spans="1:11" x14ac:dyDescent="0.3">
      <c r="A247">
        <v>52</v>
      </c>
      <c r="B247">
        <v>2021</v>
      </c>
      <c r="C247">
        <v>3</v>
      </c>
      <c r="D247">
        <v>2441.9</v>
      </c>
      <c r="E247">
        <v>0</v>
      </c>
      <c r="F247">
        <v>3</v>
      </c>
      <c r="G247">
        <v>0</v>
      </c>
      <c r="H247">
        <v>0</v>
      </c>
      <c r="I247">
        <v>0</v>
      </c>
      <c r="J247">
        <v>17</v>
      </c>
      <c r="K247" t="str">
        <f t="shared" si="3"/>
        <v>52_2021</v>
      </c>
    </row>
    <row r="248" spans="1:11" x14ac:dyDescent="0.3">
      <c r="A248">
        <v>52</v>
      </c>
      <c r="B248">
        <v>2022</v>
      </c>
      <c r="C248">
        <v>1</v>
      </c>
      <c r="D248">
        <v>1904.08</v>
      </c>
      <c r="E248">
        <v>0</v>
      </c>
      <c r="F248">
        <v>0</v>
      </c>
      <c r="G248">
        <v>1</v>
      </c>
      <c r="H248">
        <v>1</v>
      </c>
      <c r="I248">
        <v>1</v>
      </c>
      <c r="J248">
        <v>6</v>
      </c>
      <c r="K248" t="str">
        <f t="shared" si="3"/>
        <v>52_2022</v>
      </c>
    </row>
    <row r="249" spans="1:11" x14ac:dyDescent="0.3">
      <c r="A249">
        <v>52</v>
      </c>
      <c r="B249">
        <v>2023</v>
      </c>
      <c r="C249">
        <v>6</v>
      </c>
      <c r="D249">
        <v>20821.97</v>
      </c>
      <c r="E249">
        <v>4</v>
      </c>
      <c r="F249">
        <v>3</v>
      </c>
      <c r="G249">
        <v>3</v>
      </c>
      <c r="H249">
        <v>4</v>
      </c>
      <c r="I249">
        <v>3</v>
      </c>
      <c r="J249">
        <v>65</v>
      </c>
      <c r="K249" t="str">
        <f t="shared" si="3"/>
        <v>52_2023</v>
      </c>
    </row>
    <row r="250" spans="1:11" x14ac:dyDescent="0.3">
      <c r="A250">
        <v>52</v>
      </c>
      <c r="B250">
        <v>2024</v>
      </c>
      <c r="C250">
        <v>4</v>
      </c>
      <c r="D250">
        <v>10436.17</v>
      </c>
      <c r="E250">
        <v>3</v>
      </c>
      <c r="F250">
        <v>3</v>
      </c>
      <c r="G250">
        <v>1</v>
      </c>
      <c r="H250">
        <v>3</v>
      </c>
      <c r="I250">
        <v>2</v>
      </c>
      <c r="J250">
        <v>50</v>
      </c>
      <c r="K250" t="str">
        <f t="shared" si="3"/>
        <v>52_2024</v>
      </c>
    </row>
    <row r="251" spans="1:11" x14ac:dyDescent="0.3">
      <c r="A251">
        <v>52</v>
      </c>
      <c r="B251">
        <v>2025</v>
      </c>
      <c r="C251">
        <v>3</v>
      </c>
      <c r="D251">
        <v>12858.439999999999</v>
      </c>
      <c r="E251">
        <v>1</v>
      </c>
      <c r="F251">
        <v>3</v>
      </c>
      <c r="G251">
        <v>0</v>
      </c>
      <c r="H251">
        <v>2</v>
      </c>
      <c r="I251">
        <v>2</v>
      </c>
      <c r="J251">
        <v>35</v>
      </c>
      <c r="K251" t="str">
        <f t="shared" si="3"/>
        <v>52_2025</v>
      </c>
    </row>
    <row r="252" spans="1:11" x14ac:dyDescent="0.3">
      <c r="A252">
        <v>53</v>
      </c>
      <c r="B252">
        <v>2021</v>
      </c>
      <c r="C252">
        <v>6</v>
      </c>
      <c r="D252">
        <v>15861.58</v>
      </c>
      <c r="E252">
        <v>2</v>
      </c>
      <c r="F252">
        <v>2</v>
      </c>
      <c r="G252">
        <v>4</v>
      </c>
      <c r="H252">
        <v>4</v>
      </c>
      <c r="I252">
        <v>4</v>
      </c>
      <c r="J252">
        <v>61</v>
      </c>
      <c r="K252" t="str">
        <f t="shared" si="3"/>
        <v>53_2021</v>
      </c>
    </row>
    <row r="253" spans="1:11" x14ac:dyDescent="0.3">
      <c r="A253">
        <v>53</v>
      </c>
      <c r="B253">
        <v>2022</v>
      </c>
      <c r="C253">
        <v>3</v>
      </c>
      <c r="D253">
        <v>16330.24</v>
      </c>
      <c r="E253">
        <v>2</v>
      </c>
      <c r="F253">
        <v>1</v>
      </c>
      <c r="G253">
        <v>2</v>
      </c>
      <c r="H253">
        <v>3</v>
      </c>
      <c r="I253">
        <v>2</v>
      </c>
      <c r="J253">
        <v>34</v>
      </c>
      <c r="K253" t="str">
        <f t="shared" si="3"/>
        <v>53_2022</v>
      </c>
    </row>
    <row r="254" spans="1:11" x14ac:dyDescent="0.3">
      <c r="A254">
        <v>53</v>
      </c>
      <c r="B254">
        <v>2023</v>
      </c>
      <c r="C254">
        <v>3</v>
      </c>
      <c r="D254">
        <v>10879.11</v>
      </c>
      <c r="E254">
        <v>3</v>
      </c>
      <c r="F254">
        <v>1</v>
      </c>
      <c r="G254">
        <v>2</v>
      </c>
      <c r="H254">
        <v>3</v>
      </c>
      <c r="I254">
        <v>2</v>
      </c>
      <c r="J254">
        <v>35</v>
      </c>
      <c r="K254" t="str">
        <f t="shared" si="3"/>
        <v>53_2023</v>
      </c>
    </row>
    <row r="255" spans="1:11" x14ac:dyDescent="0.3">
      <c r="A255">
        <v>53</v>
      </c>
      <c r="B255">
        <v>2024</v>
      </c>
      <c r="C255">
        <v>6</v>
      </c>
      <c r="D255">
        <v>18018.46</v>
      </c>
      <c r="E255">
        <v>4</v>
      </c>
      <c r="F255">
        <v>5</v>
      </c>
      <c r="G255">
        <v>1</v>
      </c>
      <c r="H255">
        <v>5</v>
      </c>
      <c r="I255">
        <v>3</v>
      </c>
      <c r="J255">
        <v>73</v>
      </c>
      <c r="K255" t="str">
        <f t="shared" si="3"/>
        <v>53_2024</v>
      </c>
    </row>
    <row r="256" spans="1:11" x14ac:dyDescent="0.3">
      <c r="A256">
        <v>53</v>
      </c>
      <c r="B256">
        <v>2025</v>
      </c>
      <c r="C256">
        <v>3</v>
      </c>
      <c r="D256">
        <v>6914.6399999999994</v>
      </c>
      <c r="E256">
        <v>2</v>
      </c>
      <c r="F256">
        <v>2</v>
      </c>
      <c r="G256">
        <v>1</v>
      </c>
      <c r="H256">
        <v>2</v>
      </c>
      <c r="I256">
        <v>1</v>
      </c>
      <c r="J256">
        <v>25</v>
      </c>
      <c r="K256" t="str">
        <f t="shared" si="3"/>
        <v>53_2025</v>
      </c>
    </row>
    <row r="257" spans="1:11" x14ac:dyDescent="0.3">
      <c r="A257">
        <v>54</v>
      </c>
      <c r="B257">
        <v>2021</v>
      </c>
      <c r="C257">
        <v>5</v>
      </c>
      <c r="D257">
        <v>10622.169999999998</v>
      </c>
      <c r="E257">
        <v>2</v>
      </c>
      <c r="F257">
        <v>2</v>
      </c>
      <c r="G257">
        <v>3</v>
      </c>
      <c r="H257">
        <v>3</v>
      </c>
      <c r="I257">
        <v>3</v>
      </c>
      <c r="J257">
        <v>59</v>
      </c>
      <c r="K257" t="str">
        <f t="shared" si="3"/>
        <v>54_2021</v>
      </c>
    </row>
    <row r="258" spans="1:11" x14ac:dyDescent="0.3">
      <c r="A258">
        <v>54</v>
      </c>
      <c r="B258">
        <v>2022</v>
      </c>
      <c r="C258">
        <v>1</v>
      </c>
      <c r="D258">
        <v>1470.96</v>
      </c>
      <c r="E258">
        <v>1</v>
      </c>
      <c r="F258">
        <v>1</v>
      </c>
      <c r="G258">
        <v>0</v>
      </c>
      <c r="H258">
        <v>0</v>
      </c>
      <c r="I258">
        <v>0</v>
      </c>
      <c r="J258">
        <v>11</v>
      </c>
      <c r="K258" t="str">
        <f t="shared" ref="K258:K321" si="4">A258&amp;"_"&amp;B258</f>
        <v>54_2022</v>
      </c>
    </row>
    <row r="259" spans="1:11" x14ac:dyDescent="0.3">
      <c r="A259">
        <v>54</v>
      </c>
      <c r="B259">
        <v>2023</v>
      </c>
      <c r="C259">
        <v>4</v>
      </c>
      <c r="D259">
        <v>6678.7300000000005</v>
      </c>
      <c r="E259">
        <v>2</v>
      </c>
      <c r="F259">
        <v>2</v>
      </c>
      <c r="G259">
        <v>2</v>
      </c>
      <c r="H259">
        <v>2</v>
      </c>
      <c r="I259">
        <v>2</v>
      </c>
      <c r="J259">
        <v>51</v>
      </c>
      <c r="K259" t="str">
        <f t="shared" si="4"/>
        <v>54_2023</v>
      </c>
    </row>
    <row r="260" spans="1:11" x14ac:dyDescent="0.3">
      <c r="A260">
        <v>54</v>
      </c>
      <c r="B260">
        <v>2024</v>
      </c>
      <c r="C260">
        <v>1</v>
      </c>
      <c r="D260">
        <v>1268.2</v>
      </c>
      <c r="E260">
        <v>0</v>
      </c>
      <c r="F260">
        <v>0</v>
      </c>
      <c r="G260">
        <v>1</v>
      </c>
      <c r="H260">
        <v>0</v>
      </c>
      <c r="I260">
        <v>1</v>
      </c>
      <c r="J260">
        <v>9</v>
      </c>
      <c r="K260" t="str">
        <f t="shared" si="4"/>
        <v>54_2024</v>
      </c>
    </row>
    <row r="261" spans="1:11" x14ac:dyDescent="0.3">
      <c r="A261">
        <v>54</v>
      </c>
      <c r="B261">
        <v>2025</v>
      </c>
      <c r="C261">
        <v>3</v>
      </c>
      <c r="D261">
        <v>8931.8799999999992</v>
      </c>
      <c r="E261">
        <v>2</v>
      </c>
      <c r="F261">
        <v>2</v>
      </c>
      <c r="G261">
        <v>1</v>
      </c>
      <c r="H261">
        <v>3</v>
      </c>
      <c r="I261">
        <v>2</v>
      </c>
      <c r="J261">
        <v>31</v>
      </c>
      <c r="K261" t="str">
        <f t="shared" si="4"/>
        <v>54_2025</v>
      </c>
    </row>
    <row r="262" spans="1:11" x14ac:dyDescent="0.3">
      <c r="A262">
        <v>55</v>
      </c>
      <c r="B262">
        <v>2021</v>
      </c>
      <c r="C262">
        <v>6</v>
      </c>
      <c r="D262">
        <v>10388.450000000001</v>
      </c>
      <c r="E262">
        <v>1</v>
      </c>
      <c r="F262">
        <v>2</v>
      </c>
      <c r="G262">
        <v>4</v>
      </c>
      <c r="H262">
        <v>3</v>
      </c>
      <c r="I262">
        <v>3</v>
      </c>
      <c r="J262">
        <v>53</v>
      </c>
      <c r="K262" t="str">
        <f t="shared" si="4"/>
        <v>55_2021</v>
      </c>
    </row>
    <row r="263" spans="1:11" x14ac:dyDescent="0.3">
      <c r="A263">
        <v>55</v>
      </c>
      <c r="B263">
        <v>2022</v>
      </c>
      <c r="C263">
        <v>3</v>
      </c>
      <c r="D263">
        <v>2326.02</v>
      </c>
      <c r="E263">
        <v>0</v>
      </c>
      <c r="F263">
        <v>3</v>
      </c>
      <c r="G263">
        <v>0</v>
      </c>
      <c r="H263">
        <v>0</v>
      </c>
      <c r="I263">
        <v>0</v>
      </c>
      <c r="J263">
        <v>21</v>
      </c>
      <c r="K263" t="str">
        <f t="shared" si="4"/>
        <v>55_2022</v>
      </c>
    </row>
    <row r="264" spans="1:11" x14ac:dyDescent="0.3">
      <c r="A264">
        <v>55</v>
      </c>
      <c r="B264">
        <v>2023</v>
      </c>
      <c r="C264">
        <v>5</v>
      </c>
      <c r="D264">
        <v>15119.03</v>
      </c>
      <c r="E264">
        <v>2</v>
      </c>
      <c r="F264">
        <v>2</v>
      </c>
      <c r="G264">
        <v>3</v>
      </c>
      <c r="H264">
        <v>4</v>
      </c>
      <c r="I264">
        <v>2</v>
      </c>
      <c r="J264">
        <v>53</v>
      </c>
      <c r="K264" t="str">
        <f t="shared" si="4"/>
        <v>55_2023</v>
      </c>
    </row>
    <row r="265" spans="1:11" x14ac:dyDescent="0.3">
      <c r="A265">
        <v>55</v>
      </c>
      <c r="B265">
        <v>2024</v>
      </c>
      <c r="C265">
        <v>2</v>
      </c>
      <c r="D265">
        <v>631.53</v>
      </c>
      <c r="E265">
        <v>0</v>
      </c>
      <c r="F265">
        <v>1</v>
      </c>
      <c r="G265">
        <v>1</v>
      </c>
      <c r="H265">
        <v>0</v>
      </c>
      <c r="I265">
        <v>1</v>
      </c>
      <c r="J265">
        <v>18</v>
      </c>
      <c r="K265" t="str">
        <f t="shared" si="4"/>
        <v>55_2024</v>
      </c>
    </row>
    <row r="266" spans="1:11" x14ac:dyDescent="0.3">
      <c r="A266">
        <v>55</v>
      </c>
      <c r="B266">
        <v>2025</v>
      </c>
      <c r="C266">
        <v>6</v>
      </c>
      <c r="D266">
        <v>12183.27</v>
      </c>
      <c r="E266">
        <v>4</v>
      </c>
      <c r="F266">
        <v>4</v>
      </c>
      <c r="G266">
        <v>2</v>
      </c>
      <c r="H266">
        <v>3</v>
      </c>
      <c r="I266">
        <v>3</v>
      </c>
      <c r="J266">
        <v>69</v>
      </c>
      <c r="K266" t="str">
        <f t="shared" si="4"/>
        <v>55_2025</v>
      </c>
    </row>
    <row r="267" spans="1:11" x14ac:dyDescent="0.3">
      <c r="A267">
        <v>56</v>
      </c>
      <c r="B267">
        <v>2021</v>
      </c>
      <c r="C267">
        <v>3</v>
      </c>
      <c r="D267">
        <v>4758.1399999999994</v>
      </c>
      <c r="E267">
        <v>0</v>
      </c>
      <c r="F267">
        <v>2</v>
      </c>
      <c r="G267">
        <v>1</v>
      </c>
      <c r="H267">
        <v>1</v>
      </c>
      <c r="I267">
        <v>1</v>
      </c>
      <c r="J267">
        <v>25</v>
      </c>
      <c r="K267" t="str">
        <f t="shared" si="4"/>
        <v>56_2021</v>
      </c>
    </row>
    <row r="268" spans="1:11" x14ac:dyDescent="0.3">
      <c r="A268">
        <v>56</v>
      </c>
      <c r="B268">
        <v>2022</v>
      </c>
      <c r="C268">
        <v>3</v>
      </c>
      <c r="D268">
        <v>5110.08</v>
      </c>
      <c r="E268">
        <v>0</v>
      </c>
      <c r="F268">
        <v>2</v>
      </c>
      <c r="G268">
        <v>1</v>
      </c>
      <c r="H268">
        <v>2</v>
      </c>
      <c r="I268">
        <v>0</v>
      </c>
      <c r="J268">
        <v>19</v>
      </c>
      <c r="K268" t="str">
        <f t="shared" si="4"/>
        <v>56_2022</v>
      </c>
    </row>
    <row r="269" spans="1:11" x14ac:dyDescent="0.3">
      <c r="A269">
        <v>56</v>
      </c>
      <c r="B269">
        <v>2023</v>
      </c>
      <c r="C269">
        <v>3</v>
      </c>
      <c r="D269">
        <v>8346.9500000000007</v>
      </c>
      <c r="E269">
        <v>2</v>
      </c>
      <c r="F269">
        <v>1</v>
      </c>
      <c r="G269">
        <v>2</v>
      </c>
      <c r="H269">
        <v>3</v>
      </c>
      <c r="I269">
        <v>0</v>
      </c>
      <c r="J269">
        <v>23</v>
      </c>
      <c r="K269" t="str">
        <f t="shared" si="4"/>
        <v>56_2023</v>
      </c>
    </row>
    <row r="270" spans="1:11" x14ac:dyDescent="0.3">
      <c r="A270">
        <v>56</v>
      </c>
      <c r="B270">
        <v>2024</v>
      </c>
      <c r="C270">
        <v>1</v>
      </c>
      <c r="D270">
        <v>5109.3900000000003</v>
      </c>
      <c r="E270">
        <v>0</v>
      </c>
      <c r="F270">
        <v>1</v>
      </c>
      <c r="G270">
        <v>0</v>
      </c>
      <c r="H270">
        <v>1</v>
      </c>
      <c r="I270">
        <v>0</v>
      </c>
      <c r="J270">
        <v>3</v>
      </c>
      <c r="K270" t="str">
        <f t="shared" si="4"/>
        <v>56_2024</v>
      </c>
    </row>
    <row r="271" spans="1:11" x14ac:dyDescent="0.3">
      <c r="A271">
        <v>57</v>
      </c>
      <c r="B271">
        <v>2021</v>
      </c>
      <c r="C271">
        <v>1</v>
      </c>
      <c r="D271">
        <v>943.56</v>
      </c>
      <c r="E271">
        <v>0</v>
      </c>
      <c r="F271">
        <v>0</v>
      </c>
      <c r="G271">
        <v>1</v>
      </c>
      <c r="H271">
        <v>0</v>
      </c>
      <c r="I271">
        <v>0</v>
      </c>
      <c r="J271">
        <v>6</v>
      </c>
      <c r="K271" t="str">
        <f t="shared" si="4"/>
        <v>57_2021</v>
      </c>
    </row>
    <row r="272" spans="1:11" x14ac:dyDescent="0.3">
      <c r="A272">
        <v>57</v>
      </c>
      <c r="B272">
        <v>2022</v>
      </c>
      <c r="C272">
        <v>1</v>
      </c>
      <c r="D272">
        <v>1161.17</v>
      </c>
      <c r="E272">
        <v>0</v>
      </c>
      <c r="F272">
        <v>1</v>
      </c>
      <c r="G272">
        <v>0</v>
      </c>
      <c r="H272">
        <v>0</v>
      </c>
      <c r="I272">
        <v>0</v>
      </c>
      <c r="J272">
        <v>13</v>
      </c>
      <c r="K272" t="str">
        <f t="shared" si="4"/>
        <v>57_2022</v>
      </c>
    </row>
    <row r="273" spans="1:11" x14ac:dyDescent="0.3">
      <c r="A273">
        <v>57</v>
      </c>
      <c r="B273">
        <v>2023</v>
      </c>
      <c r="C273">
        <v>3</v>
      </c>
      <c r="D273">
        <v>7446.26</v>
      </c>
      <c r="E273">
        <v>1</v>
      </c>
      <c r="F273">
        <v>0</v>
      </c>
      <c r="G273">
        <v>3</v>
      </c>
      <c r="H273">
        <v>2</v>
      </c>
      <c r="I273">
        <v>2</v>
      </c>
      <c r="J273">
        <v>29</v>
      </c>
      <c r="K273" t="str">
        <f t="shared" si="4"/>
        <v>57_2023</v>
      </c>
    </row>
    <row r="274" spans="1:11" x14ac:dyDescent="0.3">
      <c r="A274">
        <v>57</v>
      </c>
      <c r="B274">
        <v>2024</v>
      </c>
      <c r="C274">
        <v>4</v>
      </c>
      <c r="D274">
        <v>6697.8900000000012</v>
      </c>
      <c r="E274">
        <v>0</v>
      </c>
      <c r="F274">
        <v>3</v>
      </c>
      <c r="G274">
        <v>1</v>
      </c>
      <c r="H274">
        <v>3</v>
      </c>
      <c r="I274">
        <v>1</v>
      </c>
      <c r="J274">
        <v>40</v>
      </c>
      <c r="K274" t="str">
        <f t="shared" si="4"/>
        <v>57_2024</v>
      </c>
    </row>
    <row r="275" spans="1:11" x14ac:dyDescent="0.3">
      <c r="A275">
        <v>57</v>
      </c>
      <c r="B275">
        <v>2025</v>
      </c>
      <c r="C275">
        <v>4</v>
      </c>
      <c r="D275">
        <v>16328.060000000001</v>
      </c>
      <c r="E275">
        <v>1</v>
      </c>
      <c r="F275">
        <v>2</v>
      </c>
      <c r="G275">
        <v>2</v>
      </c>
      <c r="H275">
        <v>4</v>
      </c>
      <c r="I275">
        <v>3</v>
      </c>
      <c r="J275">
        <v>30</v>
      </c>
      <c r="K275" t="str">
        <f t="shared" si="4"/>
        <v>57_2025</v>
      </c>
    </row>
    <row r="276" spans="1:11" x14ac:dyDescent="0.3">
      <c r="A276">
        <v>58</v>
      </c>
      <c r="B276">
        <v>2021</v>
      </c>
      <c r="C276">
        <v>5</v>
      </c>
      <c r="D276">
        <v>11941.97</v>
      </c>
      <c r="E276">
        <v>0</v>
      </c>
      <c r="F276">
        <v>2</v>
      </c>
      <c r="G276">
        <v>3</v>
      </c>
      <c r="H276">
        <v>4</v>
      </c>
      <c r="I276">
        <v>4</v>
      </c>
      <c r="J276">
        <v>43</v>
      </c>
      <c r="K276" t="str">
        <f t="shared" si="4"/>
        <v>58_2021</v>
      </c>
    </row>
    <row r="277" spans="1:11" x14ac:dyDescent="0.3">
      <c r="A277">
        <v>58</v>
      </c>
      <c r="B277">
        <v>2022</v>
      </c>
      <c r="C277">
        <v>1</v>
      </c>
      <c r="D277">
        <v>3269.23</v>
      </c>
      <c r="E277">
        <v>1</v>
      </c>
      <c r="F277">
        <v>0</v>
      </c>
      <c r="G277">
        <v>1</v>
      </c>
      <c r="H277">
        <v>1</v>
      </c>
      <c r="I277">
        <v>0</v>
      </c>
      <c r="J277">
        <v>4</v>
      </c>
      <c r="K277" t="str">
        <f t="shared" si="4"/>
        <v>58_2022</v>
      </c>
    </row>
    <row r="278" spans="1:11" x14ac:dyDescent="0.3">
      <c r="A278">
        <v>58</v>
      </c>
      <c r="B278">
        <v>2023</v>
      </c>
      <c r="C278">
        <v>6</v>
      </c>
      <c r="D278">
        <v>27077.46</v>
      </c>
      <c r="E278">
        <v>4</v>
      </c>
      <c r="F278">
        <v>3</v>
      </c>
      <c r="G278">
        <v>3</v>
      </c>
      <c r="H278">
        <v>6</v>
      </c>
      <c r="I278">
        <v>2</v>
      </c>
      <c r="J278">
        <v>62</v>
      </c>
      <c r="K278" t="str">
        <f t="shared" si="4"/>
        <v>58_2023</v>
      </c>
    </row>
    <row r="279" spans="1:11" x14ac:dyDescent="0.3">
      <c r="A279">
        <v>58</v>
      </c>
      <c r="B279">
        <v>2024</v>
      </c>
      <c r="C279">
        <v>4</v>
      </c>
      <c r="D279">
        <v>23420.469999999998</v>
      </c>
      <c r="E279">
        <v>2</v>
      </c>
      <c r="F279">
        <v>2</v>
      </c>
      <c r="G279">
        <v>2</v>
      </c>
      <c r="H279">
        <v>4</v>
      </c>
      <c r="I279">
        <v>3</v>
      </c>
      <c r="J279">
        <v>40</v>
      </c>
      <c r="K279" t="str">
        <f t="shared" si="4"/>
        <v>58_2024</v>
      </c>
    </row>
    <row r="280" spans="1:11" x14ac:dyDescent="0.3">
      <c r="A280">
        <v>58</v>
      </c>
      <c r="B280">
        <v>2025</v>
      </c>
      <c r="C280">
        <v>1</v>
      </c>
      <c r="D280">
        <v>7115.29</v>
      </c>
      <c r="E280">
        <v>0</v>
      </c>
      <c r="F280">
        <v>1</v>
      </c>
      <c r="G280">
        <v>0</v>
      </c>
      <c r="H280">
        <v>1</v>
      </c>
      <c r="I280">
        <v>1</v>
      </c>
      <c r="J280">
        <v>9</v>
      </c>
      <c r="K280" t="str">
        <f t="shared" si="4"/>
        <v>58_2025</v>
      </c>
    </row>
    <row r="281" spans="1:11" x14ac:dyDescent="0.3">
      <c r="A281">
        <v>59</v>
      </c>
      <c r="B281">
        <v>2021</v>
      </c>
      <c r="C281">
        <v>3</v>
      </c>
      <c r="D281">
        <v>6368.09</v>
      </c>
      <c r="E281">
        <v>1</v>
      </c>
      <c r="F281">
        <v>2</v>
      </c>
      <c r="G281">
        <v>1</v>
      </c>
      <c r="H281">
        <v>2</v>
      </c>
      <c r="I281">
        <v>2</v>
      </c>
      <c r="J281">
        <v>13</v>
      </c>
      <c r="K281" t="str">
        <f t="shared" si="4"/>
        <v>59_2021</v>
      </c>
    </row>
    <row r="282" spans="1:11" x14ac:dyDescent="0.3">
      <c r="A282">
        <v>59</v>
      </c>
      <c r="B282">
        <v>2022</v>
      </c>
      <c r="C282">
        <v>1</v>
      </c>
      <c r="D282">
        <v>259.14999999999998</v>
      </c>
      <c r="E282">
        <v>0</v>
      </c>
      <c r="F282">
        <v>1</v>
      </c>
      <c r="G282">
        <v>0</v>
      </c>
      <c r="H282">
        <v>0</v>
      </c>
      <c r="I282">
        <v>0</v>
      </c>
      <c r="J282">
        <v>2</v>
      </c>
      <c r="K282" t="str">
        <f t="shared" si="4"/>
        <v>59_2022</v>
      </c>
    </row>
    <row r="283" spans="1:11" x14ac:dyDescent="0.3">
      <c r="A283">
        <v>59</v>
      </c>
      <c r="B283">
        <v>2023</v>
      </c>
      <c r="C283">
        <v>3</v>
      </c>
      <c r="D283">
        <v>19685.349999999999</v>
      </c>
      <c r="E283">
        <v>1</v>
      </c>
      <c r="F283">
        <v>0</v>
      </c>
      <c r="G283">
        <v>3</v>
      </c>
      <c r="H283">
        <v>3</v>
      </c>
      <c r="I283">
        <v>2</v>
      </c>
      <c r="J283">
        <v>37</v>
      </c>
      <c r="K283" t="str">
        <f t="shared" si="4"/>
        <v>59_2023</v>
      </c>
    </row>
    <row r="284" spans="1:11" x14ac:dyDescent="0.3">
      <c r="A284">
        <v>59</v>
      </c>
      <c r="B284">
        <v>2024</v>
      </c>
      <c r="C284">
        <v>1</v>
      </c>
      <c r="D284">
        <v>30.97</v>
      </c>
      <c r="E284">
        <v>0</v>
      </c>
      <c r="F284">
        <v>0</v>
      </c>
      <c r="G284">
        <v>1</v>
      </c>
      <c r="H284">
        <v>0</v>
      </c>
      <c r="I284">
        <v>0</v>
      </c>
      <c r="J284">
        <v>5</v>
      </c>
      <c r="K284" t="str">
        <f t="shared" si="4"/>
        <v>59_2024</v>
      </c>
    </row>
    <row r="285" spans="1:11" x14ac:dyDescent="0.3">
      <c r="A285">
        <v>59</v>
      </c>
      <c r="B285">
        <v>2025</v>
      </c>
      <c r="C285">
        <v>6</v>
      </c>
      <c r="D285">
        <v>19953.8</v>
      </c>
      <c r="E285">
        <v>4</v>
      </c>
      <c r="F285">
        <v>2</v>
      </c>
      <c r="G285">
        <v>4</v>
      </c>
      <c r="H285">
        <v>4</v>
      </c>
      <c r="I285">
        <v>2</v>
      </c>
      <c r="J285">
        <v>67</v>
      </c>
      <c r="K285" t="str">
        <f t="shared" si="4"/>
        <v>59_2025</v>
      </c>
    </row>
    <row r="286" spans="1:11" x14ac:dyDescent="0.3">
      <c r="A286">
        <v>60</v>
      </c>
      <c r="B286">
        <v>2021</v>
      </c>
      <c r="C286">
        <v>4</v>
      </c>
      <c r="D286">
        <v>7638.07</v>
      </c>
      <c r="E286">
        <v>2</v>
      </c>
      <c r="F286">
        <v>2</v>
      </c>
      <c r="G286">
        <v>2</v>
      </c>
      <c r="H286">
        <v>3</v>
      </c>
      <c r="I286">
        <v>2</v>
      </c>
      <c r="J286">
        <v>47</v>
      </c>
      <c r="K286" t="str">
        <f t="shared" si="4"/>
        <v>60_2021</v>
      </c>
    </row>
    <row r="287" spans="1:11" x14ac:dyDescent="0.3">
      <c r="A287">
        <v>60</v>
      </c>
      <c r="B287">
        <v>2022</v>
      </c>
      <c r="C287">
        <v>2</v>
      </c>
      <c r="D287">
        <v>1179.9699999999998</v>
      </c>
      <c r="E287">
        <v>0</v>
      </c>
      <c r="F287">
        <v>2</v>
      </c>
      <c r="G287">
        <v>0</v>
      </c>
      <c r="H287">
        <v>0</v>
      </c>
      <c r="I287">
        <v>0</v>
      </c>
      <c r="J287">
        <v>20</v>
      </c>
      <c r="K287" t="str">
        <f t="shared" si="4"/>
        <v>60_2022</v>
      </c>
    </row>
    <row r="288" spans="1:11" x14ac:dyDescent="0.3">
      <c r="A288">
        <v>60</v>
      </c>
      <c r="B288">
        <v>2023</v>
      </c>
      <c r="C288">
        <v>2</v>
      </c>
      <c r="D288">
        <v>2802.3</v>
      </c>
      <c r="E288">
        <v>0</v>
      </c>
      <c r="F288">
        <v>0</v>
      </c>
      <c r="G288">
        <v>2</v>
      </c>
      <c r="H288">
        <v>1</v>
      </c>
      <c r="I288">
        <v>1</v>
      </c>
      <c r="J288">
        <v>12</v>
      </c>
      <c r="K288" t="str">
        <f t="shared" si="4"/>
        <v>60_2023</v>
      </c>
    </row>
    <row r="289" spans="1:11" x14ac:dyDescent="0.3">
      <c r="A289">
        <v>60</v>
      </c>
      <c r="B289">
        <v>2024</v>
      </c>
      <c r="C289">
        <v>3</v>
      </c>
      <c r="D289">
        <v>5485.2</v>
      </c>
      <c r="E289">
        <v>2</v>
      </c>
      <c r="F289">
        <v>2</v>
      </c>
      <c r="G289">
        <v>1</v>
      </c>
      <c r="H289">
        <v>2</v>
      </c>
      <c r="I289">
        <v>1</v>
      </c>
      <c r="J289">
        <v>33</v>
      </c>
      <c r="K289" t="str">
        <f t="shared" si="4"/>
        <v>60_2024</v>
      </c>
    </row>
    <row r="290" spans="1:11" x14ac:dyDescent="0.3">
      <c r="A290">
        <v>60</v>
      </c>
      <c r="B290">
        <v>2025</v>
      </c>
      <c r="C290">
        <v>4</v>
      </c>
      <c r="D290">
        <v>7927.77</v>
      </c>
      <c r="E290">
        <v>3</v>
      </c>
      <c r="F290">
        <v>2</v>
      </c>
      <c r="G290">
        <v>2</v>
      </c>
      <c r="H290">
        <v>3</v>
      </c>
      <c r="I290">
        <v>2</v>
      </c>
      <c r="J290">
        <v>55</v>
      </c>
      <c r="K290" t="str">
        <f t="shared" si="4"/>
        <v>60_2025</v>
      </c>
    </row>
    <row r="291" spans="1:11" x14ac:dyDescent="0.3">
      <c r="A291">
        <v>61</v>
      </c>
      <c r="B291">
        <v>2021</v>
      </c>
      <c r="C291">
        <v>3</v>
      </c>
      <c r="D291">
        <v>3545.28</v>
      </c>
      <c r="E291">
        <v>1</v>
      </c>
      <c r="F291">
        <v>2</v>
      </c>
      <c r="G291">
        <v>1</v>
      </c>
      <c r="H291">
        <v>1</v>
      </c>
      <c r="I291">
        <v>2</v>
      </c>
      <c r="J291">
        <v>29</v>
      </c>
      <c r="K291" t="str">
        <f t="shared" si="4"/>
        <v>61_2021</v>
      </c>
    </row>
    <row r="292" spans="1:11" x14ac:dyDescent="0.3">
      <c r="A292">
        <v>61</v>
      </c>
      <c r="B292">
        <v>2022</v>
      </c>
      <c r="C292">
        <v>2</v>
      </c>
      <c r="D292">
        <v>1004.01</v>
      </c>
      <c r="E292">
        <v>0</v>
      </c>
      <c r="F292">
        <v>2</v>
      </c>
      <c r="G292">
        <v>0</v>
      </c>
      <c r="H292">
        <v>0</v>
      </c>
      <c r="I292">
        <v>0</v>
      </c>
      <c r="J292">
        <v>8</v>
      </c>
      <c r="K292" t="str">
        <f t="shared" si="4"/>
        <v>61_2022</v>
      </c>
    </row>
    <row r="293" spans="1:11" x14ac:dyDescent="0.3">
      <c r="A293">
        <v>61</v>
      </c>
      <c r="B293">
        <v>2023</v>
      </c>
      <c r="C293">
        <v>1</v>
      </c>
      <c r="D293">
        <v>553.47</v>
      </c>
      <c r="E293">
        <v>0</v>
      </c>
      <c r="F293">
        <v>1</v>
      </c>
      <c r="G293">
        <v>0</v>
      </c>
      <c r="H293">
        <v>0</v>
      </c>
      <c r="I293">
        <v>0</v>
      </c>
      <c r="J293">
        <v>1</v>
      </c>
      <c r="K293" t="str">
        <f t="shared" si="4"/>
        <v>61_2023</v>
      </c>
    </row>
    <row r="294" spans="1:11" x14ac:dyDescent="0.3">
      <c r="A294">
        <v>61</v>
      </c>
      <c r="B294">
        <v>2024</v>
      </c>
      <c r="C294">
        <v>6</v>
      </c>
      <c r="D294">
        <v>6439.3899999999994</v>
      </c>
      <c r="E294">
        <v>0</v>
      </c>
      <c r="F294">
        <v>4</v>
      </c>
      <c r="G294">
        <v>2</v>
      </c>
      <c r="H294">
        <v>1</v>
      </c>
      <c r="I294">
        <v>3</v>
      </c>
      <c r="J294">
        <v>44</v>
      </c>
      <c r="K294" t="str">
        <f t="shared" si="4"/>
        <v>61_2024</v>
      </c>
    </row>
    <row r="295" spans="1:11" x14ac:dyDescent="0.3">
      <c r="A295">
        <v>61</v>
      </c>
      <c r="B295">
        <v>2025</v>
      </c>
      <c r="C295">
        <v>5</v>
      </c>
      <c r="D295">
        <v>13973.04</v>
      </c>
      <c r="E295">
        <v>3</v>
      </c>
      <c r="F295">
        <v>2</v>
      </c>
      <c r="G295">
        <v>3</v>
      </c>
      <c r="H295">
        <v>3</v>
      </c>
      <c r="I295">
        <v>3</v>
      </c>
      <c r="J295">
        <v>37</v>
      </c>
      <c r="K295" t="str">
        <f t="shared" si="4"/>
        <v>61_2025</v>
      </c>
    </row>
    <row r="296" spans="1:11" x14ac:dyDescent="0.3">
      <c r="A296">
        <v>62</v>
      </c>
      <c r="B296">
        <v>2021</v>
      </c>
      <c r="C296">
        <v>2</v>
      </c>
      <c r="D296">
        <v>1176.4000000000001</v>
      </c>
      <c r="E296">
        <v>0</v>
      </c>
      <c r="F296">
        <v>1</v>
      </c>
      <c r="G296">
        <v>1</v>
      </c>
      <c r="H296">
        <v>0</v>
      </c>
      <c r="I296">
        <v>1</v>
      </c>
      <c r="J296">
        <v>8</v>
      </c>
      <c r="K296" t="str">
        <f t="shared" si="4"/>
        <v>62_2021</v>
      </c>
    </row>
    <row r="297" spans="1:11" x14ac:dyDescent="0.3">
      <c r="A297">
        <v>62</v>
      </c>
      <c r="B297">
        <v>2022</v>
      </c>
      <c r="C297">
        <v>5</v>
      </c>
      <c r="D297">
        <v>8260.14</v>
      </c>
      <c r="E297">
        <v>0</v>
      </c>
      <c r="F297">
        <v>4</v>
      </c>
      <c r="G297">
        <v>1</v>
      </c>
      <c r="H297">
        <v>2</v>
      </c>
      <c r="I297">
        <v>2</v>
      </c>
      <c r="J297">
        <v>28</v>
      </c>
      <c r="K297" t="str">
        <f t="shared" si="4"/>
        <v>62_2022</v>
      </c>
    </row>
    <row r="298" spans="1:11" x14ac:dyDescent="0.3">
      <c r="A298">
        <v>62</v>
      </c>
      <c r="B298">
        <v>2023</v>
      </c>
      <c r="C298">
        <v>3</v>
      </c>
      <c r="D298">
        <v>7817.05</v>
      </c>
      <c r="E298">
        <v>2</v>
      </c>
      <c r="F298">
        <v>3</v>
      </c>
      <c r="G298">
        <v>0</v>
      </c>
      <c r="H298">
        <v>2</v>
      </c>
      <c r="I298">
        <v>1</v>
      </c>
      <c r="J298">
        <v>20</v>
      </c>
      <c r="K298" t="str">
        <f t="shared" si="4"/>
        <v>62_2023</v>
      </c>
    </row>
    <row r="299" spans="1:11" x14ac:dyDescent="0.3">
      <c r="A299">
        <v>62</v>
      </c>
      <c r="B299">
        <v>2024</v>
      </c>
      <c r="C299">
        <v>2</v>
      </c>
      <c r="D299">
        <v>2921.3700000000003</v>
      </c>
      <c r="E299">
        <v>2</v>
      </c>
      <c r="F299">
        <v>0</v>
      </c>
      <c r="G299">
        <v>2</v>
      </c>
      <c r="H299">
        <v>1</v>
      </c>
      <c r="I299">
        <v>0</v>
      </c>
      <c r="J299">
        <v>18</v>
      </c>
      <c r="K299" t="str">
        <f t="shared" si="4"/>
        <v>62_2024</v>
      </c>
    </row>
    <row r="300" spans="1:11" x14ac:dyDescent="0.3">
      <c r="A300">
        <v>62</v>
      </c>
      <c r="B300">
        <v>2025</v>
      </c>
      <c r="C300">
        <v>3</v>
      </c>
      <c r="D300">
        <v>12141.119999999999</v>
      </c>
      <c r="E300">
        <v>3</v>
      </c>
      <c r="F300">
        <v>1</v>
      </c>
      <c r="G300">
        <v>2</v>
      </c>
      <c r="H300">
        <v>2</v>
      </c>
      <c r="I300">
        <v>3</v>
      </c>
      <c r="J300">
        <v>31</v>
      </c>
      <c r="K300" t="str">
        <f t="shared" si="4"/>
        <v>62_2025</v>
      </c>
    </row>
    <row r="301" spans="1:11" x14ac:dyDescent="0.3">
      <c r="A301">
        <v>63</v>
      </c>
      <c r="B301">
        <v>2021</v>
      </c>
      <c r="C301">
        <v>3</v>
      </c>
      <c r="D301">
        <v>6136.96</v>
      </c>
      <c r="E301">
        <v>0</v>
      </c>
      <c r="F301">
        <v>2</v>
      </c>
      <c r="G301">
        <v>1</v>
      </c>
      <c r="H301">
        <v>2</v>
      </c>
      <c r="I301">
        <v>0</v>
      </c>
      <c r="J301">
        <v>14</v>
      </c>
      <c r="K301" t="str">
        <f t="shared" si="4"/>
        <v>63_2021</v>
      </c>
    </row>
    <row r="302" spans="1:11" x14ac:dyDescent="0.3">
      <c r="A302">
        <v>63</v>
      </c>
      <c r="B302">
        <v>2022</v>
      </c>
      <c r="C302">
        <v>2</v>
      </c>
      <c r="D302">
        <v>9532.2999999999993</v>
      </c>
      <c r="E302">
        <v>2</v>
      </c>
      <c r="F302">
        <v>1</v>
      </c>
      <c r="G302">
        <v>1</v>
      </c>
      <c r="H302">
        <v>2</v>
      </c>
      <c r="I302">
        <v>2</v>
      </c>
      <c r="J302">
        <v>22</v>
      </c>
      <c r="K302" t="str">
        <f t="shared" si="4"/>
        <v>63_2022</v>
      </c>
    </row>
    <row r="303" spans="1:11" x14ac:dyDescent="0.3">
      <c r="A303">
        <v>63</v>
      </c>
      <c r="B303">
        <v>2023</v>
      </c>
      <c r="C303">
        <v>5</v>
      </c>
      <c r="D303">
        <v>6220.53</v>
      </c>
      <c r="E303">
        <v>2</v>
      </c>
      <c r="F303">
        <v>4</v>
      </c>
      <c r="G303">
        <v>1</v>
      </c>
      <c r="H303">
        <v>1</v>
      </c>
      <c r="I303">
        <v>1</v>
      </c>
      <c r="J303">
        <v>54</v>
      </c>
      <c r="K303" t="str">
        <f t="shared" si="4"/>
        <v>63_2023</v>
      </c>
    </row>
    <row r="304" spans="1:11" x14ac:dyDescent="0.3">
      <c r="A304">
        <v>63</v>
      </c>
      <c r="B304">
        <v>2024</v>
      </c>
      <c r="C304">
        <v>4</v>
      </c>
      <c r="D304">
        <v>18510.25</v>
      </c>
      <c r="E304">
        <v>2</v>
      </c>
      <c r="F304">
        <v>1</v>
      </c>
      <c r="G304">
        <v>3</v>
      </c>
      <c r="H304">
        <v>3</v>
      </c>
      <c r="I304">
        <v>1</v>
      </c>
      <c r="J304">
        <v>34</v>
      </c>
      <c r="K304" t="str">
        <f t="shared" si="4"/>
        <v>63_2024</v>
      </c>
    </row>
    <row r="305" spans="1:11" x14ac:dyDescent="0.3">
      <c r="A305">
        <v>63</v>
      </c>
      <c r="B305">
        <v>2025</v>
      </c>
      <c r="C305">
        <v>5</v>
      </c>
      <c r="D305">
        <v>5455.7999999999993</v>
      </c>
      <c r="E305">
        <v>0</v>
      </c>
      <c r="F305">
        <v>2</v>
      </c>
      <c r="G305">
        <v>3</v>
      </c>
      <c r="H305">
        <v>1</v>
      </c>
      <c r="I305">
        <v>2</v>
      </c>
      <c r="J305">
        <v>42</v>
      </c>
      <c r="K305" t="str">
        <f t="shared" si="4"/>
        <v>63_2025</v>
      </c>
    </row>
    <row r="306" spans="1:11" x14ac:dyDescent="0.3">
      <c r="A306">
        <v>64</v>
      </c>
      <c r="B306">
        <v>2021</v>
      </c>
      <c r="C306">
        <v>5</v>
      </c>
      <c r="D306">
        <v>9269.1</v>
      </c>
      <c r="E306">
        <v>1</v>
      </c>
      <c r="F306">
        <v>1</v>
      </c>
      <c r="G306">
        <v>4</v>
      </c>
      <c r="H306">
        <v>3</v>
      </c>
      <c r="I306">
        <v>2</v>
      </c>
      <c r="J306">
        <v>54</v>
      </c>
      <c r="K306" t="str">
        <f t="shared" si="4"/>
        <v>64_2021</v>
      </c>
    </row>
    <row r="307" spans="1:11" x14ac:dyDescent="0.3">
      <c r="A307">
        <v>64</v>
      </c>
      <c r="B307">
        <v>2022</v>
      </c>
      <c r="C307">
        <v>2</v>
      </c>
      <c r="D307">
        <v>913.83999999999992</v>
      </c>
      <c r="E307">
        <v>0</v>
      </c>
      <c r="F307">
        <v>1</v>
      </c>
      <c r="G307">
        <v>1</v>
      </c>
      <c r="H307">
        <v>0</v>
      </c>
      <c r="I307">
        <v>1</v>
      </c>
      <c r="J307">
        <v>21</v>
      </c>
      <c r="K307" t="str">
        <f t="shared" si="4"/>
        <v>64_2022</v>
      </c>
    </row>
    <row r="308" spans="1:11" x14ac:dyDescent="0.3">
      <c r="A308">
        <v>64</v>
      </c>
      <c r="B308">
        <v>2023</v>
      </c>
      <c r="C308">
        <v>6</v>
      </c>
      <c r="D308">
        <v>17356.870000000003</v>
      </c>
      <c r="E308">
        <v>5</v>
      </c>
      <c r="F308">
        <v>5</v>
      </c>
      <c r="G308">
        <v>1</v>
      </c>
      <c r="H308">
        <v>5</v>
      </c>
      <c r="I308">
        <v>3</v>
      </c>
      <c r="J308">
        <v>65</v>
      </c>
      <c r="K308" t="str">
        <f t="shared" si="4"/>
        <v>64_2023</v>
      </c>
    </row>
    <row r="309" spans="1:11" x14ac:dyDescent="0.3">
      <c r="A309">
        <v>64</v>
      </c>
      <c r="B309">
        <v>2024</v>
      </c>
      <c r="C309">
        <v>3</v>
      </c>
      <c r="D309">
        <v>5983.31</v>
      </c>
      <c r="E309">
        <v>1</v>
      </c>
      <c r="F309">
        <v>2</v>
      </c>
      <c r="G309">
        <v>1</v>
      </c>
      <c r="H309">
        <v>1</v>
      </c>
      <c r="I309">
        <v>1</v>
      </c>
      <c r="J309">
        <v>13</v>
      </c>
      <c r="K309" t="str">
        <f t="shared" si="4"/>
        <v>64_2024</v>
      </c>
    </row>
    <row r="310" spans="1:11" x14ac:dyDescent="0.3">
      <c r="A310">
        <v>64</v>
      </c>
      <c r="B310">
        <v>2025</v>
      </c>
      <c r="C310">
        <v>1</v>
      </c>
      <c r="D310">
        <v>19.510000000000002</v>
      </c>
      <c r="E310">
        <v>0</v>
      </c>
      <c r="F310">
        <v>1</v>
      </c>
      <c r="G310">
        <v>0</v>
      </c>
      <c r="H310">
        <v>0</v>
      </c>
      <c r="I310">
        <v>0</v>
      </c>
      <c r="J310">
        <v>14</v>
      </c>
      <c r="K310" t="str">
        <f t="shared" si="4"/>
        <v>64_2025</v>
      </c>
    </row>
    <row r="311" spans="1:11" x14ac:dyDescent="0.3">
      <c r="A311">
        <v>65</v>
      </c>
      <c r="B311">
        <v>2021</v>
      </c>
      <c r="C311">
        <v>2</v>
      </c>
      <c r="D311">
        <v>1582.46</v>
      </c>
      <c r="E311">
        <v>0</v>
      </c>
      <c r="F311">
        <v>1</v>
      </c>
      <c r="G311">
        <v>1</v>
      </c>
      <c r="H311">
        <v>0</v>
      </c>
      <c r="I311">
        <v>1</v>
      </c>
      <c r="J311">
        <v>21</v>
      </c>
      <c r="K311" t="str">
        <f t="shared" si="4"/>
        <v>65_2021</v>
      </c>
    </row>
    <row r="312" spans="1:11" x14ac:dyDescent="0.3">
      <c r="A312">
        <v>65</v>
      </c>
      <c r="B312">
        <v>2022</v>
      </c>
      <c r="C312">
        <v>6</v>
      </c>
      <c r="D312">
        <v>14920.070000000002</v>
      </c>
      <c r="E312">
        <v>0</v>
      </c>
      <c r="F312">
        <v>5</v>
      </c>
      <c r="G312">
        <v>1</v>
      </c>
      <c r="H312">
        <v>2</v>
      </c>
      <c r="I312">
        <v>0</v>
      </c>
      <c r="J312">
        <v>70</v>
      </c>
      <c r="K312" t="str">
        <f t="shared" si="4"/>
        <v>65_2022</v>
      </c>
    </row>
    <row r="313" spans="1:11" x14ac:dyDescent="0.3">
      <c r="A313">
        <v>65</v>
      </c>
      <c r="B313">
        <v>2023</v>
      </c>
      <c r="C313">
        <v>2</v>
      </c>
      <c r="D313">
        <v>227.03</v>
      </c>
      <c r="E313">
        <v>0</v>
      </c>
      <c r="F313">
        <v>2</v>
      </c>
      <c r="G313">
        <v>0</v>
      </c>
      <c r="H313">
        <v>0</v>
      </c>
      <c r="I313">
        <v>0</v>
      </c>
      <c r="J313">
        <v>22</v>
      </c>
      <c r="K313" t="str">
        <f t="shared" si="4"/>
        <v>65_2023</v>
      </c>
    </row>
    <row r="314" spans="1:11" x14ac:dyDescent="0.3">
      <c r="A314">
        <v>65</v>
      </c>
      <c r="B314">
        <v>2024</v>
      </c>
      <c r="C314">
        <v>3</v>
      </c>
      <c r="D314">
        <v>5604.67</v>
      </c>
      <c r="E314">
        <v>1</v>
      </c>
      <c r="F314">
        <v>2</v>
      </c>
      <c r="G314">
        <v>1</v>
      </c>
      <c r="H314">
        <v>2</v>
      </c>
      <c r="I314">
        <v>2</v>
      </c>
      <c r="J314">
        <v>22</v>
      </c>
      <c r="K314" t="str">
        <f t="shared" si="4"/>
        <v>65_2024</v>
      </c>
    </row>
    <row r="315" spans="1:11" x14ac:dyDescent="0.3">
      <c r="A315">
        <v>65</v>
      </c>
      <c r="B315">
        <v>2025</v>
      </c>
      <c r="C315">
        <v>3</v>
      </c>
      <c r="D315">
        <v>539.26</v>
      </c>
      <c r="E315">
        <v>0</v>
      </c>
      <c r="F315">
        <v>1</v>
      </c>
      <c r="G315">
        <v>2</v>
      </c>
      <c r="H315">
        <v>0</v>
      </c>
      <c r="I315">
        <v>0</v>
      </c>
      <c r="J315">
        <v>13</v>
      </c>
      <c r="K315" t="str">
        <f t="shared" si="4"/>
        <v>65_2025</v>
      </c>
    </row>
    <row r="316" spans="1:11" x14ac:dyDescent="0.3">
      <c r="A316">
        <v>66</v>
      </c>
      <c r="B316">
        <v>2021</v>
      </c>
      <c r="C316">
        <v>2</v>
      </c>
      <c r="D316">
        <v>3604.58</v>
      </c>
      <c r="E316">
        <v>0</v>
      </c>
      <c r="F316">
        <v>1</v>
      </c>
      <c r="G316">
        <v>1</v>
      </c>
      <c r="H316">
        <v>1</v>
      </c>
      <c r="I316">
        <v>0</v>
      </c>
      <c r="J316">
        <v>12</v>
      </c>
      <c r="K316" t="str">
        <f t="shared" si="4"/>
        <v>66_2021</v>
      </c>
    </row>
    <row r="317" spans="1:11" x14ac:dyDescent="0.3">
      <c r="A317">
        <v>66</v>
      </c>
      <c r="B317">
        <v>2023</v>
      </c>
      <c r="C317">
        <v>3</v>
      </c>
      <c r="D317">
        <v>1828</v>
      </c>
      <c r="E317">
        <v>1</v>
      </c>
      <c r="F317">
        <v>1</v>
      </c>
      <c r="G317">
        <v>2</v>
      </c>
      <c r="H317">
        <v>1</v>
      </c>
      <c r="I317">
        <v>1</v>
      </c>
      <c r="J317">
        <v>13</v>
      </c>
      <c r="K317" t="str">
        <f t="shared" si="4"/>
        <v>66_2023</v>
      </c>
    </row>
    <row r="318" spans="1:11" x14ac:dyDescent="0.3">
      <c r="A318">
        <v>66</v>
      </c>
      <c r="B318">
        <v>2024</v>
      </c>
      <c r="C318">
        <v>3</v>
      </c>
      <c r="D318">
        <v>14301.119999999999</v>
      </c>
      <c r="E318">
        <v>0</v>
      </c>
      <c r="F318">
        <v>3</v>
      </c>
      <c r="G318">
        <v>0</v>
      </c>
      <c r="H318">
        <v>2</v>
      </c>
      <c r="I318">
        <v>1</v>
      </c>
      <c r="J318">
        <v>14</v>
      </c>
      <c r="K318" t="str">
        <f t="shared" si="4"/>
        <v>66_2024</v>
      </c>
    </row>
    <row r="319" spans="1:11" x14ac:dyDescent="0.3">
      <c r="A319">
        <v>67</v>
      </c>
      <c r="B319">
        <v>2022</v>
      </c>
      <c r="C319">
        <v>1</v>
      </c>
      <c r="D319">
        <v>321.66000000000003</v>
      </c>
      <c r="E319">
        <v>0</v>
      </c>
      <c r="F319">
        <v>1</v>
      </c>
      <c r="G319">
        <v>0</v>
      </c>
      <c r="H319">
        <v>0</v>
      </c>
      <c r="I319">
        <v>0</v>
      </c>
      <c r="J319">
        <v>9</v>
      </c>
      <c r="K319" t="str">
        <f t="shared" si="4"/>
        <v>67_2022</v>
      </c>
    </row>
    <row r="320" spans="1:11" x14ac:dyDescent="0.3">
      <c r="A320">
        <v>67</v>
      </c>
      <c r="B320">
        <v>2023</v>
      </c>
      <c r="C320">
        <v>2</v>
      </c>
      <c r="D320">
        <v>2037.1200000000001</v>
      </c>
      <c r="E320">
        <v>0</v>
      </c>
      <c r="F320">
        <v>2</v>
      </c>
      <c r="G320">
        <v>0</v>
      </c>
      <c r="H320">
        <v>1</v>
      </c>
      <c r="I320">
        <v>0</v>
      </c>
      <c r="J320">
        <v>13</v>
      </c>
      <c r="K320" t="str">
        <f t="shared" si="4"/>
        <v>67_2023</v>
      </c>
    </row>
    <row r="321" spans="1:11" x14ac:dyDescent="0.3">
      <c r="A321">
        <v>67</v>
      </c>
      <c r="B321">
        <v>2024</v>
      </c>
      <c r="C321">
        <v>2</v>
      </c>
      <c r="D321">
        <v>4174.09</v>
      </c>
      <c r="E321">
        <v>0</v>
      </c>
      <c r="F321">
        <v>1</v>
      </c>
      <c r="G321">
        <v>1</v>
      </c>
      <c r="H321">
        <v>1</v>
      </c>
      <c r="I321">
        <v>1</v>
      </c>
      <c r="J321">
        <v>14</v>
      </c>
      <c r="K321" t="str">
        <f t="shared" si="4"/>
        <v>67_2024</v>
      </c>
    </row>
    <row r="322" spans="1:11" x14ac:dyDescent="0.3">
      <c r="A322">
        <v>67</v>
      </c>
      <c r="B322">
        <v>2025</v>
      </c>
      <c r="C322">
        <v>5</v>
      </c>
      <c r="D322">
        <v>4148.01</v>
      </c>
      <c r="E322">
        <v>0</v>
      </c>
      <c r="F322">
        <v>4</v>
      </c>
      <c r="G322">
        <v>1</v>
      </c>
      <c r="H322">
        <v>1</v>
      </c>
      <c r="I322">
        <v>2</v>
      </c>
      <c r="J322">
        <v>54</v>
      </c>
      <c r="K322" t="str">
        <f t="shared" ref="K322:K385" si="5">A322&amp;"_"&amp;B322</f>
        <v>67_2025</v>
      </c>
    </row>
    <row r="323" spans="1:11" x14ac:dyDescent="0.3">
      <c r="A323">
        <v>68</v>
      </c>
      <c r="B323">
        <v>2021</v>
      </c>
      <c r="C323">
        <v>6</v>
      </c>
      <c r="D323">
        <v>11904.369999999999</v>
      </c>
      <c r="E323">
        <v>0</v>
      </c>
      <c r="F323">
        <v>2</v>
      </c>
      <c r="G323">
        <v>4</v>
      </c>
      <c r="H323">
        <v>3</v>
      </c>
      <c r="I323">
        <v>5</v>
      </c>
      <c r="J323">
        <v>79</v>
      </c>
      <c r="K323" t="str">
        <f t="shared" si="5"/>
        <v>68_2021</v>
      </c>
    </row>
    <row r="324" spans="1:11" x14ac:dyDescent="0.3">
      <c r="A324">
        <v>68</v>
      </c>
      <c r="B324">
        <v>2022</v>
      </c>
      <c r="C324">
        <v>5</v>
      </c>
      <c r="D324">
        <v>10647.91</v>
      </c>
      <c r="E324">
        <v>2</v>
      </c>
      <c r="F324">
        <v>4</v>
      </c>
      <c r="G324">
        <v>1</v>
      </c>
      <c r="H324">
        <v>4</v>
      </c>
      <c r="I324">
        <v>3</v>
      </c>
      <c r="J324">
        <v>37</v>
      </c>
      <c r="K324" t="str">
        <f t="shared" si="5"/>
        <v>68_2022</v>
      </c>
    </row>
    <row r="325" spans="1:11" x14ac:dyDescent="0.3">
      <c r="A325">
        <v>68</v>
      </c>
      <c r="B325">
        <v>2023</v>
      </c>
      <c r="C325">
        <v>4</v>
      </c>
      <c r="D325">
        <v>9873.66</v>
      </c>
      <c r="E325">
        <v>2</v>
      </c>
      <c r="F325">
        <v>0</v>
      </c>
      <c r="G325">
        <v>4</v>
      </c>
      <c r="H325">
        <v>2</v>
      </c>
      <c r="I325">
        <v>2</v>
      </c>
      <c r="J325">
        <v>47</v>
      </c>
      <c r="K325" t="str">
        <f t="shared" si="5"/>
        <v>68_2023</v>
      </c>
    </row>
    <row r="326" spans="1:11" x14ac:dyDescent="0.3">
      <c r="A326">
        <v>68</v>
      </c>
      <c r="B326">
        <v>2024</v>
      </c>
      <c r="C326">
        <v>6</v>
      </c>
      <c r="D326">
        <v>16639.05</v>
      </c>
      <c r="E326">
        <v>0</v>
      </c>
      <c r="F326">
        <v>2</v>
      </c>
      <c r="G326">
        <v>4</v>
      </c>
      <c r="H326">
        <v>3</v>
      </c>
      <c r="I326">
        <v>2</v>
      </c>
      <c r="J326">
        <v>56</v>
      </c>
      <c r="K326" t="str">
        <f t="shared" si="5"/>
        <v>68_2024</v>
      </c>
    </row>
    <row r="327" spans="1:11" x14ac:dyDescent="0.3">
      <c r="A327">
        <v>68</v>
      </c>
      <c r="B327">
        <v>2025</v>
      </c>
      <c r="C327">
        <v>3</v>
      </c>
      <c r="D327">
        <v>2858.7200000000003</v>
      </c>
      <c r="E327">
        <v>0</v>
      </c>
      <c r="F327">
        <v>3</v>
      </c>
      <c r="G327">
        <v>0</v>
      </c>
      <c r="H327">
        <v>0</v>
      </c>
      <c r="I327">
        <v>0</v>
      </c>
      <c r="J327">
        <v>20</v>
      </c>
      <c r="K327" t="str">
        <f t="shared" si="5"/>
        <v>68_2025</v>
      </c>
    </row>
    <row r="328" spans="1:11" x14ac:dyDescent="0.3">
      <c r="A328">
        <v>69</v>
      </c>
      <c r="B328">
        <v>2021</v>
      </c>
      <c r="C328">
        <v>5</v>
      </c>
      <c r="D328">
        <v>26097.019999999997</v>
      </c>
      <c r="E328">
        <v>5</v>
      </c>
      <c r="F328">
        <v>2</v>
      </c>
      <c r="G328">
        <v>3</v>
      </c>
      <c r="H328">
        <v>5</v>
      </c>
      <c r="I328">
        <v>2</v>
      </c>
      <c r="J328">
        <v>52</v>
      </c>
      <c r="K328" t="str">
        <f t="shared" si="5"/>
        <v>69_2021</v>
      </c>
    </row>
    <row r="329" spans="1:11" x14ac:dyDescent="0.3">
      <c r="A329">
        <v>69</v>
      </c>
      <c r="B329">
        <v>2022</v>
      </c>
      <c r="C329">
        <v>3</v>
      </c>
      <c r="D329">
        <v>9082</v>
      </c>
      <c r="E329">
        <v>2</v>
      </c>
      <c r="F329">
        <v>1</v>
      </c>
      <c r="G329">
        <v>2</v>
      </c>
      <c r="H329">
        <v>2</v>
      </c>
      <c r="I329">
        <v>0</v>
      </c>
      <c r="J329">
        <v>20</v>
      </c>
      <c r="K329" t="str">
        <f t="shared" si="5"/>
        <v>69_2022</v>
      </c>
    </row>
    <row r="330" spans="1:11" x14ac:dyDescent="0.3">
      <c r="A330">
        <v>69</v>
      </c>
      <c r="B330">
        <v>2023</v>
      </c>
      <c r="C330">
        <v>3</v>
      </c>
      <c r="D330">
        <v>8036.29</v>
      </c>
      <c r="E330">
        <v>0</v>
      </c>
      <c r="F330">
        <v>0</v>
      </c>
      <c r="G330">
        <v>3</v>
      </c>
      <c r="H330">
        <v>3</v>
      </c>
      <c r="I330">
        <v>1</v>
      </c>
      <c r="J330">
        <v>30</v>
      </c>
      <c r="K330" t="str">
        <f t="shared" si="5"/>
        <v>69_2023</v>
      </c>
    </row>
    <row r="331" spans="1:11" x14ac:dyDescent="0.3">
      <c r="A331">
        <v>69</v>
      </c>
      <c r="B331">
        <v>2024</v>
      </c>
      <c r="C331">
        <v>4</v>
      </c>
      <c r="D331">
        <v>11931.11</v>
      </c>
      <c r="E331">
        <v>1</v>
      </c>
      <c r="F331">
        <v>2</v>
      </c>
      <c r="G331">
        <v>2</v>
      </c>
      <c r="H331">
        <v>4</v>
      </c>
      <c r="I331">
        <v>2</v>
      </c>
      <c r="J331">
        <v>37</v>
      </c>
      <c r="K331" t="str">
        <f t="shared" si="5"/>
        <v>69_2024</v>
      </c>
    </row>
    <row r="332" spans="1:11" x14ac:dyDescent="0.3">
      <c r="A332">
        <v>69</v>
      </c>
      <c r="B332">
        <v>2025</v>
      </c>
      <c r="C332">
        <v>4</v>
      </c>
      <c r="D332">
        <v>10213.540000000001</v>
      </c>
      <c r="E332">
        <v>1</v>
      </c>
      <c r="F332">
        <v>1</v>
      </c>
      <c r="G332">
        <v>3</v>
      </c>
      <c r="H332">
        <v>2</v>
      </c>
      <c r="I332">
        <v>3</v>
      </c>
      <c r="J332">
        <v>47</v>
      </c>
      <c r="K332" t="str">
        <f t="shared" si="5"/>
        <v>69_2025</v>
      </c>
    </row>
    <row r="333" spans="1:11" x14ac:dyDescent="0.3">
      <c r="A333">
        <v>70</v>
      </c>
      <c r="B333">
        <v>2022</v>
      </c>
      <c r="C333">
        <v>4</v>
      </c>
      <c r="D333">
        <v>17368.759999999998</v>
      </c>
      <c r="E333">
        <v>2</v>
      </c>
      <c r="F333">
        <v>2</v>
      </c>
      <c r="G333">
        <v>2</v>
      </c>
      <c r="H333">
        <v>3</v>
      </c>
      <c r="I333">
        <v>2</v>
      </c>
      <c r="J333">
        <v>28</v>
      </c>
      <c r="K333" t="str">
        <f t="shared" si="5"/>
        <v>70_2022</v>
      </c>
    </row>
    <row r="334" spans="1:11" x14ac:dyDescent="0.3">
      <c r="A334">
        <v>70</v>
      </c>
      <c r="B334">
        <v>2023</v>
      </c>
      <c r="C334">
        <v>4</v>
      </c>
      <c r="D334">
        <v>17922.72</v>
      </c>
      <c r="E334">
        <v>2</v>
      </c>
      <c r="F334">
        <v>3</v>
      </c>
      <c r="G334">
        <v>1</v>
      </c>
      <c r="H334">
        <v>3</v>
      </c>
      <c r="I334">
        <v>2</v>
      </c>
      <c r="J334">
        <v>28</v>
      </c>
      <c r="K334" t="str">
        <f t="shared" si="5"/>
        <v>70_2023</v>
      </c>
    </row>
    <row r="335" spans="1:11" x14ac:dyDescent="0.3">
      <c r="A335">
        <v>70</v>
      </c>
      <c r="B335">
        <v>2024</v>
      </c>
      <c r="C335">
        <v>2</v>
      </c>
      <c r="D335">
        <v>1861.48</v>
      </c>
      <c r="E335">
        <v>0</v>
      </c>
      <c r="F335">
        <v>1</v>
      </c>
      <c r="G335">
        <v>1</v>
      </c>
      <c r="H335">
        <v>0</v>
      </c>
      <c r="I335">
        <v>1</v>
      </c>
      <c r="J335">
        <v>9</v>
      </c>
      <c r="K335" t="str">
        <f t="shared" si="5"/>
        <v>70_2024</v>
      </c>
    </row>
    <row r="336" spans="1:11" x14ac:dyDescent="0.3">
      <c r="A336">
        <v>70</v>
      </c>
      <c r="B336">
        <v>2025</v>
      </c>
      <c r="C336">
        <v>3</v>
      </c>
      <c r="D336">
        <v>3861.84</v>
      </c>
      <c r="E336">
        <v>1</v>
      </c>
      <c r="F336">
        <v>2</v>
      </c>
      <c r="G336">
        <v>1</v>
      </c>
      <c r="H336">
        <v>2</v>
      </c>
      <c r="I336">
        <v>2</v>
      </c>
      <c r="J336">
        <v>27</v>
      </c>
      <c r="K336" t="str">
        <f t="shared" si="5"/>
        <v>70_2025</v>
      </c>
    </row>
    <row r="337" spans="1:11" x14ac:dyDescent="0.3">
      <c r="A337">
        <v>71</v>
      </c>
      <c r="B337">
        <v>2021</v>
      </c>
      <c r="C337">
        <v>2</v>
      </c>
      <c r="D337">
        <v>7708.67</v>
      </c>
      <c r="E337">
        <v>0</v>
      </c>
      <c r="F337">
        <v>1</v>
      </c>
      <c r="G337">
        <v>1</v>
      </c>
      <c r="H337">
        <v>1</v>
      </c>
      <c r="I337">
        <v>1</v>
      </c>
      <c r="J337">
        <v>19</v>
      </c>
      <c r="K337" t="str">
        <f t="shared" si="5"/>
        <v>71_2021</v>
      </c>
    </row>
    <row r="338" spans="1:11" x14ac:dyDescent="0.3">
      <c r="A338">
        <v>71</v>
      </c>
      <c r="B338">
        <v>2022</v>
      </c>
      <c r="C338">
        <v>3</v>
      </c>
      <c r="D338">
        <v>6735.92</v>
      </c>
      <c r="E338">
        <v>1</v>
      </c>
      <c r="F338">
        <v>2</v>
      </c>
      <c r="G338">
        <v>1</v>
      </c>
      <c r="H338">
        <v>2</v>
      </c>
      <c r="I338">
        <v>1</v>
      </c>
      <c r="J338">
        <v>21</v>
      </c>
      <c r="K338" t="str">
        <f t="shared" si="5"/>
        <v>71_2022</v>
      </c>
    </row>
    <row r="339" spans="1:11" x14ac:dyDescent="0.3">
      <c r="A339">
        <v>71</v>
      </c>
      <c r="B339">
        <v>2024</v>
      </c>
      <c r="C339">
        <v>4</v>
      </c>
      <c r="D339">
        <v>8029.36</v>
      </c>
      <c r="E339">
        <v>3</v>
      </c>
      <c r="F339">
        <v>3</v>
      </c>
      <c r="G339">
        <v>1</v>
      </c>
      <c r="H339">
        <v>2</v>
      </c>
      <c r="I339">
        <v>3</v>
      </c>
      <c r="J339">
        <v>31</v>
      </c>
      <c r="K339" t="str">
        <f t="shared" si="5"/>
        <v>71_2024</v>
      </c>
    </row>
    <row r="340" spans="1:11" x14ac:dyDescent="0.3">
      <c r="A340">
        <v>71</v>
      </c>
      <c r="B340">
        <v>2025</v>
      </c>
      <c r="C340">
        <v>2</v>
      </c>
      <c r="D340">
        <v>5092.0199999999995</v>
      </c>
      <c r="E340">
        <v>0</v>
      </c>
      <c r="F340">
        <v>2</v>
      </c>
      <c r="G340">
        <v>0</v>
      </c>
      <c r="H340">
        <v>1</v>
      </c>
      <c r="I340">
        <v>1</v>
      </c>
      <c r="J340">
        <v>16</v>
      </c>
      <c r="K340" t="str">
        <f t="shared" si="5"/>
        <v>71_2025</v>
      </c>
    </row>
    <row r="341" spans="1:11" x14ac:dyDescent="0.3">
      <c r="A341">
        <v>72</v>
      </c>
      <c r="B341">
        <v>2021</v>
      </c>
      <c r="C341">
        <v>3</v>
      </c>
      <c r="D341">
        <v>8838.98</v>
      </c>
      <c r="E341">
        <v>1</v>
      </c>
      <c r="F341">
        <v>3</v>
      </c>
      <c r="G341">
        <v>0</v>
      </c>
      <c r="H341">
        <v>3</v>
      </c>
      <c r="I341">
        <v>1</v>
      </c>
      <c r="J341">
        <v>46</v>
      </c>
      <c r="K341" t="str">
        <f t="shared" si="5"/>
        <v>72_2021</v>
      </c>
    </row>
    <row r="342" spans="1:11" x14ac:dyDescent="0.3">
      <c r="A342">
        <v>72</v>
      </c>
      <c r="B342">
        <v>2022</v>
      </c>
      <c r="C342">
        <v>4</v>
      </c>
      <c r="D342">
        <v>5621.26</v>
      </c>
      <c r="E342">
        <v>2</v>
      </c>
      <c r="F342">
        <v>4</v>
      </c>
      <c r="G342">
        <v>0</v>
      </c>
      <c r="H342">
        <v>1</v>
      </c>
      <c r="I342">
        <v>0</v>
      </c>
      <c r="J342">
        <v>18</v>
      </c>
      <c r="K342" t="str">
        <f t="shared" si="5"/>
        <v>72_2022</v>
      </c>
    </row>
    <row r="343" spans="1:11" x14ac:dyDescent="0.3">
      <c r="A343">
        <v>72</v>
      </c>
      <c r="B343">
        <v>2023</v>
      </c>
      <c r="C343">
        <v>3</v>
      </c>
      <c r="D343">
        <v>3173.48</v>
      </c>
      <c r="E343">
        <v>0</v>
      </c>
      <c r="F343">
        <v>2</v>
      </c>
      <c r="G343">
        <v>1</v>
      </c>
      <c r="H343">
        <v>1</v>
      </c>
      <c r="I343">
        <v>1</v>
      </c>
      <c r="J343">
        <v>15</v>
      </c>
      <c r="K343" t="str">
        <f t="shared" si="5"/>
        <v>72_2023</v>
      </c>
    </row>
    <row r="344" spans="1:11" x14ac:dyDescent="0.3">
      <c r="A344">
        <v>72</v>
      </c>
      <c r="B344">
        <v>2024</v>
      </c>
      <c r="C344">
        <v>4</v>
      </c>
      <c r="D344">
        <v>7723.9400000000005</v>
      </c>
      <c r="E344">
        <v>3</v>
      </c>
      <c r="F344">
        <v>4</v>
      </c>
      <c r="G344">
        <v>0</v>
      </c>
      <c r="H344">
        <v>3</v>
      </c>
      <c r="I344">
        <v>2</v>
      </c>
      <c r="J344">
        <v>34</v>
      </c>
      <c r="K344" t="str">
        <f t="shared" si="5"/>
        <v>72_2024</v>
      </c>
    </row>
    <row r="345" spans="1:11" x14ac:dyDescent="0.3">
      <c r="A345">
        <v>72</v>
      </c>
      <c r="B345">
        <v>2025</v>
      </c>
      <c r="C345">
        <v>3</v>
      </c>
      <c r="D345">
        <v>2884.84</v>
      </c>
      <c r="E345">
        <v>0</v>
      </c>
      <c r="F345">
        <v>2</v>
      </c>
      <c r="G345">
        <v>1</v>
      </c>
      <c r="H345">
        <v>1</v>
      </c>
      <c r="I345">
        <v>2</v>
      </c>
      <c r="J345">
        <v>21</v>
      </c>
      <c r="K345" t="str">
        <f t="shared" si="5"/>
        <v>72_2025</v>
      </c>
    </row>
    <row r="346" spans="1:11" x14ac:dyDescent="0.3">
      <c r="A346">
        <v>73</v>
      </c>
      <c r="B346">
        <v>2021</v>
      </c>
      <c r="C346">
        <v>5</v>
      </c>
      <c r="D346">
        <v>5697.9</v>
      </c>
      <c r="E346">
        <v>2</v>
      </c>
      <c r="F346">
        <v>4</v>
      </c>
      <c r="G346">
        <v>1</v>
      </c>
      <c r="H346">
        <v>1</v>
      </c>
      <c r="I346">
        <v>1</v>
      </c>
      <c r="J346">
        <v>49</v>
      </c>
      <c r="K346" t="str">
        <f t="shared" si="5"/>
        <v>73_2021</v>
      </c>
    </row>
    <row r="347" spans="1:11" x14ac:dyDescent="0.3">
      <c r="A347">
        <v>73</v>
      </c>
      <c r="B347">
        <v>2023</v>
      </c>
      <c r="C347">
        <v>6</v>
      </c>
      <c r="D347">
        <v>16468.11</v>
      </c>
      <c r="E347">
        <v>1</v>
      </c>
      <c r="F347">
        <v>4</v>
      </c>
      <c r="G347">
        <v>2</v>
      </c>
      <c r="H347">
        <v>4</v>
      </c>
      <c r="I347">
        <v>2</v>
      </c>
      <c r="J347">
        <v>60</v>
      </c>
      <c r="K347" t="str">
        <f t="shared" si="5"/>
        <v>73_2023</v>
      </c>
    </row>
    <row r="348" spans="1:11" x14ac:dyDescent="0.3">
      <c r="A348">
        <v>73</v>
      </c>
      <c r="B348">
        <v>2024</v>
      </c>
      <c r="C348">
        <v>3</v>
      </c>
      <c r="D348">
        <v>7273.3099999999995</v>
      </c>
      <c r="E348">
        <v>0</v>
      </c>
      <c r="F348">
        <v>1</v>
      </c>
      <c r="G348">
        <v>2</v>
      </c>
      <c r="H348">
        <v>2</v>
      </c>
      <c r="I348">
        <v>3</v>
      </c>
      <c r="J348">
        <v>17</v>
      </c>
      <c r="K348" t="str">
        <f t="shared" si="5"/>
        <v>73_2024</v>
      </c>
    </row>
    <row r="349" spans="1:11" x14ac:dyDescent="0.3">
      <c r="A349">
        <v>73</v>
      </c>
      <c r="B349">
        <v>2025</v>
      </c>
      <c r="C349">
        <v>5</v>
      </c>
      <c r="D349">
        <v>10686.17</v>
      </c>
      <c r="E349">
        <v>2</v>
      </c>
      <c r="F349">
        <v>4</v>
      </c>
      <c r="G349">
        <v>1</v>
      </c>
      <c r="H349">
        <v>4</v>
      </c>
      <c r="I349">
        <v>2</v>
      </c>
      <c r="J349">
        <v>47</v>
      </c>
      <c r="K349" t="str">
        <f t="shared" si="5"/>
        <v>73_2025</v>
      </c>
    </row>
    <row r="350" spans="1:11" x14ac:dyDescent="0.3">
      <c r="A350">
        <v>74</v>
      </c>
      <c r="B350">
        <v>2021</v>
      </c>
      <c r="C350">
        <v>1</v>
      </c>
      <c r="D350">
        <v>1414.9</v>
      </c>
      <c r="E350">
        <v>0</v>
      </c>
      <c r="F350">
        <v>0</v>
      </c>
      <c r="G350">
        <v>1</v>
      </c>
      <c r="H350">
        <v>1</v>
      </c>
      <c r="I350">
        <v>1</v>
      </c>
      <c r="J350">
        <v>6</v>
      </c>
      <c r="K350" t="str">
        <f t="shared" si="5"/>
        <v>74_2021</v>
      </c>
    </row>
    <row r="351" spans="1:11" x14ac:dyDescent="0.3">
      <c r="A351">
        <v>74</v>
      </c>
      <c r="B351">
        <v>2022</v>
      </c>
      <c r="C351">
        <v>4</v>
      </c>
      <c r="D351">
        <v>11326.119999999999</v>
      </c>
      <c r="E351">
        <v>0</v>
      </c>
      <c r="F351">
        <v>2</v>
      </c>
      <c r="G351">
        <v>2</v>
      </c>
      <c r="H351">
        <v>3</v>
      </c>
      <c r="I351">
        <v>1</v>
      </c>
      <c r="J351">
        <v>23</v>
      </c>
      <c r="K351" t="str">
        <f t="shared" si="5"/>
        <v>74_2022</v>
      </c>
    </row>
    <row r="352" spans="1:11" x14ac:dyDescent="0.3">
      <c r="A352">
        <v>74</v>
      </c>
      <c r="B352">
        <v>2023</v>
      </c>
      <c r="C352">
        <v>5</v>
      </c>
      <c r="D352">
        <v>12513.31</v>
      </c>
      <c r="E352">
        <v>2</v>
      </c>
      <c r="F352">
        <v>3</v>
      </c>
      <c r="G352">
        <v>2</v>
      </c>
      <c r="H352">
        <v>3</v>
      </c>
      <c r="I352">
        <v>1</v>
      </c>
      <c r="J352">
        <v>44</v>
      </c>
      <c r="K352" t="str">
        <f t="shared" si="5"/>
        <v>74_2023</v>
      </c>
    </row>
    <row r="353" spans="1:11" x14ac:dyDescent="0.3">
      <c r="A353">
        <v>74</v>
      </c>
      <c r="B353">
        <v>2024</v>
      </c>
      <c r="C353">
        <v>3</v>
      </c>
      <c r="D353">
        <v>2136.14</v>
      </c>
      <c r="E353">
        <v>0</v>
      </c>
      <c r="F353">
        <v>2</v>
      </c>
      <c r="G353">
        <v>1</v>
      </c>
      <c r="H353">
        <v>0</v>
      </c>
      <c r="I353">
        <v>1</v>
      </c>
      <c r="J353">
        <v>19</v>
      </c>
      <c r="K353" t="str">
        <f t="shared" si="5"/>
        <v>74_2024</v>
      </c>
    </row>
    <row r="354" spans="1:11" x14ac:dyDescent="0.3">
      <c r="A354">
        <v>74</v>
      </c>
      <c r="B354">
        <v>2025</v>
      </c>
      <c r="C354">
        <v>3</v>
      </c>
      <c r="D354">
        <v>4657.8099999999995</v>
      </c>
      <c r="E354">
        <v>0</v>
      </c>
      <c r="F354">
        <v>2</v>
      </c>
      <c r="G354">
        <v>1</v>
      </c>
      <c r="H354">
        <v>1</v>
      </c>
      <c r="I354">
        <v>1</v>
      </c>
      <c r="J354">
        <v>25</v>
      </c>
      <c r="K354" t="str">
        <f t="shared" si="5"/>
        <v>74_2025</v>
      </c>
    </row>
    <row r="355" spans="1:11" x14ac:dyDescent="0.3">
      <c r="A355">
        <v>75</v>
      </c>
      <c r="B355">
        <v>2021</v>
      </c>
      <c r="C355">
        <v>2</v>
      </c>
      <c r="D355">
        <v>7886.49</v>
      </c>
      <c r="E355">
        <v>0</v>
      </c>
      <c r="F355">
        <v>1</v>
      </c>
      <c r="G355">
        <v>1</v>
      </c>
      <c r="H355">
        <v>2</v>
      </c>
      <c r="I355">
        <v>1</v>
      </c>
      <c r="J355">
        <v>12</v>
      </c>
      <c r="K355" t="str">
        <f t="shared" si="5"/>
        <v>75_2021</v>
      </c>
    </row>
    <row r="356" spans="1:11" x14ac:dyDescent="0.3">
      <c r="A356">
        <v>75</v>
      </c>
      <c r="B356">
        <v>2022</v>
      </c>
      <c r="C356">
        <v>5</v>
      </c>
      <c r="D356">
        <v>10283.48</v>
      </c>
      <c r="E356">
        <v>3</v>
      </c>
      <c r="F356">
        <v>3</v>
      </c>
      <c r="G356">
        <v>2</v>
      </c>
      <c r="H356">
        <v>2</v>
      </c>
      <c r="I356">
        <v>2</v>
      </c>
      <c r="J356">
        <v>37</v>
      </c>
      <c r="K356" t="str">
        <f t="shared" si="5"/>
        <v>75_2022</v>
      </c>
    </row>
    <row r="357" spans="1:11" x14ac:dyDescent="0.3">
      <c r="A357">
        <v>75</v>
      </c>
      <c r="B357">
        <v>2024</v>
      </c>
      <c r="C357">
        <v>6</v>
      </c>
      <c r="D357">
        <v>13334.420000000002</v>
      </c>
      <c r="E357">
        <v>3</v>
      </c>
      <c r="F357">
        <v>5</v>
      </c>
      <c r="G357">
        <v>1</v>
      </c>
      <c r="H357">
        <v>3</v>
      </c>
      <c r="I357">
        <v>2</v>
      </c>
      <c r="J357">
        <v>79</v>
      </c>
      <c r="K357" t="str">
        <f t="shared" si="5"/>
        <v>75_2024</v>
      </c>
    </row>
    <row r="358" spans="1:11" x14ac:dyDescent="0.3">
      <c r="A358">
        <v>75</v>
      </c>
      <c r="B358">
        <v>2025</v>
      </c>
      <c r="C358">
        <v>6</v>
      </c>
      <c r="D358">
        <v>15449.279999999999</v>
      </c>
      <c r="E358">
        <v>1</v>
      </c>
      <c r="F358">
        <v>5</v>
      </c>
      <c r="G358">
        <v>1</v>
      </c>
      <c r="H358">
        <v>3</v>
      </c>
      <c r="I358">
        <v>3</v>
      </c>
      <c r="J358">
        <v>56</v>
      </c>
      <c r="K358" t="str">
        <f t="shared" si="5"/>
        <v>75_2025</v>
      </c>
    </row>
    <row r="359" spans="1:11" x14ac:dyDescent="0.3">
      <c r="A359">
        <v>76</v>
      </c>
      <c r="B359">
        <v>2021</v>
      </c>
      <c r="C359">
        <v>3</v>
      </c>
      <c r="D359">
        <v>2837.48</v>
      </c>
      <c r="E359">
        <v>0</v>
      </c>
      <c r="F359">
        <v>3</v>
      </c>
      <c r="G359">
        <v>0</v>
      </c>
      <c r="H359">
        <v>1</v>
      </c>
      <c r="I359">
        <v>1</v>
      </c>
      <c r="J359">
        <v>30</v>
      </c>
      <c r="K359" t="str">
        <f t="shared" si="5"/>
        <v>76_2021</v>
      </c>
    </row>
    <row r="360" spans="1:11" x14ac:dyDescent="0.3">
      <c r="A360">
        <v>76</v>
      </c>
      <c r="B360">
        <v>2022</v>
      </c>
      <c r="C360">
        <v>2</v>
      </c>
      <c r="D360">
        <v>11419.66</v>
      </c>
      <c r="E360">
        <v>0</v>
      </c>
      <c r="F360">
        <v>1</v>
      </c>
      <c r="G360">
        <v>1</v>
      </c>
      <c r="H360">
        <v>2</v>
      </c>
      <c r="I360">
        <v>1</v>
      </c>
      <c r="J360">
        <v>11</v>
      </c>
      <c r="K360" t="str">
        <f t="shared" si="5"/>
        <v>76_2022</v>
      </c>
    </row>
    <row r="361" spans="1:11" x14ac:dyDescent="0.3">
      <c r="A361">
        <v>76</v>
      </c>
      <c r="B361">
        <v>2023</v>
      </c>
      <c r="C361">
        <v>5</v>
      </c>
      <c r="D361">
        <v>9751.41</v>
      </c>
      <c r="E361">
        <v>2</v>
      </c>
      <c r="F361">
        <v>3</v>
      </c>
      <c r="G361">
        <v>2</v>
      </c>
      <c r="H361">
        <v>3</v>
      </c>
      <c r="I361">
        <v>2</v>
      </c>
      <c r="J361">
        <v>52</v>
      </c>
      <c r="K361" t="str">
        <f t="shared" si="5"/>
        <v>76_2023</v>
      </c>
    </row>
    <row r="362" spans="1:11" x14ac:dyDescent="0.3">
      <c r="A362">
        <v>76</v>
      </c>
      <c r="B362">
        <v>2024</v>
      </c>
      <c r="C362">
        <v>1</v>
      </c>
      <c r="D362">
        <v>947.28</v>
      </c>
      <c r="E362">
        <v>0</v>
      </c>
      <c r="F362">
        <v>0</v>
      </c>
      <c r="G362">
        <v>1</v>
      </c>
      <c r="H362">
        <v>0</v>
      </c>
      <c r="I362">
        <v>0</v>
      </c>
      <c r="J362">
        <v>5</v>
      </c>
      <c r="K362" t="str">
        <f t="shared" si="5"/>
        <v>76_2024</v>
      </c>
    </row>
    <row r="363" spans="1:11" x14ac:dyDescent="0.3">
      <c r="A363">
        <v>76</v>
      </c>
      <c r="B363">
        <v>2025</v>
      </c>
      <c r="C363">
        <v>6</v>
      </c>
      <c r="D363">
        <v>22150.540000000005</v>
      </c>
      <c r="E363">
        <v>3</v>
      </c>
      <c r="F363">
        <v>3</v>
      </c>
      <c r="G363">
        <v>3</v>
      </c>
      <c r="H363">
        <v>6</v>
      </c>
      <c r="I363">
        <v>3</v>
      </c>
      <c r="J363">
        <v>62</v>
      </c>
      <c r="K363" t="str">
        <f t="shared" si="5"/>
        <v>76_2025</v>
      </c>
    </row>
    <row r="364" spans="1:11" x14ac:dyDescent="0.3">
      <c r="A364">
        <v>77</v>
      </c>
      <c r="B364">
        <v>2021</v>
      </c>
      <c r="C364">
        <v>1</v>
      </c>
      <c r="D364">
        <v>767.21</v>
      </c>
      <c r="E364">
        <v>0</v>
      </c>
      <c r="F364">
        <v>0</v>
      </c>
      <c r="G364">
        <v>1</v>
      </c>
      <c r="H364">
        <v>0</v>
      </c>
      <c r="I364">
        <v>0</v>
      </c>
      <c r="J364">
        <v>10</v>
      </c>
      <c r="K364" t="str">
        <f t="shared" si="5"/>
        <v>77_2021</v>
      </c>
    </row>
    <row r="365" spans="1:11" x14ac:dyDescent="0.3">
      <c r="A365">
        <v>77</v>
      </c>
      <c r="B365">
        <v>2022</v>
      </c>
      <c r="C365">
        <v>4</v>
      </c>
      <c r="D365">
        <v>7689.0399999999991</v>
      </c>
      <c r="E365">
        <v>0</v>
      </c>
      <c r="F365">
        <v>1</v>
      </c>
      <c r="G365">
        <v>3</v>
      </c>
      <c r="H365">
        <v>2</v>
      </c>
      <c r="I365">
        <v>2</v>
      </c>
      <c r="J365">
        <v>37</v>
      </c>
      <c r="K365" t="str">
        <f t="shared" si="5"/>
        <v>77_2022</v>
      </c>
    </row>
    <row r="366" spans="1:11" x14ac:dyDescent="0.3">
      <c r="A366">
        <v>77</v>
      </c>
      <c r="B366">
        <v>2023</v>
      </c>
      <c r="C366">
        <v>1</v>
      </c>
      <c r="D366">
        <v>2331.91</v>
      </c>
      <c r="E366">
        <v>0</v>
      </c>
      <c r="F366">
        <v>1</v>
      </c>
      <c r="G366">
        <v>0</v>
      </c>
      <c r="H366">
        <v>1</v>
      </c>
      <c r="I366">
        <v>1</v>
      </c>
      <c r="J366">
        <v>11</v>
      </c>
      <c r="K366" t="str">
        <f t="shared" si="5"/>
        <v>77_2023</v>
      </c>
    </row>
    <row r="367" spans="1:11" x14ac:dyDescent="0.3">
      <c r="A367">
        <v>77</v>
      </c>
      <c r="B367">
        <v>2024</v>
      </c>
      <c r="C367">
        <v>3</v>
      </c>
      <c r="D367">
        <v>4771.1399999999994</v>
      </c>
      <c r="E367">
        <v>0</v>
      </c>
      <c r="F367">
        <v>2</v>
      </c>
      <c r="G367">
        <v>1</v>
      </c>
      <c r="H367">
        <v>1</v>
      </c>
      <c r="I367">
        <v>1</v>
      </c>
      <c r="J367">
        <v>28</v>
      </c>
      <c r="K367" t="str">
        <f t="shared" si="5"/>
        <v>77_2024</v>
      </c>
    </row>
    <row r="368" spans="1:11" x14ac:dyDescent="0.3">
      <c r="A368">
        <v>78</v>
      </c>
      <c r="B368">
        <v>2021</v>
      </c>
      <c r="C368">
        <v>1</v>
      </c>
      <c r="D368">
        <v>1387.52</v>
      </c>
      <c r="E368">
        <v>0</v>
      </c>
      <c r="F368">
        <v>1</v>
      </c>
      <c r="G368">
        <v>0</v>
      </c>
      <c r="H368">
        <v>0</v>
      </c>
      <c r="I368">
        <v>0</v>
      </c>
      <c r="J368">
        <v>10</v>
      </c>
      <c r="K368" t="str">
        <f t="shared" si="5"/>
        <v>78_2021</v>
      </c>
    </row>
    <row r="369" spans="1:11" x14ac:dyDescent="0.3">
      <c r="A369">
        <v>78</v>
      </c>
      <c r="B369">
        <v>2022</v>
      </c>
      <c r="C369">
        <v>5</v>
      </c>
      <c r="D369">
        <v>19355.150000000001</v>
      </c>
      <c r="E369">
        <v>2</v>
      </c>
      <c r="F369">
        <v>2</v>
      </c>
      <c r="G369">
        <v>3</v>
      </c>
      <c r="H369">
        <v>5</v>
      </c>
      <c r="I369">
        <v>3</v>
      </c>
      <c r="J369">
        <v>47</v>
      </c>
      <c r="K369" t="str">
        <f t="shared" si="5"/>
        <v>78_2022</v>
      </c>
    </row>
    <row r="370" spans="1:11" x14ac:dyDescent="0.3">
      <c r="A370">
        <v>78</v>
      </c>
      <c r="B370">
        <v>2023</v>
      </c>
      <c r="C370">
        <v>5</v>
      </c>
      <c r="D370">
        <v>13240.21</v>
      </c>
      <c r="E370">
        <v>1</v>
      </c>
      <c r="F370">
        <v>4</v>
      </c>
      <c r="G370">
        <v>1</v>
      </c>
      <c r="H370">
        <v>3</v>
      </c>
      <c r="I370">
        <v>3</v>
      </c>
      <c r="J370">
        <v>64</v>
      </c>
      <c r="K370" t="str">
        <f t="shared" si="5"/>
        <v>78_2023</v>
      </c>
    </row>
    <row r="371" spans="1:11" x14ac:dyDescent="0.3">
      <c r="A371">
        <v>78</v>
      </c>
      <c r="B371">
        <v>2024</v>
      </c>
      <c r="C371">
        <v>1</v>
      </c>
      <c r="D371">
        <v>2717.9</v>
      </c>
      <c r="E371">
        <v>0</v>
      </c>
      <c r="F371">
        <v>0</v>
      </c>
      <c r="G371">
        <v>1</v>
      </c>
      <c r="H371">
        <v>1</v>
      </c>
      <c r="I371">
        <v>0</v>
      </c>
      <c r="J371">
        <v>4</v>
      </c>
      <c r="K371" t="str">
        <f t="shared" si="5"/>
        <v>78_2024</v>
      </c>
    </row>
    <row r="372" spans="1:11" x14ac:dyDescent="0.3">
      <c r="A372">
        <v>78</v>
      </c>
      <c r="B372">
        <v>2025</v>
      </c>
      <c r="C372">
        <v>6</v>
      </c>
      <c r="D372">
        <v>19648.02</v>
      </c>
      <c r="E372">
        <v>2</v>
      </c>
      <c r="F372">
        <v>3</v>
      </c>
      <c r="G372">
        <v>3</v>
      </c>
      <c r="H372">
        <v>4</v>
      </c>
      <c r="I372">
        <v>3</v>
      </c>
      <c r="J372">
        <v>35</v>
      </c>
      <c r="K372" t="str">
        <f t="shared" si="5"/>
        <v>78_2025</v>
      </c>
    </row>
    <row r="373" spans="1:11" x14ac:dyDescent="0.3">
      <c r="A373">
        <v>79</v>
      </c>
      <c r="B373">
        <v>2021</v>
      </c>
      <c r="C373">
        <v>2</v>
      </c>
      <c r="D373">
        <v>4616.83</v>
      </c>
      <c r="E373">
        <v>0</v>
      </c>
      <c r="F373">
        <v>2</v>
      </c>
      <c r="G373">
        <v>0</v>
      </c>
      <c r="H373">
        <v>1</v>
      </c>
      <c r="I373">
        <v>1</v>
      </c>
      <c r="J373">
        <v>24</v>
      </c>
      <c r="K373" t="str">
        <f t="shared" si="5"/>
        <v>79_2021</v>
      </c>
    </row>
    <row r="374" spans="1:11" x14ac:dyDescent="0.3">
      <c r="A374">
        <v>79</v>
      </c>
      <c r="B374">
        <v>2022</v>
      </c>
      <c r="C374">
        <v>4</v>
      </c>
      <c r="D374">
        <v>7308.2700000000013</v>
      </c>
      <c r="E374">
        <v>4</v>
      </c>
      <c r="F374">
        <v>3</v>
      </c>
      <c r="G374">
        <v>1</v>
      </c>
      <c r="H374">
        <v>3</v>
      </c>
      <c r="I374">
        <v>0</v>
      </c>
      <c r="J374">
        <v>19</v>
      </c>
      <c r="K374" t="str">
        <f t="shared" si="5"/>
        <v>79_2022</v>
      </c>
    </row>
    <row r="375" spans="1:11" x14ac:dyDescent="0.3">
      <c r="A375">
        <v>79</v>
      </c>
      <c r="B375">
        <v>2024</v>
      </c>
      <c r="C375">
        <v>3</v>
      </c>
      <c r="D375">
        <v>9491.67</v>
      </c>
      <c r="E375">
        <v>0</v>
      </c>
      <c r="F375">
        <v>2</v>
      </c>
      <c r="G375">
        <v>1</v>
      </c>
      <c r="H375">
        <v>2</v>
      </c>
      <c r="I375">
        <v>2</v>
      </c>
      <c r="J375">
        <v>41</v>
      </c>
      <c r="K375" t="str">
        <f t="shared" si="5"/>
        <v>79_2024</v>
      </c>
    </row>
    <row r="376" spans="1:11" x14ac:dyDescent="0.3">
      <c r="A376">
        <v>79</v>
      </c>
      <c r="B376">
        <v>2025</v>
      </c>
      <c r="C376">
        <v>2</v>
      </c>
      <c r="D376">
        <v>1511.5300000000002</v>
      </c>
      <c r="E376">
        <v>0</v>
      </c>
      <c r="F376">
        <v>2</v>
      </c>
      <c r="G376">
        <v>0</v>
      </c>
      <c r="H376">
        <v>0</v>
      </c>
      <c r="I376">
        <v>0</v>
      </c>
      <c r="J376">
        <v>13</v>
      </c>
      <c r="K376" t="str">
        <f t="shared" si="5"/>
        <v>79_2025</v>
      </c>
    </row>
    <row r="377" spans="1:11" x14ac:dyDescent="0.3">
      <c r="A377">
        <v>80</v>
      </c>
      <c r="B377">
        <v>2021</v>
      </c>
      <c r="C377">
        <v>1</v>
      </c>
      <c r="D377">
        <v>189.02</v>
      </c>
      <c r="E377">
        <v>0</v>
      </c>
      <c r="F377">
        <v>1</v>
      </c>
      <c r="G377">
        <v>0</v>
      </c>
      <c r="H377">
        <v>0</v>
      </c>
      <c r="I377">
        <v>0</v>
      </c>
      <c r="J377">
        <v>8</v>
      </c>
      <c r="K377" t="str">
        <f t="shared" si="5"/>
        <v>80_2021</v>
      </c>
    </row>
    <row r="378" spans="1:11" x14ac:dyDescent="0.3">
      <c r="A378">
        <v>80</v>
      </c>
      <c r="B378">
        <v>2022</v>
      </c>
      <c r="C378">
        <v>3</v>
      </c>
      <c r="D378">
        <v>4418.99</v>
      </c>
      <c r="E378">
        <v>0</v>
      </c>
      <c r="F378">
        <v>2</v>
      </c>
      <c r="G378">
        <v>1</v>
      </c>
      <c r="H378">
        <v>1</v>
      </c>
      <c r="I378">
        <v>1</v>
      </c>
      <c r="J378">
        <v>17</v>
      </c>
      <c r="K378" t="str">
        <f t="shared" si="5"/>
        <v>80_2022</v>
      </c>
    </row>
    <row r="379" spans="1:11" x14ac:dyDescent="0.3">
      <c r="A379">
        <v>80</v>
      </c>
      <c r="B379">
        <v>2023</v>
      </c>
      <c r="C379">
        <v>1</v>
      </c>
      <c r="D379">
        <v>227.3</v>
      </c>
      <c r="E379">
        <v>0</v>
      </c>
      <c r="F379">
        <v>0</v>
      </c>
      <c r="G379">
        <v>1</v>
      </c>
      <c r="H379">
        <v>0</v>
      </c>
      <c r="I379">
        <v>0</v>
      </c>
      <c r="J379">
        <v>11</v>
      </c>
      <c r="K379" t="str">
        <f t="shared" si="5"/>
        <v>80_2023</v>
      </c>
    </row>
    <row r="380" spans="1:11" x14ac:dyDescent="0.3">
      <c r="A380">
        <v>80</v>
      </c>
      <c r="B380">
        <v>2024</v>
      </c>
      <c r="C380">
        <v>5</v>
      </c>
      <c r="D380">
        <v>14764.08</v>
      </c>
      <c r="E380">
        <v>2</v>
      </c>
      <c r="F380">
        <v>3</v>
      </c>
      <c r="G380">
        <v>2</v>
      </c>
      <c r="H380">
        <v>4</v>
      </c>
      <c r="I380">
        <v>1</v>
      </c>
      <c r="J380">
        <v>56</v>
      </c>
      <c r="K380" t="str">
        <f t="shared" si="5"/>
        <v>80_2024</v>
      </c>
    </row>
    <row r="381" spans="1:11" x14ac:dyDescent="0.3">
      <c r="A381">
        <v>80</v>
      </c>
      <c r="B381">
        <v>2025</v>
      </c>
      <c r="C381">
        <v>1</v>
      </c>
      <c r="D381">
        <v>7580.92</v>
      </c>
      <c r="E381">
        <v>1</v>
      </c>
      <c r="F381">
        <v>0</v>
      </c>
      <c r="G381">
        <v>1</v>
      </c>
      <c r="H381">
        <v>1</v>
      </c>
      <c r="I381">
        <v>1</v>
      </c>
      <c r="J381">
        <v>10</v>
      </c>
      <c r="K381" t="str">
        <f t="shared" si="5"/>
        <v>80_2025</v>
      </c>
    </row>
    <row r="382" spans="1:11" x14ac:dyDescent="0.3">
      <c r="A382">
        <v>81</v>
      </c>
      <c r="B382">
        <v>2021</v>
      </c>
      <c r="C382">
        <v>5</v>
      </c>
      <c r="D382">
        <v>17354.829999999998</v>
      </c>
      <c r="E382">
        <v>2</v>
      </c>
      <c r="F382">
        <v>3</v>
      </c>
      <c r="G382">
        <v>2</v>
      </c>
      <c r="H382">
        <v>4</v>
      </c>
      <c r="I382">
        <v>1</v>
      </c>
      <c r="J382">
        <v>51</v>
      </c>
      <c r="K382" t="str">
        <f t="shared" si="5"/>
        <v>81_2021</v>
      </c>
    </row>
    <row r="383" spans="1:11" x14ac:dyDescent="0.3">
      <c r="A383">
        <v>81</v>
      </c>
      <c r="B383">
        <v>2022</v>
      </c>
      <c r="C383">
        <v>4</v>
      </c>
      <c r="D383">
        <v>7752.66</v>
      </c>
      <c r="E383">
        <v>2</v>
      </c>
      <c r="F383">
        <v>1</v>
      </c>
      <c r="G383">
        <v>3</v>
      </c>
      <c r="H383">
        <v>2</v>
      </c>
      <c r="I383">
        <v>2</v>
      </c>
      <c r="J383">
        <v>35</v>
      </c>
      <c r="K383" t="str">
        <f t="shared" si="5"/>
        <v>81_2022</v>
      </c>
    </row>
    <row r="384" spans="1:11" x14ac:dyDescent="0.3">
      <c r="A384">
        <v>81</v>
      </c>
      <c r="B384">
        <v>2023</v>
      </c>
      <c r="C384">
        <v>3</v>
      </c>
      <c r="D384">
        <v>776.73</v>
      </c>
      <c r="E384">
        <v>0</v>
      </c>
      <c r="F384">
        <v>3</v>
      </c>
      <c r="G384">
        <v>0</v>
      </c>
      <c r="H384">
        <v>0</v>
      </c>
      <c r="I384">
        <v>0</v>
      </c>
      <c r="J384">
        <v>21</v>
      </c>
      <c r="K384" t="str">
        <f t="shared" si="5"/>
        <v>81_2023</v>
      </c>
    </row>
    <row r="385" spans="1:11" x14ac:dyDescent="0.3">
      <c r="A385">
        <v>81</v>
      </c>
      <c r="B385">
        <v>2024</v>
      </c>
      <c r="C385">
        <v>3</v>
      </c>
      <c r="D385">
        <v>1416.12</v>
      </c>
      <c r="E385">
        <v>0</v>
      </c>
      <c r="F385">
        <v>2</v>
      </c>
      <c r="G385">
        <v>1</v>
      </c>
      <c r="H385">
        <v>0</v>
      </c>
      <c r="I385">
        <v>1</v>
      </c>
      <c r="J385">
        <v>16</v>
      </c>
      <c r="K385" t="str">
        <f t="shared" si="5"/>
        <v>81_2024</v>
      </c>
    </row>
    <row r="386" spans="1:11" x14ac:dyDescent="0.3">
      <c r="A386">
        <v>81</v>
      </c>
      <c r="B386">
        <v>2025</v>
      </c>
      <c r="C386">
        <v>4</v>
      </c>
      <c r="D386">
        <v>7450.329999999999</v>
      </c>
      <c r="E386">
        <v>2</v>
      </c>
      <c r="F386">
        <v>3</v>
      </c>
      <c r="G386">
        <v>1</v>
      </c>
      <c r="H386">
        <v>1</v>
      </c>
      <c r="I386">
        <v>1</v>
      </c>
      <c r="J386">
        <v>43</v>
      </c>
      <c r="K386" t="str">
        <f t="shared" ref="K386:K449" si="6">A386&amp;"_"&amp;B386</f>
        <v>81_2025</v>
      </c>
    </row>
    <row r="387" spans="1:11" x14ac:dyDescent="0.3">
      <c r="A387">
        <v>82</v>
      </c>
      <c r="B387">
        <v>2021</v>
      </c>
      <c r="C387">
        <v>3</v>
      </c>
      <c r="D387">
        <v>1037.3499999999999</v>
      </c>
      <c r="E387">
        <v>1</v>
      </c>
      <c r="F387">
        <v>2</v>
      </c>
      <c r="G387">
        <v>1</v>
      </c>
      <c r="H387">
        <v>0</v>
      </c>
      <c r="I387">
        <v>1</v>
      </c>
      <c r="J387">
        <v>18</v>
      </c>
      <c r="K387" t="str">
        <f t="shared" si="6"/>
        <v>82_2021</v>
      </c>
    </row>
    <row r="388" spans="1:11" x14ac:dyDescent="0.3">
      <c r="A388">
        <v>82</v>
      </c>
      <c r="B388">
        <v>2022</v>
      </c>
      <c r="C388">
        <v>2</v>
      </c>
      <c r="D388">
        <v>6450.63</v>
      </c>
      <c r="E388">
        <v>0</v>
      </c>
      <c r="F388">
        <v>1</v>
      </c>
      <c r="G388">
        <v>1</v>
      </c>
      <c r="H388">
        <v>2</v>
      </c>
      <c r="I388">
        <v>2</v>
      </c>
      <c r="J388">
        <v>7</v>
      </c>
      <c r="K388" t="str">
        <f t="shared" si="6"/>
        <v>82_2022</v>
      </c>
    </row>
    <row r="389" spans="1:11" x14ac:dyDescent="0.3">
      <c r="A389">
        <v>82</v>
      </c>
      <c r="B389">
        <v>2023</v>
      </c>
      <c r="C389">
        <v>5</v>
      </c>
      <c r="D389">
        <v>14091.029999999999</v>
      </c>
      <c r="E389">
        <v>3</v>
      </c>
      <c r="F389">
        <v>2</v>
      </c>
      <c r="G389">
        <v>3</v>
      </c>
      <c r="H389">
        <v>4</v>
      </c>
      <c r="I389">
        <v>2</v>
      </c>
      <c r="J389">
        <v>34</v>
      </c>
      <c r="K389" t="str">
        <f t="shared" si="6"/>
        <v>82_2023</v>
      </c>
    </row>
    <row r="390" spans="1:11" x14ac:dyDescent="0.3">
      <c r="A390">
        <v>82</v>
      </c>
      <c r="B390">
        <v>2024</v>
      </c>
      <c r="C390">
        <v>4</v>
      </c>
      <c r="D390">
        <v>12409.63</v>
      </c>
      <c r="E390">
        <v>4</v>
      </c>
      <c r="F390">
        <v>2</v>
      </c>
      <c r="G390">
        <v>2</v>
      </c>
      <c r="H390">
        <v>3</v>
      </c>
      <c r="I390">
        <v>1</v>
      </c>
      <c r="J390">
        <v>39</v>
      </c>
      <c r="K390" t="str">
        <f t="shared" si="6"/>
        <v>82_2024</v>
      </c>
    </row>
    <row r="391" spans="1:11" x14ac:dyDescent="0.3">
      <c r="A391">
        <v>82</v>
      </c>
      <c r="B391">
        <v>2025</v>
      </c>
      <c r="C391">
        <v>4</v>
      </c>
      <c r="D391">
        <v>16578.29</v>
      </c>
      <c r="E391">
        <v>4</v>
      </c>
      <c r="F391">
        <v>3</v>
      </c>
      <c r="G391">
        <v>1</v>
      </c>
      <c r="H391">
        <v>3</v>
      </c>
      <c r="I391">
        <v>0</v>
      </c>
      <c r="J391">
        <v>44</v>
      </c>
      <c r="K391" t="str">
        <f t="shared" si="6"/>
        <v>82_2025</v>
      </c>
    </row>
    <row r="392" spans="1:11" x14ac:dyDescent="0.3">
      <c r="A392">
        <v>83</v>
      </c>
      <c r="B392">
        <v>2021</v>
      </c>
      <c r="C392">
        <v>6</v>
      </c>
      <c r="D392">
        <v>18947.88</v>
      </c>
      <c r="E392">
        <v>4</v>
      </c>
      <c r="F392">
        <v>3</v>
      </c>
      <c r="G392">
        <v>3</v>
      </c>
      <c r="H392">
        <v>4</v>
      </c>
      <c r="I392">
        <v>3</v>
      </c>
      <c r="J392">
        <v>53</v>
      </c>
      <c r="K392" t="str">
        <f t="shared" si="6"/>
        <v>83_2021</v>
      </c>
    </row>
    <row r="393" spans="1:11" x14ac:dyDescent="0.3">
      <c r="A393">
        <v>83</v>
      </c>
      <c r="B393">
        <v>2022</v>
      </c>
      <c r="C393">
        <v>6</v>
      </c>
      <c r="D393">
        <v>14774.24</v>
      </c>
      <c r="E393">
        <v>0</v>
      </c>
      <c r="F393">
        <v>3</v>
      </c>
      <c r="G393">
        <v>3</v>
      </c>
      <c r="H393">
        <v>2</v>
      </c>
      <c r="I393">
        <v>2</v>
      </c>
      <c r="J393">
        <v>40</v>
      </c>
      <c r="K393" t="str">
        <f t="shared" si="6"/>
        <v>83_2022</v>
      </c>
    </row>
    <row r="394" spans="1:11" x14ac:dyDescent="0.3">
      <c r="A394">
        <v>83</v>
      </c>
      <c r="B394">
        <v>2023</v>
      </c>
      <c r="C394">
        <v>3</v>
      </c>
      <c r="D394">
        <v>10527.35</v>
      </c>
      <c r="E394">
        <v>3</v>
      </c>
      <c r="F394">
        <v>1</v>
      </c>
      <c r="G394">
        <v>2</v>
      </c>
      <c r="H394">
        <v>3</v>
      </c>
      <c r="I394">
        <v>1</v>
      </c>
      <c r="J394">
        <v>15</v>
      </c>
      <c r="K394" t="str">
        <f t="shared" si="6"/>
        <v>83_2023</v>
      </c>
    </row>
    <row r="395" spans="1:11" x14ac:dyDescent="0.3">
      <c r="A395">
        <v>83</v>
      </c>
      <c r="B395">
        <v>2024</v>
      </c>
      <c r="C395">
        <v>6</v>
      </c>
      <c r="D395">
        <v>14147.520000000002</v>
      </c>
      <c r="E395">
        <v>4</v>
      </c>
      <c r="F395">
        <v>2</v>
      </c>
      <c r="G395">
        <v>4</v>
      </c>
      <c r="H395">
        <v>6</v>
      </c>
      <c r="I395">
        <v>3</v>
      </c>
      <c r="J395">
        <v>50</v>
      </c>
      <c r="K395" t="str">
        <f t="shared" si="6"/>
        <v>83_2024</v>
      </c>
    </row>
    <row r="396" spans="1:11" x14ac:dyDescent="0.3">
      <c r="A396">
        <v>83</v>
      </c>
      <c r="B396">
        <v>2025</v>
      </c>
      <c r="C396">
        <v>5</v>
      </c>
      <c r="D396">
        <v>19587.359999999997</v>
      </c>
      <c r="E396">
        <v>4</v>
      </c>
      <c r="F396">
        <v>4</v>
      </c>
      <c r="G396">
        <v>1</v>
      </c>
      <c r="H396">
        <v>4</v>
      </c>
      <c r="I396">
        <v>3</v>
      </c>
      <c r="J396">
        <v>37</v>
      </c>
      <c r="K396" t="str">
        <f t="shared" si="6"/>
        <v>83_2025</v>
      </c>
    </row>
    <row r="397" spans="1:11" x14ac:dyDescent="0.3">
      <c r="A397">
        <v>84</v>
      </c>
      <c r="B397">
        <v>2021</v>
      </c>
      <c r="C397">
        <v>2</v>
      </c>
      <c r="D397">
        <v>599.70000000000005</v>
      </c>
      <c r="E397">
        <v>0</v>
      </c>
      <c r="F397">
        <v>2</v>
      </c>
      <c r="G397">
        <v>0</v>
      </c>
      <c r="H397">
        <v>0</v>
      </c>
      <c r="I397">
        <v>0</v>
      </c>
      <c r="J397">
        <v>5</v>
      </c>
      <c r="K397" t="str">
        <f t="shared" si="6"/>
        <v>84_2021</v>
      </c>
    </row>
    <row r="398" spans="1:11" x14ac:dyDescent="0.3">
      <c r="A398">
        <v>84</v>
      </c>
      <c r="B398">
        <v>2022</v>
      </c>
      <c r="C398">
        <v>1</v>
      </c>
      <c r="D398">
        <v>498.11</v>
      </c>
      <c r="E398">
        <v>0</v>
      </c>
      <c r="F398">
        <v>1</v>
      </c>
      <c r="G398">
        <v>0</v>
      </c>
      <c r="H398">
        <v>0</v>
      </c>
      <c r="I398">
        <v>1</v>
      </c>
      <c r="J398">
        <v>4</v>
      </c>
      <c r="K398" t="str">
        <f t="shared" si="6"/>
        <v>84_2022</v>
      </c>
    </row>
    <row r="399" spans="1:11" x14ac:dyDescent="0.3">
      <c r="A399">
        <v>84</v>
      </c>
      <c r="B399">
        <v>2023</v>
      </c>
      <c r="C399">
        <v>4</v>
      </c>
      <c r="D399">
        <v>11760.07</v>
      </c>
      <c r="E399">
        <v>1</v>
      </c>
      <c r="F399">
        <v>0</v>
      </c>
      <c r="G399">
        <v>4</v>
      </c>
      <c r="H399">
        <v>2</v>
      </c>
      <c r="I399">
        <v>1</v>
      </c>
      <c r="J399">
        <v>37</v>
      </c>
      <c r="K399" t="str">
        <f t="shared" si="6"/>
        <v>84_2023</v>
      </c>
    </row>
    <row r="400" spans="1:11" x14ac:dyDescent="0.3">
      <c r="A400">
        <v>84</v>
      </c>
      <c r="B400">
        <v>2024</v>
      </c>
      <c r="C400">
        <v>1</v>
      </c>
      <c r="D400">
        <v>1386.98</v>
      </c>
      <c r="E400">
        <v>0</v>
      </c>
      <c r="F400">
        <v>0</v>
      </c>
      <c r="G400">
        <v>1</v>
      </c>
      <c r="H400">
        <v>0</v>
      </c>
      <c r="I400">
        <v>0</v>
      </c>
      <c r="J400">
        <v>11</v>
      </c>
      <c r="K400" t="str">
        <f t="shared" si="6"/>
        <v>84_2024</v>
      </c>
    </row>
    <row r="401" spans="1:11" x14ac:dyDescent="0.3">
      <c r="A401">
        <v>84</v>
      </c>
      <c r="B401">
        <v>2025</v>
      </c>
      <c r="C401">
        <v>5</v>
      </c>
      <c r="D401">
        <v>16344.499999999998</v>
      </c>
      <c r="E401">
        <v>3</v>
      </c>
      <c r="F401">
        <v>1</v>
      </c>
      <c r="G401">
        <v>4</v>
      </c>
      <c r="H401">
        <v>5</v>
      </c>
      <c r="I401">
        <v>2</v>
      </c>
      <c r="J401">
        <v>41</v>
      </c>
      <c r="K401" t="str">
        <f t="shared" si="6"/>
        <v>84_2025</v>
      </c>
    </row>
    <row r="402" spans="1:11" x14ac:dyDescent="0.3">
      <c r="A402">
        <v>85</v>
      </c>
      <c r="B402">
        <v>2021</v>
      </c>
      <c r="C402">
        <v>2</v>
      </c>
      <c r="D402">
        <v>2430.81</v>
      </c>
      <c r="E402">
        <v>0</v>
      </c>
      <c r="F402">
        <v>0</v>
      </c>
      <c r="G402">
        <v>2</v>
      </c>
      <c r="H402">
        <v>0</v>
      </c>
      <c r="I402">
        <v>2</v>
      </c>
      <c r="J402">
        <v>19</v>
      </c>
      <c r="K402" t="str">
        <f t="shared" si="6"/>
        <v>85_2021</v>
      </c>
    </row>
    <row r="403" spans="1:11" x14ac:dyDescent="0.3">
      <c r="A403">
        <v>85</v>
      </c>
      <c r="B403">
        <v>2022</v>
      </c>
      <c r="C403">
        <v>1</v>
      </c>
      <c r="D403">
        <v>3096.15</v>
      </c>
      <c r="E403">
        <v>0</v>
      </c>
      <c r="F403">
        <v>1</v>
      </c>
      <c r="G403">
        <v>0</v>
      </c>
      <c r="H403">
        <v>1</v>
      </c>
      <c r="I403">
        <v>0</v>
      </c>
      <c r="J403">
        <v>2</v>
      </c>
      <c r="K403" t="str">
        <f t="shared" si="6"/>
        <v>85_2022</v>
      </c>
    </row>
    <row r="404" spans="1:11" x14ac:dyDescent="0.3">
      <c r="A404">
        <v>85</v>
      </c>
      <c r="B404">
        <v>2023</v>
      </c>
      <c r="C404">
        <v>2</v>
      </c>
      <c r="D404">
        <v>1019.9</v>
      </c>
      <c r="E404">
        <v>0</v>
      </c>
      <c r="F404">
        <v>1</v>
      </c>
      <c r="G404">
        <v>1</v>
      </c>
      <c r="H404">
        <v>0</v>
      </c>
      <c r="I404">
        <v>1</v>
      </c>
      <c r="J404">
        <v>24</v>
      </c>
      <c r="K404" t="str">
        <f t="shared" si="6"/>
        <v>85_2023</v>
      </c>
    </row>
    <row r="405" spans="1:11" x14ac:dyDescent="0.3">
      <c r="A405">
        <v>85</v>
      </c>
      <c r="B405">
        <v>2024</v>
      </c>
      <c r="C405">
        <v>5</v>
      </c>
      <c r="D405">
        <v>16749.29</v>
      </c>
      <c r="E405">
        <v>0</v>
      </c>
      <c r="F405">
        <v>4</v>
      </c>
      <c r="G405">
        <v>1</v>
      </c>
      <c r="H405">
        <v>3</v>
      </c>
      <c r="I405">
        <v>2</v>
      </c>
      <c r="J405">
        <v>54</v>
      </c>
      <c r="K405" t="str">
        <f t="shared" si="6"/>
        <v>85_2024</v>
      </c>
    </row>
    <row r="406" spans="1:11" x14ac:dyDescent="0.3">
      <c r="A406">
        <v>85</v>
      </c>
      <c r="B406">
        <v>2025</v>
      </c>
      <c r="C406">
        <v>3</v>
      </c>
      <c r="D406">
        <v>5330.33</v>
      </c>
      <c r="E406">
        <v>3</v>
      </c>
      <c r="F406">
        <v>1</v>
      </c>
      <c r="G406">
        <v>2</v>
      </c>
      <c r="H406">
        <v>2</v>
      </c>
      <c r="I406">
        <v>0</v>
      </c>
      <c r="J406">
        <v>10</v>
      </c>
      <c r="K406" t="str">
        <f t="shared" si="6"/>
        <v>85_2025</v>
      </c>
    </row>
    <row r="407" spans="1:11" x14ac:dyDescent="0.3">
      <c r="A407">
        <v>86</v>
      </c>
      <c r="B407">
        <v>2021</v>
      </c>
      <c r="C407">
        <v>3</v>
      </c>
      <c r="D407">
        <v>11280.159999999998</v>
      </c>
      <c r="E407">
        <v>0</v>
      </c>
      <c r="F407">
        <v>1</v>
      </c>
      <c r="G407">
        <v>2</v>
      </c>
      <c r="H407">
        <v>2</v>
      </c>
      <c r="I407">
        <v>1</v>
      </c>
      <c r="J407">
        <v>32</v>
      </c>
      <c r="K407" t="str">
        <f t="shared" si="6"/>
        <v>86_2021</v>
      </c>
    </row>
    <row r="408" spans="1:11" x14ac:dyDescent="0.3">
      <c r="A408">
        <v>86</v>
      </c>
      <c r="B408">
        <v>2022</v>
      </c>
      <c r="C408">
        <v>6</v>
      </c>
      <c r="D408">
        <v>12218.66</v>
      </c>
      <c r="E408">
        <v>0</v>
      </c>
      <c r="F408">
        <v>4</v>
      </c>
      <c r="G408">
        <v>2</v>
      </c>
      <c r="H408">
        <v>3</v>
      </c>
      <c r="I408">
        <v>3</v>
      </c>
      <c r="J408">
        <v>37</v>
      </c>
      <c r="K408" t="str">
        <f t="shared" si="6"/>
        <v>86_2022</v>
      </c>
    </row>
    <row r="409" spans="1:11" x14ac:dyDescent="0.3">
      <c r="A409">
        <v>86</v>
      </c>
      <c r="B409">
        <v>2023</v>
      </c>
      <c r="C409">
        <v>4</v>
      </c>
      <c r="D409">
        <v>18986.509999999998</v>
      </c>
      <c r="E409">
        <v>4</v>
      </c>
      <c r="F409">
        <v>3</v>
      </c>
      <c r="G409">
        <v>1</v>
      </c>
      <c r="H409">
        <v>3</v>
      </c>
      <c r="I409">
        <v>1</v>
      </c>
      <c r="J409">
        <v>32</v>
      </c>
      <c r="K409" t="str">
        <f t="shared" si="6"/>
        <v>86_2023</v>
      </c>
    </row>
    <row r="410" spans="1:11" x14ac:dyDescent="0.3">
      <c r="A410">
        <v>86</v>
      </c>
      <c r="B410">
        <v>2024</v>
      </c>
      <c r="C410">
        <v>2</v>
      </c>
      <c r="D410">
        <v>3062.21</v>
      </c>
      <c r="E410">
        <v>0</v>
      </c>
      <c r="F410">
        <v>2</v>
      </c>
      <c r="G410">
        <v>0</v>
      </c>
      <c r="H410">
        <v>1</v>
      </c>
      <c r="I410">
        <v>1</v>
      </c>
      <c r="J410">
        <v>15</v>
      </c>
      <c r="K410" t="str">
        <f t="shared" si="6"/>
        <v>86_2024</v>
      </c>
    </row>
    <row r="411" spans="1:11" x14ac:dyDescent="0.3">
      <c r="A411">
        <v>86</v>
      </c>
      <c r="B411">
        <v>2025</v>
      </c>
      <c r="C411">
        <v>3</v>
      </c>
      <c r="D411">
        <v>2663.33</v>
      </c>
      <c r="E411">
        <v>0</v>
      </c>
      <c r="F411">
        <v>2</v>
      </c>
      <c r="G411">
        <v>1</v>
      </c>
      <c r="H411">
        <v>0</v>
      </c>
      <c r="I411">
        <v>0</v>
      </c>
      <c r="J411">
        <v>25</v>
      </c>
      <c r="K411" t="str">
        <f t="shared" si="6"/>
        <v>86_2025</v>
      </c>
    </row>
    <row r="412" spans="1:11" x14ac:dyDescent="0.3">
      <c r="A412">
        <v>87</v>
      </c>
      <c r="B412">
        <v>2021</v>
      </c>
      <c r="C412">
        <v>5</v>
      </c>
      <c r="D412">
        <v>8158.43</v>
      </c>
      <c r="E412">
        <v>4</v>
      </c>
      <c r="F412">
        <v>1</v>
      </c>
      <c r="G412">
        <v>4</v>
      </c>
      <c r="H412">
        <v>3</v>
      </c>
      <c r="I412">
        <v>2</v>
      </c>
      <c r="J412">
        <v>53</v>
      </c>
      <c r="K412" t="str">
        <f t="shared" si="6"/>
        <v>87_2021</v>
      </c>
    </row>
    <row r="413" spans="1:11" x14ac:dyDescent="0.3">
      <c r="A413">
        <v>87</v>
      </c>
      <c r="B413">
        <v>2022</v>
      </c>
      <c r="C413">
        <v>6</v>
      </c>
      <c r="D413">
        <v>21765</v>
      </c>
      <c r="E413">
        <v>0</v>
      </c>
      <c r="F413">
        <v>3</v>
      </c>
      <c r="G413">
        <v>3</v>
      </c>
      <c r="H413">
        <v>4</v>
      </c>
      <c r="I413">
        <v>4</v>
      </c>
      <c r="J413">
        <v>50</v>
      </c>
      <c r="K413" t="str">
        <f t="shared" si="6"/>
        <v>87_2022</v>
      </c>
    </row>
    <row r="414" spans="1:11" x14ac:dyDescent="0.3">
      <c r="A414">
        <v>87</v>
      </c>
      <c r="B414">
        <v>2023</v>
      </c>
      <c r="C414">
        <v>6</v>
      </c>
      <c r="D414">
        <v>23770.98</v>
      </c>
      <c r="E414">
        <v>1</v>
      </c>
      <c r="F414">
        <v>2</v>
      </c>
      <c r="G414">
        <v>4</v>
      </c>
      <c r="H414">
        <v>6</v>
      </c>
      <c r="I414">
        <v>2</v>
      </c>
      <c r="J414">
        <v>86</v>
      </c>
      <c r="K414" t="str">
        <f t="shared" si="6"/>
        <v>87_2023</v>
      </c>
    </row>
    <row r="415" spans="1:11" x14ac:dyDescent="0.3">
      <c r="A415">
        <v>87</v>
      </c>
      <c r="B415">
        <v>2024</v>
      </c>
      <c r="C415">
        <v>3</v>
      </c>
      <c r="D415">
        <v>10990.960000000001</v>
      </c>
      <c r="E415">
        <v>2</v>
      </c>
      <c r="F415">
        <v>2</v>
      </c>
      <c r="G415">
        <v>1</v>
      </c>
      <c r="H415">
        <v>2</v>
      </c>
      <c r="I415">
        <v>1</v>
      </c>
      <c r="J415">
        <v>52</v>
      </c>
      <c r="K415" t="str">
        <f t="shared" si="6"/>
        <v>87_2024</v>
      </c>
    </row>
    <row r="416" spans="1:11" x14ac:dyDescent="0.3">
      <c r="A416">
        <v>87</v>
      </c>
      <c r="B416">
        <v>2025</v>
      </c>
      <c r="C416">
        <v>3</v>
      </c>
      <c r="D416">
        <v>8569.7099999999991</v>
      </c>
      <c r="E416">
        <v>0</v>
      </c>
      <c r="F416">
        <v>2</v>
      </c>
      <c r="G416">
        <v>1</v>
      </c>
      <c r="H416">
        <v>2</v>
      </c>
      <c r="I416">
        <v>0</v>
      </c>
      <c r="J416">
        <v>24</v>
      </c>
      <c r="K416" t="str">
        <f t="shared" si="6"/>
        <v>87_2025</v>
      </c>
    </row>
    <row r="417" spans="1:11" x14ac:dyDescent="0.3">
      <c r="A417">
        <v>88</v>
      </c>
      <c r="B417">
        <v>2021</v>
      </c>
      <c r="C417">
        <v>2</v>
      </c>
      <c r="D417">
        <v>603.67999999999995</v>
      </c>
      <c r="E417">
        <v>0</v>
      </c>
      <c r="F417">
        <v>1</v>
      </c>
      <c r="G417">
        <v>1</v>
      </c>
      <c r="H417">
        <v>0</v>
      </c>
      <c r="I417">
        <v>0</v>
      </c>
      <c r="J417">
        <v>19</v>
      </c>
      <c r="K417" t="str">
        <f t="shared" si="6"/>
        <v>88_2021</v>
      </c>
    </row>
    <row r="418" spans="1:11" x14ac:dyDescent="0.3">
      <c r="A418">
        <v>88</v>
      </c>
      <c r="B418">
        <v>2022</v>
      </c>
      <c r="C418">
        <v>4</v>
      </c>
      <c r="D418">
        <v>11658.09</v>
      </c>
      <c r="E418">
        <v>0</v>
      </c>
      <c r="F418">
        <v>0</v>
      </c>
      <c r="G418">
        <v>4</v>
      </c>
      <c r="H418">
        <v>4</v>
      </c>
      <c r="I418">
        <v>2</v>
      </c>
      <c r="J418">
        <v>44</v>
      </c>
      <c r="K418" t="str">
        <f t="shared" si="6"/>
        <v>88_2022</v>
      </c>
    </row>
    <row r="419" spans="1:11" x14ac:dyDescent="0.3">
      <c r="A419">
        <v>88</v>
      </c>
      <c r="B419">
        <v>2023</v>
      </c>
      <c r="C419">
        <v>1</v>
      </c>
      <c r="D419">
        <v>356.62</v>
      </c>
      <c r="E419">
        <v>0</v>
      </c>
      <c r="F419">
        <v>1</v>
      </c>
      <c r="G419">
        <v>0</v>
      </c>
      <c r="H419">
        <v>0</v>
      </c>
      <c r="I419">
        <v>0</v>
      </c>
      <c r="J419">
        <v>7</v>
      </c>
      <c r="K419" t="str">
        <f t="shared" si="6"/>
        <v>88_2023</v>
      </c>
    </row>
    <row r="420" spans="1:11" x14ac:dyDescent="0.3">
      <c r="A420">
        <v>88</v>
      </c>
      <c r="B420">
        <v>2024</v>
      </c>
      <c r="C420">
        <v>2</v>
      </c>
      <c r="D420">
        <v>870.9</v>
      </c>
      <c r="E420">
        <v>0</v>
      </c>
      <c r="F420">
        <v>1</v>
      </c>
      <c r="G420">
        <v>1</v>
      </c>
      <c r="H420">
        <v>0</v>
      </c>
      <c r="I420">
        <v>1</v>
      </c>
      <c r="J420">
        <v>10</v>
      </c>
      <c r="K420" t="str">
        <f t="shared" si="6"/>
        <v>88_2024</v>
      </c>
    </row>
    <row r="421" spans="1:11" x14ac:dyDescent="0.3">
      <c r="A421">
        <v>88</v>
      </c>
      <c r="B421">
        <v>2025</v>
      </c>
      <c r="C421">
        <v>2</v>
      </c>
      <c r="D421">
        <v>1593.98</v>
      </c>
      <c r="E421">
        <v>0</v>
      </c>
      <c r="F421">
        <v>2</v>
      </c>
      <c r="G421">
        <v>0</v>
      </c>
      <c r="H421">
        <v>1</v>
      </c>
      <c r="I421">
        <v>0</v>
      </c>
      <c r="J421">
        <v>16</v>
      </c>
      <c r="K421" t="str">
        <f t="shared" si="6"/>
        <v>88_2025</v>
      </c>
    </row>
    <row r="422" spans="1:11" x14ac:dyDescent="0.3">
      <c r="A422">
        <v>89</v>
      </c>
      <c r="B422">
        <v>2021</v>
      </c>
      <c r="C422">
        <v>6</v>
      </c>
      <c r="D422">
        <v>15808.17</v>
      </c>
      <c r="E422">
        <v>1</v>
      </c>
      <c r="F422">
        <v>5</v>
      </c>
      <c r="G422">
        <v>1</v>
      </c>
      <c r="H422">
        <v>3</v>
      </c>
      <c r="I422">
        <v>2</v>
      </c>
      <c r="J422">
        <v>50</v>
      </c>
      <c r="K422" t="str">
        <f t="shared" si="6"/>
        <v>89_2021</v>
      </c>
    </row>
    <row r="423" spans="1:11" x14ac:dyDescent="0.3">
      <c r="A423">
        <v>89</v>
      </c>
      <c r="B423">
        <v>2022</v>
      </c>
      <c r="C423">
        <v>6</v>
      </c>
      <c r="D423">
        <v>21460.159999999996</v>
      </c>
      <c r="E423">
        <v>3</v>
      </c>
      <c r="F423">
        <v>4</v>
      </c>
      <c r="G423">
        <v>2</v>
      </c>
      <c r="H423">
        <v>5</v>
      </c>
      <c r="I423">
        <v>1</v>
      </c>
      <c r="J423">
        <v>52</v>
      </c>
      <c r="K423" t="str">
        <f t="shared" si="6"/>
        <v>89_2022</v>
      </c>
    </row>
    <row r="424" spans="1:11" x14ac:dyDescent="0.3">
      <c r="A424">
        <v>89</v>
      </c>
      <c r="B424">
        <v>2023</v>
      </c>
      <c r="C424">
        <v>1</v>
      </c>
      <c r="D424">
        <v>1095.73</v>
      </c>
      <c r="E424">
        <v>0</v>
      </c>
      <c r="F424">
        <v>1</v>
      </c>
      <c r="G424">
        <v>0</v>
      </c>
      <c r="H424">
        <v>0</v>
      </c>
      <c r="I424">
        <v>0</v>
      </c>
      <c r="J424">
        <v>8</v>
      </c>
      <c r="K424" t="str">
        <f t="shared" si="6"/>
        <v>89_2023</v>
      </c>
    </row>
    <row r="425" spans="1:11" x14ac:dyDescent="0.3">
      <c r="A425">
        <v>89</v>
      </c>
      <c r="B425">
        <v>2024</v>
      </c>
      <c r="C425">
        <v>2</v>
      </c>
      <c r="D425">
        <v>4263.45</v>
      </c>
      <c r="E425">
        <v>0</v>
      </c>
      <c r="F425">
        <v>1</v>
      </c>
      <c r="G425">
        <v>1</v>
      </c>
      <c r="H425">
        <v>1</v>
      </c>
      <c r="I425">
        <v>1</v>
      </c>
      <c r="J425">
        <v>19</v>
      </c>
      <c r="K425" t="str">
        <f t="shared" si="6"/>
        <v>89_2024</v>
      </c>
    </row>
    <row r="426" spans="1:11" x14ac:dyDescent="0.3">
      <c r="A426">
        <v>89</v>
      </c>
      <c r="B426">
        <v>2025</v>
      </c>
      <c r="C426">
        <v>3</v>
      </c>
      <c r="D426">
        <v>8515.57</v>
      </c>
      <c r="E426">
        <v>2</v>
      </c>
      <c r="F426">
        <v>2</v>
      </c>
      <c r="G426">
        <v>1</v>
      </c>
      <c r="H426">
        <v>3</v>
      </c>
      <c r="I426">
        <v>1</v>
      </c>
      <c r="J426">
        <v>27</v>
      </c>
      <c r="K426" t="str">
        <f t="shared" si="6"/>
        <v>89_2025</v>
      </c>
    </row>
    <row r="427" spans="1:11" x14ac:dyDescent="0.3">
      <c r="A427">
        <v>90</v>
      </c>
      <c r="B427">
        <v>2021</v>
      </c>
      <c r="C427">
        <v>3</v>
      </c>
      <c r="D427">
        <v>6135.17</v>
      </c>
      <c r="E427">
        <v>0</v>
      </c>
      <c r="F427">
        <v>2</v>
      </c>
      <c r="G427">
        <v>1</v>
      </c>
      <c r="H427">
        <v>2</v>
      </c>
      <c r="I427">
        <v>2</v>
      </c>
      <c r="J427">
        <v>30</v>
      </c>
      <c r="K427" t="str">
        <f t="shared" si="6"/>
        <v>90_2021</v>
      </c>
    </row>
    <row r="428" spans="1:11" x14ac:dyDescent="0.3">
      <c r="A428">
        <v>90</v>
      </c>
      <c r="B428">
        <v>2022</v>
      </c>
      <c r="C428">
        <v>1</v>
      </c>
      <c r="D428">
        <v>1229.42</v>
      </c>
      <c r="E428">
        <v>0</v>
      </c>
      <c r="F428">
        <v>1</v>
      </c>
      <c r="G428">
        <v>0</v>
      </c>
      <c r="H428">
        <v>0</v>
      </c>
      <c r="I428">
        <v>0</v>
      </c>
      <c r="J428">
        <v>3</v>
      </c>
      <c r="K428" t="str">
        <f t="shared" si="6"/>
        <v>90_2022</v>
      </c>
    </row>
    <row r="429" spans="1:11" x14ac:dyDescent="0.3">
      <c r="A429">
        <v>90</v>
      </c>
      <c r="B429">
        <v>2023</v>
      </c>
      <c r="C429">
        <v>3</v>
      </c>
      <c r="D429">
        <v>4325.7299999999996</v>
      </c>
      <c r="E429">
        <v>1</v>
      </c>
      <c r="F429">
        <v>1</v>
      </c>
      <c r="G429">
        <v>2</v>
      </c>
      <c r="H429">
        <v>1</v>
      </c>
      <c r="I429">
        <v>2</v>
      </c>
      <c r="J429">
        <v>31</v>
      </c>
      <c r="K429" t="str">
        <f t="shared" si="6"/>
        <v>90_2023</v>
      </c>
    </row>
    <row r="430" spans="1:11" x14ac:dyDescent="0.3">
      <c r="A430">
        <v>90</v>
      </c>
      <c r="B430">
        <v>2024</v>
      </c>
      <c r="C430">
        <v>3</v>
      </c>
      <c r="D430">
        <v>3972.97</v>
      </c>
      <c r="E430">
        <v>1</v>
      </c>
      <c r="F430">
        <v>1</v>
      </c>
      <c r="G430">
        <v>2</v>
      </c>
      <c r="H430">
        <v>2</v>
      </c>
      <c r="I430">
        <v>1</v>
      </c>
      <c r="J430">
        <v>27</v>
      </c>
      <c r="K430" t="str">
        <f t="shared" si="6"/>
        <v>90_2024</v>
      </c>
    </row>
    <row r="431" spans="1:11" x14ac:dyDescent="0.3">
      <c r="A431">
        <v>90</v>
      </c>
      <c r="B431">
        <v>2025</v>
      </c>
      <c r="C431">
        <v>2</v>
      </c>
      <c r="D431">
        <v>1401.8200000000002</v>
      </c>
      <c r="E431">
        <v>0</v>
      </c>
      <c r="F431">
        <v>1</v>
      </c>
      <c r="G431">
        <v>1</v>
      </c>
      <c r="H431">
        <v>0</v>
      </c>
      <c r="I431">
        <v>1</v>
      </c>
      <c r="J431">
        <v>13</v>
      </c>
      <c r="K431" t="str">
        <f t="shared" si="6"/>
        <v>90_2025</v>
      </c>
    </row>
    <row r="432" spans="1:11" x14ac:dyDescent="0.3">
      <c r="A432">
        <v>91</v>
      </c>
      <c r="B432">
        <v>2021</v>
      </c>
      <c r="C432">
        <v>4</v>
      </c>
      <c r="D432">
        <v>5608.97</v>
      </c>
      <c r="E432">
        <v>0</v>
      </c>
      <c r="F432">
        <v>2</v>
      </c>
      <c r="G432">
        <v>2</v>
      </c>
      <c r="H432">
        <v>2</v>
      </c>
      <c r="I432">
        <v>1</v>
      </c>
      <c r="J432">
        <v>28</v>
      </c>
      <c r="K432" t="str">
        <f t="shared" si="6"/>
        <v>91_2021</v>
      </c>
    </row>
    <row r="433" spans="1:11" x14ac:dyDescent="0.3">
      <c r="A433">
        <v>91</v>
      </c>
      <c r="B433">
        <v>2022</v>
      </c>
      <c r="C433">
        <v>5</v>
      </c>
      <c r="D433">
        <v>6375.24</v>
      </c>
      <c r="E433">
        <v>0</v>
      </c>
      <c r="F433">
        <v>2</v>
      </c>
      <c r="G433">
        <v>3</v>
      </c>
      <c r="H433">
        <v>2</v>
      </c>
      <c r="I433">
        <v>2</v>
      </c>
      <c r="J433">
        <v>51</v>
      </c>
      <c r="K433" t="str">
        <f t="shared" si="6"/>
        <v>91_2022</v>
      </c>
    </row>
    <row r="434" spans="1:11" x14ac:dyDescent="0.3">
      <c r="A434">
        <v>91</v>
      </c>
      <c r="B434">
        <v>2023</v>
      </c>
      <c r="C434">
        <v>3</v>
      </c>
      <c r="D434">
        <v>8756.36</v>
      </c>
      <c r="E434">
        <v>2</v>
      </c>
      <c r="F434">
        <v>0</v>
      </c>
      <c r="G434">
        <v>3</v>
      </c>
      <c r="H434">
        <v>3</v>
      </c>
      <c r="I434">
        <v>3</v>
      </c>
      <c r="J434">
        <v>35</v>
      </c>
      <c r="K434" t="str">
        <f t="shared" si="6"/>
        <v>91_2023</v>
      </c>
    </row>
    <row r="435" spans="1:11" x14ac:dyDescent="0.3">
      <c r="A435">
        <v>91</v>
      </c>
      <c r="B435">
        <v>2024</v>
      </c>
      <c r="C435">
        <v>3</v>
      </c>
      <c r="D435">
        <v>2042.26</v>
      </c>
      <c r="E435">
        <v>0</v>
      </c>
      <c r="F435">
        <v>3</v>
      </c>
      <c r="G435">
        <v>0</v>
      </c>
      <c r="H435">
        <v>0</v>
      </c>
      <c r="I435">
        <v>1</v>
      </c>
      <c r="J435">
        <v>29</v>
      </c>
      <c r="K435" t="str">
        <f t="shared" si="6"/>
        <v>91_2024</v>
      </c>
    </row>
    <row r="436" spans="1:11" x14ac:dyDescent="0.3">
      <c r="A436">
        <v>91</v>
      </c>
      <c r="B436">
        <v>2025</v>
      </c>
      <c r="C436">
        <v>5</v>
      </c>
      <c r="D436">
        <v>8855.75</v>
      </c>
      <c r="E436">
        <v>3</v>
      </c>
      <c r="F436">
        <v>3</v>
      </c>
      <c r="G436">
        <v>2</v>
      </c>
      <c r="H436">
        <v>2</v>
      </c>
      <c r="I436">
        <v>2</v>
      </c>
      <c r="J436">
        <v>42</v>
      </c>
      <c r="K436" t="str">
        <f t="shared" si="6"/>
        <v>91_2025</v>
      </c>
    </row>
    <row r="437" spans="1:11" x14ac:dyDescent="0.3">
      <c r="A437">
        <v>92</v>
      </c>
      <c r="B437">
        <v>2021</v>
      </c>
      <c r="C437">
        <v>3</v>
      </c>
      <c r="D437">
        <v>14370.699999999999</v>
      </c>
      <c r="E437">
        <v>0</v>
      </c>
      <c r="F437">
        <v>2</v>
      </c>
      <c r="G437">
        <v>1</v>
      </c>
      <c r="H437">
        <v>3</v>
      </c>
      <c r="I437">
        <v>1</v>
      </c>
      <c r="J437">
        <v>18</v>
      </c>
      <c r="K437" t="str">
        <f t="shared" si="6"/>
        <v>92_2021</v>
      </c>
    </row>
    <row r="438" spans="1:11" x14ac:dyDescent="0.3">
      <c r="A438">
        <v>92</v>
      </c>
      <c r="B438">
        <v>2022</v>
      </c>
      <c r="C438">
        <v>4</v>
      </c>
      <c r="D438">
        <v>8165.26</v>
      </c>
      <c r="E438">
        <v>1</v>
      </c>
      <c r="F438">
        <v>2</v>
      </c>
      <c r="G438">
        <v>2</v>
      </c>
      <c r="H438">
        <v>3</v>
      </c>
      <c r="I438">
        <v>2</v>
      </c>
      <c r="J438">
        <v>27</v>
      </c>
      <c r="K438" t="str">
        <f t="shared" si="6"/>
        <v>92_2022</v>
      </c>
    </row>
    <row r="439" spans="1:11" x14ac:dyDescent="0.3">
      <c r="A439">
        <v>92</v>
      </c>
      <c r="B439">
        <v>2023</v>
      </c>
      <c r="C439">
        <v>2</v>
      </c>
      <c r="D439">
        <v>8140.87</v>
      </c>
      <c r="E439">
        <v>1</v>
      </c>
      <c r="F439">
        <v>0</v>
      </c>
      <c r="G439">
        <v>2</v>
      </c>
      <c r="H439">
        <v>2</v>
      </c>
      <c r="I439">
        <v>1</v>
      </c>
      <c r="J439">
        <v>17</v>
      </c>
      <c r="K439" t="str">
        <f t="shared" si="6"/>
        <v>92_2023</v>
      </c>
    </row>
    <row r="440" spans="1:11" x14ac:dyDescent="0.3">
      <c r="A440">
        <v>92</v>
      </c>
      <c r="B440">
        <v>2024</v>
      </c>
      <c r="C440">
        <v>1</v>
      </c>
      <c r="D440">
        <v>519.15</v>
      </c>
      <c r="E440">
        <v>0</v>
      </c>
      <c r="F440">
        <v>1</v>
      </c>
      <c r="G440">
        <v>0</v>
      </c>
      <c r="H440">
        <v>0</v>
      </c>
      <c r="I440">
        <v>0</v>
      </c>
      <c r="J440">
        <v>12</v>
      </c>
      <c r="K440" t="str">
        <f t="shared" si="6"/>
        <v>92_2024</v>
      </c>
    </row>
    <row r="441" spans="1:11" x14ac:dyDescent="0.3">
      <c r="A441">
        <v>92</v>
      </c>
      <c r="B441">
        <v>2025</v>
      </c>
      <c r="C441">
        <v>3</v>
      </c>
      <c r="D441">
        <v>5452.19</v>
      </c>
      <c r="E441">
        <v>2</v>
      </c>
      <c r="F441">
        <v>1</v>
      </c>
      <c r="G441">
        <v>2</v>
      </c>
      <c r="H441">
        <v>3</v>
      </c>
      <c r="I441">
        <v>2</v>
      </c>
      <c r="J441">
        <v>34</v>
      </c>
      <c r="K441" t="str">
        <f t="shared" si="6"/>
        <v>92_2025</v>
      </c>
    </row>
    <row r="442" spans="1:11" x14ac:dyDescent="0.3">
      <c r="A442">
        <v>93</v>
      </c>
      <c r="B442">
        <v>2021</v>
      </c>
      <c r="C442">
        <v>6</v>
      </c>
      <c r="D442">
        <v>19409.819999999996</v>
      </c>
      <c r="E442">
        <v>2</v>
      </c>
      <c r="F442">
        <v>2</v>
      </c>
      <c r="G442">
        <v>4</v>
      </c>
      <c r="H442">
        <v>5</v>
      </c>
      <c r="I442">
        <v>5</v>
      </c>
      <c r="J442">
        <v>65</v>
      </c>
      <c r="K442" t="str">
        <f t="shared" si="6"/>
        <v>93_2021</v>
      </c>
    </row>
    <row r="443" spans="1:11" x14ac:dyDescent="0.3">
      <c r="A443">
        <v>93</v>
      </c>
      <c r="B443">
        <v>2022</v>
      </c>
      <c r="C443">
        <v>3</v>
      </c>
      <c r="D443">
        <v>4344.08</v>
      </c>
      <c r="E443">
        <v>1</v>
      </c>
      <c r="F443">
        <v>3</v>
      </c>
      <c r="G443">
        <v>0</v>
      </c>
      <c r="H443">
        <v>1</v>
      </c>
      <c r="I443">
        <v>0</v>
      </c>
      <c r="J443">
        <v>35</v>
      </c>
      <c r="K443" t="str">
        <f t="shared" si="6"/>
        <v>93_2022</v>
      </c>
    </row>
    <row r="444" spans="1:11" x14ac:dyDescent="0.3">
      <c r="A444">
        <v>93</v>
      </c>
      <c r="B444">
        <v>2023</v>
      </c>
      <c r="C444">
        <v>2</v>
      </c>
      <c r="D444">
        <v>1062.46</v>
      </c>
      <c r="E444">
        <v>0</v>
      </c>
      <c r="F444">
        <v>2</v>
      </c>
      <c r="G444">
        <v>0</v>
      </c>
      <c r="H444">
        <v>0</v>
      </c>
      <c r="I444">
        <v>0</v>
      </c>
      <c r="J444">
        <v>4</v>
      </c>
      <c r="K444" t="str">
        <f t="shared" si="6"/>
        <v>93_2023</v>
      </c>
    </row>
    <row r="445" spans="1:11" x14ac:dyDescent="0.3">
      <c r="A445">
        <v>93</v>
      </c>
      <c r="B445">
        <v>2024</v>
      </c>
      <c r="C445">
        <v>4</v>
      </c>
      <c r="D445">
        <v>13481.099999999999</v>
      </c>
      <c r="E445">
        <v>2</v>
      </c>
      <c r="F445">
        <v>2</v>
      </c>
      <c r="G445">
        <v>2</v>
      </c>
      <c r="H445">
        <v>3</v>
      </c>
      <c r="I445">
        <v>4</v>
      </c>
      <c r="J445">
        <v>25</v>
      </c>
      <c r="K445" t="str">
        <f t="shared" si="6"/>
        <v>93_2024</v>
      </c>
    </row>
    <row r="446" spans="1:11" x14ac:dyDescent="0.3">
      <c r="A446">
        <v>93</v>
      </c>
      <c r="B446">
        <v>2025</v>
      </c>
      <c r="C446">
        <v>6</v>
      </c>
      <c r="D446">
        <v>15848.660000000002</v>
      </c>
      <c r="E446">
        <v>2</v>
      </c>
      <c r="F446">
        <v>4</v>
      </c>
      <c r="G446">
        <v>2</v>
      </c>
      <c r="H446">
        <v>3</v>
      </c>
      <c r="I446">
        <v>2</v>
      </c>
      <c r="J446">
        <v>50</v>
      </c>
      <c r="K446" t="str">
        <f t="shared" si="6"/>
        <v>93_2025</v>
      </c>
    </row>
    <row r="447" spans="1:11" x14ac:dyDescent="0.3">
      <c r="A447">
        <v>94</v>
      </c>
      <c r="B447">
        <v>2021</v>
      </c>
      <c r="C447">
        <v>3</v>
      </c>
      <c r="D447">
        <v>10838.8</v>
      </c>
      <c r="E447">
        <v>0</v>
      </c>
      <c r="F447">
        <v>2</v>
      </c>
      <c r="G447">
        <v>1</v>
      </c>
      <c r="H447">
        <v>3</v>
      </c>
      <c r="I447">
        <v>0</v>
      </c>
      <c r="J447">
        <v>22</v>
      </c>
      <c r="K447" t="str">
        <f t="shared" si="6"/>
        <v>94_2021</v>
      </c>
    </row>
    <row r="448" spans="1:11" x14ac:dyDescent="0.3">
      <c r="A448">
        <v>94</v>
      </c>
      <c r="B448">
        <v>2022</v>
      </c>
      <c r="C448">
        <v>6</v>
      </c>
      <c r="D448">
        <v>16718.72</v>
      </c>
      <c r="E448">
        <v>3</v>
      </c>
      <c r="F448">
        <v>3</v>
      </c>
      <c r="G448">
        <v>3</v>
      </c>
      <c r="H448">
        <v>3</v>
      </c>
      <c r="I448">
        <v>1</v>
      </c>
      <c r="J448">
        <v>51</v>
      </c>
      <c r="K448" t="str">
        <f t="shared" si="6"/>
        <v>94_2022</v>
      </c>
    </row>
    <row r="449" spans="1:11" x14ac:dyDescent="0.3">
      <c r="A449">
        <v>94</v>
      </c>
      <c r="B449">
        <v>2023</v>
      </c>
      <c r="C449">
        <v>3</v>
      </c>
      <c r="D449">
        <v>6660.9000000000005</v>
      </c>
      <c r="E449">
        <v>0</v>
      </c>
      <c r="F449">
        <v>0</v>
      </c>
      <c r="G449">
        <v>3</v>
      </c>
      <c r="H449">
        <v>2</v>
      </c>
      <c r="I449">
        <v>2</v>
      </c>
      <c r="J449">
        <v>19</v>
      </c>
      <c r="K449" t="str">
        <f t="shared" si="6"/>
        <v>94_2023</v>
      </c>
    </row>
    <row r="450" spans="1:11" x14ac:dyDescent="0.3">
      <c r="A450">
        <v>94</v>
      </c>
      <c r="B450">
        <v>2024</v>
      </c>
      <c r="C450">
        <v>5</v>
      </c>
      <c r="D450">
        <v>23480.42</v>
      </c>
      <c r="E450">
        <v>1</v>
      </c>
      <c r="F450">
        <v>1</v>
      </c>
      <c r="G450">
        <v>4</v>
      </c>
      <c r="H450">
        <v>4</v>
      </c>
      <c r="I450">
        <v>2</v>
      </c>
      <c r="J450">
        <v>42</v>
      </c>
      <c r="K450" t="str">
        <f t="shared" ref="K450:K480" si="7">A450&amp;"_"&amp;B450</f>
        <v>94_2024</v>
      </c>
    </row>
    <row r="451" spans="1:11" x14ac:dyDescent="0.3">
      <c r="A451">
        <v>94</v>
      </c>
      <c r="B451">
        <v>2025</v>
      </c>
      <c r="C451">
        <v>2</v>
      </c>
      <c r="D451">
        <v>2846.83</v>
      </c>
      <c r="E451">
        <v>0</v>
      </c>
      <c r="F451">
        <v>2</v>
      </c>
      <c r="G451">
        <v>0</v>
      </c>
      <c r="H451">
        <v>1</v>
      </c>
      <c r="I451">
        <v>0</v>
      </c>
      <c r="J451">
        <v>12</v>
      </c>
      <c r="K451" t="str">
        <f t="shared" si="7"/>
        <v>94_2025</v>
      </c>
    </row>
    <row r="452" spans="1:11" x14ac:dyDescent="0.3">
      <c r="A452">
        <v>95</v>
      </c>
      <c r="B452">
        <v>2021</v>
      </c>
      <c r="C452">
        <v>3</v>
      </c>
      <c r="D452">
        <v>11878.34</v>
      </c>
      <c r="E452">
        <v>2</v>
      </c>
      <c r="F452">
        <v>0</v>
      </c>
      <c r="G452">
        <v>3</v>
      </c>
      <c r="H452">
        <v>3</v>
      </c>
      <c r="I452">
        <v>1</v>
      </c>
      <c r="J452">
        <v>35</v>
      </c>
      <c r="K452" t="str">
        <f t="shared" si="7"/>
        <v>95_2021</v>
      </c>
    </row>
    <row r="453" spans="1:11" x14ac:dyDescent="0.3">
      <c r="A453">
        <v>95</v>
      </c>
      <c r="B453">
        <v>2022</v>
      </c>
      <c r="C453">
        <v>3</v>
      </c>
      <c r="D453">
        <v>2022.55</v>
      </c>
      <c r="E453">
        <v>0</v>
      </c>
      <c r="F453">
        <v>2</v>
      </c>
      <c r="G453">
        <v>1</v>
      </c>
      <c r="H453">
        <v>0</v>
      </c>
      <c r="I453">
        <v>1</v>
      </c>
      <c r="J453">
        <v>16</v>
      </c>
      <c r="K453" t="str">
        <f t="shared" si="7"/>
        <v>95_2022</v>
      </c>
    </row>
    <row r="454" spans="1:11" x14ac:dyDescent="0.3">
      <c r="A454">
        <v>95</v>
      </c>
      <c r="B454">
        <v>2023</v>
      </c>
      <c r="C454">
        <v>3</v>
      </c>
      <c r="D454">
        <v>7629.52</v>
      </c>
      <c r="E454">
        <v>0</v>
      </c>
      <c r="F454">
        <v>2</v>
      </c>
      <c r="G454">
        <v>1</v>
      </c>
      <c r="H454">
        <v>2</v>
      </c>
      <c r="I454">
        <v>2</v>
      </c>
      <c r="J454">
        <v>22</v>
      </c>
      <c r="K454" t="str">
        <f t="shared" si="7"/>
        <v>95_2023</v>
      </c>
    </row>
    <row r="455" spans="1:11" x14ac:dyDescent="0.3">
      <c r="A455">
        <v>95</v>
      </c>
      <c r="B455">
        <v>2024</v>
      </c>
      <c r="C455">
        <v>6</v>
      </c>
      <c r="D455">
        <v>8735.42</v>
      </c>
      <c r="E455">
        <v>3</v>
      </c>
      <c r="F455">
        <v>4</v>
      </c>
      <c r="G455">
        <v>2</v>
      </c>
      <c r="H455">
        <v>3</v>
      </c>
      <c r="I455">
        <v>3</v>
      </c>
      <c r="J455">
        <v>67</v>
      </c>
      <c r="K455" t="str">
        <f t="shared" si="7"/>
        <v>95_2024</v>
      </c>
    </row>
    <row r="456" spans="1:11" x14ac:dyDescent="0.3">
      <c r="A456">
        <v>95</v>
      </c>
      <c r="B456">
        <v>2025</v>
      </c>
      <c r="C456">
        <v>6</v>
      </c>
      <c r="D456">
        <v>14642.04</v>
      </c>
      <c r="E456">
        <v>4</v>
      </c>
      <c r="F456">
        <v>3</v>
      </c>
      <c r="G456">
        <v>3</v>
      </c>
      <c r="H456">
        <v>5</v>
      </c>
      <c r="I456">
        <v>1</v>
      </c>
      <c r="J456">
        <v>62</v>
      </c>
      <c r="K456" t="str">
        <f t="shared" si="7"/>
        <v>95_2025</v>
      </c>
    </row>
    <row r="457" spans="1:11" x14ac:dyDescent="0.3">
      <c r="A457">
        <v>96</v>
      </c>
      <c r="B457">
        <v>2021</v>
      </c>
      <c r="C457">
        <v>2</v>
      </c>
      <c r="D457">
        <v>2290.35</v>
      </c>
      <c r="E457">
        <v>1</v>
      </c>
      <c r="F457">
        <v>2</v>
      </c>
      <c r="G457">
        <v>0</v>
      </c>
      <c r="H457">
        <v>1</v>
      </c>
      <c r="I457">
        <v>1</v>
      </c>
      <c r="J457">
        <v>18</v>
      </c>
      <c r="K457" t="str">
        <f t="shared" si="7"/>
        <v>96_2021</v>
      </c>
    </row>
    <row r="458" spans="1:11" x14ac:dyDescent="0.3">
      <c r="A458">
        <v>96</v>
      </c>
      <c r="B458">
        <v>2022</v>
      </c>
      <c r="C458">
        <v>3</v>
      </c>
      <c r="D458">
        <v>7187.0599999999995</v>
      </c>
      <c r="E458">
        <v>1</v>
      </c>
      <c r="F458">
        <v>2</v>
      </c>
      <c r="G458">
        <v>1</v>
      </c>
      <c r="H458">
        <v>1</v>
      </c>
      <c r="I458">
        <v>0</v>
      </c>
      <c r="J458">
        <v>28</v>
      </c>
      <c r="K458" t="str">
        <f t="shared" si="7"/>
        <v>96_2022</v>
      </c>
    </row>
    <row r="459" spans="1:11" x14ac:dyDescent="0.3">
      <c r="A459">
        <v>96</v>
      </c>
      <c r="B459">
        <v>2023</v>
      </c>
      <c r="C459">
        <v>3</v>
      </c>
      <c r="D459">
        <v>11775.939999999999</v>
      </c>
      <c r="E459">
        <v>2</v>
      </c>
      <c r="F459">
        <v>2</v>
      </c>
      <c r="G459">
        <v>1</v>
      </c>
      <c r="H459">
        <v>3</v>
      </c>
      <c r="I459">
        <v>2</v>
      </c>
      <c r="J459">
        <v>29</v>
      </c>
      <c r="K459" t="str">
        <f t="shared" si="7"/>
        <v>96_2023</v>
      </c>
    </row>
    <row r="460" spans="1:11" x14ac:dyDescent="0.3">
      <c r="A460">
        <v>96</v>
      </c>
      <c r="B460">
        <v>2024</v>
      </c>
      <c r="C460">
        <v>4</v>
      </c>
      <c r="D460">
        <v>10738.89</v>
      </c>
      <c r="E460">
        <v>3</v>
      </c>
      <c r="F460">
        <v>1</v>
      </c>
      <c r="G460">
        <v>3</v>
      </c>
      <c r="H460">
        <v>3</v>
      </c>
      <c r="I460">
        <v>2</v>
      </c>
      <c r="J460">
        <v>32</v>
      </c>
      <c r="K460" t="str">
        <f t="shared" si="7"/>
        <v>96_2024</v>
      </c>
    </row>
    <row r="461" spans="1:11" x14ac:dyDescent="0.3">
      <c r="A461">
        <v>96</v>
      </c>
      <c r="B461">
        <v>2025</v>
      </c>
      <c r="C461">
        <v>3</v>
      </c>
      <c r="D461">
        <v>4624.3999999999996</v>
      </c>
      <c r="E461">
        <v>2</v>
      </c>
      <c r="F461">
        <v>2</v>
      </c>
      <c r="G461">
        <v>1</v>
      </c>
      <c r="H461">
        <v>3</v>
      </c>
      <c r="I461">
        <v>1</v>
      </c>
      <c r="J461">
        <v>43</v>
      </c>
      <c r="K461" t="str">
        <f t="shared" si="7"/>
        <v>96_2025</v>
      </c>
    </row>
    <row r="462" spans="1:11" x14ac:dyDescent="0.3">
      <c r="A462">
        <v>97</v>
      </c>
      <c r="B462">
        <v>2021</v>
      </c>
      <c r="C462">
        <v>3</v>
      </c>
      <c r="D462">
        <v>5537.24</v>
      </c>
      <c r="E462">
        <v>2</v>
      </c>
      <c r="F462">
        <v>1</v>
      </c>
      <c r="G462">
        <v>2</v>
      </c>
      <c r="H462">
        <v>2</v>
      </c>
      <c r="I462">
        <v>2</v>
      </c>
      <c r="J462">
        <v>20</v>
      </c>
      <c r="K462" t="str">
        <f t="shared" si="7"/>
        <v>97_2021</v>
      </c>
    </row>
    <row r="463" spans="1:11" x14ac:dyDescent="0.3">
      <c r="A463">
        <v>97</v>
      </c>
      <c r="B463">
        <v>2022</v>
      </c>
      <c r="C463">
        <v>5</v>
      </c>
      <c r="D463">
        <v>22000.81</v>
      </c>
      <c r="E463">
        <v>1</v>
      </c>
      <c r="F463">
        <v>3</v>
      </c>
      <c r="G463">
        <v>2</v>
      </c>
      <c r="H463">
        <v>5</v>
      </c>
      <c r="I463">
        <v>1</v>
      </c>
      <c r="J463">
        <v>31</v>
      </c>
      <c r="K463" t="str">
        <f t="shared" si="7"/>
        <v>97_2022</v>
      </c>
    </row>
    <row r="464" spans="1:11" x14ac:dyDescent="0.3">
      <c r="A464">
        <v>97</v>
      </c>
      <c r="B464">
        <v>2023</v>
      </c>
      <c r="C464">
        <v>5</v>
      </c>
      <c r="D464">
        <v>20553.490000000002</v>
      </c>
      <c r="E464">
        <v>3</v>
      </c>
      <c r="F464">
        <v>1</v>
      </c>
      <c r="G464">
        <v>4</v>
      </c>
      <c r="H464">
        <v>5</v>
      </c>
      <c r="I464">
        <v>3</v>
      </c>
      <c r="J464">
        <v>52</v>
      </c>
      <c r="K464" t="str">
        <f t="shared" si="7"/>
        <v>97_2023</v>
      </c>
    </row>
    <row r="465" spans="1:11" x14ac:dyDescent="0.3">
      <c r="A465">
        <v>97</v>
      </c>
      <c r="B465">
        <v>2024</v>
      </c>
      <c r="C465">
        <v>4</v>
      </c>
      <c r="D465">
        <v>12123.759999999998</v>
      </c>
      <c r="E465">
        <v>0</v>
      </c>
      <c r="F465">
        <v>2</v>
      </c>
      <c r="G465">
        <v>2</v>
      </c>
      <c r="H465">
        <v>3</v>
      </c>
      <c r="I465">
        <v>2</v>
      </c>
      <c r="J465">
        <v>60</v>
      </c>
      <c r="K465" t="str">
        <f t="shared" si="7"/>
        <v>97_2024</v>
      </c>
    </row>
    <row r="466" spans="1:11" x14ac:dyDescent="0.3">
      <c r="A466">
        <v>97</v>
      </c>
      <c r="B466">
        <v>2025</v>
      </c>
      <c r="C466">
        <v>4</v>
      </c>
      <c r="D466">
        <v>14094.210000000001</v>
      </c>
      <c r="E466">
        <v>4</v>
      </c>
      <c r="F466">
        <v>2</v>
      </c>
      <c r="G466">
        <v>2</v>
      </c>
      <c r="H466">
        <v>3</v>
      </c>
      <c r="I466">
        <v>1</v>
      </c>
      <c r="J466">
        <v>46</v>
      </c>
      <c r="K466" t="str">
        <f t="shared" si="7"/>
        <v>97_2025</v>
      </c>
    </row>
    <row r="467" spans="1:11" x14ac:dyDescent="0.3">
      <c r="A467">
        <v>98</v>
      </c>
      <c r="B467">
        <v>2021</v>
      </c>
      <c r="C467">
        <v>1</v>
      </c>
      <c r="D467">
        <v>370.26</v>
      </c>
      <c r="E467">
        <v>0</v>
      </c>
      <c r="F467">
        <v>1</v>
      </c>
      <c r="G467">
        <v>0</v>
      </c>
      <c r="H467">
        <v>0</v>
      </c>
      <c r="I467">
        <v>0</v>
      </c>
      <c r="J467">
        <v>4</v>
      </c>
      <c r="K467" t="str">
        <f t="shared" si="7"/>
        <v>98_2021</v>
      </c>
    </row>
    <row r="468" spans="1:11" x14ac:dyDescent="0.3">
      <c r="A468">
        <v>98</v>
      </c>
      <c r="B468">
        <v>2022</v>
      </c>
      <c r="C468">
        <v>1</v>
      </c>
      <c r="D468">
        <v>2923.98</v>
      </c>
      <c r="E468">
        <v>0</v>
      </c>
      <c r="F468">
        <v>0</v>
      </c>
      <c r="G468">
        <v>1</v>
      </c>
      <c r="H468">
        <v>1</v>
      </c>
      <c r="I468">
        <v>1</v>
      </c>
      <c r="J468">
        <v>2</v>
      </c>
      <c r="K468" t="str">
        <f t="shared" si="7"/>
        <v>98_2022</v>
      </c>
    </row>
    <row r="469" spans="1:11" x14ac:dyDescent="0.3">
      <c r="A469">
        <v>98</v>
      </c>
      <c r="B469">
        <v>2023</v>
      </c>
      <c r="C469">
        <v>6</v>
      </c>
      <c r="D469">
        <v>21353.66</v>
      </c>
      <c r="E469">
        <v>1</v>
      </c>
      <c r="F469">
        <v>5</v>
      </c>
      <c r="G469">
        <v>1</v>
      </c>
      <c r="H469">
        <v>4</v>
      </c>
      <c r="I469">
        <v>2</v>
      </c>
      <c r="J469">
        <v>50</v>
      </c>
      <c r="K469" t="str">
        <f t="shared" si="7"/>
        <v>98_2023</v>
      </c>
    </row>
    <row r="470" spans="1:11" x14ac:dyDescent="0.3">
      <c r="A470">
        <v>98</v>
      </c>
      <c r="B470">
        <v>2024</v>
      </c>
      <c r="C470">
        <v>5</v>
      </c>
      <c r="D470">
        <v>17434.04</v>
      </c>
      <c r="E470">
        <v>3</v>
      </c>
      <c r="F470">
        <v>3</v>
      </c>
      <c r="G470">
        <v>2</v>
      </c>
      <c r="H470">
        <v>4</v>
      </c>
      <c r="I470">
        <v>1</v>
      </c>
      <c r="J470">
        <v>39</v>
      </c>
      <c r="K470" t="str">
        <f t="shared" si="7"/>
        <v>98_2024</v>
      </c>
    </row>
    <row r="471" spans="1:11" x14ac:dyDescent="0.3">
      <c r="A471">
        <v>98</v>
      </c>
      <c r="B471">
        <v>2025</v>
      </c>
      <c r="C471">
        <v>2</v>
      </c>
      <c r="D471">
        <v>1513.78</v>
      </c>
      <c r="E471">
        <v>0</v>
      </c>
      <c r="F471">
        <v>2</v>
      </c>
      <c r="G471">
        <v>0</v>
      </c>
      <c r="H471">
        <v>0</v>
      </c>
      <c r="I471">
        <v>0</v>
      </c>
      <c r="J471">
        <v>9</v>
      </c>
      <c r="K471" t="str">
        <f t="shared" si="7"/>
        <v>98_2025</v>
      </c>
    </row>
    <row r="472" spans="1:11" x14ac:dyDescent="0.3">
      <c r="A472">
        <v>99</v>
      </c>
      <c r="B472">
        <v>2021</v>
      </c>
      <c r="C472">
        <v>3</v>
      </c>
      <c r="D472">
        <v>2418.3399999999997</v>
      </c>
      <c r="E472">
        <v>0</v>
      </c>
      <c r="F472">
        <v>2</v>
      </c>
      <c r="G472">
        <v>1</v>
      </c>
      <c r="H472">
        <v>0</v>
      </c>
      <c r="I472">
        <v>1</v>
      </c>
      <c r="J472">
        <v>12</v>
      </c>
      <c r="K472" t="str">
        <f t="shared" si="7"/>
        <v>99_2021</v>
      </c>
    </row>
    <row r="473" spans="1:11" x14ac:dyDescent="0.3">
      <c r="A473">
        <v>99</v>
      </c>
      <c r="B473">
        <v>2022</v>
      </c>
      <c r="C473">
        <v>4</v>
      </c>
      <c r="D473">
        <v>13308.3</v>
      </c>
      <c r="E473">
        <v>0</v>
      </c>
      <c r="F473">
        <v>1</v>
      </c>
      <c r="G473">
        <v>3</v>
      </c>
      <c r="H473">
        <v>4</v>
      </c>
      <c r="I473">
        <v>2</v>
      </c>
      <c r="J473">
        <v>53</v>
      </c>
      <c r="K473" t="str">
        <f t="shared" si="7"/>
        <v>99_2022</v>
      </c>
    </row>
    <row r="474" spans="1:11" x14ac:dyDescent="0.3">
      <c r="A474">
        <v>99</v>
      </c>
      <c r="B474">
        <v>2023</v>
      </c>
      <c r="C474">
        <v>6</v>
      </c>
      <c r="D474">
        <v>19743.989999999998</v>
      </c>
      <c r="E474">
        <v>3</v>
      </c>
      <c r="F474">
        <v>2</v>
      </c>
      <c r="G474">
        <v>4</v>
      </c>
      <c r="H474">
        <v>5</v>
      </c>
      <c r="I474">
        <v>2</v>
      </c>
      <c r="J474">
        <v>51</v>
      </c>
      <c r="K474" t="str">
        <f t="shared" si="7"/>
        <v>99_2023</v>
      </c>
    </row>
    <row r="475" spans="1:11" x14ac:dyDescent="0.3">
      <c r="A475">
        <v>99</v>
      </c>
      <c r="B475">
        <v>2024</v>
      </c>
      <c r="C475">
        <v>4</v>
      </c>
      <c r="D475">
        <v>11568.22</v>
      </c>
      <c r="E475">
        <v>0</v>
      </c>
      <c r="F475">
        <v>3</v>
      </c>
      <c r="G475">
        <v>1</v>
      </c>
      <c r="H475">
        <v>4</v>
      </c>
      <c r="I475">
        <v>0</v>
      </c>
      <c r="J475">
        <v>44</v>
      </c>
      <c r="K475" t="str">
        <f t="shared" si="7"/>
        <v>99_2024</v>
      </c>
    </row>
    <row r="476" spans="1:11" x14ac:dyDescent="0.3">
      <c r="A476">
        <v>99</v>
      </c>
      <c r="B476">
        <v>2025</v>
      </c>
      <c r="C476">
        <v>4</v>
      </c>
      <c r="D476">
        <v>15585.21</v>
      </c>
      <c r="E476">
        <v>0</v>
      </c>
      <c r="F476">
        <v>2</v>
      </c>
      <c r="G476">
        <v>2</v>
      </c>
      <c r="H476">
        <v>4</v>
      </c>
      <c r="I476">
        <v>1</v>
      </c>
      <c r="J476">
        <v>26</v>
      </c>
      <c r="K476" t="str">
        <f t="shared" si="7"/>
        <v>99_2025</v>
      </c>
    </row>
    <row r="477" spans="1:11" x14ac:dyDescent="0.3">
      <c r="A477">
        <v>100</v>
      </c>
      <c r="B477">
        <v>2021</v>
      </c>
      <c r="C477">
        <v>3</v>
      </c>
      <c r="D477">
        <v>3181.16</v>
      </c>
      <c r="E477">
        <v>0</v>
      </c>
      <c r="F477">
        <v>3</v>
      </c>
      <c r="G477">
        <v>0</v>
      </c>
      <c r="H477">
        <v>1</v>
      </c>
      <c r="I477">
        <v>1</v>
      </c>
      <c r="J477">
        <v>14</v>
      </c>
      <c r="K477" t="str">
        <f t="shared" si="7"/>
        <v>100_2021</v>
      </c>
    </row>
    <row r="478" spans="1:11" x14ac:dyDescent="0.3">
      <c r="A478">
        <v>100</v>
      </c>
      <c r="B478">
        <v>2022</v>
      </c>
      <c r="C478">
        <v>6</v>
      </c>
      <c r="D478">
        <v>26594.059999999998</v>
      </c>
      <c r="E478">
        <v>4</v>
      </c>
      <c r="F478">
        <v>1</v>
      </c>
      <c r="G478">
        <v>5</v>
      </c>
      <c r="H478">
        <v>4</v>
      </c>
      <c r="I478">
        <v>3</v>
      </c>
      <c r="J478">
        <v>36</v>
      </c>
      <c r="K478" t="str">
        <f t="shared" si="7"/>
        <v>100_2022</v>
      </c>
    </row>
    <row r="479" spans="1:11" x14ac:dyDescent="0.3">
      <c r="A479">
        <v>100</v>
      </c>
      <c r="B479">
        <v>2023</v>
      </c>
      <c r="C479">
        <v>1</v>
      </c>
      <c r="D479">
        <v>539.64</v>
      </c>
      <c r="E479">
        <v>0</v>
      </c>
      <c r="F479">
        <v>1</v>
      </c>
      <c r="G479">
        <v>0</v>
      </c>
      <c r="H479">
        <v>0</v>
      </c>
      <c r="I479">
        <v>0</v>
      </c>
      <c r="J479">
        <v>7</v>
      </c>
      <c r="K479" t="str">
        <f t="shared" si="7"/>
        <v>100_2023</v>
      </c>
    </row>
    <row r="480" spans="1:11" x14ac:dyDescent="0.3">
      <c r="A480">
        <v>100</v>
      </c>
      <c r="B480">
        <v>2025</v>
      </c>
      <c r="C480">
        <v>5</v>
      </c>
      <c r="D480">
        <v>8908.7199999999993</v>
      </c>
      <c r="E480">
        <v>0</v>
      </c>
      <c r="F480">
        <v>2</v>
      </c>
      <c r="G480">
        <v>3</v>
      </c>
      <c r="H480">
        <v>3</v>
      </c>
      <c r="I480">
        <v>2</v>
      </c>
      <c r="J480">
        <v>27</v>
      </c>
      <c r="K480" t="str">
        <f t="shared" si="7"/>
        <v>100_2025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31C4-7712-4A99-8F69-7F9A919A393B}">
  <dimension ref="A1:M1647"/>
  <sheetViews>
    <sheetView workbookViewId="0">
      <selection sqref="A1:M1647"/>
    </sheetView>
  </sheetViews>
  <sheetFormatPr defaultRowHeight="14.4" x14ac:dyDescent="0.3"/>
  <cols>
    <col min="1" max="1" width="13.5546875" bestFit="1" customWidth="1"/>
    <col min="2" max="2" width="10.5546875" bestFit="1" customWidth="1"/>
    <col min="3" max="3" width="15.77734375" bestFit="1" customWidth="1"/>
    <col min="4" max="4" width="15.5546875" bestFit="1" customWidth="1"/>
    <col min="5" max="5" width="24.21875" bestFit="1" customWidth="1"/>
    <col min="6" max="6" width="15.44140625" bestFit="1" customWidth="1"/>
    <col min="7" max="7" width="17.109375" bestFit="1" customWidth="1"/>
    <col min="8" max="8" width="17.88671875" bestFit="1" customWidth="1"/>
    <col min="9" max="9" width="22.5546875" bestFit="1" customWidth="1"/>
    <col min="10" max="10" width="17.5546875" bestFit="1" customWidth="1"/>
    <col min="11" max="11" width="19" bestFit="1" customWidth="1"/>
    <col min="12" max="12" width="14.77734375" bestFit="1" customWidth="1"/>
    <col min="13" max="13" width="15.109375" bestFit="1" customWidth="1"/>
  </cols>
  <sheetData>
    <row r="1" spans="1:13" x14ac:dyDescent="0.3">
      <c r="A1" t="s">
        <v>177</v>
      </c>
      <c r="B1" t="s">
        <v>14</v>
      </c>
      <c r="C1" t="s">
        <v>178</v>
      </c>
      <c r="D1" t="s">
        <v>179</v>
      </c>
      <c r="E1" t="s">
        <v>180</v>
      </c>
      <c r="F1" t="s">
        <v>181</v>
      </c>
      <c r="G1" t="s">
        <v>182</v>
      </c>
      <c r="H1" t="s">
        <v>183</v>
      </c>
      <c r="I1" t="s">
        <v>184</v>
      </c>
      <c r="J1" t="s">
        <v>185</v>
      </c>
      <c r="K1" t="s">
        <v>186</v>
      </c>
      <c r="L1" t="s">
        <v>187</v>
      </c>
      <c r="M1" t="s">
        <v>188</v>
      </c>
    </row>
    <row r="2" spans="1:13" x14ac:dyDescent="0.3">
      <c r="A2" t="s">
        <v>189</v>
      </c>
      <c r="B2">
        <v>1</v>
      </c>
      <c r="C2" s="1">
        <v>44458</v>
      </c>
      <c r="D2">
        <v>2021</v>
      </c>
      <c r="E2" t="s">
        <v>190</v>
      </c>
      <c r="F2" t="s">
        <v>13</v>
      </c>
      <c r="G2" t="s">
        <v>191</v>
      </c>
      <c r="H2" t="s">
        <v>192</v>
      </c>
      <c r="I2">
        <v>12</v>
      </c>
      <c r="J2">
        <v>1343.5</v>
      </c>
      <c r="K2">
        <v>1</v>
      </c>
      <c r="L2" t="s">
        <v>193</v>
      </c>
      <c r="M2">
        <v>0</v>
      </c>
    </row>
    <row r="3" spans="1:13" x14ac:dyDescent="0.3">
      <c r="A3" t="s">
        <v>194</v>
      </c>
      <c r="B3">
        <v>1</v>
      </c>
      <c r="C3" s="1">
        <v>44422</v>
      </c>
      <c r="D3">
        <v>2021</v>
      </c>
      <c r="E3" t="s">
        <v>190</v>
      </c>
      <c r="F3" t="s">
        <v>13</v>
      </c>
      <c r="G3" t="s">
        <v>191</v>
      </c>
      <c r="H3" t="s">
        <v>195</v>
      </c>
      <c r="I3">
        <v>9</v>
      </c>
      <c r="J3">
        <v>2522.6799999999998</v>
      </c>
      <c r="K3">
        <v>0</v>
      </c>
      <c r="L3" t="s">
        <v>196</v>
      </c>
      <c r="M3">
        <v>0</v>
      </c>
    </row>
    <row r="4" spans="1:13" x14ac:dyDescent="0.3">
      <c r="A4" t="s">
        <v>197</v>
      </c>
      <c r="B4">
        <v>1</v>
      </c>
      <c r="C4" s="1">
        <v>44873</v>
      </c>
      <c r="D4">
        <v>2022</v>
      </c>
      <c r="E4" t="s">
        <v>198</v>
      </c>
      <c r="F4" t="s">
        <v>199</v>
      </c>
      <c r="G4" t="s">
        <v>200</v>
      </c>
      <c r="H4" t="s">
        <v>192</v>
      </c>
      <c r="I4">
        <v>9</v>
      </c>
      <c r="J4">
        <v>6847.81</v>
      </c>
      <c r="K4">
        <v>1</v>
      </c>
      <c r="L4" t="s">
        <v>201</v>
      </c>
      <c r="M4">
        <v>1</v>
      </c>
    </row>
    <row r="5" spans="1:13" x14ac:dyDescent="0.3">
      <c r="A5" t="s">
        <v>202</v>
      </c>
      <c r="B5">
        <v>1</v>
      </c>
      <c r="C5" s="1">
        <v>44723</v>
      </c>
      <c r="D5">
        <v>2022</v>
      </c>
      <c r="E5" t="s">
        <v>198</v>
      </c>
      <c r="F5" t="s">
        <v>13</v>
      </c>
      <c r="G5" t="s">
        <v>203</v>
      </c>
      <c r="H5" t="s">
        <v>204</v>
      </c>
      <c r="I5">
        <v>7</v>
      </c>
      <c r="J5">
        <v>2174.09</v>
      </c>
      <c r="K5">
        <v>1</v>
      </c>
      <c r="L5" t="s">
        <v>193</v>
      </c>
      <c r="M5">
        <v>0</v>
      </c>
    </row>
    <row r="6" spans="1:13" x14ac:dyDescent="0.3">
      <c r="A6" t="s">
        <v>205</v>
      </c>
      <c r="B6">
        <v>1</v>
      </c>
      <c r="C6" s="1">
        <v>44848</v>
      </c>
      <c r="D6">
        <v>2022</v>
      </c>
      <c r="E6" t="s">
        <v>198</v>
      </c>
      <c r="F6" t="s">
        <v>13</v>
      </c>
      <c r="G6" t="s">
        <v>191</v>
      </c>
      <c r="H6" t="s">
        <v>206</v>
      </c>
      <c r="I6">
        <v>8</v>
      </c>
      <c r="J6">
        <v>3712.51</v>
      </c>
      <c r="K6">
        <v>1</v>
      </c>
      <c r="L6" t="s">
        <v>201</v>
      </c>
      <c r="M6">
        <v>0</v>
      </c>
    </row>
    <row r="7" spans="1:13" x14ac:dyDescent="0.3">
      <c r="A7" t="s">
        <v>207</v>
      </c>
      <c r="B7">
        <v>1</v>
      </c>
      <c r="C7" s="1">
        <v>44637</v>
      </c>
      <c r="D7">
        <v>2022</v>
      </c>
      <c r="E7" t="s">
        <v>198</v>
      </c>
      <c r="F7" t="s">
        <v>13</v>
      </c>
      <c r="G7" t="s">
        <v>203</v>
      </c>
      <c r="H7" t="s">
        <v>192</v>
      </c>
      <c r="I7">
        <v>4</v>
      </c>
      <c r="J7">
        <v>3750</v>
      </c>
      <c r="K7">
        <v>1</v>
      </c>
      <c r="L7" t="s">
        <v>196</v>
      </c>
      <c r="M7">
        <v>0</v>
      </c>
    </row>
    <row r="8" spans="1:13" x14ac:dyDescent="0.3">
      <c r="A8" t="s">
        <v>208</v>
      </c>
      <c r="B8">
        <v>1</v>
      </c>
      <c r="C8" s="1">
        <v>44595</v>
      </c>
      <c r="D8">
        <v>2022</v>
      </c>
      <c r="E8" t="s">
        <v>198</v>
      </c>
      <c r="F8" t="s">
        <v>209</v>
      </c>
      <c r="G8" t="s">
        <v>203</v>
      </c>
      <c r="H8" t="s">
        <v>192</v>
      </c>
      <c r="I8">
        <v>10</v>
      </c>
      <c r="J8">
        <v>326.2</v>
      </c>
      <c r="K8">
        <v>1</v>
      </c>
      <c r="L8" t="s">
        <v>210</v>
      </c>
      <c r="M8">
        <v>0</v>
      </c>
    </row>
    <row r="9" spans="1:13" x14ac:dyDescent="0.3">
      <c r="A9" t="s">
        <v>211</v>
      </c>
      <c r="B9">
        <v>1</v>
      </c>
      <c r="C9" s="1">
        <v>44900</v>
      </c>
      <c r="D9">
        <v>2022</v>
      </c>
      <c r="E9" t="s">
        <v>190</v>
      </c>
      <c r="F9" t="s">
        <v>13</v>
      </c>
      <c r="G9" t="s">
        <v>212</v>
      </c>
      <c r="H9" t="s">
        <v>192</v>
      </c>
      <c r="I9">
        <v>13</v>
      </c>
      <c r="J9">
        <v>1581.49</v>
      </c>
      <c r="K9">
        <v>1</v>
      </c>
      <c r="L9" t="s">
        <v>201</v>
      </c>
      <c r="M9">
        <v>1</v>
      </c>
    </row>
    <row r="10" spans="1:13" x14ac:dyDescent="0.3">
      <c r="A10" t="s">
        <v>213</v>
      </c>
      <c r="B10">
        <v>1</v>
      </c>
      <c r="C10" s="1">
        <v>45068</v>
      </c>
      <c r="D10">
        <v>2023</v>
      </c>
      <c r="E10" t="s">
        <v>214</v>
      </c>
      <c r="F10" t="s">
        <v>209</v>
      </c>
      <c r="G10" t="s">
        <v>203</v>
      </c>
      <c r="H10" t="s">
        <v>192</v>
      </c>
      <c r="I10">
        <v>2</v>
      </c>
      <c r="J10">
        <v>590.88</v>
      </c>
      <c r="K10">
        <v>0</v>
      </c>
      <c r="L10" t="s">
        <v>215</v>
      </c>
      <c r="M10">
        <v>1</v>
      </c>
    </row>
    <row r="11" spans="1:13" x14ac:dyDescent="0.3">
      <c r="A11" t="s">
        <v>216</v>
      </c>
      <c r="B11">
        <v>1</v>
      </c>
      <c r="C11" s="1">
        <v>44961</v>
      </c>
      <c r="D11">
        <v>2023</v>
      </c>
      <c r="E11" t="s">
        <v>214</v>
      </c>
      <c r="F11" t="s">
        <v>209</v>
      </c>
      <c r="G11" t="s">
        <v>203</v>
      </c>
      <c r="H11" t="s">
        <v>192</v>
      </c>
      <c r="I11">
        <v>3</v>
      </c>
      <c r="J11">
        <v>506.77</v>
      </c>
      <c r="K11">
        <v>0</v>
      </c>
      <c r="L11" t="s">
        <v>215</v>
      </c>
      <c r="M11">
        <v>0</v>
      </c>
    </row>
    <row r="12" spans="1:13" x14ac:dyDescent="0.3">
      <c r="A12" t="s">
        <v>217</v>
      </c>
      <c r="B12">
        <v>1</v>
      </c>
      <c r="C12" s="1">
        <v>45476</v>
      </c>
      <c r="D12">
        <v>2024</v>
      </c>
      <c r="E12" t="s">
        <v>214</v>
      </c>
      <c r="F12" t="s">
        <v>12</v>
      </c>
      <c r="G12" t="s">
        <v>203</v>
      </c>
      <c r="H12" t="s">
        <v>204</v>
      </c>
      <c r="I12">
        <v>5</v>
      </c>
      <c r="J12">
        <v>1362.14</v>
      </c>
      <c r="K12">
        <v>0</v>
      </c>
      <c r="L12" t="s">
        <v>201</v>
      </c>
      <c r="M12">
        <v>0</v>
      </c>
    </row>
    <row r="13" spans="1:13" x14ac:dyDescent="0.3">
      <c r="A13" t="s">
        <v>218</v>
      </c>
      <c r="B13">
        <v>1</v>
      </c>
      <c r="C13" s="1">
        <v>45663</v>
      </c>
      <c r="D13">
        <v>2025</v>
      </c>
      <c r="E13" t="s">
        <v>219</v>
      </c>
      <c r="F13" t="s">
        <v>199</v>
      </c>
      <c r="G13" t="s">
        <v>203</v>
      </c>
      <c r="H13" t="s">
        <v>206</v>
      </c>
      <c r="I13">
        <v>1</v>
      </c>
      <c r="J13">
        <v>7972.04</v>
      </c>
      <c r="K13">
        <v>1</v>
      </c>
      <c r="L13" t="s">
        <v>193</v>
      </c>
      <c r="M13">
        <v>0</v>
      </c>
    </row>
    <row r="14" spans="1:13" x14ac:dyDescent="0.3">
      <c r="A14" t="s">
        <v>220</v>
      </c>
      <c r="B14">
        <v>1</v>
      </c>
      <c r="C14" s="1">
        <v>45781</v>
      </c>
      <c r="D14">
        <v>2025</v>
      </c>
      <c r="E14" t="s">
        <v>198</v>
      </c>
      <c r="F14" t="s">
        <v>13</v>
      </c>
      <c r="G14" t="s">
        <v>203</v>
      </c>
      <c r="H14" t="s">
        <v>195</v>
      </c>
      <c r="I14">
        <v>3</v>
      </c>
      <c r="J14">
        <v>3695.72</v>
      </c>
      <c r="K14">
        <v>1</v>
      </c>
      <c r="L14" t="s">
        <v>201</v>
      </c>
      <c r="M14">
        <v>0</v>
      </c>
    </row>
    <row r="15" spans="1:13" x14ac:dyDescent="0.3">
      <c r="A15" t="s">
        <v>221</v>
      </c>
      <c r="B15">
        <v>1</v>
      </c>
      <c r="C15" s="1">
        <v>45996</v>
      </c>
      <c r="D15">
        <v>2025</v>
      </c>
      <c r="E15" t="s">
        <v>198</v>
      </c>
      <c r="F15" t="s">
        <v>13</v>
      </c>
      <c r="G15" t="s">
        <v>191</v>
      </c>
      <c r="H15" t="s">
        <v>195</v>
      </c>
      <c r="I15">
        <v>13</v>
      </c>
      <c r="J15">
        <v>2654.49</v>
      </c>
      <c r="K15">
        <v>1</v>
      </c>
      <c r="L15" t="s">
        <v>201</v>
      </c>
      <c r="M15">
        <v>0</v>
      </c>
    </row>
    <row r="16" spans="1:13" x14ac:dyDescent="0.3">
      <c r="A16" t="s">
        <v>222</v>
      </c>
      <c r="B16">
        <v>1</v>
      </c>
      <c r="C16" s="1">
        <v>45913</v>
      </c>
      <c r="D16">
        <v>2025</v>
      </c>
      <c r="E16" t="s">
        <v>214</v>
      </c>
      <c r="F16" t="s">
        <v>12</v>
      </c>
      <c r="G16" t="s">
        <v>212</v>
      </c>
      <c r="H16" t="s">
        <v>204</v>
      </c>
      <c r="I16">
        <v>10</v>
      </c>
      <c r="J16">
        <v>378.62</v>
      </c>
      <c r="K16">
        <v>0</v>
      </c>
      <c r="L16" t="s">
        <v>210</v>
      </c>
      <c r="M16">
        <v>1</v>
      </c>
    </row>
    <row r="17" spans="1:13" x14ac:dyDescent="0.3">
      <c r="A17" t="s">
        <v>223</v>
      </c>
      <c r="B17">
        <v>1</v>
      </c>
      <c r="C17" s="1">
        <v>45742</v>
      </c>
      <c r="D17">
        <v>2025</v>
      </c>
      <c r="E17" t="s">
        <v>198</v>
      </c>
      <c r="F17" t="s">
        <v>13</v>
      </c>
      <c r="G17" t="s">
        <v>203</v>
      </c>
      <c r="H17" t="s">
        <v>195</v>
      </c>
      <c r="I17">
        <v>6</v>
      </c>
      <c r="J17">
        <v>2788.99</v>
      </c>
      <c r="K17">
        <v>1</v>
      </c>
      <c r="L17" t="s">
        <v>193</v>
      </c>
      <c r="M17">
        <v>0</v>
      </c>
    </row>
    <row r="18" spans="1:13" x14ac:dyDescent="0.3">
      <c r="A18" t="s">
        <v>224</v>
      </c>
      <c r="B18">
        <v>2</v>
      </c>
      <c r="C18" s="1">
        <v>44384</v>
      </c>
      <c r="D18">
        <v>2021</v>
      </c>
      <c r="E18" t="s">
        <v>225</v>
      </c>
      <c r="F18" t="s">
        <v>13</v>
      </c>
      <c r="G18" t="s">
        <v>200</v>
      </c>
      <c r="H18" t="s">
        <v>206</v>
      </c>
      <c r="I18">
        <v>6</v>
      </c>
      <c r="J18">
        <v>2534.0700000000002</v>
      </c>
      <c r="K18">
        <v>1</v>
      </c>
      <c r="L18" t="s">
        <v>215</v>
      </c>
      <c r="M18">
        <v>1</v>
      </c>
    </row>
    <row r="19" spans="1:13" x14ac:dyDescent="0.3">
      <c r="A19" t="s">
        <v>226</v>
      </c>
      <c r="B19">
        <v>2</v>
      </c>
      <c r="C19" s="1">
        <v>44517</v>
      </c>
      <c r="D19">
        <v>2021</v>
      </c>
      <c r="E19" t="s">
        <v>227</v>
      </c>
      <c r="F19" t="s">
        <v>12</v>
      </c>
      <c r="G19" t="s">
        <v>212</v>
      </c>
      <c r="H19" t="s">
        <v>195</v>
      </c>
      <c r="I19">
        <v>15</v>
      </c>
      <c r="J19">
        <v>1071.19</v>
      </c>
      <c r="K19">
        <v>1</v>
      </c>
      <c r="L19" t="s">
        <v>215</v>
      </c>
      <c r="M19">
        <v>1</v>
      </c>
    </row>
    <row r="20" spans="1:13" x14ac:dyDescent="0.3">
      <c r="A20" t="s">
        <v>228</v>
      </c>
      <c r="B20">
        <v>2</v>
      </c>
      <c r="C20" s="1">
        <v>44228</v>
      </c>
      <c r="D20">
        <v>2021</v>
      </c>
      <c r="E20" t="s">
        <v>227</v>
      </c>
      <c r="F20" t="s">
        <v>12</v>
      </c>
      <c r="G20" t="s">
        <v>212</v>
      </c>
      <c r="H20" t="s">
        <v>195</v>
      </c>
      <c r="I20">
        <v>12</v>
      </c>
      <c r="J20">
        <v>952.05</v>
      </c>
      <c r="K20">
        <v>0</v>
      </c>
      <c r="L20" t="s">
        <v>210</v>
      </c>
      <c r="M20">
        <v>1</v>
      </c>
    </row>
    <row r="21" spans="1:13" x14ac:dyDescent="0.3">
      <c r="A21" t="s">
        <v>229</v>
      </c>
      <c r="B21">
        <v>2</v>
      </c>
      <c r="C21" s="1">
        <v>44446</v>
      </c>
      <c r="D21">
        <v>2021</v>
      </c>
      <c r="E21" t="s">
        <v>198</v>
      </c>
      <c r="F21" t="s">
        <v>13</v>
      </c>
      <c r="G21" t="s">
        <v>212</v>
      </c>
      <c r="H21" t="s">
        <v>195</v>
      </c>
      <c r="I21">
        <v>16</v>
      </c>
      <c r="J21">
        <v>3046.4</v>
      </c>
      <c r="K21">
        <v>1</v>
      </c>
      <c r="L21" t="s">
        <v>193</v>
      </c>
      <c r="M21">
        <v>1</v>
      </c>
    </row>
    <row r="22" spans="1:13" x14ac:dyDescent="0.3">
      <c r="A22" t="s">
        <v>230</v>
      </c>
      <c r="B22">
        <v>2</v>
      </c>
      <c r="C22" s="1">
        <v>44293</v>
      </c>
      <c r="D22">
        <v>2021</v>
      </c>
      <c r="E22" t="s">
        <v>198</v>
      </c>
      <c r="F22" t="s">
        <v>13</v>
      </c>
      <c r="G22" t="s">
        <v>200</v>
      </c>
      <c r="H22" t="s">
        <v>206</v>
      </c>
      <c r="I22">
        <v>12</v>
      </c>
      <c r="J22">
        <v>1357.78</v>
      </c>
      <c r="K22">
        <v>1</v>
      </c>
      <c r="L22" t="s">
        <v>201</v>
      </c>
      <c r="M22">
        <v>0</v>
      </c>
    </row>
    <row r="23" spans="1:13" x14ac:dyDescent="0.3">
      <c r="A23" t="s">
        <v>231</v>
      </c>
      <c r="B23">
        <v>2</v>
      </c>
      <c r="C23" s="1">
        <v>44305</v>
      </c>
      <c r="D23">
        <v>2021</v>
      </c>
      <c r="E23" t="s">
        <v>198</v>
      </c>
      <c r="F23" t="s">
        <v>209</v>
      </c>
      <c r="G23" t="s">
        <v>212</v>
      </c>
      <c r="H23" t="s">
        <v>195</v>
      </c>
      <c r="I23">
        <v>19</v>
      </c>
      <c r="J23">
        <v>277.06</v>
      </c>
      <c r="K23">
        <v>1</v>
      </c>
      <c r="L23" t="s">
        <v>215</v>
      </c>
      <c r="M23">
        <v>1</v>
      </c>
    </row>
    <row r="24" spans="1:13" x14ac:dyDescent="0.3">
      <c r="A24" t="s">
        <v>232</v>
      </c>
      <c r="B24">
        <v>2</v>
      </c>
      <c r="C24" s="1">
        <v>44821</v>
      </c>
      <c r="D24">
        <v>2022</v>
      </c>
      <c r="E24" t="s">
        <v>227</v>
      </c>
      <c r="F24" t="s">
        <v>13</v>
      </c>
      <c r="G24" t="s">
        <v>200</v>
      </c>
      <c r="H24" t="s">
        <v>204</v>
      </c>
      <c r="I24">
        <v>6</v>
      </c>
      <c r="J24">
        <v>3407.54</v>
      </c>
      <c r="K24">
        <v>0</v>
      </c>
      <c r="L24" t="s">
        <v>215</v>
      </c>
      <c r="M24">
        <v>1</v>
      </c>
    </row>
    <row r="25" spans="1:13" x14ac:dyDescent="0.3">
      <c r="A25" t="s">
        <v>233</v>
      </c>
      <c r="B25">
        <v>2</v>
      </c>
      <c r="C25" s="1">
        <v>44745</v>
      </c>
      <c r="D25">
        <v>2022</v>
      </c>
      <c r="E25" t="s">
        <v>219</v>
      </c>
      <c r="F25" t="s">
        <v>12</v>
      </c>
      <c r="G25" t="s">
        <v>212</v>
      </c>
      <c r="H25" t="s">
        <v>206</v>
      </c>
      <c r="I25">
        <v>16</v>
      </c>
      <c r="J25">
        <v>1120.57</v>
      </c>
      <c r="K25">
        <v>0</v>
      </c>
      <c r="L25" t="s">
        <v>201</v>
      </c>
      <c r="M25">
        <v>1</v>
      </c>
    </row>
    <row r="26" spans="1:13" x14ac:dyDescent="0.3">
      <c r="A26" t="s">
        <v>234</v>
      </c>
      <c r="B26">
        <v>2</v>
      </c>
      <c r="C26" s="1">
        <v>44619</v>
      </c>
      <c r="D26">
        <v>2022</v>
      </c>
      <c r="E26" t="s">
        <v>225</v>
      </c>
      <c r="F26" t="s">
        <v>13</v>
      </c>
      <c r="G26" t="s">
        <v>200</v>
      </c>
      <c r="H26" t="s">
        <v>195</v>
      </c>
      <c r="I26">
        <v>7</v>
      </c>
      <c r="J26">
        <v>1031.19</v>
      </c>
      <c r="K26">
        <v>0</v>
      </c>
      <c r="L26" t="s">
        <v>215</v>
      </c>
      <c r="M26">
        <v>0</v>
      </c>
    </row>
    <row r="27" spans="1:13" x14ac:dyDescent="0.3">
      <c r="A27" t="s">
        <v>235</v>
      </c>
      <c r="B27">
        <v>2</v>
      </c>
      <c r="C27" s="1">
        <v>45022</v>
      </c>
      <c r="D27">
        <v>2023</v>
      </c>
      <c r="E27" t="s">
        <v>198</v>
      </c>
      <c r="F27" t="s">
        <v>13</v>
      </c>
      <c r="G27" t="s">
        <v>191</v>
      </c>
      <c r="H27" t="s">
        <v>195</v>
      </c>
      <c r="I27">
        <v>13</v>
      </c>
      <c r="J27">
        <v>2612.6799999999998</v>
      </c>
      <c r="K27">
        <v>1</v>
      </c>
      <c r="L27" t="s">
        <v>196</v>
      </c>
      <c r="M27">
        <v>0</v>
      </c>
    </row>
    <row r="28" spans="1:13" x14ac:dyDescent="0.3">
      <c r="A28" t="s">
        <v>236</v>
      </c>
      <c r="B28">
        <v>2</v>
      </c>
      <c r="C28" s="1">
        <v>44930</v>
      </c>
      <c r="D28">
        <v>2023</v>
      </c>
      <c r="E28" t="s">
        <v>198</v>
      </c>
      <c r="F28" t="s">
        <v>199</v>
      </c>
      <c r="G28" t="s">
        <v>203</v>
      </c>
      <c r="H28" t="s">
        <v>206</v>
      </c>
      <c r="I28">
        <v>3</v>
      </c>
      <c r="J28">
        <v>3257.7</v>
      </c>
      <c r="K28">
        <v>1</v>
      </c>
      <c r="L28" t="s">
        <v>201</v>
      </c>
      <c r="M28">
        <v>1</v>
      </c>
    </row>
    <row r="29" spans="1:13" x14ac:dyDescent="0.3">
      <c r="A29" t="s">
        <v>237</v>
      </c>
      <c r="B29">
        <v>2</v>
      </c>
      <c r="C29" s="1">
        <v>45227</v>
      </c>
      <c r="D29">
        <v>2023</v>
      </c>
      <c r="E29" t="s">
        <v>225</v>
      </c>
      <c r="F29" t="s">
        <v>199</v>
      </c>
      <c r="G29" t="s">
        <v>191</v>
      </c>
      <c r="H29" t="s">
        <v>204</v>
      </c>
      <c r="I29">
        <v>5</v>
      </c>
      <c r="J29">
        <v>4270.51</v>
      </c>
      <c r="K29">
        <v>1</v>
      </c>
      <c r="L29" t="s">
        <v>210</v>
      </c>
      <c r="M29">
        <v>0</v>
      </c>
    </row>
    <row r="30" spans="1:13" x14ac:dyDescent="0.3">
      <c r="A30" t="s">
        <v>238</v>
      </c>
      <c r="B30">
        <v>2</v>
      </c>
      <c r="C30" s="1">
        <v>45069</v>
      </c>
      <c r="D30">
        <v>2023</v>
      </c>
      <c r="E30" t="s">
        <v>198</v>
      </c>
      <c r="F30" t="s">
        <v>13</v>
      </c>
      <c r="G30" t="s">
        <v>191</v>
      </c>
      <c r="H30" t="s">
        <v>195</v>
      </c>
      <c r="I30">
        <v>2</v>
      </c>
      <c r="J30">
        <v>3205.8</v>
      </c>
      <c r="K30">
        <v>1</v>
      </c>
      <c r="L30" t="s">
        <v>193</v>
      </c>
      <c r="M30">
        <v>1</v>
      </c>
    </row>
    <row r="31" spans="1:13" x14ac:dyDescent="0.3">
      <c r="A31" t="s">
        <v>239</v>
      </c>
      <c r="B31">
        <v>2</v>
      </c>
      <c r="C31" s="1">
        <v>44933</v>
      </c>
      <c r="D31">
        <v>2023</v>
      </c>
      <c r="E31" t="s">
        <v>198</v>
      </c>
      <c r="F31" t="s">
        <v>12</v>
      </c>
      <c r="G31" t="s">
        <v>203</v>
      </c>
      <c r="H31" t="s">
        <v>206</v>
      </c>
      <c r="I31">
        <v>10</v>
      </c>
      <c r="J31">
        <v>510.83</v>
      </c>
      <c r="K31">
        <v>1</v>
      </c>
      <c r="L31" t="s">
        <v>215</v>
      </c>
      <c r="M31">
        <v>1</v>
      </c>
    </row>
    <row r="32" spans="1:13" x14ac:dyDescent="0.3">
      <c r="A32" t="s">
        <v>240</v>
      </c>
      <c r="B32">
        <v>2</v>
      </c>
      <c r="C32" s="1">
        <v>45069</v>
      </c>
      <c r="D32">
        <v>2023</v>
      </c>
      <c r="E32" t="s">
        <v>214</v>
      </c>
      <c r="F32" t="s">
        <v>13</v>
      </c>
      <c r="G32" t="s">
        <v>203</v>
      </c>
      <c r="H32" t="s">
        <v>192</v>
      </c>
      <c r="I32">
        <v>10</v>
      </c>
      <c r="J32">
        <v>3925.19</v>
      </c>
      <c r="K32">
        <v>0</v>
      </c>
      <c r="L32" t="s">
        <v>201</v>
      </c>
      <c r="M32">
        <v>1</v>
      </c>
    </row>
    <row r="33" spans="1:13" x14ac:dyDescent="0.3">
      <c r="A33" t="s">
        <v>241</v>
      </c>
      <c r="B33">
        <v>2</v>
      </c>
      <c r="C33" s="1">
        <v>45331</v>
      </c>
      <c r="D33">
        <v>2024</v>
      </c>
      <c r="E33" t="s">
        <v>225</v>
      </c>
      <c r="F33" t="s">
        <v>13</v>
      </c>
      <c r="G33" t="s">
        <v>191</v>
      </c>
      <c r="H33" t="s">
        <v>206</v>
      </c>
      <c r="I33">
        <v>3</v>
      </c>
      <c r="J33">
        <v>1306.19</v>
      </c>
      <c r="K33">
        <v>0</v>
      </c>
      <c r="L33" t="s">
        <v>193</v>
      </c>
      <c r="M33">
        <v>0</v>
      </c>
    </row>
    <row r="34" spans="1:13" x14ac:dyDescent="0.3">
      <c r="A34" t="s">
        <v>242</v>
      </c>
      <c r="B34">
        <v>2</v>
      </c>
      <c r="C34" s="1">
        <v>45306</v>
      </c>
      <c r="D34">
        <v>2024</v>
      </c>
      <c r="E34" t="s">
        <v>214</v>
      </c>
      <c r="F34" t="s">
        <v>209</v>
      </c>
      <c r="G34" t="s">
        <v>212</v>
      </c>
      <c r="H34" t="s">
        <v>192</v>
      </c>
      <c r="I34">
        <v>2</v>
      </c>
      <c r="J34">
        <v>159.35</v>
      </c>
      <c r="K34">
        <v>0</v>
      </c>
      <c r="L34" t="s">
        <v>201</v>
      </c>
      <c r="M34">
        <v>1</v>
      </c>
    </row>
    <row r="35" spans="1:13" x14ac:dyDescent="0.3">
      <c r="A35" t="s">
        <v>243</v>
      </c>
      <c r="B35">
        <v>2</v>
      </c>
      <c r="C35" s="1">
        <v>45480</v>
      </c>
      <c r="D35">
        <v>2024</v>
      </c>
      <c r="E35" t="s">
        <v>214</v>
      </c>
      <c r="F35" t="s">
        <v>13</v>
      </c>
      <c r="G35" t="s">
        <v>212</v>
      </c>
      <c r="H35" t="s">
        <v>195</v>
      </c>
      <c r="I35">
        <v>12</v>
      </c>
      <c r="J35">
        <v>1817.77</v>
      </c>
      <c r="K35">
        <v>0</v>
      </c>
      <c r="L35" t="s">
        <v>215</v>
      </c>
      <c r="M35">
        <v>1</v>
      </c>
    </row>
    <row r="36" spans="1:13" x14ac:dyDescent="0.3">
      <c r="A36" t="s">
        <v>244</v>
      </c>
      <c r="B36">
        <v>2</v>
      </c>
      <c r="C36" s="1">
        <v>45640</v>
      </c>
      <c r="D36">
        <v>2024</v>
      </c>
      <c r="E36" t="s">
        <v>214</v>
      </c>
      <c r="F36" t="s">
        <v>12</v>
      </c>
      <c r="G36" t="s">
        <v>203</v>
      </c>
      <c r="H36" t="s">
        <v>206</v>
      </c>
      <c r="I36">
        <v>3</v>
      </c>
      <c r="J36">
        <v>1009.31</v>
      </c>
      <c r="K36">
        <v>0</v>
      </c>
      <c r="L36" t="s">
        <v>215</v>
      </c>
      <c r="M36">
        <v>0</v>
      </c>
    </row>
    <row r="37" spans="1:13" x14ac:dyDescent="0.3">
      <c r="A37" t="s">
        <v>245</v>
      </c>
      <c r="B37">
        <v>2</v>
      </c>
      <c r="C37" s="1">
        <v>45696</v>
      </c>
      <c r="D37">
        <v>2025</v>
      </c>
      <c r="E37" t="s">
        <v>214</v>
      </c>
      <c r="F37" t="s">
        <v>13</v>
      </c>
      <c r="G37" t="s">
        <v>212</v>
      </c>
      <c r="H37" t="s">
        <v>195</v>
      </c>
      <c r="I37">
        <v>11</v>
      </c>
      <c r="J37">
        <v>2596.4</v>
      </c>
      <c r="K37">
        <v>0</v>
      </c>
      <c r="L37" t="s">
        <v>201</v>
      </c>
      <c r="M37">
        <v>1</v>
      </c>
    </row>
    <row r="38" spans="1:13" x14ac:dyDescent="0.3">
      <c r="A38" t="s">
        <v>246</v>
      </c>
      <c r="B38">
        <v>3</v>
      </c>
      <c r="C38" s="1">
        <v>44390</v>
      </c>
      <c r="D38">
        <v>2021</v>
      </c>
      <c r="E38" t="s">
        <v>198</v>
      </c>
      <c r="F38" t="s">
        <v>13</v>
      </c>
      <c r="G38" t="s">
        <v>191</v>
      </c>
      <c r="H38" t="s">
        <v>204</v>
      </c>
      <c r="I38">
        <v>7</v>
      </c>
      <c r="J38">
        <v>1617.12</v>
      </c>
      <c r="K38">
        <v>1</v>
      </c>
      <c r="L38" t="s">
        <v>201</v>
      </c>
      <c r="M38">
        <v>0</v>
      </c>
    </row>
    <row r="39" spans="1:13" x14ac:dyDescent="0.3">
      <c r="A39" t="s">
        <v>247</v>
      </c>
      <c r="B39">
        <v>3</v>
      </c>
      <c r="C39" s="1">
        <v>44479</v>
      </c>
      <c r="D39">
        <v>2021</v>
      </c>
      <c r="E39" t="s">
        <v>227</v>
      </c>
      <c r="F39" t="s">
        <v>13</v>
      </c>
      <c r="G39" t="s">
        <v>212</v>
      </c>
      <c r="H39" t="s">
        <v>195</v>
      </c>
      <c r="I39">
        <v>6</v>
      </c>
      <c r="J39">
        <v>3720</v>
      </c>
      <c r="K39">
        <v>0</v>
      </c>
      <c r="L39" t="s">
        <v>201</v>
      </c>
      <c r="M39">
        <v>1</v>
      </c>
    </row>
    <row r="40" spans="1:13" x14ac:dyDescent="0.3">
      <c r="A40" t="s">
        <v>248</v>
      </c>
      <c r="B40">
        <v>3</v>
      </c>
      <c r="C40" s="1">
        <v>44233</v>
      </c>
      <c r="D40">
        <v>2021</v>
      </c>
      <c r="E40" t="s">
        <v>198</v>
      </c>
      <c r="F40" t="s">
        <v>199</v>
      </c>
      <c r="G40" t="s">
        <v>200</v>
      </c>
      <c r="H40" t="s">
        <v>195</v>
      </c>
      <c r="I40">
        <v>4</v>
      </c>
      <c r="J40">
        <v>5110.3</v>
      </c>
      <c r="K40">
        <v>1</v>
      </c>
      <c r="L40" t="s">
        <v>201</v>
      </c>
      <c r="M40">
        <v>0</v>
      </c>
    </row>
    <row r="41" spans="1:13" x14ac:dyDescent="0.3">
      <c r="A41" t="s">
        <v>249</v>
      </c>
      <c r="B41">
        <v>3</v>
      </c>
      <c r="C41" s="1">
        <v>44233</v>
      </c>
      <c r="D41">
        <v>2021</v>
      </c>
      <c r="E41" t="s">
        <v>198</v>
      </c>
      <c r="F41" t="s">
        <v>13</v>
      </c>
      <c r="G41" t="s">
        <v>191</v>
      </c>
      <c r="H41" t="s">
        <v>195</v>
      </c>
      <c r="I41">
        <v>3</v>
      </c>
      <c r="J41">
        <v>2464.92</v>
      </c>
      <c r="K41">
        <v>1</v>
      </c>
      <c r="L41" t="s">
        <v>193</v>
      </c>
      <c r="M41">
        <v>1</v>
      </c>
    </row>
    <row r="42" spans="1:13" x14ac:dyDescent="0.3">
      <c r="A42" t="s">
        <v>250</v>
      </c>
      <c r="B42">
        <v>3</v>
      </c>
      <c r="C42" s="1">
        <v>44491</v>
      </c>
      <c r="D42">
        <v>2021</v>
      </c>
      <c r="E42" t="s">
        <v>198</v>
      </c>
      <c r="F42" t="s">
        <v>13</v>
      </c>
      <c r="G42" t="s">
        <v>200</v>
      </c>
      <c r="H42" t="s">
        <v>195</v>
      </c>
      <c r="I42">
        <v>13</v>
      </c>
      <c r="J42">
        <v>1281.73</v>
      </c>
      <c r="K42">
        <v>1</v>
      </c>
      <c r="L42" t="s">
        <v>201</v>
      </c>
      <c r="M42">
        <v>0</v>
      </c>
    </row>
    <row r="43" spans="1:13" x14ac:dyDescent="0.3">
      <c r="A43" t="s">
        <v>251</v>
      </c>
      <c r="B43">
        <v>3</v>
      </c>
      <c r="C43" s="1">
        <v>44542</v>
      </c>
      <c r="D43">
        <v>2021</v>
      </c>
      <c r="E43" t="s">
        <v>214</v>
      </c>
      <c r="F43" t="s">
        <v>13</v>
      </c>
      <c r="G43" t="s">
        <v>200</v>
      </c>
      <c r="H43" t="s">
        <v>192</v>
      </c>
      <c r="I43">
        <v>14</v>
      </c>
      <c r="J43">
        <v>3130.47</v>
      </c>
      <c r="K43">
        <v>0</v>
      </c>
      <c r="L43" t="s">
        <v>201</v>
      </c>
      <c r="M43">
        <v>1</v>
      </c>
    </row>
    <row r="44" spans="1:13" x14ac:dyDescent="0.3">
      <c r="A44" t="s">
        <v>252</v>
      </c>
      <c r="B44">
        <v>3</v>
      </c>
      <c r="C44" s="1">
        <v>44601</v>
      </c>
      <c r="D44">
        <v>2022</v>
      </c>
      <c r="E44" t="s">
        <v>190</v>
      </c>
      <c r="F44" t="s">
        <v>209</v>
      </c>
      <c r="G44" t="s">
        <v>212</v>
      </c>
      <c r="H44" t="s">
        <v>206</v>
      </c>
      <c r="I44">
        <v>6</v>
      </c>
      <c r="J44">
        <v>84.98</v>
      </c>
      <c r="K44">
        <v>0</v>
      </c>
      <c r="L44" t="s">
        <v>210</v>
      </c>
      <c r="M44">
        <v>1</v>
      </c>
    </row>
    <row r="45" spans="1:13" x14ac:dyDescent="0.3">
      <c r="A45" t="s">
        <v>253</v>
      </c>
      <c r="B45">
        <v>3</v>
      </c>
      <c r="C45" s="1">
        <v>44918</v>
      </c>
      <c r="D45">
        <v>2022</v>
      </c>
      <c r="E45" t="s">
        <v>225</v>
      </c>
      <c r="F45" t="s">
        <v>13</v>
      </c>
      <c r="G45" t="s">
        <v>191</v>
      </c>
      <c r="H45" t="s">
        <v>192</v>
      </c>
      <c r="I45">
        <v>14</v>
      </c>
      <c r="J45">
        <v>3896.36</v>
      </c>
      <c r="K45">
        <v>1</v>
      </c>
      <c r="L45" t="s">
        <v>193</v>
      </c>
      <c r="M45">
        <v>1</v>
      </c>
    </row>
    <row r="46" spans="1:13" x14ac:dyDescent="0.3">
      <c r="A46" t="s">
        <v>254</v>
      </c>
      <c r="B46">
        <v>3</v>
      </c>
      <c r="C46" s="1">
        <v>44790</v>
      </c>
      <c r="D46">
        <v>2022</v>
      </c>
      <c r="E46" t="s">
        <v>198</v>
      </c>
      <c r="F46" t="s">
        <v>199</v>
      </c>
      <c r="G46" t="s">
        <v>203</v>
      </c>
      <c r="H46" t="s">
        <v>192</v>
      </c>
      <c r="I46">
        <v>6</v>
      </c>
      <c r="J46">
        <v>5740.31</v>
      </c>
      <c r="K46">
        <v>1</v>
      </c>
      <c r="L46" t="s">
        <v>193</v>
      </c>
      <c r="M46">
        <v>0</v>
      </c>
    </row>
    <row r="47" spans="1:13" x14ac:dyDescent="0.3">
      <c r="A47" t="s">
        <v>255</v>
      </c>
      <c r="B47">
        <v>3</v>
      </c>
      <c r="C47" s="1">
        <v>44851</v>
      </c>
      <c r="D47">
        <v>2022</v>
      </c>
      <c r="E47" t="s">
        <v>198</v>
      </c>
      <c r="F47" t="s">
        <v>12</v>
      </c>
      <c r="G47" t="s">
        <v>212</v>
      </c>
      <c r="H47" t="s">
        <v>195</v>
      </c>
      <c r="I47">
        <v>1</v>
      </c>
      <c r="J47">
        <v>683.75</v>
      </c>
      <c r="K47">
        <v>1</v>
      </c>
      <c r="L47" t="s">
        <v>210</v>
      </c>
      <c r="M47">
        <v>1</v>
      </c>
    </row>
    <row r="48" spans="1:13" x14ac:dyDescent="0.3">
      <c r="A48" t="s">
        <v>256</v>
      </c>
      <c r="B48">
        <v>3</v>
      </c>
      <c r="C48" s="1">
        <v>44870</v>
      </c>
      <c r="D48">
        <v>2022</v>
      </c>
      <c r="E48" t="s">
        <v>214</v>
      </c>
      <c r="F48" t="s">
        <v>199</v>
      </c>
      <c r="G48" t="s">
        <v>191</v>
      </c>
      <c r="H48" t="s">
        <v>204</v>
      </c>
      <c r="I48">
        <v>1</v>
      </c>
      <c r="J48">
        <v>4085.43</v>
      </c>
      <c r="K48">
        <v>0</v>
      </c>
      <c r="L48" t="s">
        <v>193</v>
      </c>
      <c r="M48">
        <v>0</v>
      </c>
    </row>
    <row r="49" spans="1:13" x14ac:dyDescent="0.3">
      <c r="A49" t="s">
        <v>257</v>
      </c>
      <c r="B49">
        <v>3</v>
      </c>
      <c r="C49" s="1">
        <v>44708</v>
      </c>
      <c r="D49">
        <v>2022</v>
      </c>
      <c r="E49" t="s">
        <v>227</v>
      </c>
      <c r="F49" t="s">
        <v>12</v>
      </c>
      <c r="G49" t="s">
        <v>212</v>
      </c>
      <c r="H49" t="s">
        <v>195</v>
      </c>
      <c r="I49">
        <v>6</v>
      </c>
      <c r="J49">
        <v>564.29</v>
      </c>
      <c r="K49">
        <v>0</v>
      </c>
      <c r="L49" t="s">
        <v>215</v>
      </c>
      <c r="M49">
        <v>1</v>
      </c>
    </row>
    <row r="50" spans="1:13" x14ac:dyDescent="0.3">
      <c r="A50" t="s">
        <v>258</v>
      </c>
      <c r="B50">
        <v>3</v>
      </c>
      <c r="C50" s="1">
        <v>44980</v>
      </c>
      <c r="D50">
        <v>2023</v>
      </c>
      <c r="E50" t="s">
        <v>198</v>
      </c>
      <c r="F50" t="s">
        <v>199</v>
      </c>
      <c r="G50" t="s">
        <v>200</v>
      </c>
      <c r="H50" t="s">
        <v>195</v>
      </c>
      <c r="I50">
        <v>9</v>
      </c>
      <c r="J50">
        <v>2943.95</v>
      </c>
      <c r="K50">
        <v>1</v>
      </c>
      <c r="L50" t="s">
        <v>196</v>
      </c>
      <c r="M50">
        <v>0</v>
      </c>
    </row>
    <row r="51" spans="1:13" x14ac:dyDescent="0.3">
      <c r="A51" t="s">
        <v>259</v>
      </c>
      <c r="B51">
        <v>3</v>
      </c>
      <c r="C51" s="1">
        <v>45251</v>
      </c>
      <c r="D51">
        <v>2023</v>
      </c>
      <c r="E51" t="s">
        <v>225</v>
      </c>
      <c r="F51" t="s">
        <v>199</v>
      </c>
      <c r="G51" t="s">
        <v>191</v>
      </c>
      <c r="H51" t="s">
        <v>195</v>
      </c>
      <c r="I51">
        <v>16</v>
      </c>
      <c r="J51">
        <v>3453.16</v>
      </c>
      <c r="K51">
        <v>0</v>
      </c>
      <c r="L51" t="s">
        <v>196</v>
      </c>
      <c r="M51">
        <v>1</v>
      </c>
    </row>
    <row r="52" spans="1:13" x14ac:dyDescent="0.3">
      <c r="A52" t="s">
        <v>260</v>
      </c>
      <c r="B52">
        <v>3</v>
      </c>
      <c r="C52" s="1">
        <v>45007</v>
      </c>
      <c r="D52">
        <v>2023</v>
      </c>
      <c r="E52" t="s">
        <v>214</v>
      </c>
      <c r="F52" t="s">
        <v>199</v>
      </c>
      <c r="G52" t="s">
        <v>212</v>
      </c>
      <c r="H52" t="s">
        <v>195</v>
      </c>
      <c r="I52">
        <v>16</v>
      </c>
      <c r="J52">
        <v>5502.07</v>
      </c>
      <c r="K52">
        <v>1</v>
      </c>
      <c r="L52" t="s">
        <v>196</v>
      </c>
      <c r="M52">
        <v>1</v>
      </c>
    </row>
    <row r="53" spans="1:13" x14ac:dyDescent="0.3">
      <c r="A53" t="s">
        <v>261</v>
      </c>
      <c r="B53">
        <v>3</v>
      </c>
      <c r="C53" s="1">
        <v>45111</v>
      </c>
      <c r="D53">
        <v>2023</v>
      </c>
      <c r="E53" t="s">
        <v>198</v>
      </c>
      <c r="F53" t="s">
        <v>199</v>
      </c>
      <c r="G53" t="s">
        <v>203</v>
      </c>
      <c r="H53" t="s">
        <v>195</v>
      </c>
      <c r="I53">
        <v>1</v>
      </c>
      <c r="J53">
        <v>4812.78</v>
      </c>
      <c r="K53">
        <v>1</v>
      </c>
      <c r="L53" t="s">
        <v>193</v>
      </c>
      <c r="M53">
        <v>0</v>
      </c>
    </row>
    <row r="54" spans="1:13" x14ac:dyDescent="0.3">
      <c r="A54" t="s">
        <v>262</v>
      </c>
      <c r="B54">
        <v>3</v>
      </c>
      <c r="C54" s="1">
        <v>45347</v>
      </c>
      <c r="D54">
        <v>2024</v>
      </c>
      <c r="E54" t="s">
        <v>198</v>
      </c>
      <c r="F54" t="s">
        <v>199</v>
      </c>
      <c r="G54" t="s">
        <v>191</v>
      </c>
      <c r="H54" t="s">
        <v>204</v>
      </c>
      <c r="I54">
        <v>17</v>
      </c>
      <c r="J54">
        <v>4552.1099999999997</v>
      </c>
      <c r="K54">
        <v>1</v>
      </c>
      <c r="L54" t="s">
        <v>196</v>
      </c>
      <c r="M54">
        <v>1</v>
      </c>
    </row>
    <row r="55" spans="1:13" x14ac:dyDescent="0.3">
      <c r="A55" t="s">
        <v>263</v>
      </c>
      <c r="B55">
        <v>3</v>
      </c>
      <c r="C55" s="1">
        <v>45316</v>
      </c>
      <c r="D55">
        <v>2024</v>
      </c>
      <c r="E55" t="s">
        <v>214</v>
      </c>
      <c r="F55" t="s">
        <v>13</v>
      </c>
      <c r="G55" t="s">
        <v>191</v>
      </c>
      <c r="H55" t="s">
        <v>195</v>
      </c>
      <c r="I55">
        <v>6</v>
      </c>
      <c r="J55">
        <v>3517.59</v>
      </c>
      <c r="K55">
        <v>0</v>
      </c>
      <c r="L55" t="s">
        <v>193</v>
      </c>
      <c r="M55">
        <v>1</v>
      </c>
    </row>
    <row r="56" spans="1:13" x14ac:dyDescent="0.3">
      <c r="A56" t="s">
        <v>264</v>
      </c>
      <c r="B56">
        <v>3</v>
      </c>
      <c r="C56" s="1">
        <v>45333</v>
      </c>
      <c r="D56">
        <v>2024</v>
      </c>
      <c r="E56" t="s">
        <v>198</v>
      </c>
      <c r="F56" t="s">
        <v>13</v>
      </c>
      <c r="G56" t="s">
        <v>212</v>
      </c>
      <c r="H56" t="s">
        <v>206</v>
      </c>
      <c r="I56">
        <v>10</v>
      </c>
      <c r="J56">
        <v>1364.33</v>
      </c>
      <c r="K56">
        <v>1</v>
      </c>
      <c r="L56" t="s">
        <v>196</v>
      </c>
      <c r="M56">
        <v>1</v>
      </c>
    </row>
    <row r="57" spans="1:13" x14ac:dyDescent="0.3">
      <c r="A57" t="s">
        <v>265</v>
      </c>
      <c r="B57">
        <v>3</v>
      </c>
      <c r="C57" s="1">
        <v>45628</v>
      </c>
      <c r="D57">
        <v>2024</v>
      </c>
      <c r="E57" t="s">
        <v>219</v>
      </c>
      <c r="F57" t="s">
        <v>13</v>
      </c>
      <c r="G57" t="s">
        <v>200</v>
      </c>
      <c r="H57" t="s">
        <v>195</v>
      </c>
      <c r="I57">
        <v>12</v>
      </c>
      <c r="J57">
        <v>2919</v>
      </c>
      <c r="K57">
        <v>0</v>
      </c>
      <c r="L57" t="s">
        <v>196</v>
      </c>
      <c r="M57">
        <v>1</v>
      </c>
    </row>
    <row r="58" spans="1:13" x14ac:dyDescent="0.3">
      <c r="A58" t="s">
        <v>266</v>
      </c>
      <c r="B58">
        <v>3</v>
      </c>
      <c r="C58" s="1">
        <v>45317</v>
      </c>
      <c r="D58">
        <v>2024</v>
      </c>
      <c r="E58" t="s">
        <v>190</v>
      </c>
      <c r="F58" t="s">
        <v>13</v>
      </c>
      <c r="G58" t="s">
        <v>212</v>
      </c>
      <c r="H58" t="s">
        <v>195</v>
      </c>
      <c r="I58">
        <v>10</v>
      </c>
      <c r="J58">
        <v>1310.82</v>
      </c>
      <c r="K58">
        <v>1</v>
      </c>
      <c r="L58" t="s">
        <v>201</v>
      </c>
      <c r="M58">
        <v>1</v>
      </c>
    </row>
    <row r="59" spans="1:13" x14ac:dyDescent="0.3">
      <c r="A59" t="s">
        <v>267</v>
      </c>
      <c r="B59">
        <v>3</v>
      </c>
      <c r="C59" s="1">
        <v>45475</v>
      </c>
      <c r="D59">
        <v>2024</v>
      </c>
      <c r="E59" t="s">
        <v>214</v>
      </c>
      <c r="F59" t="s">
        <v>13</v>
      </c>
      <c r="G59" t="s">
        <v>203</v>
      </c>
      <c r="H59" t="s">
        <v>204</v>
      </c>
      <c r="I59">
        <v>9</v>
      </c>
      <c r="J59">
        <v>1780.81</v>
      </c>
      <c r="K59">
        <v>1</v>
      </c>
      <c r="L59" t="s">
        <v>196</v>
      </c>
      <c r="M59">
        <v>0</v>
      </c>
    </row>
    <row r="60" spans="1:13" x14ac:dyDescent="0.3">
      <c r="A60" t="s">
        <v>268</v>
      </c>
      <c r="B60">
        <v>3</v>
      </c>
      <c r="C60" s="1">
        <v>45843</v>
      </c>
      <c r="D60">
        <v>2025</v>
      </c>
      <c r="E60" t="s">
        <v>214</v>
      </c>
      <c r="F60" t="s">
        <v>199</v>
      </c>
      <c r="G60" t="s">
        <v>200</v>
      </c>
      <c r="H60" t="s">
        <v>206</v>
      </c>
      <c r="I60">
        <v>7</v>
      </c>
      <c r="J60">
        <v>5506.75</v>
      </c>
      <c r="K60">
        <v>0</v>
      </c>
      <c r="L60" t="s">
        <v>196</v>
      </c>
      <c r="M60">
        <v>0</v>
      </c>
    </row>
    <row r="61" spans="1:13" x14ac:dyDescent="0.3">
      <c r="A61" t="s">
        <v>269</v>
      </c>
      <c r="B61">
        <v>3</v>
      </c>
      <c r="C61" s="1">
        <v>45946</v>
      </c>
      <c r="D61">
        <v>2025</v>
      </c>
      <c r="E61" t="s">
        <v>214</v>
      </c>
      <c r="F61" t="s">
        <v>12</v>
      </c>
      <c r="G61" t="s">
        <v>212</v>
      </c>
      <c r="H61" t="s">
        <v>195</v>
      </c>
      <c r="I61">
        <v>3</v>
      </c>
      <c r="J61">
        <v>435.21</v>
      </c>
      <c r="K61">
        <v>0</v>
      </c>
      <c r="L61" t="s">
        <v>210</v>
      </c>
      <c r="M61">
        <v>1</v>
      </c>
    </row>
    <row r="62" spans="1:13" x14ac:dyDescent="0.3">
      <c r="A62" t="s">
        <v>270</v>
      </c>
      <c r="B62">
        <v>3</v>
      </c>
      <c r="C62" s="1">
        <v>45839</v>
      </c>
      <c r="D62">
        <v>2025</v>
      </c>
      <c r="E62" t="s">
        <v>227</v>
      </c>
      <c r="F62" t="s">
        <v>13</v>
      </c>
      <c r="G62" t="s">
        <v>203</v>
      </c>
      <c r="H62" t="s">
        <v>195</v>
      </c>
      <c r="I62">
        <v>19</v>
      </c>
      <c r="J62">
        <v>2064.1799999999998</v>
      </c>
      <c r="K62">
        <v>0</v>
      </c>
      <c r="L62" t="s">
        <v>210</v>
      </c>
      <c r="M62">
        <v>0</v>
      </c>
    </row>
    <row r="63" spans="1:13" x14ac:dyDescent="0.3">
      <c r="A63" t="s">
        <v>271</v>
      </c>
      <c r="B63">
        <v>3</v>
      </c>
      <c r="C63" s="1">
        <v>45663</v>
      </c>
      <c r="D63">
        <v>2025</v>
      </c>
      <c r="E63" t="s">
        <v>198</v>
      </c>
      <c r="F63" t="s">
        <v>13</v>
      </c>
      <c r="G63" t="s">
        <v>203</v>
      </c>
      <c r="H63" t="s">
        <v>195</v>
      </c>
      <c r="I63">
        <v>14</v>
      </c>
      <c r="J63">
        <v>2171.87</v>
      </c>
      <c r="K63">
        <v>1</v>
      </c>
      <c r="L63" t="s">
        <v>196</v>
      </c>
      <c r="M63">
        <v>0</v>
      </c>
    </row>
    <row r="64" spans="1:13" x14ac:dyDescent="0.3">
      <c r="A64" t="s">
        <v>272</v>
      </c>
      <c r="B64">
        <v>4</v>
      </c>
      <c r="C64" s="1">
        <v>44431</v>
      </c>
      <c r="D64">
        <v>2021</v>
      </c>
      <c r="E64" t="s">
        <v>214</v>
      </c>
      <c r="F64" t="s">
        <v>13</v>
      </c>
      <c r="G64" t="s">
        <v>191</v>
      </c>
      <c r="H64" t="s">
        <v>206</v>
      </c>
      <c r="I64">
        <v>17</v>
      </c>
      <c r="J64">
        <v>3517.98</v>
      </c>
      <c r="K64">
        <v>0</v>
      </c>
      <c r="L64" t="s">
        <v>215</v>
      </c>
      <c r="M64">
        <v>0</v>
      </c>
    </row>
    <row r="65" spans="1:13" x14ac:dyDescent="0.3">
      <c r="A65" t="s">
        <v>273</v>
      </c>
      <c r="B65">
        <v>4</v>
      </c>
      <c r="C65" s="1">
        <v>44274</v>
      </c>
      <c r="D65">
        <v>2021</v>
      </c>
      <c r="E65" t="s">
        <v>219</v>
      </c>
      <c r="F65" t="s">
        <v>13</v>
      </c>
      <c r="G65" t="s">
        <v>212</v>
      </c>
      <c r="H65" t="s">
        <v>206</v>
      </c>
      <c r="I65">
        <v>15</v>
      </c>
      <c r="J65">
        <v>2742.17</v>
      </c>
      <c r="K65">
        <v>1</v>
      </c>
      <c r="L65" t="s">
        <v>193</v>
      </c>
      <c r="M65">
        <v>1</v>
      </c>
    </row>
    <row r="66" spans="1:13" x14ac:dyDescent="0.3">
      <c r="A66" t="s">
        <v>274</v>
      </c>
      <c r="B66">
        <v>4</v>
      </c>
      <c r="C66" s="1">
        <v>44229</v>
      </c>
      <c r="D66">
        <v>2021</v>
      </c>
      <c r="E66" t="s">
        <v>198</v>
      </c>
      <c r="F66" t="s">
        <v>13</v>
      </c>
      <c r="G66" t="s">
        <v>203</v>
      </c>
      <c r="H66" t="s">
        <v>204</v>
      </c>
      <c r="I66">
        <v>7</v>
      </c>
      <c r="J66">
        <v>2498.3000000000002</v>
      </c>
      <c r="K66">
        <v>1</v>
      </c>
      <c r="L66" t="s">
        <v>193</v>
      </c>
      <c r="M66">
        <v>0</v>
      </c>
    </row>
    <row r="67" spans="1:13" x14ac:dyDescent="0.3">
      <c r="A67" t="s">
        <v>275</v>
      </c>
      <c r="B67">
        <v>4</v>
      </c>
      <c r="C67" s="1">
        <v>44556</v>
      </c>
      <c r="D67">
        <v>2021</v>
      </c>
      <c r="E67" t="s">
        <v>198</v>
      </c>
      <c r="F67" t="s">
        <v>199</v>
      </c>
      <c r="G67" t="s">
        <v>200</v>
      </c>
      <c r="H67" t="s">
        <v>195</v>
      </c>
      <c r="I67">
        <v>2</v>
      </c>
      <c r="J67">
        <v>6656.98</v>
      </c>
      <c r="K67">
        <v>1</v>
      </c>
      <c r="L67" t="s">
        <v>196</v>
      </c>
      <c r="M67">
        <v>0</v>
      </c>
    </row>
    <row r="68" spans="1:13" x14ac:dyDescent="0.3">
      <c r="A68" t="s">
        <v>276</v>
      </c>
      <c r="B68">
        <v>4</v>
      </c>
      <c r="C68" s="1">
        <v>44229</v>
      </c>
      <c r="D68">
        <v>2021</v>
      </c>
      <c r="E68" t="s">
        <v>227</v>
      </c>
      <c r="F68" t="s">
        <v>13</v>
      </c>
      <c r="G68" t="s">
        <v>191</v>
      </c>
      <c r="H68" t="s">
        <v>204</v>
      </c>
      <c r="I68">
        <v>7</v>
      </c>
      <c r="J68">
        <v>1963.48</v>
      </c>
      <c r="K68">
        <v>0</v>
      </c>
      <c r="L68" t="s">
        <v>210</v>
      </c>
      <c r="M68">
        <v>1</v>
      </c>
    </row>
    <row r="69" spans="1:13" x14ac:dyDescent="0.3">
      <c r="A69" t="s">
        <v>277</v>
      </c>
      <c r="B69">
        <v>4</v>
      </c>
      <c r="C69" s="1">
        <v>44660</v>
      </c>
      <c r="D69">
        <v>2022</v>
      </c>
      <c r="E69" t="s">
        <v>219</v>
      </c>
      <c r="F69" t="s">
        <v>12</v>
      </c>
      <c r="G69" t="s">
        <v>212</v>
      </c>
      <c r="H69" t="s">
        <v>195</v>
      </c>
      <c r="I69">
        <v>1</v>
      </c>
      <c r="J69">
        <v>1237.51</v>
      </c>
      <c r="K69">
        <v>0</v>
      </c>
      <c r="L69" t="s">
        <v>201</v>
      </c>
      <c r="M69">
        <v>1</v>
      </c>
    </row>
    <row r="70" spans="1:13" x14ac:dyDescent="0.3">
      <c r="A70" t="s">
        <v>278</v>
      </c>
      <c r="B70">
        <v>4</v>
      </c>
      <c r="C70" s="1">
        <v>44869</v>
      </c>
      <c r="D70">
        <v>2022</v>
      </c>
      <c r="E70" t="s">
        <v>198</v>
      </c>
      <c r="F70" t="s">
        <v>199</v>
      </c>
      <c r="G70" t="s">
        <v>191</v>
      </c>
      <c r="H70" t="s">
        <v>206</v>
      </c>
      <c r="I70">
        <v>2</v>
      </c>
      <c r="J70">
        <v>4744.1499999999996</v>
      </c>
      <c r="K70">
        <v>1</v>
      </c>
      <c r="L70" t="s">
        <v>193</v>
      </c>
      <c r="M70">
        <v>0</v>
      </c>
    </row>
    <row r="71" spans="1:13" x14ac:dyDescent="0.3">
      <c r="A71" t="s">
        <v>279</v>
      </c>
      <c r="B71">
        <v>4</v>
      </c>
      <c r="C71" s="1">
        <v>44919</v>
      </c>
      <c r="D71">
        <v>2022</v>
      </c>
      <c r="E71" t="s">
        <v>214</v>
      </c>
      <c r="F71" t="s">
        <v>199</v>
      </c>
      <c r="G71" t="s">
        <v>203</v>
      </c>
      <c r="H71" t="s">
        <v>206</v>
      </c>
      <c r="I71">
        <v>3</v>
      </c>
      <c r="J71">
        <v>5901.63</v>
      </c>
      <c r="K71">
        <v>0</v>
      </c>
      <c r="L71" t="s">
        <v>193</v>
      </c>
      <c r="M71">
        <v>0</v>
      </c>
    </row>
    <row r="72" spans="1:13" x14ac:dyDescent="0.3">
      <c r="A72" t="s">
        <v>280</v>
      </c>
      <c r="B72">
        <v>4</v>
      </c>
      <c r="C72" s="1">
        <v>44763</v>
      </c>
      <c r="D72">
        <v>2022</v>
      </c>
      <c r="E72" t="s">
        <v>214</v>
      </c>
      <c r="F72" t="s">
        <v>209</v>
      </c>
      <c r="G72" t="s">
        <v>212</v>
      </c>
      <c r="H72" t="s">
        <v>204</v>
      </c>
      <c r="I72">
        <v>6</v>
      </c>
      <c r="J72">
        <v>138.34</v>
      </c>
      <c r="K72">
        <v>0</v>
      </c>
      <c r="L72" t="s">
        <v>215</v>
      </c>
      <c r="M72">
        <v>1</v>
      </c>
    </row>
    <row r="73" spans="1:13" x14ac:dyDescent="0.3">
      <c r="A73" t="s">
        <v>281</v>
      </c>
      <c r="B73">
        <v>4</v>
      </c>
      <c r="C73" s="1">
        <v>45073</v>
      </c>
      <c r="D73">
        <v>2023</v>
      </c>
      <c r="E73" t="s">
        <v>198</v>
      </c>
      <c r="F73" t="s">
        <v>13</v>
      </c>
      <c r="G73" t="s">
        <v>200</v>
      </c>
      <c r="H73" t="s">
        <v>195</v>
      </c>
      <c r="I73">
        <v>12</v>
      </c>
      <c r="J73">
        <v>3904.34</v>
      </c>
      <c r="K73">
        <v>1</v>
      </c>
      <c r="L73" t="s">
        <v>196</v>
      </c>
      <c r="M73">
        <v>1</v>
      </c>
    </row>
    <row r="74" spans="1:13" x14ac:dyDescent="0.3">
      <c r="A74" t="s">
        <v>282</v>
      </c>
      <c r="B74">
        <v>4</v>
      </c>
      <c r="C74" s="1">
        <v>45216</v>
      </c>
      <c r="D74">
        <v>2023</v>
      </c>
      <c r="E74" t="s">
        <v>219</v>
      </c>
      <c r="F74" t="s">
        <v>13</v>
      </c>
      <c r="G74" t="s">
        <v>212</v>
      </c>
      <c r="H74" t="s">
        <v>204</v>
      </c>
      <c r="I74">
        <v>2</v>
      </c>
      <c r="J74">
        <v>3954.8</v>
      </c>
      <c r="K74">
        <v>0</v>
      </c>
      <c r="L74" t="s">
        <v>210</v>
      </c>
      <c r="M74">
        <v>1</v>
      </c>
    </row>
    <row r="75" spans="1:13" x14ac:dyDescent="0.3">
      <c r="A75" t="s">
        <v>283</v>
      </c>
      <c r="B75">
        <v>4</v>
      </c>
      <c r="C75" s="1">
        <v>45116</v>
      </c>
      <c r="D75">
        <v>2023</v>
      </c>
      <c r="E75" t="s">
        <v>198</v>
      </c>
      <c r="F75" t="s">
        <v>199</v>
      </c>
      <c r="G75" t="s">
        <v>200</v>
      </c>
      <c r="H75" t="s">
        <v>195</v>
      </c>
      <c r="I75">
        <v>15</v>
      </c>
      <c r="J75">
        <v>6992.19</v>
      </c>
      <c r="K75">
        <v>1</v>
      </c>
      <c r="L75" t="s">
        <v>193</v>
      </c>
      <c r="M75">
        <v>1</v>
      </c>
    </row>
    <row r="76" spans="1:13" x14ac:dyDescent="0.3">
      <c r="A76" t="s">
        <v>284</v>
      </c>
      <c r="B76">
        <v>4</v>
      </c>
      <c r="C76" s="1">
        <v>44934</v>
      </c>
      <c r="D76">
        <v>2023</v>
      </c>
      <c r="E76" t="s">
        <v>198</v>
      </c>
      <c r="F76" t="s">
        <v>13</v>
      </c>
      <c r="G76" t="s">
        <v>212</v>
      </c>
      <c r="H76" t="s">
        <v>195</v>
      </c>
      <c r="I76">
        <v>2</v>
      </c>
      <c r="J76">
        <v>3422.46</v>
      </c>
      <c r="K76">
        <v>1</v>
      </c>
      <c r="L76" t="s">
        <v>196</v>
      </c>
      <c r="M76">
        <v>1</v>
      </c>
    </row>
    <row r="77" spans="1:13" x14ac:dyDescent="0.3">
      <c r="A77" t="s">
        <v>285</v>
      </c>
      <c r="B77">
        <v>4</v>
      </c>
      <c r="C77" s="1">
        <v>45589</v>
      </c>
      <c r="D77">
        <v>2024</v>
      </c>
      <c r="E77" t="s">
        <v>214</v>
      </c>
      <c r="F77" t="s">
        <v>12</v>
      </c>
      <c r="G77" t="s">
        <v>203</v>
      </c>
      <c r="H77" t="s">
        <v>204</v>
      </c>
      <c r="I77">
        <v>10</v>
      </c>
      <c r="J77">
        <v>294.5</v>
      </c>
      <c r="K77">
        <v>0</v>
      </c>
      <c r="L77" t="s">
        <v>215</v>
      </c>
      <c r="M77">
        <v>0</v>
      </c>
    </row>
    <row r="78" spans="1:13" x14ac:dyDescent="0.3">
      <c r="A78" t="s">
        <v>286</v>
      </c>
      <c r="B78">
        <v>4</v>
      </c>
      <c r="C78" s="1">
        <v>45438</v>
      </c>
      <c r="D78">
        <v>2024</v>
      </c>
      <c r="E78" t="s">
        <v>287</v>
      </c>
      <c r="F78" t="s">
        <v>209</v>
      </c>
      <c r="G78" t="s">
        <v>212</v>
      </c>
      <c r="H78" t="s">
        <v>204</v>
      </c>
      <c r="I78">
        <v>11</v>
      </c>
      <c r="J78">
        <v>516.17999999999995</v>
      </c>
      <c r="K78">
        <v>1</v>
      </c>
      <c r="L78" t="s">
        <v>201</v>
      </c>
      <c r="M78">
        <v>1</v>
      </c>
    </row>
    <row r="79" spans="1:13" x14ac:dyDescent="0.3">
      <c r="A79" t="s">
        <v>288</v>
      </c>
      <c r="B79">
        <v>4</v>
      </c>
      <c r="C79" s="1">
        <v>45670</v>
      </c>
      <c r="D79">
        <v>2025</v>
      </c>
      <c r="E79" t="s">
        <v>190</v>
      </c>
      <c r="F79" t="s">
        <v>12</v>
      </c>
      <c r="G79" t="s">
        <v>200</v>
      </c>
      <c r="H79" t="s">
        <v>192</v>
      </c>
      <c r="I79">
        <v>7</v>
      </c>
      <c r="J79">
        <v>1371.43</v>
      </c>
      <c r="K79">
        <v>0</v>
      </c>
      <c r="L79" t="s">
        <v>201</v>
      </c>
      <c r="M79">
        <v>0</v>
      </c>
    </row>
    <row r="80" spans="1:13" x14ac:dyDescent="0.3">
      <c r="A80" t="s">
        <v>289</v>
      </c>
      <c r="B80">
        <v>4</v>
      </c>
      <c r="C80" s="1">
        <v>45840</v>
      </c>
      <c r="D80">
        <v>2025</v>
      </c>
      <c r="E80" t="s">
        <v>198</v>
      </c>
      <c r="F80" t="s">
        <v>199</v>
      </c>
      <c r="G80" t="s">
        <v>191</v>
      </c>
      <c r="H80" t="s">
        <v>206</v>
      </c>
      <c r="I80">
        <v>18</v>
      </c>
      <c r="J80">
        <v>6862.49</v>
      </c>
      <c r="K80">
        <v>1</v>
      </c>
      <c r="L80" t="s">
        <v>196</v>
      </c>
      <c r="M80">
        <v>0</v>
      </c>
    </row>
    <row r="81" spans="1:13" x14ac:dyDescent="0.3">
      <c r="A81" t="s">
        <v>290</v>
      </c>
      <c r="B81">
        <v>4</v>
      </c>
      <c r="C81" s="1">
        <v>45999</v>
      </c>
      <c r="D81">
        <v>2025</v>
      </c>
      <c r="E81" t="s">
        <v>227</v>
      </c>
      <c r="F81" t="s">
        <v>199</v>
      </c>
      <c r="G81" t="s">
        <v>212</v>
      </c>
      <c r="H81" t="s">
        <v>195</v>
      </c>
      <c r="I81">
        <v>8</v>
      </c>
      <c r="J81">
        <v>7989.49</v>
      </c>
      <c r="K81">
        <v>1</v>
      </c>
      <c r="L81" t="s">
        <v>196</v>
      </c>
      <c r="M81">
        <v>1</v>
      </c>
    </row>
    <row r="82" spans="1:13" x14ac:dyDescent="0.3">
      <c r="A82" t="s">
        <v>291</v>
      </c>
      <c r="B82">
        <v>4</v>
      </c>
      <c r="C82" s="1">
        <v>45965</v>
      </c>
      <c r="D82">
        <v>2025</v>
      </c>
      <c r="E82" t="s">
        <v>227</v>
      </c>
      <c r="F82" t="s">
        <v>199</v>
      </c>
      <c r="G82" t="s">
        <v>191</v>
      </c>
      <c r="H82" t="s">
        <v>192</v>
      </c>
      <c r="I82">
        <v>9</v>
      </c>
      <c r="J82">
        <v>7437.02</v>
      </c>
      <c r="K82">
        <v>1</v>
      </c>
      <c r="L82" t="s">
        <v>196</v>
      </c>
      <c r="M82">
        <v>0</v>
      </c>
    </row>
    <row r="83" spans="1:13" x14ac:dyDescent="0.3">
      <c r="A83" t="s">
        <v>292</v>
      </c>
      <c r="B83">
        <v>4</v>
      </c>
      <c r="C83" s="1">
        <v>45833</v>
      </c>
      <c r="D83">
        <v>2025</v>
      </c>
      <c r="E83" t="s">
        <v>198</v>
      </c>
      <c r="F83" t="s">
        <v>12</v>
      </c>
      <c r="G83" t="s">
        <v>203</v>
      </c>
      <c r="H83" t="s">
        <v>195</v>
      </c>
      <c r="I83">
        <v>8</v>
      </c>
      <c r="J83">
        <v>380.47</v>
      </c>
      <c r="K83">
        <v>1</v>
      </c>
      <c r="L83" t="s">
        <v>201</v>
      </c>
      <c r="M83">
        <v>1</v>
      </c>
    </row>
    <row r="84" spans="1:13" x14ac:dyDescent="0.3">
      <c r="A84" t="s">
        <v>293</v>
      </c>
      <c r="B84">
        <v>4</v>
      </c>
      <c r="C84" s="1">
        <v>45878</v>
      </c>
      <c r="D84">
        <v>2025</v>
      </c>
      <c r="E84" t="s">
        <v>198</v>
      </c>
      <c r="F84" t="s">
        <v>199</v>
      </c>
      <c r="G84" t="s">
        <v>191</v>
      </c>
      <c r="H84" t="s">
        <v>206</v>
      </c>
      <c r="I84">
        <v>3</v>
      </c>
      <c r="J84">
        <v>4177.17</v>
      </c>
      <c r="K84">
        <v>1</v>
      </c>
      <c r="L84" t="s">
        <v>193</v>
      </c>
      <c r="M84">
        <v>1</v>
      </c>
    </row>
    <row r="85" spans="1:13" x14ac:dyDescent="0.3">
      <c r="A85" t="s">
        <v>294</v>
      </c>
      <c r="B85">
        <v>5</v>
      </c>
      <c r="C85" s="1">
        <v>44204</v>
      </c>
      <c r="D85">
        <v>2021</v>
      </c>
      <c r="E85" t="s">
        <v>190</v>
      </c>
      <c r="F85" t="s">
        <v>13</v>
      </c>
      <c r="G85" t="s">
        <v>212</v>
      </c>
      <c r="H85" t="s">
        <v>195</v>
      </c>
      <c r="I85">
        <v>17</v>
      </c>
      <c r="J85">
        <v>1833.9</v>
      </c>
      <c r="K85">
        <v>1</v>
      </c>
      <c r="L85" t="s">
        <v>215</v>
      </c>
      <c r="M85">
        <v>1</v>
      </c>
    </row>
    <row r="86" spans="1:13" x14ac:dyDescent="0.3">
      <c r="A86" t="s">
        <v>295</v>
      </c>
      <c r="B86">
        <v>5</v>
      </c>
      <c r="C86" s="1">
        <v>44229</v>
      </c>
      <c r="D86">
        <v>2021</v>
      </c>
      <c r="E86" t="s">
        <v>198</v>
      </c>
      <c r="F86" t="s">
        <v>13</v>
      </c>
      <c r="G86" t="s">
        <v>212</v>
      </c>
      <c r="H86" t="s">
        <v>195</v>
      </c>
      <c r="I86">
        <v>5</v>
      </c>
      <c r="J86">
        <v>2153.9899999999998</v>
      </c>
      <c r="K86">
        <v>1</v>
      </c>
      <c r="L86" t="s">
        <v>196</v>
      </c>
      <c r="M86">
        <v>1</v>
      </c>
    </row>
    <row r="87" spans="1:13" x14ac:dyDescent="0.3">
      <c r="A87" t="s">
        <v>296</v>
      </c>
      <c r="B87">
        <v>5</v>
      </c>
      <c r="C87" s="1">
        <v>44277</v>
      </c>
      <c r="D87">
        <v>2021</v>
      </c>
      <c r="E87" t="s">
        <v>227</v>
      </c>
      <c r="F87" t="s">
        <v>12</v>
      </c>
      <c r="G87" t="s">
        <v>203</v>
      </c>
      <c r="H87" t="s">
        <v>192</v>
      </c>
      <c r="I87">
        <v>18</v>
      </c>
      <c r="J87">
        <v>1010.92</v>
      </c>
      <c r="K87">
        <v>0</v>
      </c>
      <c r="L87" t="s">
        <v>215</v>
      </c>
      <c r="M87">
        <v>1</v>
      </c>
    </row>
    <row r="88" spans="1:13" x14ac:dyDescent="0.3">
      <c r="A88" t="s">
        <v>297</v>
      </c>
      <c r="B88">
        <v>5</v>
      </c>
      <c r="C88" s="1">
        <v>44476</v>
      </c>
      <c r="D88">
        <v>2021</v>
      </c>
      <c r="E88" t="s">
        <v>225</v>
      </c>
      <c r="F88" t="s">
        <v>199</v>
      </c>
      <c r="G88" t="s">
        <v>203</v>
      </c>
      <c r="H88" t="s">
        <v>195</v>
      </c>
      <c r="I88">
        <v>3</v>
      </c>
      <c r="J88">
        <v>6544.78</v>
      </c>
      <c r="K88">
        <v>0</v>
      </c>
      <c r="L88" t="s">
        <v>196</v>
      </c>
      <c r="M88">
        <v>0</v>
      </c>
    </row>
    <row r="89" spans="1:13" x14ac:dyDescent="0.3">
      <c r="A89" t="s">
        <v>298</v>
      </c>
      <c r="B89">
        <v>5</v>
      </c>
      <c r="C89" s="1">
        <v>44875</v>
      </c>
      <c r="D89">
        <v>2022</v>
      </c>
      <c r="E89" t="s">
        <v>190</v>
      </c>
      <c r="F89" t="s">
        <v>13</v>
      </c>
      <c r="G89" t="s">
        <v>212</v>
      </c>
      <c r="H89" t="s">
        <v>204</v>
      </c>
      <c r="I89">
        <v>3</v>
      </c>
      <c r="J89">
        <v>2704.91</v>
      </c>
      <c r="K89">
        <v>0</v>
      </c>
      <c r="L89" t="s">
        <v>193</v>
      </c>
      <c r="M89">
        <v>1</v>
      </c>
    </row>
    <row r="90" spans="1:13" x14ac:dyDescent="0.3">
      <c r="A90" t="s">
        <v>299</v>
      </c>
      <c r="B90">
        <v>5</v>
      </c>
      <c r="C90" s="1">
        <v>44757</v>
      </c>
      <c r="D90">
        <v>2022</v>
      </c>
      <c r="E90" t="s">
        <v>219</v>
      </c>
      <c r="F90" t="s">
        <v>13</v>
      </c>
      <c r="G90" t="s">
        <v>200</v>
      </c>
      <c r="H90" t="s">
        <v>192</v>
      </c>
      <c r="I90">
        <v>2</v>
      </c>
      <c r="J90">
        <v>3398.77</v>
      </c>
      <c r="K90">
        <v>0</v>
      </c>
      <c r="L90" t="s">
        <v>215</v>
      </c>
      <c r="M90">
        <v>0</v>
      </c>
    </row>
    <row r="91" spans="1:13" x14ac:dyDescent="0.3">
      <c r="A91" t="s">
        <v>300</v>
      </c>
      <c r="B91">
        <v>5</v>
      </c>
      <c r="C91" s="1">
        <v>44814</v>
      </c>
      <c r="D91">
        <v>2022</v>
      </c>
      <c r="E91" t="s">
        <v>214</v>
      </c>
      <c r="F91" t="s">
        <v>12</v>
      </c>
      <c r="G91" t="s">
        <v>212</v>
      </c>
      <c r="H91" t="s">
        <v>192</v>
      </c>
      <c r="I91">
        <v>12</v>
      </c>
      <c r="J91">
        <v>1074.04</v>
      </c>
      <c r="K91">
        <v>0</v>
      </c>
      <c r="L91" t="s">
        <v>201</v>
      </c>
      <c r="M91">
        <v>1</v>
      </c>
    </row>
    <row r="92" spans="1:13" x14ac:dyDescent="0.3">
      <c r="A92" t="s">
        <v>301</v>
      </c>
      <c r="B92">
        <v>5</v>
      </c>
      <c r="C92" s="1">
        <v>44967</v>
      </c>
      <c r="D92">
        <v>2023</v>
      </c>
      <c r="E92" t="s">
        <v>214</v>
      </c>
      <c r="F92" t="s">
        <v>199</v>
      </c>
      <c r="G92" t="s">
        <v>200</v>
      </c>
      <c r="H92" t="s">
        <v>204</v>
      </c>
      <c r="I92">
        <v>11</v>
      </c>
      <c r="J92">
        <v>4472.9799999999996</v>
      </c>
      <c r="K92">
        <v>1</v>
      </c>
      <c r="L92" t="s">
        <v>201</v>
      </c>
      <c r="M92">
        <v>0</v>
      </c>
    </row>
    <row r="93" spans="1:13" x14ac:dyDescent="0.3">
      <c r="A93" t="s">
        <v>302</v>
      </c>
      <c r="B93">
        <v>5</v>
      </c>
      <c r="C93" s="1">
        <v>45202</v>
      </c>
      <c r="D93">
        <v>2023</v>
      </c>
      <c r="E93" t="s">
        <v>198</v>
      </c>
      <c r="F93" t="s">
        <v>13</v>
      </c>
      <c r="G93" t="s">
        <v>203</v>
      </c>
      <c r="H93" t="s">
        <v>204</v>
      </c>
      <c r="I93">
        <v>6</v>
      </c>
      <c r="J93">
        <v>1539.41</v>
      </c>
      <c r="K93">
        <v>1</v>
      </c>
      <c r="L93" t="s">
        <v>215</v>
      </c>
      <c r="M93">
        <v>1</v>
      </c>
    </row>
    <row r="94" spans="1:13" x14ac:dyDescent="0.3">
      <c r="A94" t="s">
        <v>303</v>
      </c>
      <c r="B94">
        <v>5</v>
      </c>
      <c r="C94" s="1">
        <v>44993</v>
      </c>
      <c r="D94">
        <v>2023</v>
      </c>
      <c r="E94" t="s">
        <v>214</v>
      </c>
      <c r="F94" t="s">
        <v>13</v>
      </c>
      <c r="G94" t="s">
        <v>200</v>
      </c>
      <c r="H94" t="s">
        <v>192</v>
      </c>
      <c r="I94">
        <v>11</v>
      </c>
      <c r="J94">
        <v>3053.32</v>
      </c>
      <c r="K94">
        <v>1</v>
      </c>
      <c r="L94" t="s">
        <v>215</v>
      </c>
      <c r="M94">
        <v>0</v>
      </c>
    </row>
    <row r="95" spans="1:13" x14ac:dyDescent="0.3">
      <c r="A95" t="s">
        <v>304</v>
      </c>
      <c r="B95">
        <v>5</v>
      </c>
      <c r="C95" s="1">
        <v>45314</v>
      </c>
      <c r="D95">
        <v>2024</v>
      </c>
      <c r="E95" t="s">
        <v>287</v>
      </c>
      <c r="F95" t="s">
        <v>199</v>
      </c>
      <c r="G95" t="s">
        <v>200</v>
      </c>
      <c r="H95" t="s">
        <v>206</v>
      </c>
      <c r="I95">
        <v>2</v>
      </c>
      <c r="J95">
        <v>7171.74</v>
      </c>
      <c r="K95">
        <v>0</v>
      </c>
      <c r="L95" t="s">
        <v>196</v>
      </c>
      <c r="M95">
        <v>0</v>
      </c>
    </row>
    <row r="96" spans="1:13" x14ac:dyDescent="0.3">
      <c r="A96" t="s">
        <v>305</v>
      </c>
      <c r="B96">
        <v>5</v>
      </c>
      <c r="C96" s="1">
        <v>45325</v>
      </c>
      <c r="D96">
        <v>2024</v>
      </c>
      <c r="E96" t="s">
        <v>219</v>
      </c>
      <c r="F96" t="s">
        <v>12</v>
      </c>
      <c r="G96" t="s">
        <v>200</v>
      </c>
      <c r="H96" t="s">
        <v>192</v>
      </c>
      <c r="I96">
        <v>13</v>
      </c>
      <c r="J96">
        <v>962.96</v>
      </c>
      <c r="K96">
        <v>0</v>
      </c>
      <c r="L96" t="s">
        <v>215</v>
      </c>
      <c r="M96">
        <v>0</v>
      </c>
    </row>
    <row r="97" spans="1:13" x14ac:dyDescent="0.3">
      <c r="A97" t="s">
        <v>306</v>
      </c>
      <c r="B97">
        <v>5</v>
      </c>
      <c r="C97" s="1">
        <v>45483</v>
      </c>
      <c r="D97">
        <v>2024</v>
      </c>
      <c r="E97" t="s">
        <v>214</v>
      </c>
      <c r="F97" t="s">
        <v>12</v>
      </c>
      <c r="G97" t="s">
        <v>212</v>
      </c>
      <c r="H97" t="s">
        <v>204</v>
      </c>
      <c r="I97">
        <v>9</v>
      </c>
      <c r="J97">
        <v>760.17</v>
      </c>
      <c r="K97">
        <v>0</v>
      </c>
      <c r="L97" t="s">
        <v>215</v>
      </c>
      <c r="M97">
        <v>1</v>
      </c>
    </row>
    <row r="98" spans="1:13" x14ac:dyDescent="0.3">
      <c r="A98" t="s">
        <v>307</v>
      </c>
      <c r="B98">
        <v>5</v>
      </c>
      <c r="C98" s="1">
        <v>45432</v>
      </c>
      <c r="D98">
        <v>2024</v>
      </c>
      <c r="E98" t="s">
        <v>227</v>
      </c>
      <c r="F98" t="s">
        <v>12</v>
      </c>
      <c r="G98" t="s">
        <v>203</v>
      </c>
      <c r="H98" t="s">
        <v>195</v>
      </c>
      <c r="I98">
        <v>5</v>
      </c>
      <c r="J98">
        <v>989.03</v>
      </c>
      <c r="K98">
        <v>0</v>
      </c>
      <c r="L98" t="s">
        <v>215</v>
      </c>
      <c r="M98">
        <v>0</v>
      </c>
    </row>
    <row r="99" spans="1:13" x14ac:dyDescent="0.3">
      <c r="A99" t="s">
        <v>308</v>
      </c>
      <c r="B99">
        <v>5</v>
      </c>
      <c r="C99" s="1">
        <v>45760</v>
      </c>
      <c r="D99">
        <v>2025</v>
      </c>
      <c r="E99" t="s">
        <v>227</v>
      </c>
      <c r="F99" t="s">
        <v>13</v>
      </c>
      <c r="G99" t="s">
        <v>191</v>
      </c>
      <c r="H99" t="s">
        <v>192</v>
      </c>
      <c r="I99">
        <v>5</v>
      </c>
      <c r="J99">
        <v>1231.93</v>
      </c>
      <c r="K99">
        <v>0</v>
      </c>
      <c r="L99" t="s">
        <v>215</v>
      </c>
      <c r="M99">
        <v>0</v>
      </c>
    </row>
    <row r="100" spans="1:13" x14ac:dyDescent="0.3">
      <c r="A100" t="s">
        <v>309</v>
      </c>
      <c r="B100">
        <v>5</v>
      </c>
      <c r="C100" s="1">
        <v>45951</v>
      </c>
      <c r="D100">
        <v>2025</v>
      </c>
      <c r="E100" t="s">
        <v>225</v>
      </c>
      <c r="F100" t="s">
        <v>13</v>
      </c>
      <c r="G100" t="s">
        <v>212</v>
      </c>
      <c r="H100" t="s">
        <v>206</v>
      </c>
      <c r="I100">
        <v>9</v>
      </c>
      <c r="J100">
        <v>2416.9899999999998</v>
      </c>
      <c r="K100">
        <v>0</v>
      </c>
      <c r="L100" t="s">
        <v>215</v>
      </c>
      <c r="M100">
        <v>1</v>
      </c>
    </row>
    <row r="101" spans="1:13" x14ac:dyDescent="0.3">
      <c r="A101" t="s">
        <v>310</v>
      </c>
      <c r="B101">
        <v>5</v>
      </c>
      <c r="C101" s="1">
        <v>45784</v>
      </c>
      <c r="D101">
        <v>2025</v>
      </c>
      <c r="E101" t="s">
        <v>214</v>
      </c>
      <c r="F101" t="s">
        <v>12</v>
      </c>
      <c r="G101" t="s">
        <v>212</v>
      </c>
      <c r="H101" t="s">
        <v>195</v>
      </c>
      <c r="I101">
        <v>5</v>
      </c>
      <c r="J101">
        <v>1185.24</v>
      </c>
      <c r="K101">
        <v>1</v>
      </c>
      <c r="L101" t="s">
        <v>201</v>
      </c>
      <c r="M101">
        <v>1</v>
      </c>
    </row>
    <row r="102" spans="1:13" x14ac:dyDescent="0.3">
      <c r="A102" t="s">
        <v>311</v>
      </c>
      <c r="B102">
        <v>5</v>
      </c>
      <c r="C102" s="1">
        <v>46005</v>
      </c>
      <c r="D102">
        <v>2025</v>
      </c>
      <c r="E102" t="s">
        <v>225</v>
      </c>
      <c r="F102" t="s">
        <v>13</v>
      </c>
      <c r="G102" t="s">
        <v>212</v>
      </c>
      <c r="H102" t="s">
        <v>195</v>
      </c>
      <c r="I102">
        <v>12</v>
      </c>
      <c r="J102">
        <v>2346.9</v>
      </c>
      <c r="K102">
        <v>0</v>
      </c>
      <c r="L102" t="s">
        <v>193</v>
      </c>
      <c r="M102">
        <v>1</v>
      </c>
    </row>
    <row r="103" spans="1:13" x14ac:dyDescent="0.3">
      <c r="A103" t="s">
        <v>312</v>
      </c>
      <c r="B103">
        <v>5</v>
      </c>
      <c r="C103" s="1">
        <v>45734</v>
      </c>
      <c r="D103">
        <v>2025</v>
      </c>
      <c r="E103" t="s">
        <v>198</v>
      </c>
      <c r="F103" t="s">
        <v>199</v>
      </c>
      <c r="G103" t="s">
        <v>191</v>
      </c>
      <c r="H103" t="s">
        <v>204</v>
      </c>
      <c r="I103">
        <v>7</v>
      </c>
      <c r="J103">
        <v>5830.5</v>
      </c>
      <c r="K103">
        <v>1</v>
      </c>
      <c r="L103" t="s">
        <v>196</v>
      </c>
      <c r="M103">
        <v>0</v>
      </c>
    </row>
    <row r="104" spans="1:13" x14ac:dyDescent="0.3">
      <c r="A104" t="s">
        <v>313</v>
      </c>
      <c r="B104">
        <v>6</v>
      </c>
      <c r="C104" s="1">
        <v>44394</v>
      </c>
      <c r="D104">
        <v>2021</v>
      </c>
      <c r="E104" t="s">
        <v>287</v>
      </c>
      <c r="F104" t="s">
        <v>12</v>
      </c>
      <c r="G104" t="s">
        <v>212</v>
      </c>
      <c r="H104" t="s">
        <v>192</v>
      </c>
      <c r="I104">
        <v>1</v>
      </c>
      <c r="J104">
        <v>1374.84</v>
      </c>
      <c r="K104">
        <v>0</v>
      </c>
      <c r="L104" t="s">
        <v>210</v>
      </c>
      <c r="M104">
        <v>1</v>
      </c>
    </row>
    <row r="105" spans="1:13" x14ac:dyDescent="0.3">
      <c r="A105" t="s">
        <v>314</v>
      </c>
      <c r="B105">
        <v>6</v>
      </c>
      <c r="C105" s="1">
        <v>44241</v>
      </c>
      <c r="D105">
        <v>2021</v>
      </c>
      <c r="E105" t="s">
        <v>214</v>
      </c>
      <c r="F105" t="s">
        <v>12</v>
      </c>
      <c r="G105" t="s">
        <v>191</v>
      </c>
      <c r="H105" t="s">
        <v>195</v>
      </c>
      <c r="I105">
        <v>6</v>
      </c>
      <c r="J105">
        <v>408</v>
      </c>
      <c r="K105">
        <v>0</v>
      </c>
      <c r="L105" t="s">
        <v>210</v>
      </c>
      <c r="M105">
        <v>0</v>
      </c>
    </row>
    <row r="106" spans="1:13" x14ac:dyDescent="0.3">
      <c r="A106" t="s">
        <v>315</v>
      </c>
      <c r="B106">
        <v>6</v>
      </c>
      <c r="C106" s="1">
        <v>44637</v>
      </c>
      <c r="D106">
        <v>2022</v>
      </c>
      <c r="E106" t="s">
        <v>198</v>
      </c>
      <c r="F106" t="s">
        <v>199</v>
      </c>
      <c r="G106" t="s">
        <v>203</v>
      </c>
      <c r="H106" t="s">
        <v>204</v>
      </c>
      <c r="I106">
        <v>3</v>
      </c>
      <c r="J106">
        <v>5563.17</v>
      </c>
      <c r="K106">
        <v>1</v>
      </c>
      <c r="L106" t="s">
        <v>193</v>
      </c>
      <c r="M106">
        <v>1</v>
      </c>
    </row>
    <row r="107" spans="1:13" x14ac:dyDescent="0.3">
      <c r="A107" t="s">
        <v>316</v>
      </c>
      <c r="B107">
        <v>6</v>
      </c>
      <c r="C107" s="1">
        <v>44731</v>
      </c>
      <c r="D107">
        <v>2022</v>
      </c>
      <c r="E107" t="s">
        <v>227</v>
      </c>
      <c r="F107" t="s">
        <v>13</v>
      </c>
      <c r="G107" t="s">
        <v>191</v>
      </c>
      <c r="H107" t="s">
        <v>204</v>
      </c>
      <c r="I107">
        <v>14</v>
      </c>
      <c r="J107">
        <v>3732.02</v>
      </c>
      <c r="K107">
        <v>1</v>
      </c>
      <c r="L107" t="s">
        <v>210</v>
      </c>
      <c r="M107">
        <v>0</v>
      </c>
    </row>
    <row r="108" spans="1:13" x14ac:dyDescent="0.3">
      <c r="A108" t="s">
        <v>317</v>
      </c>
      <c r="B108">
        <v>6</v>
      </c>
      <c r="C108" s="1">
        <v>44796</v>
      </c>
      <c r="D108">
        <v>2022</v>
      </c>
      <c r="E108" t="s">
        <v>198</v>
      </c>
      <c r="F108" t="s">
        <v>12</v>
      </c>
      <c r="G108" t="s">
        <v>191</v>
      </c>
      <c r="H108" t="s">
        <v>192</v>
      </c>
      <c r="I108">
        <v>11</v>
      </c>
      <c r="J108">
        <v>354.74</v>
      </c>
      <c r="K108">
        <v>1</v>
      </c>
      <c r="L108" t="s">
        <v>210</v>
      </c>
      <c r="M108">
        <v>0</v>
      </c>
    </row>
    <row r="109" spans="1:13" x14ac:dyDescent="0.3">
      <c r="A109" t="s">
        <v>318</v>
      </c>
      <c r="B109">
        <v>6</v>
      </c>
      <c r="C109" s="1">
        <v>45118</v>
      </c>
      <c r="D109">
        <v>2023</v>
      </c>
      <c r="E109" t="s">
        <v>219</v>
      </c>
      <c r="F109" t="s">
        <v>13</v>
      </c>
      <c r="G109" t="s">
        <v>200</v>
      </c>
      <c r="H109" t="s">
        <v>206</v>
      </c>
      <c r="I109">
        <v>16</v>
      </c>
      <c r="J109">
        <v>2023.35</v>
      </c>
      <c r="K109">
        <v>0</v>
      </c>
      <c r="L109" t="s">
        <v>201</v>
      </c>
      <c r="M109">
        <v>0</v>
      </c>
    </row>
    <row r="110" spans="1:13" x14ac:dyDescent="0.3">
      <c r="A110" t="s">
        <v>319</v>
      </c>
      <c r="B110">
        <v>6</v>
      </c>
      <c r="C110" s="1">
        <v>45117</v>
      </c>
      <c r="D110">
        <v>2023</v>
      </c>
      <c r="E110" t="s">
        <v>214</v>
      </c>
      <c r="F110" t="s">
        <v>12</v>
      </c>
      <c r="G110" t="s">
        <v>212</v>
      </c>
      <c r="H110" t="s">
        <v>206</v>
      </c>
      <c r="I110">
        <v>10</v>
      </c>
      <c r="J110">
        <v>513.35</v>
      </c>
      <c r="K110">
        <v>1</v>
      </c>
      <c r="L110" t="s">
        <v>210</v>
      </c>
      <c r="M110">
        <v>1</v>
      </c>
    </row>
    <row r="111" spans="1:13" x14ac:dyDescent="0.3">
      <c r="A111" t="s">
        <v>320</v>
      </c>
      <c r="B111">
        <v>6</v>
      </c>
      <c r="C111" s="1">
        <v>45210</v>
      </c>
      <c r="D111">
        <v>2023</v>
      </c>
      <c r="E111" t="s">
        <v>198</v>
      </c>
      <c r="F111" t="s">
        <v>199</v>
      </c>
      <c r="G111" t="s">
        <v>203</v>
      </c>
      <c r="H111" t="s">
        <v>192</v>
      </c>
      <c r="I111">
        <v>5</v>
      </c>
      <c r="J111">
        <v>3431.26</v>
      </c>
      <c r="K111">
        <v>1</v>
      </c>
      <c r="L111" t="s">
        <v>193</v>
      </c>
      <c r="M111">
        <v>0</v>
      </c>
    </row>
    <row r="112" spans="1:13" x14ac:dyDescent="0.3">
      <c r="A112" t="s">
        <v>321</v>
      </c>
      <c r="B112">
        <v>6</v>
      </c>
      <c r="C112" s="1">
        <v>44965</v>
      </c>
      <c r="D112">
        <v>2023</v>
      </c>
      <c r="E112" t="s">
        <v>214</v>
      </c>
      <c r="F112" t="s">
        <v>12</v>
      </c>
      <c r="G112" t="s">
        <v>212</v>
      </c>
      <c r="H112" t="s">
        <v>192</v>
      </c>
      <c r="I112">
        <v>10</v>
      </c>
      <c r="J112">
        <v>1378.18</v>
      </c>
      <c r="K112">
        <v>0</v>
      </c>
      <c r="L112" t="s">
        <v>215</v>
      </c>
      <c r="M112">
        <v>1</v>
      </c>
    </row>
    <row r="113" spans="1:13" x14ac:dyDescent="0.3">
      <c r="A113" t="s">
        <v>322</v>
      </c>
      <c r="B113">
        <v>6</v>
      </c>
      <c r="C113" s="1">
        <v>45017</v>
      </c>
      <c r="D113">
        <v>2023</v>
      </c>
      <c r="E113" t="s">
        <v>190</v>
      </c>
      <c r="F113" t="s">
        <v>12</v>
      </c>
      <c r="G113" t="s">
        <v>212</v>
      </c>
      <c r="H113" t="s">
        <v>206</v>
      </c>
      <c r="I113">
        <v>16</v>
      </c>
      <c r="J113">
        <v>407.72</v>
      </c>
      <c r="K113">
        <v>1</v>
      </c>
      <c r="L113" t="s">
        <v>201</v>
      </c>
      <c r="M113">
        <v>1</v>
      </c>
    </row>
    <row r="114" spans="1:13" x14ac:dyDescent="0.3">
      <c r="A114" t="s">
        <v>323</v>
      </c>
      <c r="B114">
        <v>6</v>
      </c>
      <c r="C114" s="1">
        <v>45283</v>
      </c>
      <c r="D114">
        <v>2023</v>
      </c>
      <c r="E114" t="s">
        <v>214</v>
      </c>
      <c r="F114" t="s">
        <v>199</v>
      </c>
      <c r="G114" t="s">
        <v>200</v>
      </c>
      <c r="H114" t="s">
        <v>204</v>
      </c>
      <c r="I114">
        <v>17</v>
      </c>
      <c r="J114">
        <v>4031.49</v>
      </c>
      <c r="K114">
        <v>0</v>
      </c>
      <c r="L114" t="s">
        <v>201</v>
      </c>
      <c r="M114">
        <v>1</v>
      </c>
    </row>
    <row r="115" spans="1:13" x14ac:dyDescent="0.3">
      <c r="A115" t="s">
        <v>324</v>
      </c>
      <c r="B115">
        <v>6</v>
      </c>
      <c r="C115" s="1">
        <v>45406</v>
      </c>
      <c r="D115">
        <v>2024</v>
      </c>
      <c r="E115" t="s">
        <v>214</v>
      </c>
      <c r="F115" t="s">
        <v>209</v>
      </c>
      <c r="G115" t="s">
        <v>212</v>
      </c>
      <c r="H115" t="s">
        <v>204</v>
      </c>
      <c r="I115">
        <v>2</v>
      </c>
      <c r="J115">
        <v>441.31</v>
      </c>
      <c r="K115">
        <v>0</v>
      </c>
      <c r="L115" t="s">
        <v>201</v>
      </c>
      <c r="M115">
        <v>1</v>
      </c>
    </row>
    <row r="116" spans="1:13" x14ac:dyDescent="0.3">
      <c r="A116" t="s">
        <v>325</v>
      </c>
      <c r="B116">
        <v>6</v>
      </c>
      <c r="C116" s="1">
        <v>45637</v>
      </c>
      <c r="D116">
        <v>2024</v>
      </c>
      <c r="E116" t="s">
        <v>190</v>
      </c>
      <c r="F116" t="s">
        <v>209</v>
      </c>
      <c r="G116" t="s">
        <v>203</v>
      </c>
      <c r="H116" t="s">
        <v>195</v>
      </c>
      <c r="I116">
        <v>6</v>
      </c>
      <c r="J116">
        <v>312.77999999999997</v>
      </c>
      <c r="K116">
        <v>0</v>
      </c>
      <c r="L116" t="s">
        <v>210</v>
      </c>
      <c r="M116">
        <v>1</v>
      </c>
    </row>
    <row r="117" spans="1:13" x14ac:dyDescent="0.3">
      <c r="A117" t="s">
        <v>326</v>
      </c>
      <c r="B117">
        <v>6</v>
      </c>
      <c r="C117" s="1">
        <v>45598</v>
      </c>
      <c r="D117">
        <v>2024</v>
      </c>
      <c r="E117" t="s">
        <v>190</v>
      </c>
      <c r="F117" t="s">
        <v>12</v>
      </c>
      <c r="G117" t="s">
        <v>203</v>
      </c>
      <c r="H117" t="s">
        <v>195</v>
      </c>
      <c r="I117">
        <v>3</v>
      </c>
      <c r="J117">
        <v>1340.14</v>
      </c>
      <c r="K117">
        <v>0</v>
      </c>
      <c r="L117" t="s">
        <v>193</v>
      </c>
      <c r="M117">
        <v>0</v>
      </c>
    </row>
    <row r="118" spans="1:13" x14ac:dyDescent="0.3">
      <c r="A118" t="s">
        <v>327</v>
      </c>
      <c r="B118">
        <v>6</v>
      </c>
      <c r="C118" s="1">
        <v>45740</v>
      </c>
      <c r="D118">
        <v>2025</v>
      </c>
      <c r="E118" t="s">
        <v>214</v>
      </c>
      <c r="F118" t="s">
        <v>13</v>
      </c>
      <c r="G118" t="s">
        <v>212</v>
      </c>
      <c r="H118" t="s">
        <v>195</v>
      </c>
      <c r="I118">
        <v>8</v>
      </c>
      <c r="J118">
        <v>1642.57</v>
      </c>
      <c r="K118">
        <v>1</v>
      </c>
      <c r="L118" t="s">
        <v>196</v>
      </c>
      <c r="M118">
        <v>1</v>
      </c>
    </row>
    <row r="119" spans="1:13" x14ac:dyDescent="0.3">
      <c r="A119" t="s">
        <v>328</v>
      </c>
      <c r="B119">
        <v>6</v>
      </c>
      <c r="C119" s="1">
        <v>45937</v>
      </c>
      <c r="D119">
        <v>2025</v>
      </c>
      <c r="E119" t="s">
        <v>227</v>
      </c>
      <c r="F119" t="s">
        <v>13</v>
      </c>
      <c r="G119" t="s">
        <v>212</v>
      </c>
      <c r="H119" t="s">
        <v>206</v>
      </c>
      <c r="I119">
        <v>15</v>
      </c>
      <c r="J119">
        <v>2046.11</v>
      </c>
      <c r="K119">
        <v>0</v>
      </c>
      <c r="L119" t="s">
        <v>201</v>
      </c>
      <c r="M119">
        <v>1</v>
      </c>
    </row>
    <row r="120" spans="1:13" x14ac:dyDescent="0.3">
      <c r="A120" t="s">
        <v>329</v>
      </c>
      <c r="B120">
        <v>6</v>
      </c>
      <c r="C120" s="1">
        <v>45804</v>
      </c>
      <c r="D120">
        <v>2025</v>
      </c>
      <c r="E120" t="s">
        <v>198</v>
      </c>
      <c r="F120" t="s">
        <v>199</v>
      </c>
      <c r="G120" t="s">
        <v>212</v>
      </c>
      <c r="H120" t="s">
        <v>195</v>
      </c>
      <c r="I120">
        <v>16</v>
      </c>
      <c r="J120">
        <v>4124.79</v>
      </c>
      <c r="K120">
        <v>1</v>
      </c>
      <c r="L120" t="s">
        <v>193</v>
      </c>
      <c r="M120">
        <v>1</v>
      </c>
    </row>
    <row r="121" spans="1:13" x14ac:dyDescent="0.3">
      <c r="A121" t="s">
        <v>330</v>
      </c>
      <c r="B121">
        <v>6</v>
      </c>
      <c r="C121" s="1">
        <v>45791</v>
      </c>
      <c r="D121">
        <v>2025</v>
      </c>
      <c r="E121" t="s">
        <v>225</v>
      </c>
      <c r="F121" t="s">
        <v>13</v>
      </c>
      <c r="G121" t="s">
        <v>212</v>
      </c>
      <c r="H121" t="s">
        <v>204</v>
      </c>
      <c r="I121">
        <v>12</v>
      </c>
      <c r="J121">
        <v>1340.61</v>
      </c>
      <c r="K121">
        <v>1</v>
      </c>
      <c r="L121" t="s">
        <v>201</v>
      </c>
      <c r="M121">
        <v>1</v>
      </c>
    </row>
    <row r="122" spans="1:13" x14ac:dyDescent="0.3">
      <c r="A122" t="s">
        <v>331</v>
      </c>
      <c r="B122">
        <v>6</v>
      </c>
      <c r="C122" s="1">
        <v>45896</v>
      </c>
      <c r="D122">
        <v>2025</v>
      </c>
      <c r="E122" t="s">
        <v>219</v>
      </c>
      <c r="F122" t="s">
        <v>13</v>
      </c>
      <c r="G122" t="s">
        <v>191</v>
      </c>
      <c r="H122" t="s">
        <v>204</v>
      </c>
      <c r="I122">
        <v>5</v>
      </c>
      <c r="J122">
        <v>1182.4100000000001</v>
      </c>
      <c r="K122">
        <v>1</v>
      </c>
      <c r="L122" t="s">
        <v>196</v>
      </c>
      <c r="M122">
        <v>0</v>
      </c>
    </row>
    <row r="123" spans="1:13" x14ac:dyDescent="0.3">
      <c r="A123" t="s">
        <v>332</v>
      </c>
      <c r="B123">
        <v>6</v>
      </c>
      <c r="C123" s="1">
        <v>45864</v>
      </c>
      <c r="D123">
        <v>2025</v>
      </c>
      <c r="E123" t="s">
        <v>225</v>
      </c>
      <c r="F123" t="s">
        <v>199</v>
      </c>
      <c r="G123" t="s">
        <v>191</v>
      </c>
      <c r="H123" t="s">
        <v>195</v>
      </c>
      <c r="I123">
        <v>7</v>
      </c>
      <c r="J123">
        <v>7001.89</v>
      </c>
      <c r="K123">
        <v>1</v>
      </c>
      <c r="L123" t="s">
        <v>193</v>
      </c>
      <c r="M123">
        <v>0</v>
      </c>
    </row>
    <row r="124" spans="1:13" x14ac:dyDescent="0.3">
      <c r="A124" t="s">
        <v>333</v>
      </c>
      <c r="B124">
        <v>7</v>
      </c>
      <c r="C124" s="1">
        <v>44446</v>
      </c>
      <c r="D124">
        <v>2021</v>
      </c>
      <c r="E124" t="s">
        <v>227</v>
      </c>
      <c r="F124" t="s">
        <v>199</v>
      </c>
      <c r="G124" t="s">
        <v>200</v>
      </c>
      <c r="H124" t="s">
        <v>195</v>
      </c>
      <c r="I124">
        <v>8</v>
      </c>
      <c r="J124">
        <v>7726.53</v>
      </c>
      <c r="K124">
        <v>0</v>
      </c>
      <c r="L124" t="s">
        <v>193</v>
      </c>
      <c r="M124">
        <v>1</v>
      </c>
    </row>
    <row r="125" spans="1:13" x14ac:dyDescent="0.3">
      <c r="A125" t="s">
        <v>334</v>
      </c>
      <c r="B125">
        <v>7</v>
      </c>
      <c r="C125" s="1">
        <v>44359</v>
      </c>
      <c r="D125">
        <v>2021</v>
      </c>
      <c r="E125" t="s">
        <v>219</v>
      </c>
      <c r="F125" t="s">
        <v>13</v>
      </c>
      <c r="G125" t="s">
        <v>203</v>
      </c>
      <c r="H125" t="s">
        <v>206</v>
      </c>
      <c r="I125">
        <v>16</v>
      </c>
      <c r="J125">
        <v>1470.98</v>
      </c>
      <c r="K125">
        <v>0</v>
      </c>
      <c r="L125" t="s">
        <v>201</v>
      </c>
      <c r="M125">
        <v>0</v>
      </c>
    </row>
    <row r="126" spans="1:13" x14ac:dyDescent="0.3">
      <c r="A126" t="s">
        <v>335</v>
      </c>
      <c r="B126">
        <v>7</v>
      </c>
      <c r="C126" s="1">
        <v>44267</v>
      </c>
      <c r="D126">
        <v>2021</v>
      </c>
      <c r="E126" t="s">
        <v>214</v>
      </c>
      <c r="F126" t="s">
        <v>13</v>
      </c>
      <c r="G126" t="s">
        <v>200</v>
      </c>
      <c r="H126" t="s">
        <v>195</v>
      </c>
      <c r="I126">
        <v>8</v>
      </c>
      <c r="J126">
        <v>3821.07</v>
      </c>
      <c r="K126">
        <v>0</v>
      </c>
      <c r="L126" t="s">
        <v>215</v>
      </c>
      <c r="M126">
        <v>0</v>
      </c>
    </row>
    <row r="127" spans="1:13" x14ac:dyDescent="0.3">
      <c r="A127" t="s">
        <v>336</v>
      </c>
      <c r="B127">
        <v>7</v>
      </c>
      <c r="C127" s="1">
        <v>44265</v>
      </c>
      <c r="D127">
        <v>2021</v>
      </c>
      <c r="E127" t="s">
        <v>214</v>
      </c>
      <c r="F127" t="s">
        <v>13</v>
      </c>
      <c r="G127" t="s">
        <v>203</v>
      </c>
      <c r="H127" t="s">
        <v>204</v>
      </c>
      <c r="I127">
        <v>3</v>
      </c>
      <c r="J127">
        <v>3352.16</v>
      </c>
      <c r="K127">
        <v>1</v>
      </c>
      <c r="L127" t="s">
        <v>201</v>
      </c>
      <c r="M127">
        <v>1</v>
      </c>
    </row>
    <row r="128" spans="1:13" x14ac:dyDescent="0.3">
      <c r="A128" t="s">
        <v>337</v>
      </c>
      <c r="B128">
        <v>7</v>
      </c>
      <c r="C128" s="1">
        <v>44595</v>
      </c>
      <c r="D128">
        <v>2022</v>
      </c>
      <c r="E128" t="s">
        <v>198</v>
      </c>
      <c r="F128" t="s">
        <v>13</v>
      </c>
      <c r="G128" t="s">
        <v>191</v>
      </c>
      <c r="H128" t="s">
        <v>192</v>
      </c>
      <c r="I128">
        <v>10</v>
      </c>
      <c r="J128">
        <v>1044.23</v>
      </c>
      <c r="K128">
        <v>1</v>
      </c>
      <c r="L128" t="s">
        <v>193</v>
      </c>
      <c r="M128">
        <v>0</v>
      </c>
    </row>
    <row r="129" spans="1:13" x14ac:dyDescent="0.3">
      <c r="A129" t="s">
        <v>338</v>
      </c>
      <c r="B129">
        <v>7</v>
      </c>
      <c r="C129" s="1">
        <v>44914</v>
      </c>
      <c r="D129">
        <v>2022</v>
      </c>
      <c r="E129" t="s">
        <v>214</v>
      </c>
      <c r="F129" t="s">
        <v>13</v>
      </c>
      <c r="G129" t="s">
        <v>203</v>
      </c>
      <c r="H129" t="s">
        <v>195</v>
      </c>
      <c r="I129">
        <v>4</v>
      </c>
      <c r="J129">
        <v>1070.3</v>
      </c>
      <c r="K129">
        <v>1</v>
      </c>
      <c r="L129" t="s">
        <v>193</v>
      </c>
      <c r="M129">
        <v>0</v>
      </c>
    </row>
    <row r="130" spans="1:13" x14ac:dyDescent="0.3">
      <c r="A130" t="s">
        <v>339</v>
      </c>
      <c r="B130">
        <v>7</v>
      </c>
      <c r="C130" s="1">
        <v>44884</v>
      </c>
      <c r="D130">
        <v>2022</v>
      </c>
      <c r="E130" t="s">
        <v>214</v>
      </c>
      <c r="F130" t="s">
        <v>209</v>
      </c>
      <c r="G130" t="s">
        <v>212</v>
      </c>
      <c r="H130" t="s">
        <v>206</v>
      </c>
      <c r="I130">
        <v>5</v>
      </c>
      <c r="J130">
        <v>544.6</v>
      </c>
      <c r="K130">
        <v>0</v>
      </c>
      <c r="L130" t="s">
        <v>201</v>
      </c>
      <c r="M130">
        <v>1</v>
      </c>
    </row>
    <row r="131" spans="1:13" x14ac:dyDescent="0.3">
      <c r="A131" t="s">
        <v>340</v>
      </c>
      <c r="B131">
        <v>7</v>
      </c>
      <c r="C131" s="1">
        <v>44577</v>
      </c>
      <c r="D131">
        <v>2022</v>
      </c>
      <c r="E131" t="s">
        <v>287</v>
      </c>
      <c r="F131" t="s">
        <v>13</v>
      </c>
      <c r="G131" t="s">
        <v>212</v>
      </c>
      <c r="H131" t="s">
        <v>204</v>
      </c>
      <c r="I131">
        <v>8</v>
      </c>
      <c r="J131">
        <v>1074.68</v>
      </c>
      <c r="K131">
        <v>0</v>
      </c>
      <c r="L131" t="s">
        <v>193</v>
      </c>
      <c r="M131">
        <v>1</v>
      </c>
    </row>
    <row r="132" spans="1:13" x14ac:dyDescent="0.3">
      <c r="A132" t="s">
        <v>341</v>
      </c>
      <c r="B132">
        <v>7</v>
      </c>
      <c r="C132" s="1">
        <v>44792</v>
      </c>
      <c r="D132">
        <v>2022</v>
      </c>
      <c r="E132" t="s">
        <v>198</v>
      </c>
      <c r="F132" t="s">
        <v>13</v>
      </c>
      <c r="G132" t="s">
        <v>200</v>
      </c>
      <c r="H132" t="s">
        <v>206</v>
      </c>
      <c r="I132">
        <v>5</v>
      </c>
      <c r="J132">
        <v>3594.48</v>
      </c>
      <c r="K132">
        <v>1</v>
      </c>
      <c r="L132" t="s">
        <v>201</v>
      </c>
      <c r="M132">
        <v>0</v>
      </c>
    </row>
    <row r="133" spans="1:13" x14ac:dyDescent="0.3">
      <c r="A133" t="s">
        <v>342</v>
      </c>
      <c r="B133">
        <v>7</v>
      </c>
      <c r="C133" s="1">
        <v>45193</v>
      </c>
      <c r="D133">
        <v>2023</v>
      </c>
      <c r="E133" t="s">
        <v>190</v>
      </c>
      <c r="F133" t="s">
        <v>209</v>
      </c>
      <c r="G133" t="s">
        <v>212</v>
      </c>
      <c r="H133" t="s">
        <v>195</v>
      </c>
      <c r="I133">
        <v>13</v>
      </c>
      <c r="J133">
        <v>500.59</v>
      </c>
      <c r="K133">
        <v>0</v>
      </c>
      <c r="L133" t="s">
        <v>210</v>
      </c>
      <c r="M133">
        <v>1</v>
      </c>
    </row>
    <row r="134" spans="1:13" x14ac:dyDescent="0.3">
      <c r="A134" t="s">
        <v>343</v>
      </c>
      <c r="B134">
        <v>7</v>
      </c>
      <c r="C134" s="1">
        <v>45213</v>
      </c>
      <c r="D134">
        <v>2023</v>
      </c>
      <c r="E134" t="s">
        <v>214</v>
      </c>
      <c r="F134" t="s">
        <v>12</v>
      </c>
      <c r="G134" t="s">
        <v>212</v>
      </c>
      <c r="H134" t="s">
        <v>195</v>
      </c>
      <c r="I134">
        <v>9</v>
      </c>
      <c r="J134">
        <v>1449.34</v>
      </c>
      <c r="K134">
        <v>0</v>
      </c>
      <c r="L134" t="s">
        <v>201</v>
      </c>
      <c r="M134">
        <v>1</v>
      </c>
    </row>
    <row r="135" spans="1:13" x14ac:dyDescent="0.3">
      <c r="A135" t="s">
        <v>344</v>
      </c>
      <c r="B135">
        <v>7</v>
      </c>
      <c r="C135" s="1">
        <v>45155</v>
      </c>
      <c r="D135">
        <v>2023</v>
      </c>
      <c r="E135" t="s">
        <v>190</v>
      </c>
      <c r="F135" t="s">
        <v>13</v>
      </c>
      <c r="G135" t="s">
        <v>203</v>
      </c>
      <c r="H135" t="s">
        <v>195</v>
      </c>
      <c r="I135">
        <v>10</v>
      </c>
      <c r="J135">
        <v>1381.85</v>
      </c>
      <c r="K135">
        <v>0</v>
      </c>
      <c r="L135" t="s">
        <v>215</v>
      </c>
      <c r="M135">
        <v>0</v>
      </c>
    </row>
    <row r="136" spans="1:13" x14ac:dyDescent="0.3">
      <c r="A136" t="s">
        <v>345</v>
      </c>
      <c r="B136">
        <v>7</v>
      </c>
      <c r="C136" s="1">
        <v>45031</v>
      </c>
      <c r="D136">
        <v>2023</v>
      </c>
      <c r="E136" t="s">
        <v>227</v>
      </c>
      <c r="F136" t="s">
        <v>199</v>
      </c>
      <c r="G136" t="s">
        <v>212</v>
      </c>
      <c r="H136" t="s">
        <v>192</v>
      </c>
      <c r="I136">
        <v>8</v>
      </c>
      <c r="J136">
        <v>3269.26</v>
      </c>
      <c r="K136">
        <v>0</v>
      </c>
      <c r="L136" t="s">
        <v>193</v>
      </c>
      <c r="M136">
        <v>1</v>
      </c>
    </row>
    <row r="137" spans="1:13" x14ac:dyDescent="0.3">
      <c r="A137" t="s">
        <v>346</v>
      </c>
      <c r="B137">
        <v>7</v>
      </c>
      <c r="C137" s="1">
        <v>44936</v>
      </c>
      <c r="D137">
        <v>2023</v>
      </c>
      <c r="E137" t="s">
        <v>198</v>
      </c>
      <c r="F137" t="s">
        <v>199</v>
      </c>
      <c r="G137" t="s">
        <v>191</v>
      </c>
      <c r="H137" t="s">
        <v>195</v>
      </c>
      <c r="I137">
        <v>17</v>
      </c>
      <c r="J137">
        <v>3991.09</v>
      </c>
      <c r="K137">
        <v>1</v>
      </c>
      <c r="L137" t="s">
        <v>196</v>
      </c>
      <c r="M137">
        <v>0</v>
      </c>
    </row>
    <row r="138" spans="1:13" x14ac:dyDescent="0.3">
      <c r="A138" t="s">
        <v>347</v>
      </c>
      <c r="B138">
        <v>7</v>
      </c>
      <c r="C138" s="1">
        <v>44990</v>
      </c>
      <c r="D138">
        <v>2023</v>
      </c>
      <c r="E138" t="s">
        <v>190</v>
      </c>
      <c r="F138" t="s">
        <v>199</v>
      </c>
      <c r="G138" t="s">
        <v>203</v>
      </c>
      <c r="H138" t="s">
        <v>195</v>
      </c>
      <c r="I138">
        <v>7</v>
      </c>
      <c r="J138">
        <v>5096.6099999999997</v>
      </c>
      <c r="K138">
        <v>0</v>
      </c>
      <c r="L138" t="s">
        <v>196</v>
      </c>
      <c r="M138">
        <v>1</v>
      </c>
    </row>
    <row r="139" spans="1:13" x14ac:dyDescent="0.3">
      <c r="A139" t="s">
        <v>348</v>
      </c>
      <c r="B139">
        <v>7</v>
      </c>
      <c r="C139" s="1">
        <v>45368</v>
      </c>
      <c r="D139">
        <v>2024</v>
      </c>
      <c r="E139" t="s">
        <v>219</v>
      </c>
      <c r="F139" t="s">
        <v>12</v>
      </c>
      <c r="G139" t="s">
        <v>203</v>
      </c>
      <c r="H139" t="s">
        <v>192</v>
      </c>
      <c r="I139">
        <v>1</v>
      </c>
      <c r="J139">
        <v>838.12</v>
      </c>
      <c r="K139">
        <v>0</v>
      </c>
      <c r="L139" t="s">
        <v>215</v>
      </c>
      <c r="M139">
        <v>1</v>
      </c>
    </row>
    <row r="140" spans="1:13" x14ac:dyDescent="0.3">
      <c r="A140" t="s">
        <v>349</v>
      </c>
      <c r="B140">
        <v>7</v>
      </c>
      <c r="C140" s="1">
        <v>45995</v>
      </c>
      <c r="D140">
        <v>2025</v>
      </c>
      <c r="E140" t="s">
        <v>225</v>
      </c>
      <c r="F140" t="s">
        <v>209</v>
      </c>
      <c r="G140" t="s">
        <v>203</v>
      </c>
      <c r="H140" t="s">
        <v>195</v>
      </c>
      <c r="I140">
        <v>9</v>
      </c>
      <c r="J140">
        <v>335.49</v>
      </c>
      <c r="K140">
        <v>0</v>
      </c>
      <c r="L140" t="s">
        <v>215</v>
      </c>
      <c r="M140">
        <v>1</v>
      </c>
    </row>
    <row r="141" spans="1:13" x14ac:dyDescent="0.3">
      <c r="A141" t="s">
        <v>350</v>
      </c>
      <c r="B141">
        <v>8</v>
      </c>
      <c r="C141" s="1">
        <v>44343</v>
      </c>
      <c r="D141">
        <v>2021</v>
      </c>
      <c r="E141" t="s">
        <v>225</v>
      </c>
      <c r="F141" t="s">
        <v>13</v>
      </c>
      <c r="G141" t="s">
        <v>191</v>
      </c>
      <c r="H141" t="s">
        <v>204</v>
      </c>
      <c r="I141">
        <v>4</v>
      </c>
      <c r="J141">
        <v>2683.34</v>
      </c>
      <c r="K141">
        <v>0</v>
      </c>
      <c r="L141" t="s">
        <v>210</v>
      </c>
      <c r="M141">
        <v>0</v>
      </c>
    </row>
    <row r="142" spans="1:13" x14ac:dyDescent="0.3">
      <c r="A142" t="s">
        <v>351</v>
      </c>
      <c r="B142">
        <v>8</v>
      </c>
      <c r="C142" s="1">
        <v>44251</v>
      </c>
      <c r="D142">
        <v>2021</v>
      </c>
      <c r="E142" t="s">
        <v>198</v>
      </c>
      <c r="F142" t="s">
        <v>13</v>
      </c>
      <c r="G142" t="s">
        <v>191</v>
      </c>
      <c r="H142" t="s">
        <v>195</v>
      </c>
      <c r="I142">
        <v>13</v>
      </c>
      <c r="J142">
        <v>3298.16</v>
      </c>
      <c r="K142">
        <v>1</v>
      </c>
      <c r="L142" t="s">
        <v>193</v>
      </c>
      <c r="M142">
        <v>0</v>
      </c>
    </row>
    <row r="143" spans="1:13" x14ac:dyDescent="0.3">
      <c r="A143" t="s">
        <v>352</v>
      </c>
      <c r="B143">
        <v>8</v>
      </c>
      <c r="C143" s="1">
        <v>44342</v>
      </c>
      <c r="D143">
        <v>2021</v>
      </c>
      <c r="E143" t="s">
        <v>219</v>
      </c>
      <c r="F143" t="s">
        <v>199</v>
      </c>
      <c r="G143" t="s">
        <v>200</v>
      </c>
      <c r="H143" t="s">
        <v>192</v>
      </c>
      <c r="I143">
        <v>10</v>
      </c>
      <c r="J143">
        <v>3690.44</v>
      </c>
      <c r="K143">
        <v>1</v>
      </c>
      <c r="L143" t="s">
        <v>193</v>
      </c>
      <c r="M143">
        <v>0</v>
      </c>
    </row>
    <row r="144" spans="1:13" x14ac:dyDescent="0.3">
      <c r="A144" t="s">
        <v>353</v>
      </c>
      <c r="B144">
        <v>8</v>
      </c>
      <c r="C144" s="1">
        <v>44436</v>
      </c>
      <c r="D144">
        <v>2021</v>
      </c>
      <c r="E144" t="s">
        <v>198</v>
      </c>
      <c r="F144" t="s">
        <v>209</v>
      </c>
      <c r="G144" t="s">
        <v>203</v>
      </c>
      <c r="H144" t="s">
        <v>206</v>
      </c>
      <c r="I144">
        <v>6</v>
      </c>
      <c r="J144">
        <v>255.24</v>
      </c>
      <c r="K144">
        <v>1</v>
      </c>
      <c r="L144" t="s">
        <v>210</v>
      </c>
      <c r="M144">
        <v>1</v>
      </c>
    </row>
    <row r="145" spans="1:13" x14ac:dyDescent="0.3">
      <c r="A145" t="s">
        <v>354</v>
      </c>
      <c r="B145">
        <v>8</v>
      </c>
      <c r="C145" s="1">
        <v>44304</v>
      </c>
      <c r="D145">
        <v>2021</v>
      </c>
      <c r="E145" t="s">
        <v>190</v>
      </c>
      <c r="F145" t="s">
        <v>13</v>
      </c>
      <c r="G145" t="s">
        <v>191</v>
      </c>
      <c r="H145" t="s">
        <v>204</v>
      </c>
      <c r="I145">
        <v>4</v>
      </c>
      <c r="J145">
        <v>1234.5999999999999</v>
      </c>
      <c r="K145">
        <v>0</v>
      </c>
      <c r="L145" t="s">
        <v>201</v>
      </c>
      <c r="M145">
        <v>0</v>
      </c>
    </row>
    <row r="146" spans="1:13" x14ac:dyDescent="0.3">
      <c r="A146" t="s">
        <v>355</v>
      </c>
      <c r="B146">
        <v>8</v>
      </c>
      <c r="C146" s="1">
        <v>44704</v>
      </c>
      <c r="D146">
        <v>2022</v>
      </c>
      <c r="E146" t="s">
        <v>214</v>
      </c>
      <c r="F146" t="s">
        <v>12</v>
      </c>
      <c r="G146" t="s">
        <v>212</v>
      </c>
      <c r="H146" t="s">
        <v>195</v>
      </c>
      <c r="I146">
        <v>10</v>
      </c>
      <c r="J146">
        <v>563.16999999999996</v>
      </c>
      <c r="K146">
        <v>0</v>
      </c>
      <c r="L146" t="s">
        <v>196</v>
      </c>
      <c r="M146">
        <v>1</v>
      </c>
    </row>
    <row r="147" spans="1:13" x14ac:dyDescent="0.3">
      <c r="A147" t="s">
        <v>356</v>
      </c>
      <c r="B147">
        <v>8</v>
      </c>
      <c r="C147" s="1">
        <v>44877</v>
      </c>
      <c r="D147">
        <v>2022</v>
      </c>
      <c r="E147" t="s">
        <v>214</v>
      </c>
      <c r="F147" t="s">
        <v>13</v>
      </c>
      <c r="G147" t="s">
        <v>191</v>
      </c>
      <c r="H147" t="s">
        <v>206</v>
      </c>
      <c r="I147">
        <v>7</v>
      </c>
      <c r="J147">
        <v>2037.97</v>
      </c>
      <c r="K147">
        <v>0</v>
      </c>
      <c r="L147" t="s">
        <v>196</v>
      </c>
      <c r="M147">
        <v>1</v>
      </c>
    </row>
    <row r="148" spans="1:13" x14ac:dyDescent="0.3">
      <c r="A148" t="s">
        <v>357</v>
      </c>
      <c r="B148">
        <v>8</v>
      </c>
      <c r="C148" s="1">
        <v>44664</v>
      </c>
      <c r="D148">
        <v>2022</v>
      </c>
      <c r="E148" t="s">
        <v>214</v>
      </c>
      <c r="F148" t="s">
        <v>13</v>
      </c>
      <c r="G148" t="s">
        <v>191</v>
      </c>
      <c r="H148" t="s">
        <v>195</v>
      </c>
      <c r="I148">
        <v>7</v>
      </c>
      <c r="J148">
        <v>2082.9699999999998</v>
      </c>
      <c r="K148">
        <v>0</v>
      </c>
      <c r="L148" t="s">
        <v>201</v>
      </c>
      <c r="M148">
        <v>0</v>
      </c>
    </row>
    <row r="149" spans="1:13" x14ac:dyDescent="0.3">
      <c r="A149" t="s">
        <v>358</v>
      </c>
      <c r="B149">
        <v>8</v>
      </c>
      <c r="C149" s="1">
        <v>45063</v>
      </c>
      <c r="D149">
        <v>2023</v>
      </c>
      <c r="E149" t="s">
        <v>219</v>
      </c>
      <c r="F149" t="s">
        <v>13</v>
      </c>
      <c r="G149" t="s">
        <v>191</v>
      </c>
      <c r="H149" t="s">
        <v>195</v>
      </c>
      <c r="I149">
        <v>10</v>
      </c>
      <c r="J149">
        <v>1822.52</v>
      </c>
      <c r="K149">
        <v>1</v>
      </c>
      <c r="L149" t="s">
        <v>196</v>
      </c>
      <c r="M149">
        <v>0</v>
      </c>
    </row>
    <row r="150" spans="1:13" x14ac:dyDescent="0.3">
      <c r="A150" t="s">
        <v>359</v>
      </c>
      <c r="B150">
        <v>8</v>
      </c>
      <c r="C150" s="1">
        <v>45276</v>
      </c>
      <c r="D150">
        <v>2023</v>
      </c>
      <c r="E150" t="s">
        <v>219</v>
      </c>
      <c r="F150" t="s">
        <v>13</v>
      </c>
      <c r="G150" t="s">
        <v>191</v>
      </c>
      <c r="H150" t="s">
        <v>195</v>
      </c>
      <c r="I150">
        <v>1</v>
      </c>
      <c r="J150">
        <v>3422.29</v>
      </c>
      <c r="K150">
        <v>0</v>
      </c>
      <c r="L150" t="s">
        <v>196</v>
      </c>
      <c r="M150">
        <v>1</v>
      </c>
    </row>
    <row r="151" spans="1:13" x14ac:dyDescent="0.3">
      <c r="A151" t="s">
        <v>360</v>
      </c>
      <c r="B151">
        <v>8</v>
      </c>
      <c r="C151" s="1">
        <v>45008</v>
      </c>
      <c r="D151">
        <v>2023</v>
      </c>
      <c r="E151" t="s">
        <v>190</v>
      </c>
      <c r="F151" t="s">
        <v>12</v>
      </c>
      <c r="G151" t="s">
        <v>212</v>
      </c>
      <c r="H151" t="s">
        <v>195</v>
      </c>
      <c r="I151">
        <v>3</v>
      </c>
      <c r="J151">
        <v>1046.8499999999999</v>
      </c>
      <c r="K151">
        <v>0</v>
      </c>
      <c r="L151" t="s">
        <v>215</v>
      </c>
      <c r="M151">
        <v>1</v>
      </c>
    </row>
    <row r="152" spans="1:13" x14ac:dyDescent="0.3">
      <c r="A152" t="s">
        <v>361</v>
      </c>
      <c r="B152">
        <v>8</v>
      </c>
      <c r="C152" s="1">
        <v>45178</v>
      </c>
      <c r="D152">
        <v>2023</v>
      </c>
      <c r="E152" t="s">
        <v>214</v>
      </c>
      <c r="F152" t="s">
        <v>13</v>
      </c>
      <c r="G152" t="s">
        <v>191</v>
      </c>
      <c r="H152" t="s">
        <v>204</v>
      </c>
      <c r="I152">
        <v>16</v>
      </c>
      <c r="J152">
        <v>1949.44</v>
      </c>
      <c r="K152">
        <v>1</v>
      </c>
      <c r="L152" t="s">
        <v>196</v>
      </c>
      <c r="M152">
        <v>0</v>
      </c>
    </row>
    <row r="153" spans="1:13" x14ac:dyDescent="0.3">
      <c r="A153" t="s">
        <v>362</v>
      </c>
      <c r="B153">
        <v>8</v>
      </c>
      <c r="C153" s="1">
        <v>45094</v>
      </c>
      <c r="D153">
        <v>2023</v>
      </c>
      <c r="E153" t="s">
        <v>198</v>
      </c>
      <c r="F153" t="s">
        <v>13</v>
      </c>
      <c r="G153" t="s">
        <v>203</v>
      </c>
      <c r="H153" t="s">
        <v>195</v>
      </c>
      <c r="I153">
        <v>13</v>
      </c>
      <c r="J153">
        <v>1184.45</v>
      </c>
      <c r="K153">
        <v>1</v>
      </c>
      <c r="L153" t="s">
        <v>193</v>
      </c>
      <c r="M153">
        <v>0</v>
      </c>
    </row>
    <row r="154" spans="1:13" x14ac:dyDescent="0.3">
      <c r="A154" t="s">
        <v>363</v>
      </c>
      <c r="B154">
        <v>8</v>
      </c>
      <c r="C154" s="1">
        <v>45328</v>
      </c>
      <c r="D154">
        <v>2024</v>
      </c>
      <c r="E154" t="s">
        <v>214</v>
      </c>
      <c r="F154" t="s">
        <v>12</v>
      </c>
      <c r="G154" t="s">
        <v>203</v>
      </c>
      <c r="H154" t="s">
        <v>195</v>
      </c>
      <c r="I154">
        <v>6</v>
      </c>
      <c r="J154">
        <v>1297.32</v>
      </c>
      <c r="K154">
        <v>0</v>
      </c>
      <c r="L154" t="s">
        <v>210</v>
      </c>
      <c r="M154">
        <v>0</v>
      </c>
    </row>
    <row r="155" spans="1:13" x14ac:dyDescent="0.3">
      <c r="A155" t="s">
        <v>364</v>
      </c>
      <c r="B155">
        <v>8</v>
      </c>
      <c r="C155" s="1">
        <v>45458</v>
      </c>
      <c r="D155">
        <v>2024</v>
      </c>
      <c r="E155" t="s">
        <v>190</v>
      </c>
      <c r="F155" t="s">
        <v>13</v>
      </c>
      <c r="G155" t="s">
        <v>200</v>
      </c>
      <c r="H155" t="s">
        <v>195</v>
      </c>
      <c r="I155">
        <v>11</v>
      </c>
      <c r="J155">
        <v>3188.65</v>
      </c>
      <c r="K155">
        <v>0</v>
      </c>
      <c r="L155" t="s">
        <v>215</v>
      </c>
      <c r="M155">
        <v>1</v>
      </c>
    </row>
    <row r="156" spans="1:13" x14ac:dyDescent="0.3">
      <c r="A156" t="s">
        <v>365</v>
      </c>
      <c r="B156">
        <v>8</v>
      </c>
      <c r="C156" s="1">
        <v>45377</v>
      </c>
      <c r="D156">
        <v>2024</v>
      </c>
      <c r="E156" t="s">
        <v>198</v>
      </c>
      <c r="F156" t="s">
        <v>13</v>
      </c>
      <c r="G156" t="s">
        <v>212</v>
      </c>
      <c r="H156" t="s">
        <v>195</v>
      </c>
      <c r="I156">
        <v>13</v>
      </c>
      <c r="J156">
        <v>3829.71</v>
      </c>
      <c r="K156">
        <v>1</v>
      </c>
      <c r="L156" t="s">
        <v>196</v>
      </c>
      <c r="M156">
        <v>1</v>
      </c>
    </row>
    <row r="157" spans="1:13" x14ac:dyDescent="0.3">
      <c r="A157" t="s">
        <v>366</v>
      </c>
      <c r="B157">
        <v>8</v>
      </c>
      <c r="C157" s="1">
        <v>45406</v>
      </c>
      <c r="D157">
        <v>2024</v>
      </c>
      <c r="E157" t="s">
        <v>214</v>
      </c>
      <c r="F157" t="s">
        <v>209</v>
      </c>
      <c r="G157" t="s">
        <v>203</v>
      </c>
      <c r="H157" t="s">
        <v>195</v>
      </c>
      <c r="I157">
        <v>4</v>
      </c>
      <c r="J157">
        <v>189.32</v>
      </c>
      <c r="K157">
        <v>0</v>
      </c>
      <c r="L157" t="s">
        <v>215</v>
      </c>
      <c r="M157">
        <v>1</v>
      </c>
    </row>
    <row r="158" spans="1:13" x14ac:dyDescent="0.3">
      <c r="A158" t="s">
        <v>367</v>
      </c>
      <c r="B158">
        <v>8</v>
      </c>
      <c r="C158" s="1">
        <v>45361</v>
      </c>
      <c r="D158">
        <v>2024</v>
      </c>
      <c r="E158" t="s">
        <v>198</v>
      </c>
      <c r="F158" t="s">
        <v>199</v>
      </c>
      <c r="G158" t="s">
        <v>212</v>
      </c>
      <c r="H158" t="s">
        <v>195</v>
      </c>
      <c r="I158">
        <v>12</v>
      </c>
      <c r="J158">
        <v>6030.04</v>
      </c>
      <c r="K158">
        <v>1</v>
      </c>
      <c r="L158" t="s">
        <v>193</v>
      </c>
      <c r="M158">
        <v>1</v>
      </c>
    </row>
    <row r="159" spans="1:13" x14ac:dyDescent="0.3">
      <c r="A159" t="s">
        <v>368</v>
      </c>
      <c r="B159">
        <v>9</v>
      </c>
      <c r="C159" s="1">
        <v>44223</v>
      </c>
      <c r="D159">
        <v>2021</v>
      </c>
      <c r="E159" t="s">
        <v>214</v>
      </c>
      <c r="F159" t="s">
        <v>12</v>
      </c>
      <c r="G159" t="s">
        <v>212</v>
      </c>
      <c r="H159" t="s">
        <v>195</v>
      </c>
      <c r="I159">
        <v>5</v>
      </c>
      <c r="J159">
        <v>1102.52</v>
      </c>
      <c r="K159">
        <v>0</v>
      </c>
      <c r="L159" t="s">
        <v>193</v>
      </c>
      <c r="M159">
        <v>1</v>
      </c>
    </row>
    <row r="160" spans="1:13" x14ac:dyDescent="0.3">
      <c r="A160" t="s">
        <v>369</v>
      </c>
      <c r="B160">
        <v>9</v>
      </c>
      <c r="C160" s="1">
        <v>44609</v>
      </c>
      <c r="D160">
        <v>2022</v>
      </c>
      <c r="E160" t="s">
        <v>214</v>
      </c>
      <c r="F160" t="s">
        <v>13</v>
      </c>
      <c r="G160" t="s">
        <v>200</v>
      </c>
      <c r="H160" t="s">
        <v>195</v>
      </c>
      <c r="I160">
        <v>11</v>
      </c>
      <c r="J160">
        <v>1559.28</v>
      </c>
      <c r="K160">
        <v>1</v>
      </c>
      <c r="L160" t="s">
        <v>193</v>
      </c>
      <c r="M160">
        <v>0</v>
      </c>
    </row>
    <row r="161" spans="1:13" x14ac:dyDescent="0.3">
      <c r="A161" t="s">
        <v>370</v>
      </c>
      <c r="B161">
        <v>9</v>
      </c>
      <c r="C161" s="1">
        <v>44764</v>
      </c>
      <c r="D161">
        <v>2022</v>
      </c>
      <c r="E161" t="s">
        <v>227</v>
      </c>
      <c r="F161" t="s">
        <v>13</v>
      </c>
      <c r="G161" t="s">
        <v>191</v>
      </c>
      <c r="H161" t="s">
        <v>195</v>
      </c>
      <c r="I161">
        <v>12</v>
      </c>
      <c r="J161">
        <v>2264.2199999999998</v>
      </c>
      <c r="K161">
        <v>0</v>
      </c>
      <c r="L161" t="s">
        <v>215</v>
      </c>
      <c r="M161">
        <v>0</v>
      </c>
    </row>
    <row r="162" spans="1:13" x14ac:dyDescent="0.3">
      <c r="A162" t="s">
        <v>371</v>
      </c>
      <c r="B162">
        <v>9</v>
      </c>
      <c r="C162" s="1">
        <v>44722</v>
      </c>
      <c r="D162">
        <v>2022</v>
      </c>
      <c r="E162" t="s">
        <v>198</v>
      </c>
      <c r="F162" t="s">
        <v>13</v>
      </c>
      <c r="G162" t="s">
        <v>191</v>
      </c>
      <c r="H162" t="s">
        <v>206</v>
      </c>
      <c r="I162">
        <v>13</v>
      </c>
      <c r="J162">
        <v>2849.84</v>
      </c>
      <c r="K162">
        <v>1</v>
      </c>
      <c r="L162" t="s">
        <v>193</v>
      </c>
      <c r="M162">
        <v>1</v>
      </c>
    </row>
    <row r="163" spans="1:13" x14ac:dyDescent="0.3">
      <c r="A163" t="s">
        <v>372</v>
      </c>
      <c r="B163">
        <v>9</v>
      </c>
      <c r="C163" s="1">
        <v>44800</v>
      </c>
      <c r="D163">
        <v>2022</v>
      </c>
      <c r="E163" t="s">
        <v>198</v>
      </c>
      <c r="F163" t="s">
        <v>13</v>
      </c>
      <c r="G163" t="s">
        <v>212</v>
      </c>
      <c r="H163" t="s">
        <v>195</v>
      </c>
      <c r="I163">
        <v>17</v>
      </c>
      <c r="J163">
        <v>2203.46</v>
      </c>
      <c r="K163">
        <v>1</v>
      </c>
      <c r="L163" t="s">
        <v>193</v>
      </c>
      <c r="M163">
        <v>1</v>
      </c>
    </row>
    <row r="164" spans="1:13" x14ac:dyDescent="0.3">
      <c r="A164" t="s">
        <v>373</v>
      </c>
      <c r="B164">
        <v>9</v>
      </c>
      <c r="C164" s="1">
        <v>44676</v>
      </c>
      <c r="D164">
        <v>2022</v>
      </c>
      <c r="E164" t="s">
        <v>287</v>
      </c>
      <c r="F164" t="s">
        <v>12</v>
      </c>
      <c r="G164" t="s">
        <v>203</v>
      </c>
      <c r="H164" t="s">
        <v>195</v>
      </c>
      <c r="I164">
        <v>4</v>
      </c>
      <c r="J164">
        <v>991.35</v>
      </c>
      <c r="K164">
        <v>0</v>
      </c>
      <c r="L164" t="s">
        <v>193</v>
      </c>
      <c r="M164">
        <v>0</v>
      </c>
    </row>
    <row r="165" spans="1:13" x14ac:dyDescent="0.3">
      <c r="A165" t="s">
        <v>374</v>
      </c>
      <c r="B165">
        <v>9</v>
      </c>
      <c r="C165" s="1">
        <v>45224</v>
      </c>
      <c r="D165">
        <v>2023</v>
      </c>
      <c r="E165" t="s">
        <v>214</v>
      </c>
      <c r="F165" t="s">
        <v>13</v>
      </c>
      <c r="G165" t="s">
        <v>191</v>
      </c>
      <c r="H165" t="s">
        <v>204</v>
      </c>
      <c r="I165">
        <v>3</v>
      </c>
      <c r="J165">
        <v>1271.2</v>
      </c>
      <c r="K165">
        <v>0</v>
      </c>
      <c r="L165" t="s">
        <v>215</v>
      </c>
      <c r="M165">
        <v>0</v>
      </c>
    </row>
    <row r="166" spans="1:13" x14ac:dyDescent="0.3">
      <c r="A166" t="s">
        <v>375</v>
      </c>
      <c r="B166">
        <v>9</v>
      </c>
      <c r="C166" s="1">
        <v>45113</v>
      </c>
      <c r="D166">
        <v>2023</v>
      </c>
      <c r="E166" t="s">
        <v>219</v>
      </c>
      <c r="F166" t="s">
        <v>13</v>
      </c>
      <c r="G166" t="s">
        <v>203</v>
      </c>
      <c r="H166" t="s">
        <v>195</v>
      </c>
      <c r="I166">
        <v>15</v>
      </c>
      <c r="J166">
        <v>1922.58</v>
      </c>
      <c r="K166">
        <v>0</v>
      </c>
      <c r="L166" t="s">
        <v>201</v>
      </c>
      <c r="M166">
        <v>0</v>
      </c>
    </row>
    <row r="167" spans="1:13" x14ac:dyDescent="0.3">
      <c r="A167" t="s">
        <v>376</v>
      </c>
      <c r="B167">
        <v>9</v>
      </c>
      <c r="C167" s="1">
        <v>45268</v>
      </c>
      <c r="D167">
        <v>2023</v>
      </c>
      <c r="E167" t="s">
        <v>214</v>
      </c>
      <c r="F167" t="s">
        <v>13</v>
      </c>
      <c r="G167" t="s">
        <v>191</v>
      </c>
      <c r="H167" t="s">
        <v>195</v>
      </c>
      <c r="I167">
        <v>10</v>
      </c>
      <c r="J167">
        <v>1477.99</v>
      </c>
      <c r="K167">
        <v>0</v>
      </c>
      <c r="L167" t="s">
        <v>215</v>
      </c>
      <c r="M167">
        <v>0</v>
      </c>
    </row>
    <row r="168" spans="1:13" x14ac:dyDescent="0.3">
      <c r="A168" t="s">
        <v>377</v>
      </c>
      <c r="B168">
        <v>9</v>
      </c>
      <c r="C168" s="1">
        <v>45032</v>
      </c>
      <c r="D168">
        <v>2023</v>
      </c>
      <c r="E168" t="s">
        <v>190</v>
      </c>
      <c r="F168" t="s">
        <v>199</v>
      </c>
      <c r="G168" t="s">
        <v>191</v>
      </c>
      <c r="H168" t="s">
        <v>195</v>
      </c>
      <c r="I168">
        <v>14</v>
      </c>
      <c r="J168">
        <v>3027.04</v>
      </c>
      <c r="K168">
        <v>0</v>
      </c>
      <c r="L168" t="s">
        <v>196</v>
      </c>
      <c r="M168">
        <v>0</v>
      </c>
    </row>
    <row r="169" spans="1:13" x14ac:dyDescent="0.3">
      <c r="A169" t="s">
        <v>378</v>
      </c>
      <c r="B169">
        <v>9</v>
      </c>
      <c r="C169" s="1">
        <v>45439</v>
      </c>
      <c r="D169">
        <v>2024</v>
      </c>
      <c r="E169" t="s">
        <v>190</v>
      </c>
      <c r="F169" t="s">
        <v>13</v>
      </c>
      <c r="G169" t="s">
        <v>212</v>
      </c>
      <c r="H169" t="s">
        <v>204</v>
      </c>
      <c r="I169">
        <v>14</v>
      </c>
      <c r="J169">
        <v>2040.6</v>
      </c>
      <c r="K169">
        <v>0</v>
      </c>
      <c r="L169" t="s">
        <v>193</v>
      </c>
      <c r="M169">
        <v>1</v>
      </c>
    </row>
    <row r="170" spans="1:13" x14ac:dyDescent="0.3">
      <c r="A170" t="s">
        <v>379</v>
      </c>
      <c r="B170">
        <v>9</v>
      </c>
      <c r="C170" s="1">
        <v>45299</v>
      </c>
      <c r="D170">
        <v>2024</v>
      </c>
      <c r="E170" t="s">
        <v>287</v>
      </c>
      <c r="F170" t="s">
        <v>209</v>
      </c>
      <c r="G170" t="s">
        <v>212</v>
      </c>
      <c r="H170" t="s">
        <v>195</v>
      </c>
      <c r="I170">
        <v>9</v>
      </c>
      <c r="J170">
        <v>300.87</v>
      </c>
      <c r="K170">
        <v>0</v>
      </c>
      <c r="L170" t="s">
        <v>215</v>
      </c>
      <c r="M170">
        <v>1</v>
      </c>
    </row>
    <row r="171" spans="1:13" x14ac:dyDescent="0.3">
      <c r="A171" t="s">
        <v>380</v>
      </c>
      <c r="B171">
        <v>9</v>
      </c>
      <c r="C171" s="1">
        <v>45709</v>
      </c>
      <c r="D171">
        <v>2025</v>
      </c>
      <c r="E171" t="s">
        <v>198</v>
      </c>
      <c r="F171" t="s">
        <v>13</v>
      </c>
      <c r="G171" t="s">
        <v>200</v>
      </c>
      <c r="H171" t="s">
        <v>195</v>
      </c>
      <c r="I171">
        <v>4</v>
      </c>
      <c r="J171">
        <v>1278.55</v>
      </c>
      <c r="K171">
        <v>1</v>
      </c>
      <c r="L171" t="s">
        <v>201</v>
      </c>
      <c r="M171">
        <v>0</v>
      </c>
    </row>
    <row r="172" spans="1:13" x14ac:dyDescent="0.3">
      <c r="A172" t="s">
        <v>381</v>
      </c>
      <c r="B172">
        <v>9</v>
      </c>
      <c r="C172" s="1">
        <v>45790</v>
      </c>
      <c r="D172">
        <v>2025</v>
      </c>
      <c r="E172" t="s">
        <v>219</v>
      </c>
      <c r="F172" t="s">
        <v>12</v>
      </c>
      <c r="G172" t="s">
        <v>203</v>
      </c>
      <c r="H172" t="s">
        <v>195</v>
      </c>
      <c r="I172">
        <v>15</v>
      </c>
      <c r="J172">
        <v>896.69</v>
      </c>
      <c r="K172">
        <v>0</v>
      </c>
      <c r="L172" t="s">
        <v>201</v>
      </c>
      <c r="M172">
        <v>0</v>
      </c>
    </row>
    <row r="173" spans="1:13" x14ac:dyDescent="0.3">
      <c r="A173" t="s">
        <v>382</v>
      </c>
      <c r="B173">
        <v>9</v>
      </c>
      <c r="C173" s="1">
        <v>45995</v>
      </c>
      <c r="D173">
        <v>2025</v>
      </c>
      <c r="E173" t="s">
        <v>225</v>
      </c>
      <c r="F173" t="s">
        <v>199</v>
      </c>
      <c r="G173" t="s">
        <v>200</v>
      </c>
      <c r="H173" t="s">
        <v>195</v>
      </c>
      <c r="I173">
        <v>13</v>
      </c>
      <c r="J173">
        <v>6274.64</v>
      </c>
      <c r="K173">
        <v>1</v>
      </c>
      <c r="L173" t="s">
        <v>193</v>
      </c>
      <c r="M173">
        <v>0</v>
      </c>
    </row>
    <row r="174" spans="1:13" x14ac:dyDescent="0.3">
      <c r="A174" t="s">
        <v>383</v>
      </c>
      <c r="B174">
        <v>9</v>
      </c>
      <c r="C174" s="1">
        <v>45863</v>
      </c>
      <c r="D174">
        <v>2025</v>
      </c>
      <c r="E174" t="s">
        <v>198</v>
      </c>
      <c r="F174" t="s">
        <v>12</v>
      </c>
      <c r="G174" t="s">
        <v>200</v>
      </c>
      <c r="H174" t="s">
        <v>206</v>
      </c>
      <c r="I174">
        <v>15</v>
      </c>
      <c r="J174">
        <v>1385.26</v>
      </c>
      <c r="K174">
        <v>1</v>
      </c>
      <c r="L174" t="s">
        <v>210</v>
      </c>
      <c r="M174">
        <v>1</v>
      </c>
    </row>
    <row r="175" spans="1:13" x14ac:dyDescent="0.3">
      <c r="A175" t="s">
        <v>384</v>
      </c>
      <c r="B175">
        <v>9</v>
      </c>
      <c r="C175" s="1">
        <v>45912</v>
      </c>
      <c r="D175">
        <v>2025</v>
      </c>
      <c r="E175" t="s">
        <v>198</v>
      </c>
      <c r="F175" t="s">
        <v>199</v>
      </c>
      <c r="G175" t="s">
        <v>191</v>
      </c>
      <c r="H175" t="s">
        <v>192</v>
      </c>
      <c r="I175">
        <v>14</v>
      </c>
      <c r="J175">
        <v>2538.2600000000002</v>
      </c>
      <c r="K175">
        <v>1</v>
      </c>
      <c r="L175" t="s">
        <v>201</v>
      </c>
      <c r="M175">
        <v>0</v>
      </c>
    </row>
    <row r="176" spans="1:13" x14ac:dyDescent="0.3">
      <c r="A176" t="s">
        <v>385</v>
      </c>
      <c r="B176">
        <v>9</v>
      </c>
      <c r="C176" s="1">
        <v>45927</v>
      </c>
      <c r="D176">
        <v>2025</v>
      </c>
      <c r="E176" t="s">
        <v>198</v>
      </c>
      <c r="F176" t="s">
        <v>13</v>
      </c>
      <c r="G176" t="s">
        <v>200</v>
      </c>
      <c r="H176" t="s">
        <v>192</v>
      </c>
      <c r="I176">
        <v>13</v>
      </c>
      <c r="J176">
        <v>2101.31</v>
      </c>
      <c r="K176">
        <v>1</v>
      </c>
      <c r="L176" t="s">
        <v>193</v>
      </c>
      <c r="M176">
        <v>0</v>
      </c>
    </row>
    <row r="177" spans="1:13" x14ac:dyDescent="0.3">
      <c r="A177" t="s">
        <v>386</v>
      </c>
      <c r="B177">
        <v>10</v>
      </c>
      <c r="C177" s="1">
        <v>44510</v>
      </c>
      <c r="D177">
        <v>2021</v>
      </c>
      <c r="E177" t="s">
        <v>190</v>
      </c>
      <c r="F177" t="s">
        <v>209</v>
      </c>
      <c r="G177" t="s">
        <v>212</v>
      </c>
      <c r="H177" t="s">
        <v>206</v>
      </c>
      <c r="I177">
        <v>5</v>
      </c>
      <c r="J177">
        <v>250.24</v>
      </c>
      <c r="K177">
        <v>0</v>
      </c>
      <c r="L177" t="s">
        <v>215</v>
      </c>
      <c r="M177">
        <v>1</v>
      </c>
    </row>
    <row r="178" spans="1:13" x14ac:dyDescent="0.3">
      <c r="A178" t="s">
        <v>387</v>
      </c>
      <c r="B178">
        <v>10</v>
      </c>
      <c r="C178" s="1">
        <v>44216</v>
      </c>
      <c r="D178">
        <v>2021</v>
      </c>
      <c r="E178" t="s">
        <v>214</v>
      </c>
      <c r="F178" t="s">
        <v>12</v>
      </c>
      <c r="G178" t="s">
        <v>212</v>
      </c>
      <c r="H178" t="s">
        <v>204</v>
      </c>
      <c r="I178">
        <v>3</v>
      </c>
      <c r="J178">
        <v>469.04</v>
      </c>
      <c r="K178">
        <v>0</v>
      </c>
      <c r="L178" t="s">
        <v>201</v>
      </c>
      <c r="M178">
        <v>1</v>
      </c>
    </row>
    <row r="179" spans="1:13" x14ac:dyDescent="0.3">
      <c r="A179" t="s">
        <v>388</v>
      </c>
      <c r="B179">
        <v>10</v>
      </c>
      <c r="C179" s="1">
        <v>44881</v>
      </c>
      <c r="D179">
        <v>2022</v>
      </c>
      <c r="E179" t="s">
        <v>214</v>
      </c>
      <c r="F179" t="s">
        <v>199</v>
      </c>
      <c r="G179" t="s">
        <v>203</v>
      </c>
      <c r="H179" t="s">
        <v>204</v>
      </c>
      <c r="I179">
        <v>11</v>
      </c>
      <c r="J179">
        <v>7092.05</v>
      </c>
      <c r="K179">
        <v>0</v>
      </c>
      <c r="L179" t="s">
        <v>196</v>
      </c>
      <c r="M179">
        <v>0</v>
      </c>
    </row>
    <row r="180" spans="1:13" x14ac:dyDescent="0.3">
      <c r="A180" t="s">
        <v>389</v>
      </c>
      <c r="B180">
        <v>10</v>
      </c>
      <c r="C180" s="1">
        <v>44603</v>
      </c>
      <c r="D180">
        <v>2022</v>
      </c>
      <c r="E180" t="s">
        <v>214</v>
      </c>
      <c r="F180" t="s">
        <v>199</v>
      </c>
      <c r="G180" t="s">
        <v>191</v>
      </c>
      <c r="H180" t="s">
        <v>195</v>
      </c>
      <c r="I180">
        <v>19</v>
      </c>
      <c r="J180">
        <v>7891.47</v>
      </c>
      <c r="K180">
        <v>0</v>
      </c>
      <c r="L180" t="s">
        <v>193</v>
      </c>
      <c r="M180">
        <v>1</v>
      </c>
    </row>
    <row r="181" spans="1:13" x14ac:dyDescent="0.3">
      <c r="A181" t="s">
        <v>390</v>
      </c>
      <c r="B181">
        <v>10</v>
      </c>
      <c r="C181" s="1">
        <v>44755</v>
      </c>
      <c r="D181">
        <v>2022</v>
      </c>
      <c r="E181" t="s">
        <v>198</v>
      </c>
      <c r="F181" t="s">
        <v>199</v>
      </c>
      <c r="G181" t="s">
        <v>203</v>
      </c>
      <c r="H181" t="s">
        <v>192</v>
      </c>
      <c r="I181">
        <v>9</v>
      </c>
      <c r="J181">
        <v>7356.09</v>
      </c>
      <c r="K181">
        <v>1</v>
      </c>
      <c r="L181" t="s">
        <v>196</v>
      </c>
      <c r="M181">
        <v>0</v>
      </c>
    </row>
    <row r="182" spans="1:13" x14ac:dyDescent="0.3">
      <c r="A182" t="s">
        <v>391</v>
      </c>
      <c r="B182">
        <v>10</v>
      </c>
      <c r="C182" s="1">
        <v>44670</v>
      </c>
      <c r="D182">
        <v>2022</v>
      </c>
      <c r="E182" t="s">
        <v>198</v>
      </c>
      <c r="F182" t="s">
        <v>13</v>
      </c>
      <c r="G182" t="s">
        <v>212</v>
      </c>
      <c r="H182" t="s">
        <v>195</v>
      </c>
      <c r="I182">
        <v>19</v>
      </c>
      <c r="J182">
        <v>2720.01</v>
      </c>
      <c r="K182">
        <v>1</v>
      </c>
      <c r="L182" t="s">
        <v>215</v>
      </c>
      <c r="M182">
        <v>1</v>
      </c>
    </row>
    <row r="183" spans="1:13" x14ac:dyDescent="0.3">
      <c r="A183" t="s">
        <v>392</v>
      </c>
      <c r="B183">
        <v>10</v>
      </c>
      <c r="C183" s="1">
        <v>44705</v>
      </c>
      <c r="D183">
        <v>2022</v>
      </c>
      <c r="E183" t="s">
        <v>214</v>
      </c>
      <c r="F183" t="s">
        <v>13</v>
      </c>
      <c r="G183" t="s">
        <v>203</v>
      </c>
      <c r="H183" t="s">
        <v>195</v>
      </c>
      <c r="I183">
        <v>5</v>
      </c>
      <c r="J183">
        <v>1854.74</v>
      </c>
      <c r="K183">
        <v>1</v>
      </c>
      <c r="L183" t="s">
        <v>201</v>
      </c>
      <c r="M183">
        <v>1</v>
      </c>
    </row>
    <row r="184" spans="1:13" x14ac:dyDescent="0.3">
      <c r="A184" t="s">
        <v>393</v>
      </c>
      <c r="B184">
        <v>10</v>
      </c>
      <c r="C184" s="1">
        <v>44994</v>
      </c>
      <c r="D184">
        <v>2023</v>
      </c>
      <c r="E184" t="s">
        <v>214</v>
      </c>
      <c r="F184" t="s">
        <v>12</v>
      </c>
      <c r="G184" t="s">
        <v>191</v>
      </c>
      <c r="H184" t="s">
        <v>195</v>
      </c>
      <c r="I184">
        <v>5</v>
      </c>
      <c r="J184">
        <v>526.65</v>
      </c>
      <c r="K184">
        <v>0</v>
      </c>
      <c r="L184" t="s">
        <v>215</v>
      </c>
      <c r="M184">
        <v>0</v>
      </c>
    </row>
    <row r="185" spans="1:13" x14ac:dyDescent="0.3">
      <c r="A185" t="s">
        <v>394</v>
      </c>
      <c r="B185">
        <v>10</v>
      </c>
      <c r="C185" s="1">
        <v>45070</v>
      </c>
      <c r="D185">
        <v>2023</v>
      </c>
      <c r="E185" t="s">
        <v>219</v>
      </c>
      <c r="F185" t="s">
        <v>13</v>
      </c>
      <c r="G185" t="s">
        <v>212</v>
      </c>
      <c r="H185" t="s">
        <v>206</v>
      </c>
      <c r="I185">
        <v>13</v>
      </c>
      <c r="J185">
        <v>1986.26</v>
      </c>
      <c r="K185">
        <v>0</v>
      </c>
      <c r="L185" t="s">
        <v>193</v>
      </c>
      <c r="M185">
        <v>1</v>
      </c>
    </row>
    <row r="186" spans="1:13" x14ac:dyDescent="0.3">
      <c r="A186" t="s">
        <v>395</v>
      </c>
      <c r="B186">
        <v>10</v>
      </c>
      <c r="C186" s="1">
        <v>44937</v>
      </c>
      <c r="D186">
        <v>2023</v>
      </c>
      <c r="E186" t="s">
        <v>214</v>
      </c>
      <c r="F186" t="s">
        <v>12</v>
      </c>
      <c r="G186" t="s">
        <v>212</v>
      </c>
      <c r="H186" t="s">
        <v>195</v>
      </c>
      <c r="I186">
        <v>10</v>
      </c>
      <c r="J186">
        <v>1178.21</v>
      </c>
      <c r="K186">
        <v>0</v>
      </c>
      <c r="L186" t="s">
        <v>201</v>
      </c>
      <c r="M186">
        <v>1</v>
      </c>
    </row>
    <row r="187" spans="1:13" x14ac:dyDescent="0.3">
      <c r="A187" t="s">
        <v>396</v>
      </c>
      <c r="B187">
        <v>10</v>
      </c>
      <c r="C187" s="1">
        <v>45425</v>
      </c>
      <c r="D187">
        <v>2024</v>
      </c>
      <c r="E187" t="s">
        <v>198</v>
      </c>
      <c r="F187" t="s">
        <v>199</v>
      </c>
      <c r="G187" t="s">
        <v>191</v>
      </c>
      <c r="H187" t="s">
        <v>195</v>
      </c>
      <c r="I187">
        <v>5</v>
      </c>
      <c r="J187">
        <v>5587.29</v>
      </c>
      <c r="K187">
        <v>1</v>
      </c>
      <c r="L187" t="s">
        <v>196</v>
      </c>
      <c r="M187">
        <v>1</v>
      </c>
    </row>
    <row r="188" spans="1:13" x14ac:dyDescent="0.3">
      <c r="A188" t="s">
        <v>397</v>
      </c>
      <c r="B188">
        <v>10</v>
      </c>
      <c r="C188" s="1">
        <v>45453</v>
      </c>
      <c r="D188">
        <v>2024</v>
      </c>
      <c r="E188" t="s">
        <v>225</v>
      </c>
      <c r="F188" t="s">
        <v>13</v>
      </c>
      <c r="G188" t="s">
        <v>212</v>
      </c>
      <c r="H188" t="s">
        <v>195</v>
      </c>
      <c r="I188">
        <v>19</v>
      </c>
      <c r="J188">
        <v>2054.88</v>
      </c>
      <c r="K188">
        <v>1</v>
      </c>
      <c r="L188" t="s">
        <v>201</v>
      </c>
      <c r="M188">
        <v>1</v>
      </c>
    </row>
    <row r="189" spans="1:13" x14ac:dyDescent="0.3">
      <c r="A189" t="s">
        <v>398</v>
      </c>
      <c r="B189">
        <v>10</v>
      </c>
      <c r="C189" s="1">
        <v>45316</v>
      </c>
      <c r="D189">
        <v>2024</v>
      </c>
      <c r="E189" t="s">
        <v>219</v>
      </c>
      <c r="F189" t="s">
        <v>13</v>
      </c>
      <c r="G189" t="s">
        <v>191</v>
      </c>
      <c r="H189" t="s">
        <v>192</v>
      </c>
      <c r="I189">
        <v>3</v>
      </c>
      <c r="J189">
        <v>2821.37</v>
      </c>
      <c r="K189">
        <v>1</v>
      </c>
      <c r="L189" t="s">
        <v>201</v>
      </c>
      <c r="M189">
        <v>0</v>
      </c>
    </row>
    <row r="190" spans="1:13" x14ac:dyDescent="0.3">
      <c r="A190" t="s">
        <v>399</v>
      </c>
      <c r="B190">
        <v>10</v>
      </c>
      <c r="C190" s="1">
        <v>45341</v>
      </c>
      <c r="D190">
        <v>2024</v>
      </c>
      <c r="E190" t="s">
        <v>198</v>
      </c>
      <c r="F190" t="s">
        <v>13</v>
      </c>
      <c r="G190" t="s">
        <v>191</v>
      </c>
      <c r="H190" t="s">
        <v>195</v>
      </c>
      <c r="I190">
        <v>5</v>
      </c>
      <c r="J190">
        <v>2650.21</v>
      </c>
      <c r="K190">
        <v>1</v>
      </c>
      <c r="L190" t="s">
        <v>210</v>
      </c>
      <c r="M190">
        <v>1</v>
      </c>
    </row>
    <row r="191" spans="1:13" x14ac:dyDescent="0.3">
      <c r="A191" t="s">
        <v>400</v>
      </c>
      <c r="B191">
        <v>10</v>
      </c>
      <c r="C191" s="1">
        <v>45423</v>
      </c>
      <c r="D191">
        <v>2024</v>
      </c>
      <c r="E191" t="s">
        <v>190</v>
      </c>
      <c r="F191" t="s">
        <v>13</v>
      </c>
      <c r="G191" t="s">
        <v>212</v>
      </c>
      <c r="H191" t="s">
        <v>206</v>
      </c>
      <c r="I191">
        <v>5</v>
      </c>
      <c r="J191">
        <v>2506.91</v>
      </c>
      <c r="K191">
        <v>0</v>
      </c>
      <c r="L191" t="s">
        <v>193</v>
      </c>
      <c r="M191">
        <v>1</v>
      </c>
    </row>
    <row r="192" spans="1:13" x14ac:dyDescent="0.3">
      <c r="A192" t="s">
        <v>401</v>
      </c>
      <c r="B192">
        <v>10</v>
      </c>
      <c r="C192" s="1">
        <v>45489</v>
      </c>
      <c r="D192">
        <v>2024</v>
      </c>
      <c r="E192" t="s">
        <v>214</v>
      </c>
      <c r="F192" t="s">
        <v>199</v>
      </c>
      <c r="G192" t="s">
        <v>191</v>
      </c>
      <c r="H192" t="s">
        <v>192</v>
      </c>
      <c r="I192">
        <v>15</v>
      </c>
      <c r="J192">
        <v>2518.36</v>
      </c>
      <c r="K192">
        <v>1</v>
      </c>
      <c r="L192" t="s">
        <v>193</v>
      </c>
      <c r="M192">
        <v>0</v>
      </c>
    </row>
    <row r="193" spans="1:13" x14ac:dyDescent="0.3">
      <c r="A193" t="s">
        <v>402</v>
      </c>
      <c r="B193">
        <v>10</v>
      </c>
      <c r="C193" s="1">
        <v>45857</v>
      </c>
      <c r="D193">
        <v>2025</v>
      </c>
      <c r="E193" t="s">
        <v>190</v>
      </c>
      <c r="F193" t="s">
        <v>199</v>
      </c>
      <c r="G193" t="s">
        <v>203</v>
      </c>
      <c r="H193" t="s">
        <v>195</v>
      </c>
      <c r="I193">
        <v>14</v>
      </c>
      <c r="J193">
        <v>5903.82</v>
      </c>
      <c r="K193">
        <v>0</v>
      </c>
      <c r="L193" t="s">
        <v>196</v>
      </c>
      <c r="M193">
        <v>1</v>
      </c>
    </row>
    <row r="194" spans="1:13" x14ac:dyDescent="0.3">
      <c r="A194" t="s">
        <v>403</v>
      </c>
      <c r="B194">
        <v>10</v>
      </c>
      <c r="C194" s="1">
        <v>45949</v>
      </c>
      <c r="D194">
        <v>2025</v>
      </c>
      <c r="E194" t="s">
        <v>190</v>
      </c>
      <c r="F194" t="s">
        <v>199</v>
      </c>
      <c r="G194" t="s">
        <v>203</v>
      </c>
      <c r="H194" t="s">
        <v>206</v>
      </c>
      <c r="I194">
        <v>3</v>
      </c>
      <c r="J194">
        <v>5631.18</v>
      </c>
      <c r="K194">
        <v>0</v>
      </c>
      <c r="L194" t="s">
        <v>193</v>
      </c>
      <c r="M194">
        <v>0</v>
      </c>
    </row>
    <row r="195" spans="1:13" x14ac:dyDescent="0.3">
      <c r="A195" t="s">
        <v>404</v>
      </c>
      <c r="B195">
        <v>10</v>
      </c>
      <c r="C195" s="1">
        <v>46011</v>
      </c>
      <c r="D195">
        <v>2025</v>
      </c>
      <c r="E195" t="s">
        <v>198</v>
      </c>
      <c r="F195" t="s">
        <v>13</v>
      </c>
      <c r="G195" t="s">
        <v>212</v>
      </c>
      <c r="H195" t="s">
        <v>195</v>
      </c>
      <c r="I195">
        <v>9</v>
      </c>
      <c r="J195">
        <v>3550.93</v>
      </c>
      <c r="K195">
        <v>1</v>
      </c>
      <c r="L195" t="s">
        <v>196</v>
      </c>
      <c r="M195">
        <v>1</v>
      </c>
    </row>
    <row r="196" spans="1:13" x14ac:dyDescent="0.3">
      <c r="A196" t="s">
        <v>405</v>
      </c>
      <c r="B196">
        <v>10</v>
      </c>
      <c r="C196" s="1">
        <v>45753</v>
      </c>
      <c r="D196">
        <v>2025</v>
      </c>
      <c r="E196" t="s">
        <v>219</v>
      </c>
      <c r="F196" t="s">
        <v>13</v>
      </c>
      <c r="G196" t="s">
        <v>200</v>
      </c>
      <c r="H196" t="s">
        <v>195</v>
      </c>
      <c r="I196">
        <v>13</v>
      </c>
      <c r="J196">
        <v>1194.44</v>
      </c>
      <c r="K196">
        <v>0</v>
      </c>
      <c r="L196" t="s">
        <v>201</v>
      </c>
      <c r="M196">
        <v>0</v>
      </c>
    </row>
    <row r="197" spans="1:13" x14ac:dyDescent="0.3">
      <c r="A197" t="s">
        <v>406</v>
      </c>
      <c r="B197">
        <v>11</v>
      </c>
      <c r="C197" s="1">
        <v>44849</v>
      </c>
      <c r="D197">
        <v>2022</v>
      </c>
      <c r="E197" t="s">
        <v>190</v>
      </c>
      <c r="F197" t="s">
        <v>199</v>
      </c>
      <c r="G197" t="s">
        <v>200</v>
      </c>
      <c r="H197" t="s">
        <v>192</v>
      </c>
      <c r="I197">
        <v>3</v>
      </c>
      <c r="J197">
        <v>4321.93</v>
      </c>
      <c r="K197">
        <v>0</v>
      </c>
      <c r="L197" t="s">
        <v>196</v>
      </c>
      <c r="M197">
        <v>0</v>
      </c>
    </row>
    <row r="198" spans="1:13" x14ac:dyDescent="0.3">
      <c r="A198" t="s">
        <v>407</v>
      </c>
      <c r="B198">
        <v>11</v>
      </c>
      <c r="C198" s="1">
        <v>44593</v>
      </c>
      <c r="D198">
        <v>2022</v>
      </c>
      <c r="E198" t="s">
        <v>190</v>
      </c>
      <c r="F198" t="s">
        <v>12</v>
      </c>
      <c r="G198" t="s">
        <v>212</v>
      </c>
      <c r="H198" t="s">
        <v>192</v>
      </c>
      <c r="I198">
        <v>12</v>
      </c>
      <c r="J198">
        <v>1228.8</v>
      </c>
      <c r="K198">
        <v>0</v>
      </c>
      <c r="L198" t="s">
        <v>201</v>
      </c>
      <c r="M198">
        <v>1</v>
      </c>
    </row>
    <row r="199" spans="1:13" x14ac:dyDescent="0.3">
      <c r="A199" t="s">
        <v>408</v>
      </c>
      <c r="B199">
        <v>11</v>
      </c>
      <c r="C199" s="1">
        <v>44808</v>
      </c>
      <c r="D199">
        <v>2022</v>
      </c>
      <c r="E199" t="s">
        <v>219</v>
      </c>
      <c r="F199" t="s">
        <v>199</v>
      </c>
      <c r="G199" t="s">
        <v>203</v>
      </c>
      <c r="H199" t="s">
        <v>192</v>
      </c>
      <c r="I199">
        <v>11</v>
      </c>
      <c r="J199">
        <v>2828.82</v>
      </c>
      <c r="K199">
        <v>0</v>
      </c>
      <c r="L199" t="s">
        <v>196</v>
      </c>
      <c r="M199">
        <v>1</v>
      </c>
    </row>
    <row r="200" spans="1:13" x14ac:dyDescent="0.3">
      <c r="A200" t="s">
        <v>409</v>
      </c>
      <c r="B200">
        <v>11</v>
      </c>
      <c r="C200" s="1">
        <v>45090</v>
      </c>
      <c r="D200">
        <v>2023</v>
      </c>
      <c r="E200" t="s">
        <v>190</v>
      </c>
      <c r="F200" t="s">
        <v>13</v>
      </c>
      <c r="G200" t="s">
        <v>212</v>
      </c>
      <c r="H200" t="s">
        <v>195</v>
      </c>
      <c r="I200">
        <v>5</v>
      </c>
      <c r="J200">
        <v>1372.17</v>
      </c>
      <c r="K200">
        <v>0</v>
      </c>
      <c r="L200" t="s">
        <v>193</v>
      </c>
      <c r="M200">
        <v>1</v>
      </c>
    </row>
    <row r="201" spans="1:13" x14ac:dyDescent="0.3">
      <c r="A201" t="s">
        <v>410</v>
      </c>
      <c r="B201">
        <v>11</v>
      </c>
      <c r="C201" s="1">
        <v>45224</v>
      </c>
      <c r="D201">
        <v>2023</v>
      </c>
      <c r="E201" t="s">
        <v>190</v>
      </c>
      <c r="F201" t="s">
        <v>13</v>
      </c>
      <c r="G201" t="s">
        <v>203</v>
      </c>
      <c r="H201" t="s">
        <v>195</v>
      </c>
      <c r="I201">
        <v>9</v>
      </c>
      <c r="J201">
        <v>1425.85</v>
      </c>
      <c r="K201">
        <v>0</v>
      </c>
      <c r="L201" t="s">
        <v>193</v>
      </c>
      <c r="M201">
        <v>0</v>
      </c>
    </row>
    <row r="202" spans="1:13" x14ac:dyDescent="0.3">
      <c r="A202" t="s">
        <v>411</v>
      </c>
      <c r="B202">
        <v>11</v>
      </c>
      <c r="C202" s="1">
        <v>45098</v>
      </c>
      <c r="D202">
        <v>2023</v>
      </c>
      <c r="E202" t="s">
        <v>190</v>
      </c>
      <c r="F202" t="s">
        <v>13</v>
      </c>
      <c r="G202" t="s">
        <v>191</v>
      </c>
      <c r="H202" t="s">
        <v>195</v>
      </c>
      <c r="I202">
        <v>12</v>
      </c>
      <c r="J202">
        <v>3270.94</v>
      </c>
      <c r="K202">
        <v>0</v>
      </c>
      <c r="L202" t="s">
        <v>196</v>
      </c>
      <c r="M202">
        <v>0</v>
      </c>
    </row>
    <row r="203" spans="1:13" x14ac:dyDescent="0.3">
      <c r="A203" t="s">
        <v>412</v>
      </c>
      <c r="B203">
        <v>11</v>
      </c>
      <c r="C203" s="1">
        <v>45635</v>
      </c>
      <c r="D203">
        <v>2024</v>
      </c>
      <c r="E203" t="s">
        <v>219</v>
      </c>
      <c r="F203" t="s">
        <v>12</v>
      </c>
      <c r="G203" t="s">
        <v>212</v>
      </c>
      <c r="H203" t="s">
        <v>195</v>
      </c>
      <c r="I203">
        <v>6</v>
      </c>
      <c r="J203">
        <v>610.54</v>
      </c>
      <c r="K203">
        <v>0</v>
      </c>
      <c r="L203" t="s">
        <v>215</v>
      </c>
      <c r="M203">
        <v>1</v>
      </c>
    </row>
    <row r="204" spans="1:13" x14ac:dyDescent="0.3">
      <c r="A204" t="s">
        <v>413</v>
      </c>
      <c r="B204">
        <v>11</v>
      </c>
      <c r="C204" s="1">
        <v>45466</v>
      </c>
      <c r="D204">
        <v>2024</v>
      </c>
      <c r="E204" t="s">
        <v>214</v>
      </c>
      <c r="F204" t="s">
        <v>13</v>
      </c>
      <c r="G204" t="s">
        <v>200</v>
      </c>
      <c r="H204" t="s">
        <v>206</v>
      </c>
      <c r="I204">
        <v>5</v>
      </c>
      <c r="J204">
        <v>2425.85</v>
      </c>
      <c r="K204">
        <v>0</v>
      </c>
      <c r="L204" t="s">
        <v>193</v>
      </c>
      <c r="M204">
        <v>1</v>
      </c>
    </row>
    <row r="205" spans="1:13" x14ac:dyDescent="0.3">
      <c r="A205" t="s">
        <v>414</v>
      </c>
      <c r="B205">
        <v>11</v>
      </c>
      <c r="C205" s="1">
        <v>45736</v>
      </c>
      <c r="D205">
        <v>2025</v>
      </c>
      <c r="E205" t="s">
        <v>225</v>
      </c>
      <c r="F205" t="s">
        <v>13</v>
      </c>
      <c r="G205" t="s">
        <v>203</v>
      </c>
      <c r="H205" t="s">
        <v>195</v>
      </c>
      <c r="I205">
        <v>12</v>
      </c>
      <c r="J205">
        <v>2752.7</v>
      </c>
      <c r="K205">
        <v>1</v>
      </c>
      <c r="L205" t="s">
        <v>201</v>
      </c>
      <c r="M205">
        <v>1</v>
      </c>
    </row>
    <row r="206" spans="1:13" x14ac:dyDescent="0.3">
      <c r="A206" t="s">
        <v>415</v>
      </c>
      <c r="B206">
        <v>11</v>
      </c>
      <c r="C206" s="1">
        <v>45913</v>
      </c>
      <c r="D206">
        <v>2025</v>
      </c>
      <c r="E206" t="s">
        <v>198</v>
      </c>
      <c r="F206" t="s">
        <v>199</v>
      </c>
      <c r="G206" t="s">
        <v>212</v>
      </c>
      <c r="H206" t="s">
        <v>206</v>
      </c>
      <c r="I206">
        <v>7</v>
      </c>
      <c r="J206">
        <v>5256.02</v>
      </c>
      <c r="K206">
        <v>1</v>
      </c>
      <c r="L206" t="s">
        <v>196</v>
      </c>
      <c r="M206">
        <v>1</v>
      </c>
    </row>
    <row r="207" spans="1:13" x14ac:dyDescent="0.3">
      <c r="A207" t="s">
        <v>416</v>
      </c>
      <c r="B207">
        <v>11</v>
      </c>
      <c r="C207" s="1">
        <v>45890</v>
      </c>
      <c r="D207">
        <v>2025</v>
      </c>
      <c r="E207" t="s">
        <v>198</v>
      </c>
      <c r="F207" t="s">
        <v>13</v>
      </c>
      <c r="G207" t="s">
        <v>200</v>
      </c>
      <c r="H207" t="s">
        <v>192</v>
      </c>
      <c r="I207">
        <v>6</v>
      </c>
      <c r="J207">
        <v>1042.7</v>
      </c>
      <c r="K207">
        <v>1</v>
      </c>
      <c r="L207" t="s">
        <v>196</v>
      </c>
      <c r="M207">
        <v>0</v>
      </c>
    </row>
    <row r="208" spans="1:13" x14ac:dyDescent="0.3">
      <c r="A208" t="s">
        <v>417</v>
      </c>
      <c r="B208">
        <v>11</v>
      </c>
      <c r="C208" s="1">
        <v>45752</v>
      </c>
      <c r="D208">
        <v>2025</v>
      </c>
      <c r="E208" t="s">
        <v>198</v>
      </c>
      <c r="F208" t="s">
        <v>13</v>
      </c>
      <c r="G208" t="s">
        <v>191</v>
      </c>
      <c r="H208" t="s">
        <v>206</v>
      </c>
      <c r="I208">
        <v>15</v>
      </c>
      <c r="J208">
        <v>2069.5</v>
      </c>
      <c r="K208">
        <v>1</v>
      </c>
      <c r="L208" t="s">
        <v>193</v>
      </c>
      <c r="M208">
        <v>1</v>
      </c>
    </row>
    <row r="209" spans="1:13" x14ac:dyDescent="0.3">
      <c r="A209" t="s">
        <v>418</v>
      </c>
      <c r="B209">
        <v>12</v>
      </c>
      <c r="C209" s="1">
        <v>44537</v>
      </c>
      <c r="D209">
        <v>2021</v>
      </c>
      <c r="E209" t="s">
        <v>227</v>
      </c>
      <c r="F209" t="s">
        <v>13</v>
      </c>
      <c r="G209" t="s">
        <v>212</v>
      </c>
      <c r="H209" t="s">
        <v>192</v>
      </c>
      <c r="I209">
        <v>11</v>
      </c>
      <c r="J209">
        <v>3884.97</v>
      </c>
      <c r="K209">
        <v>0</v>
      </c>
      <c r="L209" t="s">
        <v>201</v>
      </c>
      <c r="M209">
        <v>1</v>
      </c>
    </row>
    <row r="210" spans="1:13" x14ac:dyDescent="0.3">
      <c r="A210" t="s">
        <v>419</v>
      </c>
      <c r="B210">
        <v>12</v>
      </c>
      <c r="C210" s="1">
        <v>44253</v>
      </c>
      <c r="D210">
        <v>2021</v>
      </c>
      <c r="E210" t="s">
        <v>198</v>
      </c>
      <c r="F210" t="s">
        <v>13</v>
      </c>
      <c r="G210" t="s">
        <v>203</v>
      </c>
      <c r="H210" t="s">
        <v>204</v>
      </c>
      <c r="I210">
        <v>13</v>
      </c>
      <c r="J210">
        <v>3218.31</v>
      </c>
      <c r="K210">
        <v>1</v>
      </c>
      <c r="L210" t="s">
        <v>201</v>
      </c>
      <c r="M210">
        <v>0</v>
      </c>
    </row>
    <row r="211" spans="1:13" x14ac:dyDescent="0.3">
      <c r="A211" t="s">
        <v>420</v>
      </c>
      <c r="B211">
        <v>12</v>
      </c>
      <c r="C211" s="1">
        <v>44553</v>
      </c>
      <c r="D211">
        <v>2021</v>
      </c>
      <c r="E211" t="s">
        <v>227</v>
      </c>
      <c r="F211" t="s">
        <v>13</v>
      </c>
      <c r="G211" t="s">
        <v>200</v>
      </c>
      <c r="H211" t="s">
        <v>195</v>
      </c>
      <c r="I211">
        <v>18</v>
      </c>
      <c r="J211">
        <v>3492.08</v>
      </c>
      <c r="K211">
        <v>0</v>
      </c>
      <c r="L211" t="s">
        <v>201</v>
      </c>
      <c r="M211">
        <v>0</v>
      </c>
    </row>
    <row r="212" spans="1:13" x14ac:dyDescent="0.3">
      <c r="A212" t="s">
        <v>421</v>
      </c>
      <c r="B212">
        <v>12</v>
      </c>
      <c r="C212" s="1">
        <v>44203</v>
      </c>
      <c r="D212">
        <v>2021</v>
      </c>
      <c r="E212" t="s">
        <v>198</v>
      </c>
      <c r="F212" t="s">
        <v>13</v>
      </c>
      <c r="G212" t="s">
        <v>212</v>
      </c>
      <c r="H212" t="s">
        <v>204</v>
      </c>
      <c r="I212">
        <v>7</v>
      </c>
      <c r="J212">
        <v>2610.8000000000002</v>
      </c>
      <c r="K212">
        <v>1</v>
      </c>
      <c r="L212" t="s">
        <v>193</v>
      </c>
      <c r="M212">
        <v>1</v>
      </c>
    </row>
    <row r="213" spans="1:13" x14ac:dyDescent="0.3">
      <c r="A213" t="s">
        <v>422</v>
      </c>
      <c r="B213">
        <v>12</v>
      </c>
      <c r="C213" s="1">
        <v>44503</v>
      </c>
      <c r="D213">
        <v>2021</v>
      </c>
      <c r="E213" t="s">
        <v>198</v>
      </c>
      <c r="F213" t="s">
        <v>13</v>
      </c>
      <c r="G213" t="s">
        <v>200</v>
      </c>
      <c r="H213" t="s">
        <v>195</v>
      </c>
      <c r="I213">
        <v>1</v>
      </c>
      <c r="J213">
        <v>2794.88</v>
      </c>
      <c r="K213">
        <v>1</v>
      </c>
      <c r="L213" t="s">
        <v>193</v>
      </c>
      <c r="M213">
        <v>0</v>
      </c>
    </row>
    <row r="214" spans="1:13" x14ac:dyDescent="0.3">
      <c r="A214" t="s">
        <v>423</v>
      </c>
      <c r="B214">
        <v>12</v>
      </c>
      <c r="C214" s="1">
        <v>44910</v>
      </c>
      <c r="D214">
        <v>2022</v>
      </c>
      <c r="E214" t="s">
        <v>190</v>
      </c>
      <c r="F214" t="s">
        <v>209</v>
      </c>
      <c r="G214" t="s">
        <v>212</v>
      </c>
      <c r="H214" t="s">
        <v>195</v>
      </c>
      <c r="I214">
        <v>9</v>
      </c>
      <c r="J214">
        <v>273.75</v>
      </c>
      <c r="K214">
        <v>0</v>
      </c>
      <c r="L214" t="s">
        <v>210</v>
      </c>
      <c r="M214">
        <v>1</v>
      </c>
    </row>
    <row r="215" spans="1:13" x14ac:dyDescent="0.3">
      <c r="A215" t="s">
        <v>424</v>
      </c>
      <c r="B215">
        <v>12</v>
      </c>
      <c r="C215" s="1">
        <v>45159</v>
      </c>
      <c r="D215">
        <v>2023</v>
      </c>
      <c r="E215" t="s">
        <v>198</v>
      </c>
      <c r="F215" t="s">
        <v>13</v>
      </c>
      <c r="G215" t="s">
        <v>212</v>
      </c>
      <c r="H215" t="s">
        <v>192</v>
      </c>
      <c r="I215">
        <v>6</v>
      </c>
      <c r="J215">
        <v>1898.91</v>
      </c>
      <c r="K215">
        <v>1</v>
      </c>
      <c r="L215" t="s">
        <v>210</v>
      </c>
      <c r="M215">
        <v>1</v>
      </c>
    </row>
    <row r="216" spans="1:13" x14ac:dyDescent="0.3">
      <c r="A216" t="s">
        <v>425</v>
      </c>
      <c r="B216">
        <v>12</v>
      </c>
      <c r="C216" s="1">
        <v>45068</v>
      </c>
      <c r="D216">
        <v>2023</v>
      </c>
      <c r="E216" t="s">
        <v>225</v>
      </c>
      <c r="F216" t="s">
        <v>12</v>
      </c>
      <c r="G216" t="s">
        <v>191</v>
      </c>
      <c r="H216" t="s">
        <v>192</v>
      </c>
      <c r="I216">
        <v>10</v>
      </c>
      <c r="J216">
        <v>649.01</v>
      </c>
      <c r="K216">
        <v>0</v>
      </c>
      <c r="L216" t="s">
        <v>201</v>
      </c>
      <c r="M216">
        <v>0</v>
      </c>
    </row>
    <row r="217" spans="1:13" x14ac:dyDescent="0.3">
      <c r="A217" t="s">
        <v>426</v>
      </c>
      <c r="B217">
        <v>12</v>
      </c>
      <c r="C217" s="1">
        <v>44982</v>
      </c>
      <c r="D217">
        <v>2023</v>
      </c>
      <c r="E217" t="s">
        <v>225</v>
      </c>
      <c r="F217" t="s">
        <v>199</v>
      </c>
      <c r="G217" t="s">
        <v>212</v>
      </c>
      <c r="H217" t="s">
        <v>204</v>
      </c>
      <c r="I217">
        <v>15</v>
      </c>
      <c r="J217">
        <v>3504.61</v>
      </c>
      <c r="K217">
        <v>0</v>
      </c>
      <c r="L217" t="s">
        <v>193</v>
      </c>
      <c r="M217">
        <v>1</v>
      </c>
    </row>
    <row r="218" spans="1:13" x14ac:dyDescent="0.3">
      <c r="A218" t="s">
        <v>427</v>
      </c>
      <c r="B218">
        <v>12</v>
      </c>
      <c r="C218" s="1">
        <v>45026</v>
      </c>
      <c r="D218">
        <v>2023</v>
      </c>
      <c r="E218" t="s">
        <v>225</v>
      </c>
      <c r="F218" t="s">
        <v>13</v>
      </c>
      <c r="G218" t="s">
        <v>203</v>
      </c>
      <c r="H218" t="s">
        <v>195</v>
      </c>
      <c r="I218">
        <v>4</v>
      </c>
      <c r="J218">
        <v>2713.03</v>
      </c>
      <c r="K218">
        <v>1</v>
      </c>
      <c r="L218" t="s">
        <v>193</v>
      </c>
      <c r="M218">
        <v>1</v>
      </c>
    </row>
    <row r="219" spans="1:13" x14ac:dyDescent="0.3">
      <c r="A219" t="s">
        <v>428</v>
      </c>
      <c r="B219">
        <v>12</v>
      </c>
      <c r="C219" s="1">
        <v>45013</v>
      </c>
      <c r="D219">
        <v>2023</v>
      </c>
      <c r="E219" t="s">
        <v>198</v>
      </c>
      <c r="F219" t="s">
        <v>13</v>
      </c>
      <c r="G219" t="s">
        <v>203</v>
      </c>
      <c r="H219" t="s">
        <v>206</v>
      </c>
      <c r="I219">
        <v>9</v>
      </c>
      <c r="J219">
        <v>2421.33</v>
      </c>
      <c r="K219">
        <v>1</v>
      </c>
      <c r="L219" t="s">
        <v>193</v>
      </c>
      <c r="M219">
        <v>1</v>
      </c>
    </row>
    <row r="220" spans="1:13" x14ac:dyDescent="0.3">
      <c r="A220" t="s">
        <v>429</v>
      </c>
      <c r="B220">
        <v>12</v>
      </c>
      <c r="C220" s="1">
        <v>45793</v>
      </c>
      <c r="D220">
        <v>2025</v>
      </c>
      <c r="E220" t="s">
        <v>198</v>
      </c>
      <c r="F220" t="s">
        <v>199</v>
      </c>
      <c r="G220" t="s">
        <v>191</v>
      </c>
      <c r="H220" t="s">
        <v>206</v>
      </c>
      <c r="I220">
        <v>15</v>
      </c>
      <c r="J220">
        <v>4194.09</v>
      </c>
      <c r="K220">
        <v>1</v>
      </c>
      <c r="L220" t="s">
        <v>193</v>
      </c>
      <c r="M220">
        <v>0</v>
      </c>
    </row>
    <row r="221" spans="1:13" x14ac:dyDescent="0.3">
      <c r="A221" t="s">
        <v>430</v>
      </c>
      <c r="B221">
        <v>12</v>
      </c>
      <c r="C221" s="1">
        <v>45840</v>
      </c>
      <c r="D221">
        <v>2025</v>
      </c>
      <c r="E221" t="s">
        <v>225</v>
      </c>
      <c r="F221" t="s">
        <v>199</v>
      </c>
      <c r="G221" t="s">
        <v>191</v>
      </c>
      <c r="H221" t="s">
        <v>195</v>
      </c>
      <c r="I221">
        <v>14</v>
      </c>
      <c r="J221">
        <v>6373.86</v>
      </c>
      <c r="K221">
        <v>0</v>
      </c>
      <c r="L221" t="s">
        <v>201</v>
      </c>
      <c r="M221">
        <v>0</v>
      </c>
    </row>
    <row r="222" spans="1:13" x14ac:dyDescent="0.3">
      <c r="A222" t="s">
        <v>431</v>
      </c>
      <c r="B222">
        <v>12</v>
      </c>
      <c r="C222" s="1">
        <v>45809</v>
      </c>
      <c r="D222">
        <v>2025</v>
      </c>
      <c r="E222" t="s">
        <v>190</v>
      </c>
      <c r="F222" t="s">
        <v>12</v>
      </c>
      <c r="G222" t="s">
        <v>203</v>
      </c>
      <c r="H222" t="s">
        <v>192</v>
      </c>
      <c r="I222">
        <v>3</v>
      </c>
      <c r="J222">
        <v>878.68</v>
      </c>
      <c r="K222">
        <v>0</v>
      </c>
      <c r="L222" t="s">
        <v>215</v>
      </c>
      <c r="M222">
        <v>0</v>
      </c>
    </row>
    <row r="223" spans="1:13" x14ac:dyDescent="0.3">
      <c r="A223" t="s">
        <v>432</v>
      </c>
      <c r="B223">
        <v>12</v>
      </c>
      <c r="C223" s="1">
        <v>45832</v>
      </c>
      <c r="D223">
        <v>2025</v>
      </c>
      <c r="E223" t="s">
        <v>190</v>
      </c>
      <c r="F223" t="s">
        <v>13</v>
      </c>
      <c r="G223" t="s">
        <v>200</v>
      </c>
      <c r="H223" t="s">
        <v>192</v>
      </c>
      <c r="I223">
        <v>10</v>
      </c>
      <c r="J223">
        <v>3063.4</v>
      </c>
      <c r="K223">
        <v>0</v>
      </c>
      <c r="L223" t="s">
        <v>193</v>
      </c>
      <c r="M223">
        <v>0</v>
      </c>
    </row>
    <row r="224" spans="1:13" x14ac:dyDescent="0.3">
      <c r="A224" t="s">
        <v>433</v>
      </c>
      <c r="B224">
        <v>13</v>
      </c>
      <c r="C224" s="1">
        <v>44200</v>
      </c>
      <c r="D224">
        <v>2021</v>
      </c>
      <c r="E224" t="s">
        <v>227</v>
      </c>
      <c r="F224" t="s">
        <v>12</v>
      </c>
      <c r="G224" t="s">
        <v>212</v>
      </c>
      <c r="H224" t="s">
        <v>206</v>
      </c>
      <c r="I224">
        <v>17</v>
      </c>
      <c r="J224">
        <v>605.29</v>
      </c>
      <c r="K224">
        <v>0</v>
      </c>
      <c r="L224" t="s">
        <v>201</v>
      </c>
      <c r="M224">
        <v>1</v>
      </c>
    </row>
    <row r="225" spans="1:13" x14ac:dyDescent="0.3">
      <c r="A225" t="s">
        <v>434</v>
      </c>
      <c r="B225">
        <v>13</v>
      </c>
      <c r="C225" s="1">
        <v>44238</v>
      </c>
      <c r="D225">
        <v>2021</v>
      </c>
      <c r="E225" t="s">
        <v>287</v>
      </c>
      <c r="F225" t="s">
        <v>13</v>
      </c>
      <c r="G225" t="s">
        <v>191</v>
      </c>
      <c r="H225" t="s">
        <v>206</v>
      </c>
      <c r="I225">
        <v>11</v>
      </c>
      <c r="J225">
        <v>2769.42</v>
      </c>
      <c r="K225">
        <v>0</v>
      </c>
      <c r="L225" t="s">
        <v>196</v>
      </c>
      <c r="M225">
        <v>0</v>
      </c>
    </row>
    <row r="226" spans="1:13" x14ac:dyDescent="0.3">
      <c r="A226" t="s">
        <v>435</v>
      </c>
      <c r="B226">
        <v>13</v>
      </c>
      <c r="C226" s="1">
        <v>44366</v>
      </c>
      <c r="D226">
        <v>2021</v>
      </c>
      <c r="E226" t="s">
        <v>219</v>
      </c>
      <c r="F226" t="s">
        <v>13</v>
      </c>
      <c r="G226" t="s">
        <v>212</v>
      </c>
      <c r="H226" t="s">
        <v>195</v>
      </c>
      <c r="I226">
        <v>15</v>
      </c>
      <c r="J226">
        <v>3068.71</v>
      </c>
      <c r="K226">
        <v>0</v>
      </c>
      <c r="L226" t="s">
        <v>196</v>
      </c>
      <c r="M226">
        <v>1</v>
      </c>
    </row>
    <row r="227" spans="1:13" x14ac:dyDescent="0.3">
      <c r="A227" t="s">
        <v>436</v>
      </c>
      <c r="B227">
        <v>13</v>
      </c>
      <c r="C227" s="1">
        <v>44553</v>
      </c>
      <c r="D227">
        <v>2021</v>
      </c>
      <c r="E227" t="s">
        <v>190</v>
      </c>
      <c r="F227" t="s">
        <v>199</v>
      </c>
      <c r="G227" t="s">
        <v>203</v>
      </c>
      <c r="H227" t="s">
        <v>195</v>
      </c>
      <c r="I227">
        <v>7</v>
      </c>
      <c r="J227">
        <v>6610</v>
      </c>
      <c r="K227">
        <v>0</v>
      </c>
      <c r="L227" t="s">
        <v>196</v>
      </c>
      <c r="M227">
        <v>0</v>
      </c>
    </row>
    <row r="228" spans="1:13" x14ac:dyDescent="0.3">
      <c r="A228" t="s">
        <v>437</v>
      </c>
      <c r="B228">
        <v>13</v>
      </c>
      <c r="C228" s="1">
        <v>44358</v>
      </c>
      <c r="D228">
        <v>2021</v>
      </c>
      <c r="E228" t="s">
        <v>214</v>
      </c>
      <c r="F228" t="s">
        <v>199</v>
      </c>
      <c r="G228" t="s">
        <v>203</v>
      </c>
      <c r="H228" t="s">
        <v>195</v>
      </c>
      <c r="I228">
        <v>13</v>
      </c>
      <c r="J228">
        <v>7629.75</v>
      </c>
      <c r="K228">
        <v>0</v>
      </c>
      <c r="L228" t="s">
        <v>196</v>
      </c>
      <c r="M228">
        <v>0</v>
      </c>
    </row>
    <row r="229" spans="1:13" x14ac:dyDescent="0.3">
      <c r="A229" t="s">
        <v>438</v>
      </c>
      <c r="B229">
        <v>13</v>
      </c>
      <c r="C229" s="1">
        <v>44434</v>
      </c>
      <c r="D229">
        <v>2021</v>
      </c>
      <c r="E229" t="s">
        <v>227</v>
      </c>
      <c r="F229" t="s">
        <v>13</v>
      </c>
      <c r="G229" t="s">
        <v>191</v>
      </c>
      <c r="H229" t="s">
        <v>195</v>
      </c>
      <c r="I229">
        <v>2</v>
      </c>
      <c r="J229">
        <v>1048.5999999999999</v>
      </c>
      <c r="K229">
        <v>0</v>
      </c>
      <c r="L229" t="s">
        <v>193</v>
      </c>
      <c r="M229">
        <v>0</v>
      </c>
    </row>
    <row r="230" spans="1:13" x14ac:dyDescent="0.3">
      <c r="A230" t="s">
        <v>439</v>
      </c>
      <c r="B230">
        <v>13</v>
      </c>
      <c r="C230" s="1">
        <v>44820</v>
      </c>
      <c r="D230">
        <v>2022</v>
      </c>
      <c r="E230" t="s">
        <v>214</v>
      </c>
      <c r="F230" t="s">
        <v>12</v>
      </c>
      <c r="G230" t="s">
        <v>200</v>
      </c>
      <c r="H230" t="s">
        <v>206</v>
      </c>
      <c r="I230">
        <v>3</v>
      </c>
      <c r="J230">
        <v>365.18</v>
      </c>
      <c r="K230">
        <v>0</v>
      </c>
      <c r="L230" t="s">
        <v>215</v>
      </c>
      <c r="M230">
        <v>0</v>
      </c>
    </row>
    <row r="231" spans="1:13" x14ac:dyDescent="0.3">
      <c r="A231" t="s">
        <v>440</v>
      </c>
      <c r="B231">
        <v>13</v>
      </c>
      <c r="C231" s="1">
        <v>44832</v>
      </c>
      <c r="D231">
        <v>2022</v>
      </c>
      <c r="E231" t="s">
        <v>190</v>
      </c>
      <c r="F231" t="s">
        <v>13</v>
      </c>
      <c r="G231" t="s">
        <v>212</v>
      </c>
      <c r="H231" t="s">
        <v>195</v>
      </c>
      <c r="I231">
        <v>11</v>
      </c>
      <c r="J231">
        <v>1572.66</v>
      </c>
      <c r="K231">
        <v>0</v>
      </c>
      <c r="L231" t="s">
        <v>193</v>
      </c>
      <c r="M231">
        <v>1</v>
      </c>
    </row>
    <row r="232" spans="1:13" x14ac:dyDescent="0.3">
      <c r="A232" t="s">
        <v>441</v>
      </c>
      <c r="B232">
        <v>13</v>
      </c>
      <c r="C232" s="1">
        <v>44696</v>
      </c>
      <c r="D232">
        <v>2022</v>
      </c>
      <c r="E232" t="s">
        <v>214</v>
      </c>
      <c r="F232" t="s">
        <v>199</v>
      </c>
      <c r="G232" t="s">
        <v>191</v>
      </c>
      <c r="H232" t="s">
        <v>204</v>
      </c>
      <c r="I232">
        <v>6</v>
      </c>
      <c r="J232">
        <v>2901.64</v>
      </c>
      <c r="K232">
        <v>0</v>
      </c>
      <c r="L232" t="s">
        <v>196</v>
      </c>
      <c r="M232">
        <v>0</v>
      </c>
    </row>
    <row r="233" spans="1:13" x14ac:dyDescent="0.3">
      <c r="A233" t="s">
        <v>442</v>
      </c>
      <c r="B233">
        <v>13</v>
      </c>
      <c r="C233" s="1">
        <v>44919</v>
      </c>
      <c r="D233">
        <v>2022</v>
      </c>
      <c r="E233" t="s">
        <v>190</v>
      </c>
      <c r="F233" t="s">
        <v>12</v>
      </c>
      <c r="G233" t="s">
        <v>200</v>
      </c>
      <c r="H233" t="s">
        <v>192</v>
      </c>
      <c r="I233">
        <v>1</v>
      </c>
      <c r="J233">
        <v>257.94</v>
      </c>
      <c r="K233">
        <v>0</v>
      </c>
      <c r="L233" t="s">
        <v>193</v>
      </c>
      <c r="M233">
        <v>0</v>
      </c>
    </row>
    <row r="234" spans="1:13" x14ac:dyDescent="0.3">
      <c r="A234" t="s">
        <v>443</v>
      </c>
      <c r="B234">
        <v>13</v>
      </c>
      <c r="C234" s="1">
        <v>44747</v>
      </c>
      <c r="D234">
        <v>2022</v>
      </c>
      <c r="E234" t="s">
        <v>214</v>
      </c>
      <c r="F234" t="s">
        <v>12</v>
      </c>
      <c r="G234" t="s">
        <v>212</v>
      </c>
      <c r="H234" t="s">
        <v>204</v>
      </c>
      <c r="I234">
        <v>13</v>
      </c>
      <c r="J234">
        <v>822.19</v>
      </c>
      <c r="K234">
        <v>0</v>
      </c>
      <c r="L234" t="s">
        <v>215</v>
      </c>
      <c r="M234">
        <v>1</v>
      </c>
    </row>
    <row r="235" spans="1:13" x14ac:dyDescent="0.3">
      <c r="A235" t="s">
        <v>444</v>
      </c>
      <c r="B235">
        <v>13</v>
      </c>
      <c r="C235" s="1">
        <v>45100</v>
      </c>
      <c r="D235">
        <v>2023</v>
      </c>
      <c r="E235" t="s">
        <v>198</v>
      </c>
      <c r="F235" t="s">
        <v>209</v>
      </c>
      <c r="G235" t="s">
        <v>212</v>
      </c>
      <c r="H235" t="s">
        <v>204</v>
      </c>
      <c r="I235">
        <v>12</v>
      </c>
      <c r="J235">
        <v>15.73</v>
      </c>
      <c r="K235">
        <v>1</v>
      </c>
      <c r="L235" t="s">
        <v>215</v>
      </c>
      <c r="M235">
        <v>1</v>
      </c>
    </row>
    <row r="236" spans="1:13" x14ac:dyDescent="0.3">
      <c r="A236" t="s">
        <v>445</v>
      </c>
      <c r="B236">
        <v>13</v>
      </c>
      <c r="C236" s="1">
        <v>45003</v>
      </c>
      <c r="D236">
        <v>2023</v>
      </c>
      <c r="E236" t="s">
        <v>225</v>
      </c>
      <c r="F236" t="s">
        <v>209</v>
      </c>
      <c r="G236" t="s">
        <v>212</v>
      </c>
      <c r="H236" t="s">
        <v>195</v>
      </c>
      <c r="I236">
        <v>3</v>
      </c>
      <c r="J236">
        <v>394.9</v>
      </c>
      <c r="K236">
        <v>0</v>
      </c>
      <c r="L236" t="s">
        <v>210</v>
      </c>
      <c r="M236">
        <v>1</v>
      </c>
    </row>
    <row r="237" spans="1:13" x14ac:dyDescent="0.3">
      <c r="A237" t="s">
        <v>446</v>
      </c>
      <c r="B237">
        <v>13</v>
      </c>
      <c r="C237" s="1">
        <v>45054</v>
      </c>
      <c r="D237">
        <v>2023</v>
      </c>
      <c r="E237" t="s">
        <v>287</v>
      </c>
      <c r="F237" t="s">
        <v>209</v>
      </c>
      <c r="G237" t="s">
        <v>212</v>
      </c>
      <c r="H237" t="s">
        <v>206</v>
      </c>
      <c r="I237">
        <v>12</v>
      </c>
      <c r="J237">
        <v>539.33000000000004</v>
      </c>
      <c r="K237">
        <v>0</v>
      </c>
      <c r="L237" t="s">
        <v>215</v>
      </c>
      <c r="M237">
        <v>1</v>
      </c>
    </row>
    <row r="238" spans="1:13" x14ac:dyDescent="0.3">
      <c r="A238" t="s">
        <v>447</v>
      </c>
      <c r="B238">
        <v>13</v>
      </c>
      <c r="C238" s="1">
        <v>45306</v>
      </c>
      <c r="D238">
        <v>2024</v>
      </c>
      <c r="E238" t="s">
        <v>198</v>
      </c>
      <c r="F238" t="s">
        <v>199</v>
      </c>
      <c r="G238" t="s">
        <v>203</v>
      </c>
      <c r="H238" t="s">
        <v>195</v>
      </c>
      <c r="I238">
        <v>16</v>
      </c>
      <c r="J238">
        <v>4912.01</v>
      </c>
      <c r="K238">
        <v>1</v>
      </c>
      <c r="L238" t="s">
        <v>201</v>
      </c>
      <c r="M238">
        <v>0</v>
      </c>
    </row>
    <row r="239" spans="1:13" x14ac:dyDescent="0.3">
      <c r="A239" t="s">
        <v>448</v>
      </c>
      <c r="B239">
        <v>13</v>
      </c>
      <c r="C239" s="1">
        <v>45325</v>
      </c>
      <c r="D239">
        <v>2024</v>
      </c>
      <c r="E239" t="s">
        <v>287</v>
      </c>
      <c r="F239" t="s">
        <v>13</v>
      </c>
      <c r="G239" t="s">
        <v>212</v>
      </c>
      <c r="H239" t="s">
        <v>195</v>
      </c>
      <c r="I239">
        <v>20</v>
      </c>
      <c r="J239">
        <v>1488.65</v>
      </c>
      <c r="K239">
        <v>0</v>
      </c>
      <c r="L239" t="s">
        <v>193</v>
      </c>
      <c r="M239">
        <v>1</v>
      </c>
    </row>
    <row r="240" spans="1:13" x14ac:dyDescent="0.3">
      <c r="A240" t="s">
        <v>449</v>
      </c>
      <c r="B240">
        <v>13</v>
      </c>
      <c r="C240" s="1">
        <v>45646</v>
      </c>
      <c r="D240">
        <v>2024</v>
      </c>
      <c r="E240" t="s">
        <v>225</v>
      </c>
      <c r="F240" t="s">
        <v>199</v>
      </c>
      <c r="G240" t="s">
        <v>203</v>
      </c>
      <c r="H240" t="s">
        <v>206</v>
      </c>
      <c r="I240">
        <v>10</v>
      </c>
      <c r="J240">
        <v>2999.35</v>
      </c>
      <c r="K240">
        <v>0</v>
      </c>
      <c r="L240" t="s">
        <v>193</v>
      </c>
      <c r="M240">
        <v>0</v>
      </c>
    </row>
    <row r="241" spans="1:13" x14ac:dyDescent="0.3">
      <c r="A241" t="s">
        <v>450</v>
      </c>
      <c r="B241">
        <v>13</v>
      </c>
      <c r="C241" s="1">
        <v>45505</v>
      </c>
      <c r="D241">
        <v>2024</v>
      </c>
      <c r="E241" t="s">
        <v>227</v>
      </c>
      <c r="F241" t="s">
        <v>199</v>
      </c>
      <c r="G241" t="s">
        <v>203</v>
      </c>
      <c r="H241" t="s">
        <v>192</v>
      </c>
      <c r="I241">
        <v>18</v>
      </c>
      <c r="J241">
        <v>4450.75</v>
      </c>
      <c r="K241">
        <v>0</v>
      </c>
      <c r="L241" t="s">
        <v>196</v>
      </c>
      <c r="M241">
        <v>0</v>
      </c>
    </row>
    <row r="242" spans="1:13" x14ac:dyDescent="0.3">
      <c r="A242" t="s">
        <v>451</v>
      </c>
      <c r="B242">
        <v>13</v>
      </c>
      <c r="C242" s="1">
        <v>45606</v>
      </c>
      <c r="D242">
        <v>2024</v>
      </c>
      <c r="E242" t="s">
        <v>214</v>
      </c>
      <c r="F242" t="s">
        <v>13</v>
      </c>
      <c r="G242" t="s">
        <v>212</v>
      </c>
      <c r="H242" t="s">
        <v>195</v>
      </c>
      <c r="I242">
        <v>20</v>
      </c>
      <c r="J242">
        <v>3627.83</v>
      </c>
      <c r="K242">
        <v>0</v>
      </c>
      <c r="L242" t="s">
        <v>196</v>
      </c>
      <c r="M242">
        <v>1</v>
      </c>
    </row>
    <row r="243" spans="1:13" x14ac:dyDescent="0.3">
      <c r="A243" t="s">
        <v>452</v>
      </c>
      <c r="B243">
        <v>13</v>
      </c>
      <c r="C243" s="1">
        <v>45647</v>
      </c>
      <c r="D243">
        <v>2024</v>
      </c>
      <c r="E243" t="s">
        <v>198</v>
      </c>
      <c r="F243" t="s">
        <v>209</v>
      </c>
      <c r="G243" t="s">
        <v>203</v>
      </c>
      <c r="H243" t="s">
        <v>195</v>
      </c>
      <c r="I243">
        <v>10</v>
      </c>
      <c r="J243">
        <v>311.17</v>
      </c>
      <c r="K243">
        <v>1</v>
      </c>
      <c r="L243" t="s">
        <v>215</v>
      </c>
      <c r="M243">
        <v>0</v>
      </c>
    </row>
    <row r="244" spans="1:13" x14ac:dyDescent="0.3">
      <c r="A244" t="s">
        <v>453</v>
      </c>
      <c r="B244">
        <v>13</v>
      </c>
      <c r="C244" s="1">
        <v>46013</v>
      </c>
      <c r="D244">
        <v>2025</v>
      </c>
      <c r="E244" t="s">
        <v>219</v>
      </c>
      <c r="F244" t="s">
        <v>199</v>
      </c>
      <c r="G244" t="s">
        <v>200</v>
      </c>
      <c r="H244" t="s">
        <v>192</v>
      </c>
      <c r="I244">
        <v>12</v>
      </c>
      <c r="J244">
        <v>3332.59</v>
      </c>
      <c r="K244">
        <v>0</v>
      </c>
      <c r="L244" t="s">
        <v>193</v>
      </c>
      <c r="M244">
        <v>0</v>
      </c>
    </row>
    <row r="245" spans="1:13" x14ac:dyDescent="0.3">
      <c r="A245" t="s">
        <v>454</v>
      </c>
      <c r="B245">
        <v>13</v>
      </c>
      <c r="C245" s="1">
        <v>45714</v>
      </c>
      <c r="D245">
        <v>2025</v>
      </c>
      <c r="E245" t="s">
        <v>198</v>
      </c>
      <c r="F245" t="s">
        <v>13</v>
      </c>
      <c r="G245" t="s">
        <v>203</v>
      </c>
      <c r="H245" t="s">
        <v>195</v>
      </c>
      <c r="I245">
        <v>6</v>
      </c>
      <c r="J245">
        <v>3726.94</v>
      </c>
      <c r="K245">
        <v>1</v>
      </c>
      <c r="L245" t="s">
        <v>193</v>
      </c>
      <c r="M245">
        <v>1</v>
      </c>
    </row>
    <row r="246" spans="1:13" x14ac:dyDescent="0.3">
      <c r="A246" t="s">
        <v>455</v>
      </c>
      <c r="B246">
        <v>13</v>
      </c>
      <c r="C246" s="1">
        <v>45809</v>
      </c>
      <c r="D246">
        <v>2025</v>
      </c>
      <c r="E246" t="s">
        <v>227</v>
      </c>
      <c r="F246" t="s">
        <v>199</v>
      </c>
      <c r="G246" t="s">
        <v>200</v>
      </c>
      <c r="H246" t="s">
        <v>206</v>
      </c>
      <c r="I246">
        <v>4</v>
      </c>
      <c r="J246">
        <v>5791.79</v>
      </c>
      <c r="K246">
        <v>0</v>
      </c>
      <c r="L246" t="s">
        <v>193</v>
      </c>
      <c r="M246">
        <v>0</v>
      </c>
    </row>
    <row r="247" spans="1:13" x14ac:dyDescent="0.3">
      <c r="A247" t="s">
        <v>456</v>
      </c>
      <c r="B247">
        <v>13</v>
      </c>
      <c r="C247" s="1">
        <v>45750</v>
      </c>
      <c r="D247">
        <v>2025</v>
      </c>
      <c r="E247" t="s">
        <v>227</v>
      </c>
      <c r="F247" t="s">
        <v>199</v>
      </c>
      <c r="G247" t="s">
        <v>203</v>
      </c>
      <c r="H247" t="s">
        <v>192</v>
      </c>
      <c r="I247">
        <v>15</v>
      </c>
      <c r="J247">
        <v>4922.29</v>
      </c>
      <c r="K247">
        <v>0</v>
      </c>
      <c r="L247" t="s">
        <v>196</v>
      </c>
      <c r="M247">
        <v>0</v>
      </c>
    </row>
    <row r="248" spans="1:13" x14ac:dyDescent="0.3">
      <c r="A248" t="s">
        <v>457</v>
      </c>
      <c r="B248">
        <v>14</v>
      </c>
      <c r="C248" s="1">
        <v>44417</v>
      </c>
      <c r="D248">
        <v>2021</v>
      </c>
      <c r="E248" t="s">
        <v>198</v>
      </c>
      <c r="F248" t="s">
        <v>13</v>
      </c>
      <c r="G248" t="s">
        <v>203</v>
      </c>
      <c r="H248" t="s">
        <v>206</v>
      </c>
      <c r="I248">
        <v>12</v>
      </c>
      <c r="J248">
        <v>3148.95</v>
      </c>
      <c r="K248">
        <v>1</v>
      </c>
      <c r="L248" t="s">
        <v>193</v>
      </c>
      <c r="M248">
        <v>1</v>
      </c>
    </row>
    <row r="249" spans="1:13" x14ac:dyDescent="0.3">
      <c r="A249" t="s">
        <v>458</v>
      </c>
      <c r="B249">
        <v>14</v>
      </c>
      <c r="C249" s="1">
        <v>44291</v>
      </c>
      <c r="D249">
        <v>2021</v>
      </c>
      <c r="E249" t="s">
        <v>198</v>
      </c>
      <c r="F249" t="s">
        <v>12</v>
      </c>
      <c r="G249" t="s">
        <v>203</v>
      </c>
      <c r="H249" t="s">
        <v>195</v>
      </c>
      <c r="I249">
        <v>14</v>
      </c>
      <c r="J249">
        <v>368.49</v>
      </c>
      <c r="K249">
        <v>1</v>
      </c>
      <c r="L249" t="s">
        <v>215</v>
      </c>
      <c r="M249">
        <v>0</v>
      </c>
    </row>
    <row r="250" spans="1:13" x14ac:dyDescent="0.3">
      <c r="A250" t="s">
        <v>459</v>
      </c>
      <c r="B250">
        <v>14</v>
      </c>
      <c r="C250" s="1">
        <v>44295</v>
      </c>
      <c r="D250">
        <v>2021</v>
      </c>
      <c r="E250" t="s">
        <v>198</v>
      </c>
      <c r="F250" t="s">
        <v>13</v>
      </c>
      <c r="G250" t="s">
        <v>203</v>
      </c>
      <c r="H250" t="s">
        <v>206</v>
      </c>
      <c r="I250">
        <v>9</v>
      </c>
      <c r="J250">
        <v>3005.07</v>
      </c>
      <c r="K250">
        <v>1</v>
      </c>
      <c r="L250" t="s">
        <v>210</v>
      </c>
      <c r="M250">
        <v>1</v>
      </c>
    </row>
    <row r="251" spans="1:13" x14ac:dyDescent="0.3">
      <c r="A251" t="s">
        <v>460</v>
      </c>
      <c r="B251">
        <v>14</v>
      </c>
      <c r="C251" s="1">
        <v>44266</v>
      </c>
      <c r="D251">
        <v>2021</v>
      </c>
      <c r="E251" t="s">
        <v>219</v>
      </c>
      <c r="F251" t="s">
        <v>13</v>
      </c>
      <c r="G251" t="s">
        <v>200</v>
      </c>
      <c r="H251" t="s">
        <v>195</v>
      </c>
      <c r="I251">
        <v>4</v>
      </c>
      <c r="J251">
        <v>2155.09</v>
      </c>
      <c r="K251">
        <v>0</v>
      </c>
      <c r="L251" t="s">
        <v>210</v>
      </c>
      <c r="M251">
        <v>0</v>
      </c>
    </row>
    <row r="252" spans="1:13" x14ac:dyDescent="0.3">
      <c r="A252" t="s">
        <v>461</v>
      </c>
      <c r="B252">
        <v>14</v>
      </c>
      <c r="C252" s="1">
        <v>44276</v>
      </c>
      <c r="D252">
        <v>2021</v>
      </c>
      <c r="E252" t="s">
        <v>198</v>
      </c>
      <c r="F252" t="s">
        <v>13</v>
      </c>
      <c r="G252" t="s">
        <v>200</v>
      </c>
      <c r="H252" t="s">
        <v>206</v>
      </c>
      <c r="I252">
        <v>6</v>
      </c>
      <c r="J252">
        <v>2716.26</v>
      </c>
      <c r="K252">
        <v>1</v>
      </c>
      <c r="L252" t="s">
        <v>201</v>
      </c>
      <c r="M252">
        <v>0</v>
      </c>
    </row>
    <row r="253" spans="1:13" x14ac:dyDescent="0.3">
      <c r="A253" t="s">
        <v>462</v>
      </c>
      <c r="B253">
        <v>14</v>
      </c>
      <c r="C253" s="1">
        <v>44482</v>
      </c>
      <c r="D253">
        <v>2021</v>
      </c>
      <c r="E253" t="s">
        <v>214</v>
      </c>
      <c r="F253" t="s">
        <v>13</v>
      </c>
      <c r="G253" t="s">
        <v>200</v>
      </c>
      <c r="H253" t="s">
        <v>192</v>
      </c>
      <c r="I253">
        <v>6</v>
      </c>
      <c r="J253">
        <v>3305.53</v>
      </c>
      <c r="K253">
        <v>0</v>
      </c>
      <c r="L253" t="s">
        <v>201</v>
      </c>
      <c r="M253">
        <v>1</v>
      </c>
    </row>
    <row r="254" spans="1:13" x14ac:dyDescent="0.3">
      <c r="A254" t="s">
        <v>463</v>
      </c>
      <c r="B254">
        <v>14</v>
      </c>
      <c r="C254" s="1">
        <v>44738</v>
      </c>
      <c r="D254">
        <v>2022</v>
      </c>
      <c r="E254" t="s">
        <v>190</v>
      </c>
      <c r="F254" t="s">
        <v>13</v>
      </c>
      <c r="G254" t="s">
        <v>191</v>
      </c>
      <c r="H254" t="s">
        <v>204</v>
      </c>
      <c r="I254">
        <v>9</v>
      </c>
      <c r="J254">
        <v>1788.59</v>
      </c>
      <c r="K254">
        <v>1</v>
      </c>
      <c r="L254" t="s">
        <v>196</v>
      </c>
      <c r="M254">
        <v>0</v>
      </c>
    </row>
    <row r="255" spans="1:13" x14ac:dyDescent="0.3">
      <c r="A255" t="s">
        <v>464</v>
      </c>
      <c r="B255">
        <v>14</v>
      </c>
      <c r="C255" s="1">
        <v>44809</v>
      </c>
      <c r="D255">
        <v>2022</v>
      </c>
      <c r="E255" t="s">
        <v>198</v>
      </c>
      <c r="F255" t="s">
        <v>199</v>
      </c>
      <c r="G255" t="s">
        <v>191</v>
      </c>
      <c r="H255" t="s">
        <v>195</v>
      </c>
      <c r="I255">
        <v>7</v>
      </c>
      <c r="J255">
        <v>6419.82</v>
      </c>
      <c r="K255">
        <v>1</v>
      </c>
      <c r="L255" t="s">
        <v>201</v>
      </c>
      <c r="M255">
        <v>0</v>
      </c>
    </row>
    <row r="256" spans="1:13" x14ac:dyDescent="0.3">
      <c r="A256" t="s">
        <v>465</v>
      </c>
      <c r="B256">
        <v>14</v>
      </c>
      <c r="C256" s="1">
        <v>44807</v>
      </c>
      <c r="D256">
        <v>2022</v>
      </c>
      <c r="E256" t="s">
        <v>287</v>
      </c>
      <c r="F256" t="s">
        <v>12</v>
      </c>
      <c r="G256" t="s">
        <v>191</v>
      </c>
      <c r="H256" t="s">
        <v>204</v>
      </c>
      <c r="I256">
        <v>15</v>
      </c>
      <c r="J256">
        <v>427.14</v>
      </c>
      <c r="K256">
        <v>0</v>
      </c>
      <c r="L256" t="s">
        <v>201</v>
      </c>
      <c r="M256">
        <v>0</v>
      </c>
    </row>
    <row r="257" spans="1:13" x14ac:dyDescent="0.3">
      <c r="A257" t="s">
        <v>466</v>
      </c>
      <c r="B257">
        <v>14</v>
      </c>
      <c r="C257" s="1">
        <v>44907</v>
      </c>
      <c r="D257">
        <v>2022</v>
      </c>
      <c r="E257" t="s">
        <v>190</v>
      </c>
      <c r="F257" t="s">
        <v>13</v>
      </c>
      <c r="G257" t="s">
        <v>200</v>
      </c>
      <c r="H257" t="s">
        <v>204</v>
      </c>
      <c r="I257">
        <v>19</v>
      </c>
      <c r="J257">
        <v>2618.37</v>
      </c>
      <c r="K257">
        <v>0</v>
      </c>
      <c r="L257" t="s">
        <v>193</v>
      </c>
      <c r="M257">
        <v>0</v>
      </c>
    </row>
    <row r="258" spans="1:13" x14ac:dyDescent="0.3">
      <c r="A258" t="s">
        <v>467</v>
      </c>
      <c r="B258">
        <v>14</v>
      </c>
      <c r="C258" s="1">
        <v>44624</v>
      </c>
      <c r="D258">
        <v>2022</v>
      </c>
      <c r="E258" t="s">
        <v>190</v>
      </c>
      <c r="F258" t="s">
        <v>199</v>
      </c>
      <c r="G258" t="s">
        <v>191</v>
      </c>
      <c r="H258" t="s">
        <v>192</v>
      </c>
      <c r="I258">
        <v>9</v>
      </c>
      <c r="J258">
        <v>5474.52</v>
      </c>
      <c r="K258">
        <v>1</v>
      </c>
      <c r="L258" t="s">
        <v>196</v>
      </c>
      <c r="M258">
        <v>0</v>
      </c>
    </row>
    <row r="259" spans="1:13" x14ac:dyDescent="0.3">
      <c r="A259" t="s">
        <v>468</v>
      </c>
      <c r="B259">
        <v>14</v>
      </c>
      <c r="C259" s="1">
        <v>45117</v>
      </c>
      <c r="D259">
        <v>2023</v>
      </c>
      <c r="E259" t="s">
        <v>214</v>
      </c>
      <c r="F259" t="s">
        <v>12</v>
      </c>
      <c r="G259" t="s">
        <v>212</v>
      </c>
      <c r="H259" t="s">
        <v>192</v>
      </c>
      <c r="I259">
        <v>4</v>
      </c>
      <c r="J259">
        <v>652.4</v>
      </c>
      <c r="K259">
        <v>0</v>
      </c>
      <c r="L259" t="s">
        <v>201</v>
      </c>
      <c r="M259">
        <v>1</v>
      </c>
    </row>
    <row r="260" spans="1:13" x14ac:dyDescent="0.3">
      <c r="A260" t="s">
        <v>469</v>
      </c>
      <c r="B260">
        <v>14</v>
      </c>
      <c r="C260" s="1">
        <v>45435</v>
      </c>
      <c r="D260">
        <v>2024</v>
      </c>
      <c r="E260" t="s">
        <v>219</v>
      </c>
      <c r="F260" t="s">
        <v>12</v>
      </c>
      <c r="G260" t="s">
        <v>191</v>
      </c>
      <c r="H260" t="s">
        <v>195</v>
      </c>
      <c r="I260">
        <v>5</v>
      </c>
      <c r="J260">
        <v>1449.09</v>
      </c>
      <c r="K260">
        <v>0</v>
      </c>
      <c r="L260" t="s">
        <v>193</v>
      </c>
      <c r="M260">
        <v>0</v>
      </c>
    </row>
    <row r="261" spans="1:13" x14ac:dyDescent="0.3">
      <c r="A261" t="s">
        <v>470</v>
      </c>
      <c r="B261">
        <v>14</v>
      </c>
      <c r="C261" s="1">
        <v>45760</v>
      </c>
      <c r="D261">
        <v>2025</v>
      </c>
      <c r="E261" t="s">
        <v>190</v>
      </c>
      <c r="F261" t="s">
        <v>12</v>
      </c>
      <c r="G261" t="s">
        <v>212</v>
      </c>
      <c r="H261" t="s">
        <v>195</v>
      </c>
      <c r="I261">
        <v>13</v>
      </c>
      <c r="J261">
        <v>1292.9100000000001</v>
      </c>
      <c r="K261">
        <v>0</v>
      </c>
      <c r="L261" t="s">
        <v>215</v>
      </c>
      <c r="M261">
        <v>1</v>
      </c>
    </row>
    <row r="262" spans="1:13" x14ac:dyDescent="0.3">
      <c r="A262" t="s">
        <v>471</v>
      </c>
      <c r="B262">
        <v>15</v>
      </c>
      <c r="C262" s="1">
        <v>44268</v>
      </c>
      <c r="D262">
        <v>2021</v>
      </c>
      <c r="E262" t="s">
        <v>214</v>
      </c>
      <c r="F262" t="s">
        <v>12</v>
      </c>
      <c r="G262" t="s">
        <v>191</v>
      </c>
      <c r="H262" t="s">
        <v>204</v>
      </c>
      <c r="I262">
        <v>10</v>
      </c>
      <c r="J262">
        <v>804.23</v>
      </c>
      <c r="K262">
        <v>0</v>
      </c>
      <c r="L262" t="s">
        <v>215</v>
      </c>
      <c r="M262">
        <v>0</v>
      </c>
    </row>
    <row r="263" spans="1:13" x14ac:dyDescent="0.3">
      <c r="A263" t="s">
        <v>472</v>
      </c>
      <c r="B263">
        <v>15</v>
      </c>
      <c r="C263" s="1">
        <v>44244</v>
      </c>
      <c r="D263">
        <v>2021</v>
      </c>
      <c r="E263" t="s">
        <v>214</v>
      </c>
      <c r="F263" t="s">
        <v>209</v>
      </c>
      <c r="G263" t="s">
        <v>212</v>
      </c>
      <c r="H263" t="s">
        <v>195</v>
      </c>
      <c r="I263">
        <v>3</v>
      </c>
      <c r="J263">
        <v>396.25</v>
      </c>
      <c r="K263">
        <v>0</v>
      </c>
      <c r="L263" t="s">
        <v>201</v>
      </c>
      <c r="M263">
        <v>1</v>
      </c>
    </row>
    <row r="264" spans="1:13" x14ac:dyDescent="0.3">
      <c r="A264" t="s">
        <v>473</v>
      </c>
      <c r="B264">
        <v>15</v>
      </c>
      <c r="C264" s="1">
        <v>44623</v>
      </c>
      <c r="D264">
        <v>2022</v>
      </c>
      <c r="E264" t="s">
        <v>198</v>
      </c>
      <c r="F264" t="s">
        <v>13</v>
      </c>
      <c r="G264" t="s">
        <v>191</v>
      </c>
      <c r="H264" t="s">
        <v>195</v>
      </c>
      <c r="I264">
        <v>14</v>
      </c>
      <c r="J264">
        <v>3848.46</v>
      </c>
      <c r="K264">
        <v>1</v>
      </c>
      <c r="L264" t="s">
        <v>196</v>
      </c>
      <c r="M264">
        <v>0</v>
      </c>
    </row>
    <row r="265" spans="1:13" x14ac:dyDescent="0.3">
      <c r="A265" t="s">
        <v>474</v>
      </c>
      <c r="B265">
        <v>15</v>
      </c>
      <c r="C265" s="1">
        <v>44880</v>
      </c>
      <c r="D265">
        <v>2022</v>
      </c>
      <c r="E265" t="s">
        <v>225</v>
      </c>
      <c r="F265" t="s">
        <v>12</v>
      </c>
      <c r="G265" t="s">
        <v>212</v>
      </c>
      <c r="H265" t="s">
        <v>195</v>
      </c>
      <c r="I265">
        <v>9</v>
      </c>
      <c r="J265">
        <v>859.13</v>
      </c>
      <c r="K265">
        <v>0</v>
      </c>
      <c r="L265" t="s">
        <v>210</v>
      </c>
      <c r="M265">
        <v>1</v>
      </c>
    </row>
    <row r="266" spans="1:13" x14ac:dyDescent="0.3">
      <c r="A266" t="s">
        <v>475</v>
      </c>
      <c r="B266">
        <v>15</v>
      </c>
      <c r="C266" s="1">
        <v>44616</v>
      </c>
      <c r="D266">
        <v>2022</v>
      </c>
      <c r="E266" t="s">
        <v>219</v>
      </c>
      <c r="F266" t="s">
        <v>13</v>
      </c>
      <c r="G266" t="s">
        <v>203</v>
      </c>
      <c r="H266" t="s">
        <v>192</v>
      </c>
      <c r="I266">
        <v>16</v>
      </c>
      <c r="J266">
        <v>2994.73</v>
      </c>
      <c r="K266">
        <v>0</v>
      </c>
      <c r="L266" t="s">
        <v>196</v>
      </c>
      <c r="M266">
        <v>0</v>
      </c>
    </row>
    <row r="267" spans="1:13" x14ac:dyDescent="0.3">
      <c r="A267" t="s">
        <v>476</v>
      </c>
      <c r="B267">
        <v>15</v>
      </c>
      <c r="C267" s="1">
        <v>44869</v>
      </c>
      <c r="D267">
        <v>2022</v>
      </c>
      <c r="E267" t="s">
        <v>198</v>
      </c>
      <c r="F267" t="s">
        <v>12</v>
      </c>
      <c r="G267" t="s">
        <v>203</v>
      </c>
      <c r="H267" t="s">
        <v>195</v>
      </c>
      <c r="I267">
        <v>14</v>
      </c>
      <c r="J267">
        <v>884.78</v>
      </c>
      <c r="K267">
        <v>1</v>
      </c>
      <c r="L267" t="s">
        <v>215</v>
      </c>
      <c r="M267">
        <v>1</v>
      </c>
    </row>
    <row r="268" spans="1:13" x14ac:dyDescent="0.3">
      <c r="A268" t="s">
        <v>477</v>
      </c>
      <c r="B268">
        <v>15</v>
      </c>
      <c r="C268" s="1">
        <v>44593</v>
      </c>
      <c r="D268">
        <v>2022</v>
      </c>
      <c r="E268" t="s">
        <v>227</v>
      </c>
      <c r="F268" t="s">
        <v>199</v>
      </c>
      <c r="G268" t="s">
        <v>203</v>
      </c>
      <c r="H268" t="s">
        <v>204</v>
      </c>
      <c r="I268">
        <v>3</v>
      </c>
      <c r="J268">
        <v>5750.96</v>
      </c>
      <c r="K268">
        <v>0</v>
      </c>
      <c r="L268" t="s">
        <v>193</v>
      </c>
      <c r="M268">
        <v>1</v>
      </c>
    </row>
    <row r="269" spans="1:13" x14ac:dyDescent="0.3">
      <c r="A269" t="s">
        <v>478</v>
      </c>
      <c r="B269">
        <v>15</v>
      </c>
      <c r="C269" s="1">
        <v>44911</v>
      </c>
      <c r="D269">
        <v>2022</v>
      </c>
      <c r="E269" t="s">
        <v>219</v>
      </c>
      <c r="F269" t="s">
        <v>199</v>
      </c>
      <c r="G269" t="s">
        <v>203</v>
      </c>
      <c r="H269" t="s">
        <v>195</v>
      </c>
      <c r="I269">
        <v>10</v>
      </c>
      <c r="J269">
        <v>7588.84</v>
      </c>
      <c r="K269">
        <v>0</v>
      </c>
      <c r="L269" t="s">
        <v>193</v>
      </c>
      <c r="M269">
        <v>0</v>
      </c>
    </row>
    <row r="270" spans="1:13" x14ac:dyDescent="0.3">
      <c r="A270" t="s">
        <v>479</v>
      </c>
      <c r="B270">
        <v>15</v>
      </c>
      <c r="C270" s="1">
        <v>44976</v>
      </c>
      <c r="D270">
        <v>2023</v>
      </c>
      <c r="E270" t="s">
        <v>198</v>
      </c>
      <c r="F270" t="s">
        <v>199</v>
      </c>
      <c r="G270" t="s">
        <v>203</v>
      </c>
      <c r="H270" t="s">
        <v>204</v>
      </c>
      <c r="I270">
        <v>12</v>
      </c>
      <c r="J270">
        <v>6401.18</v>
      </c>
      <c r="K270">
        <v>1</v>
      </c>
      <c r="L270" t="s">
        <v>196</v>
      </c>
      <c r="M270">
        <v>1</v>
      </c>
    </row>
    <row r="271" spans="1:13" x14ac:dyDescent="0.3">
      <c r="A271" t="s">
        <v>480</v>
      </c>
      <c r="B271">
        <v>15</v>
      </c>
      <c r="C271" s="1">
        <v>44938</v>
      </c>
      <c r="D271">
        <v>2023</v>
      </c>
      <c r="E271" t="s">
        <v>214</v>
      </c>
      <c r="F271" t="s">
        <v>12</v>
      </c>
      <c r="G271" t="s">
        <v>200</v>
      </c>
      <c r="H271" t="s">
        <v>192</v>
      </c>
      <c r="I271">
        <v>7</v>
      </c>
      <c r="J271">
        <v>1256.53</v>
      </c>
      <c r="K271">
        <v>0</v>
      </c>
      <c r="L271" t="s">
        <v>201</v>
      </c>
      <c r="M271">
        <v>1</v>
      </c>
    </row>
    <row r="272" spans="1:13" x14ac:dyDescent="0.3">
      <c r="A272" t="s">
        <v>481</v>
      </c>
      <c r="B272">
        <v>15</v>
      </c>
      <c r="C272" s="1">
        <v>45035</v>
      </c>
      <c r="D272">
        <v>2023</v>
      </c>
      <c r="E272" t="s">
        <v>198</v>
      </c>
      <c r="F272" t="s">
        <v>199</v>
      </c>
      <c r="G272" t="s">
        <v>191</v>
      </c>
      <c r="H272" t="s">
        <v>192</v>
      </c>
      <c r="I272">
        <v>4</v>
      </c>
      <c r="J272">
        <v>6509.82</v>
      </c>
      <c r="K272">
        <v>1</v>
      </c>
      <c r="L272" t="s">
        <v>196</v>
      </c>
      <c r="M272">
        <v>1</v>
      </c>
    </row>
    <row r="273" spans="1:13" x14ac:dyDescent="0.3">
      <c r="A273" t="s">
        <v>482</v>
      </c>
      <c r="B273">
        <v>15</v>
      </c>
      <c r="C273" s="1">
        <v>45451</v>
      </c>
      <c r="D273">
        <v>2024</v>
      </c>
      <c r="E273" t="s">
        <v>214</v>
      </c>
      <c r="F273" t="s">
        <v>13</v>
      </c>
      <c r="G273" t="s">
        <v>203</v>
      </c>
      <c r="H273" t="s">
        <v>204</v>
      </c>
      <c r="I273">
        <v>4</v>
      </c>
      <c r="J273">
        <v>2904.42</v>
      </c>
      <c r="K273">
        <v>0</v>
      </c>
      <c r="L273" t="s">
        <v>193</v>
      </c>
      <c r="M273">
        <v>0</v>
      </c>
    </row>
    <row r="274" spans="1:13" x14ac:dyDescent="0.3">
      <c r="A274" t="s">
        <v>483</v>
      </c>
      <c r="B274">
        <v>15</v>
      </c>
      <c r="C274" s="1">
        <v>45556</v>
      </c>
      <c r="D274">
        <v>2024</v>
      </c>
      <c r="E274" t="s">
        <v>225</v>
      </c>
      <c r="F274" t="s">
        <v>12</v>
      </c>
      <c r="G274" t="s">
        <v>203</v>
      </c>
      <c r="H274" t="s">
        <v>192</v>
      </c>
      <c r="I274">
        <v>7</v>
      </c>
      <c r="J274">
        <v>1305.9000000000001</v>
      </c>
      <c r="K274">
        <v>0</v>
      </c>
      <c r="L274" t="s">
        <v>210</v>
      </c>
      <c r="M274">
        <v>0</v>
      </c>
    </row>
    <row r="275" spans="1:13" x14ac:dyDescent="0.3">
      <c r="A275" t="s">
        <v>484</v>
      </c>
      <c r="B275">
        <v>15</v>
      </c>
      <c r="C275" s="1">
        <v>45652</v>
      </c>
      <c r="D275">
        <v>2024</v>
      </c>
      <c r="E275" t="s">
        <v>198</v>
      </c>
      <c r="F275" t="s">
        <v>12</v>
      </c>
      <c r="G275" t="s">
        <v>200</v>
      </c>
      <c r="H275" t="s">
        <v>195</v>
      </c>
      <c r="I275">
        <v>10</v>
      </c>
      <c r="J275">
        <v>1049.31</v>
      </c>
      <c r="K275">
        <v>1</v>
      </c>
      <c r="L275" t="s">
        <v>210</v>
      </c>
      <c r="M275">
        <v>0</v>
      </c>
    </row>
    <row r="276" spans="1:13" x14ac:dyDescent="0.3">
      <c r="A276" t="s">
        <v>485</v>
      </c>
      <c r="B276">
        <v>15</v>
      </c>
      <c r="C276" s="1">
        <v>45480</v>
      </c>
      <c r="D276">
        <v>2024</v>
      </c>
      <c r="E276" t="s">
        <v>214</v>
      </c>
      <c r="F276" t="s">
        <v>13</v>
      </c>
      <c r="G276" t="s">
        <v>203</v>
      </c>
      <c r="H276" t="s">
        <v>204</v>
      </c>
      <c r="I276">
        <v>18</v>
      </c>
      <c r="J276">
        <v>3687.34</v>
      </c>
      <c r="K276">
        <v>0</v>
      </c>
      <c r="L276" t="s">
        <v>196</v>
      </c>
      <c r="M276">
        <v>0</v>
      </c>
    </row>
    <row r="277" spans="1:13" x14ac:dyDescent="0.3">
      <c r="A277" t="s">
        <v>486</v>
      </c>
      <c r="B277">
        <v>15</v>
      </c>
      <c r="C277" s="1">
        <v>45329</v>
      </c>
      <c r="D277">
        <v>2024</v>
      </c>
      <c r="E277" t="s">
        <v>219</v>
      </c>
      <c r="F277" t="s">
        <v>199</v>
      </c>
      <c r="G277" t="s">
        <v>191</v>
      </c>
      <c r="H277" t="s">
        <v>206</v>
      </c>
      <c r="I277">
        <v>8</v>
      </c>
      <c r="J277">
        <v>6662.24</v>
      </c>
      <c r="K277">
        <v>0</v>
      </c>
      <c r="L277" t="s">
        <v>196</v>
      </c>
      <c r="M277">
        <v>0</v>
      </c>
    </row>
    <row r="278" spans="1:13" x14ac:dyDescent="0.3">
      <c r="A278" t="s">
        <v>487</v>
      </c>
      <c r="B278">
        <v>15</v>
      </c>
      <c r="C278" s="1">
        <v>45691</v>
      </c>
      <c r="D278">
        <v>2025</v>
      </c>
      <c r="E278" t="s">
        <v>198</v>
      </c>
      <c r="F278" t="s">
        <v>13</v>
      </c>
      <c r="G278" t="s">
        <v>191</v>
      </c>
      <c r="H278" t="s">
        <v>195</v>
      </c>
      <c r="I278">
        <v>4</v>
      </c>
      <c r="J278">
        <v>2020.49</v>
      </c>
      <c r="K278">
        <v>1</v>
      </c>
      <c r="L278" t="s">
        <v>201</v>
      </c>
      <c r="M278">
        <v>0</v>
      </c>
    </row>
    <row r="279" spans="1:13" x14ac:dyDescent="0.3">
      <c r="A279" t="s">
        <v>488</v>
      </c>
      <c r="B279">
        <v>15</v>
      </c>
      <c r="C279" s="1">
        <v>46018</v>
      </c>
      <c r="D279">
        <v>2025</v>
      </c>
      <c r="E279" t="s">
        <v>190</v>
      </c>
      <c r="F279" t="s">
        <v>13</v>
      </c>
      <c r="G279" t="s">
        <v>203</v>
      </c>
      <c r="H279" t="s">
        <v>195</v>
      </c>
      <c r="I279">
        <v>4</v>
      </c>
      <c r="J279">
        <v>3478.4</v>
      </c>
      <c r="K279">
        <v>0</v>
      </c>
      <c r="L279" t="s">
        <v>201</v>
      </c>
      <c r="M279">
        <v>1</v>
      </c>
    </row>
    <row r="280" spans="1:13" x14ac:dyDescent="0.3">
      <c r="A280" t="s">
        <v>489</v>
      </c>
      <c r="B280">
        <v>15</v>
      </c>
      <c r="C280" s="1">
        <v>45673</v>
      </c>
      <c r="D280">
        <v>2025</v>
      </c>
      <c r="E280" t="s">
        <v>198</v>
      </c>
      <c r="F280" t="s">
        <v>13</v>
      </c>
      <c r="G280" t="s">
        <v>203</v>
      </c>
      <c r="H280" t="s">
        <v>192</v>
      </c>
      <c r="I280">
        <v>4</v>
      </c>
      <c r="J280">
        <v>2321.0700000000002</v>
      </c>
      <c r="K280">
        <v>1</v>
      </c>
      <c r="L280" t="s">
        <v>196</v>
      </c>
      <c r="M280">
        <v>0</v>
      </c>
    </row>
    <row r="281" spans="1:13" x14ac:dyDescent="0.3">
      <c r="A281" t="s">
        <v>490</v>
      </c>
      <c r="B281">
        <v>15</v>
      </c>
      <c r="C281" s="1">
        <v>45685</v>
      </c>
      <c r="D281">
        <v>2025</v>
      </c>
      <c r="E281" t="s">
        <v>198</v>
      </c>
      <c r="F281" t="s">
        <v>13</v>
      </c>
      <c r="G281" t="s">
        <v>203</v>
      </c>
      <c r="H281" t="s">
        <v>204</v>
      </c>
      <c r="I281">
        <v>19</v>
      </c>
      <c r="J281">
        <v>2742.69</v>
      </c>
      <c r="K281">
        <v>1</v>
      </c>
      <c r="L281" t="s">
        <v>196</v>
      </c>
      <c r="M281">
        <v>1</v>
      </c>
    </row>
    <row r="282" spans="1:13" x14ac:dyDescent="0.3">
      <c r="A282" t="s">
        <v>491</v>
      </c>
      <c r="B282">
        <v>15</v>
      </c>
      <c r="C282" s="1">
        <v>46000</v>
      </c>
      <c r="D282">
        <v>2025</v>
      </c>
      <c r="E282" t="s">
        <v>287</v>
      </c>
      <c r="F282" t="s">
        <v>199</v>
      </c>
      <c r="G282" t="s">
        <v>203</v>
      </c>
      <c r="H282" t="s">
        <v>195</v>
      </c>
      <c r="I282">
        <v>8</v>
      </c>
      <c r="J282">
        <v>7653.07</v>
      </c>
      <c r="K282">
        <v>1</v>
      </c>
      <c r="L282" t="s">
        <v>196</v>
      </c>
      <c r="M282">
        <v>1</v>
      </c>
    </row>
    <row r="283" spans="1:13" x14ac:dyDescent="0.3">
      <c r="A283" t="s">
        <v>492</v>
      </c>
      <c r="B283">
        <v>16</v>
      </c>
      <c r="C283" s="1">
        <v>44375</v>
      </c>
      <c r="D283">
        <v>2021</v>
      </c>
      <c r="E283" t="s">
        <v>190</v>
      </c>
      <c r="F283" t="s">
        <v>13</v>
      </c>
      <c r="G283" t="s">
        <v>200</v>
      </c>
      <c r="H283" t="s">
        <v>204</v>
      </c>
      <c r="I283">
        <v>10</v>
      </c>
      <c r="J283">
        <v>3956.51</v>
      </c>
      <c r="K283">
        <v>0</v>
      </c>
      <c r="L283" t="s">
        <v>210</v>
      </c>
      <c r="M283">
        <v>0</v>
      </c>
    </row>
    <row r="284" spans="1:13" x14ac:dyDescent="0.3">
      <c r="A284" t="s">
        <v>493</v>
      </c>
      <c r="B284">
        <v>16</v>
      </c>
      <c r="C284" s="1">
        <v>44477</v>
      </c>
      <c r="D284">
        <v>2021</v>
      </c>
      <c r="E284" t="s">
        <v>190</v>
      </c>
      <c r="F284" t="s">
        <v>13</v>
      </c>
      <c r="G284" t="s">
        <v>191</v>
      </c>
      <c r="H284" t="s">
        <v>195</v>
      </c>
      <c r="I284">
        <v>12</v>
      </c>
      <c r="J284">
        <v>2722.78</v>
      </c>
      <c r="K284">
        <v>0</v>
      </c>
      <c r="L284" t="s">
        <v>193</v>
      </c>
      <c r="M284">
        <v>0</v>
      </c>
    </row>
    <row r="285" spans="1:13" x14ac:dyDescent="0.3">
      <c r="A285" t="s">
        <v>494</v>
      </c>
      <c r="B285">
        <v>16</v>
      </c>
      <c r="C285" s="1">
        <v>44380</v>
      </c>
      <c r="D285">
        <v>2021</v>
      </c>
      <c r="E285" t="s">
        <v>214</v>
      </c>
      <c r="F285" t="s">
        <v>13</v>
      </c>
      <c r="G285" t="s">
        <v>200</v>
      </c>
      <c r="H285" t="s">
        <v>195</v>
      </c>
      <c r="I285">
        <v>13</v>
      </c>
      <c r="J285">
        <v>3602.73</v>
      </c>
      <c r="K285">
        <v>0</v>
      </c>
      <c r="L285" t="s">
        <v>201</v>
      </c>
      <c r="M285">
        <v>0</v>
      </c>
    </row>
    <row r="286" spans="1:13" x14ac:dyDescent="0.3">
      <c r="A286" t="s">
        <v>495</v>
      </c>
      <c r="B286">
        <v>16</v>
      </c>
      <c r="C286" s="1">
        <v>44539</v>
      </c>
      <c r="D286">
        <v>2021</v>
      </c>
      <c r="E286" t="s">
        <v>287</v>
      </c>
      <c r="F286" t="s">
        <v>13</v>
      </c>
      <c r="G286" t="s">
        <v>212</v>
      </c>
      <c r="H286" t="s">
        <v>192</v>
      </c>
      <c r="I286">
        <v>5</v>
      </c>
      <c r="J286">
        <v>3828.24</v>
      </c>
      <c r="K286">
        <v>0</v>
      </c>
      <c r="L286" t="s">
        <v>196</v>
      </c>
      <c r="M286">
        <v>1</v>
      </c>
    </row>
    <row r="287" spans="1:13" x14ac:dyDescent="0.3">
      <c r="A287" t="s">
        <v>496</v>
      </c>
      <c r="B287">
        <v>16</v>
      </c>
      <c r="C287" s="1">
        <v>44699</v>
      </c>
      <c r="D287">
        <v>2022</v>
      </c>
      <c r="E287" t="s">
        <v>219</v>
      </c>
      <c r="F287" t="s">
        <v>12</v>
      </c>
      <c r="G287" t="s">
        <v>203</v>
      </c>
      <c r="H287" t="s">
        <v>206</v>
      </c>
      <c r="I287">
        <v>10</v>
      </c>
      <c r="J287">
        <v>884.94</v>
      </c>
      <c r="K287">
        <v>0</v>
      </c>
      <c r="L287" t="s">
        <v>210</v>
      </c>
      <c r="M287">
        <v>1</v>
      </c>
    </row>
    <row r="288" spans="1:13" x14ac:dyDescent="0.3">
      <c r="A288" t="s">
        <v>497</v>
      </c>
      <c r="B288">
        <v>16</v>
      </c>
      <c r="C288" s="1">
        <v>44845</v>
      </c>
      <c r="D288">
        <v>2022</v>
      </c>
      <c r="E288" t="s">
        <v>190</v>
      </c>
      <c r="F288" t="s">
        <v>199</v>
      </c>
      <c r="G288" t="s">
        <v>200</v>
      </c>
      <c r="H288" t="s">
        <v>192</v>
      </c>
      <c r="I288">
        <v>2</v>
      </c>
      <c r="J288">
        <v>5730.96</v>
      </c>
      <c r="K288">
        <v>0</v>
      </c>
      <c r="L288" t="s">
        <v>196</v>
      </c>
      <c r="M288">
        <v>0</v>
      </c>
    </row>
    <row r="289" spans="1:13" x14ac:dyDescent="0.3">
      <c r="A289" t="s">
        <v>498</v>
      </c>
      <c r="B289">
        <v>16</v>
      </c>
      <c r="C289" s="1">
        <v>45266</v>
      </c>
      <c r="D289">
        <v>2023</v>
      </c>
      <c r="E289" t="s">
        <v>214</v>
      </c>
      <c r="F289" t="s">
        <v>13</v>
      </c>
      <c r="G289" t="s">
        <v>200</v>
      </c>
      <c r="H289" t="s">
        <v>206</v>
      </c>
      <c r="I289">
        <v>3</v>
      </c>
      <c r="J289">
        <v>2948.22</v>
      </c>
      <c r="K289">
        <v>0</v>
      </c>
      <c r="L289" t="s">
        <v>201</v>
      </c>
      <c r="M289">
        <v>0</v>
      </c>
    </row>
    <row r="290" spans="1:13" x14ac:dyDescent="0.3">
      <c r="A290" t="s">
        <v>499</v>
      </c>
      <c r="B290">
        <v>16</v>
      </c>
      <c r="C290" s="1">
        <v>45126</v>
      </c>
      <c r="D290">
        <v>2023</v>
      </c>
      <c r="E290" t="s">
        <v>190</v>
      </c>
      <c r="F290" t="s">
        <v>199</v>
      </c>
      <c r="G290" t="s">
        <v>203</v>
      </c>
      <c r="H290" t="s">
        <v>195</v>
      </c>
      <c r="I290">
        <v>4</v>
      </c>
      <c r="J290">
        <v>3506.44</v>
      </c>
      <c r="K290">
        <v>0</v>
      </c>
      <c r="L290" t="s">
        <v>196</v>
      </c>
      <c r="M290">
        <v>0</v>
      </c>
    </row>
    <row r="291" spans="1:13" x14ac:dyDescent="0.3">
      <c r="A291" t="s">
        <v>500</v>
      </c>
      <c r="B291">
        <v>16</v>
      </c>
      <c r="C291" s="1">
        <v>45062</v>
      </c>
      <c r="D291">
        <v>2023</v>
      </c>
      <c r="E291" t="s">
        <v>198</v>
      </c>
      <c r="F291" t="s">
        <v>199</v>
      </c>
      <c r="G291" t="s">
        <v>191</v>
      </c>
      <c r="H291" t="s">
        <v>204</v>
      </c>
      <c r="I291">
        <v>10</v>
      </c>
      <c r="J291">
        <v>4368.46</v>
      </c>
      <c r="K291">
        <v>1</v>
      </c>
      <c r="L291" t="s">
        <v>196</v>
      </c>
      <c r="M291">
        <v>0</v>
      </c>
    </row>
    <row r="292" spans="1:13" x14ac:dyDescent="0.3">
      <c r="A292" t="s">
        <v>501</v>
      </c>
      <c r="B292">
        <v>16</v>
      </c>
      <c r="C292" s="1">
        <v>45201</v>
      </c>
      <c r="D292">
        <v>2023</v>
      </c>
      <c r="E292" t="s">
        <v>227</v>
      </c>
      <c r="F292" t="s">
        <v>12</v>
      </c>
      <c r="G292" t="s">
        <v>212</v>
      </c>
      <c r="H292" t="s">
        <v>195</v>
      </c>
      <c r="I292">
        <v>16</v>
      </c>
      <c r="J292">
        <v>730.94</v>
      </c>
      <c r="K292">
        <v>1</v>
      </c>
      <c r="L292" t="s">
        <v>215</v>
      </c>
      <c r="M292">
        <v>1</v>
      </c>
    </row>
    <row r="293" spans="1:13" x14ac:dyDescent="0.3">
      <c r="A293" t="s">
        <v>502</v>
      </c>
      <c r="B293">
        <v>16</v>
      </c>
      <c r="C293" s="1">
        <v>45211</v>
      </c>
      <c r="D293">
        <v>2023</v>
      </c>
      <c r="E293" t="s">
        <v>287</v>
      </c>
      <c r="F293" t="s">
        <v>12</v>
      </c>
      <c r="G293" t="s">
        <v>203</v>
      </c>
      <c r="H293" t="s">
        <v>192</v>
      </c>
      <c r="I293">
        <v>16</v>
      </c>
      <c r="J293">
        <v>681.56</v>
      </c>
      <c r="K293">
        <v>0</v>
      </c>
      <c r="L293" t="s">
        <v>215</v>
      </c>
      <c r="M293">
        <v>0</v>
      </c>
    </row>
    <row r="294" spans="1:13" x14ac:dyDescent="0.3">
      <c r="A294" t="s">
        <v>503</v>
      </c>
      <c r="B294">
        <v>16</v>
      </c>
      <c r="C294" s="1">
        <v>45205</v>
      </c>
      <c r="D294">
        <v>2023</v>
      </c>
      <c r="E294" t="s">
        <v>190</v>
      </c>
      <c r="F294" t="s">
        <v>199</v>
      </c>
      <c r="G294" t="s">
        <v>200</v>
      </c>
      <c r="H294" t="s">
        <v>195</v>
      </c>
      <c r="I294">
        <v>10</v>
      </c>
      <c r="J294">
        <v>2666.88</v>
      </c>
      <c r="K294">
        <v>1</v>
      </c>
      <c r="L294" t="s">
        <v>196</v>
      </c>
      <c r="M294">
        <v>1</v>
      </c>
    </row>
    <row r="295" spans="1:13" x14ac:dyDescent="0.3">
      <c r="A295" t="s">
        <v>504</v>
      </c>
      <c r="B295">
        <v>16</v>
      </c>
      <c r="C295" s="1">
        <v>45422</v>
      </c>
      <c r="D295">
        <v>2024</v>
      </c>
      <c r="E295" t="s">
        <v>227</v>
      </c>
      <c r="F295" t="s">
        <v>13</v>
      </c>
      <c r="G295" t="s">
        <v>212</v>
      </c>
      <c r="H295" t="s">
        <v>195</v>
      </c>
      <c r="I295">
        <v>4</v>
      </c>
      <c r="J295">
        <v>1299.1600000000001</v>
      </c>
      <c r="K295">
        <v>0</v>
      </c>
      <c r="L295" t="s">
        <v>201</v>
      </c>
      <c r="M295">
        <v>1</v>
      </c>
    </row>
    <row r="296" spans="1:13" x14ac:dyDescent="0.3">
      <c r="A296" t="s">
        <v>505</v>
      </c>
      <c r="B296">
        <v>16</v>
      </c>
      <c r="C296" s="1">
        <v>45576</v>
      </c>
      <c r="D296">
        <v>2024</v>
      </c>
      <c r="E296" t="s">
        <v>287</v>
      </c>
      <c r="F296" t="s">
        <v>199</v>
      </c>
      <c r="G296" t="s">
        <v>203</v>
      </c>
      <c r="H296" t="s">
        <v>195</v>
      </c>
      <c r="I296">
        <v>11</v>
      </c>
      <c r="J296">
        <v>4963.6499999999996</v>
      </c>
      <c r="K296">
        <v>0</v>
      </c>
      <c r="L296" t="s">
        <v>193</v>
      </c>
      <c r="M296">
        <v>0</v>
      </c>
    </row>
    <row r="297" spans="1:13" x14ac:dyDescent="0.3">
      <c r="A297" t="s">
        <v>506</v>
      </c>
      <c r="B297">
        <v>16</v>
      </c>
      <c r="C297" s="1">
        <v>45448</v>
      </c>
      <c r="D297">
        <v>2024</v>
      </c>
      <c r="E297" t="s">
        <v>214</v>
      </c>
      <c r="F297" t="s">
        <v>199</v>
      </c>
      <c r="G297" t="s">
        <v>200</v>
      </c>
      <c r="H297" t="s">
        <v>192</v>
      </c>
      <c r="I297">
        <v>18</v>
      </c>
      <c r="J297">
        <v>4470.7700000000004</v>
      </c>
      <c r="K297">
        <v>0</v>
      </c>
      <c r="L297" t="s">
        <v>193</v>
      </c>
      <c r="M297">
        <v>1</v>
      </c>
    </row>
    <row r="298" spans="1:13" x14ac:dyDescent="0.3">
      <c r="A298" t="s">
        <v>507</v>
      </c>
      <c r="B298">
        <v>16</v>
      </c>
      <c r="C298" s="1">
        <v>46016</v>
      </c>
      <c r="D298">
        <v>2025</v>
      </c>
      <c r="E298" t="s">
        <v>190</v>
      </c>
      <c r="F298" t="s">
        <v>209</v>
      </c>
      <c r="G298" t="s">
        <v>212</v>
      </c>
      <c r="H298" t="s">
        <v>204</v>
      </c>
      <c r="I298">
        <v>8</v>
      </c>
      <c r="J298">
        <v>192.33</v>
      </c>
      <c r="K298">
        <v>0</v>
      </c>
      <c r="L298" t="s">
        <v>210</v>
      </c>
      <c r="M298">
        <v>1</v>
      </c>
    </row>
    <row r="299" spans="1:13" x14ac:dyDescent="0.3">
      <c r="A299" t="s">
        <v>508</v>
      </c>
      <c r="B299">
        <v>16</v>
      </c>
      <c r="C299" s="1">
        <v>45917</v>
      </c>
      <c r="D299">
        <v>2025</v>
      </c>
      <c r="E299" t="s">
        <v>214</v>
      </c>
      <c r="F299" t="s">
        <v>12</v>
      </c>
      <c r="G299" t="s">
        <v>203</v>
      </c>
      <c r="H299" t="s">
        <v>195</v>
      </c>
      <c r="I299">
        <v>13</v>
      </c>
      <c r="J299">
        <v>809.88</v>
      </c>
      <c r="K299">
        <v>0</v>
      </c>
      <c r="L299" t="s">
        <v>215</v>
      </c>
      <c r="M299">
        <v>0</v>
      </c>
    </row>
    <row r="300" spans="1:13" x14ac:dyDescent="0.3">
      <c r="A300" t="s">
        <v>509</v>
      </c>
      <c r="B300">
        <v>16</v>
      </c>
      <c r="C300" s="1">
        <v>45851</v>
      </c>
      <c r="D300">
        <v>2025</v>
      </c>
      <c r="E300" t="s">
        <v>214</v>
      </c>
      <c r="F300" t="s">
        <v>209</v>
      </c>
      <c r="G300" t="s">
        <v>203</v>
      </c>
      <c r="H300" t="s">
        <v>195</v>
      </c>
      <c r="I300">
        <v>13</v>
      </c>
      <c r="J300">
        <v>365.8</v>
      </c>
      <c r="K300">
        <v>0</v>
      </c>
      <c r="L300" t="s">
        <v>193</v>
      </c>
      <c r="M300">
        <v>1</v>
      </c>
    </row>
    <row r="301" spans="1:13" x14ac:dyDescent="0.3">
      <c r="A301" t="s">
        <v>510</v>
      </c>
      <c r="B301">
        <v>17</v>
      </c>
      <c r="C301" s="1">
        <v>44466</v>
      </c>
      <c r="D301">
        <v>2021</v>
      </c>
      <c r="E301" t="s">
        <v>198</v>
      </c>
      <c r="F301" t="s">
        <v>199</v>
      </c>
      <c r="G301" t="s">
        <v>203</v>
      </c>
      <c r="H301" t="s">
        <v>206</v>
      </c>
      <c r="I301">
        <v>12</v>
      </c>
      <c r="J301">
        <v>7451.52</v>
      </c>
      <c r="K301">
        <v>1</v>
      </c>
      <c r="L301" t="s">
        <v>196</v>
      </c>
      <c r="M301">
        <v>1</v>
      </c>
    </row>
    <row r="302" spans="1:13" x14ac:dyDescent="0.3">
      <c r="A302" t="s">
        <v>511</v>
      </c>
      <c r="B302">
        <v>17</v>
      </c>
      <c r="C302" s="1">
        <v>44440</v>
      </c>
      <c r="D302">
        <v>2021</v>
      </c>
      <c r="E302" t="s">
        <v>198</v>
      </c>
      <c r="F302" t="s">
        <v>13</v>
      </c>
      <c r="G302" t="s">
        <v>191</v>
      </c>
      <c r="H302" t="s">
        <v>206</v>
      </c>
      <c r="I302">
        <v>15</v>
      </c>
      <c r="J302">
        <v>2301.41</v>
      </c>
      <c r="K302">
        <v>1</v>
      </c>
      <c r="L302" t="s">
        <v>193</v>
      </c>
      <c r="M302">
        <v>0</v>
      </c>
    </row>
    <row r="303" spans="1:13" x14ac:dyDescent="0.3">
      <c r="A303" t="s">
        <v>512</v>
      </c>
      <c r="B303">
        <v>17</v>
      </c>
      <c r="C303" s="1">
        <v>44523</v>
      </c>
      <c r="D303">
        <v>2021</v>
      </c>
      <c r="E303" t="s">
        <v>198</v>
      </c>
      <c r="F303" t="s">
        <v>13</v>
      </c>
      <c r="G303" t="s">
        <v>191</v>
      </c>
      <c r="H303" t="s">
        <v>195</v>
      </c>
      <c r="I303">
        <v>5</v>
      </c>
      <c r="J303">
        <v>1218.8900000000001</v>
      </c>
      <c r="K303">
        <v>1</v>
      </c>
      <c r="L303" t="s">
        <v>196</v>
      </c>
      <c r="M303">
        <v>0</v>
      </c>
    </row>
    <row r="304" spans="1:13" x14ac:dyDescent="0.3">
      <c r="A304" t="s">
        <v>513</v>
      </c>
      <c r="B304">
        <v>17</v>
      </c>
      <c r="C304" s="1">
        <v>44574</v>
      </c>
      <c r="D304">
        <v>2022</v>
      </c>
      <c r="E304" t="s">
        <v>198</v>
      </c>
      <c r="F304" t="s">
        <v>13</v>
      </c>
      <c r="G304" t="s">
        <v>191</v>
      </c>
      <c r="H304" t="s">
        <v>192</v>
      </c>
      <c r="I304">
        <v>12</v>
      </c>
      <c r="J304">
        <v>1721.16</v>
      </c>
      <c r="K304">
        <v>1</v>
      </c>
      <c r="L304" t="s">
        <v>215</v>
      </c>
      <c r="M304">
        <v>1</v>
      </c>
    </row>
    <row r="305" spans="1:13" x14ac:dyDescent="0.3">
      <c r="A305" t="s">
        <v>514</v>
      </c>
      <c r="B305">
        <v>17</v>
      </c>
      <c r="C305" s="1">
        <v>44769</v>
      </c>
      <c r="D305">
        <v>2022</v>
      </c>
      <c r="E305" t="s">
        <v>198</v>
      </c>
      <c r="F305" t="s">
        <v>199</v>
      </c>
      <c r="G305" t="s">
        <v>203</v>
      </c>
      <c r="H305" t="s">
        <v>204</v>
      </c>
      <c r="I305">
        <v>4</v>
      </c>
      <c r="J305">
        <v>5793.13</v>
      </c>
      <c r="K305">
        <v>1</v>
      </c>
      <c r="L305" t="s">
        <v>201</v>
      </c>
      <c r="M305">
        <v>1</v>
      </c>
    </row>
    <row r="306" spans="1:13" x14ac:dyDescent="0.3">
      <c r="A306" t="s">
        <v>515</v>
      </c>
      <c r="B306">
        <v>17</v>
      </c>
      <c r="C306" s="1">
        <v>44884</v>
      </c>
      <c r="D306">
        <v>2022</v>
      </c>
      <c r="E306" t="s">
        <v>190</v>
      </c>
      <c r="F306" t="s">
        <v>12</v>
      </c>
      <c r="G306" t="s">
        <v>212</v>
      </c>
      <c r="H306" t="s">
        <v>195</v>
      </c>
      <c r="I306">
        <v>12</v>
      </c>
      <c r="J306">
        <v>761.5</v>
      </c>
      <c r="K306">
        <v>0</v>
      </c>
      <c r="L306" t="s">
        <v>210</v>
      </c>
      <c r="M306">
        <v>1</v>
      </c>
    </row>
    <row r="307" spans="1:13" x14ac:dyDescent="0.3">
      <c r="A307" t="s">
        <v>516</v>
      </c>
      <c r="B307">
        <v>17</v>
      </c>
      <c r="C307" s="1">
        <v>45073</v>
      </c>
      <c r="D307">
        <v>2023</v>
      </c>
      <c r="E307" t="s">
        <v>198</v>
      </c>
      <c r="F307" t="s">
        <v>199</v>
      </c>
      <c r="G307" t="s">
        <v>203</v>
      </c>
      <c r="H307" t="s">
        <v>195</v>
      </c>
      <c r="I307">
        <v>12</v>
      </c>
      <c r="J307">
        <v>5945.95</v>
      </c>
      <c r="K307">
        <v>1</v>
      </c>
      <c r="L307" t="s">
        <v>196</v>
      </c>
      <c r="M307">
        <v>0</v>
      </c>
    </row>
    <row r="308" spans="1:13" x14ac:dyDescent="0.3">
      <c r="A308" t="s">
        <v>517</v>
      </c>
      <c r="B308">
        <v>17</v>
      </c>
      <c r="C308" s="1">
        <v>45253</v>
      </c>
      <c r="D308">
        <v>2023</v>
      </c>
      <c r="E308" t="s">
        <v>214</v>
      </c>
      <c r="F308" t="s">
        <v>13</v>
      </c>
      <c r="G308" t="s">
        <v>200</v>
      </c>
      <c r="H308" t="s">
        <v>195</v>
      </c>
      <c r="I308">
        <v>6</v>
      </c>
      <c r="J308">
        <v>2465.61</v>
      </c>
      <c r="K308">
        <v>0</v>
      </c>
      <c r="L308" t="s">
        <v>210</v>
      </c>
      <c r="M308">
        <v>1</v>
      </c>
    </row>
    <row r="309" spans="1:13" x14ac:dyDescent="0.3">
      <c r="A309" t="s">
        <v>518</v>
      </c>
      <c r="B309">
        <v>17</v>
      </c>
      <c r="C309" s="1">
        <v>45068</v>
      </c>
      <c r="D309">
        <v>2023</v>
      </c>
      <c r="E309" t="s">
        <v>190</v>
      </c>
      <c r="F309" t="s">
        <v>13</v>
      </c>
      <c r="G309" t="s">
        <v>203</v>
      </c>
      <c r="H309" t="s">
        <v>195</v>
      </c>
      <c r="I309">
        <v>13</v>
      </c>
      <c r="J309">
        <v>3566.52</v>
      </c>
      <c r="K309">
        <v>0</v>
      </c>
      <c r="L309" t="s">
        <v>201</v>
      </c>
      <c r="M309">
        <v>0</v>
      </c>
    </row>
    <row r="310" spans="1:13" x14ac:dyDescent="0.3">
      <c r="A310" t="s">
        <v>519</v>
      </c>
      <c r="B310">
        <v>17</v>
      </c>
      <c r="C310" s="1">
        <v>45019</v>
      </c>
      <c r="D310">
        <v>2023</v>
      </c>
      <c r="E310" t="s">
        <v>219</v>
      </c>
      <c r="F310" t="s">
        <v>13</v>
      </c>
      <c r="G310" t="s">
        <v>200</v>
      </c>
      <c r="H310" t="s">
        <v>195</v>
      </c>
      <c r="I310">
        <v>5</v>
      </c>
      <c r="J310">
        <v>2406.87</v>
      </c>
      <c r="K310">
        <v>0</v>
      </c>
      <c r="L310" t="s">
        <v>210</v>
      </c>
      <c r="M310">
        <v>1</v>
      </c>
    </row>
    <row r="311" spans="1:13" x14ac:dyDescent="0.3">
      <c r="A311" t="s">
        <v>520</v>
      </c>
      <c r="B311">
        <v>17</v>
      </c>
      <c r="C311" s="1">
        <v>44988</v>
      </c>
      <c r="D311">
        <v>2023</v>
      </c>
      <c r="E311" t="s">
        <v>190</v>
      </c>
      <c r="F311" t="s">
        <v>199</v>
      </c>
      <c r="G311" t="s">
        <v>203</v>
      </c>
      <c r="H311" t="s">
        <v>195</v>
      </c>
      <c r="I311">
        <v>11</v>
      </c>
      <c r="J311">
        <v>4909.6000000000004</v>
      </c>
      <c r="K311">
        <v>0</v>
      </c>
      <c r="L311" t="s">
        <v>196</v>
      </c>
      <c r="M311">
        <v>0</v>
      </c>
    </row>
    <row r="312" spans="1:13" x14ac:dyDescent="0.3">
      <c r="A312" t="s">
        <v>521</v>
      </c>
      <c r="B312">
        <v>17</v>
      </c>
      <c r="C312" s="1">
        <v>45194</v>
      </c>
      <c r="D312">
        <v>2023</v>
      </c>
      <c r="E312" t="s">
        <v>287</v>
      </c>
      <c r="F312" t="s">
        <v>13</v>
      </c>
      <c r="G312" t="s">
        <v>191</v>
      </c>
      <c r="H312" t="s">
        <v>195</v>
      </c>
      <c r="I312">
        <v>15</v>
      </c>
      <c r="J312">
        <v>1042.6300000000001</v>
      </c>
      <c r="K312">
        <v>0</v>
      </c>
      <c r="L312" t="s">
        <v>215</v>
      </c>
      <c r="M312">
        <v>0</v>
      </c>
    </row>
    <row r="313" spans="1:13" x14ac:dyDescent="0.3">
      <c r="A313" t="s">
        <v>522</v>
      </c>
      <c r="B313">
        <v>17</v>
      </c>
      <c r="C313" s="1">
        <v>45458</v>
      </c>
      <c r="D313">
        <v>2024</v>
      </c>
      <c r="E313" t="s">
        <v>214</v>
      </c>
      <c r="F313" t="s">
        <v>13</v>
      </c>
      <c r="G313" t="s">
        <v>203</v>
      </c>
      <c r="H313" t="s">
        <v>195</v>
      </c>
      <c r="I313">
        <v>4</v>
      </c>
      <c r="J313">
        <v>1875.42</v>
      </c>
      <c r="K313">
        <v>0</v>
      </c>
      <c r="L313" t="s">
        <v>201</v>
      </c>
      <c r="M313">
        <v>0</v>
      </c>
    </row>
    <row r="314" spans="1:13" x14ac:dyDescent="0.3">
      <c r="A314" t="s">
        <v>523</v>
      </c>
      <c r="B314">
        <v>17</v>
      </c>
      <c r="C314" s="1">
        <v>45620</v>
      </c>
      <c r="D314">
        <v>2024</v>
      </c>
      <c r="E314" t="s">
        <v>214</v>
      </c>
      <c r="F314" t="s">
        <v>199</v>
      </c>
      <c r="G314" t="s">
        <v>200</v>
      </c>
      <c r="H314" t="s">
        <v>206</v>
      </c>
      <c r="I314">
        <v>3</v>
      </c>
      <c r="J314">
        <v>5407.06</v>
      </c>
      <c r="K314">
        <v>0</v>
      </c>
      <c r="L314" t="s">
        <v>193</v>
      </c>
      <c r="M314">
        <v>1</v>
      </c>
    </row>
    <row r="315" spans="1:13" x14ac:dyDescent="0.3">
      <c r="A315" t="s">
        <v>524</v>
      </c>
      <c r="B315">
        <v>17</v>
      </c>
      <c r="C315" s="1">
        <v>45295</v>
      </c>
      <c r="D315">
        <v>2024</v>
      </c>
      <c r="E315" t="s">
        <v>219</v>
      </c>
      <c r="F315" t="s">
        <v>12</v>
      </c>
      <c r="G315" t="s">
        <v>212</v>
      </c>
      <c r="H315" t="s">
        <v>192</v>
      </c>
      <c r="I315">
        <v>7</v>
      </c>
      <c r="J315">
        <v>462.39</v>
      </c>
      <c r="K315">
        <v>0</v>
      </c>
      <c r="L315" t="s">
        <v>193</v>
      </c>
      <c r="M315">
        <v>1</v>
      </c>
    </row>
    <row r="316" spans="1:13" x14ac:dyDescent="0.3">
      <c r="A316" t="s">
        <v>525</v>
      </c>
      <c r="B316">
        <v>17</v>
      </c>
      <c r="C316" s="1">
        <v>45355</v>
      </c>
      <c r="D316">
        <v>2024</v>
      </c>
      <c r="E316" t="s">
        <v>219</v>
      </c>
      <c r="F316" t="s">
        <v>209</v>
      </c>
      <c r="G316" t="s">
        <v>200</v>
      </c>
      <c r="H316" t="s">
        <v>206</v>
      </c>
      <c r="I316">
        <v>15</v>
      </c>
      <c r="J316">
        <v>232.52</v>
      </c>
      <c r="K316">
        <v>0</v>
      </c>
      <c r="L316" t="s">
        <v>215</v>
      </c>
      <c r="M316">
        <v>1</v>
      </c>
    </row>
    <row r="317" spans="1:13" x14ac:dyDescent="0.3">
      <c r="A317" t="s">
        <v>526</v>
      </c>
      <c r="B317">
        <v>17</v>
      </c>
      <c r="C317" s="1">
        <v>45948</v>
      </c>
      <c r="D317">
        <v>2025</v>
      </c>
      <c r="E317" t="s">
        <v>198</v>
      </c>
      <c r="F317" t="s">
        <v>13</v>
      </c>
      <c r="G317" t="s">
        <v>191</v>
      </c>
      <c r="H317" t="s">
        <v>195</v>
      </c>
      <c r="I317">
        <v>11</v>
      </c>
      <c r="J317">
        <v>2934.37</v>
      </c>
      <c r="K317">
        <v>1</v>
      </c>
      <c r="L317" t="s">
        <v>210</v>
      </c>
      <c r="M317">
        <v>0</v>
      </c>
    </row>
    <row r="318" spans="1:13" x14ac:dyDescent="0.3">
      <c r="A318" t="s">
        <v>527</v>
      </c>
      <c r="B318">
        <v>17</v>
      </c>
      <c r="C318" s="1">
        <v>45999</v>
      </c>
      <c r="D318">
        <v>2025</v>
      </c>
      <c r="E318" t="s">
        <v>219</v>
      </c>
      <c r="F318" t="s">
        <v>12</v>
      </c>
      <c r="G318" t="s">
        <v>212</v>
      </c>
      <c r="H318" t="s">
        <v>206</v>
      </c>
      <c r="I318">
        <v>7</v>
      </c>
      <c r="J318">
        <v>441.42</v>
      </c>
      <c r="K318">
        <v>0</v>
      </c>
      <c r="L318" t="s">
        <v>210</v>
      </c>
      <c r="M318">
        <v>1</v>
      </c>
    </row>
    <row r="319" spans="1:13" x14ac:dyDescent="0.3">
      <c r="A319" t="s">
        <v>528</v>
      </c>
      <c r="B319">
        <v>17</v>
      </c>
      <c r="C319" s="1">
        <v>45726</v>
      </c>
      <c r="D319">
        <v>2025</v>
      </c>
      <c r="E319" t="s">
        <v>214</v>
      </c>
      <c r="F319" t="s">
        <v>199</v>
      </c>
      <c r="G319" t="s">
        <v>191</v>
      </c>
      <c r="H319" t="s">
        <v>192</v>
      </c>
      <c r="I319">
        <v>3</v>
      </c>
      <c r="J319">
        <v>2615.15</v>
      </c>
      <c r="K319">
        <v>0</v>
      </c>
      <c r="L319" t="s">
        <v>193</v>
      </c>
      <c r="M319">
        <v>0</v>
      </c>
    </row>
    <row r="320" spans="1:13" x14ac:dyDescent="0.3">
      <c r="A320" t="s">
        <v>529</v>
      </c>
      <c r="B320">
        <v>18</v>
      </c>
      <c r="C320" s="1">
        <v>44382</v>
      </c>
      <c r="D320">
        <v>2021</v>
      </c>
      <c r="E320" t="s">
        <v>225</v>
      </c>
      <c r="F320" t="s">
        <v>199</v>
      </c>
      <c r="G320" t="s">
        <v>203</v>
      </c>
      <c r="H320" t="s">
        <v>195</v>
      </c>
      <c r="I320">
        <v>7</v>
      </c>
      <c r="J320">
        <v>4941.41</v>
      </c>
      <c r="K320">
        <v>0</v>
      </c>
      <c r="L320" t="s">
        <v>196</v>
      </c>
      <c r="M320">
        <v>0</v>
      </c>
    </row>
    <row r="321" spans="1:13" x14ac:dyDescent="0.3">
      <c r="A321" t="s">
        <v>530</v>
      </c>
      <c r="B321">
        <v>18</v>
      </c>
      <c r="C321" s="1">
        <v>44382</v>
      </c>
      <c r="D321">
        <v>2021</v>
      </c>
      <c r="E321" t="s">
        <v>214</v>
      </c>
      <c r="F321" t="s">
        <v>199</v>
      </c>
      <c r="G321" t="s">
        <v>191</v>
      </c>
      <c r="H321" t="s">
        <v>195</v>
      </c>
      <c r="I321">
        <v>11</v>
      </c>
      <c r="J321">
        <v>6701.87</v>
      </c>
      <c r="K321">
        <v>1</v>
      </c>
      <c r="L321" t="s">
        <v>193</v>
      </c>
      <c r="M321">
        <v>0</v>
      </c>
    </row>
    <row r="322" spans="1:13" x14ac:dyDescent="0.3">
      <c r="A322" t="s">
        <v>531</v>
      </c>
      <c r="B322">
        <v>18</v>
      </c>
      <c r="C322" s="1">
        <v>44271</v>
      </c>
      <c r="D322">
        <v>2021</v>
      </c>
      <c r="E322" t="s">
        <v>198</v>
      </c>
      <c r="F322" t="s">
        <v>13</v>
      </c>
      <c r="G322" t="s">
        <v>203</v>
      </c>
      <c r="H322" t="s">
        <v>204</v>
      </c>
      <c r="I322">
        <v>2</v>
      </c>
      <c r="J322">
        <v>3323.73</v>
      </c>
      <c r="K322">
        <v>1</v>
      </c>
      <c r="L322" t="s">
        <v>196</v>
      </c>
      <c r="M322">
        <v>0</v>
      </c>
    </row>
    <row r="323" spans="1:13" x14ac:dyDescent="0.3">
      <c r="A323" t="s">
        <v>532</v>
      </c>
      <c r="B323">
        <v>18</v>
      </c>
      <c r="C323" s="1">
        <v>44445</v>
      </c>
      <c r="D323">
        <v>2021</v>
      </c>
      <c r="E323" t="s">
        <v>287</v>
      </c>
      <c r="F323" t="s">
        <v>12</v>
      </c>
      <c r="G323" t="s">
        <v>200</v>
      </c>
      <c r="H323" t="s">
        <v>195</v>
      </c>
      <c r="I323">
        <v>17</v>
      </c>
      <c r="J323">
        <v>959.24</v>
      </c>
      <c r="K323">
        <v>0</v>
      </c>
      <c r="L323" t="s">
        <v>215</v>
      </c>
      <c r="M323">
        <v>0</v>
      </c>
    </row>
    <row r="324" spans="1:13" x14ac:dyDescent="0.3">
      <c r="A324" t="s">
        <v>533</v>
      </c>
      <c r="B324">
        <v>18</v>
      </c>
      <c r="C324" s="1">
        <v>44878</v>
      </c>
      <c r="D324">
        <v>2022</v>
      </c>
      <c r="E324" t="s">
        <v>219</v>
      </c>
      <c r="F324" t="s">
        <v>13</v>
      </c>
      <c r="G324" t="s">
        <v>200</v>
      </c>
      <c r="H324" t="s">
        <v>192</v>
      </c>
      <c r="I324">
        <v>9</v>
      </c>
      <c r="J324">
        <v>1737.1</v>
      </c>
      <c r="K324">
        <v>0</v>
      </c>
      <c r="L324" t="s">
        <v>201</v>
      </c>
      <c r="M324">
        <v>0</v>
      </c>
    </row>
    <row r="325" spans="1:13" x14ac:dyDescent="0.3">
      <c r="A325" t="s">
        <v>534</v>
      </c>
      <c r="B325">
        <v>18</v>
      </c>
      <c r="C325" s="1">
        <v>45582</v>
      </c>
      <c r="D325">
        <v>2024</v>
      </c>
      <c r="E325" t="s">
        <v>219</v>
      </c>
      <c r="F325" t="s">
        <v>13</v>
      </c>
      <c r="G325" t="s">
        <v>212</v>
      </c>
      <c r="H325" t="s">
        <v>195</v>
      </c>
      <c r="I325">
        <v>11</v>
      </c>
      <c r="J325">
        <v>1257.25</v>
      </c>
      <c r="K325">
        <v>0</v>
      </c>
      <c r="L325" t="s">
        <v>196</v>
      </c>
      <c r="M325">
        <v>1</v>
      </c>
    </row>
    <row r="326" spans="1:13" x14ac:dyDescent="0.3">
      <c r="A326" t="s">
        <v>535</v>
      </c>
      <c r="B326">
        <v>18</v>
      </c>
      <c r="C326" s="1">
        <v>45302</v>
      </c>
      <c r="D326">
        <v>2024</v>
      </c>
      <c r="E326" t="s">
        <v>190</v>
      </c>
      <c r="F326" t="s">
        <v>12</v>
      </c>
      <c r="G326" t="s">
        <v>191</v>
      </c>
      <c r="H326" t="s">
        <v>195</v>
      </c>
      <c r="I326">
        <v>10</v>
      </c>
      <c r="J326">
        <v>438.25</v>
      </c>
      <c r="K326">
        <v>0</v>
      </c>
      <c r="L326" t="s">
        <v>215</v>
      </c>
      <c r="M326">
        <v>0</v>
      </c>
    </row>
    <row r="327" spans="1:13" x14ac:dyDescent="0.3">
      <c r="A327" t="s">
        <v>536</v>
      </c>
      <c r="B327">
        <v>18</v>
      </c>
      <c r="C327" s="1">
        <v>45462</v>
      </c>
      <c r="D327">
        <v>2024</v>
      </c>
      <c r="E327" t="s">
        <v>190</v>
      </c>
      <c r="F327" t="s">
        <v>12</v>
      </c>
      <c r="G327" t="s">
        <v>203</v>
      </c>
      <c r="H327" t="s">
        <v>192</v>
      </c>
      <c r="I327">
        <v>3</v>
      </c>
      <c r="J327">
        <v>629.04999999999995</v>
      </c>
      <c r="K327">
        <v>0</v>
      </c>
      <c r="L327" t="s">
        <v>215</v>
      </c>
      <c r="M327">
        <v>1</v>
      </c>
    </row>
    <row r="328" spans="1:13" x14ac:dyDescent="0.3">
      <c r="A328" t="s">
        <v>537</v>
      </c>
      <c r="B328">
        <v>18</v>
      </c>
      <c r="C328" s="1">
        <v>45842</v>
      </c>
      <c r="D328">
        <v>2025</v>
      </c>
      <c r="E328" t="s">
        <v>219</v>
      </c>
      <c r="F328" t="s">
        <v>12</v>
      </c>
      <c r="G328" t="s">
        <v>212</v>
      </c>
      <c r="H328" t="s">
        <v>192</v>
      </c>
      <c r="I328">
        <v>16</v>
      </c>
      <c r="J328">
        <v>1112.45</v>
      </c>
      <c r="K328">
        <v>0</v>
      </c>
      <c r="L328" t="s">
        <v>210</v>
      </c>
      <c r="M328">
        <v>1</v>
      </c>
    </row>
    <row r="329" spans="1:13" x14ac:dyDescent="0.3">
      <c r="A329" t="s">
        <v>538</v>
      </c>
      <c r="B329">
        <v>18</v>
      </c>
      <c r="C329" s="1">
        <v>45966</v>
      </c>
      <c r="D329">
        <v>2025</v>
      </c>
      <c r="E329" t="s">
        <v>227</v>
      </c>
      <c r="F329" t="s">
        <v>209</v>
      </c>
      <c r="G329" t="s">
        <v>212</v>
      </c>
      <c r="H329" t="s">
        <v>206</v>
      </c>
      <c r="I329">
        <v>16</v>
      </c>
      <c r="J329">
        <v>460.28</v>
      </c>
      <c r="K329">
        <v>0</v>
      </c>
      <c r="L329" t="s">
        <v>201</v>
      </c>
      <c r="M329">
        <v>1</v>
      </c>
    </row>
    <row r="330" spans="1:13" x14ac:dyDescent="0.3">
      <c r="A330" t="s">
        <v>539</v>
      </c>
      <c r="B330">
        <v>18</v>
      </c>
      <c r="C330" s="1">
        <v>45823</v>
      </c>
      <c r="D330">
        <v>2025</v>
      </c>
      <c r="E330" t="s">
        <v>214</v>
      </c>
      <c r="F330" t="s">
        <v>199</v>
      </c>
      <c r="G330" t="s">
        <v>191</v>
      </c>
      <c r="H330" t="s">
        <v>192</v>
      </c>
      <c r="I330">
        <v>15</v>
      </c>
      <c r="J330">
        <v>7370.82</v>
      </c>
      <c r="K330">
        <v>0</v>
      </c>
      <c r="L330" t="s">
        <v>196</v>
      </c>
      <c r="M330">
        <v>0</v>
      </c>
    </row>
    <row r="331" spans="1:13" x14ac:dyDescent="0.3">
      <c r="A331" t="s">
        <v>540</v>
      </c>
      <c r="B331">
        <v>18</v>
      </c>
      <c r="C331" s="1">
        <v>45736</v>
      </c>
      <c r="D331">
        <v>2025</v>
      </c>
      <c r="E331" t="s">
        <v>225</v>
      </c>
      <c r="F331" t="s">
        <v>12</v>
      </c>
      <c r="G331" t="s">
        <v>212</v>
      </c>
      <c r="H331" t="s">
        <v>195</v>
      </c>
      <c r="I331">
        <v>12</v>
      </c>
      <c r="J331">
        <v>1451.97</v>
      </c>
      <c r="K331">
        <v>0</v>
      </c>
      <c r="L331" t="s">
        <v>196</v>
      </c>
      <c r="M331">
        <v>1</v>
      </c>
    </row>
    <row r="332" spans="1:13" x14ac:dyDescent="0.3">
      <c r="A332" t="s">
        <v>541</v>
      </c>
      <c r="B332">
        <v>19</v>
      </c>
      <c r="C332" s="1">
        <v>44367</v>
      </c>
      <c r="D332">
        <v>2021</v>
      </c>
      <c r="E332" t="s">
        <v>214</v>
      </c>
      <c r="F332" t="s">
        <v>12</v>
      </c>
      <c r="G332" t="s">
        <v>191</v>
      </c>
      <c r="H332" t="s">
        <v>204</v>
      </c>
      <c r="I332">
        <v>14</v>
      </c>
      <c r="J332">
        <v>565.89</v>
      </c>
      <c r="K332">
        <v>0</v>
      </c>
      <c r="L332" t="s">
        <v>201</v>
      </c>
      <c r="M332">
        <v>1</v>
      </c>
    </row>
    <row r="333" spans="1:13" x14ac:dyDescent="0.3">
      <c r="A333" t="s">
        <v>542</v>
      </c>
      <c r="B333">
        <v>19</v>
      </c>
      <c r="C333" s="1">
        <v>44784</v>
      </c>
      <c r="D333">
        <v>2022</v>
      </c>
      <c r="E333" t="s">
        <v>214</v>
      </c>
      <c r="F333" t="s">
        <v>199</v>
      </c>
      <c r="G333" t="s">
        <v>203</v>
      </c>
      <c r="H333" t="s">
        <v>204</v>
      </c>
      <c r="I333">
        <v>14</v>
      </c>
      <c r="J333">
        <v>7973.03</v>
      </c>
      <c r="K333">
        <v>1</v>
      </c>
      <c r="L333" t="s">
        <v>193</v>
      </c>
      <c r="M333">
        <v>0</v>
      </c>
    </row>
    <row r="334" spans="1:13" x14ac:dyDescent="0.3">
      <c r="A334" t="s">
        <v>543</v>
      </c>
      <c r="B334">
        <v>19</v>
      </c>
      <c r="C334" s="1">
        <v>44566</v>
      </c>
      <c r="D334">
        <v>2022</v>
      </c>
      <c r="E334" t="s">
        <v>190</v>
      </c>
      <c r="F334" t="s">
        <v>209</v>
      </c>
      <c r="G334" t="s">
        <v>212</v>
      </c>
      <c r="H334" t="s">
        <v>195</v>
      </c>
      <c r="I334">
        <v>15</v>
      </c>
      <c r="J334">
        <v>282.07</v>
      </c>
      <c r="K334">
        <v>0</v>
      </c>
      <c r="L334" t="s">
        <v>215</v>
      </c>
      <c r="M334">
        <v>1</v>
      </c>
    </row>
    <row r="335" spans="1:13" x14ac:dyDescent="0.3">
      <c r="A335" t="s">
        <v>544</v>
      </c>
      <c r="B335">
        <v>19</v>
      </c>
      <c r="C335" s="1">
        <v>44704</v>
      </c>
      <c r="D335">
        <v>2022</v>
      </c>
      <c r="E335" t="s">
        <v>214</v>
      </c>
      <c r="F335" t="s">
        <v>13</v>
      </c>
      <c r="G335" t="s">
        <v>203</v>
      </c>
      <c r="H335" t="s">
        <v>195</v>
      </c>
      <c r="I335">
        <v>6</v>
      </c>
      <c r="J335">
        <v>1397.02</v>
      </c>
      <c r="K335">
        <v>0</v>
      </c>
      <c r="L335" t="s">
        <v>196</v>
      </c>
      <c r="M335">
        <v>0</v>
      </c>
    </row>
    <row r="336" spans="1:13" x14ac:dyDescent="0.3">
      <c r="A336" t="s">
        <v>545</v>
      </c>
      <c r="B336">
        <v>19</v>
      </c>
      <c r="C336" s="1">
        <v>44690</v>
      </c>
      <c r="D336">
        <v>2022</v>
      </c>
      <c r="E336" t="s">
        <v>198</v>
      </c>
      <c r="F336" t="s">
        <v>12</v>
      </c>
      <c r="G336" t="s">
        <v>212</v>
      </c>
      <c r="H336" t="s">
        <v>192</v>
      </c>
      <c r="I336">
        <v>1</v>
      </c>
      <c r="J336">
        <v>1326.85</v>
      </c>
      <c r="K336">
        <v>1</v>
      </c>
      <c r="L336" t="s">
        <v>210</v>
      </c>
      <c r="M336">
        <v>1</v>
      </c>
    </row>
    <row r="337" spans="1:13" x14ac:dyDescent="0.3">
      <c r="A337" t="s">
        <v>546</v>
      </c>
      <c r="B337">
        <v>19</v>
      </c>
      <c r="C337" s="1">
        <v>44965</v>
      </c>
      <c r="D337">
        <v>2023</v>
      </c>
      <c r="E337" t="s">
        <v>214</v>
      </c>
      <c r="F337" t="s">
        <v>12</v>
      </c>
      <c r="G337" t="s">
        <v>203</v>
      </c>
      <c r="H337" t="s">
        <v>192</v>
      </c>
      <c r="I337">
        <v>1</v>
      </c>
      <c r="J337">
        <v>1223.5999999999999</v>
      </c>
      <c r="K337">
        <v>0</v>
      </c>
      <c r="L337" t="s">
        <v>210</v>
      </c>
      <c r="M337">
        <v>0</v>
      </c>
    </row>
    <row r="338" spans="1:13" x14ac:dyDescent="0.3">
      <c r="A338" t="s">
        <v>547</v>
      </c>
      <c r="B338">
        <v>19</v>
      </c>
      <c r="C338" s="1">
        <v>45568</v>
      </c>
      <c r="D338">
        <v>2024</v>
      </c>
      <c r="E338" t="s">
        <v>214</v>
      </c>
      <c r="F338" t="s">
        <v>13</v>
      </c>
      <c r="G338" t="s">
        <v>191</v>
      </c>
      <c r="H338" t="s">
        <v>204</v>
      </c>
      <c r="I338">
        <v>3</v>
      </c>
      <c r="J338">
        <v>3620.2</v>
      </c>
      <c r="K338">
        <v>0</v>
      </c>
      <c r="L338" t="s">
        <v>193</v>
      </c>
      <c r="M338">
        <v>0</v>
      </c>
    </row>
    <row r="339" spans="1:13" x14ac:dyDescent="0.3">
      <c r="A339" t="s">
        <v>548</v>
      </c>
      <c r="B339">
        <v>19</v>
      </c>
      <c r="C339" s="1">
        <v>45631</v>
      </c>
      <c r="D339">
        <v>2024</v>
      </c>
      <c r="E339" t="s">
        <v>214</v>
      </c>
      <c r="F339" t="s">
        <v>13</v>
      </c>
      <c r="G339" t="s">
        <v>200</v>
      </c>
      <c r="H339" t="s">
        <v>195</v>
      </c>
      <c r="I339">
        <v>17</v>
      </c>
      <c r="J339">
        <v>3854.18</v>
      </c>
      <c r="K339">
        <v>0</v>
      </c>
      <c r="L339" t="s">
        <v>215</v>
      </c>
      <c r="M339">
        <v>0</v>
      </c>
    </row>
    <row r="340" spans="1:13" x14ac:dyDescent="0.3">
      <c r="A340" t="s">
        <v>549</v>
      </c>
      <c r="B340">
        <v>19</v>
      </c>
      <c r="C340" s="1">
        <v>45314</v>
      </c>
      <c r="D340">
        <v>2024</v>
      </c>
      <c r="E340" t="s">
        <v>227</v>
      </c>
      <c r="F340" t="s">
        <v>12</v>
      </c>
      <c r="G340" t="s">
        <v>212</v>
      </c>
      <c r="H340" t="s">
        <v>192</v>
      </c>
      <c r="I340">
        <v>13</v>
      </c>
      <c r="J340">
        <v>496.62</v>
      </c>
      <c r="K340">
        <v>0</v>
      </c>
      <c r="L340" t="s">
        <v>201</v>
      </c>
      <c r="M340">
        <v>1</v>
      </c>
    </row>
    <row r="341" spans="1:13" x14ac:dyDescent="0.3">
      <c r="A341" t="s">
        <v>550</v>
      </c>
      <c r="B341">
        <v>19</v>
      </c>
      <c r="C341" s="1">
        <v>45367</v>
      </c>
      <c r="D341">
        <v>2024</v>
      </c>
      <c r="E341" t="s">
        <v>214</v>
      </c>
      <c r="F341" t="s">
        <v>13</v>
      </c>
      <c r="G341" t="s">
        <v>191</v>
      </c>
      <c r="H341" t="s">
        <v>195</v>
      </c>
      <c r="I341">
        <v>5</v>
      </c>
      <c r="J341">
        <v>1554.78</v>
      </c>
      <c r="K341">
        <v>0</v>
      </c>
      <c r="L341" t="s">
        <v>215</v>
      </c>
      <c r="M341">
        <v>0</v>
      </c>
    </row>
    <row r="342" spans="1:13" x14ac:dyDescent="0.3">
      <c r="A342" t="s">
        <v>551</v>
      </c>
      <c r="B342">
        <v>19</v>
      </c>
      <c r="C342" s="1">
        <v>45369</v>
      </c>
      <c r="D342">
        <v>2024</v>
      </c>
      <c r="E342" t="s">
        <v>219</v>
      </c>
      <c r="F342" t="s">
        <v>12</v>
      </c>
      <c r="G342" t="s">
        <v>200</v>
      </c>
      <c r="H342" t="s">
        <v>192</v>
      </c>
      <c r="I342">
        <v>17</v>
      </c>
      <c r="J342">
        <v>485.25</v>
      </c>
      <c r="K342">
        <v>0</v>
      </c>
      <c r="L342" t="s">
        <v>210</v>
      </c>
      <c r="M342">
        <v>0</v>
      </c>
    </row>
    <row r="343" spans="1:13" x14ac:dyDescent="0.3">
      <c r="A343" t="s">
        <v>552</v>
      </c>
      <c r="B343">
        <v>19</v>
      </c>
      <c r="C343" s="1">
        <v>45494</v>
      </c>
      <c r="D343">
        <v>2024</v>
      </c>
      <c r="E343" t="s">
        <v>198</v>
      </c>
      <c r="F343" t="s">
        <v>199</v>
      </c>
      <c r="G343" t="s">
        <v>203</v>
      </c>
      <c r="H343" t="s">
        <v>195</v>
      </c>
      <c r="I343">
        <v>1</v>
      </c>
      <c r="J343">
        <v>4396.17</v>
      </c>
      <c r="K343">
        <v>1</v>
      </c>
      <c r="L343" t="s">
        <v>193</v>
      </c>
      <c r="M343">
        <v>1</v>
      </c>
    </row>
    <row r="344" spans="1:13" x14ac:dyDescent="0.3">
      <c r="A344" t="s">
        <v>553</v>
      </c>
      <c r="B344">
        <v>19</v>
      </c>
      <c r="C344" s="1">
        <v>45802</v>
      </c>
      <c r="D344">
        <v>2025</v>
      </c>
      <c r="E344" t="s">
        <v>198</v>
      </c>
      <c r="F344" t="s">
        <v>13</v>
      </c>
      <c r="G344" t="s">
        <v>212</v>
      </c>
      <c r="H344" t="s">
        <v>204</v>
      </c>
      <c r="I344">
        <v>13</v>
      </c>
      <c r="J344">
        <v>1239.8499999999999</v>
      </c>
      <c r="K344">
        <v>1</v>
      </c>
      <c r="L344" t="s">
        <v>196</v>
      </c>
      <c r="M344">
        <v>1</v>
      </c>
    </row>
    <row r="345" spans="1:13" x14ac:dyDescent="0.3">
      <c r="A345" t="s">
        <v>554</v>
      </c>
      <c r="B345">
        <v>19</v>
      </c>
      <c r="C345" s="1">
        <v>45681</v>
      </c>
      <c r="D345">
        <v>2025</v>
      </c>
      <c r="E345" t="s">
        <v>214</v>
      </c>
      <c r="F345" t="s">
        <v>13</v>
      </c>
      <c r="G345" t="s">
        <v>212</v>
      </c>
      <c r="H345" t="s">
        <v>206</v>
      </c>
      <c r="I345">
        <v>13</v>
      </c>
      <c r="J345">
        <v>3877.89</v>
      </c>
      <c r="K345">
        <v>0</v>
      </c>
      <c r="L345" t="s">
        <v>193</v>
      </c>
      <c r="M345">
        <v>1</v>
      </c>
    </row>
    <row r="346" spans="1:13" x14ac:dyDescent="0.3">
      <c r="A346" t="s">
        <v>555</v>
      </c>
      <c r="B346">
        <v>19</v>
      </c>
      <c r="C346" s="1">
        <v>45823</v>
      </c>
      <c r="D346">
        <v>2025</v>
      </c>
      <c r="E346" t="s">
        <v>190</v>
      </c>
      <c r="F346" t="s">
        <v>13</v>
      </c>
      <c r="G346" t="s">
        <v>203</v>
      </c>
      <c r="H346" t="s">
        <v>195</v>
      </c>
      <c r="I346">
        <v>16</v>
      </c>
      <c r="J346">
        <v>3072.59</v>
      </c>
      <c r="K346">
        <v>1</v>
      </c>
      <c r="L346" t="s">
        <v>201</v>
      </c>
      <c r="M346">
        <v>0</v>
      </c>
    </row>
    <row r="347" spans="1:13" x14ac:dyDescent="0.3">
      <c r="A347" t="s">
        <v>556</v>
      </c>
      <c r="B347">
        <v>19</v>
      </c>
      <c r="C347" s="1">
        <v>45853</v>
      </c>
      <c r="D347">
        <v>2025</v>
      </c>
      <c r="E347" t="s">
        <v>214</v>
      </c>
      <c r="F347" t="s">
        <v>12</v>
      </c>
      <c r="G347" t="s">
        <v>212</v>
      </c>
      <c r="H347" t="s">
        <v>204</v>
      </c>
      <c r="I347">
        <v>7</v>
      </c>
      <c r="J347">
        <v>1341.7</v>
      </c>
      <c r="K347">
        <v>0</v>
      </c>
      <c r="L347" t="s">
        <v>210</v>
      </c>
      <c r="M347">
        <v>1</v>
      </c>
    </row>
    <row r="348" spans="1:13" x14ac:dyDescent="0.3">
      <c r="A348" t="s">
        <v>557</v>
      </c>
      <c r="B348">
        <v>19</v>
      </c>
      <c r="C348" s="1">
        <v>45966</v>
      </c>
      <c r="D348">
        <v>2025</v>
      </c>
      <c r="E348" t="s">
        <v>214</v>
      </c>
      <c r="F348" t="s">
        <v>13</v>
      </c>
      <c r="G348" t="s">
        <v>200</v>
      </c>
      <c r="H348" t="s">
        <v>195</v>
      </c>
      <c r="I348">
        <v>7</v>
      </c>
      <c r="J348">
        <v>1551.73</v>
      </c>
      <c r="K348">
        <v>0</v>
      </c>
      <c r="L348" t="s">
        <v>193</v>
      </c>
      <c r="M348">
        <v>0</v>
      </c>
    </row>
    <row r="349" spans="1:13" x14ac:dyDescent="0.3">
      <c r="A349" t="s">
        <v>558</v>
      </c>
      <c r="B349">
        <v>20</v>
      </c>
      <c r="C349" s="1">
        <v>44287</v>
      </c>
      <c r="D349">
        <v>2021</v>
      </c>
      <c r="E349" t="s">
        <v>219</v>
      </c>
      <c r="F349" t="s">
        <v>209</v>
      </c>
      <c r="G349" t="s">
        <v>212</v>
      </c>
      <c r="H349" t="s">
        <v>195</v>
      </c>
      <c r="I349">
        <v>9</v>
      </c>
      <c r="J349">
        <v>166.6</v>
      </c>
      <c r="K349">
        <v>0</v>
      </c>
      <c r="L349" t="s">
        <v>210</v>
      </c>
      <c r="M349">
        <v>1</v>
      </c>
    </row>
    <row r="350" spans="1:13" x14ac:dyDescent="0.3">
      <c r="A350" t="s">
        <v>559</v>
      </c>
      <c r="B350">
        <v>20</v>
      </c>
      <c r="C350" s="1">
        <v>44422</v>
      </c>
      <c r="D350">
        <v>2021</v>
      </c>
      <c r="E350" t="s">
        <v>219</v>
      </c>
      <c r="F350" t="s">
        <v>13</v>
      </c>
      <c r="G350" t="s">
        <v>212</v>
      </c>
      <c r="H350" t="s">
        <v>195</v>
      </c>
      <c r="I350">
        <v>13</v>
      </c>
      <c r="J350">
        <v>2060.11</v>
      </c>
      <c r="K350">
        <v>0</v>
      </c>
      <c r="L350" t="s">
        <v>193</v>
      </c>
      <c r="M350">
        <v>1</v>
      </c>
    </row>
    <row r="351" spans="1:13" x14ac:dyDescent="0.3">
      <c r="A351" t="s">
        <v>560</v>
      </c>
      <c r="B351">
        <v>20</v>
      </c>
      <c r="C351" s="1">
        <v>44793</v>
      </c>
      <c r="D351">
        <v>2022</v>
      </c>
      <c r="E351" t="s">
        <v>214</v>
      </c>
      <c r="F351" t="s">
        <v>209</v>
      </c>
      <c r="G351" t="s">
        <v>191</v>
      </c>
      <c r="H351" t="s">
        <v>195</v>
      </c>
      <c r="I351">
        <v>4</v>
      </c>
      <c r="J351">
        <v>249.81</v>
      </c>
      <c r="K351">
        <v>0</v>
      </c>
      <c r="L351" t="s">
        <v>210</v>
      </c>
      <c r="M351">
        <v>0</v>
      </c>
    </row>
    <row r="352" spans="1:13" x14ac:dyDescent="0.3">
      <c r="A352" t="s">
        <v>561</v>
      </c>
      <c r="B352">
        <v>20</v>
      </c>
      <c r="C352" s="1">
        <v>44875</v>
      </c>
      <c r="D352">
        <v>2022</v>
      </c>
      <c r="E352" t="s">
        <v>219</v>
      </c>
      <c r="F352" t="s">
        <v>12</v>
      </c>
      <c r="G352" t="s">
        <v>200</v>
      </c>
      <c r="H352" t="s">
        <v>192</v>
      </c>
      <c r="I352">
        <v>10</v>
      </c>
      <c r="J352">
        <v>602.37</v>
      </c>
      <c r="K352">
        <v>0</v>
      </c>
      <c r="L352" t="s">
        <v>215</v>
      </c>
      <c r="M352">
        <v>1</v>
      </c>
    </row>
    <row r="353" spans="1:13" x14ac:dyDescent="0.3">
      <c r="A353" t="s">
        <v>562</v>
      </c>
      <c r="B353">
        <v>20</v>
      </c>
      <c r="C353" s="1">
        <v>44731</v>
      </c>
      <c r="D353">
        <v>2022</v>
      </c>
      <c r="E353" t="s">
        <v>190</v>
      </c>
      <c r="F353" t="s">
        <v>209</v>
      </c>
      <c r="G353" t="s">
        <v>212</v>
      </c>
      <c r="H353" t="s">
        <v>195</v>
      </c>
      <c r="I353">
        <v>4</v>
      </c>
      <c r="J353">
        <v>125.67</v>
      </c>
      <c r="K353">
        <v>0</v>
      </c>
      <c r="L353" t="s">
        <v>215</v>
      </c>
      <c r="M353">
        <v>1</v>
      </c>
    </row>
    <row r="354" spans="1:13" x14ac:dyDescent="0.3">
      <c r="A354" t="s">
        <v>563</v>
      </c>
      <c r="B354">
        <v>20</v>
      </c>
      <c r="C354" s="1">
        <v>45246</v>
      </c>
      <c r="D354">
        <v>2023</v>
      </c>
      <c r="E354" t="s">
        <v>219</v>
      </c>
      <c r="F354" t="s">
        <v>13</v>
      </c>
      <c r="G354" t="s">
        <v>200</v>
      </c>
      <c r="H354" t="s">
        <v>204</v>
      </c>
      <c r="I354">
        <v>17</v>
      </c>
      <c r="J354">
        <v>1965.5</v>
      </c>
      <c r="K354">
        <v>1</v>
      </c>
      <c r="L354" t="s">
        <v>201</v>
      </c>
      <c r="M354">
        <v>0</v>
      </c>
    </row>
    <row r="355" spans="1:13" x14ac:dyDescent="0.3">
      <c r="A355" t="s">
        <v>564</v>
      </c>
      <c r="B355">
        <v>20</v>
      </c>
      <c r="C355" s="1">
        <v>45219</v>
      </c>
      <c r="D355">
        <v>2023</v>
      </c>
      <c r="E355" t="s">
        <v>198</v>
      </c>
      <c r="F355" t="s">
        <v>199</v>
      </c>
      <c r="G355" t="s">
        <v>203</v>
      </c>
      <c r="H355" t="s">
        <v>206</v>
      </c>
      <c r="I355">
        <v>3</v>
      </c>
      <c r="J355">
        <v>2606.69</v>
      </c>
      <c r="K355">
        <v>1</v>
      </c>
      <c r="L355" t="s">
        <v>193</v>
      </c>
      <c r="M355">
        <v>1</v>
      </c>
    </row>
    <row r="356" spans="1:13" x14ac:dyDescent="0.3">
      <c r="A356" t="s">
        <v>565</v>
      </c>
      <c r="B356">
        <v>20</v>
      </c>
      <c r="C356" s="1">
        <v>45210</v>
      </c>
      <c r="D356">
        <v>2023</v>
      </c>
      <c r="E356" t="s">
        <v>198</v>
      </c>
      <c r="F356" t="s">
        <v>13</v>
      </c>
      <c r="G356" t="s">
        <v>212</v>
      </c>
      <c r="H356" t="s">
        <v>195</v>
      </c>
      <c r="I356">
        <v>8</v>
      </c>
      <c r="J356">
        <v>3874.82</v>
      </c>
      <c r="K356">
        <v>1</v>
      </c>
      <c r="L356" t="s">
        <v>196</v>
      </c>
      <c r="M356">
        <v>1</v>
      </c>
    </row>
    <row r="357" spans="1:13" x14ac:dyDescent="0.3">
      <c r="A357" t="s">
        <v>566</v>
      </c>
      <c r="B357">
        <v>20</v>
      </c>
      <c r="C357" s="1">
        <v>45042</v>
      </c>
      <c r="D357">
        <v>2023</v>
      </c>
      <c r="E357" t="s">
        <v>190</v>
      </c>
      <c r="F357" t="s">
        <v>12</v>
      </c>
      <c r="G357" t="s">
        <v>212</v>
      </c>
      <c r="H357" t="s">
        <v>195</v>
      </c>
      <c r="I357">
        <v>11</v>
      </c>
      <c r="J357">
        <v>253.82</v>
      </c>
      <c r="K357">
        <v>0</v>
      </c>
      <c r="L357" t="s">
        <v>215</v>
      </c>
      <c r="M357">
        <v>1</v>
      </c>
    </row>
    <row r="358" spans="1:13" x14ac:dyDescent="0.3">
      <c r="A358" t="s">
        <v>567</v>
      </c>
      <c r="B358">
        <v>20</v>
      </c>
      <c r="C358" s="1">
        <v>45174</v>
      </c>
      <c r="D358">
        <v>2023</v>
      </c>
      <c r="E358" t="s">
        <v>287</v>
      </c>
      <c r="F358" t="s">
        <v>13</v>
      </c>
      <c r="G358" t="s">
        <v>191</v>
      </c>
      <c r="H358" t="s">
        <v>195</v>
      </c>
      <c r="I358">
        <v>16</v>
      </c>
      <c r="J358">
        <v>3432.19</v>
      </c>
      <c r="K358">
        <v>1</v>
      </c>
      <c r="L358" t="s">
        <v>201</v>
      </c>
      <c r="M358">
        <v>0</v>
      </c>
    </row>
    <row r="359" spans="1:13" x14ac:dyDescent="0.3">
      <c r="A359" t="s">
        <v>568</v>
      </c>
      <c r="B359">
        <v>20</v>
      </c>
      <c r="C359" s="1">
        <v>45628</v>
      </c>
      <c r="D359">
        <v>2024</v>
      </c>
      <c r="E359" t="s">
        <v>190</v>
      </c>
      <c r="F359" t="s">
        <v>12</v>
      </c>
      <c r="G359" t="s">
        <v>212</v>
      </c>
      <c r="H359" t="s">
        <v>195</v>
      </c>
      <c r="I359">
        <v>14</v>
      </c>
      <c r="J359">
        <v>1238.3900000000001</v>
      </c>
      <c r="K359">
        <v>0</v>
      </c>
      <c r="L359" t="s">
        <v>215</v>
      </c>
      <c r="M359">
        <v>1</v>
      </c>
    </row>
    <row r="360" spans="1:13" x14ac:dyDescent="0.3">
      <c r="A360" t="s">
        <v>569</v>
      </c>
      <c r="B360">
        <v>20</v>
      </c>
      <c r="C360" s="1">
        <v>45301</v>
      </c>
      <c r="D360">
        <v>2024</v>
      </c>
      <c r="E360" t="s">
        <v>214</v>
      </c>
      <c r="F360" t="s">
        <v>12</v>
      </c>
      <c r="G360" t="s">
        <v>200</v>
      </c>
      <c r="H360" t="s">
        <v>195</v>
      </c>
      <c r="I360">
        <v>9</v>
      </c>
      <c r="J360">
        <v>1202.97</v>
      </c>
      <c r="K360">
        <v>0</v>
      </c>
      <c r="L360" t="s">
        <v>196</v>
      </c>
      <c r="M360">
        <v>1</v>
      </c>
    </row>
    <row r="361" spans="1:13" x14ac:dyDescent="0.3">
      <c r="A361" t="s">
        <v>570</v>
      </c>
      <c r="B361">
        <v>20</v>
      </c>
      <c r="C361" s="1">
        <v>45366</v>
      </c>
      <c r="D361">
        <v>2024</v>
      </c>
      <c r="E361" t="s">
        <v>190</v>
      </c>
      <c r="F361" t="s">
        <v>13</v>
      </c>
      <c r="G361" t="s">
        <v>212</v>
      </c>
      <c r="H361" t="s">
        <v>195</v>
      </c>
      <c r="I361">
        <v>6</v>
      </c>
      <c r="J361">
        <v>1323.23</v>
      </c>
      <c r="K361">
        <v>0</v>
      </c>
      <c r="L361" t="s">
        <v>196</v>
      </c>
      <c r="M361">
        <v>1</v>
      </c>
    </row>
    <row r="362" spans="1:13" x14ac:dyDescent="0.3">
      <c r="A362" t="s">
        <v>571</v>
      </c>
      <c r="B362">
        <v>20</v>
      </c>
      <c r="C362" s="1">
        <v>45646</v>
      </c>
      <c r="D362">
        <v>2024</v>
      </c>
      <c r="E362" t="s">
        <v>225</v>
      </c>
      <c r="F362" t="s">
        <v>12</v>
      </c>
      <c r="G362" t="s">
        <v>200</v>
      </c>
      <c r="H362" t="s">
        <v>192</v>
      </c>
      <c r="I362">
        <v>10</v>
      </c>
      <c r="J362">
        <v>404.89</v>
      </c>
      <c r="K362">
        <v>0</v>
      </c>
      <c r="L362" t="s">
        <v>210</v>
      </c>
      <c r="M362">
        <v>0</v>
      </c>
    </row>
    <row r="363" spans="1:13" x14ac:dyDescent="0.3">
      <c r="A363" t="s">
        <v>572</v>
      </c>
      <c r="B363">
        <v>20</v>
      </c>
      <c r="C363" s="1">
        <v>45470</v>
      </c>
      <c r="D363">
        <v>2024</v>
      </c>
      <c r="E363" t="s">
        <v>190</v>
      </c>
      <c r="F363" t="s">
        <v>13</v>
      </c>
      <c r="G363" t="s">
        <v>212</v>
      </c>
      <c r="H363" t="s">
        <v>195</v>
      </c>
      <c r="I363">
        <v>15</v>
      </c>
      <c r="J363">
        <v>2186.61</v>
      </c>
      <c r="K363">
        <v>0</v>
      </c>
      <c r="L363" t="s">
        <v>193</v>
      </c>
      <c r="M363">
        <v>1</v>
      </c>
    </row>
    <row r="364" spans="1:13" x14ac:dyDescent="0.3">
      <c r="A364" t="s">
        <v>573</v>
      </c>
      <c r="B364">
        <v>21</v>
      </c>
      <c r="C364" s="1">
        <v>44510</v>
      </c>
      <c r="D364">
        <v>2021</v>
      </c>
      <c r="E364" t="s">
        <v>190</v>
      </c>
      <c r="F364" t="s">
        <v>209</v>
      </c>
      <c r="G364" t="s">
        <v>212</v>
      </c>
      <c r="H364" t="s">
        <v>192</v>
      </c>
      <c r="I364">
        <v>3</v>
      </c>
      <c r="J364">
        <v>298.01</v>
      </c>
      <c r="K364">
        <v>0</v>
      </c>
      <c r="L364" t="s">
        <v>210</v>
      </c>
      <c r="M364">
        <v>1</v>
      </c>
    </row>
    <row r="365" spans="1:13" x14ac:dyDescent="0.3">
      <c r="A365" t="s">
        <v>574</v>
      </c>
      <c r="B365">
        <v>21</v>
      </c>
      <c r="C365" s="1">
        <v>44244</v>
      </c>
      <c r="D365">
        <v>2021</v>
      </c>
      <c r="E365" t="s">
        <v>198</v>
      </c>
      <c r="F365" t="s">
        <v>13</v>
      </c>
      <c r="G365" t="s">
        <v>200</v>
      </c>
      <c r="H365" t="s">
        <v>195</v>
      </c>
      <c r="I365">
        <v>7</v>
      </c>
      <c r="J365">
        <v>2071.2399999999998</v>
      </c>
      <c r="K365">
        <v>1</v>
      </c>
      <c r="L365" t="s">
        <v>201</v>
      </c>
      <c r="M365">
        <v>0</v>
      </c>
    </row>
    <row r="366" spans="1:13" x14ac:dyDescent="0.3">
      <c r="A366" t="s">
        <v>575</v>
      </c>
      <c r="B366">
        <v>21</v>
      </c>
      <c r="C366" s="1">
        <v>44395</v>
      </c>
      <c r="D366">
        <v>2021</v>
      </c>
      <c r="E366" t="s">
        <v>198</v>
      </c>
      <c r="F366" t="s">
        <v>12</v>
      </c>
      <c r="G366" t="s">
        <v>212</v>
      </c>
      <c r="H366" t="s">
        <v>195</v>
      </c>
      <c r="I366">
        <v>4</v>
      </c>
      <c r="J366">
        <v>361.84</v>
      </c>
      <c r="K366">
        <v>1</v>
      </c>
      <c r="L366" t="s">
        <v>201</v>
      </c>
      <c r="M366">
        <v>1</v>
      </c>
    </row>
    <row r="367" spans="1:13" x14ac:dyDescent="0.3">
      <c r="A367" t="s">
        <v>576</v>
      </c>
      <c r="B367">
        <v>21</v>
      </c>
      <c r="C367" s="1">
        <v>44659</v>
      </c>
      <c r="D367">
        <v>2022</v>
      </c>
      <c r="E367" t="s">
        <v>214</v>
      </c>
      <c r="F367" t="s">
        <v>12</v>
      </c>
      <c r="G367" t="s">
        <v>200</v>
      </c>
      <c r="H367" t="s">
        <v>206</v>
      </c>
      <c r="I367">
        <v>2</v>
      </c>
      <c r="J367">
        <v>1121.6099999999999</v>
      </c>
      <c r="K367">
        <v>0</v>
      </c>
      <c r="L367" t="s">
        <v>193</v>
      </c>
      <c r="M367">
        <v>1</v>
      </c>
    </row>
    <row r="368" spans="1:13" x14ac:dyDescent="0.3">
      <c r="A368" t="s">
        <v>577</v>
      </c>
      <c r="B368">
        <v>21</v>
      </c>
      <c r="C368" s="1">
        <v>44648</v>
      </c>
      <c r="D368">
        <v>2022</v>
      </c>
      <c r="E368" t="s">
        <v>214</v>
      </c>
      <c r="F368" t="s">
        <v>12</v>
      </c>
      <c r="G368" t="s">
        <v>212</v>
      </c>
      <c r="H368" t="s">
        <v>204</v>
      </c>
      <c r="I368">
        <v>5</v>
      </c>
      <c r="J368">
        <v>744.76</v>
      </c>
      <c r="K368">
        <v>0</v>
      </c>
      <c r="L368" t="s">
        <v>193</v>
      </c>
      <c r="M368">
        <v>1</v>
      </c>
    </row>
    <row r="369" spans="1:13" x14ac:dyDescent="0.3">
      <c r="A369" t="s">
        <v>578</v>
      </c>
      <c r="B369">
        <v>21</v>
      </c>
      <c r="C369" s="1">
        <v>45253</v>
      </c>
      <c r="D369">
        <v>2023</v>
      </c>
      <c r="E369" t="s">
        <v>190</v>
      </c>
      <c r="F369" t="s">
        <v>12</v>
      </c>
      <c r="G369" t="s">
        <v>200</v>
      </c>
      <c r="H369" t="s">
        <v>204</v>
      </c>
      <c r="I369">
        <v>1</v>
      </c>
      <c r="J369">
        <v>511.05</v>
      </c>
      <c r="K369">
        <v>0</v>
      </c>
      <c r="L369" t="s">
        <v>193</v>
      </c>
      <c r="M369">
        <v>1</v>
      </c>
    </row>
    <row r="370" spans="1:13" x14ac:dyDescent="0.3">
      <c r="A370" t="s">
        <v>579</v>
      </c>
      <c r="B370">
        <v>21</v>
      </c>
      <c r="C370" s="1">
        <v>45562</v>
      </c>
      <c r="D370">
        <v>2024</v>
      </c>
      <c r="E370" t="s">
        <v>198</v>
      </c>
      <c r="F370" t="s">
        <v>199</v>
      </c>
      <c r="G370" t="s">
        <v>203</v>
      </c>
      <c r="H370" t="s">
        <v>192</v>
      </c>
      <c r="I370">
        <v>15</v>
      </c>
      <c r="J370">
        <v>4636.3100000000004</v>
      </c>
      <c r="K370">
        <v>1</v>
      </c>
      <c r="L370" t="s">
        <v>193</v>
      </c>
      <c r="M370">
        <v>0</v>
      </c>
    </row>
    <row r="371" spans="1:13" x14ac:dyDescent="0.3">
      <c r="A371" t="s">
        <v>580</v>
      </c>
      <c r="B371">
        <v>21</v>
      </c>
      <c r="C371" s="1">
        <v>45393</v>
      </c>
      <c r="D371">
        <v>2024</v>
      </c>
      <c r="E371" t="s">
        <v>225</v>
      </c>
      <c r="F371" t="s">
        <v>13</v>
      </c>
      <c r="G371" t="s">
        <v>203</v>
      </c>
      <c r="H371" t="s">
        <v>204</v>
      </c>
      <c r="I371">
        <v>5</v>
      </c>
      <c r="J371">
        <v>3015.54</v>
      </c>
      <c r="K371">
        <v>0</v>
      </c>
      <c r="L371" t="s">
        <v>210</v>
      </c>
      <c r="M371">
        <v>0</v>
      </c>
    </row>
    <row r="372" spans="1:13" x14ac:dyDescent="0.3">
      <c r="A372" t="s">
        <v>581</v>
      </c>
      <c r="B372">
        <v>21</v>
      </c>
      <c r="C372" s="1">
        <v>45499</v>
      </c>
      <c r="D372">
        <v>2024</v>
      </c>
      <c r="E372" t="s">
        <v>198</v>
      </c>
      <c r="F372" t="s">
        <v>199</v>
      </c>
      <c r="G372" t="s">
        <v>203</v>
      </c>
      <c r="H372" t="s">
        <v>195</v>
      </c>
      <c r="I372">
        <v>14</v>
      </c>
      <c r="J372">
        <v>6546.36</v>
      </c>
      <c r="K372">
        <v>1</v>
      </c>
      <c r="L372" t="s">
        <v>196</v>
      </c>
      <c r="M372">
        <v>0</v>
      </c>
    </row>
    <row r="373" spans="1:13" x14ac:dyDescent="0.3">
      <c r="A373" t="s">
        <v>582</v>
      </c>
      <c r="B373">
        <v>21</v>
      </c>
      <c r="C373" s="1">
        <v>45592</v>
      </c>
      <c r="D373">
        <v>2024</v>
      </c>
      <c r="E373" t="s">
        <v>219</v>
      </c>
      <c r="F373" t="s">
        <v>13</v>
      </c>
      <c r="G373" t="s">
        <v>191</v>
      </c>
      <c r="H373" t="s">
        <v>195</v>
      </c>
      <c r="I373">
        <v>1</v>
      </c>
      <c r="J373">
        <v>1650.42</v>
      </c>
      <c r="K373">
        <v>1</v>
      </c>
      <c r="L373" t="s">
        <v>196</v>
      </c>
      <c r="M373">
        <v>1</v>
      </c>
    </row>
    <row r="374" spans="1:13" x14ac:dyDescent="0.3">
      <c r="A374" t="s">
        <v>583</v>
      </c>
      <c r="B374">
        <v>21</v>
      </c>
      <c r="C374" s="1">
        <v>45450</v>
      </c>
      <c r="D374">
        <v>2024</v>
      </c>
      <c r="E374" t="s">
        <v>190</v>
      </c>
      <c r="F374" t="s">
        <v>13</v>
      </c>
      <c r="G374" t="s">
        <v>203</v>
      </c>
      <c r="H374" t="s">
        <v>206</v>
      </c>
      <c r="I374">
        <v>12</v>
      </c>
      <c r="J374">
        <v>3762.46</v>
      </c>
      <c r="K374">
        <v>0</v>
      </c>
      <c r="L374" t="s">
        <v>196</v>
      </c>
      <c r="M374">
        <v>1</v>
      </c>
    </row>
    <row r="375" spans="1:13" x14ac:dyDescent="0.3">
      <c r="A375" t="s">
        <v>584</v>
      </c>
      <c r="B375">
        <v>21</v>
      </c>
      <c r="C375" s="1">
        <v>45624</v>
      </c>
      <c r="D375">
        <v>2024</v>
      </c>
      <c r="E375" t="s">
        <v>227</v>
      </c>
      <c r="F375" t="s">
        <v>13</v>
      </c>
      <c r="G375" t="s">
        <v>191</v>
      </c>
      <c r="H375" t="s">
        <v>195</v>
      </c>
      <c r="I375">
        <v>8</v>
      </c>
      <c r="J375">
        <v>3790.48</v>
      </c>
      <c r="K375">
        <v>1</v>
      </c>
      <c r="L375" t="s">
        <v>210</v>
      </c>
      <c r="M375">
        <v>0</v>
      </c>
    </row>
    <row r="376" spans="1:13" x14ac:dyDescent="0.3">
      <c r="A376" t="s">
        <v>585</v>
      </c>
      <c r="B376">
        <v>21</v>
      </c>
      <c r="C376" s="1">
        <v>45690</v>
      </c>
      <c r="D376">
        <v>2025</v>
      </c>
      <c r="E376" t="s">
        <v>225</v>
      </c>
      <c r="F376" t="s">
        <v>13</v>
      </c>
      <c r="G376" t="s">
        <v>191</v>
      </c>
      <c r="H376" t="s">
        <v>195</v>
      </c>
      <c r="I376">
        <v>13</v>
      </c>
      <c r="J376">
        <v>2118.46</v>
      </c>
      <c r="K376">
        <v>0</v>
      </c>
      <c r="L376" t="s">
        <v>196</v>
      </c>
      <c r="M376">
        <v>0</v>
      </c>
    </row>
    <row r="377" spans="1:13" x14ac:dyDescent="0.3">
      <c r="A377" t="s">
        <v>586</v>
      </c>
      <c r="B377">
        <v>21</v>
      </c>
      <c r="C377" s="1">
        <v>45661</v>
      </c>
      <c r="D377">
        <v>2025</v>
      </c>
      <c r="E377" t="s">
        <v>225</v>
      </c>
      <c r="F377" t="s">
        <v>12</v>
      </c>
      <c r="G377" t="s">
        <v>191</v>
      </c>
      <c r="H377" t="s">
        <v>195</v>
      </c>
      <c r="I377">
        <v>18</v>
      </c>
      <c r="J377">
        <v>1250.7</v>
      </c>
      <c r="K377">
        <v>0</v>
      </c>
      <c r="L377" t="s">
        <v>210</v>
      </c>
      <c r="M377">
        <v>1</v>
      </c>
    </row>
    <row r="378" spans="1:13" x14ac:dyDescent="0.3">
      <c r="A378" t="s">
        <v>587</v>
      </c>
      <c r="B378">
        <v>21</v>
      </c>
      <c r="C378" s="1">
        <v>45987</v>
      </c>
      <c r="D378">
        <v>2025</v>
      </c>
      <c r="E378" t="s">
        <v>227</v>
      </c>
      <c r="F378" t="s">
        <v>199</v>
      </c>
      <c r="G378" t="s">
        <v>203</v>
      </c>
      <c r="H378" t="s">
        <v>195</v>
      </c>
      <c r="I378">
        <v>17</v>
      </c>
      <c r="J378">
        <v>2973.52</v>
      </c>
      <c r="K378">
        <v>0</v>
      </c>
      <c r="L378" t="s">
        <v>201</v>
      </c>
      <c r="M378">
        <v>0</v>
      </c>
    </row>
    <row r="379" spans="1:13" x14ac:dyDescent="0.3">
      <c r="A379" t="s">
        <v>588</v>
      </c>
      <c r="B379">
        <v>21</v>
      </c>
      <c r="C379" s="1">
        <v>45909</v>
      </c>
      <c r="D379">
        <v>2025</v>
      </c>
      <c r="E379" t="s">
        <v>214</v>
      </c>
      <c r="F379" t="s">
        <v>13</v>
      </c>
      <c r="G379" t="s">
        <v>212</v>
      </c>
      <c r="H379" t="s">
        <v>195</v>
      </c>
      <c r="I379">
        <v>13</v>
      </c>
      <c r="J379">
        <v>1459.88</v>
      </c>
      <c r="K379">
        <v>0</v>
      </c>
      <c r="L379" t="s">
        <v>196</v>
      </c>
      <c r="M379">
        <v>1</v>
      </c>
    </row>
    <row r="380" spans="1:13" x14ac:dyDescent="0.3">
      <c r="A380" t="s">
        <v>589</v>
      </c>
      <c r="B380">
        <v>22</v>
      </c>
      <c r="C380" s="1">
        <v>44212</v>
      </c>
      <c r="D380">
        <v>2021</v>
      </c>
      <c r="E380" t="s">
        <v>214</v>
      </c>
      <c r="F380" t="s">
        <v>12</v>
      </c>
      <c r="G380" t="s">
        <v>203</v>
      </c>
      <c r="H380" t="s">
        <v>204</v>
      </c>
      <c r="I380">
        <v>13</v>
      </c>
      <c r="J380">
        <v>1371.76</v>
      </c>
      <c r="K380">
        <v>0</v>
      </c>
      <c r="L380" t="s">
        <v>215</v>
      </c>
      <c r="M380">
        <v>1</v>
      </c>
    </row>
    <row r="381" spans="1:13" x14ac:dyDescent="0.3">
      <c r="A381" t="s">
        <v>590</v>
      </c>
      <c r="B381">
        <v>22</v>
      </c>
      <c r="C381" s="1">
        <v>44911</v>
      </c>
      <c r="D381">
        <v>2022</v>
      </c>
      <c r="E381" t="s">
        <v>198</v>
      </c>
      <c r="F381" t="s">
        <v>12</v>
      </c>
      <c r="G381" t="s">
        <v>191</v>
      </c>
      <c r="H381" t="s">
        <v>192</v>
      </c>
      <c r="I381">
        <v>19</v>
      </c>
      <c r="J381">
        <v>1112.0899999999999</v>
      </c>
      <c r="K381">
        <v>1</v>
      </c>
      <c r="L381" t="s">
        <v>215</v>
      </c>
      <c r="M381">
        <v>0</v>
      </c>
    </row>
    <row r="382" spans="1:13" x14ac:dyDescent="0.3">
      <c r="A382" t="s">
        <v>591</v>
      </c>
      <c r="B382">
        <v>22</v>
      </c>
      <c r="C382" s="1">
        <v>44861</v>
      </c>
      <c r="D382">
        <v>2022</v>
      </c>
      <c r="E382" t="s">
        <v>219</v>
      </c>
      <c r="F382" t="s">
        <v>13</v>
      </c>
      <c r="G382" t="s">
        <v>191</v>
      </c>
      <c r="H382" t="s">
        <v>195</v>
      </c>
      <c r="I382">
        <v>8</v>
      </c>
      <c r="J382">
        <v>1859.55</v>
      </c>
      <c r="K382">
        <v>0</v>
      </c>
      <c r="L382" t="s">
        <v>196</v>
      </c>
      <c r="M382">
        <v>1</v>
      </c>
    </row>
    <row r="383" spans="1:13" x14ac:dyDescent="0.3">
      <c r="A383" t="s">
        <v>592</v>
      </c>
      <c r="B383">
        <v>22</v>
      </c>
      <c r="C383" s="1">
        <v>44810</v>
      </c>
      <c r="D383">
        <v>2022</v>
      </c>
      <c r="E383" t="s">
        <v>198</v>
      </c>
      <c r="F383" t="s">
        <v>13</v>
      </c>
      <c r="G383" t="s">
        <v>212</v>
      </c>
      <c r="H383" t="s">
        <v>195</v>
      </c>
      <c r="I383">
        <v>12</v>
      </c>
      <c r="J383">
        <v>2917.94</v>
      </c>
      <c r="K383">
        <v>1</v>
      </c>
      <c r="L383" t="s">
        <v>201</v>
      </c>
      <c r="M383">
        <v>1</v>
      </c>
    </row>
    <row r="384" spans="1:13" x14ac:dyDescent="0.3">
      <c r="A384" t="s">
        <v>593</v>
      </c>
      <c r="B384">
        <v>22</v>
      </c>
      <c r="C384" s="1">
        <v>44727</v>
      </c>
      <c r="D384">
        <v>2022</v>
      </c>
      <c r="E384" t="s">
        <v>190</v>
      </c>
      <c r="F384" t="s">
        <v>12</v>
      </c>
      <c r="G384" t="s">
        <v>191</v>
      </c>
      <c r="H384" t="s">
        <v>192</v>
      </c>
      <c r="I384">
        <v>3</v>
      </c>
      <c r="J384">
        <v>759.78</v>
      </c>
      <c r="K384">
        <v>0</v>
      </c>
      <c r="L384" t="s">
        <v>196</v>
      </c>
      <c r="M384">
        <v>0</v>
      </c>
    </row>
    <row r="385" spans="1:13" x14ac:dyDescent="0.3">
      <c r="A385" t="s">
        <v>594</v>
      </c>
      <c r="B385">
        <v>22</v>
      </c>
      <c r="C385" s="1">
        <v>44631</v>
      </c>
      <c r="D385">
        <v>2022</v>
      </c>
      <c r="E385" t="s">
        <v>190</v>
      </c>
      <c r="F385" t="s">
        <v>13</v>
      </c>
      <c r="G385" t="s">
        <v>212</v>
      </c>
      <c r="H385" t="s">
        <v>192</v>
      </c>
      <c r="I385">
        <v>19</v>
      </c>
      <c r="J385">
        <v>2030.36</v>
      </c>
      <c r="K385">
        <v>0</v>
      </c>
      <c r="L385" t="s">
        <v>196</v>
      </c>
      <c r="M385">
        <v>1</v>
      </c>
    </row>
    <row r="386" spans="1:13" x14ac:dyDescent="0.3">
      <c r="A386" t="s">
        <v>595</v>
      </c>
      <c r="B386">
        <v>22</v>
      </c>
      <c r="C386" s="1">
        <v>44640</v>
      </c>
      <c r="D386">
        <v>2022</v>
      </c>
      <c r="E386" t="s">
        <v>190</v>
      </c>
      <c r="F386" t="s">
        <v>13</v>
      </c>
      <c r="G386" t="s">
        <v>212</v>
      </c>
      <c r="H386" t="s">
        <v>192</v>
      </c>
      <c r="I386">
        <v>8</v>
      </c>
      <c r="J386">
        <v>3376.83</v>
      </c>
      <c r="K386">
        <v>0</v>
      </c>
      <c r="L386" t="s">
        <v>210</v>
      </c>
      <c r="M386">
        <v>1</v>
      </c>
    </row>
    <row r="387" spans="1:13" x14ac:dyDescent="0.3">
      <c r="A387" t="s">
        <v>596</v>
      </c>
      <c r="B387">
        <v>22</v>
      </c>
      <c r="C387" s="1">
        <v>44974</v>
      </c>
      <c r="D387">
        <v>2023</v>
      </c>
      <c r="E387" t="s">
        <v>219</v>
      </c>
      <c r="F387" t="s">
        <v>12</v>
      </c>
      <c r="G387" t="s">
        <v>212</v>
      </c>
      <c r="H387" t="s">
        <v>192</v>
      </c>
      <c r="I387">
        <v>9</v>
      </c>
      <c r="J387">
        <v>938.06</v>
      </c>
      <c r="K387">
        <v>0</v>
      </c>
      <c r="L387" t="s">
        <v>215</v>
      </c>
      <c r="M387">
        <v>1</v>
      </c>
    </row>
    <row r="388" spans="1:13" x14ac:dyDescent="0.3">
      <c r="A388" t="s">
        <v>597</v>
      </c>
      <c r="B388">
        <v>22</v>
      </c>
      <c r="C388" s="1">
        <v>45253</v>
      </c>
      <c r="D388">
        <v>2023</v>
      </c>
      <c r="E388" t="s">
        <v>190</v>
      </c>
      <c r="F388" t="s">
        <v>12</v>
      </c>
      <c r="G388" t="s">
        <v>203</v>
      </c>
      <c r="H388" t="s">
        <v>192</v>
      </c>
      <c r="I388">
        <v>7</v>
      </c>
      <c r="J388">
        <v>716.65</v>
      </c>
      <c r="K388">
        <v>0</v>
      </c>
      <c r="L388" t="s">
        <v>210</v>
      </c>
      <c r="M388">
        <v>1</v>
      </c>
    </row>
    <row r="389" spans="1:13" x14ac:dyDescent="0.3">
      <c r="A389" t="s">
        <v>598</v>
      </c>
      <c r="B389">
        <v>22</v>
      </c>
      <c r="C389" s="1">
        <v>45577</v>
      </c>
      <c r="D389">
        <v>2024</v>
      </c>
      <c r="E389" t="s">
        <v>190</v>
      </c>
      <c r="F389" t="s">
        <v>199</v>
      </c>
      <c r="G389" t="s">
        <v>212</v>
      </c>
      <c r="H389" t="s">
        <v>192</v>
      </c>
      <c r="I389">
        <v>9</v>
      </c>
      <c r="J389">
        <v>6316.69</v>
      </c>
      <c r="K389">
        <v>1</v>
      </c>
      <c r="L389" t="s">
        <v>201</v>
      </c>
      <c r="M389">
        <v>1</v>
      </c>
    </row>
    <row r="390" spans="1:13" x14ac:dyDescent="0.3">
      <c r="A390" t="s">
        <v>599</v>
      </c>
      <c r="B390">
        <v>22</v>
      </c>
      <c r="C390" s="1">
        <v>45874</v>
      </c>
      <c r="D390">
        <v>2025</v>
      </c>
      <c r="E390" t="s">
        <v>190</v>
      </c>
      <c r="F390" t="s">
        <v>12</v>
      </c>
      <c r="G390" t="s">
        <v>203</v>
      </c>
      <c r="H390" t="s">
        <v>192</v>
      </c>
      <c r="I390">
        <v>4</v>
      </c>
      <c r="J390">
        <v>1047.81</v>
      </c>
      <c r="K390">
        <v>0</v>
      </c>
      <c r="L390" t="s">
        <v>215</v>
      </c>
      <c r="M390">
        <v>0</v>
      </c>
    </row>
    <row r="391" spans="1:13" x14ac:dyDescent="0.3">
      <c r="A391" t="s">
        <v>600</v>
      </c>
      <c r="B391">
        <v>22</v>
      </c>
      <c r="C391" s="1">
        <v>45781</v>
      </c>
      <c r="D391">
        <v>2025</v>
      </c>
      <c r="E391" t="s">
        <v>198</v>
      </c>
      <c r="F391" t="s">
        <v>199</v>
      </c>
      <c r="G391" t="s">
        <v>191</v>
      </c>
      <c r="H391" t="s">
        <v>195</v>
      </c>
      <c r="I391">
        <v>18</v>
      </c>
      <c r="J391">
        <v>4989.3</v>
      </c>
      <c r="K391">
        <v>1</v>
      </c>
      <c r="L391" t="s">
        <v>201</v>
      </c>
      <c r="M391">
        <v>0</v>
      </c>
    </row>
    <row r="392" spans="1:13" x14ac:dyDescent="0.3">
      <c r="A392" t="s">
        <v>601</v>
      </c>
      <c r="B392">
        <v>22</v>
      </c>
      <c r="C392" s="1">
        <v>45680</v>
      </c>
      <c r="D392">
        <v>2025</v>
      </c>
      <c r="E392" t="s">
        <v>225</v>
      </c>
      <c r="F392" t="s">
        <v>199</v>
      </c>
      <c r="G392" t="s">
        <v>212</v>
      </c>
      <c r="H392" t="s">
        <v>192</v>
      </c>
      <c r="I392">
        <v>10</v>
      </c>
      <c r="J392">
        <v>6235.15</v>
      </c>
      <c r="K392">
        <v>1</v>
      </c>
      <c r="L392" t="s">
        <v>196</v>
      </c>
      <c r="M392">
        <v>1</v>
      </c>
    </row>
    <row r="393" spans="1:13" x14ac:dyDescent="0.3">
      <c r="A393" t="s">
        <v>602</v>
      </c>
      <c r="B393">
        <v>23</v>
      </c>
      <c r="C393" s="1">
        <v>44205</v>
      </c>
      <c r="D393">
        <v>2021</v>
      </c>
      <c r="E393" t="s">
        <v>190</v>
      </c>
      <c r="F393" t="s">
        <v>13</v>
      </c>
      <c r="G393" t="s">
        <v>203</v>
      </c>
      <c r="H393" t="s">
        <v>204</v>
      </c>
      <c r="I393">
        <v>10</v>
      </c>
      <c r="J393">
        <v>1294.02</v>
      </c>
      <c r="K393">
        <v>0</v>
      </c>
      <c r="L393" t="s">
        <v>193</v>
      </c>
      <c r="M393">
        <v>0</v>
      </c>
    </row>
    <row r="394" spans="1:13" x14ac:dyDescent="0.3">
      <c r="A394" t="s">
        <v>603</v>
      </c>
      <c r="B394">
        <v>23</v>
      </c>
      <c r="C394" s="1">
        <v>44516</v>
      </c>
      <c r="D394">
        <v>2021</v>
      </c>
      <c r="E394" t="s">
        <v>287</v>
      </c>
      <c r="F394" t="s">
        <v>12</v>
      </c>
      <c r="G394" t="s">
        <v>191</v>
      </c>
      <c r="H394" t="s">
        <v>195</v>
      </c>
      <c r="I394">
        <v>2</v>
      </c>
      <c r="J394">
        <v>358.54</v>
      </c>
      <c r="K394">
        <v>0</v>
      </c>
      <c r="L394" t="s">
        <v>210</v>
      </c>
      <c r="M394">
        <v>0</v>
      </c>
    </row>
    <row r="395" spans="1:13" x14ac:dyDescent="0.3">
      <c r="A395" t="s">
        <v>604</v>
      </c>
      <c r="B395">
        <v>23</v>
      </c>
      <c r="C395" s="1">
        <v>44786</v>
      </c>
      <c r="D395">
        <v>2022</v>
      </c>
      <c r="E395" t="s">
        <v>214</v>
      </c>
      <c r="F395" t="s">
        <v>199</v>
      </c>
      <c r="G395" t="s">
        <v>203</v>
      </c>
      <c r="H395" t="s">
        <v>195</v>
      </c>
      <c r="I395">
        <v>8</v>
      </c>
      <c r="J395">
        <v>7200.53</v>
      </c>
      <c r="K395">
        <v>1</v>
      </c>
      <c r="L395" t="s">
        <v>196</v>
      </c>
      <c r="M395">
        <v>0</v>
      </c>
    </row>
    <row r="396" spans="1:13" x14ac:dyDescent="0.3">
      <c r="A396" t="s">
        <v>605</v>
      </c>
      <c r="B396">
        <v>23</v>
      </c>
      <c r="C396" s="1">
        <v>44639</v>
      </c>
      <c r="D396">
        <v>2022</v>
      </c>
      <c r="E396" t="s">
        <v>190</v>
      </c>
      <c r="F396" t="s">
        <v>199</v>
      </c>
      <c r="G396" t="s">
        <v>203</v>
      </c>
      <c r="H396" t="s">
        <v>195</v>
      </c>
      <c r="I396">
        <v>17</v>
      </c>
      <c r="J396">
        <v>6334.22</v>
      </c>
      <c r="K396">
        <v>0</v>
      </c>
      <c r="L396" t="s">
        <v>193</v>
      </c>
      <c r="M396">
        <v>0</v>
      </c>
    </row>
    <row r="397" spans="1:13" x14ac:dyDescent="0.3">
      <c r="A397" t="s">
        <v>606</v>
      </c>
      <c r="B397">
        <v>23</v>
      </c>
      <c r="C397" s="1">
        <v>44570</v>
      </c>
      <c r="D397">
        <v>2022</v>
      </c>
      <c r="E397" t="s">
        <v>190</v>
      </c>
      <c r="F397" t="s">
        <v>13</v>
      </c>
      <c r="G397" t="s">
        <v>203</v>
      </c>
      <c r="H397" t="s">
        <v>195</v>
      </c>
      <c r="I397">
        <v>3</v>
      </c>
      <c r="J397">
        <v>1870.86</v>
      </c>
      <c r="K397">
        <v>0</v>
      </c>
      <c r="L397" t="s">
        <v>201</v>
      </c>
      <c r="M397">
        <v>0</v>
      </c>
    </row>
    <row r="398" spans="1:13" x14ac:dyDescent="0.3">
      <c r="A398" t="s">
        <v>607</v>
      </c>
      <c r="B398">
        <v>23</v>
      </c>
      <c r="C398" s="1">
        <v>45032</v>
      </c>
      <c r="D398">
        <v>2023</v>
      </c>
      <c r="E398" t="s">
        <v>214</v>
      </c>
      <c r="F398" t="s">
        <v>209</v>
      </c>
      <c r="G398" t="s">
        <v>212</v>
      </c>
      <c r="H398" t="s">
        <v>192</v>
      </c>
      <c r="I398">
        <v>2</v>
      </c>
      <c r="J398">
        <v>543.25</v>
      </c>
      <c r="K398">
        <v>0</v>
      </c>
      <c r="L398" t="s">
        <v>210</v>
      </c>
      <c r="M398">
        <v>1</v>
      </c>
    </row>
    <row r="399" spans="1:13" x14ac:dyDescent="0.3">
      <c r="A399" t="s">
        <v>608</v>
      </c>
      <c r="B399">
        <v>23</v>
      </c>
      <c r="C399" s="1">
        <v>45393</v>
      </c>
      <c r="D399">
        <v>2024</v>
      </c>
      <c r="E399" t="s">
        <v>198</v>
      </c>
      <c r="F399" t="s">
        <v>199</v>
      </c>
      <c r="G399" t="s">
        <v>191</v>
      </c>
      <c r="H399" t="s">
        <v>195</v>
      </c>
      <c r="I399">
        <v>3</v>
      </c>
      <c r="J399">
        <v>3138.49</v>
      </c>
      <c r="K399">
        <v>1</v>
      </c>
      <c r="L399" t="s">
        <v>196</v>
      </c>
      <c r="M399">
        <v>1</v>
      </c>
    </row>
    <row r="400" spans="1:13" x14ac:dyDescent="0.3">
      <c r="A400" t="s">
        <v>609</v>
      </c>
      <c r="B400">
        <v>23</v>
      </c>
      <c r="C400" s="1">
        <v>45931</v>
      </c>
      <c r="D400">
        <v>2025</v>
      </c>
      <c r="E400" t="s">
        <v>219</v>
      </c>
      <c r="F400" t="s">
        <v>12</v>
      </c>
      <c r="G400" t="s">
        <v>212</v>
      </c>
      <c r="H400" t="s">
        <v>204</v>
      </c>
      <c r="I400">
        <v>10</v>
      </c>
      <c r="J400">
        <v>906.47</v>
      </c>
      <c r="K400">
        <v>0</v>
      </c>
      <c r="L400" t="s">
        <v>215</v>
      </c>
      <c r="M400">
        <v>1</v>
      </c>
    </row>
    <row r="401" spans="1:13" x14ac:dyDescent="0.3">
      <c r="A401" t="s">
        <v>610</v>
      </c>
      <c r="B401">
        <v>23</v>
      </c>
      <c r="C401" s="1">
        <v>45702</v>
      </c>
      <c r="D401">
        <v>2025</v>
      </c>
      <c r="E401" t="s">
        <v>219</v>
      </c>
      <c r="F401" t="s">
        <v>209</v>
      </c>
      <c r="G401" t="s">
        <v>212</v>
      </c>
      <c r="H401" t="s">
        <v>195</v>
      </c>
      <c r="I401">
        <v>14</v>
      </c>
      <c r="J401">
        <v>39.11</v>
      </c>
      <c r="K401">
        <v>0</v>
      </c>
      <c r="L401" t="s">
        <v>215</v>
      </c>
      <c r="M401">
        <v>1</v>
      </c>
    </row>
    <row r="402" spans="1:13" x14ac:dyDescent="0.3">
      <c r="A402" t="s">
        <v>611</v>
      </c>
      <c r="B402">
        <v>23</v>
      </c>
      <c r="C402" s="1">
        <v>45824</v>
      </c>
      <c r="D402">
        <v>2025</v>
      </c>
      <c r="E402" t="s">
        <v>225</v>
      </c>
      <c r="F402" t="s">
        <v>13</v>
      </c>
      <c r="G402" t="s">
        <v>191</v>
      </c>
      <c r="H402" t="s">
        <v>195</v>
      </c>
      <c r="I402">
        <v>9</v>
      </c>
      <c r="J402">
        <v>1363.03</v>
      </c>
      <c r="K402">
        <v>0</v>
      </c>
      <c r="L402" t="s">
        <v>196</v>
      </c>
      <c r="M402">
        <v>0</v>
      </c>
    </row>
    <row r="403" spans="1:13" x14ac:dyDescent="0.3">
      <c r="A403" t="s">
        <v>612</v>
      </c>
      <c r="B403">
        <v>24</v>
      </c>
      <c r="C403" s="1">
        <v>44518</v>
      </c>
      <c r="D403">
        <v>2021</v>
      </c>
      <c r="E403" t="s">
        <v>214</v>
      </c>
      <c r="F403" t="s">
        <v>209</v>
      </c>
      <c r="G403" t="s">
        <v>203</v>
      </c>
      <c r="H403" t="s">
        <v>195</v>
      </c>
      <c r="I403">
        <v>3</v>
      </c>
      <c r="J403">
        <v>335.8</v>
      </c>
      <c r="K403">
        <v>0</v>
      </c>
      <c r="L403" t="s">
        <v>215</v>
      </c>
      <c r="M403">
        <v>0</v>
      </c>
    </row>
    <row r="404" spans="1:13" x14ac:dyDescent="0.3">
      <c r="A404" t="s">
        <v>613</v>
      </c>
      <c r="B404">
        <v>24</v>
      </c>
      <c r="C404" s="1">
        <v>44543</v>
      </c>
      <c r="D404">
        <v>2021</v>
      </c>
      <c r="E404" t="s">
        <v>198</v>
      </c>
      <c r="F404" t="s">
        <v>209</v>
      </c>
      <c r="G404" t="s">
        <v>203</v>
      </c>
      <c r="H404" t="s">
        <v>195</v>
      </c>
      <c r="I404">
        <v>15</v>
      </c>
      <c r="J404">
        <v>351.34</v>
      </c>
      <c r="K404">
        <v>1</v>
      </c>
      <c r="L404" t="s">
        <v>210</v>
      </c>
      <c r="M404">
        <v>0</v>
      </c>
    </row>
    <row r="405" spans="1:13" x14ac:dyDescent="0.3">
      <c r="A405" t="s">
        <v>614</v>
      </c>
      <c r="B405">
        <v>24</v>
      </c>
      <c r="C405" s="1">
        <v>44314</v>
      </c>
      <c r="D405">
        <v>2021</v>
      </c>
      <c r="E405" t="s">
        <v>214</v>
      </c>
      <c r="F405" t="s">
        <v>13</v>
      </c>
      <c r="G405" t="s">
        <v>203</v>
      </c>
      <c r="H405" t="s">
        <v>204</v>
      </c>
      <c r="I405">
        <v>15</v>
      </c>
      <c r="J405">
        <v>2659.1</v>
      </c>
      <c r="K405">
        <v>0</v>
      </c>
      <c r="L405" t="s">
        <v>201</v>
      </c>
      <c r="M405">
        <v>0</v>
      </c>
    </row>
    <row r="406" spans="1:13" x14ac:dyDescent="0.3">
      <c r="A406" t="s">
        <v>615</v>
      </c>
      <c r="B406">
        <v>24</v>
      </c>
      <c r="C406" s="1">
        <v>44505</v>
      </c>
      <c r="D406">
        <v>2021</v>
      </c>
      <c r="E406" t="s">
        <v>214</v>
      </c>
      <c r="F406" t="s">
        <v>13</v>
      </c>
      <c r="G406" t="s">
        <v>191</v>
      </c>
      <c r="H406" t="s">
        <v>204</v>
      </c>
      <c r="I406">
        <v>8</v>
      </c>
      <c r="J406">
        <v>1494.2</v>
      </c>
      <c r="K406">
        <v>0</v>
      </c>
      <c r="L406" t="s">
        <v>215</v>
      </c>
      <c r="M406">
        <v>0</v>
      </c>
    </row>
    <row r="407" spans="1:13" x14ac:dyDescent="0.3">
      <c r="A407" t="s">
        <v>616</v>
      </c>
      <c r="B407">
        <v>24</v>
      </c>
      <c r="C407" s="1">
        <v>44313</v>
      </c>
      <c r="D407">
        <v>2021</v>
      </c>
      <c r="E407" t="s">
        <v>198</v>
      </c>
      <c r="F407" t="s">
        <v>199</v>
      </c>
      <c r="G407" t="s">
        <v>191</v>
      </c>
      <c r="H407" t="s">
        <v>192</v>
      </c>
      <c r="I407">
        <v>7</v>
      </c>
      <c r="J407">
        <v>6194.11</v>
      </c>
      <c r="K407">
        <v>1</v>
      </c>
      <c r="L407" t="s">
        <v>201</v>
      </c>
      <c r="M407">
        <v>0</v>
      </c>
    </row>
    <row r="408" spans="1:13" x14ac:dyDescent="0.3">
      <c r="A408" t="s">
        <v>617</v>
      </c>
      <c r="B408">
        <v>24</v>
      </c>
      <c r="C408" s="1">
        <v>44310</v>
      </c>
      <c r="D408">
        <v>2021</v>
      </c>
      <c r="E408" t="s">
        <v>214</v>
      </c>
      <c r="F408" t="s">
        <v>199</v>
      </c>
      <c r="G408" t="s">
        <v>203</v>
      </c>
      <c r="H408" t="s">
        <v>195</v>
      </c>
      <c r="I408">
        <v>9</v>
      </c>
      <c r="J408">
        <v>5994.39</v>
      </c>
      <c r="K408">
        <v>0</v>
      </c>
      <c r="L408" t="s">
        <v>196</v>
      </c>
      <c r="M408">
        <v>0</v>
      </c>
    </row>
    <row r="409" spans="1:13" x14ac:dyDescent="0.3">
      <c r="A409" t="s">
        <v>618</v>
      </c>
      <c r="B409">
        <v>24</v>
      </c>
      <c r="C409" s="1">
        <v>44762</v>
      </c>
      <c r="D409">
        <v>2022</v>
      </c>
      <c r="E409" t="s">
        <v>227</v>
      </c>
      <c r="F409" t="s">
        <v>209</v>
      </c>
      <c r="G409" t="s">
        <v>200</v>
      </c>
      <c r="H409" t="s">
        <v>204</v>
      </c>
      <c r="I409">
        <v>5</v>
      </c>
      <c r="J409">
        <v>87.34</v>
      </c>
      <c r="K409">
        <v>0</v>
      </c>
      <c r="L409" t="s">
        <v>210</v>
      </c>
      <c r="M409">
        <v>0</v>
      </c>
    </row>
    <row r="410" spans="1:13" x14ac:dyDescent="0.3">
      <c r="A410" t="s">
        <v>619</v>
      </c>
      <c r="B410">
        <v>24</v>
      </c>
      <c r="C410" s="1">
        <v>45256</v>
      </c>
      <c r="D410">
        <v>2023</v>
      </c>
      <c r="E410" t="s">
        <v>225</v>
      </c>
      <c r="F410" t="s">
        <v>13</v>
      </c>
      <c r="G410" t="s">
        <v>191</v>
      </c>
      <c r="H410" t="s">
        <v>206</v>
      </c>
      <c r="I410">
        <v>11</v>
      </c>
      <c r="J410">
        <v>2409.7399999999998</v>
      </c>
      <c r="K410">
        <v>0</v>
      </c>
      <c r="L410" t="s">
        <v>196</v>
      </c>
      <c r="M410">
        <v>1</v>
      </c>
    </row>
    <row r="411" spans="1:13" x14ac:dyDescent="0.3">
      <c r="A411" t="s">
        <v>620</v>
      </c>
      <c r="B411">
        <v>24</v>
      </c>
      <c r="C411" s="1">
        <v>45222</v>
      </c>
      <c r="D411">
        <v>2023</v>
      </c>
      <c r="E411" t="s">
        <v>190</v>
      </c>
      <c r="F411" t="s">
        <v>12</v>
      </c>
      <c r="G411" t="s">
        <v>200</v>
      </c>
      <c r="H411" t="s">
        <v>192</v>
      </c>
      <c r="I411">
        <v>8</v>
      </c>
      <c r="J411">
        <v>1114.28</v>
      </c>
      <c r="K411">
        <v>0</v>
      </c>
      <c r="L411" t="s">
        <v>215</v>
      </c>
      <c r="M411">
        <v>0</v>
      </c>
    </row>
    <row r="412" spans="1:13" x14ac:dyDescent="0.3">
      <c r="A412" t="s">
        <v>621</v>
      </c>
      <c r="B412">
        <v>24</v>
      </c>
      <c r="C412" s="1">
        <v>45433</v>
      </c>
      <c r="D412">
        <v>2024</v>
      </c>
      <c r="E412" t="s">
        <v>214</v>
      </c>
      <c r="F412" t="s">
        <v>209</v>
      </c>
      <c r="G412" t="s">
        <v>212</v>
      </c>
      <c r="H412" t="s">
        <v>192</v>
      </c>
      <c r="I412">
        <v>12</v>
      </c>
      <c r="J412">
        <v>187.83</v>
      </c>
      <c r="K412">
        <v>0</v>
      </c>
      <c r="L412" t="s">
        <v>201</v>
      </c>
      <c r="M412">
        <v>1</v>
      </c>
    </row>
    <row r="413" spans="1:13" x14ac:dyDescent="0.3">
      <c r="A413" t="s">
        <v>622</v>
      </c>
      <c r="B413">
        <v>24</v>
      </c>
      <c r="C413" s="1">
        <v>45759</v>
      </c>
      <c r="D413">
        <v>2025</v>
      </c>
      <c r="E413" t="s">
        <v>214</v>
      </c>
      <c r="F413" t="s">
        <v>12</v>
      </c>
      <c r="G413" t="s">
        <v>203</v>
      </c>
      <c r="H413" t="s">
        <v>195</v>
      </c>
      <c r="I413">
        <v>9</v>
      </c>
      <c r="J413">
        <v>1087.1099999999999</v>
      </c>
      <c r="K413">
        <v>0</v>
      </c>
      <c r="L413" t="s">
        <v>193</v>
      </c>
      <c r="M413">
        <v>1</v>
      </c>
    </row>
    <row r="414" spans="1:13" x14ac:dyDescent="0.3">
      <c r="A414" t="s">
        <v>623</v>
      </c>
      <c r="B414">
        <v>24</v>
      </c>
      <c r="C414" s="1">
        <v>46001</v>
      </c>
      <c r="D414">
        <v>2025</v>
      </c>
      <c r="E414" t="s">
        <v>198</v>
      </c>
      <c r="F414" t="s">
        <v>12</v>
      </c>
      <c r="G414" t="s">
        <v>212</v>
      </c>
      <c r="H414" t="s">
        <v>204</v>
      </c>
      <c r="I414">
        <v>2</v>
      </c>
      <c r="J414">
        <v>828.36</v>
      </c>
      <c r="K414">
        <v>1</v>
      </c>
      <c r="L414" t="s">
        <v>215</v>
      </c>
      <c r="M414">
        <v>1</v>
      </c>
    </row>
    <row r="415" spans="1:13" x14ac:dyDescent="0.3">
      <c r="A415" t="s">
        <v>624</v>
      </c>
      <c r="B415">
        <v>24</v>
      </c>
      <c r="C415" s="1">
        <v>46001</v>
      </c>
      <c r="D415">
        <v>2025</v>
      </c>
      <c r="E415" t="s">
        <v>214</v>
      </c>
      <c r="F415" t="s">
        <v>13</v>
      </c>
      <c r="G415" t="s">
        <v>200</v>
      </c>
      <c r="H415" t="s">
        <v>195</v>
      </c>
      <c r="I415">
        <v>7</v>
      </c>
      <c r="J415">
        <v>2490.87</v>
      </c>
      <c r="K415">
        <v>0</v>
      </c>
      <c r="L415" t="s">
        <v>193</v>
      </c>
      <c r="M415">
        <v>0</v>
      </c>
    </row>
    <row r="416" spans="1:13" x14ac:dyDescent="0.3">
      <c r="A416" t="s">
        <v>625</v>
      </c>
      <c r="B416">
        <v>25</v>
      </c>
      <c r="C416" s="1">
        <v>44426</v>
      </c>
      <c r="D416">
        <v>2021</v>
      </c>
      <c r="E416" t="s">
        <v>225</v>
      </c>
      <c r="F416" t="s">
        <v>209</v>
      </c>
      <c r="G416" t="s">
        <v>200</v>
      </c>
      <c r="H416" t="s">
        <v>204</v>
      </c>
      <c r="I416">
        <v>5</v>
      </c>
      <c r="J416">
        <v>225.94</v>
      </c>
      <c r="K416">
        <v>0</v>
      </c>
      <c r="L416" t="s">
        <v>215</v>
      </c>
      <c r="M416">
        <v>0</v>
      </c>
    </row>
    <row r="417" spans="1:13" x14ac:dyDescent="0.3">
      <c r="A417" t="s">
        <v>626</v>
      </c>
      <c r="B417">
        <v>25</v>
      </c>
      <c r="C417" s="1">
        <v>44332</v>
      </c>
      <c r="D417">
        <v>2021</v>
      </c>
      <c r="E417" t="s">
        <v>219</v>
      </c>
      <c r="F417" t="s">
        <v>199</v>
      </c>
      <c r="G417" t="s">
        <v>212</v>
      </c>
      <c r="H417" t="s">
        <v>195</v>
      </c>
      <c r="I417">
        <v>1</v>
      </c>
      <c r="J417">
        <v>5621</v>
      </c>
      <c r="K417">
        <v>0</v>
      </c>
      <c r="L417" t="s">
        <v>193</v>
      </c>
      <c r="M417">
        <v>1</v>
      </c>
    </row>
    <row r="418" spans="1:13" x14ac:dyDescent="0.3">
      <c r="A418" t="s">
        <v>627</v>
      </c>
      <c r="B418">
        <v>25</v>
      </c>
      <c r="C418" s="1">
        <v>44398</v>
      </c>
      <c r="D418">
        <v>2021</v>
      </c>
      <c r="E418" t="s">
        <v>287</v>
      </c>
      <c r="F418" t="s">
        <v>12</v>
      </c>
      <c r="G418" t="s">
        <v>212</v>
      </c>
      <c r="H418" t="s">
        <v>195</v>
      </c>
      <c r="I418">
        <v>4</v>
      </c>
      <c r="J418">
        <v>399.31</v>
      </c>
      <c r="K418">
        <v>0</v>
      </c>
      <c r="L418" t="s">
        <v>201</v>
      </c>
      <c r="M418">
        <v>1</v>
      </c>
    </row>
    <row r="419" spans="1:13" x14ac:dyDescent="0.3">
      <c r="A419" t="s">
        <v>628</v>
      </c>
      <c r="B419">
        <v>25</v>
      </c>
      <c r="C419" s="1">
        <v>44589</v>
      </c>
      <c r="D419">
        <v>2022</v>
      </c>
      <c r="E419" t="s">
        <v>214</v>
      </c>
      <c r="F419" t="s">
        <v>209</v>
      </c>
      <c r="G419" t="s">
        <v>212</v>
      </c>
      <c r="H419" t="s">
        <v>192</v>
      </c>
      <c r="I419">
        <v>7</v>
      </c>
      <c r="J419">
        <v>57.53</v>
      </c>
      <c r="K419">
        <v>0</v>
      </c>
      <c r="L419" t="s">
        <v>215</v>
      </c>
      <c r="M419">
        <v>1</v>
      </c>
    </row>
    <row r="420" spans="1:13" x14ac:dyDescent="0.3">
      <c r="A420" t="s">
        <v>629</v>
      </c>
      <c r="B420">
        <v>25</v>
      </c>
      <c r="C420" s="1">
        <v>45249</v>
      </c>
      <c r="D420">
        <v>2023</v>
      </c>
      <c r="E420" t="s">
        <v>214</v>
      </c>
      <c r="F420" t="s">
        <v>209</v>
      </c>
      <c r="G420" t="s">
        <v>191</v>
      </c>
      <c r="H420" t="s">
        <v>195</v>
      </c>
      <c r="I420">
        <v>4</v>
      </c>
      <c r="J420">
        <v>170.51</v>
      </c>
      <c r="K420">
        <v>0</v>
      </c>
      <c r="L420" t="s">
        <v>210</v>
      </c>
      <c r="M420">
        <v>0</v>
      </c>
    </row>
    <row r="421" spans="1:13" x14ac:dyDescent="0.3">
      <c r="A421" t="s">
        <v>630</v>
      </c>
      <c r="B421">
        <v>25</v>
      </c>
      <c r="C421" s="1">
        <v>45547</v>
      </c>
      <c r="D421">
        <v>2024</v>
      </c>
      <c r="E421" t="s">
        <v>198</v>
      </c>
      <c r="F421" t="s">
        <v>199</v>
      </c>
      <c r="G421" t="s">
        <v>191</v>
      </c>
      <c r="H421" t="s">
        <v>206</v>
      </c>
      <c r="I421">
        <v>8</v>
      </c>
      <c r="J421">
        <v>7815.2</v>
      </c>
      <c r="K421">
        <v>1</v>
      </c>
      <c r="L421" t="s">
        <v>201</v>
      </c>
      <c r="M421">
        <v>0</v>
      </c>
    </row>
    <row r="422" spans="1:13" x14ac:dyDescent="0.3">
      <c r="A422" t="s">
        <v>631</v>
      </c>
      <c r="B422">
        <v>25</v>
      </c>
      <c r="C422" s="1">
        <v>45354</v>
      </c>
      <c r="D422">
        <v>2024</v>
      </c>
      <c r="E422" t="s">
        <v>219</v>
      </c>
      <c r="F422" t="s">
        <v>12</v>
      </c>
      <c r="G422" t="s">
        <v>191</v>
      </c>
      <c r="H422" t="s">
        <v>195</v>
      </c>
      <c r="I422">
        <v>6</v>
      </c>
      <c r="J422">
        <v>405.7</v>
      </c>
      <c r="K422">
        <v>0</v>
      </c>
      <c r="L422" t="s">
        <v>210</v>
      </c>
      <c r="M422">
        <v>0</v>
      </c>
    </row>
    <row r="423" spans="1:13" x14ac:dyDescent="0.3">
      <c r="A423" t="s">
        <v>632</v>
      </c>
      <c r="B423">
        <v>25</v>
      </c>
      <c r="C423" s="1">
        <v>45724</v>
      </c>
      <c r="D423">
        <v>2025</v>
      </c>
      <c r="E423" t="s">
        <v>198</v>
      </c>
      <c r="F423" t="s">
        <v>209</v>
      </c>
      <c r="G423" t="s">
        <v>212</v>
      </c>
      <c r="H423" t="s">
        <v>195</v>
      </c>
      <c r="I423">
        <v>5</v>
      </c>
      <c r="J423">
        <v>509.75</v>
      </c>
      <c r="K423">
        <v>1</v>
      </c>
      <c r="L423" t="s">
        <v>210</v>
      </c>
      <c r="M423">
        <v>1</v>
      </c>
    </row>
    <row r="424" spans="1:13" x14ac:dyDescent="0.3">
      <c r="A424" t="s">
        <v>633</v>
      </c>
      <c r="B424">
        <v>25</v>
      </c>
      <c r="C424" s="1">
        <v>45702</v>
      </c>
      <c r="D424">
        <v>2025</v>
      </c>
      <c r="E424" t="s">
        <v>225</v>
      </c>
      <c r="F424" t="s">
        <v>13</v>
      </c>
      <c r="G424" t="s">
        <v>212</v>
      </c>
      <c r="H424" t="s">
        <v>195</v>
      </c>
      <c r="I424">
        <v>16</v>
      </c>
      <c r="J424">
        <v>2623.79</v>
      </c>
      <c r="K424">
        <v>0</v>
      </c>
      <c r="L424" t="s">
        <v>201</v>
      </c>
      <c r="M424">
        <v>1</v>
      </c>
    </row>
    <row r="425" spans="1:13" x14ac:dyDescent="0.3">
      <c r="A425" t="s">
        <v>634</v>
      </c>
      <c r="B425">
        <v>25</v>
      </c>
      <c r="C425" s="1">
        <v>45883</v>
      </c>
      <c r="D425">
        <v>2025</v>
      </c>
      <c r="E425" t="s">
        <v>219</v>
      </c>
      <c r="F425" t="s">
        <v>12</v>
      </c>
      <c r="G425" t="s">
        <v>212</v>
      </c>
      <c r="H425" t="s">
        <v>195</v>
      </c>
      <c r="I425">
        <v>13</v>
      </c>
      <c r="J425">
        <v>1008.19</v>
      </c>
      <c r="K425">
        <v>0</v>
      </c>
      <c r="L425" t="s">
        <v>210</v>
      </c>
      <c r="M425">
        <v>1</v>
      </c>
    </row>
    <row r="426" spans="1:13" x14ac:dyDescent="0.3">
      <c r="A426" t="s">
        <v>635</v>
      </c>
      <c r="B426">
        <v>25</v>
      </c>
      <c r="C426" s="1">
        <v>45957</v>
      </c>
      <c r="D426">
        <v>2025</v>
      </c>
      <c r="E426" t="s">
        <v>225</v>
      </c>
      <c r="F426" t="s">
        <v>13</v>
      </c>
      <c r="G426" t="s">
        <v>203</v>
      </c>
      <c r="H426" t="s">
        <v>195</v>
      </c>
      <c r="I426">
        <v>5</v>
      </c>
      <c r="J426">
        <v>1746.3</v>
      </c>
      <c r="K426">
        <v>1</v>
      </c>
      <c r="L426" t="s">
        <v>193</v>
      </c>
      <c r="M426">
        <v>0</v>
      </c>
    </row>
    <row r="427" spans="1:13" x14ac:dyDescent="0.3">
      <c r="A427" t="s">
        <v>636</v>
      </c>
      <c r="B427">
        <v>26</v>
      </c>
      <c r="C427" s="1">
        <v>44218</v>
      </c>
      <c r="D427">
        <v>2021</v>
      </c>
      <c r="E427" t="s">
        <v>214</v>
      </c>
      <c r="F427" t="s">
        <v>13</v>
      </c>
      <c r="G427" t="s">
        <v>191</v>
      </c>
      <c r="H427" t="s">
        <v>195</v>
      </c>
      <c r="I427">
        <v>10</v>
      </c>
      <c r="J427">
        <v>2035.55</v>
      </c>
      <c r="K427">
        <v>0</v>
      </c>
      <c r="L427" t="s">
        <v>201</v>
      </c>
      <c r="M427">
        <v>1</v>
      </c>
    </row>
    <row r="428" spans="1:13" x14ac:dyDescent="0.3">
      <c r="A428" t="s">
        <v>637</v>
      </c>
      <c r="B428">
        <v>26</v>
      </c>
      <c r="C428" s="1">
        <v>44380</v>
      </c>
      <c r="D428">
        <v>2021</v>
      </c>
      <c r="E428" t="s">
        <v>214</v>
      </c>
      <c r="F428" t="s">
        <v>12</v>
      </c>
      <c r="G428" t="s">
        <v>203</v>
      </c>
      <c r="H428" t="s">
        <v>206</v>
      </c>
      <c r="I428">
        <v>10</v>
      </c>
      <c r="J428">
        <v>523.91999999999996</v>
      </c>
      <c r="K428">
        <v>0</v>
      </c>
      <c r="L428" t="s">
        <v>215</v>
      </c>
      <c r="M428">
        <v>0</v>
      </c>
    </row>
    <row r="429" spans="1:13" x14ac:dyDescent="0.3">
      <c r="A429" t="s">
        <v>638</v>
      </c>
      <c r="B429">
        <v>26</v>
      </c>
      <c r="C429" s="1">
        <v>44314</v>
      </c>
      <c r="D429">
        <v>2021</v>
      </c>
      <c r="E429" t="s">
        <v>198</v>
      </c>
      <c r="F429" t="s">
        <v>13</v>
      </c>
      <c r="G429" t="s">
        <v>200</v>
      </c>
      <c r="H429" t="s">
        <v>204</v>
      </c>
      <c r="I429">
        <v>2</v>
      </c>
      <c r="J429">
        <v>1277.1300000000001</v>
      </c>
      <c r="K429">
        <v>1</v>
      </c>
      <c r="L429" t="s">
        <v>210</v>
      </c>
      <c r="M429">
        <v>0</v>
      </c>
    </row>
    <row r="430" spans="1:13" x14ac:dyDescent="0.3">
      <c r="A430" t="s">
        <v>639</v>
      </c>
      <c r="B430">
        <v>26</v>
      </c>
      <c r="C430" s="1">
        <v>44331</v>
      </c>
      <c r="D430">
        <v>2021</v>
      </c>
      <c r="E430" t="s">
        <v>198</v>
      </c>
      <c r="F430" t="s">
        <v>13</v>
      </c>
      <c r="G430" t="s">
        <v>203</v>
      </c>
      <c r="H430" t="s">
        <v>195</v>
      </c>
      <c r="I430">
        <v>3</v>
      </c>
      <c r="J430">
        <v>2561.52</v>
      </c>
      <c r="K430">
        <v>1</v>
      </c>
      <c r="L430" t="s">
        <v>201</v>
      </c>
      <c r="M430">
        <v>0</v>
      </c>
    </row>
    <row r="431" spans="1:13" x14ac:dyDescent="0.3">
      <c r="A431" t="s">
        <v>640</v>
      </c>
      <c r="B431">
        <v>26</v>
      </c>
      <c r="C431" s="1">
        <v>44526</v>
      </c>
      <c r="D431">
        <v>2021</v>
      </c>
      <c r="E431" t="s">
        <v>190</v>
      </c>
      <c r="F431" t="s">
        <v>199</v>
      </c>
      <c r="G431" t="s">
        <v>203</v>
      </c>
      <c r="H431" t="s">
        <v>195</v>
      </c>
      <c r="I431">
        <v>16</v>
      </c>
      <c r="J431">
        <v>7422.07</v>
      </c>
      <c r="K431">
        <v>1</v>
      </c>
      <c r="L431" t="s">
        <v>196</v>
      </c>
      <c r="M431">
        <v>0</v>
      </c>
    </row>
    <row r="432" spans="1:13" x14ac:dyDescent="0.3">
      <c r="A432" t="s">
        <v>641</v>
      </c>
      <c r="B432">
        <v>26</v>
      </c>
      <c r="C432" s="1">
        <v>44533</v>
      </c>
      <c r="D432">
        <v>2021</v>
      </c>
      <c r="E432" t="s">
        <v>198</v>
      </c>
      <c r="F432" t="s">
        <v>12</v>
      </c>
      <c r="G432" t="s">
        <v>203</v>
      </c>
      <c r="H432" t="s">
        <v>204</v>
      </c>
      <c r="I432">
        <v>14</v>
      </c>
      <c r="J432">
        <v>828.17</v>
      </c>
      <c r="K432">
        <v>1</v>
      </c>
      <c r="L432" t="s">
        <v>215</v>
      </c>
      <c r="M432">
        <v>0</v>
      </c>
    </row>
    <row r="433" spans="1:13" x14ac:dyDescent="0.3">
      <c r="A433" t="s">
        <v>642</v>
      </c>
      <c r="B433">
        <v>26</v>
      </c>
      <c r="C433" s="1">
        <v>44677</v>
      </c>
      <c r="D433">
        <v>2022</v>
      </c>
      <c r="E433" t="s">
        <v>227</v>
      </c>
      <c r="F433" t="s">
        <v>199</v>
      </c>
      <c r="G433" t="s">
        <v>191</v>
      </c>
      <c r="H433" t="s">
        <v>206</v>
      </c>
      <c r="I433">
        <v>2</v>
      </c>
      <c r="J433">
        <v>2613.9499999999998</v>
      </c>
      <c r="K433">
        <v>0</v>
      </c>
      <c r="L433" t="s">
        <v>193</v>
      </c>
      <c r="M433">
        <v>0</v>
      </c>
    </row>
    <row r="434" spans="1:13" x14ac:dyDescent="0.3">
      <c r="A434" t="s">
        <v>643</v>
      </c>
      <c r="B434">
        <v>26</v>
      </c>
      <c r="C434" s="1">
        <v>44577</v>
      </c>
      <c r="D434">
        <v>2022</v>
      </c>
      <c r="E434" t="s">
        <v>214</v>
      </c>
      <c r="F434" t="s">
        <v>12</v>
      </c>
      <c r="G434" t="s">
        <v>191</v>
      </c>
      <c r="H434" t="s">
        <v>195</v>
      </c>
      <c r="I434">
        <v>5</v>
      </c>
      <c r="J434">
        <v>967.33</v>
      </c>
      <c r="K434">
        <v>0</v>
      </c>
      <c r="L434" t="s">
        <v>210</v>
      </c>
      <c r="M434">
        <v>0</v>
      </c>
    </row>
    <row r="435" spans="1:13" x14ac:dyDescent="0.3">
      <c r="A435" t="s">
        <v>644</v>
      </c>
      <c r="B435">
        <v>26</v>
      </c>
      <c r="C435" s="1">
        <v>44615</v>
      </c>
      <c r="D435">
        <v>2022</v>
      </c>
      <c r="E435" t="s">
        <v>214</v>
      </c>
      <c r="F435" t="s">
        <v>13</v>
      </c>
      <c r="G435" t="s">
        <v>191</v>
      </c>
      <c r="H435" t="s">
        <v>195</v>
      </c>
      <c r="I435">
        <v>9</v>
      </c>
      <c r="J435">
        <v>2132.2800000000002</v>
      </c>
      <c r="K435">
        <v>0</v>
      </c>
      <c r="L435" t="s">
        <v>215</v>
      </c>
      <c r="M435">
        <v>1</v>
      </c>
    </row>
    <row r="436" spans="1:13" x14ac:dyDescent="0.3">
      <c r="A436" t="s">
        <v>645</v>
      </c>
      <c r="B436">
        <v>26</v>
      </c>
      <c r="C436" s="1">
        <v>44890</v>
      </c>
      <c r="D436">
        <v>2022</v>
      </c>
      <c r="E436" t="s">
        <v>225</v>
      </c>
      <c r="F436" t="s">
        <v>13</v>
      </c>
      <c r="G436" t="s">
        <v>203</v>
      </c>
      <c r="H436" t="s">
        <v>192</v>
      </c>
      <c r="I436">
        <v>7</v>
      </c>
      <c r="J436">
        <v>3886.31</v>
      </c>
      <c r="K436">
        <v>0</v>
      </c>
      <c r="L436" t="s">
        <v>193</v>
      </c>
      <c r="M436">
        <v>0</v>
      </c>
    </row>
    <row r="437" spans="1:13" x14ac:dyDescent="0.3">
      <c r="A437" t="s">
        <v>646</v>
      </c>
      <c r="B437">
        <v>26</v>
      </c>
      <c r="C437" s="1">
        <v>45063</v>
      </c>
      <c r="D437">
        <v>2023</v>
      </c>
      <c r="E437" t="s">
        <v>287</v>
      </c>
      <c r="F437" t="s">
        <v>12</v>
      </c>
      <c r="G437" t="s">
        <v>191</v>
      </c>
      <c r="H437" t="s">
        <v>195</v>
      </c>
      <c r="I437">
        <v>19</v>
      </c>
      <c r="J437">
        <v>295.52</v>
      </c>
      <c r="K437">
        <v>0</v>
      </c>
      <c r="L437" t="s">
        <v>215</v>
      </c>
      <c r="M437">
        <v>1</v>
      </c>
    </row>
    <row r="438" spans="1:13" x14ac:dyDescent="0.3">
      <c r="A438" t="s">
        <v>647</v>
      </c>
      <c r="B438">
        <v>26</v>
      </c>
      <c r="C438" s="1">
        <v>44977</v>
      </c>
      <c r="D438">
        <v>2023</v>
      </c>
      <c r="E438" t="s">
        <v>198</v>
      </c>
      <c r="F438" t="s">
        <v>13</v>
      </c>
      <c r="G438" t="s">
        <v>203</v>
      </c>
      <c r="H438" t="s">
        <v>195</v>
      </c>
      <c r="I438">
        <v>13</v>
      </c>
      <c r="J438">
        <v>1048.1199999999999</v>
      </c>
      <c r="K438">
        <v>1</v>
      </c>
      <c r="L438" t="s">
        <v>201</v>
      </c>
      <c r="M438">
        <v>0</v>
      </c>
    </row>
    <row r="439" spans="1:13" x14ac:dyDescent="0.3">
      <c r="A439" t="s">
        <v>648</v>
      </c>
      <c r="B439">
        <v>26</v>
      </c>
      <c r="C439" s="1">
        <v>45225</v>
      </c>
      <c r="D439">
        <v>2023</v>
      </c>
      <c r="E439" t="s">
        <v>190</v>
      </c>
      <c r="F439" t="s">
        <v>12</v>
      </c>
      <c r="G439" t="s">
        <v>212</v>
      </c>
      <c r="H439" t="s">
        <v>192</v>
      </c>
      <c r="I439">
        <v>17</v>
      </c>
      <c r="J439">
        <v>427.89</v>
      </c>
      <c r="K439">
        <v>0</v>
      </c>
      <c r="L439" t="s">
        <v>201</v>
      </c>
      <c r="M439">
        <v>1</v>
      </c>
    </row>
    <row r="440" spans="1:13" x14ac:dyDescent="0.3">
      <c r="A440" t="s">
        <v>649</v>
      </c>
      <c r="B440">
        <v>26</v>
      </c>
      <c r="C440" s="1">
        <v>45062</v>
      </c>
      <c r="D440">
        <v>2023</v>
      </c>
      <c r="E440" t="s">
        <v>225</v>
      </c>
      <c r="F440" t="s">
        <v>13</v>
      </c>
      <c r="G440" t="s">
        <v>203</v>
      </c>
      <c r="H440" t="s">
        <v>192</v>
      </c>
      <c r="I440">
        <v>5</v>
      </c>
      <c r="J440">
        <v>1391.24</v>
      </c>
      <c r="K440">
        <v>0</v>
      </c>
      <c r="L440" t="s">
        <v>201</v>
      </c>
      <c r="M440">
        <v>0</v>
      </c>
    </row>
    <row r="441" spans="1:13" x14ac:dyDescent="0.3">
      <c r="A441" t="s">
        <v>650</v>
      </c>
      <c r="B441">
        <v>26</v>
      </c>
      <c r="C441" s="1">
        <v>45234</v>
      </c>
      <c r="D441">
        <v>2023</v>
      </c>
      <c r="E441" t="s">
        <v>214</v>
      </c>
      <c r="F441" t="s">
        <v>209</v>
      </c>
      <c r="G441" t="s">
        <v>212</v>
      </c>
      <c r="H441" t="s">
        <v>195</v>
      </c>
      <c r="I441">
        <v>12</v>
      </c>
      <c r="J441">
        <v>392.06</v>
      </c>
      <c r="K441">
        <v>0</v>
      </c>
      <c r="L441" t="s">
        <v>215</v>
      </c>
      <c r="M441">
        <v>1</v>
      </c>
    </row>
    <row r="442" spans="1:13" x14ac:dyDescent="0.3">
      <c r="A442" t="s">
        <v>651</v>
      </c>
      <c r="B442">
        <v>26</v>
      </c>
      <c r="C442" s="1">
        <v>45104</v>
      </c>
      <c r="D442">
        <v>2023</v>
      </c>
      <c r="E442" t="s">
        <v>219</v>
      </c>
      <c r="F442" t="s">
        <v>13</v>
      </c>
      <c r="G442" t="s">
        <v>191</v>
      </c>
      <c r="H442" t="s">
        <v>195</v>
      </c>
      <c r="I442">
        <v>5</v>
      </c>
      <c r="J442">
        <v>2438.38</v>
      </c>
      <c r="K442">
        <v>0</v>
      </c>
      <c r="L442" t="s">
        <v>196</v>
      </c>
      <c r="M442">
        <v>1</v>
      </c>
    </row>
    <row r="443" spans="1:13" x14ac:dyDescent="0.3">
      <c r="A443" t="s">
        <v>652</v>
      </c>
      <c r="B443">
        <v>26</v>
      </c>
      <c r="C443" s="1">
        <v>45295</v>
      </c>
      <c r="D443">
        <v>2024</v>
      </c>
      <c r="E443" t="s">
        <v>214</v>
      </c>
      <c r="F443" t="s">
        <v>13</v>
      </c>
      <c r="G443" t="s">
        <v>203</v>
      </c>
      <c r="H443" t="s">
        <v>206</v>
      </c>
      <c r="I443">
        <v>1</v>
      </c>
      <c r="J443">
        <v>1656.08</v>
      </c>
      <c r="K443">
        <v>0</v>
      </c>
      <c r="L443" t="s">
        <v>215</v>
      </c>
      <c r="M443">
        <v>0</v>
      </c>
    </row>
    <row r="444" spans="1:13" x14ac:dyDescent="0.3">
      <c r="A444" t="s">
        <v>653</v>
      </c>
      <c r="B444">
        <v>26</v>
      </c>
      <c r="C444" s="1">
        <v>45580</v>
      </c>
      <c r="D444">
        <v>2024</v>
      </c>
      <c r="E444" t="s">
        <v>225</v>
      </c>
      <c r="F444" t="s">
        <v>12</v>
      </c>
      <c r="G444" t="s">
        <v>212</v>
      </c>
      <c r="H444" t="s">
        <v>192</v>
      </c>
      <c r="I444">
        <v>15</v>
      </c>
      <c r="J444">
        <v>982.03</v>
      </c>
      <c r="K444">
        <v>0</v>
      </c>
      <c r="L444" t="s">
        <v>210</v>
      </c>
      <c r="M444">
        <v>1</v>
      </c>
    </row>
    <row r="445" spans="1:13" x14ac:dyDescent="0.3">
      <c r="A445" t="s">
        <v>654</v>
      </c>
      <c r="B445">
        <v>26</v>
      </c>
      <c r="C445" s="1">
        <v>45498</v>
      </c>
      <c r="D445">
        <v>2024</v>
      </c>
      <c r="E445" t="s">
        <v>219</v>
      </c>
      <c r="F445" t="s">
        <v>13</v>
      </c>
      <c r="G445" t="s">
        <v>212</v>
      </c>
      <c r="H445" t="s">
        <v>192</v>
      </c>
      <c r="I445">
        <v>4</v>
      </c>
      <c r="J445">
        <v>2517.84</v>
      </c>
      <c r="K445">
        <v>0</v>
      </c>
      <c r="L445" t="s">
        <v>196</v>
      </c>
      <c r="M445">
        <v>1</v>
      </c>
    </row>
    <row r="446" spans="1:13" x14ac:dyDescent="0.3">
      <c r="A446" t="s">
        <v>655</v>
      </c>
      <c r="B446">
        <v>26</v>
      </c>
      <c r="C446" s="1">
        <v>45484</v>
      </c>
      <c r="D446">
        <v>2024</v>
      </c>
      <c r="E446" t="s">
        <v>190</v>
      </c>
      <c r="F446" t="s">
        <v>12</v>
      </c>
      <c r="G446" t="s">
        <v>212</v>
      </c>
      <c r="H446" t="s">
        <v>192</v>
      </c>
      <c r="I446">
        <v>3</v>
      </c>
      <c r="J446">
        <v>427.76</v>
      </c>
      <c r="K446">
        <v>0</v>
      </c>
      <c r="L446" t="s">
        <v>215</v>
      </c>
      <c r="M446">
        <v>1</v>
      </c>
    </row>
    <row r="447" spans="1:13" x14ac:dyDescent="0.3">
      <c r="A447" t="s">
        <v>656</v>
      </c>
      <c r="B447">
        <v>26</v>
      </c>
      <c r="C447" s="1">
        <v>45790</v>
      </c>
      <c r="D447">
        <v>2025</v>
      </c>
      <c r="E447" t="s">
        <v>198</v>
      </c>
      <c r="F447" t="s">
        <v>13</v>
      </c>
      <c r="G447" t="s">
        <v>200</v>
      </c>
      <c r="H447" t="s">
        <v>192</v>
      </c>
      <c r="I447">
        <v>4</v>
      </c>
      <c r="J447">
        <v>2252.77</v>
      </c>
      <c r="K447">
        <v>1</v>
      </c>
      <c r="L447" t="s">
        <v>193</v>
      </c>
      <c r="M447">
        <v>0</v>
      </c>
    </row>
    <row r="448" spans="1:13" x14ac:dyDescent="0.3">
      <c r="A448" t="s">
        <v>657</v>
      </c>
      <c r="B448">
        <v>26</v>
      </c>
      <c r="C448" s="1">
        <v>45784</v>
      </c>
      <c r="D448">
        <v>2025</v>
      </c>
      <c r="E448" t="s">
        <v>198</v>
      </c>
      <c r="F448" t="s">
        <v>209</v>
      </c>
      <c r="G448" t="s">
        <v>212</v>
      </c>
      <c r="H448" t="s">
        <v>206</v>
      </c>
      <c r="I448">
        <v>18</v>
      </c>
      <c r="J448">
        <v>39.65</v>
      </c>
      <c r="K448">
        <v>1</v>
      </c>
      <c r="L448" t="s">
        <v>201</v>
      </c>
      <c r="M448">
        <v>1</v>
      </c>
    </row>
    <row r="449" spans="1:13" x14ac:dyDescent="0.3">
      <c r="A449" t="s">
        <v>658</v>
      </c>
      <c r="B449">
        <v>26</v>
      </c>
      <c r="C449" s="1">
        <v>45977</v>
      </c>
      <c r="D449">
        <v>2025</v>
      </c>
      <c r="E449" t="s">
        <v>198</v>
      </c>
      <c r="F449" t="s">
        <v>13</v>
      </c>
      <c r="G449" t="s">
        <v>191</v>
      </c>
      <c r="H449" t="s">
        <v>195</v>
      </c>
      <c r="I449">
        <v>9</v>
      </c>
      <c r="J449">
        <v>3183.77</v>
      </c>
      <c r="K449">
        <v>1</v>
      </c>
      <c r="L449" t="s">
        <v>201</v>
      </c>
      <c r="M449">
        <v>1</v>
      </c>
    </row>
    <row r="450" spans="1:13" x14ac:dyDescent="0.3">
      <c r="A450" t="s">
        <v>659</v>
      </c>
      <c r="B450">
        <v>26</v>
      </c>
      <c r="C450" s="1">
        <v>45948</v>
      </c>
      <c r="D450">
        <v>2025</v>
      </c>
      <c r="E450" t="s">
        <v>198</v>
      </c>
      <c r="F450" t="s">
        <v>13</v>
      </c>
      <c r="G450" t="s">
        <v>212</v>
      </c>
      <c r="H450" t="s">
        <v>204</v>
      </c>
      <c r="I450">
        <v>14</v>
      </c>
      <c r="J450">
        <v>1466.79</v>
      </c>
      <c r="K450">
        <v>1</v>
      </c>
      <c r="L450" t="s">
        <v>201</v>
      </c>
      <c r="M450">
        <v>1</v>
      </c>
    </row>
    <row r="451" spans="1:13" x14ac:dyDescent="0.3">
      <c r="A451" t="s">
        <v>660</v>
      </c>
      <c r="B451">
        <v>26</v>
      </c>
      <c r="C451" s="1">
        <v>45922</v>
      </c>
      <c r="D451">
        <v>2025</v>
      </c>
      <c r="E451" t="s">
        <v>198</v>
      </c>
      <c r="F451" t="s">
        <v>13</v>
      </c>
      <c r="G451" t="s">
        <v>191</v>
      </c>
      <c r="H451" t="s">
        <v>206</v>
      </c>
      <c r="I451">
        <v>7</v>
      </c>
      <c r="J451">
        <v>1066.68</v>
      </c>
      <c r="K451">
        <v>1</v>
      </c>
      <c r="L451" t="s">
        <v>201</v>
      </c>
      <c r="M451">
        <v>0</v>
      </c>
    </row>
    <row r="452" spans="1:13" x14ac:dyDescent="0.3">
      <c r="A452" t="s">
        <v>661</v>
      </c>
      <c r="B452">
        <v>26</v>
      </c>
      <c r="C452" s="1">
        <v>45893</v>
      </c>
      <c r="D452">
        <v>2025</v>
      </c>
      <c r="E452" t="s">
        <v>227</v>
      </c>
      <c r="F452" t="s">
        <v>13</v>
      </c>
      <c r="G452" t="s">
        <v>203</v>
      </c>
      <c r="H452" t="s">
        <v>192</v>
      </c>
      <c r="I452">
        <v>5</v>
      </c>
      <c r="J452">
        <v>2665.04</v>
      </c>
      <c r="K452">
        <v>0</v>
      </c>
      <c r="L452" t="s">
        <v>196</v>
      </c>
      <c r="M452">
        <v>1</v>
      </c>
    </row>
    <row r="453" spans="1:13" x14ac:dyDescent="0.3">
      <c r="A453" t="s">
        <v>662</v>
      </c>
      <c r="B453">
        <v>27</v>
      </c>
      <c r="C453" s="1">
        <v>44259</v>
      </c>
      <c r="D453">
        <v>2021</v>
      </c>
      <c r="E453" t="s">
        <v>219</v>
      </c>
      <c r="F453" t="s">
        <v>12</v>
      </c>
      <c r="G453" t="s">
        <v>212</v>
      </c>
      <c r="H453" t="s">
        <v>195</v>
      </c>
      <c r="I453">
        <v>4</v>
      </c>
      <c r="J453">
        <v>958.22</v>
      </c>
      <c r="K453">
        <v>0</v>
      </c>
      <c r="L453" t="s">
        <v>201</v>
      </c>
      <c r="M453">
        <v>1</v>
      </c>
    </row>
    <row r="454" spans="1:13" x14ac:dyDescent="0.3">
      <c r="A454" t="s">
        <v>663</v>
      </c>
      <c r="B454">
        <v>27</v>
      </c>
      <c r="C454" s="1">
        <v>44485</v>
      </c>
      <c r="D454">
        <v>2021</v>
      </c>
      <c r="E454" t="s">
        <v>190</v>
      </c>
      <c r="F454" t="s">
        <v>12</v>
      </c>
      <c r="G454" t="s">
        <v>212</v>
      </c>
      <c r="H454" t="s">
        <v>206</v>
      </c>
      <c r="I454">
        <v>6</v>
      </c>
      <c r="J454">
        <v>321.13</v>
      </c>
      <c r="K454">
        <v>0</v>
      </c>
      <c r="L454" t="s">
        <v>210</v>
      </c>
      <c r="M454">
        <v>1</v>
      </c>
    </row>
    <row r="455" spans="1:13" x14ac:dyDescent="0.3">
      <c r="A455" t="s">
        <v>664</v>
      </c>
      <c r="B455">
        <v>27</v>
      </c>
      <c r="C455" s="1">
        <v>44774</v>
      </c>
      <c r="D455">
        <v>2022</v>
      </c>
      <c r="E455" t="s">
        <v>225</v>
      </c>
      <c r="F455" t="s">
        <v>12</v>
      </c>
      <c r="G455" t="s">
        <v>203</v>
      </c>
      <c r="H455" t="s">
        <v>192</v>
      </c>
      <c r="I455">
        <v>6</v>
      </c>
      <c r="J455">
        <v>1497.25</v>
      </c>
      <c r="K455">
        <v>0</v>
      </c>
      <c r="L455" t="s">
        <v>201</v>
      </c>
      <c r="M455">
        <v>0</v>
      </c>
    </row>
    <row r="456" spans="1:13" x14ac:dyDescent="0.3">
      <c r="A456" t="s">
        <v>665</v>
      </c>
      <c r="B456">
        <v>27</v>
      </c>
      <c r="C456" s="1">
        <v>44770</v>
      </c>
      <c r="D456">
        <v>2022</v>
      </c>
      <c r="E456" t="s">
        <v>214</v>
      </c>
      <c r="F456" t="s">
        <v>209</v>
      </c>
      <c r="G456" t="s">
        <v>212</v>
      </c>
      <c r="H456" t="s">
        <v>204</v>
      </c>
      <c r="I456">
        <v>12</v>
      </c>
      <c r="J456">
        <v>358.79</v>
      </c>
      <c r="K456">
        <v>0</v>
      </c>
      <c r="L456" t="s">
        <v>215</v>
      </c>
      <c r="M456">
        <v>1</v>
      </c>
    </row>
    <row r="457" spans="1:13" x14ac:dyDescent="0.3">
      <c r="A457" t="s">
        <v>666</v>
      </c>
      <c r="B457">
        <v>27</v>
      </c>
      <c r="C457" s="1">
        <v>44960</v>
      </c>
      <c r="D457">
        <v>2023</v>
      </c>
      <c r="E457" t="s">
        <v>190</v>
      </c>
      <c r="F457" t="s">
        <v>209</v>
      </c>
      <c r="G457" t="s">
        <v>212</v>
      </c>
      <c r="H457" t="s">
        <v>192</v>
      </c>
      <c r="I457">
        <v>16</v>
      </c>
      <c r="J457">
        <v>55.39</v>
      </c>
      <c r="K457">
        <v>0</v>
      </c>
      <c r="L457" t="s">
        <v>201</v>
      </c>
      <c r="M457">
        <v>1</v>
      </c>
    </row>
    <row r="458" spans="1:13" x14ac:dyDescent="0.3">
      <c r="A458" t="s">
        <v>667</v>
      </c>
      <c r="B458">
        <v>27</v>
      </c>
      <c r="C458" s="1">
        <v>45235</v>
      </c>
      <c r="D458">
        <v>2023</v>
      </c>
      <c r="E458" t="s">
        <v>287</v>
      </c>
      <c r="F458" t="s">
        <v>209</v>
      </c>
      <c r="G458" t="s">
        <v>203</v>
      </c>
      <c r="H458" t="s">
        <v>195</v>
      </c>
      <c r="I458">
        <v>14</v>
      </c>
      <c r="J458">
        <v>590.22</v>
      </c>
      <c r="K458">
        <v>0</v>
      </c>
      <c r="L458" t="s">
        <v>215</v>
      </c>
      <c r="M458">
        <v>1</v>
      </c>
    </row>
    <row r="459" spans="1:13" x14ac:dyDescent="0.3">
      <c r="A459" t="s">
        <v>668</v>
      </c>
      <c r="B459">
        <v>27</v>
      </c>
      <c r="C459" s="1">
        <v>45099</v>
      </c>
      <c r="D459">
        <v>2023</v>
      </c>
      <c r="E459" t="s">
        <v>219</v>
      </c>
      <c r="F459" t="s">
        <v>209</v>
      </c>
      <c r="G459" t="s">
        <v>212</v>
      </c>
      <c r="H459" t="s">
        <v>206</v>
      </c>
      <c r="I459">
        <v>19</v>
      </c>
      <c r="J459">
        <v>23.37</v>
      </c>
      <c r="K459">
        <v>0</v>
      </c>
      <c r="L459" t="s">
        <v>215</v>
      </c>
      <c r="M459">
        <v>1</v>
      </c>
    </row>
    <row r="460" spans="1:13" x14ac:dyDescent="0.3">
      <c r="A460" t="s">
        <v>669</v>
      </c>
      <c r="B460">
        <v>27</v>
      </c>
      <c r="C460" s="1">
        <v>45408</v>
      </c>
      <c r="D460">
        <v>2024</v>
      </c>
      <c r="E460" t="s">
        <v>198</v>
      </c>
      <c r="F460" t="s">
        <v>12</v>
      </c>
      <c r="G460" t="s">
        <v>200</v>
      </c>
      <c r="H460" t="s">
        <v>206</v>
      </c>
      <c r="I460">
        <v>16</v>
      </c>
      <c r="J460">
        <v>1019.29</v>
      </c>
      <c r="K460">
        <v>1</v>
      </c>
      <c r="L460" t="s">
        <v>193</v>
      </c>
      <c r="M460">
        <v>0</v>
      </c>
    </row>
    <row r="461" spans="1:13" x14ac:dyDescent="0.3">
      <c r="A461" t="s">
        <v>670</v>
      </c>
      <c r="B461">
        <v>27</v>
      </c>
      <c r="C461" s="1">
        <v>45337</v>
      </c>
      <c r="D461">
        <v>2024</v>
      </c>
      <c r="E461" t="s">
        <v>214</v>
      </c>
      <c r="F461" t="s">
        <v>13</v>
      </c>
      <c r="G461" t="s">
        <v>200</v>
      </c>
      <c r="H461" t="s">
        <v>195</v>
      </c>
      <c r="I461">
        <v>16</v>
      </c>
      <c r="J461">
        <v>3067.1</v>
      </c>
      <c r="K461">
        <v>0</v>
      </c>
      <c r="L461" t="s">
        <v>193</v>
      </c>
      <c r="M461">
        <v>0</v>
      </c>
    </row>
    <row r="462" spans="1:13" x14ac:dyDescent="0.3">
      <c r="A462" t="s">
        <v>671</v>
      </c>
      <c r="B462">
        <v>27</v>
      </c>
      <c r="C462" s="1">
        <v>45642</v>
      </c>
      <c r="D462">
        <v>2024</v>
      </c>
      <c r="E462" t="s">
        <v>225</v>
      </c>
      <c r="F462" t="s">
        <v>13</v>
      </c>
      <c r="G462" t="s">
        <v>191</v>
      </c>
      <c r="H462" t="s">
        <v>195</v>
      </c>
      <c r="I462">
        <v>19</v>
      </c>
      <c r="J462">
        <v>3420.9</v>
      </c>
      <c r="K462">
        <v>1</v>
      </c>
      <c r="L462" t="s">
        <v>193</v>
      </c>
      <c r="M462">
        <v>0</v>
      </c>
    </row>
    <row r="463" spans="1:13" x14ac:dyDescent="0.3">
      <c r="A463" t="s">
        <v>672</v>
      </c>
      <c r="B463">
        <v>27</v>
      </c>
      <c r="C463" s="1">
        <v>45755</v>
      </c>
      <c r="D463">
        <v>2025</v>
      </c>
      <c r="E463" t="s">
        <v>219</v>
      </c>
      <c r="F463" t="s">
        <v>12</v>
      </c>
      <c r="G463" t="s">
        <v>200</v>
      </c>
      <c r="H463" t="s">
        <v>195</v>
      </c>
      <c r="I463">
        <v>15</v>
      </c>
      <c r="J463">
        <v>1343.93</v>
      </c>
      <c r="K463">
        <v>0</v>
      </c>
      <c r="L463" t="s">
        <v>215</v>
      </c>
      <c r="M463">
        <v>0</v>
      </c>
    </row>
    <row r="464" spans="1:13" x14ac:dyDescent="0.3">
      <c r="A464" t="s">
        <v>673</v>
      </c>
      <c r="B464">
        <v>27</v>
      </c>
      <c r="C464" s="1">
        <v>45994</v>
      </c>
      <c r="D464">
        <v>2025</v>
      </c>
      <c r="E464" t="s">
        <v>214</v>
      </c>
      <c r="F464" t="s">
        <v>12</v>
      </c>
      <c r="G464" t="s">
        <v>203</v>
      </c>
      <c r="H464" t="s">
        <v>206</v>
      </c>
      <c r="I464">
        <v>14</v>
      </c>
      <c r="J464">
        <v>852</v>
      </c>
      <c r="K464">
        <v>0</v>
      </c>
      <c r="L464" t="s">
        <v>215</v>
      </c>
      <c r="M464">
        <v>0</v>
      </c>
    </row>
    <row r="465" spans="1:13" x14ac:dyDescent="0.3">
      <c r="A465" t="s">
        <v>674</v>
      </c>
      <c r="B465">
        <v>28</v>
      </c>
      <c r="C465" s="1">
        <v>44463</v>
      </c>
      <c r="D465">
        <v>2021</v>
      </c>
      <c r="E465" t="s">
        <v>219</v>
      </c>
      <c r="F465" t="s">
        <v>13</v>
      </c>
      <c r="G465" t="s">
        <v>203</v>
      </c>
      <c r="H465" t="s">
        <v>195</v>
      </c>
      <c r="I465">
        <v>3</v>
      </c>
      <c r="J465">
        <v>1101.51</v>
      </c>
      <c r="K465">
        <v>0</v>
      </c>
      <c r="L465" t="s">
        <v>193</v>
      </c>
      <c r="M465">
        <v>0</v>
      </c>
    </row>
    <row r="466" spans="1:13" x14ac:dyDescent="0.3">
      <c r="A466" t="s">
        <v>675</v>
      </c>
      <c r="B466">
        <v>28</v>
      </c>
      <c r="C466" s="1">
        <v>44223</v>
      </c>
      <c r="D466">
        <v>2021</v>
      </c>
      <c r="E466" t="s">
        <v>190</v>
      </c>
      <c r="F466" t="s">
        <v>209</v>
      </c>
      <c r="G466" t="s">
        <v>203</v>
      </c>
      <c r="H466" t="s">
        <v>206</v>
      </c>
      <c r="I466">
        <v>10</v>
      </c>
      <c r="J466">
        <v>395</v>
      </c>
      <c r="K466">
        <v>0</v>
      </c>
      <c r="L466" t="s">
        <v>201</v>
      </c>
      <c r="M466">
        <v>0</v>
      </c>
    </row>
    <row r="467" spans="1:13" x14ac:dyDescent="0.3">
      <c r="A467" t="s">
        <v>676</v>
      </c>
      <c r="B467">
        <v>28</v>
      </c>
      <c r="C467" s="1">
        <v>44282</v>
      </c>
      <c r="D467">
        <v>2021</v>
      </c>
      <c r="E467" t="s">
        <v>214</v>
      </c>
      <c r="F467" t="s">
        <v>199</v>
      </c>
      <c r="G467" t="s">
        <v>203</v>
      </c>
      <c r="H467" t="s">
        <v>204</v>
      </c>
      <c r="I467">
        <v>10</v>
      </c>
      <c r="J467">
        <v>7535.21</v>
      </c>
      <c r="K467">
        <v>0</v>
      </c>
      <c r="L467" t="s">
        <v>193</v>
      </c>
      <c r="M467">
        <v>0</v>
      </c>
    </row>
    <row r="468" spans="1:13" x14ac:dyDescent="0.3">
      <c r="A468" t="s">
        <v>677</v>
      </c>
      <c r="B468">
        <v>28</v>
      </c>
      <c r="C468" s="1">
        <v>44695</v>
      </c>
      <c r="D468">
        <v>2022</v>
      </c>
      <c r="E468" t="s">
        <v>214</v>
      </c>
      <c r="F468" t="s">
        <v>13</v>
      </c>
      <c r="G468" t="s">
        <v>203</v>
      </c>
      <c r="H468" t="s">
        <v>204</v>
      </c>
      <c r="I468">
        <v>7</v>
      </c>
      <c r="J468">
        <v>1421.02</v>
      </c>
      <c r="K468">
        <v>0</v>
      </c>
      <c r="L468" t="s">
        <v>215</v>
      </c>
      <c r="M468">
        <v>0</v>
      </c>
    </row>
    <row r="469" spans="1:13" x14ac:dyDescent="0.3">
      <c r="A469" t="s">
        <v>678</v>
      </c>
      <c r="B469">
        <v>28</v>
      </c>
      <c r="C469" s="1">
        <v>45266</v>
      </c>
      <c r="D469">
        <v>2023</v>
      </c>
      <c r="E469" t="s">
        <v>190</v>
      </c>
      <c r="F469" t="s">
        <v>12</v>
      </c>
      <c r="G469" t="s">
        <v>212</v>
      </c>
      <c r="H469" t="s">
        <v>206</v>
      </c>
      <c r="I469">
        <v>11</v>
      </c>
      <c r="J469">
        <v>253.42</v>
      </c>
      <c r="K469">
        <v>0</v>
      </c>
      <c r="L469" t="s">
        <v>201</v>
      </c>
      <c r="M469">
        <v>1</v>
      </c>
    </row>
    <row r="470" spans="1:13" x14ac:dyDescent="0.3">
      <c r="A470" t="s">
        <v>679</v>
      </c>
      <c r="B470">
        <v>28</v>
      </c>
      <c r="C470" s="1">
        <v>45752</v>
      </c>
      <c r="D470">
        <v>2025</v>
      </c>
      <c r="E470" t="s">
        <v>219</v>
      </c>
      <c r="F470" t="s">
        <v>13</v>
      </c>
      <c r="G470" t="s">
        <v>212</v>
      </c>
      <c r="H470" t="s">
        <v>204</v>
      </c>
      <c r="I470">
        <v>11</v>
      </c>
      <c r="J470">
        <v>3980.89</v>
      </c>
      <c r="K470">
        <v>0</v>
      </c>
      <c r="L470" t="s">
        <v>196</v>
      </c>
      <c r="M470">
        <v>1</v>
      </c>
    </row>
    <row r="471" spans="1:13" x14ac:dyDescent="0.3">
      <c r="A471" t="s">
        <v>680</v>
      </c>
      <c r="B471">
        <v>28</v>
      </c>
      <c r="C471" s="1">
        <v>45863</v>
      </c>
      <c r="D471">
        <v>2025</v>
      </c>
      <c r="E471" t="s">
        <v>190</v>
      </c>
      <c r="F471" t="s">
        <v>13</v>
      </c>
      <c r="G471" t="s">
        <v>212</v>
      </c>
      <c r="H471" t="s">
        <v>195</v>
      </c>
      <c r="I471">
        <v>6</v>
      </c>
      <c r="J471">
        <v>3267.32</v>
      </c>
      <c r="K471">
        <v>0</v>
      </c>
      <c r="L471" t="s">
        <v>193</v>
      </c>
      <c r="M471">
        <v>1</v>
      </c>
    </row>
    <row r="472" spans="1:13" x14ac:dyDescent="0.3">
      <c r="A472" t="s">
        <v>681</v>
      </c>
      <c r="B472">
        <v>28</v>
      </c>
      <c r="C472" s="1">
        <v>45857</v>
      </c>
      <c r="D472">
        <v>2025</v>
      </c>
      <c r="E472" t="s">
        <v>190</v>
      </c>
      <c r="F472" t="s">
        <v>13</v>
      </c>
      <c r="G472" t="s">
        <v>191</v>
      </c>
      <c r="H472" t="s">
        <v>195</v>
      </c>
      <c r="I472">
        <v>6</v>
      </c>
      <c r="J472">
        <v>2826.28</v>
      </c>
      <c r="K472">
        <v>0</v>
      </c>
      <c r="L472" t="s">
        <v>210</v>
      </c>
      <c r="M472">
        <v>0</v>
      </c>
    </row>
    <row r="473" spans="1:13" x14ac:dyDescent="0.3">
      <c r="A473" t="s">
        <v>682</v>
      </c>
      <c r="B473">
        <v>28</v>
      </c>
      <c r="C473" s="1">
        <v>45878</v>
      </c>
      <c r="D473">
        <v>2025</v>
      </c>
      <c r="E473" t="s">
        <v>219</v>
      </c>
      <c r="F473" t="s">
        <v>209</v>
      </c>
      <c r="G473" t="s">
        <v>212</v>
      </c>
      <c r="H473" t="s">
        <v>195</v>
      </c>
      <c r="I473">
        <v>16</v>
      </c>
      <c r="J473">
        <v>318.45</v>
      </c>
      <c r="K473">
        <v>1</v>
      </c>
      <c r="L473" t="s">
        <v>215</v>
      </c>
      <c r="M473">
        <v>1</v>
      </c>
    </row>
    <row r="474" spans="1:13" x14ac:dyDescent="0.3">
      <c r="A474" t="s">
        <v>683</v>
      </c>
      <c r="B474">
        <v>29</v>
      </c>
      <c r="C474" s="1">
        <v>44299</v>
      </c>
      <c r="D474">
        <v>2021</v>
      </c>
      <c r="E474" t="s">
        <v>227</v>
      </c>
      <c r="F474" t="s">
        <v>209</v>
      </c>
      <c r="G474" t="s">
        <v>200</v>
      </c>
      <c r="H474" t="s">
        <v>192</v>
      </c>
      <c r="I474">
        <v>12</v>
      </c>
      <c r="J474">
        <v>321.14999999999998</v>
      </c>
      <c r="K474">
        <v>0</v>
      </c>
      <c r="L474" t="s">
        <v>210</v>
      </c>
      <c r="M474">
        <v>0</v>
      </c>
    </row>
    <row r="475" spans="1:13" x14ac:dyDescent="0.3">
      <c r="A475" t="s">
        <v>684</v>
      </c>
      <c r="B475">
        <v>29</v>
      </c>
      <c r="C475" s="1">
        <v>44556</v>
      </c>
      <c r="D475">
        <v>2021</v>
      </c>
      <c r="E475" t="s">
        <v>190</v>
      </c>
      <c r="F475" t="s">
        <v>13</v>
      </c>
      <c r="G475" t="s">
        <v>191</v>
      </c>
      <c r="H475" t="s">
        <v>204</v>
      </c>
      <c r="I475">
        <v>7</v>
      </c>
      <c r="J475">
        <v>2489.91</v>
      </c>
      <c r="K475">
        <v>0</v>
      </c>
      <c r="L475" t="s">
        <v>193</v>
      </c>
      <c r="M475">
        <v>0</v>
      </c>
    </row>
    <row r="476" spans="1:13" x14ac:dyDescent="0.3">
      <c r="A476" t="s">
        <v>685</v>
      </c>
      <c r="B476">
        <v>29</v>
      </c>
      <c r="C476" s="1">
        <v>44664</v>
      </c>
      <c r="D476">
        <v>2022</v>
      </c>
      <c r="E476" t="s">
        <v>219</v>
      </c>
      <c r="F476" t="s">
        <v>12</v>
      </c>
      <c r="G476" t="s">
        <v>212</v>
      </c>
      <c r="H476" t="s">
        <v>195</v>
      </c>
      <c r="I476">
        <v>12</v>
      </c>
      <c r="J476">
        <v>1106.3599999999999</v>
      </c>
      <c r="K476">
        <v>0</v>
      </c>
      <c r="L476" t="s">
        <v>215</v>
      </c>
      <c r="M476">
        <v>1</v>
      </c>
    </row>
    <row r="477" spans="1:13" x14ac:dyDescent="0.3">
      <c r="A477" t="s">
        <v>686</v>
      </c>
      <c r="B477">
        <v>29</v>
      </c>
      <c r="C477" s="1">
        <v>44774</v>
      </c>
      <c r="D477">
        <v>2022</v>
      </c>
      <c r="E477" t="s">
        <v>227</v>
      </c>
      <c r="F477" t="s">
        <v>199</v>
      </c>
      <c r="G477" t="s">
        <v>191</v>
      </c>
      <c r="H477" t="s">
        <v>195</v>
      </c>
      <c r="I477">
        <v>4</v>
      </c>
      <c r="J477">
        <v>4107.74</v>
      </c>
      <c r="K477">
        <v>0</v>
      </c>
      <c r="L477" t="s">
        <v>201</v>
      </c>
      <c r="M477">
        <v>0</v>
      </c>
    </row>
    <row r="478" spans="1:13" x14ac:dyDescent="0.3">
      <c r="A478" t="s">
        <v>687</v>
      </c>
      <c r="B478">
        <v>29</v>
      </c>
      <c r="C478" s="1">
        <v>44901</v>
      </c>
      <c r="D478">
        <v>2022</v>
      </c>
      <c r="E478" t="s">
        <v>225</v>
      </c>
      <c r="F478" t="s">
        <v>13</v>
      </c>
      <c r="G478" t="s">
        <v>203</v>
      </c>
      <c r="H478" t="s">
        <v>204</v>
      </c>
      <c r="I478">
        <v>2</v>
      </c>
      <c r="J478">
        <v>3074.67</v>
      </c>
      <c r="K478">
        <v>0</v>
      </c>
      <c r="L478" t="s">
        <v>210</v>
      </c>
      <c r="M478">
        <v>0</v>
      </c>
    </row>
    <row r="479" spans="1:13" x14ac:dyDescent="0.3">
      <c r="A479" t="s">
        <v>688</v>
      </c>
      <c r="B479">
        <v>29</v>
      </c>
      <c r="C479" s="1">
        <v>44934</v>
      </c>
      <c r="D479">
        <v>2023</v>
      </c>
      <c r="E479" t="s">
        <v>214</v>
      </c>
      <c r="F479" t="s">
        <v>13</v>
      </c>
      <c r="G479" t="s">
        <v>191</v>
      </c>
      <c r="H479" t="s">
        <v>192</v>
      </c>
      <c r="I479">
        <v>6</v>
      </c>
      <c r="J479">
        <v>1536.91</v>
      </c>
      <c r="K479">
        <v>0</v>
      </c>
      <c r="L479" t="s">
        <v>201</v>
      </c>
      <c r="M479">
        <v>0</v>
      </c>
    </row>
    <row r="480" spans="1:13" x14ac:dyDescent="0.3">
      <c r="A480" t="s">
        <v>689</v>
      </c>
      <c r="B480">
        <v>29</v>
      </c>
      <c r="C480" s="1">
        <v>45521</v>
      </c>
      <c r="D480">
        <v>2024</v>
      </c>
      <c r="E480" t="s">
        <v>214</v>
      </c>
      <c r="F480" t="s">
        <v>12</v>
      </c>
      <c r="G480" t="s">
        <v>203</v>
      </c>
      <c r="H480" t="s">
        <v>206</v>
      </c>
      <c r="I480">
        <v>5</v>
      </c>
      <c r="J480">
        <v>1236.25</v>
      </c>
      <c r="K480">
        <v>0</v>
      </c>
      <c r="L480" t="s">
        <v>215</v>
      </c>
      <c r="M480">
        <v>0</v>
      </c>
    </row>
    <row r="481" spans="1:13" x14ac:dyDescent="0.3">
      <c r="A481" t="s">
        <v>690</v>
      </c>
      <c r="B481">
        <v>29</v>
      </c>
      <c r="C481" s="1">
        <v>45436</v>
      </c>
      <c r="D481">
        <v>2024</v>
      </c>
      <c r="E481" t="s">
        <v>214</v>
      </c>
      <c r="F481" t="s">
        <v>13</v>
      </c>
      <c r="G481" t="s">
        <v>191</v>
      </c>
      <c r="H481" t="s">
        <v>195</v>
      </c>
      <c r="I481">
        <v>3</v>
      </c>
      <c r="J481">
        <v>1259.27</v>
      </c>
      <c r="K481">
        <v>0</v>
      </c>
      <c r="L481" t="s">
        <v>196</v>
      </c>
      <c r="M481">
        <v>0</v>
      </c>
    </row>
    <row r="482" spans="1:13" x14ac:dyDescent="0.3">
      <c r="A482" t="s">
        <v>691</v>
      </c>
      <c r="B482">
        <v>29</v>
      </c>
      <c r="C482" s="1">
        <v>45644</v>
      </c>
      <c r="D482">
        <v>2024</v>
      </c>
      <c r="E482" t="s">
        <v>214</v>
      </c>
      <c r="F482" t="s">
        <v>199</v>
      </c>
      <c r="G482" t="s">
        <v>191</v>
      </c>
      <c r="H482" t="s">
        <v>206</v>
      </c>
      <c r="I482">
        <v>9</v>
      </c>
      <c r="J482">
        <v>4370.99</v>
      </c>
      <c r="K482">
        <v>0</v>
      </c>
      <c r="L482" t="s">
        <v>193</v>
      </c>
      <c r="M482">
        <v>0</v>
      </c>
    </row>
    <row r="483" spans="1:13" x14ac:dyDescent="0.3">
      <c r="A483" t="s">
        <v>692</v>
      </c>
      <c r="B483">
        <v>29</v>
      </c>
      <c r="C483" s="1">
        <v>45845</v>
      </c>
      <c r="D483">
        <v>2025</v>
      </c>
      <c r="E483" t="s">
        <v>214</v>
      </c>
      <c r="F483" t="s">
        <v>12</v>
      </c>
      <c r="G483" t="s">
        <v>212</v>
      </c>
      <c r="H483" t="s">
        <v>192</v>
      </c>
      <c r="I483">
        <v>11</v>
      </c>
      <c r="J483">
        <v>1121.69</v>
      </c>
      <c r="K483">
        <v>0</v>
      </c>
      <c r="L483" t="s">
        <v>193</v>
      </c>
      <c r="M483">
        <v>1</v>
      </c>
    </row>
    <row r="484" spans="1:13" x14ac:dyDescent="0.3">
      <c r="A484" t="s">
        <v>693</v>
      </c>
      <c r="B484">
        <v>29</v>
      </c>
      <c r="C484" s="1">
        <v>45986</v>
      </c>
      <c r="D484">
        <v>2025</v>
      </c>
      <c r="E484" t="s">
        <v>219</v>
      </c>
      <c r="F484" t="s">
        <v>13</v>
      </c>
      <c r="G484" t="s">
        <v>203</v>
      </c>
      <c r="H484" t="s">
        <v>195</v>
      </c>
      <c r="I484">
        <v>7</v>
      </c>
      <c r="J484">
        <v>1597.34</v>
      </c>
      <c r="K484">
        <v>0</v>
      </c>
      <c r="L484" t="s">
        <v>193</v>
      </c>
      <c r="M484">
        <v>0</v>
      </c>
    </row>
    <row r="485" spans="1:13" x14ac:dyDescent="0.3">
      <c r="A485" t="s">
        <v>694</v>
      </c>
      <c r="B485">
        <v>29</v>
      </c>
      <c r="C485" s="1">
        <v>45809</v>
      </c>
      <c r="D485">
        <v>2025</v>
      </c>
      <c r="E485" t="s">
        <v>287</v>
      </c>
      <c r="F485" t="s">
        <v>13</v>
      </c>
      <c r="G485" t="s">
        <v>212</v>
      </c>
      <c r="H485" t="s">
        <v>192</v>
      </c>
      <c r="I485">
        <v>12</v>
      </c>
      <c r="J485">
        <v>3512.56</v>
      </c>
      <c r="K485">
        <v>0</v>
      </c>
      <c r="L485" t="s">
        <v>193</v>
      </c>
      <c r="M485">
        <v>1</v>
      </c>
    </row>
    <row r="486" spans="1:13" x14ac:dyDescent="0.3">
      <c r="A486" t="s">
        <v>695</v>
      </c>
      <c r="B486">
        <v>30</v>
      </c>
      <c r="C486" s="1">
        <v>44282</v>
      </c>
      <c r="D486">
        <v>2021</v>
      </c>
      <c r="E486" t="s">
        <v>227</v>
      </c>
      <c r="F486" t="s">
        <v>13</v>
      </c>
      <c r="G486" t="s">
        <v>191</v>
      </c>
      <c r="H486" t="s">
        <v>206</v>
      </c>
      <c r="I486">
        <v>10</v>
      </c>
      <c r="J486">
        <v>2420.29</v>
      </c>
      <c r="K486">
        <v>0</v>
      </c>
      <c r="L486" t="s">
        <v>193</v>
      </c>
      <c r="M486">
        <v>1</v>
      </c>
    </row>
    <row r="487" spans="1:13" x14ac:dyDescent="0.3">
      <c r="A487" t="s">
        <v>696</v>
      </c>
      <c r="B487">
        <v>30</v>
      </c>
      <c r="C487" s="1">
        <v>44247</v>
      </c>
      <c r="D487">
        <v>2021</v>
      </c>
      <c r="E487" t="s">
        <v>198</v>
      </c>
      <c r="F487" t="s">
        <v>13</v>
      </c>
      <c r="G487" t="s">
        <v>212</v>
      </c>
      <c r="H487" t="s">
        <v>195</v>
      </c>
      <c r="I487">
        <v>2</v>
      </c>
      <c r="J487">
        <v>2611.2399999999998</v>
      </c>
      <c r="K487">
        <v>1</v>
      </c>
      <c r="L487" t="s">
        <v>201</v>
      </c>
      <c r="M487">
        <v>1</v>
      </c>
    </row>
    <row r="488" spans="1:13" x14ac:dyDescent="0.3">
      <c r="A488" t="s">
        <v>697</v>
      </c>
      <c r="B488">
        <v>30</v>
      </c>
      <c r="C488" s="1">
        <v>44229</v>
      </c>
      <c r="D488">
        <v>2021</v>
      </c>
      <c r="E488" t="s">
        <v>287</v>
      </c>
      <c r="F488" t="s">
        <v>13</v>
      </c>
      <c r="G488" t="s">
        <v>191</v>
      </c>
      <c r="H488" t="s">
        <v>192</v>
      </c>
      <c r="I488">
        <v>5</v>
      </c>
      <c r="J488">
        <v>3447.08</v>
      </c>
      <c r="K488">
        <v>0</v>
      </c>
      <c r="L488" t="s">
        <v>193</v>
      </c>
      <c r="M488">
        <v>1</v>
      </c>
    </row>
    <row r="489" spans="1:13" x14ac:dyDescent="0.3">
      <c r="A489" t="s">
        <v>698</v>
      </c>
      <c r="B489">
        <v>30</v>
      </c>
      <c r="C489" s="1">
        <v>44816</v>
      </c>
      <c r="D489">
        <v>2022</v>
      </c>
      <c r="E489" t="s">
        <v>198</v>
      </c>
      <c r="F489" t="s">
        <v>13</v>
      </c>
      <c r="G489" t="s">
        <v>200</v>
      </c>
      <c r="H489" t="s">
        <v>195</v>
      </c>
      <c r="I489">
        <v>3</v>
      </c>
      <c r="J489">
        <v>1554.33</v>
      </c>
      <c r="K489">
        <v>1</v>
      </c>
      <c r="L489" t="s">
        <v>201</v>
      </c>
      <c r="M489">
        <v>0</v>
      </c>
    </row>
    <row r="490" spans="1:13" x14ac:dyDescent="0.3">
      <c r="A490" t="s">
        <v>699</v>
      </c>
      <c r="B490">
        <v>30</v>
      </c>
      <c r="C490" s="1">
        <v>44969</v>
      </c>
      <c r="D490">
        <v>2023</v>
      </c>
      <c r="E490" t="s">
        <v>198</v>
      </c>
      <c r="F490" t="s">
        <v>199</v>
      </c>
      <c r="G490" t="s">
        <v>191</v>
      </c>
      <c r="H490" t="s">
        <v>204</v>
      </c>
      <c r="I490">
        <v>8</v>
      </c>
      <c r="J490">
        <v>3180.5</v>
      </c>
      <c r="K490">
        <v>1</v>
      </c>
      <c r="L490" t="s">
        <v>193</v>
      </c>
      <c r="M490">
        <v>0</v>
      </c>
    </row>
    <row r="491" spans="1:13" x14ac:dyDescent="0.3">
      <c r="A491" t="s">
        <v>700</v>
      </c>
      <c r="B491">
        <v>30</v>
      </c>
      <c r="C491" s="1">
        <v>44935</v>
      </c>
      <c r="D491">
        <v>2023</v>
      </c>
      <c r="E491" t="s">
        <v>190</v>
      </c>
      <c r="F491" t="s">
        <v>13</v>
      </c>
      <c r="G491" t="s">
        <v>200</v>
      </c>
      <c r="H491" t="s">
        <v>192</v>
      </c>
      <c r="I491">
        <v>7</v>
      </c>
      <c r="J491">
        <v>3805.63</v>
      </c>
      <c r="K491">
        <v>0</v>
      </c>
      <c r="L491" t="s">
        <v>196</v>
      </c>
      <c r="M491">
        <v>1</v>
      </c>
    </row>
    <row r="492" spans="1:13" x14ac:dyDescent="0.3">
      <c r="A492" t="s">
        <v>701</v>
      </c>
      <c r="B492">
        <v>30</v>
      </c>
      <c r="C492" s="1">
        <v>45240</v>
      </c>
      <c r="D492">
        <v>2023</v>
      </c>
      <c r="E492" t="s">
        <v>198</v>
      </c>
      <c r="F492" t="s">
        <v>12</v>
      </c>
      <c r="G492" t="s">
        <v>203</v>
      </c>
      <c r="H492" t="s">
        <v>195</v>
      </c>
      <c r="I492">
        <v>10</v>
      </c>
      <c r="J492">
        <v>366.21</v>
      </c>
      <c r="K492">
        <v>1</v>
      </c>
      <c r="L492" t="s">
        <v>210</v>
      </c>
      <c r="M492">
        <v>0</v>
      </c>
    </row>
    <row r="493" spans="1:13" x14ac:dyDescent="0.3">
      <c r="A493" t="s">
        <v>702</v>
      </c>
      <c r="B493">
        <v>30</v>
      </c>
      <c r="C493" s="1">
        <v>45566</v>
      </c>
      <c r="D493">
        <v>2024</v>
      </c>
      <c r="E493" t="s">
        <v>214</v>
      </c>
      <c r="F493" t="s">
        <v>12</v>
      </c>
      <c r="G493" t="s">
        <v>212</v>
      </c>
      <c r="H493" t="s">
        <v>195</v>
      </c>
      <c r="I493">
        <v>7</v>
      </c>
      <c r="J493">
        <v>927.46</v>
      </c>
      <c r="K493">
        <v>0</v>
      </c>
      <c r="L493" t="s">
        <v>201</v>
      </c>
      <c r="M493">
        <v>1</v>
      </c>
    </row>
    <row r="494" spans="1:13" x14ac:dyDescent="0.3">
      <c r="A494" t="s">
        <v>703</v>
      </c>
      <c r="B494">
        <v>30</v>
      </c>
      <c r="C494" s="1">
        <v>45750</v>
      </c>
      <c r="D494">
        <v>2025</v>
      </c>
      <c r="E494" t="s">
        <v>225</v>
      </c>
      <c r="F494" t="s">
        <v>209</v>
      </c>
      <c r="G494" t="s">
        <v>191</v>
      </c>
      <c r="H494" t="s">
        <v>192</v>
      </c>
      <c r="I494">
        <v>6</v>
      </c>
      <c r="J494">
        <v>62.32</v>
      </c>
      <c r="K494">
        <v>0</v>
      </c>
      <c r="L494" t="s">
        <v>210</v>
      </c>
      <c r="M494">
        <v>1</v>
      </c>
    </row>
    <row r="495" spans="1:13" x14ac:dyDescent="0.3">
      <c r="A495" t="s">
        <v>704</v>
      </c>
      <c r="B495">
        <v>30</v>
      </c>
      <c r="C495" s="1">
        <v>45722</v>
      </c>
      <c r="D495">
        <v>2025</v>
      </c>
      <c r="E495" t="s">
        <v>190</v>
      </c>
      <c r="F495" t="s">
        <v>13</v>
      </c>
      <c r="G495" t="s">
        <v>212</v>
      </c>
      <c r="H495" t="s">
        <v>204</v>
      </c>
      <c r="I495">
        <v>11</v>
      </c>
      <c r="J495">
        <v>2223.73</v>
      </c>
      <c r="K495">
        <v>0</v>
      </c>
      <c r="L495" t="s">
        <v>201</v>
      </c>
      <c r="M495">
        <v>1</v>
      </c>
    </row>
    <row r="496" spans="1:13" x14ac:dyDescent="0.3">
      <c r="A496" t="s">
        <v>705</v>
      </c>
      <c r="B496">
        <v>30</v>
      </c>
      <c r="C496" s="1">
        <v>45956</v>
      </c>
      <c r="D496">
        <v>2025</v>
      </c>
      <c r="E496" t="s">
        <v>190</v>
      </c>
      <c r="F496" t="s">
        <v>13</v>
      </c>
      <c r="G496" t="s">
        <v>212</v>
      </c>
      <c r="H496" t="s">
        <v>204</v>
      </c>
      <c r="I496">
        <v>5</v>
      </c>
      <c r="J496">
        <v>2289.17</v>
      </c>
      <c r="K496">
        <v>0</v>
      </c>
      <c r="L496" t="s">
        <v>201</v>
      </c>
      <c r="M496">
        <v>1</v>
      </c>
    </row>
    <row r="497" spans="1:13" x14ac:dyDescent="0.3">
      <c r="A497" t="s">
        <v>706</v>
      </c>
      <c r="B497">
        <v>31</v>
      </c>
      <c r="C497" s="1">
        <v>44328</v>
      </c>
      <c r="D497">
        <v>2021</v>
      </c>
      <c r="E497" t="s">
        <v>214</v>
      </c>
      <c r="F497" t="s">
        <v>199</v>
      </c>
      <c r="G497" t="s">
        <v>203</v>
      </c>
      <c r="H497" t="s">
        <v>204</v>
      </c>
      <c r="I497">
        <v>13</v>
      </c>
      <c r="J497">
        <v>3981.48</v>
      </c>
      <c r="K497">
        <v>0</v>
      </c>
      <c r="L497" t="s">
        <v>196</v>
      </c>
      <c r="M497">
        <v>1</v>
      </c>
    </row>
    <row r="498" spans="1:13" x14ac:dyDescent="0.3">
      <c r="A498" t="s">
        <v>707</v>
      </c>
      <c r="B498">
        <v>31</v>
      </c>
      <c r="C498" s="1">
        <v>44337</v>
      </c>
      <c r="D498">
        <v>2021</v>
      </c>
      <c r="E498" t="s">
        <v>219</v>
      </c>
      <c r="F498" t="s">
        <v>209</v>
      </c>
      <c r="G498" t="s">
        <v>203</v>
      </c>
      <c r="H498" t="s">
        <v>204</v>
      </c>
      <c r="I498">
        <v>9</v>
      </c>
      <c r="J498">
        <v>448.07</v>
      </c>
      <c r="K498">
        <v>0</v>
      </c>
      <c r="L498" t="s">
        <v>193</v>
      </c>
      <c r="M498">
        <v>1</v>
      </c>
    </row>
    <row r="499" spans="1:13" x14ac:dyDescent="0.3">
      <c r="A499" t="s">
        <v>708</v>
      </c>
      <c r="B499">
        <v>31</v>
      </c>
      <c r="C499" s="1">
        <v>44473</v>
      </c>
      <c r="D499">
        <v>2021</v>
      </c>
      <c r="E499" t="s">
        <v>287</v>
      </c>
      <c r="F499" t="s">
        <v>209</v>
      </c>
      <c r="G499" t="s">
        <v>212</v>
      </c>
      <c r="H499" t="s">
        <v>195</v>
      </c>
      <c r="I499">
        <v>2</v>
      </c>
      <c r="J499">
        <v>150</v>
      </c>
      <c r="K499">
        <v>0</v>
      </c>
      <c r="L499" t="s">
        <v>215</v>
      </c>
      <c r="M499">
        <v>1</v>
      </c>
    </row>
    <row r="500" spans="1:13" x14ac:dyDescent="0.3">
      <c r="A500" t="s">
        <v>709</v>
      </c>
      <c r="B500">
        <v>31</v>
      </c>
      <c r="C500" s="1">
        <v>44627</v>
      </c>
      <c r="D500">
        <v>2022</v>
      </c>
      <c r="E500" t="s">
        <v>198</v>
      </c>
      <c r="F500" t="s">
        <v>13</v>
      </c>
      <c r="G500" t="s">
        <v>191</v>
      </c>
      <c r="H500" t="s">
        <v>195</v>
      </c>
      <c r="I500">
        <v>5</v>
      </c>
      <c r="J500">
        <v>1041.28</v>
      </c>
      <c r="K500">
        <v>1</v>
      </c>
      <c r="L500" t="s">
        <v>196</v>
      </c>
      <c r="M500">
        <v>0</v>
      </c>
    </row>
    <row r="501" spans="1:13" x14ac:dyDescent="0.3">
      <c r="A501" t="s">
        <v>710</v>
      </c>
      <c r="B501">
        <v>31</v>
      </c>
      <c r="C501" s="1">
        <v>44916</v>
      </c>
      <c r="D501">
        <v>2022</v>
      </c>
      <c r="E501" t="s">
        <v>198</v>
      </c>
      <c r="F501" t="s">
        <v>199</v>
      </c>
      <c r="G501" t="s">
        <v>203</v>
      </c>
      <c r="H501" t="s">
        <v>195</v>
      </c>
      <c r="I501">
        <v>7</v>
      </c>
      <c r="J501">
        <v>5992.78</v>
      </c>
      <c r="K501">
        <v>1</v>
      </c>
      <c r="L501" t="s">
        <v>193</v>
      </c>
      <c r="M501">
        <v>1</v>
      </c>
    </row>
    <row r="502" spans="1:13" x14ac:dyDescent="0.3">
      <c r="A502" t="s">
        <v>711</v>
      </c>
      <c r="B502">
        <v>31</v>
      </c>
      <c r="C502" s="1">
        <v>44873</v>
      </c>
      <c r="D502">
        <v>2022</v>
      </c>
      <c r="E502" t="s">
        <v>287</v>
      </c>
      <c r="F502" t="s">
        <v>13</v>
      </c>
      <c r="G502" t="s">
        <v>200</v>
      </c>
      <c r="H502" t="s">
        <v>206</v>
      </c>
      <c r="I502">
        <v>6</v>
      </c>
      <c r="J502">
        <v>1178.78</v>
      </c>
      <c r="K502">
        <v>1</v>
      </c>
      <c r="L502" t="s">
        <v>196</v>
      </c>
      <c r="M502">
        <v>0</v>
      </c>
    </row>
    <row r="503" spans="1:13" x14ac:dyDescent="0.3">
      <c r="A503" t="s">
        <v>712</v>
      </c>
      <c r="B503">
        <v>31</v>
      </c>
      <c r="C503" s="1">
        <v>44686</v>
      </c>
      <c r="D503">
        <v>2022</v>
      </c>
      <c r="E503" t="s">
        <v>214</v>
      </c>
      <c r="F503" t="s">
        <v>13</v>
      </c>
      <c r="G503" t="s">
        <v>191</v>
      </c>
      <c r="H503" t="s">
        <v>195</v>
      </c>
      <c r="I503">
        <v>5</v>
      </c>
      <c r="J503">
        <v>2363.29</v>
      </c>
      <c r="K503">
        <v>0</v>
      </c>
      <c r="L503" t="s">
        <v>215</v>
      </c>
      <c r="M503">
        <v>0</v>
      </c>
    </row>
    <row r="504" spans="1:13" x14ac:dyDescent="0.3">
      <c r="A504" t="s">
        <v>713</v>
      </c>
      <c r="B504">
        <v>31</v>
      </c>
      <c r="C504" s="1">
        <v>44708</v>
      </c>
      <c r="D504">
        <v>2022</v>
      </c>
      <c r="E504" t="s">
        <v>225</v>
      </c>
      <c r="F504" t="s">
        <v>12</v>
      </c>
      <c r="G504" t="s">
        <v>200</v>
      </c>
      <c r="H504" t="s">
        <v>195</v>
      </c>
      <c r="I504">
        <v>17</v>
      </c>
      <c r="J504">
        <v>857.38</v>
      </c>
      <c r="K504">
        <v>1</v>
      </c>
      <c r="L504" t="s">
        <v>215</v>
      </c>
      <c r="M504">
        <v>0</v>
      </c>
    </row>
    <row r="505" spans="1:13" x14ac:dyDescent="0.3">
      <c r="A505" t="s">
        <v>714</v>
      </c>
      <c r="B505">
        <v>31</v>
      </c>
      <c r="C505" s="1">
        <v>44624</v>
      </c>
      <c r="D505">
        <v>2022</v>
      </c>
      <c r="E505" t="s">
        <v>198</v>
      </c>
      <c r="F505" t="s">
        <v>13</v>
      </c>
      <c r="G505" t="s">
        <v>203</v>
      </c>
      <c r="H505" t="s">
        <v>204</v>
      </c>
      <c r="I505">
        <v>1</v>
      </c>
      <c r="J505">
        <v>3398.38</v>
      </c>
      <c r="K505">
        <v>1</v>
      </c>
      <c r="L505" t="s">
        <v>193</v>
      </c>
      <c r="M505">
        <v>0</v>
      </c>
    </row>
    <row r="506" spans="1:13" x14ac:dyDescent="0.3">
      <c r="A506" t="s">
        <v>715</v>
      </c>
      <c r="B506">
        <v>31</v>
      </c>
      <c r="C506" s="1">
        <v>45026</v>
      </c>
      <c r="D506">
        <v>2023</v>
      </c>
      <c r="E506" t="s">
        <v>198</v>
      </c>
      <c r="F506" t="s">
        <v>12</v>
      </c>
      <c r="G506" t="s">
        <v>191</v>
      </c>
      <c r="H506" t="s">
        <v>192</v>
      </c>
      <c r="I506">
        <v>17</v>
      </c>
      <c r="J506">
        <v>968.02</v>
      </c>
      <c r="K506">
        <v>1</v>
      </c>
      <c r="L506" t="s">
        <v>210</v>
      </c>
      <c r="M506">
        <v>0</v>
      </c>
    </row>
    <row r="507" spans="1:13" x14ac:dyDescent="0.3">
      <c r="A507" t="s">
        <v>716</v>
      </c>
      <c r="B507">
        <v>31</v>
      </c>
      <c r="C507" s="1">
        <v>45170</v>
      </c>
      <c r="D507">
        <v>2023</v>
      </c>
      <c r="E507" t="s">
        <v>198</v>
      </c>
      <c r="F507" t="s">
        <v>209</v>
      </c>
      <c r="G507" t="s">
        <v>212</v>
      </c>
      <c r="H507" t="s">
        <v>206</v>
      </c>
      <c r="I507">
        <v>4</v>
      </c>
      <c r="J507">
        <v>204.78</v>
      </c>
      <c r="K507">
        <v>1</v>
      </c>
      <c r="L507" t="s">
        <v>215</v>
      </c>
      <c r="M507">
        <v>1</v>
      </c>
    </row>
    <row r="508" spans="1:13" x14ac:dyDescent="0.3">
      <c r="A508" t="s">
        <v>717</v>
      </c>
      <c r="B508">
        <v>31</v>
      </c>
      <c r="C508" s="1">
        <v>45270</v>
      </c>
      <c r="D508">
        <v>2023</v>
      </c>
      <c r="E508" t="s">
        <v>225</v>
      </c>
      <c r="F508" t="s">
        <v>13</v>
      </c>
      <c r="G508" t="s">
        <v>200</v>
      </c>
      <c r="H508" t="s">
        <v>204</v>
      </c>
      <c r="I508">
        <v>11</v>
      </c>
      <c r="J508">
        <v>3525.73</v>
      </c>
      <c r="K508">
        <v>1</v>
      </c>
      <c r="L508" t="s">
        <v>193</v>
      </c>
      <c r="M508">
        <v>0</v>
      </c>
    </row>
    <row r="509" spans="1:13" x14ac:dyDescent="0.3">
      <c r="A509" t="s">
        <v>718</v>
      </c>
      <c r="B509">
        <v>31</v>
      </c>
      <c r="C509" s="1">
        <v>45572</v>
      </c>
      <c r="D509">
        <v>2024</v>
      </c>
      <c r="E509" t="s">
        <v>190</v>
      </c>
      <c r="F509" t="s">
        <v>12</v>
      </c>
      <c r="G509" t="s">
        <v>191</v>
      </c>
      <c r="H509" t="s">
        <v>204</v>
      </c>
      <c r="I509">
        <v>7</v>
      </c>
      <c r="J509">
        <v>1198.6600000000001</v>
      </c>
      <c r="K509">
        <v>0</v>
      </c>
      <c r="L509" t="s">
        <v>201</v>
      </c>
      <c r="M509">
        <v>0</v>
      </c>
    </row>
    <row r="510" spans="1:13" x14ac:dyDescent="0.3">
      <c r="A510" t="s">
        <v>719</v>
      </c>
      <c r="B510">
        <v>31</v>
      </c>
      <c r="C510" s="1">
        <v>45536</v>
      </c>
      <c r="D510">
        <v>2024</v>
      </c>
      <c r="E510" t="s">
        <v>219</v>
      </c>
      <c r="F510" t="s">
        <v>209</v>
      </c>
      <c r="G510" t="s">
        <v>212</v>
      </c>
      <c r="H510" t="s">
        <v>195</v>
      </c>
      <c r="I510">
        <v>6</v>
      </c>
      <c r="J510">
        <v>519.92999999999995</v>
      </c>
      <c r="K510">
        <v>0</v>
      </c>
      <c r="L510" t="s">
        <v>215</v>
      </c>
      <c r="M510">
        <v>1</v>
      </c>
    </row>
    <row r="511" spans="1:13" x14ac:dyDescent="0.3">
      <c r="A511" t="s">
        <v>720</v>
      </c>
      <c r="B511">
        <v>32</v>
      </c>
      <c r="C511" s="1">
        <v>44231</v>
      </c>
      <c r="D511">
        <v>2021</v>
      </c>
      <c r="E511" t="s">
        <v>219</v>
      </c>
      <c r="F511" t="s">
        <v>199</v>
      </c>
      <c r="G511" t="s">
        <v>203</v>
      </c>
      <c r="H511" t="s">
        <v>195</v>
      </c>
      <c r="I511">
        <v>2</v>
      </c>
      <c r="J511">
        <v>6559.13</v>
      </c>
      <c r="K511">
        <v>0</v>
      </c>
      <c r="L511" t="s">
        <v>201</v>
      </c>
      <c r="M511">
        <v>0</v>
      </c>
    </row>
    <row r="512" spans="1:13" x14ac:dyDescent="0.3">
      <c r="A512" t="s">
        <v>721</v>
      </c>
      <c r="B512">
        <v>32</v>
      </c>
      <c r="C512" s="1">
        <v>44483</v>
      </c>
      <c r="D512">
        <v>2021</v>
      </c>
      <c r="E512" t="s">
        <v>214</v>
      </c>
      <c r="F512" t="s">
        <v>209</v>
      </c>
      <c r="G512" t="s">
        <v>212</v>
      </c>
      <c r="H512" t="s">
        <v>195</v>
      </c>
      <c r="I512">
        <v>4</v>
      </c>
      <c r="J512">
        <v>125.45</v>
      </c>
      <c r="K512">
        <v>0</v>
      </c>
      <c r="L512" t="s">
        <v>215</v>
      </c>
      <c r="M512">
        <v>1</v>
      </c>
    </row>
    <row r="513" spans="1:13" x14ac:dyDescent="0.3">
      <c r="A513" t="s">
        <v>722</v>
      </c>
      <c r="B513">
        <v>32</v>
      </c>
      <c r="C513" s="1">
        <v>44230</v>
      </c>
      <c r="D513">
        <v>2021</v>
      </c>
      <c r="E513" t="s">
        <v>190</v>
      </c>
      <c r="F513" t="s">
        <v>13</v>
      </c>
      <c r="G513" t="s">
        <v>212</v>
      </c>
      <c r="H513" t="s">
        <v>195</v>
      </c>
      <c r="I513">
        <v>9</v>
      </c>
      <c r="J513">
        <v>3282.73</v>
      </c>
      <c r="K513">
        <v>0</v>
      </c>
      <c r="L513" t="s">
        <v>193</v>
      </c>
      <c r="M513">
        <v>1</v>
      </c>
    </row>
    <row r="514" spans="1:13" x14ac:dyDescent="0.3">
      <c r="A514" t="s">
        <v>723</v>
      </c>
      <c r="B514">
        <v>32</v>
      </c>
      <c r="C514" s="1">
        <v>44890</v>
      </c>
      <c r="D514">
        <v>2022</v>
      </c>
      <c r="E514" t="s">
        <v>190</v>
      </c>
      <c r="F514" t="s">
        <v>209</v>
      </c>
      <c r="G514" t="s">
        <v>212</v>
      </c>
      <c r="H514" t="s">
        <v>195</v>
      </c>
      <c r="I514">
        <v>7</v>
      </c>
      <c r="J514">
        <v>129.82</v>
      </c>
      <c r="K514">
        <v>0</v>
      </c>
      <c r="L514" t="s">
        <v>210</v>
      </c>
      <c r="M514">
        <v>1</v>
      </c>
    </row>
    <row r="515" spans="1:13" x14ac:dyDescent="0.3">
      <c r="A515" t="s">
        <v>724</v>
      </c>
      <c r="B515">
        <v>32</v>
      </c>
      <c r="C515" s="1">
        <v>44609</v>
      </c>
      <c r="D515">
        <v>2022</v>
      </c>
      <c r="E515" t="s">
        <v>219</v>
      </c>
      <c r="F515" t="s">
        <v>199</v>
      </c>
      <c r="G515" t="s">
        <v>203</v>
      </c>
      <c r="H515" t="s">
        <v>195</v>
      </c>
      <c r="I515">
        <v>9</v>
      </c>
      <c r="J515">
        <v>4419.2700000000004</v>
      </c>
      <c r="K515">
        <v>0</v>
      </c>
      <c r="L515" t="s">
        <v>193</v>
      </c>
      <c r="M515">
        <v>0</v>
      </c>
    </row>
    <row r="516" spans="1:13" x14ac:dyDescent="0.3">
      <c r="A516" t="s">
        <v>725</v>
      </c>
      <c r="B516">
        <v>32</v>
      </c>
      <c r="C516" s="1">
        <v>44585</v>
      </c>
      <c r="D516">
        <v>2022</v>
      </c>
      <c r="E516" t="s">
        <v>227</v>
      </c>
      <c r="F516" t="s">
        <v>13</v>
      </c>
      <c r="G516" t="s">
        <v>200</v>
      </c>
      <c r="H516" t="s">
        <v>195</v>
      </c>
      <c r="I516">
        <v>14</v>
      </c>
      <c r="J516">
        <v>1516.2</v>
      </c>
      <c r="K516">
        <v>0</v>
      </c>
      <c r="L516" t="s">
        <v>201</v>
      </c>
      <c r="M516">
        <v>1</v>
      </c>
    </row>
    <row r="517" spans="1:13" x14ac:dyDescent="0.3">
      <c r="A517" t="s">
        <v>726</v>
      </c>
      <c r="B517">
        <v>32</v>
      </c>
      <c r="C517" s="1">
        <v>44678</v>
      </c>
      <c r="D517">
        <v>2022</v>
      </c>
      <c r="E517" t="s">
        <v>214</v>
      </c>
      <c r="F517" t="s">
        <v>12</v>
      </c>
      <c r="G517" t="s">
        <v>212</v>
      </c>
      <c r="H517" t="s">
        <v>195</v>
      </c>
      <c r="I517">
        <v>3</v>
      </c>
      <c r="J517">
        <v>532.03</v>
      </c>
      <c r="K517">
        <v>0</v>
      </c>
      <c r="L517" t="s">
        <v>196</v>
      </c>
      <c r="M517">
        <v>1</v>
      </c>
    </row>
    <row r="518" spans="1:13" x14ac:dyDescent="0.3">
      <c r="A518" t="s">
        <v>727</v>
      </c>
      <c r="B518">
        <v>32</v>
      </c>
      <c r="C518" s="1">
        <v>45028</v>
      </c>
      <c r="D518">
        <v>2023</v>
      </c>
      <c r="E518" t="s">
        <v>190</v>
      </c>
      <c r="F518" t="s">
        <v>13</v>
      </c>
      <c r="G518" t="s">
        <v>203</v>
      </c>
      <c r="H518" t="s">
        <v>195</v>
      </c>
      <c r="I518">
        <v>11</v>
      </c>
      <c r="J518">
        <v>1461.79</v>
      </c>
      <c r="K518">
        <v>0</v>
      </c>
      <c r="L518" t="s">
        <v>193</v>
      </c>
      <c r="M518">
        <v>0</v>
      </c>
    </row>
    <row r="519" spans="1:13" x14ac:dyDescent="0.3">
      <c r="A519" t="s">
        <v>728</v>
      </c>
      <c r="B519">
        <v>32</v>
      </c>
      <c r="C519" s="1">
        <v>44932</v>
      </c>
      <c r="D519">
        <v>2023</v>
      </c>
      <c r="E519" t="s">
        <v>225</v>
      </c>
      <c r="F519" t="s">
        <v>12</v>
      </c>
      <c r="G519" t="s">
        <v>212</v>
      </c>
      <c r="H519" t="s">
        <v>192</v>
      </c>
      <c r="I519">
        <v>3</v>
      </c>
      <c r="J519">
        <v>385.66</v>
      </c>
      <c r="K519">
        <v>0</v>
      </c>
      <c r="L519" t="s">
        <v>210</v>
      </c>
      <c r="M519">
        <v>1</v>
      </c>
    </row>
    <row r="520" spans="1:13" x14ac:dyDescent="0.3">
      <c r="A520" t="s">
        <v>729</v>
      </c>
      <c r="B520">
        <v>32</v>
      </c>
      <c r="C520" s="1">
        <v>44999</v>
      </c>
      <c r="D520">
        <v>2023</v>
      </c>
      <c r="E520" t="s">
        <v>214</v>
      </c>
      <c r="F520" t="s">
        <v>209</v>
      </c>
      <c r="G520" t="s">
        <v>212</v>
      </c>
      <c r="H520" t="s">
        <v>204</v>
      </c>
      <c r="I520">
        <v>9</v>
      </c>
      <c r="J520">
        <v>312.16000000000003</v>
      </c>
      <c r="K520">
        <v>0</v>
      </c>
      <c r="L520" t="s">
        <v>215</v>
      </c>
      <c r="M520">
        <v>1</v>
      </c>
    </row>
    <row r="521" spans="1:13" x14ac:dyDescent="0.3">
      <c r="A521" t="s">
        <v>730</v>
      </c>
      <c r="B521">
        <v>32</v>
      </c>
      <c r="C521" s="1">
        <v>45576</v>
      </c>
      <c r="D521">
        <v>2024</v>
      </c>
      <c r="E521" t="s">
        <v>190</v>
      </c>
      <c r="F521" t="s">
        <v>209</v>
      </c>
      <c r="G521" t="s">
        <v>191</v>
      </c>
      <c r="H521" t="s">
        <v>192</v>
      </c>
      <c r="I521">
        <v>6</v>
      </c>
      <c r="J521">
        <v>340.38</v>
      </c>
      <c r="K521">
        <v>0</v>
      </c>
      <c r="L521" t="s">
        <v>201</v>
      </c>
      <c r="M521">
        <v>0</v>
      </c>
    </row>
    <row r="522" spans="1:13" x14ac:dyDescent="0.3">
      <c r="A522" t="s">
        <v>731</v>
      </c>
      <c r="B522">
        <v>32</v>
      </c>
      <c r="C522" s="1">
        <v>45513</v>
      </c>
      <c r="D522">
        <v>2024</v>
      </c>
      <c r="E522" t="s">
        <v>214</v>
      </c>
      <c r="F522" t="s">
        <v>12</v>
      </c>
      <c r="G522" t="s">
        <v>191</v>
      </c>
      <c r="H522" t="s">
        <v>195</v>
      </c>
      <c r="I522">
        <v>5</v>
      </c>
      <c r="J522">
        <v>1294.53</v>
      </c>
      <c r="K522">
        <v>0</v>
      </c>
      <c r="L522" t="s">
        <v>210</v>
      </c>
      <c r="M522">
        <v>1</v>
      </c>
    </row>
    <row r="523" spans="1:13" x14ac:dyDescent="0.3">
      <c r="A523" t="s">
        <v>732</v>
      </c>
      <c r="B523">
        <v>32</v>
      </c>
      <c r="C523" s="1">
        <v>45507</v>
      </c>
      <c r="D523">
        <v>2024</v>
      </c>
      <c r="E523" t="s">
        <v>190</v>
      </c>
      <c r="F523" t="s">
        <v>209</v>
      </c>
      <c r="G523" t="s">
        <v>212</v>
      </c>
      <c r="H523" t="s">
        <v>192</v>
      </c>
      <c r="I523">
        <v>12</v>
      </c>
      <c r="J523">
        <v>137.84</v>
      </c>
      <c r="K523">
        <v>0</v>
      </c>
      <c r="L523" t="s">
        <v>210</v>
      </c>
      <c r="M523">
        <v>1</v>
      </c>
    </row>
    <row r="524" spans="1:13" x14ac:dyDescent="0.3">
      <c r="A524" t="s">
        <v>733</v>
      </c>
      <c r="B524">
        <v>32</v>
      </c>
      <c r="C524" s="1">
        <v>45916</v>
      </c>
      <c r="D524">
        <v>2025</v>
      </c>
      <c r="E524" t="s">
        <v>190</v>
      </c>
      <c r="F524" t="s">
        <v>13</v>
      </c>
      <c r="G524" t="s">
        <v>200</v>
      </c>
      <c r="H524" t="s">
        <v>204</v>
      </c>
      <c r="I524">
        <v>5</v>
      </c>
      <c r="J524">
        <v>3627.4</v>
      </c>
      <c r="K524">
        <v>0</v>
      </c>
      <c r="L524" t="s">
        <v>201</v>
      </c>
      <c r="M524">
        <v>0</v>
      </c>
    </row>
    <row r="525" spans="1:13" x14ac:dyDescent="0.3">
      <c r="A525" t="s">
        <v>734</v>
      </c>
      <c r="B525">
        <v>32</v>
      </c>
      <c r="C525" s="1">
        <v>45948</v>
      </c>
      <c r="D525">
        <v>2025</v>
      </c>
      <c r="E525" t="s">
        <v>214</v>
      </c>
      <c r="F525" t="s">
        <v>13</v>
      </c>
      <c r="G525" t="s">
        <v>212</v>
      </c>
      <c r="H525" t="s">
        <v>195</v>
      </c>
      <c r="I525">
        <v>4</v>
      </c>
      <c r="J525">
        <v>1996.23</v>
      </c>
      <c r="K525">
        <v>1</v>
      </c>
      <c r="L525" t="s">
        <v>201</v>
      </c>
      <c r="M525">
        <v>1</v>
      </c>
    </row>
    <row r="526" spans="1:13" x14ac:dyDescent="0.3">
      <c r="A526" t="s">
        <v>735</v>
      </c>
      <c r="B526">
        <v>32</v>
      </c>
      <c r="C526" s="1">
        <v>45854</v>
      </c>
      <c r="D526">
        <v>2025</v>
      </c>
      <c r="E526" t="s">
        <v>214</v>
      </c>
      <c r="F526" t="s">
        <v>199</v>
      </c>
      <c r="G526" t="s">
        <v>212</v>
      </c>
      <c r="H526" t="s">
        <v>195</v>
      </c>
      <c r="I526">
        <v>14</v>
      </c>
      <c r="J526">
        <v>5936.62</v>
      </c>
      <c r="K526">
        <v>1</v>
      </c>
      <c r="L526" t="s">
        <v>193</v>
      </c>
      <c r="M526">
        <v>1</v>
      </c>
    </row>
    <row r="527" spans="1:13" x14ac:dyDescent="0.3">
      <c r="A527" t="s">
        <v>736</v>
      </c>
      <c r="B527">
        <v>33</v>
      </c>
      <c r="C527" s="1">
        <v>44555</v>
      </c>
      <c r="D527">
        <v>2021</v>
      </c>
      <c r="E527" t="s">
        <v>214</v>
      </c>
      <c r="F527" t="s">
        <v>12</v>
      </c>
      <c r="G527" t="s">
        <v>200</v>
      </c>
      <c r="H527" t="s">
        <v>204</v>
      </c>
      <c r="I527">
        <v>14</v>
      </c>
      <c r="J527">
        <v>1225.06</v>
      </c>
      <c r="K527">
        <v>0</v>
      </c>
      <c r="L527" t="s">
        <v>210</v>
      </c>
      <c r="M527">
        <v>1</v>
      </c>
    </row>
    <row r="528" spans="1:13" x14ac:dyDescent="0.3">
      <c r="A528" t="s">
        <v>737</v>
      </c>
      <c r="B528">
        <v>33</v>
      </c>
      <c r="C528" s="1">
        <v>44531</v>
      </c>
      <c r="D528">
        <v>2021</v>
      </c>
      <c r="E528" t="s">
        <v>198</v>
      </c>
      <c r="F528" t="s">
        <v>12</v>
      </c>
      <c r="G528" t="s">
        <v>212</v>
      </c>
      <c r="H528" t="s">
        <v>206</v>
      </c>
      <c r="I528">
        <v>17</v>
      </c>
      <c r="J528">
        <v>1109.95</v>
      </c>
      <c r="K528">
        <v>1</v>
      </c>
      <c r="L528" t="s">
        <v>215</v>
      </c>
      <c r="M528">
        <v>1</v>
      </c>
    </row>
    <row r="529" spans="1:13" x14ac:dyDescent="0.3">
      <c r="A529" t="s">
        <v>738</v>
      </c>
      <c r="B529">
        <v>33</v>
      </c>
      <c r="C529" s="1">
        <v>44434</v>
      </c>
      <c r="D529">
        <v>2021</v>
      </c>
      <c r="E529" t="s">
        <v>190</v>
      </c>
      <c r="F529" t="s">
        <v>209</v>
      </c>
      <c r="G529" t="s">
        <v>191</v>
      </c>
      <c r="H529" t="s">
        <v>195</v>
      </c>
      <c r="I529">
        <v>8</v>
      </c>
      <c r="J529">
        <v>89.87</v>
      </c>
      <c r="K529">
        <v>0</v>
      </c>
      <c r="L529" t="s">
        <v>215</v>
      </c>
      <c r="M529">
        <v>0</v>
      </c>
    </row>
    <row r="530" spans="1:13" x14ac:dyDescent="0.3">
      <c r="A530" t="s">
        <v>739</v>
      </c>
      <c r="B530">
        <v>33</v>
      </c>
      <c r="C530" s="1">
        <v>44460</v>
      </c>
      <c r="D530">
        <v>2021</v>
      </c>
      <c r="E530" t="s">
        <v>214</v>
      </c>
      <c r="F530" t="s">
        <v>12</v>
      </c>
      <c r="G530" t="s">
        <v>200</v>
      </c>
      <c r="H530" t="s">
        <v>195</v>
      </c>
      <c r="I530">
        <v>11</v>
      </c>
      <c r="J530">
        <v>925.02</v>
      </c>
      <c r="K530">
        <v>0</v>
      </c>
      <c r="L530" t="s">
        <v>196</v>
      </c>
      <c r="M530">
        <v>1</v>
      </c>
    </row>
    <row r="531" spans="1:13" x14ac:dyDescent="0.3">
      <c r="A531" t="s">
        <v>740</v>
      </c>
      <c r="B531">
        <v>33</v>
      </c>
      <c r="C531" s="1">
        <v>44647</v>
      </c>
      <c r="D531">
        <v>2022</v>
      </c>
      <c r="E531" t="s">
        <v>190</v>
      </c>
      <c r="F531" t="s">
        <v>12</v>
      </c>
      <c r="G531" t="s">
        <v>212</v>
      </c>
      <c r="H531" t="s">
        <v>204</v>
      </c>
      <c r="I531">
        <v>7</v>
      </c>
      <c r="J531">
        <v>836.09</v>
      </c>
      <c r="K531">
        <v>0</v>
      </c>
      <c r="L531" t="s">
        <v>215</v>
      </c>
      <c r="M531">
        <v>1</v>
      </c>
    </row>
    <row r="532" spans="1:13" x14ac:dyDescent="0.3">
      <c r="A532" t="s">
        <v>741</v>
      </c>
      <c r="B532">
        <v>33</v>
      </c>
      <c r="C532" s="1">
        <v>45201</v>
      </c>
      <c r="D532">
        <v>2023</v>
      </c>
      <c r="E532" t="s">
        <v>198</v>
      </c>
      <c r="F532" t="s">
        <v>199</v>
      </c>
      <c r="G532" t="s">
        <v>212</v>
      </c>
      <c r="H532" t="s">
        <v>195</v>
      </c>
      <c r="I532">
        <v>4</v>
      </c>
      <c r="J532">
        <v>6481.45</v>
      </c>
      <c r="K532">
        <v>1</v>
      </c>
      <c r="L532" t="s">
        <v>201</v>
      </c>
      <c r="M532">
        <v>1</v>
      </c>
    </row>
    <row r="533" spans="1:13" x14ac:dyDescent="0.3">
      <c r="A533" t="s">
        <v>742</v>
      </c>
      <c r="B533">
        <v>33</v>
      </c>
      <c r="C533" s="1">
        <v>45126</v>
      </c>
      <c r="D533">
        <v>2023</v>
      </c>
      <c r="E533" t="s">
        <v>198</v>
      </c>
      <c r="F533" t="s">
        <v>12</v>
      </c>
      <c r="G533" t="s">
        <v>212</v>
      </c>
      <c r="H533" t="s">
        <v>195</v>
      </c>
      <c r="I533">
        <v>7</v>
      </c>
      <c r="J533">
        <v>711.96</v>
      </c>
      <c r="K533">
        <v>1</v>
      </c>
      <c r="L533" t="s">
        <v>210</v>
      </c>
      <c r="M533">
        <v>1</v>
      </c>
    </row>
    <row r="534" spans="1:13" x14ac:dyDescent="0.3">
      <c r="A534" t="s">
        <v>743</v>
      </c>
      <c r="B534">
        <v>33</v>
      </c>
      <c r="C534" s="1">
        <v>45011</v>
      </c>
      <c r="D534">
        <v>2023</v>
      </c>
      <c r="E534" t="s">
        <v>190</v>
      </c>
      <c r="F534" t="s">
        <v>13</v>
      </c>
      <c r="G534" t="s">
        <v>212</v>
      </c>
      <c r="H534" t="s">
        <v>204</v>
      </c>
      <c r="I534">
        <v>12</v>
      </c>
      <c r="J534">
        <v>1721.17</v>
      </c>
      <c r="K534">
        <v>1</v>
      </c>
      <c r="L534" t="s">
        <v>193</v>
      </c>
      <c r="M534">
        <v>1</v>
      </c>
    </row>
    <row r="535" spans="1:13" x14ac:dyDescent="0.3">
      <c r="A535" t="s">
        <v>744</v>
      </c>
      <c r="B535">
        <v>33</v>
      </c>
      <c r="C535" s="1">
        <v>45577</v>
      </c>
      <c r="D535">
        <v>2024</v>
      </c>
      <c r="E535" t="s">
        <v>190</v>
      </c>
      <c r="F535" t="s">
        <v>209</v>
      </c>
      <c r="G535" t="s">
        <v>212</v>
      </c>
      <c r="H535" t="s">
        <v>192</v>
      </c>
      <c r="I535">
        <v>3</v>
      </c>
      <c r="J535">
        <v>563.16</v>
      </c>
      <c r="K535">
        <v>0</v>
      </c>
      <c r="L535" t="s">
        <v>210</v>
      </c>
      <c r="M535">
        <v>1</v>
      </c>
    </row>
    <row r="536" spans="1:13" x14ac:dyDescent="0.3">
      <c r="A536" t="s">
        <v>745</v>
      </c>
      <c r="B536">
        <v>33</v>
      </c>
      <c r="C536" s="1">
        <v>45324</v>
      </c>
      <c r="D536">
        <v>2024</v>
      </c>
      <c r="E536" t="s">
        <v>214</v>
      </c>
      <c r="F536" t="s">
        <v>209</v>
      </c>
      <c r="G536" t="s">
        <v>203</v>
      </c>
      <c r="H536" t="s">
        <v>195</v>
      </c>
      <c r="I536">
        <v>7</v>
      </c>
      <c r="J536">
        <v>500.94</v>
      </c>
      <c r="K536">
        <v>0</v>
      </c>
      <c r="L536" t="s">
        <v>215</v>
      </c>
      <c r="M536">
        <v>0</v>
      </c>
    </row>
    <row r="537" spans="1:13" x14ac:dyDescent="0.3">
      <c r="A537" t="s">
        <v>746</v>
      </c>
      <c r="B537">
        <v>33</v>
      </c>
      <c r="C537" s="1">
        <v>45798</v>
      </c>
      <c r="D537">
        <v>2025</v>
      </c>
      <c r="E537" t="s">
        <v>287</v>
      </c>
      <c r="F537" t="s">
        <v>13</v>
      </c>
      <c r="G537" t="s">
        <v>212</v>
      </c>
      <c r="H537" t="s">
        <v>195</v>
      </c>
      <c r="I537">
        <v>14</v>
      </c>
      <c r="J537">
        <v>1747.05</v>
      </c>
      <c r="K537">
        <v>0</v>
      </c>
      <c r="L537" t="s">
        <v>196</v>
      </c>
      <c r="M537">
        <v>1</v>
      </c>
    </row>
    <row r="538" spans="1:13" x14ac:dyDescent="0.3">
      <c r="A538" t="s">
        <v>747</v>
      </c>
      <c r="B538">
        <v>33</v>
      </c>
      <c r="C538" s="1">
        <v>45764</v>
      </c>
      <c r="D538">
        <v>2025</v>
      </c>
      <c r="E538" t="s">
        <v>225</v>
      </c>
      <c r="F538" t="s">
        <v>12</v>
      </c>
      <c r="G538" t="s">
        <v>200</v>
      </c>
      <c r="H538" t="s">
        <v>204</v>
      </c>
      <c r="I538">
        <v>10</v>
      </c>
      <c r="J538">
        <v>1097.3800000000001</v>
      </c>
      <c r="K538">
        <v>0</v>
      </c>
      <c r="L538" t="s">
        <v>201</v>
      </c>
      <c r="M538">
        <v>0</v>
      </c>
    </row>
    <row r="539" spans="1:13" x14ac:dyDescent="0.3">
      <c r="A539" t="s">
        <v>748</v>
      </c>
      <c r="B539">
        <v>33</v>
      </c>
      <c r="C539" s="1">
        <v>45985</v>
      </c>
      <c r="D539">
        <v>2025</v>
      </c>
      <c r="E539" t="s">
        <v>214</v>
      </c>
      <c r="F539" t="s">
        <v>209</v>
      </c>
      <c r="G539" t="s">
        <v>212</v>
      </c>
      <c r="H539" t="s">
        <v>192</v>
      </c>
      <c r="I539">
        <v>9</v>
      </c>
      <c r="J539">
        <v>433.35</v>
      </c>
      <c r="K539">
        <v>0</v>
      </c>
      <c r="L539" t="s">
        <v>215</v>
      </c>
      <c r="M539">
        <v>1</v>
      </c>
    </row>
    <row r="540" spans="1:13" x14ac:dyDescent="0.3">
      <c r="A540" t="s">
        <v>749</v>
      </c>
      <c r="B540">
        <v>34</v>
      </c>
      <c r="C540" s="1">
        <v>44341</v>
      </c>
      <c r="D540">
        <v>2021</v>
      </c>
      <c r="E540" t="s">
        <v>214</v>
      </c>
      <c r="F540" t="s">
        <v>13</v>
      </c>
      <c r="G540" t="s">
        <v>200</v>
      </c>
      <c r="H540" t="s">
        <v>204</v>
      </c>
      <c r="I540">
        <v>4</v>
      </c>
      <c r="J540">
        <v>3836.36</v>
      </c>
      <c r="K540">
        <v>0</v>
      </c>
      <c r="L540" t="s">
        <v>201</v>
      </c>
      <c r="M540">
        <v>1</v>
      </c>
    </row>
    <row r="541" spans="1:13" x14ac:dyDescent="0.3">
      <c r="A541" t="s">
        <v>750</v>
      </c>
      <c r="B541">
        <v>34</v>
      </c>
      <c r="C541" s="1">
        <v>44372</v>
      </c>
      <c r="D541">
        <v>2021</v>
      </c>
      <c r="E541" t="s">
        <v>214</v>
      </c>
      <c r="F541" t="s">
        <v>199</v>
      </c>
      <c r="G541" t="s">
        <v>200</v>
      </c>
      <c r="H541" t="s">
        <v>195</v>
      </c>
      <c r="I541">
        <v>10</v>
      </c>
      <c r="J541">
        <v>6466.18</v>
      </c>
      <c r="K541">
        <v>0</v>
      </c>
      <c r="L541" t="s">
        <v>196</v>
      </c>
      <c r="M541">
        <v>0</v>
      </c>
    </row>
    <row r="542" spans="1:13" x14ac:dyDescent="0.3">
      <c r="A542" t="s">
        <v>751</v>
      </c>
      <c r="B542">
        <v>34</v>
      </c>
      <c r="C542" s="1">
        <v>44314</v>
      </c>
      <c r="D542">
        <v>2021</v>
      </c>
      <c r="E542" t="s">
        <v>198</v>
      </c>
      <c r="F542" t="s">
        <v>199</v>
      </c>
      <c r="G542" t="s">
        <v>203</v>
      </c>
      <c r="H542" t="s">
        <v>206</v>
      </c>
      <c r="I542">
        <v>18</v>
      </c>
      <c r="J542">
        <v>7246.96</v>
      </c>
      <c r="K542">
        <v>1</v>
      </c>
      <c r="L542" t="s">
        <v>196</v>
      </c>
      <c r="M542">
        <v>0</v>
      </c>
    </row>
    <row r="543" spans="1:13" x14ac:dyDescent="0.3">
      <c r="A543" t="s">
        <v>752</v>
      </c>
      <c r="B543">
        <v>34</v>
      </c>
      <c r="C543" s="1">
        <v>44675</v>
      </c>
      <c r="D543">
        <v>2022</v>
      </c>
      <c r="E543" t="s">
        <v>227</v>
      </c>
      <c r="F543" t="s">
        <v>12</v>
      </c>
      <c r="G543" t="s">
        <v>212</v>
      </c>
      <c r="H543" t="s">
        <v>195</v>
      </c>
      <c r="I543">
        <v>14</v>
      </c>
      <c r="J543">
        <v>1288.02</v>
      </c>
      <c r="K543">
        <v>0</v>
      </c>
      <c r="L543" t="s">
        <v>201</v>
      </c>
      <c r="M543">
        <v>1</v>
      </c>
    </row>
    <row r="544" spans="1:13" x14ac:dyDescent="0.3">
      <c r="A544" t="s">
        <v>753</v>
      </c>
      <c r="B544">
        <v>34</v>
      </c>
      <c r="C544" s="1">
        <v>44635</v>
      </c>
      <c r="D544">
        <v>2022</v>
      </c>
      <c r="E544" t="s">
        <v>219</v>
      </c>
      <c r="F544" t="s">
        <v>13</v>
      </c>
      <c r="G544" t="s">
        <v>212</v>
      </c>
      <c r="H544" t="s">
        <v>204</v>
      </c>
      <c r="I544">
        <v>19</v>
      </c>
      <c r="J544">
        <v>1869.09</v>
      </c>
      <c r="K544">
        <v>0</v>
      </c>
      <c r="L544" t="s">
        <v>201</v>
      </c>
      <c r="M544">
        <v>1</v>
      </c>
    </row>
    <row r="545" spans="1:13" x14ac:dyDescent="0.3">
      <c r="A545" t="s">
        <v>754</v>
      </c>
      <c r="B545">
        <v>34</v>
      </c>
      <c r="C545" s="1">
        <v>44689</v>
      </c>
      <c r="D545">
        <v>2022</v>
      </c>
      <c r="E545" t="s">
        <v>214</v>
      </c>
      <c r="F545" t="s">
        <v>12</v>
      </c>
      <c r="G545" t="s">
        <v>191</v>
      </c>
      <c r="H545" t="s">
        <v>206</v>
      </c>
      <c r="I545">
        <v>11</v>
      </c>
      <c r="J545">
        <v>492.91</v>
      </c>
      <c r="K545">
        <v>0</v>
      </c>
      <c r="L545" t="s">
        <v>210</v>
      </c>
      <c r="M545">
        <v>1</v>
      </c>
    </row>
    <row r="546" spans="1:13" x14ac:dyDescent="0.3">
      <c r="A546" t="s">
        <v>755</v>
      </c>
      <c r="B546">
        <v>34</v>
      </c>
      <c r="C546" s="1">
        <v>45497</v>
      </c>
      <c r="D546">
        <v>2024</v>
      </c>
      <c r="E546" t="s">
        <v>198</v>
      </c>
      <c r="F546" t="s">
        <v>13</v>
      </c>
      <c r="G546" t="s">
        <v>191</v>
      </c>
      <c r="H546" t="s">
        <v>192</v>
      </c>
      <c r="I546">
        <v>3</v>
      </c>
      <c r="J546">
        <v>2399.35</v>
      </c>
      <c r="K546">
        <v>1</v>
      </c>
      <c r="L546" t="s">
        <v>193</v>
      </c>
      <c r="M546">
        <v>0</v>
      </c>
    </row>
    <row r="547" spans="1:13" x14ac:dyDescent="0.3">
      <c r="A547" t="s">
        <v>756</v>
      </c>
      <c r="B547">
        <v>34</v>
      </c>
      <c r="C547" s="1">
        <v>45390</v>
      </c>
      <c r="D547">
        <v>2024</v>
      </c>
      <c r="E547" t="s">
        <v>190</v>
      </c>
      <c r="F547" t="s">
        <v>199</v>
      </c>
      <c r="G547" t="s">
        <v>191</v>
      </c>
      <c r="H547" t="s">
        <v>195</v>
      </c>
      <c r="I547">
        <v>2</v>
      </c>
      <c r="J547">
        <v>4736.5600000000004</v>
      </c>
      <c r="K547">
        <v>1</v>
      </c>
      <c r="L547" t="s">
        <v>201</v>
      </c>
      <c r="M547">
        <v>0</v>
      </c>
    </row>
    <row r="548" spans="1:13" x14ac:dyDescent="0.3">
      <c r="A548" t="s">
        <v>757</v>
      </c>
      <c r="B548">
        <v>34</v>
      </c>
      <c r="C548" s="1">
        <v>45590</v>
      </c>
      <c r="D548">
        <v>2024</v>
      </c>
      <c r="E548" t="s">
        <v>190</v>
      </c>
      <c r="F548" t="s">
        <v>12</v>
      </c>
      <c r="G548" t="s">
        <v>212</v>
      </c>
      <c r="H548" t="s">
        <v>206</v>
      </c>
      <c r="I548">
        <v>18</v>
      </c>
      <c r="J548">
        <v>759</v>
      </c>
      <c r="K548">
        <v>0</v>
      </c>
      <c r="L548" t="s">
        <v>201</v>
      </c>
      <c r="M548">
        <v>1</v>
      </c>
    </row>
    <row r="549" spans="1:13" x14ac:dyDescent="0.3">
      <c r="A549" t="s">
        <v>758</v>
      </c>
      <c r="B549">
        <v>34</v>
      </c>
      <c r="C549" s="1">
        <v>45663</v>
      </c>
      <c r="D549">
        <v>2025</v>
      </c>
      <c r="E549" t="s">
        <v>198</v>
      </c>
      <c r="F549" t="s">
        <v>209</v>
      </c>
      <c r="G549" t="s">
        <v>212</v>
      </c>
      <c r="H549" t="s">
        <v>206</v>
      </c>
      <c r="I549">
        <v>15</v>
      </c>
      <c r="J549">
        <v>249.01</v>
      </c>
      <c r="K549">
        <v>1</v>
      </c>
      <c r="L549" t="s">
        <v>215</v>
      </c>
      <c r="M549">
        <v>1</v>
      </c>
    </row>
    <row r="550" spans="1:13" x14ac:dyDescent="0.3">
      <c r="A550" t="s">
        <v>759</v>
      </c>
      <c r="B550">
        <v>34</v>
      </c>
      <c r="C550" s="1">
        <v>45901</v>
      </c>
      <c r="D550">
        <v>2025</v>
      </c>
      <c r="E550" t="s">
        <v>198</v>
      </c>
      <c r="F550" t="s">
        <v>199</v>
      </c>
      <c r="G550" t="s">
        <v>203</v>
      </c>
      <c r="H550" t="s">
        <v>195</v>
      </c>
      <c r="I550">
        <v>13</v>
      </c>
      <c r="J550">
        <v>7884.51</v>
      </c>
      <c r="K550">
        <v>1</v>
      </c>
      <c r="L550" t="s">
        <v>193</v>
      </c>
      <c r="M550">
        <v>0</v>
      </c>
    </row>
    <row r="551" spans="1:13" x14ac:dyDescent="0.3">
      <c r="A551" t="s">
        <v>760</v>
      </c>
      <c r="B551">
        <v>34</v>
      </c>
      <c r="C551" s="1">
        <v>45677</v>
      </c>
      <c r="D551">
        <v>2025</v>
      </c>
      <c r="E551" t="s">
        <v>225</v>
      </c>
      <c r="F551" t="s">
        <v>13</v>
      </c>
      <c r="G551" t="s">
        <v>191</v>
      </c>
      <c r="H551" t="s">
        <v>192</v>
      </c>
      <c r="I551">
        <v>15</v>
      </c>
      <c r="J551">
        <v>2811.07</v>
      </c>
      <c r="K551">
        <v>1</v>
      </c>
      <c r="L551" t="s">
        <v>215</v>
      </c>
      <c r="M551">
        <v>0</v>
      </c>
    </row>
    <row r="552" spans="1:13" x14ac:dyDescent="0.3">
      <c r="A552" t="s">
        <v>761</v>
      </c>
      <c r="B552">
        <v>35</v>
      </c>
      <c r="C552" s="1">
        <v>44245</v>
      </c>
      <c r="D552">
        <v>2021</v>
      </c>
      <c r="E552" t="s">
        <v>214</v>
      </c>
      <c r="F552" t="s">
        <v>13</v>
      </c>
      <c r="G552" t="s">
        <v>200</v>
      </c>
      <c r="H552" t="s">
        <v>195</v>
      </c>
      <c r="I552">
        <v>17</v>
      </c>
      <c r="J552">
        <v>3990.8</v>
      </c>
      <c r="K552">
        <v>1</v>
      </c>
      <c r="L552" t="s">
        <v>201</v>
      </c>
      <c r="M552">
        <v>0</v>
      </c>
    </row>
    <row r="553" spans="1:13" x14ac:dyDescent="0.3">
      <c r="A553" t="s">
        <v>762</v>
      </c>
      <c r="B553">
        <v>35</v>
      </c>
      <c r="C553" s="1">
        <v>44306</v>
      </c>
      <c r="D553">
        <v>2021</v>
      </c>
      <c r="E553" t="s">
        <v>214</v>
      </c>
      <c r="F553" t="s">
        <v>13</v>
      </c>
      <c r="G553" t="s">
        <v>200</v>
      </c>
      <c r="H553" t="s">
        <v>192</v>
      </c>
      <c r="I553">
        <v>7</v>
      </c>
      <c r="J553">
        <v>3086.25</v>
      </c>
      <c r="K553">
        <v>1</v>
      </c>
      <c r="L553" t="s">
        <v>210</v>
      </c>
      <c r="M553">
        <v>0</v>
      </c>
    </row>
    <row r="554" spans="1:13" x14ac:dyDescent="0.3">
      <c r="A554" t="s">
        <v>763</v>
      </c>
      <c r="B554">
        <v>35</v>
      </c>
      <c r="C554" s="1">
        <v>44401</v>
      </c>
      <c r="D554">
        <v>2021</v>
      </c>
      <c r="E554" t="s">
        <v>198</v>
      </c>
      <c r="F554" t="s">
        <v>199</v>
      </c>
      <c r="G554" t="s">
        <v>203</v>
      </c>
      <c r="H554" t="s">
        <v>192</v>
      </c>
      <c r="I554">
        <v>16</v>
      </c>
      <c r="J554">
        <v>4857.68</v>
      </c>
      <c r="K554">
        <v>1</v>
      </c>
      <c r="L554" t="s">
        <v>196</v>
      </c>
      <c r="M554">
        <v>0</v>
      </c>
    </row>
    <row r="555" spans="1:13" x14ac:dyDescent="0.3">
      <c r="A555" t="s">
        <v>764</v>
      </c>
      <c r="B555">
        <v>35</v>
      </c>
      <c r="C555" s="1">
        <v>44231</v>
      </c>
      <c r="D555">
        <v>2021</v>
      </c>
      <c r="E555" t="s">
        <v>225</v>
      </c>
      <c r="F555" t="s">
        <v>199</v>
      </c>
      <c r="G555" t="s">
        <v>191</v>
      </c>
      <c r="H555" t="s">
        <v>192</v>
      </c>
      <c r="I555">
        <v>8</v>
      </c>
      <c r="J555">
        <v>2804.63</v>
      </c>
      <c r="K555">
        <v>0</v>
      </c>
      <c r="L555" t="s">
        <v>196</v>
      </c>
      <c r="M555">
        <v>0</v>
      </c>
    </row>
    <row r="556" spans="1:13" x14ac:dyDescent="0.3">
      <c r="A556" t="s">
        <v>765</v>
      </c>
      <c r="B556">
        <v>35</v>
      </c>
      <c r="C556" s="1">
        <v>44472</v>
      </c>
      <c r="D556">
        <v>2021</v>
      </c>
      <c r="E556" t="s">
        <v>190</v>
      </c>
      <c r="F556" t="s">
        <v>12</v>
      </c>
      <c r="G556" t="s">
        <v>200</v>
      </c>
      <c r="H556" t="s">
        <v>192</v>
      </c>
      <c r="I556">
        <v>16</v>
      </c>
      <c r="J556">
        <v>516.07000000000005</v>
      </c>
      <c r="K556">
        <v>0</v>
      </c>
      <c r="L556" t="s">
        <v>210</v>
      </c>
      <c r="M556">
        <v>0</v>
      </c>
    </row>
    <row r="557" spans="1:13" x14ac:dyDescent="0.3">
      <c r="A557" t="s">
        <v>766</v>
      </c>
      <c r="B557">
        <v>35</v>
      </c>
      <c r="C557" s="1">
        <v>44359</v>
      </c>
      <c r="D557">
        <v>2021</v>
      </c>
      <c r="E557" t="s">
        <v>198</v>
      </c>
      <c r="F557" t="s">
        <v>199</v>
      </c>
      <c r="G557" t="s">
        <v>212</v>
      </c>
      <c r="H557" t="s">
        <v>195</v>
      </c>
      <c r="I557">
        <v>12</v>
      </c>
      <c r="J557">
        <v>7160.87</v>
      </c>
      <c r="K557">
        <v>1</v>
      </c>
      <c r="L557" t="s">
        <v>193</v>
      </c>
      <c r="M557">
        <v>1</v>
      </c>
    </row>
    <row r="558" spans="1:13" x14ac:dyDescent="0.3">
      <c r="A558" t="s">
        <v>767</v>
      </c>
      <c r="B558">
        <v>35</v>
      </c>
      <c r="C558" s="1">
        <v>45206</v>
      </c>
      <c r="D558">
        <v>2023</v>
      </c>
      <c r="E558" t="s">
        <v>198</v>
      </c>
      <c r="F558" t="s">
        <v>12</v>
      </c>
      <c r="G558" t="s">
        <v>200</v>
      </c>
      <c r="H558" t="s">
        <v>204</v>
      </c>
      <c r="I558">
        <v>15</v>
      </c>
      <c r="J558">
        <v>943.16</v>
      </c>
      <c r="K558">
        <v>1</v>
      </c>
      <c r="L558" t="s">
        <v>215</v>
      </c>
      <c r="M558">
        <v>1</v>
      </c>
    </row>
    <row r="559" spans="1:13" x14ac:dyDescent="0.3">
      <c r="A559" t="s">
        <v>768</v>
      </c>
      <c r="B559">
        <v>35</v>
      </c>
      <c r="C559" s="1">
        <v>45087</v>
      </c>
      <c r="D559">
        <v>2023</v>
      </c>
      <c r="E559" t="s">
        <v>198</v>
      </c>
      <c r="F559" t="s">
        <v>199</v>
      </c>
      <c r="G559" t="s">
        <v>191</v>
      </c>
      <c r="H559" t="s">
        <v>195</v>
      </c>
      <c r="I559">
        <v>4</v>
      </c>
      <c r="J559">
        <v>5407.34</v>
      </c>
      <c r="K559">
        <v>1</v>
      </c>
      <c r="L559" t="s">
        <v>196</v>
      </c>
      <c r="M559">
        <v>0</v>
      </c>
    </row>
    <row r="560" spans="1:13" x14ac:dyDescent="0.3">
      <c r="A560" t="s">
        <v>769</v>
      </c>
      <c r="B560">
        <v>35</v>
      </c>
      <c r="C560" s="1">
        <v>45223</v>
      </c>
      <c r="D560">
        <v>2023</v>
      </c>
      <c r="E560" t="s">
        <v>198</v>
      </c>
      <c r="F560" t="s">
        <v>13</v>
      </c>
      <c r="G560" t="s">
        <v>212</v>
      </c>
      <c r="H560" t="s">
        <v>206</v>
      </c>
      <c r="I560">
        <v>11</v>
      </c>
      <c r="J560">
        <v>2104.73</v>
      </c>
      <c r="K560">
        <v>1</v>
      </c>
      <c r="L560" t="s">
        <v>215</v>
      </c>
      <c r="M560">
        <v>1</v>
      </c>
    </row>
    <row r="561" spans="1:13" x14ac:dyDescent="0.3">
      <c r="A561" t="s">
        <v>770</v>
      </c>
      <c r="B561">
        <v>35</v>
      </c>
      <c r="C561" s="1">
        <v>45056</v>
      </c>
      <c r="D561">
        <v>2023</v>
      </c>
      <c r="E561" t="s">
        <v>287</v>
      </c>
      <c r="F561" t="s">
        <v>13</v>
      </c>
      <c r="G561" t="s">
        <v>203</v>
      </c>
      <c r="H561" t="s">
        <v>206</v>
      </c>
      <c r="I561">
        <v>9</v>
      </c>
      <c r="J561">
        <v>2208.5700000000002</v>
      </c>
      <c r="K561">
        <v>0</v>
      </c>
      <c r="L561" t="s">
        <v>196</v>
      </c>
      <c r="M561">
        <v>1</v>
      </c>
    </row>
    <row r="562" spans="1:13" x14ac:dyDescent="0.3">
      <c r="A562" t="s">
        <v>771</v>
      </c>
      <c r="B562">
        <v>35</v>
      </c>
      <c r="C562" s="1">
        <v>45584</v>
      </c>
      <c r="D562">
        <v>2024</v>
      </c>
      <c r="E562" t="s">
        <v>198</v>
      </c>
      <c r="F562" t="s">
        <v>199</v>
      </c>
      <c r="G562" t="s">
        <v>191</v>
      </c>
      <c r="H562" t="s">
        <v>204</v>
      </c>
      <c r="I562">
        <v>15</v>
      </c>
      <c r="J562">
        <v>6029.62</v>
      </c>
      <c r="K562">
        <v>1</v>
      </c>
      <c r="L562" t="s">
        <v>196</v>
      </c>
      <c r="M562">
        <v>0</v>
      </c>
    </row>
    <row r="563" spans="1:13" x14ac:dyDescent="0.3">
      <c r="A563" t="s">
        <v>772</v>
      </c>
      <c r="B563">
        <v>35</v>
      </c>
      <c r="C563" s="1">
        <v>45507</v>
      </c>
      <c r="D563">
        <v>2024</v>
      </c>
      <c r="E563" t="s">
        <v>198</v>
      </c>
      <c r="F563" t="s">
        <v>199</v>
      </c>
      <c r="G563" t="s">
        <v>212</v>
      </c>
      <c r="H563" t="s">
        <v>195</v>
      </c>
      <c r="I563">
        <v>11</v>
      </c>
      <c r="J563">
        <v>5628.19</v>
      </c>
      <c r="K563">
        <v>1</v>
      </c>
      <c r="L563" t="s">
        <v>196</v>
      </c>
      <c r="M563">
        <v>1</v>
      </c>
    </row>
    <row r="564" spans="1:13" x14ac:dyDescent="0.3">
      <c r="A564" t="s">
        <v>773</v>
      </c>
      <c r="B564">
        <v>35</v>
      </c>
      <c r="C564" s="1">
        <v>45413</v>
      </c>
      <c r="D564">
        <v>2024</v>
      </c>
      <c r="E564" t="s">
        <v>190</v>
      </c>
      <c r="F564" t="s">
        <v>199</v>
      </c>
      <c r="G564" t="s">
        <v>212</v>
      </c>
      <c r="H564" t="s">
        <v>192</v>
      </c>
      <c r="I564">
        <v>17</v>
      </c>
      <c r="J564">
        <v>7212.59</v>
      </c>
      <c r="K564">
        <v>0</v>
      </c>
      <c r="L564" t="s">
        <v>196</v>
      </c>
      <c r="M564">
        <v>1</v>
      </c>
    </row>
    <row r="565" spans="1:13" x14ac:dyDescent="0.3">
      <c r="A565" t="s">
        <v>774</v>
      </c>
      <c r="B565">
        <v>35</v>
      </c>
      <c r="C565" s="1">
        <v>45328</v>
      </c>
      <c r="D565">
        <v>2024</v>
      </c>
      <c r="E565" t="s">
        <v>198</v>
      </c>
      <c r="F565" t="s">
        <v>199</v>
      </c>
      <c r="G565" t="s">
        <v>203</v>
      </c>
      <c r="H565" t="s">
        <v>195</v>
      </c>
      <c r="I565">
        <v>11</v>
      </c>
      <c r="J565">
        <v>6769.48</v>
      </c>
      <c r="K565">
        <v>1</v>
      </c>
      <c r="L565" t="s">
        <v>196</v>
      </c>
      <c r="M565">
        <v>1</v>
      </c>
    </row>
    <row r="566" spans="1:13" x14ac:dyDescent="0.3">
      <c r="A566" t="s">
        <v>775</v>
      </c>
      <c r="B566">
        <v>35</v>
      </c>
      <c r="C566" s="1">
        <v>45305</v>
      </c>
      <c r="D566">
        <v>2024</v>
      </c>
      <c r="E566" t="s">
        <v>190</v>
      </c>
      <c r="F566" t="s">
        <v>209</v>
      </c>
      <c r="G566" t="s">
        <v>212</v>
      </c>
      <c r="H566" t="s">
        <v>206</v>
      </c>
      <c r="I566">
        <v>9</v>
      </c>
      <c r="J566">
        <v>384.14</v>
      </c>
      <c r="K566">
        <v>0</v>
      </c>
      <c r="L566" t="s">
        <v>215</v>
      </c>
      <c r="M566">
        <v>1</v>
      </c>
    </row>
    <row r="567" spans="1:13" x14ac:dyDescent="0.3">
      <c r="A567" t="s">
        <v>776</v>
      </c>
      <c r="B567">
        <v>35</v>
      </c>
      <c r="C567" s="1">
        <v>45312</v>
      </c>
      <c r="D567">
        <v>2024</v>
      </c>
      <c r="E567" t="s">
        <v>225</v>
      </c>
      <c r="F567" t="s">
        <v>13</v>
      </c>
      <c r="G567" t="s">
        <v>203</v>
      </c>
      <c r="H567" t="s">
        <v>206</v>
      </c>
      <c r="I567">
        <v>5</v>
      </c>
      <c r="J567">
        <v>3173.2</v>
      </c>
      <c r="K567">
        <v>0</v>
      </c>
      <c r="L567" t="s">
        <v>210</v>
      </c>
      <c r="M567">
        <v>0</v>
      </c>
    </row>
    <row r="568" spans="1:13" x14ac:dyDescent="0.3">
      <c r="A568" t="s">
        <v>777</v>
      </c>
      <c r="B568">
        <v>35</v>
      </c>
      <c r="C568" s="1">
        <v>45829</v>
      </c>
      <c r="D568">
        <v>2025</v>
      </c>
      <c r="E568" t="s">
        <v>214</v>
      </c>
      <c r="F568" t="s">
        <v>199</v>
      </c>
      <c r="G568" t="s">
        <v>200</v>
      </c>
      <c r="H568" t="s">
        <v>192</v>
      </c>
      <c r="I568">
        <v>12</v>
      </c>
      <c r="J568">
        <v>6663.57</v>
      </c>
      <c r="K568">
        <v>0</v>
      </c>
      <c r="L568" t="s">
        <v>196</v>
      </c>
      <c r="M568">
        <v>1</v>
      </c>
    </row>
    <row r="569" spans="1:13" x14ac:dyDescent="0.3">
      <c r="A569" t="s">
        <v>778</v>
      </c>
      <c r="B569">
        <v>35</v>
      </c>
      <c r="C569" s="1">
        <v>45822</v>
      </c>
      <c r="D569">
        <v>2025</v>
      </c>
      <c r="E569" t="s">
        <v>190</v>
      </c>
      <c r="F569" t="s">
        <v>209</v>
      </c>
      <c r="G569" t="s">
        <v>203</v>
      </c>
      <c r="H569" t="s">
        <v>195</v>
      </c>
      <c r="I569">
        <v>7</v>
      </c>
      <c r="J569">
        <v>366</v>
      </c>
      <c r="K569">
        <v>0</v>
      </c>
      <c r="L569" t="s">
        <v>210</v>
      </c>
      <c r="M569">
        <v>1</v>
      </c>
    </row>
    <row r="570" spans="1:13" x14ac:dyDescent="0.3">
      <c r="A570" t="s">
        <v>779</v>
      </c>
      <c r="B570">
        <v>35</v>
      </c>
      <c r="C570" s="1">
        <v>45729</v>
      </c>
      <c r="D570">
        <v>2025</v>
      </c>
      <c r="E570" t="s">
        <v>219</v>
      </c>
      <c r="F570" t="s">
        <v>12</v>
      </c>
      <c r="G570" t="s">
        <v>212</v>
      </c>
      <c r="H570" t="s">
        <v>192</v>
      </c>
      <c r="I570">
        <v>5</v>
      </c>
      <c r="J570">
        <v>582.54999999999995</v>
      </c>
      <c r="K570">
        <v>0</v>
      </c>
      <c r="L570" t="s">
        <v>201</v>
      </c>
      <c r="M570">
        <v>1</v>
      </c>
    </row>
    <row r="571" spans="1:13" x14ac:dyDescent="0.3">
      <c r="A571" t="s">
        <v>780</v>
      </c>
      <c r="B571">
        <v>36</v>
      </c>
      <c r="C571" s="1">
        <v>44361</v>
      </c>
      <c r="D571">
        <v>2021</v>
      </c>
      <c r="E571" t="s">
        <v>287</v>
      </c>
      <c r="F571" t="s">
        <v>12</v>
      </c>
      <c r="G571" t="s">
        <v>212</v>
      </c>
      <c r="H571" t="s">
        <v>192</v>
      </c>
      <c r="I571">
        <v>15</v>
      </c>
      <c r="J571">
        <v>1288.27</v>
      </c>
      <c r="K571">
        <v>0</v>
      </c>
      <c r="L571" t="s">
        <v>215</v>
      </c>
      <c r="M571">
        <v>1</v>
      </c>
    </row>
    <row r="572" spans="1:13" x14ac:dyDescent="0.3">
      <c r="A572" t="s">
        <v>781</v>
      </c>
      <c r="B572">
        <v>36</v>
      </c>
      <c r="C572" s="1">
        <v>44450</v>
      </c>
      <c r="D572">
        <v>2021</v>
      </c>
      <c r="E572" t="s">
        <v>287</v>
      </c>
      <c r="F572" t="s">
        <v>13</v>
      </c>
      <c r="G572" t="s">
        <v>200</v>
      </c>
      <c r="H572" t="s">
        <v>195</v>
      </c>
      <c r="I572">
        <v>16</v>
      </c>
      <c r="J572">
        <v>2624.4</v>
      </c>
      <c r="K572">
        <v>1</v>
      </c>
      <c r="L572" t="s">
        <v>201</v>
      </c>
      <c r="M572">
        <v>0</v>
      </c>
    </row>
    <row r="573" spans="1:13" x14ac:dyDescent="0.3">
      <c r="A573" t="s">
        <v>782</v>
      </c>
      <c r="B573">
        <v>36</v>
      </c>
      <c r="C573" s="1">
        <v>44448</v>
      </c>
      <c r="D573">
        <v>2021</v>
      </c>
      <c r="E573" t="s">
        <v>227</v>
      </c>
      <c r="F573" t="s">
        <v>209</v>
      </c>
      <c r="G573" t="s">
        <v>212</v>
      </c>
      <c r="H573" t="s">
        <v>192</v>
      </c>
      <c r="I573">
        <v>9</v>
      </c>
      <c r="J573">
        <v>3.91</v>
      </c>
      <c r="K573">
        <v>0</v>
      </c>
      <c r="L573" t="s">
        <v>215</v>
      </c>
      <c r="M573">
        <v>1</v>
      </c>
    </row>
    <row r="574" spans="1:13" x14ac:dyDescent="0.3">
      <c r="A574" t="s">
        <v>783</v>
      </c>
      <c r="B574">
        <v>36</v>
      </c>
      <c r="C574" s="1">
        <v>44390</v>
      </c>
      <c r="D574">
        <v>2021</v>
      </c>
      <c r="E574" t="s">
        <v>198</v>
      </c>
      <c r="F574" t="s">
        <v>209</v>
      </c>
      <c r="G574" t="s">
        <v>212</v>
      </c>
      <c r="H574" t="s">
        <v>204</v>
      </c>
      <c r="I574">
        <v>16</v>
      </c>
      <c r="J574">
        <v>45.03</v>
      </c>
      <c r="K574">
        <v>1</v>
      </c>
      <c r="L574" t="s">
        <v>201</v>
      </c>
      <c r="M574">
        <v>1</v>
      </c>
    </row>
    <row r="575" spans="1:13" x14ac:dyDescent="0.3">
      <c r="A575" t="s">
        <v>784</v>
      </c>
      <c r="B575">
        <v>36</v>
      </c>
      <c r="C575" s="1">
        <v>44374</v>
      </c>
      <c r="D575">
        <v>2021</v>
      </c>
      <c r="E575" t="s">
        <v>198</v>
      </c>
      <c r="F575" t="s">
        <v>13</v>
      </c>
      <c r="G575" t="s">
        <v>212</v>
      </c>
      <c r="H575" t="s">
        <v>204</v>
      </c>
      <c r="I575">
        <v>17</v>
      </c>
      <c r="J575">
        <v>1879.1</v>
      </c>
      <c r="K575">
        <v>1</v>
      </c>
      <c r="L575" t="s">
        <v>201</v>
      </c>
      <c r="M575">
        <v>1</v>
      </c>
    </row>
    <row r="576" spans="1:13" x14ac:dyDescent="0.3">
      <c r="A576" t="s">
        <v>785</v>
      </c>
      <c r="B576">
        <v>36</v>
      </c>
      <c r="C576" s="1">
        <v>44349</v>
      </c>
      <c r="D576">
        <v>2021</v>
      </c>
      <c r="E576" t="s">
        <v>190</v>
      </c>
      <c r="F576" t="s">
        <v>199</v>
      </c>
      <c r="G576" t="s">
        <v>191</v>
      </c>
      <c r="H576" t="s">
        <v>204</v>
      </c>
      <c r="I576">
        <v>2</v>
      </c>
      <c r="J576">
        <v>6031.4</v>
      </c>
      <c r="K576">
        <v>0</v>
      </c>
      <c r="L576" t="s">
        <v>196</v>
      </c>
      <c r="M576">
        <v>0</v>
      </c>
    </row>
    <row r="577" spans="1:13" x14ac:dyDescent="0.3">
      <c r="A577" t="s">
        <v>786</v>
      </c>
      <c r="B577">
        <v>36</v>
      </c>
      <c r="C577" s="1">
        <v>44690</v>
      </c>
      <c r="D577">
        <v>2022</v>
      </c>
      <c r="E577" t="s">
        <v>214</v>
      </c>
      <c r="F577" t="s">
        <v>12</v>
      </c>
      <c r="G577" t="s">
        <v>212</v>
      </c>
      <c r="H577" t="s">
        <v>192</v>
      </c>
      <c r="I577">
        <v>7</v>
      </c>
      <c r="J577">
        <v>452.89</v>
      </c>
      <c r="K577">
        <v>0</v>
      </c>
      <c r="L577" t="s">
        <v>215</v>
      </c>
      <c r="M577">
        <v>1</v>
      </c>
    </row>
    <row r="578" spans="1:13" x14ac:dyDescent="0.3">
      <c r="A578" t="s">
        <v>787</v>
      </c>
      <c r="B578">
        <v>36</v>
      </c>
      <c r="C578" s="1">
        <v>44644</v>
      </c>
      <c r="D578">
        <v>2022</v>
      </c>
      <c r="E578" t="s">
        <v>214</v>
      </c>
      <c r="F578" t="s">
        <v>13</v>
      </c>
      <c r="G578" t="s">
        <v>212</v>
      </c>
      <c r="H578" t="s">
        <v>204</v>
      </c>
      <c r="I578">
        <v>2</v>
      </c>
      <c r="J578">
        <v>2033.65</v>
      </c>
      <c r="K578">
        <v>0</v>
      </c>
      <c r="L578" t="s">
        <v>193</v>
      </c>
      <c r="M578">
        <v>1</v>
      </c>
    </row>
    <row r="579" spans="1:13" x14ac:dyDescent="0.3">
      <c r="A579" t="s">
        <v>788</v>
      </c>
      <c r="B579">
        <v>36</v>
      </c>
      <c r="C579" s="1">
        <v>44797</v>
      </c>
      <c r="D579">
        <v>2022</v>
      </c>
      <c r="E579" t="s">
        <v>219</v>
      </c>
      <c r="F579" t="s">
        <v>12</v>
      </c>
      <c r="G579" t="s">
        <v>212</v>
      </c>
      <c r="H579" t="s">
        <v>204</v>
      </c>
      <c r="I579">
        <v>9</v>
      </c>
      <c r="J579">
        <v>451.21</v>
      </c>
      <c r="K579">
        <v>0</v>
      </c>
      <c r="L579" t="s">
        <v>215</v>
      </c>
      <c r="M579">
        <v>1</v>
      </c>
    </row>
    <row r="580" spans="1:13" x14ac:dyDescent="0.3">
      <c r="A580" t="s">
        <v>789</v>
      </c>
      <c r="B580">
        <v>36</v>
      </c>
      <c r="C580" s="1">
        <v>44939</v>
      </c>
      <c r="D580">
        <v>2023</v>
      </c>
      <c r="E580" t="s">
        <v>287</v>
      </c>
      <c r="F580" t="s">
        <v>12</v>
      </c>
      <c r="G580" t="s">
        <v>203</v>
      </c>
      <c r="H580" t="s">
        <v>206</v>
      </c>
      <c r="I580">
        <v>2</v>
      </c>
      <c r="J580">
        <v>498.05</v>
      </c>
      <c r="K580">
        <v>0</v>
      </c>
      <c r="L580" t="s">
        <v>210</v>
      </c>
      <c r="M580">
        <v>0</v>
      </c>
    </row>
    <row r="581" spans="1:13" x14ac:dyDescent="0.3">
      <c r="A581" t="s">
        <v>790</v>
      </c>
      <c r="B581">
        <v>36</v>
      </c>
      <c r="C581" s="1">
        <v>45089</v>
      </c>
      <c r="D581">
        <v>2023</v>
      </c>
      <c r="E581" t="s">
        <v>190</v>
      </c>
      <c r="F581" t="s">
        <v>209</v>
      </c>
      <c r="G581" t="s">
        <v>212</v>
      </c>
      <c r="H581" t="s">
        <v>204</v>
      </c>
      <c r="I581">
        <v>2</v>
      </c>
      <c r="J581">
        <v>65.23</v>
      </c>
      <c r="K581">
        <v>0</v>
      </c>
      <c r="L581" t="s">
        <v>210</v>
      </c>
      <c r="M581">
        <v>1</v>
      </c>
    </row>
    <row r="582" spans="1:13" x14ac:dyDescent="0.3">
      <c r="A582" t="s">
        <v>791</v>
      </c>
      <c r="B582">
        <v>36</v>
      </c>
      <c r="C582" s="1">
        <v>45410</v>
      </c>
      <c r="D582">
        <v>2024</v>
      </c>
      <c r="E582" t="s">
        <v>287</v>
      </c>
      <c r="F582" t="s">
        <v>199</v>
      </c>
      <c r="G582" t="s">
        <v>200</v>
      </c>
      <c r="H582" t="s">
        <v>204</v>
      </c>
      <c r="I582">
        <v>10</v>
      </c>
      <c r="J582">
        <v>3808.85</v>
      </c>
      <c r="K582">
        <v>1</v>
      </c>
      <c r="L582" t="s">
        <v>196</v>
      </c>
      <c r="M582">
        <v>0</v>
      </c>
    </row>
    <row r="583" spans="1:13" x14ac:dyDescent="0.3">
      <c r="A583" t="s">
        <v>792</v>
      </c>
      <c r="B583">
        <v>36</v>
      </c>
      <c r="C583" s="1">
        <v>45919</v>
      </c>
      <c r="D583">
        <v>2025</v>
      </c>
      <c r="E583" t="s">
        <v>287</v>
      </c>
      <c r="F583" t="s">
        <v>12</v>
      </c>
      <c r="G583" t="s">
        <v>203</v>
      </c>
      <c r="H583" t="s">
        <v>204</v>
      </c>
      <c r="I583">
        <v>5</v>
      </c>
      <c r="J583">
        <v>1364.25</v>
      </c>
      <c r="K583">
        <v>0</v>
      </c>
      <c r="L583" t="s">
        <v>201</v>
      </c>
      <c r="M583">
        <v>0</v>
      </c>
    </row>
    <row r="584" spans="1:13" x14ac:dyDescent="0.3">
      <c r="A584" t="s">
        <v>793</v>
      </c>
      <c r="B584">
        <v>36</v>
      </c>
      <c r="C584" s="1">
        <v>45997</v>
      </c>
      <c r="D584">
        <v>2025</v>
      </c>
      <c r="E584" t="s">
        <v>198</v>
      </c>
      <c r="F584" t="s">
        <v>199</v>
      </c>
      <c r="G584" t="s">
        <v>203</v>
      </c>
      <c r="H584" t="s">
        <v>206</v>
      </c>
      <c r="I584">
        <v>5</v>
      </c>
      <c r="J584">
        <v>6996.04</v>
      </c>
      <c r="K584">
        <v>1</v>
      </c>
      <c r="L584" t="s">
        <v>201</v>
      </c>
      <c r="M584">
        <v>0</v>
      </c>
    </row>
    <row r="585" spans="1:13" x14ac:dyDescent="0.3">
      <c r="A585" t="s">
        <v>794</v>
      </c>
      <c r="B585">
        <v>37</v>
      </c>
      <c r="C585" s="1">
        <v>44308</v>
      </c>
      <c r="D585">
        <v>2021</v>
      </c>
      <c r="E585" t="s">
        <v>214</v>
      </c>
      <c r="F585" t="s">
        <v>209</v>
      </c>
      <c r="G585" t="s">
        <v>212</v>
      </c>
      <c r="H585" t="s">
        <v>206</v>
      </c>
      <c r="I585">
        <v>10</v>
      </c>
      <c r="J585">
        <v>85.06</v>
      </c>
      <c r="K585">
        <v>0</v>
      </c>
      <c r="L585" t="s">
        <v>215</v>
      </c>
      <c r="M585">
        <v>1</v>
      </c>
    </row>
    <row r="586" spans="1:13" x14ac:dyDescent="0.3">
      <c r="A586" t="s">
        <v>795</v>
      </c>
      <c r="B586">
        <v>37</v>
      </c>
      <c r="C586" s="1">
        <v>44517</v>
      </c>
      <c r="D586">
        <v>2021</v>
      </c>
      <c r="E586" t="s">
        <v>214</v>
      </c>
      <c r="F586" t="s">
        <v>209</v>
      </c>
      <c r="G586" t="s">
        <v>200</v>
      </c>
      <c r="H586" t="s">
        <v>206</v>
      </c>
      <c r="I586">
        <v>11</v>
      </c>
      <c r="J586">
        <v>55.36</v>
      </c>
      <c r="K586">
        <v>0</v>
      </c>
      <c r="L586" t="s">
        <v>215</v>
      </c>
      <c r="M586">
        <v>0</v>
      </c>
    </row>
    <row r="587" spans="1:13" x14ac:dyDescent="0.3">
      <c r="A587" t="s">
        <v>796</v>
      </c>
      <c r="B587">
        <v>37</v>
      </c>
      <c r="C587" s="1">
        <v>44613</v>
      </c>
      <c r="D587">
        <v>2022</v>
      </c>
      <c r="E587" t="s">
        <v>214</v>
      </c>
      <c r="F587" t="s">
        <v>12</v>
      </c>
      <c r="G587" t="s">
        <v>191</v>
      </c>
      <c r="H587" t="s">
        <v>192</v>
      </c>
      <c r="I587">
        <v>7</v>
      </c>
      <c r="J587">
        <v>932.66</v>
      </c>
      <c r="K587">
        <v>0</v>
      </c>
      <c r="L587" t="s">
        <v>215</v>
      </c>
      <c r="M587">
        <v>1</v>
      </c>
    </row>
    <row r="588" spans="1:13" x14ac:dyDescent="0.3">
      <c r="A588" t="s">
        <v>797</v>
      </c>
      <c r="B588">
        <v>37</v>
      </c>
      <c r="C588" s="1">
        <v>45041</v>
      </c>
      <c r="D588">
        <v>2023</v>
      </c>
      <c r="E588" t="s">
        <v>214</v>
      </c>
      <c r="F588" t="s">
        <v>199</v>
      </c>
      <c r="G588" t="s">
        <v>191</v>
      </c>
      <c r="H588" t="s">
        <v>192</v>
      </c>
      <c r="I588">
        <v>4</v>
      </c>
      <c r="J588">
        <v>7321.54</v>
      </c>
      <c r="K588">
        <v>0</v>
      </c>
      <c r="L588" t="s">
        <v>193</v>
      </c>
      <c r="M588">
        <v>0</v>
      </c>
    </row>
    <row r="589" spans="1:13" x14ac:dyDescent="0.3">
      <c r="A589" t="s">
        <v>798</v>
      </c>
      <c r="B589">
        <v>37</v>
      </c>
      <c r="C589" s="1">
        <v>45091</v>
      </c>
      <c r="D589">
        <v>2023</v>
      </c>
      <c r="E589" t="s">
        <v>214</v>
      </c>
      <c r="F589" t="s">
        <v>12</v>
      </c>
      <c r="G589" t="s">
        <v>212</v>
      </c>
      <c r="H589" t="s">
        <v>204</v>
      </c>
      <c r="I589">
        <v>12</v>
      </c>
      <c r="J589">
        <v>278.64999999999998</v>
      </c>
      <c r="K589">
        <v>0</v>
      </c>
      <c r="L589" t="s">
        <v>210</v>
      </c>
      <c r="M589">
        <v>1</v>
      </c>
    </row>
    <row r="590" spans="1:13" x14ac:dyDescent="0.3">
      <c r="A590" t="s">
        <v>799</v>
      </c>
      <c r="B590">
        <v>37</v>
      </c>
      <c r="C590" s="1">
        <v>45281</v>
      </c>
      <c r="D590">
        <v>2023</v>
      </c>
      <c r="E590" t="s">
        <v>214</v>
      </c>
      <c r="F590" t="s">
        <v>13</v>
      </c>
      <c r="G590" t="s">
        <v>191</v>
      </c>
      <c r="H590" t="s">
        <v>195</v>
      </c>
      <c r="I590">
        <v>19</v>
      </c>
      <c r="J590">
        <v>3100.33</v>
      </c>
      <c r="K590">
        <v>0</v>
      </c>
      <c r="L590" t="s">
        <v>193</v>
      </c>
      <c r="M590">
        <v>0</v>
      </c>
    </row>
    <row r="591" spans="1:13" x14ac:dyDescent="0.3">
      <c r="A591" t="s">
        <v>800</v>
      </c>
      <c r="B591">
        <v>37</v>
      </c>
      <c r="C591" s="1">
        <v>45124</v>
      </c>
      <c r="D591">
        <v>2023</v>
      </c>
      <c r="E591" t="s">
        <v>190</v>
      </c>
      <c r="F591" t="s">
        <v>12</v>
      </c>
      <c r="G591" t="s">
        <v>212</v>
      </c>
      <c r="H591" t="s">
        <v>206</v>
      </c>
      <c r="I591">
        <v>3</v>
      </c>
      <c r="J591">
        <v>252.81</v>
      </c>
      <c r="K591">
        <v>0</v>
      </c>
      <c r="L591" t="s">
        <v>201</v>
      </c>
      <c r="M591">
        <v>1</v>
      </c>
    </row>
    <row r="592" spans="1:13" x14ac:dyDescent="0.3">
      <c r="A592" t="s">
        <v>801</v>
      </c>
      <c r="B592">
        <v>37</v>
      </c>
      <c r="C592" s="1">
        <v>44991</v>
      </c>
      <c r="D592">
        <v>2023</v>
      </c>
      <c r="E592" t="s">
        <v>214</v>
      </c>
      <c r="F592" t="s">
        <v>12</v>
      </c>
      <c r="G592" t="s">
        <v>212</v>
      </c>
      <c r="H592" t="s">
        <v>192</v>
      </c>
      <c r="I592">
        <v>8</v>
      </c>
      <c r="J592">
        <v>741.7</v>
      </c>
      <c r="K592">
        <v>0</v>
      </c>
      <c r="L592" t="s">
        <v>215</v>
      </c>
      <c r="M592">
        <v>1</v>
      </c>
    </row>
    <row r="593" spans="1:13" x14ac:dyDescent="0.3">
      <c r="A593" t="s">
        <v>802</v>
      </c>
      <c r="B593">
        <v>37</v>
      </c>
      <c r="C593" s="1">
        <v>45095</v>
      </c>
      <c r="D593">
        <v>2023</v>
      </c>
      <c r="E593" t="s">
        <v>190</v>
      </c>
      <c r="F593" t="s">
        <v>199</v>
      </c>
      <c r="G593" t="s">
        <v>191</v>
      </c>
      <c r="H593" t="s">
        <v>195</v>
      </c>
      <c r="I593">
        <v>14</v>
      </c>
      <c r="J593">
        <v>3326.87</v>
      </c>
      <c r="K593">
        <v>0</v>
      </c>
      <c r="L593" t="s">
        <v>193</v>
      </c>
      <c r="M593">
        <v>1</v>
      </c>
    </row>
    <row r="594" spans="1:13" x14ac:dyDescent="0.3">
      <c r="A594" t="s">
        <v>803</v>
      </c>
      <c r="B594">
        <v>37</v>
      </c>
      <c r="C594" s="1">
        <v>45570</v>
      </c>
      <c r="D594">
        <v>2024</v>
      </c>
      <c r="E594" t="s">
        <v>225</v>
      </c>
      <c r="F594" t="s">
        <v>12</v>
      </c>
      <c r="G594" t="s">
        <v>212</v>
      </c>
      <c r="H594" t="s">
        <v>204</v>
      </c>
      <c r="I594">
        <v>10</v>
      </c>
      <c r="J594">
        <v>299.29000000000002</v>
      </c>
      <c r="K594">
        <v>0</v>
      </c>
      <c r="L594" t="s">
        <v>193</v>
      </c>
      <c r="M594">
        <v>1</v>
      </c>
    </row>
    <row r="595" spans="1:13" x14ac:dyDescent="0.3">
      <c r="A595" t="s">
        <v>804</v>
      </c>
      <c r="B595">
        <v>37</v>
      </c>
      <c r="C595" s="1">
        <v>45761</v>
      </c>
      <c r="D595">
        <v>2025</v>
      </c>
      <c r="E595" t="s">
        <v>219</v>
      </c>
      <c r="F595" t="s">
        <v>13</v>
      </c>
      <c r="G595" t="s">
        <v>191</v>
      </c>
      <c r="H595" t="s">
        <v>192</v>
      </c>
      <c r="I595">
        <v>16</v>
      </c>
      <c r="J595">
        <v>3755.76</v>
      </c>
      <c r="K595">
        <v>0</v>
      </c>
      <c r="L595" t="s">
        <v>201</v>
      </c>
      <c r="M595">
        <v>1</v>
      </c>
    </row>
    <row r="596" spans="1:13" x14ac:dyDescent="0.3">
      <c r="A596" t="s">
        <v>805</v>
      </c>
      <c r="B596">
        <v>37</v>
      </c>
      <c r="C596" s="1">
        <v>46015</v>
      </c>
      <c r="D596">
        <v>2025</v>
      </c>
      <c r="E596" t="s">
        <v>198</v>
      </c>
      <c r="F596" t="s">
        <v>199</v>
      </c>
      <c r="G596" t="s">
        <v>203</v>
      </c>
      <c r="H596" t="s">
        <v>195</v>
      </c>
      <c r="I596">
        <v>20</v>
      </c>
      <c r="J596">
        <v>6442.13</v>
      </c>
      <c r="K596">
        <v>1</v>
      </c>
      <c r="L596" t="s">
        <v>196</v>
      </c>
      <c r="M596">
        <v>0</v>
      </c>
    </row>
    <row r="597" spans="1:13" x14ac:dyDescent="0.3">
      <c r="A597" t="s">
        <v>806</v>
      </c>
      <c r="B597">
        <v>37</v>
      </c>
      <c r="C597" s="1">
        <v>45797</v>
      </c>
      <c r="D597">
        <v>2025</v>
      </c>
      <c r="E597" t="s">
        <v>190</v>
      </c>
      <c r="F597" t="s">
        <v>13</v>
      </c>
      <c r="G597" t="s">
        <v>212</v>
      </c>
      <c r="H597" t="s">
        <v>206</v>
      </c>
      <c r="I597">
        <v>10</v>
      </c>
      <c r="J597">
        <v>2355.59</v>
      </c>
      <c r="K597">
        <v>0</v>
      </c>
      <c r="L597" t="s">
        <v>201</v>
      </c>
      <c r="M597">
        <v>1</v>
      </c>
    </row>
    <row r="598" spans="1:13" x14ac:dyDescent="0.3">
      <c r="A598" t="s">
        <v>807</v>
      </c>
      <c r="B598">
        <v>37</v>
      </c>
      <c r="C598" s="1">
        <v>45680</v>
      </c>
      <c r="D598">
        <v>2025</v>
      </c>
      <c r="E598" t="s">
        <v>227</v>
      </c>
      <c r="F598" t="s">
        <v>199</v>
      </c>
      <c r="G598" t="s">
        <v>203</v>
      </c>
      <c r="H598" t="s">
        <v>206</v>
      </c>
      <c r="I598">
        <v>20</v>
      </c>
      <c r="J598">
        <v>5126.8100000000004</v>
      </c>
      <c r="K598">
        <v>1</v>
      </c>
      <c r="L598" t="s">
        <v>193</v>
      </c>
      <c r="M598">
        <v>0</v>
      </c>
    </row>
    <row r="599" spans="1:13" x14ac:dyDescent="0.3">
      <c r="A599" t="s">
        <v>808</v>
      </c>
      <c r="B599">
        <v>37</v>
      </c>
      <c r="C599" s="1">
        <v>45945</v>
      </c>
      <c r="D599">
        <v>2025</v>
      </c>
      <c r="E599" t="s">
        <v>198</v>
      </c>
      <c r="F599" t="s">
        <v>13</v>
      </c>
      <c r="G599" t="s">
        <v>191</v>
      </c>
      <c r="H599" t="s">
        <v>192</v>
      </c>
      <c r="I599">
        <v>11</v>
      </c>
      <c r="J599">
        <v>2883.46</v>
      </c>
      <c r="K599">
        <v>1</v>
      </c>
      <c r="L599" t="s">
        <v>215</v>
      </c>
      <c r="M599">
        <v>0</v>
      </c>
    </row>
    <row r="600" spans="1:13" x14ac:dyDescent="0.3">
      <c r="A600" t="s">
        <v>809</v>
      </c>
      <c r="B600">
        <v>38</v>
      </c>
      <c r="C600" s="1">
        <v>44444</v>
      </c>
      <c r="D600">
        <v>2021</v>
      </c>
      <c r="E600" t="s">
        <v>219</v>
      </c>
      <c r="F600" t="s">
        <v>12</v>
      </c>
      <c r="G600" t="s">
        <v>212</v>
      </c>
      <c r="H600" t="s">
        <v>206</v>
      </c>
      <c r="I600">
        <v>5</v>
      </c>
      <c r="J600">
        <v>411.86</v>
      </c>
      <c r="K600">
        <v>0</v>
      </c>
      <c r="L600" t="s">
        <v>210</v>
      </c>
      <c r="M600">
        <v>1</v>
      </c>
    </row>
    <row r="601" spans="1:13" x14ac:dyDescent="0.3">
      <c r="A601" t="s">
        <v>810</v>
      </c>
      <c r="B601">
        <v>38</v>
      </c>
      <c r="C601" s="1">
        <v>44532</v>
      </c>
      <c r="D601">
        <v>2021</v>
      </c>
      <c r="E601" t="s">
        <v>219</v>
      </c>
      <c r="F601" t="s">
        <v>13</v>
      </c>
      <c r="G601" t="s">
        <v>212</v>
      </c>
      <c r="H601" t="s">
        <v>195</v>
      </c>
      <c r="I601">
        <v>13</v>
      </c>
      <c r="J601">
        <v>3377.22</v>
      </c>
      <c r="K601">
        <v>1</v>
      </c>
      <c r="L601" t="s">
        <v>193</v>
      </c>
      <c r="M601">
        <v>1</v>
      </c>
    </row>
    <row r="602" spans="1:13" x14ac:dyDescent="0.3">
      <c r="A602" t="s">
        <v>811</v>
      </c>
      <c r="B602">
        <v>38</v>
      </c>
      <c r="C602" s="1">
        <v>44218</v>
      </c>
      <c r="D602">
        <v>2021</v>
      </c>
      <c r="E602" t="s">
        <v>225</v>
      </c>
      <c r="F602" t="s">
        <v>199</v>
      </c>
      <c r="G602" t="s">
        <v>212</v>
      </c>
      <c r="H602" t="s">
        <v>195</v>
      </c>
      <c r="I602">
        <v>3</v>
      </c>
      <c r="J602">
        <v>5630.56</v>
      </c>
      <c r="K602">
        <v>0</v>
      </c>
      <c r="L602" t="s">
        <v>196</v>
      </c>
      <c r="M602">
        <v>1</v>
      </c>
    </row>
    <row r="603" spans="1:13" x14ac:dyDescent="0.3">
      <c r="A603" t="s">
        <v>812</v>
      </c>
      <c r="B603">
        <v>38</v>
      </c>
      <c r="C603" s="1">
        <v>44334</v>
      </c>
      <c r="D603">
        <v>2021</v>
      </c>
      <c r="E603" t="s">
        <v>198</v>
      </c>
      <c r="F603" t="s">
        <v>13</v>
      </c>
      <c r="G603" t="s">
        <v>191</v>
      </c>
      <c r="H603" t="s">
        <v>206</v>
      </c>
      <c r="I603">
        <v>9</v>
      </c>
      <c r="J603">
        <v>1547.67</v>
      </c>
      <c r="K603">
        <v>1</v>
      </c>
      <c r="L603" t="s">
        <v>201</v>
      </c>
      <c r="M603">
        <v>0</v>
      </c>
    </row>
    <row r="604" spans="1:13" x14ac:dyDescent="0.3">
      <c r="A604" t="s">
        <v>813</v>
      </c>
      <c r="B604">
        <v>38</v>
      </c>
      <c r="C604" s="1">
        <v>44267</v>
      </c>
      <c r="D604">
        <v>2021</v>
      </c>
      <c r="E604" t="s">
        <v>219</v>
      </c>
      <c r="F604" t="s">
        <v>12</v>
      </c>
      <c r="G604" t="s">
        <v>212</v>
      </c>
      <c r="H604" t="s">
        <v>204</v>
      </c>
      <c r="I604">
        <v>16</v>
      </c>
      <c r="J604">
        <v>1308.43</v>
      </c>
      <c r="K604">
        <v>1</v>
      </c>
      <c r="L604" t="s">
        <v>210</v>
      </c>
      <c r="M604">
        <v>1</v>
      </c>
    </row>
    <row r="605" spans="1:13" x14ac:dyDescent="0.3">
      <c r="A605" t="s">
        <v>814</v>
      </c>
      <c r="B605">
        <v>38</v>
      </c>
      <c r="C605" s="1">
        <v>44314</v>
      </c>
      <c r="D605">
        <v>2021</v>
      </c>
      <c r="E605" t="s">
        <v>219</v>
      </c>
      <c r="F605" t="s">
        <v>199</v>
      </c>
      <c r="G605" t="s">
        <v>200</v>
      </c>
      <c r="H605" t="s">
        <v>204</v>
      </c>
      <c r="I605">
        <v>17</v>
      </c>
      <c r="J605">
        <v>3934.01</v>
      </c>
      <c r="K605">
        <v>0</v>
      </c>
      <c r="L605" t="s">
        <v>193</v>
      </c>
      <c r="M605">
        <v>0</v>
      </c>
    </row>
    <row r="606" spans="1:13" x14ac:dyDescent="0.3">
      <c r="A606" t="s">
        <v>815</v>
      </c>
      <c r="B606">
        <v>38</v>
      </c>
      <c r="C606" s="1">
        <v>44911</v>
      </c>
      <c r="D606">
        <v>2022</v>
      </c>
      <c r="E606" t="s">
        <v>198</v>
      </c>
      <c r="F606" t="s">
        <v>199</v>
      </c>
      <c r="G606" t="s">
        <v>203</v>
      </c>
      <c r="H606" t="s">
        <v>192</v>
      </c>
      <c r="I606">
        <v>4</v>
      </c>
      <c r="J606">
        <v>3445.21</v>
      </c>
      <c r="K606">
        <v>1</v>
      </c>
      <c r="L606" t="s">
        <v>210</v>
      </c>
      <c r="M606">
        <v>0</v>
      </c>
    </row>
    <row r="607" spans="1:13" x14ac:dyDescent="0.3">
      <c r="A607" t="s">
        <v>816</v>
      </c>
      <c r="B607">
        <v>38</v>
      </c>
      <c r="C607" s="1">
        <v>44729</v>
      </c>
      <c r="D607">
        <v>2022</v>
      </c>
      <c r="E607" t="s">
        <v>190</v>
      </c>
      <c r="F607" t="s">
        <v>12</v>
      </c>
      <c r="G607" t="s">
        <v>191</v>
      </c>
      <c r="H607" t="s">
        <v>195</v>
      </c>
      <c r="I607">
        <v>1</v>
      </c>
      <c r="J607">
        <v>1138.27</v>
      </c>
      <c r="K607">
        <v>0</v>
      </c>
      <c r="L607" t="s">
        <v>215</v>
      </c>
      <c r="M607">
        <v>0</v>
      </c>
    </row>
    <row r="608" spans="1:13" x14ac:dyDescent="0.3">
      <c r="A608" t="s">
        <v>817</v>
      </c>
      <c r="B608">
        <v>38</v>
      </c>
      <c r="C608" s="1">
        <v>44813</v>
      </c>
      <c r="D608">
        <v>2022</v>
      </c>
      <c r="E608" t="s">
        <v>287</v>
      </c>
      <c r="F608" t="s">
        <v>13</v>
      </c>
      <c r="G608" t="s">
        <v>203</v>
      </c>
      <c r="H608" t="s">
        <v>192</v>
      </c>
      <c r="I608">
        <v>4</v>
      </c>
      <c r="J608">
        <v>3040.31</v>
      </c>
      <c r="K608">
        <v>1</v>
      </c>
      <c r="L608" t="s">
        <v>193</v>
      </c>
      <c r="M608">
        <v>0</v>
      </c>
    </row>
    <row r="609" spans="1:13" x14ac:dyDescent="0.3">
      <c r="A609" t="s">
        <v>818</v>
      </c>
      <c r="B609">
        <v>38</v>
      </c>
      <c r="C609" s="1">
        <v>44885</v>
      </c>
      <c r="D609">
        <v>2022</v>
      </c>
      <c r="E609" t="s">
        <v>198</v>
      </c>
      <c r="F609" t="s">
        <v>13</v>
      </c>
      <c r="G609" t="s">
        <v>212</v>
      </c>
      <c r="H609" t="s">
        <v>195</v>
      </c>
      <c r="I609">
        <v>8</v>
      </c>
      <c r="J609">
        <v>3778.96</v>
      </c>
      <c r="K609">
        <v>1</v>
      </c>
      <c r="L609" t="s">
        <v>193</v>
      </c>
      <c r="M609">
        <v>1</v>
      </c>
    </row>
    <row r="610" spans="1:13" x14ac:dyDescent="0.3">
      <c r="A610" t="s">
        <v>819</v>
      </c>
      <c r="B610">
        <v>38</v>
      </c>
      <c r="C610" s="1">
        <v>44779</v>
      </c>
      <c r="D610">
        <v>2022</v>
      </c>
      <c r="E610" t="s">
        <v>198</v>
      </c>
      <c r="F610" t="s">
        <v>13</v>
      </c>
      <c r="G610" t="s">
        <v>191</v>
      </c>
      <c r="H610" t="s">
        <v>195</v>
      </c>
      <c r="I610">
        <v>14</v>
      </c>
      <c r="J610">
        <v>1807.4</v>
      </c>
      <c r="K610">
        <v>1</v>
      </c>
      <c r="L610" t="s">
        <v>193</v>
      </c>
      <c r="M610">
        <v>0</v>
      </c>
    </row>
    <row r="611" spans="1:13" x14ac:dyDescent="0.3">
      <c r="A611" t="s">
        <v>820</v>
      </c>
      <c r="B611">
        <v>38</v>
      </c>
      <c r="C611" s="1">
        <v>44968</v>
      </c>
      <c r="D611">
        <v>2023</v>
      </c>
      <c r="E611" t="s">
        <v>227</v>
      </c>
      <c r="F611" t="s">
        <v>199</v>
      </c>
      <c r="G611" t="s">
        <v>203</v>
      </c>
      <c r="H611" t="s">
        <v>195</v>
      </c>
      <c r="I611">
        <v>8</v>
      </c>
      <c r="J611">
        <v>5906.59</v>
      </c>
      <c r="K611">
        <v>1</v>
      </c>
      <c r="L611" t="s">
        <v>201</v>
      </c>
      <c r="M611">
        <v>1</v>
      </c>
    </row>
    <row r="612" spans="1:13" x14ac:dyDescent="0.3">
      <c r="A612" t="s">
        <v>821</v>
      </c>
      <c r="B612">
        <v>38</v>
      </c>
      <c r="C612" s="1">
        <v>45173</v>
      </c>
      <c r="D612">
        <v>2023</v>
      </c>
      <c r="E612" t="s">
        <v>198</v>
      </c>
      <c r="F612" t="s">
        <v>12</v>
      </c>
      <c r="G612" t="s">
        <v>200</v>
      </c>
      <c r="H612" t="s">
        <v>192</v>
      </c>
      <c r="I612">
        <v>13</v>
      </c>
      <c r="J612">
        <v>582.19000000000005</v>
      </c>
      <c r="K612">
        <v>1</v>
      </c>
      <c r="L612" t="s">
        <v>210</v>
      </c>
      <c r="M612">
        <v>0</v>
      </c>
    </row>
    <row r="613" spans="1:13" x14ac:dyDescent="0.3">
      <c r="A613" t="s">
        <v>822</v>
      </c>
      <c r="B613">
        <v>38</v>
      </c>
      <c r="C613" s="1">
        <v>44967</v>
      </c>
      <c r="D613">
        <v>2023</v>
      </c>
      <c r="E613" t="s">
        <v>190</v>
      </c>
      <c r="F613" t="s">
        <v>209</v>
      </c>
      <c r="G613" t="s">
        <v>212</v>
      </c>
      <c r="H613" t="s">
        <v>195</v>
      </c>
      <c r="I613">
        <v>11</v>
      </c>
      <c r="J613">
        <v>568.79</v>
      </c>
      <c r="K613">
        <v>0</v>
      </c>
      <c r="L613" t="s">
        <v>210</v>
      </c>
      <c r="M613">
        <v>1</v>
      </c>
    </row>
    <row r="614" spans="1:13" x14ac:dyDescent="0.3">
      <c r="A614" t="s">
        <v>823</v>
      </c>
      <c r="B614">
        <v>38</v>
      </c>
      <c r="C614" s="1">
        <v>45156</v>
      </c>
      <c r="D614">
        <v>2023</v>
      </c>
      <c r="E614" t="s">
        <v>198</v>
      </c>
      <c r="F614" t="s">
        <v>13</v>
      </c>
      <c r="G614" t="s">
        <v>200</v>
      </c>
      <c r="H614" t="s">
        <v>195</v>
      </c>
      <c r="I614">
        <v>16</v>
      </c>
      <c r="J614">
        <v>1815.05</v>
      </c>
      <c r="K614">
        <v>1</v>
      </c>
      <c r="L614" t="s">
        <v>193</v>
      </c>
      <c r="M614">
        <v>0</v>
      </c>
    </row>
    <row r="615" spans="1:13" x14ac:dyDescent="0.3">
      <c r="A615" t="s">
        <v>824</v>
      </c>
      <c r="B615">
        <v>38</v>
      </c>
      <c r="C615" s="1">
        <v>45090</v>
      </c>
      <c r="D615">
        <v>2023</v>
      </c>
      <c r="E615" t="s">
        <v>198</v>
      </c>
      <c r="F615" t="s">
        <v>199</v>
      </c>
      <c r="G615" t="s">
        <v>203</v>
      </c>
      <c r="H615" t="s">
        <v>206</v>
      </c>
      <c r="I615">
        <v>8</v>
      </c>
      <c r="J615">
        <v>7252.19</v>
      </c>
      <c r="K615">
        <v>1</v>
      </c>
      <c r="L615" t="s">
        <v>210</v>
      </c>
      <c r="M615">
        <v>1</v>
      </c>
    </row>
    <row r="616" spans="1:13" x14ac:dyDescent="0.3">
      <c r="A616" t="s">
        <v>825</v>
      </c>
      <c r="B616">
        <v>38</v>
      </c>
      <c r="C616" s="1">
        <v>45513</v>
      </c>
      <c r="D616">
        <v>2024</v>
      </c>
      <c r="E616" t="s">
        <v>214</v>
      </c>
      <c r="F616" t="s">
        <v>209</v>
      </c>
      <c r="G616" t="s">
        <v>212</v>
      </c>
      <c r="H616" t="s">
        <v>192</v>
      </c>
      <c r="I616">
        <v>9</v>
      </c>
      <c r="J616">
        <v>202.37</v>
      </c>
      <c r="K616">
        <v>0</v>
      </c>
      <c r="L616" t="s">
        <v>215</v>
      </c>
      <c r="M616">
        <v>1</v>
      </c>
    </row>
    <row r="617" spans="1:13" x14ac:dyDescent="0.3">
      <c r="A617" t="s">
        <v>826</v>
      </c>
      <c r="B617">
        <v>38</v>
      </c>
      <c r="C617" s="1">
        <v>45556</v>
      </c>
      <c r="D617">
        <v>2024</v>
      </c>
      <c r="E617" t="s">
        <v>214</v>
      </c>
      <c r="F617" t="s">
        <v>12</v>
      </c>
      <c r="G617" t="s">
        <v>191</v>
      </c>
      <c r="H617" t="s">
        <v>192</v>
      </c>
      <c r="I617">
        <v>8</v>
      </c>
      <c r="J617">
        <v>646.66</v>
      </c>
      <c r="K617">
        <v>0</v>
      </c>
      <c r="L617" t="s">
        <v>210</v>
      </c>
      <c r="M617">
        <v>0</v>
      </c>
    </row>
    <row r="618" spans="1:13" x14ac:dyDescent="0.3">
      <c r="A618" t="s">
        <v>827</v>
      </c>
      <c r="B618">
        <v>38</v>
      </c>
      <c r="C618" s="1">
        <v>45361</v>
      </c>
      <c r="D618">
        <v>2024</v>
      </c>
      <c r="E618" t="s">
        <v>190</v>
      </c>
      <c r="F618" t="s">
        <v>13</v>
      </c>
      <c r="G618" t="s">
        <v>191</v>
      </c>
      <c r="H618" t="s">
        <v>195</v>
      </c>
      <c r="I618">
        <v>3</v>
      </c>
      <c r="J618">
        <v>2284.3200000000002</v>
      </c>
      <c r="K618">
        <v>0</v>
      </c>
      <c r="L618" t="s">
        <v>196</v>
      </c>
      <c r="M618">
        <v>1</v>
      </c>
    </row>
    <row r="619" spans="1:13" x14ac:dyDescent="0.3">
      <c r="A619" t="s">
        <v>828</v>
      </c>
      <c r="B619">
        <v>38</v>
      </c>
      <c r="C619" s="1">
        <v>45662</v>
      </c>
      <c r="D619">
        <v>2025</v>
      </c>
      <c r="E619" t="s">
        <v>190</v>
      </c>
      <c r="F619" t="s">
        <v>12</v>
      </c>
      <c r="G619" t="s">
        <v>203</v>
      </c>
      <c r="H619" t="s">
        <v>192</v>
      </c>
      <c r="I619">
        <v>3</v>
      </c>
      <c r="J619">
        <v>540.11</v>
      </c>
      <c r="K619">
        <v>0</v>
      </c>
      <c r="L619" t="s">
        <v>193</v>
      </c>
      <c r="M619">
        <v>1</v>
      </c>
    </row>
    <row r="620" spans="1:13" x14ac:dyDescent="0.3">
      <c r="A620" t="s">
        <v>829</v>
      </c>
      <c r="B620">
        <v>39</v>
      </c>
      <c r="C620" s="1">
        <v>44375</v>
      </c>
      <c r="D620">
        <v>2021</v>
      </c>
      <c r="E620" t="s">
        <v>225</v>
      </c>
      <c r="F620" t="s">
        <v>12</v>
      </c>
      <c r="G620" t="s">
        <v>203</v>
      </c>
      <c r="H620" t="s">
        <v>204</v>
      </c>
      <c r="I620">
        <v>8</v>
      </c>
      <c r="J620">
        <v>902.23</v>
      </c>
      <c r="K620">
        <v>0</v>
      </c>
      <c r="L620" t="s">
        <v>201</v>
      </c>
      <c r="M620">
        <v>1</v>
      </c>
    </row>
    <row r="621" spans="1:13" x14ac:dyDescent="0.3">
      <c r="A621" t="s">
        <v>830</v>
      </c>
      <c r="B621">
        <v>39</v>
      </c>
      <c r="C621" s="1">
        <v>44504</v>
      </c>
      <c r="D621">
        <v>2021</v>
      </c>
      <c r="E621" t="s">
        <v>214</v>
      </c>
      <c r="F621" t="s">
        <v>12</v>
      </c>
      <c r="G621" t="s">
        <v>212</v>
      </c>
      <c r="H621" t="s">
        <v>204</v>
      </c>
      <c r="I621">
        <v>13</v>
      </c>
      <c r="J621">
        <v>732.28</v>
      </c>
      <c r="K621">
        <v>0</v>
      </c>
      <c r="L621" t="s">
        <v>193</v>
      </c>
      <c r="M621">
        <v>1</v>
      </c>
    </row>
    <row r="622" spans="1:13" x14ac:dyDescent="0.3">
      <c r="A622" t="s">
        <v>831</v>
      </c>
      <c r="B622">
        <v>39</v>
      </c>
      <c r="C622" s="1">
        <v>44271</v>
      </c>
      <c r="D622">
        <v>2021</v>
      </c>
      <c r="E622" t="s">
        <v>287</v>
      </c>
      <c r="F622" t="s">
        <v>13</v>
      </c>
      <c r="G622" t="s">
        <v>191</v>
      </c>
      <c r="H622" t="s">
        <v>204</v>
      </c>
      <c r="I622">
        <v>13</v>
      </c>
      <c r="J622">
        <v>3696.61</v>
      </c>
      <c r="K622">
        <v>0</v>
      </c>
      <c r="L622" t="s">
        <v>193</v>
      </c>
      <c r="M622">
        <v>0</v>
      </c>
    </row>
    <row r="623" spans="1:13" x14ac:dyDescent="0.3">
      <c r="A623" t="s">
        <v>832</v>
      </c>
      <c r="B623">
        <v>39</v>
      </c>
      <c r="C623" s="1">
        <v>44644</v>
      </c>
      <c r="D623">
        <v>2022</v>
      </c>
      <c r="E623" t="s">
        <v>198</v>
      </c>
      <c r="F623" t="s">
        <v>13</v>
      </c>
      <c r="G623" t="s">
        <v>191</v>
      </c>
      <c r="H623" t="s">
        <v>195</v>
      </c>
      <c r="I623">
        <v>5</v>
      </c>
      <c r="J623">
        <v>3849.11</v>
      </c>
      <c r="K623">
        <v>1</v>
      </c>
      <c r="L623" t="s">
        <v>201</v>
      </c>
      <c r="M623">
        <v>1</v>
      </c>
    </row>
    <row r="624" spans="1:13" x14ac:dyDescent="0.3">
      <c r="A624" t="s">
        <v>833</v>
      </c>
      <c r="B624">
        <v>39</v>
      </c>
      <c r="C624" s="1">
        <v>44913</v>
      </c>
      <c r="D624">
        <v>2022</v>
      </c>
      <c r="E624" t="s">
        <v>227</v>
      </c>
      <c r="F624" t="s">
        <v>12</v>
      </c>
      <c r="G624" t="s">
        <v>200</v>
      </c>
      <c r="H624" t="s">
        <v>204</v>
      </c>
      <c r="I624">
        <v>11</v>
      </c>
      <c r="J624">
        <v>1348.33</v>
      </c>
      <c r="K624">
        <v>0</v>
      </c>
      <c r="L624" t="s">
        <v>193</v>
      </c>
      <c r="M624">
        <v>0</v>
      </c>
    </row>
    <row r="625" spans="1:13" x14ac:dyDescent="0.3">
      <c r="A625" t="s">
        <v>834</v>
      </c>
      <c r="B625">
        <v>39</v>
      </c>
      <c r="C625" s="1">
        <v>44574</v>
      </c>
      <c r="D625">
        <v>2022</v>
      </c>
      <c r="E625" t="s">
        <v>198</v>
      </c>
      <c r="F625" t="s">
        <v>13</v>
      </c>
      <c r="G625" t="s">
        <v>203</v>
      </c>
      <c r="H625" t="s">
        <v>206</v>
      </c>
      <c r="I625">
        <v>7</v>
      </c>
      <c r="J625">
        <v>1611.87</v>
      </c>
      <c r="K625">
        <v>1</v>
      </c>
      <c r="L625" t="s">
        <v>193</v>
      </c>
      <c r="M625">
        <v>0</v>
      </c>
    </row>
    <row r="626" spans="1:13" x14ac:dyDescent="0.3">
      <c r="A626" t="s">
        <v>835</v>
      </c>
      <c r="B626">
        <v>39</v>
      </c>
      <c r="C626" s="1">
        <v>44786</v>
      </c>
      <c r="D626">
        <v>2022</v>
      </c>
      <c r="E626" t="s">
        <v>227</v>
      </c>
      <c r="F626" t="s">
        <v>13</v>
      </c>
      <c r="G626" t="s">
        <v>191</v>
      </c>
      <c r="H626" t="s">
        <v>204</v>
      </c>
      <c r="I626">
        <v>7</v>
      </c>
      <c r="J626">
        <v>1962.55</v>
      </c>
      <c r="K626">
        <v>0</v>
      </c>
      <c r="L626" t="s">
        <v>193</v>
      </c>
      <c r="M626">
        <v>0</v>
      </c>
    </row>
    <row r="627" spans="1:13" x14ac:dyDescent="0.3">
      <c r="A627" t="s">
        <v>836</v>
      </c>
      <c r="B627">
        <v>39</v>
      </c>
      <c r="C627" s="1">
        <v>44778</v>
      </c>
      <c r="D627">
        <v>2022</v>
      </c>
      <c r="E627" t="s">
        <v>198</v>
      </c>
      <c r="F627" t="s">
        <v>199</v>
      </c>
      <c r="G627" t="s">
        <v>203</v>
      </c>
      <c r="H627" t="s">
        <v>204</v>
      </c>
      <c r="I627">
        <v>12</v>
      </c>
      <c r="J627">
        <v>5310.1</v>
      </c>
      <c r="K627">
        <v>1</v>
      </c>
      <c r="L627" t="s">
        <v>196</v>
      </c>
      <c r="M627">
        <v>0</v>
      </c>
    </row>
    <row r="628" spans="1:13" x14ac:dyDescent="0.3">
      <c r="A628" t="s">
        <v>837</v>
      </c>
      <c r="B628">
        <v>39</v>
      </c>
      <c r="C628" s="1">
        <v>44883</v>
      </c>
      <c r="D628">
        <v>2022</v>
      </c>
      <c r="E628" t="s">
        <v>198</v>
      </c>
      <c r="F628" t="s">
        <v>13</v>
      </c>
      <c r="G628" t="s">
        <v>191</v>
      </c>
      <c r="H628" t="s">
        <v>195</v>
      </c>
      <c r="I628">
        <v>8</v>
      </c>
      <c r="J628">
        <v>2936.26</v>
      </c>
      <c r="K628">
        <v>1</v>
      </c>
      <c r="L628" t="s">
        <v>210</v>
      </c>
      <c r="M628">
        <v>0</v>
      </c>
    </row>
    <row r="629" spans="1:13" x14ac:dyDescent="0.3">
      <c r="A629" t="s">
        <v>838</v>
      </c>
      <c r="B629">
        <v>39</v>
      </c>
      <c r="C629" s="1">
        <v>45650</v>
      </c>
      <c r="D629">
        <v>2024</v>
      </c>
      <c r="E629" t="s">
        <v>198</v>
      </c>
      <c r="F629" t="s">
        <v>13</v>
      </c>
      <c r="G629" t="s">
        <v>212</v>
      </c>
      <c r="H629" t="s">
        <v>195</v>
      </c>
      <c r="I629">
        <v>4</v>
      </c>
      <c r="J629">
        <v>3513.58</v>
      </c>
      <c r="K629">
        <v>1</v>
      </c>
      <c r="L629" t="s">
        <v>201</v>
      </c>
      <c r="M629">
        <v>1</v>
      </c>
    </row>
    <row r="630" spans="1:13" x14ac:dyDescent="0.3">
      <c r="A630" t="s">
        <v>839</v>
      </c>
      <c r="B630">
        <v>39</v>
      </c>
      <c r="C630" s="1">
        <v>45370</v>
      </c>
      <c r="D630">
        <v>2024</v>
      </c>
      <c r="E630" t="s">
        <v>198</v>
      </c>
      <c r="F630" t="s">
        <v>13</v>
      </c>
      <c r="G630" t="s">
        <v>191</v>
      </c>
      <c r="H630" t="s">
        <v>204</v>
      </c>
      <c r="I630">
        <v>11</v>
      </c>
      <c r="J630">
        <v>3398.21</v>
      </c>
      <c r="K630">
        <v>1</v>
      </c>
      <c r="L630" t="s">
        <v>196</v>
      </c>
      <c r="M630">
        <v>0</v>
      </c>
    </row>
    <row r="631" spans="1:13" x14ac:dyDescent="0.3">
      <c r="A631" t="s">
        <v>840</v>
      </c>
      <c r="B631">
        <v>39</v>
      </c>
      <c r="C631" s="1">
        <v>45400</v>
      </c>
      <c r="D631">
        <v>2024</v>
      </c>
      <c r="E631" t="s">
        <v>214</v>
      </c>
      <c r="F631" t="s">
        <v>12</v>
      </c>
      <c r="G631" t="s">
        <v>212</v>
      </c>
      <c r="H631" t="s">
        <v>192</v>
      </c>
      <c r="I631">
        <v>5</v>
      </c>
      <c r="J631">
        <v>972.01</v>
      </c>
      <c r="K631">
        <v>0</v>
      </c>
      <c r="L631" t="s">
        <v>215</v>
      </c>
      <c r="M631">
        <v>1</v>
      </c>
    </row>
    <row r="632" spans="1:13" x14ac:dyDescent="0.3">
      <c r="A632" t="s">
        <v>841</v>
      </c>
      <c r="B632">
        <v>39</v>
      </c>
      <c r="C632" s="1">
        <v>45545</v>
      </c>
      <c r="D632">
        <v>2024</v>
      </c>
      <c r="E632" t="s">
        <v>198</v>
      </c>
      <c r="F632" t="s">
        <v>12</v>
      </c>
      <c r="G632" t="s">
        <v>212</v>
      </c>
      <c r="H632" t="s">
        <v>195</v>
      </c>
      <c r="I632">
        <v>8</v>
      </c>
      <c r="J632">
        <v>866.38</v>
      </c>
      <c r="K632">
        <v>1</v>
      </c>
      <c r="L632" t="s">
        <v>210</v>
      </c>
      <c r="M632">
        <v>1</v>
      </c>
    </row>
    <row r="633" spans="1:13" x14ac:dyDescent="0.3">
      <c r="A633" t="s">
        <v>842</v>
      </c>
      <c r="B633">
        <v>39</v>
      </c>
      <c r="C633" s="1">
        <v>45383</v>
      </c>
      <c r="D633">
        <v>2024</v>
      </c>
      <c r="E633" t="s">
        <v>214</v>
      </c>
      <c r="F633" t="s">
        <v>12</v>
      </c>
      <c r="G633" t="s">
        <v>212</v>
      </c>
      <c r="H633" t="s">
        <v>195</v>
      </c>
      <c r="I633">
        <v>9</v>
      </c>
      <c r="J633">
        <v>1156.29</v>
      </c>
      <c r="K633">
        <v>0</v>
      </c>
      <c r="L633" t="s">
        <v>193</v>
      </c>
      <c r="M633">
        <v>1</v>
      </c>
    </row>
    <row r="634" spans="1:13" x14ac:dyDescent="0.3">
      <c r="A634" t="s">
        <v>843</v>
      </c>
      <c r="B634">
        <v>39</v>
      </c>
      <c r="C634" s="1">
        <v>45580</v>
      </c>
      <c r="D634">
        <v>2024</v>
      </c>
      <c r="E634" t="s">
        <v>198</v>
      </c>
      <c r="F634" t="s">
        <v>13</v>
      </c>
      <c r="G634" t="s">
        <v>203</v>
      </c>
      <c r="H634" t="s">
        <v>204</v>
      </c>
      <c r="I634">
        <v>11</v>
      </c>
      <c r="J634">
        <v>1993.33</v>
      </c>
      <c r="K634">
        <v>1</v>
      </c>
      <c r="L634" t="s">
        <v>201</v>
      </c>
      <c r="M634">
        <v>1</v>
      </c>
    </row>
    <row r="635" spans="1:13" x14ac:dyDescent="0.3">
      <c r="A635" t="s">
        <v>844</v>
      </c>
      <c r="B635">
        <v>39</v>
      </c>
      <c r="C635" s="1">
        <v>45995</v>
      </c>
      <c r="D635">
        <v>2025</v>
      </c>
      <c r="E635" t="s">
        <v>198</v>
      </c>
      <c r="F635" t="s">
        <v>13</v>
      </c>
      <c r="G635" t="s">
        <v>191</v>
      </c>
      <c r="H635" t="s">
        <v>192</v>
      </c>
      <c r="I635">
        <v>11</v>
      </c>
      <c r="J635">
        <v>3853.71</v>
      </c>
      <c r="K635">
        <v>1</v>
      </c>
      <c r="L635" t="s">
        <v>201</v>
      </c>
      <c r="M635">
        <v>0</v>
      </c>
    </row>
    <row r="636" spans="1:13" x14ac:dyDescent="0.3">
      <c r="A636" t="s">
        <v>845</v>
      </c>
      <c r="B636">
        <v>39</v>
      </c>
      <c r="C636" s="1">
        <v>45683</v>
      </c>
      <c r="D636">
        <v>2025</v>
      </c>
      <c r="E636" t="s">
        <v>287</v>
      </c>
      <c r="F636" t="s">
        <v>12</v>
      </c>
      <c r="G636" t="s">
        <v>212</v>
      </c>
      <c r="H636" t="s">
        <v>195</v>
      </c>
      <c r="I636">
        <v>2</v>
      </c>
      <c r="J636">
        <v>317.86</v>
      </c>
      <c r="K636">
        <v>0</v>
      </c>
      <c r="L636" t="s">
        <v>210</v>
      </c>
      <c r="M636">
        <v>1</v>
      </c>
    </row>
    <row r="637" spans="1:13" x14ac:dyDescent="0.3">
      <c r="A637" t="s">
        <v>846</v>
      </c>
      <c r="B637">
        <v>39</v>
      </c>
      <c r="C637" s="1">
        <v>45666</v>
      </c>
      <c r="D637">
        <v>2025</v>
      </c>
      <c r="E637" t="s">
        <v>219</v>
      </c>
      <c r="F637" t="s">
        <v>199</v>
      </c>
      <c r="G637" t="s">
        <v>203</v>
      </c>
      <c r="H637" t="s">
        <v>195</v>
      </c>
      <c r="I637">
        <v>14</v>
      </c>
      <c r="J637">
        <v>7249.93</v>
      </c>
      <c r="K637">
        <v>0</v>
      </c>
      <c r="L637" t="s">
        <v>193</v>
      </c>
      <c r="M637">
        <v>0</v>
      </c>
    </row>
    <row r="638" spans="1:13" x14ac:dyDescent="0.3">
      <c r="A638" t="s">
        <v>847</v>
      </c>
      <c r="B638">
        <v>39</v>
      </c>
      <c r="C638" s="1">
        <v>46014</v>
      </c>
      <c r="D638">
        <v>2025</v>
      </c>
      <c r="E638" t="s">
        <v>190</v>
      </c>
      <c r="F638" t="s">
        <v>13</v>
      </c>
      <c r="G638" t="s">
        <v>191</v>
      </c>
      <c r="H638" t="s">
        <v>192</v>
      </c>
      <c r="I638">
        <v>2</v>
      </c>
      <c r="J638">
        <v>3371.01</v>
      </c>
      <c r="K638">
        <v>1</v>
      </c>
      <c r="L638" t="s">
        <v>210</v>
      </c>
      <c r="M638">
        <v>0</v>
      </c>
    </row>
    <row r="639" spans="1:13" x14ac:dyDescent="0.3">
      <c r="A639" t="s">
        <v>848</v>
      </c>
      <c r="B639">
        <v>39</v>
      </c>
      <c r="C639" s="1">
        <v>45785</v>
      </c>
      <c r="D639">
        <v>2025</v>
      </c>
      <c r="E639" t="s">
        <v>190</v>
      </c>
      <c r="F639" t="s">
        <v>199</v>
      </c>
      <c r="G639" t="s">
        <v>212</v>
      </c>
      <c r="H639" t="s">
        <v>192</v>
      </c>
      <c r="I639">
        <v>4</v>
      </c>
      <c r="J639">
        <v>2865.25</v>
      </c>
      <c r="K639">
        <v>0</v>
      </c>
      <c r="L639" t="s">
        <v>201</v>
      </c>
      <c r="M639">
        <v>1</v>
      </c>
    </row>
    <row r="640" spans="1:13" x14ac:dyDescent="0.3">
      <c r="A640" t="s">
        <v>849</v>
      </c>
      <c r="B640">
        <v>39</v>
      </c>
      <c r="C640" s="1">
        <v>45775</v>
      </c>
      <c r="D640">
        <v>2025</v>
      </c>
      <c r="E640" t="s">
        <v>198</v>
      </c>
      <c r="F640" t="s">
        <v>199</v>
      </c>
      <c r="G640" t="s">
        <v>200</v>
      </c>
      <c r="H640" t="s">
        <v>204</v>
      </c>
      <c r="I640">
        <v>15</v>
      </c>
      <c r="J640">
        <v>5674.54</v>
      </c>
      <c r="K640">
        <v>1</v>
      </c>
      <c r="L640" t="s">
        <v>201</v>
      </c>
      <c r="M640">
        <v>0</v>
      </c>
    </row>
    <row r="641" spans="1:13" x14ac:dyDescent="0.3">
      <c r="A641" t="s">
        <v>850</v>
      </c>
      <c r="B641">
        <v>40</v>
      </c>
      <c r="C641" s="1">
        <v>44501</v>
      </c>
      <c r="D641">
        <v>2021</v>
      </c>
      <c r="E641" t="s">
        <v>198</v>
      </c>
      <c r="F641" t="s">
        <v>13</v>
      </c>
      <c r="G641" t="s">
        <v>200</v>
      </c>
      <c r="H641" t="s">
        <v>206</v>
      </c>
      <c r="I641">
        <v>21</v>
      </c>
      <c r="J641">
        <v>3734.96</v>
      </c>
      <c r="K641">
        <v>1</v>
      </c>
      <c r="L641" t="s">
        <v>196</v>
      </c>
      <c r="M641">
        <v>0</v>
      </c>
    </row>
    <row r="642" spans="1:13" x14ac:dyDescent="0.3">
      <c r="A642" t="s">
        <v>851</v>
      </c>
      <c r="B642">
        <v>40</v>
      </c>
      <c r="C642" s="1">
        <v>44519</v>
      </c>
      <c r="D642">
        <v>2021</v>
      </c>
      <c r="E642" t="s">
        <v>219</v>
      </c>
      <c r="F642" t="s">
        <v>12</v>
      </c>
      <c r="G642" t="s">
        <v>212</v>
      </c>
      <c r="H642" t="s">
        <v>195</v>
      </c>
      <c r="I642">
        <v>18</v>
      </c>
      <c r="J642">
        <v>394.45</v>
      </c>
      <c r="K642">
        <v>0</v>
      </c>
      <c r="L642" t="s">
        <v>210</v>
      </c>
      <c r="M642">
        <v>1</v>
      </c>
    </row>
    <row r="643" spans="1:13" x14ac:dyDescent="0.3">
      <c r="A643" t="s">
        <v>852</v>
      </c>
      <c r="B643">
        <v>40</v>
      </c>
      <c r="C643" s="1">
        <v>44545</v>
      </c>
      <c r="D643">
        <v>2021</v>
      </c>
      <c r="E643" t="s">
        <v>190</v>
      </c>
      <c r="F643" t="s">
        <v>12</v>
      </c>
      <c r="G643" t="s">
        <v>212</v>
      </c>
      <c r="H643" t="s">
        <v>195</v>
      </c>
      <c r="I643">
        <v>19</v>
      </c>
      <c r="J643">
        <v>728.23</v>
      </c>
      <c r="K643">
        <v>1</v>
      </c>
      <c r="L643" t="s">
        <v>215</v>
      </c>
      <c r="M643">
        <v>1</v>
      </c>
    </row>
    <row r="644" spans="1:13" x14ac:dyDescent="0.3">
      <c r="A644" t="s">
        <v>853</v>
      </c>
      <c r="B644">
        <v>40</v>
      </c>
      <c r="C644" s="1">
        <v>44200</v>
      </c>
      <c r="D644">
        <v>2021</v>
      </c>
      <c r="E644" t="s">
        <v>227</v>
      </c>
      <c r="F644" t="s">
        <v>12</v>
      </c>
      <c r="G644" t="s">
        <v>212</v>
      </c>
      <c r="H644" t="s">
        <v>192</v>
      </c>
      <c r="I644">
        <v>16</v>
      </c>
      <c r="J644">
        <v>560.84</v>
      </c>
      <c r="K644">
        <v>1</v>
      </c>
      <c r="L644" t="s">
        <v>201</v>
      </c>
      <c r="M644">
        <v>1</v>
      </c>
    </row>
    <row r="645" spans="1:13" x14ac:dyDescent="0.3">
      <c r="A645" t="s">
        <v>854</v>
      </c>
      <c r="B645">
        <v>40</v>
      </c>
      <c r="C645" s="1">
        <v>44288</v>
      </c>
      <c r="D645">
        <v>2021</v>
      </c>
      <c r="E645" t="s">
        <v>214</v>
      </c>
      <c r="F645" t="s">
        <v>13</v>
      </c>
      <c r="G645" t="s">
        <v>212</v>
      </c>
      <c r="H645" t="s">
        <v>204</v>
      </c>
      <c r="I645">
        <v>3</v>
      </c>
      <c r="J645">
        <v>3433.78</v>
      </c>
      <c r="K645">
        <v>1</v>
      </c>
      <c r="L645" t="s">
        <v>196</v>
      </c>
      <c r="M645">
        <v>1</v>
      </c>
    </row>
    <row r="646" spans="1:13" x14ac:dyDescent="0.3">
      <c r="A646" t="s">
        <v>855</v>
      </c>
      <c r="B646">
        <v>40</v>
      </c>
      <c r="C646" s="1">
        <v>44322</v>
      </c>
      <c r="D646">
        <v>2021</v>
      </c>
      <c r="E646" t="s">
        <v>198</v>
      </c>
      <c r="F646" t="s">
        <v>12</v>
      </c>
      <c r="G646" t="s">
        <v>212</v>
      </c>
      <c r="H646" t="s">
        <v>195</v>
      </c>
      <c r="I646">
        <v>1</v>
      </c>
      <c r="J646">
        <v>425.76</v>
      </c>
      <c r="K646">
        <v>1</v>
      </c>
      <c r="L646" t="s">
        <v>193</v>
      </c>
      <c r="M646">
        <v>1</v>
      </c>
    </row>
    <row r="647" spans="1:13" x14ac:dyDescent="0.3">
      <c r="A647" t="s">
        <v>856</v>
      </c>
      <c r="B647">
        <v>40</v>
      </c>
      <c r="C647" s="1">
        <v>44625</v>
      </c>
      <c r="D647">
        <v>2022</v>
      </c>
      <c r="E647" t="s">
        <v>225</v>
      </c>
      <c r="F647" t="s">
        <v>209</v>
      </c>
      <c r="G647" t="s">
        <v>203</v>
      </c>
      <c r="H647" t="s">
        <v>195</v>
      </c>
      <c r="I647">
        <v>8</v>
      </c>
      <c r="J647">
        <v>596.74</v>
      </c>
      <c r="K647">
        <v>0</v>
      </c>
      <c r="L647" t="s">
        <v>210</v>
      </c>
      <c r="M647">
        <v>1</v>
      </c>
    </row>
    <row r="648" spans="1:13" x14ac:dyDescent="0.3">
      <c r="A648" t="s">
        <v>857</v>
      </c>
      <c r="B648">
        <v>40</v>
      </c>
      <c r="C648" s="1">
        <v>44919</v>
      </c>
      <c r="D648">
        <v>2022</v>
      </c>
      <c r="E648" t="s">
        <v>198</v>
      </c>
      <c r="F648" t="s">
        <v>12</v>
      </c>
      <c r="G648" t="s">
        <v>212</v>
      </c>
      <c r="H648" t="s">
        <v>206</v>
      </c>
      <c r="I648">
        <v>1</v>
      </c>
      <c r="J648">
        <v>1118.2</v>
      </c>
      <c r="K648">
        <v>1</v>
      </c>
      <c r="L648" t="s">
        <v>215</v>
      </c>
      <c r="M648">
        <v>1</v>
      </c>
    </row>
    <row r="649" spans="1:13" x14ac:dyDescent="0.3">
      <c r="A649" t="s">
        <v>858</v>
      </c>
      <c r="B649">
        <v>40</v>
      </c>
      <c r="C649" s="1">
        <v>44600</v>
      </c>
      <c r="D649">
        <v>2022</v>
      </c>
      <c r="E649" t="s">
        <v>227</v>
      </c>
      <c r="F649" t="s">
        <v>12</v>
      </c>
      <c r="G649" t="s">
        <v>212</v>
      </c>
      <c r="H649" t="s">
        <v>195</v>
      </c>
      <c r="I649">
        <v>17</v>
      </c>
      <c r="J649">
        <v>708.36</v>
      </c>
      <c r="K649">
        <v>0</v>
      </c>
      <c r="L649" t="s">
        <v>215</v>
      </c>
      <c r="M649">
        <v>1</v>
      </c>
    </row>
    <row r="650" spans="1:13" x14ac:dyDescent="0.3">
      <c r="A650" t="s">
        <v>859</v>
      </c>
      <c r="B650">
        <v>40</v>
      </c>
      <c r="C650" s="1">
        <v>44679</v>
      </c>
      <c r="D650">
        <v>2022</v>
      </c>
      <c r="E650" t="s">
        <v>198</v>
      </c>
      <c r="F650" t="s">
        <v>199</v>
      </c>
      <c r="G650" t="s">
        <v>191</v>
      </c>
      <c r="H650" t="s">
        <v>192</v>
      </c>
      <c r="I650">
        <v>17</v>
      </c>
      <c r="J650">
        <v>2641.05</v>
      </c>
      <c r="K650">
        <v>1</v>
      </c>
      <c r="L650" t="s">
        <v>196</v>
      </c>
      <c r="M650">
        <v>0</v>
      </c>
    </row>
    <row r="651" spans="1:13" x14ac:dyDescent="0.3">
      <c r="A651" t="s">
        <v>860</v>
      </c>
      <c r="B651">
        <v>40</v>
      </c>
      <c r="C651" s="1">
        <v>44732</v>
      </c>
      <c r="D651">
        <v>2022</v>
      </c>
      <c r="E651" t="s">
        <v>198</v>
      </c>
      <c r="F651" t="s">
        <v>13</v>
      </c>
      <c r="G651" t="s">
        <v>200</v>
      </c>
      <c r="H651" t="s">
        <v>204</v>
      </c>
      <c r="I651">
        <v>2</v>
      </c>
      <c r="J651">
        <v>2329.34</v>
      </c>
      <c r="K651">
        <v>1</v>
      </c>
      <c r="L651" t="s">
        <v>193</v>
      </c>
      <c r="M651">
        <v>0</v>
      </c>
    </row>
    <row r="652" spans="1:13" x14ac:dyDescent="0.3">
      <c r="A652" t="s">
        <v>861</v>
      </c>
      <c r="B652">
        <v>40</v>
      </c>
      <c r="C652" s="1">
        <v>45115</v>
      </c>
      <c r="D652">
        <v>2023</v>
      </c>
      <c r="E652" t="s">
        <v>198</v>
      </c>
      <c r="F652" t="s">
        <v>199</v>
      </c>
      <c r="G652" t="s">
        <v>203</v>
      </c>
      <c r="H652" t="s">
        <v>195</v>
      </c>
      <c r="I652">
        <v>16</v>
      </c>
      <c r="J652">
        <v>3088.72</v>
      </c>
      <c r="K652">
        <v>1</v>
      </c>
      <c r="L652" t="s">
        <v>196</v>
      </c>
      <c r="M652">
        <v>0</v>
      </c>
    </row>
    <row r="653" spans="1:13" x14ac:dyDescent="0.3">
      <c r="A653" t="s">
        <v>862</v>
      </c>
      <c r="B653">
        <v>40</v>
      </c>
      <c r="C653" s="1">
        <v>45251</v>
      </c>
      <c r="D653">
        <v>2023</v>
      </c>
      <c r="E653" t="s">
        <v>214</v>
      </c>
      <c r="F653" t="s">
        <v>13</v>
      </c>
      <c r="G653" t="s">
        <v>203</v>
      </c>
      <c r="H653" t="s">
        <v>192</v>
      </c>
      <c r="I653">
        <v>8</v>
      </c>
      <c r="J653">
        <v>2848.41</v>
      </c>
      <c r="K653">
        <v>1</v>
      </c>
      <c r="L653" t="s">
        <v>201</v>
      </c>
      <c r="M653">
        <v>0</v>
      </c>
    </row>
    <row r="654" spans="1:13" x14ac:dyDescent="0.3">
      <c r="A654" t="s">
        <v>863</v>
      </c>
      <c r="B654">
        <v>40</v>
      </c>
      <c r="C654" s="1">
        <v>45245</v>
      </c>
      <c r="D654">
        <v>2023</v>
      </c>
      <c r="E654" t="s">
        <v>198</v>
      </c>
      <c r="F654" t="s">
        <v>199</v>
      </c>
      <c r="G654" t="s">
        <v>212</v>
      </c>
      <c r="H654" t="s">
        <v>195</v>
      </c>
      <c r="I654">
        <v>15</v>
      </c>
      <c r="J654">
        <v>4414.18</v>
      </c>
      <c r="K654">
        <v>1</v>
      </c>
      <c r="L654" t="s">
        <v>196</v>
      </c>
      <c r="M654">
        <v>1</v>
      </c>
    </row>
    <row r="655" spans="1:13" x14ac:dyDescent="0.3">
      <c r="A655" t="s">
        <v>864</v>
      </c>
      <c r="B655">
        <v>40</v>
      </c>
      <c r="C655" s="1">
        <v>45428</v>
      </c>
      <c r="D655">
        <v>2024</v>
      </c>
      <c r="E655" t="s">
        <v>198</v>
      </c>
      <c r="F655" t="s">
        <v>209</v>
      </c>
      <c r="G655" t="s">
        <v>212</v>
      </c>
      <c r="H655" t="s">
        <v>195</v>
      </c>
      <c r="I655">
        <v>3</v>
      </c>
      <c r="J655">
        <v>26.47</v>
      </c>
      <c r="K655">
        <v>1</v>
      </c>
      <c r="L655" t="s">
        <v>215</v>
      </c>
      <c r="M655">
        <v>1</v>
      </c>
    </row>
    <row r="656" spans="1:13" x14ac:dyDescent="0.3">
      <c r="A656" t="s">
        <v>865</v>
      </c>
      <c r="B656">
        <v>40</v>
      </c>
      <c r="C656" s="1">
        <v>45664</v>
      </c>
      <c r="D656">
        <v>2025</v>
      </c>
      <c r="E656" t="s">
        <v>198</v>
      </c>
      <c r="F656" t="s">
        <v>199</v>
      </c>
      <c r="G656" t="s">
        <v>191</v>
      </c>
      <c r="H656" t="s">
        <v>195</v>
      </c>
      <c r="I656">
        <v>15</v>
      </c>
      <c r="J656">
        <v>3052.07</v>
      </c>
      <c r="K656">
        <v>1</v>
      </c>
      <c r="L656" t="s">
        <v>196</v>
      </c>
      <c r="M656">
        <v>0</v>
      </c>
    </row>
    <row r="657" spans="1:13" x14ac:dyDescent="0.3">
      <c r="A657" t="s">
        <v>866</v>
      </c>
      <c r="B657">
        <v>40</v>
      </c>
      <c r="C657" s="1">
        <v>45730</v>
      </c>
      <c r="D657">
        <v>2025</v>
      </c>
      <c r="E657" t="s">
        <v>219</v>
      </c>
      <c r="F657" t="s">
        <v>13</v>
      </c>
      <c r="G657" t="s">
        <v>212</v>
      </c>
      <c r="H657" t="s">
        <v>195</v>
      </c>
      <c r="I657">
        <v>14</v>
      </c>
      <c r="J657">
        <v>1444.4</v>
      </c>
      <c r="K657">
        <v>0</v>
      </c>
      <c r="L657" t="s">
        <v>193</v>
      </c>
      <c r="M657">
        <v>1</v>
      </c>
    </row>
    <row r="658" spans="1:13" x14ac:dyDescent="0.3">
      <c r="A658" t="s">
        <v>867</v>
      </c>
      <c r="B658">
        <v>40</v>
      </c>
      <c r="C658" s="1">
        <v>45831</v>
      </c>
      <c r="D658">
        <v>2025</v>
      </c>
      <c r="E658" t="s">
        <v>198</v>
      </c>
      <c r="F658" t="s">
        <v>199</v>
      </c>
      <c r="G658" t="s">
        <v>203</v>
      </c>
      <c r="H658" t="s">
        <v>195</v>
      </c>
      <c r="I658">
        <v>2</v>
      </c>
      <c r="J658">
        <v>5040.7</v>
      </c>
      <c r="K658">
        <v>1</v>
      </c>
      <c r="L658" t="s">
        <v>193</v>
      </c>
      <c r="M658">
        <v>0</v>
      </c>
    </row>
    <row r="659" spans="1:13" x14ac:dyDescent="0.3">
      <c r="A659" t="s">
        <v>868</v>
      </c>
      <c r="B659">
        <v>41</v>
      </c>
      <c r="C659" s="1">
        <v>44364</v>
      </c>
      <c r="D659">
        <v>2021</v>
      </c>
      <c r="E659" t="s">
        <v>214</v>
      </c>
      <c r="F659" t="s">
        <v>12</v>
      </c>
      <c r="G659" t="s">
        <v>200</v>
      </c>
      <c r="H659" t="s">
        <v>195</v>
      </c>
      <c r="I659">
        <v>7</v>
      </c>
      <c r="J659">
        <v>271.79000000000002</v>
      </c>
      <c r="K659">
        <v>0</v>
      </c>
      <c r="L659" t="s">
        <v>215</v>
      </c>
      <c r="M659">
        <v>1</v>
      </c>
    </row>
    <row r="660" spans="1:13" x14ac:dyDescent="0.3">
      <c r="A660" t="s">
        <v>869</v>
      </c>
      <c r="B660">
        <v>41</v>
      </c>
      <c r="C660" s="1">
        <v>44512</v>
      </c>
      <c r="D660">
        <v>2021</v>
      </c>
      <c r="E660" t="s">
        <v>219</v>
      </c>
      <c r="F660" t="s">
        <v>13</v>
      </c>
      <c r="G660" t="s">
        <v>203</v>
      </c>
      <c r="H660" t="s">
        <v>192</v>
      </c>
      <c r="I660">
        <v>14</v>
      </c>
      <c r="J660">
        <v>2001.29</v>
      </c>
      <c r="K660">
        <v>0</v>
      </c>
      <c r="L660" t="s">
        <v>193</v>
      </c>
      <c r="M660">
        <v>1</v>
      </c>
    </row>
    <row r="661" spans="1:13" x14ac:dyDescent="0.3">
      <c r="A661" t="s">
        <v>870</v>
      </c>
      <c r="B661">
        <v>41</v>
      </c>
      <c r="C661" s="1">
        <v>44482</v>
      </c>
      <c r="D661">
        <v>2021</v>
      </c>
      <c r="E661" t="s">
        <v>198</v>
      </c>
      <c r="F661" t="s">
        <v>199</v>
      </c>
      <c r="G661" t="s">
        <v>191</v>
      </c>
      <c r="H661" t="s">
        <v>192</v>
      </c>
      <c r="I661">
        <v>8</v>
      </c>
      <c r="J661">
        <v>7110.82</v>
      </c>
      <c r="K661">
        <v>1</v>
      </c>
      <c r="L661" t="s">
        <v>196</v>
      </c>
      <c r="M661">
        <v>0</v>
      </c>
    </row>
    <row r="662" spans="1:13" x14ac:dyDescent="0.3">
      <c r="A662" t="s">
        <v>871</v>
      </c>
      <c r="B662">
        <v>41</v>
      </c>
      <c r="C662" s="1">
        <v>44366</v>
      </c>
      <c r="D662">
        <v>2021</v>
      </c>
      <c r="E662" t="s">
        <v>198</v>
      </c>
      <c r="F662" t="s">
        <v>199</v>
      </c>
      <c r="G662" t="s">
        <v>200</v>
      </c>
      <c r="H662" t="s">
        <v>195</v>
      </c>
      <c r="I662">
        <v>3</v>
      </c>
      <c r="J662">
        <v>3963.02</v>
      </c>
      <c r="K662">
        <v>1</v>
      </c>
      <c r="L662" t="s">
        <v>201</v>
      </c>
      <c r="M662">
        <v>1</v>
      </c>
    </row>
    <row r="663" spans="1:13" x14ac:dyDescent="0.3">
      <c r="A663" t="s">
        <v>872</v>
      </c>
      <c r="B663">
        <v>41</v>
      </c>
      <c r="C663" s="1">
        <v>44519</v>
      </c>
      <c r="D663">
        <v>2021</v>
      </c>
      <c r="E663" t="s">
        <v>198</v>
      </c>
      <c r="F663" t="s">
        <v>199</v>
      </c>
      <c r="G663" t="s">
        <v>212</v>
      </c>
      <c r="H663" t="s">
        <v>195</v>
      </c>
      <c r="I663">
        <v>1</v>
      </c>
      <c r="J663">
        <v>3183.78</v>
      </c>
      <c r="K663">
        <v>1</v>
      </c>
      <c r="L663" t="s">
        <v>196</v>
      </c>
      <c r="M663">
        <v>1</v>
      </c>
    </row>
    <row r="664" spans="1:13" x14ac:dyDescent="0.3">
      <c r="A664" t="s">
        <v>873</v>
      </c>
      <c r="B664">
        <v>41</v>
      </c>
      <c r="C664" s="1">
        <v>44842</v>
      </c>
      <c r="D664">
        <v>2022</v>
      </c>
      <c r="E664" t="s">
        <v>190</v>
      </c>
      <c r="F664" t="s">
        <v>209</v>
      </c>
      <c r="G664" t="s">
        <v>212</v>
      </c>
      <c r="H664" t="s">
        <v>195</v>
      </c>
      <c r="I664">
        <v>1</v>
      </c>
      <c r="J664">
        <v>378.64</v>
      </c>
      <c r="K664">
        <v>0</v>
      </c>
      <c r="L664" t="s">
        <v>210</v>
      </c>
      <c r="M664">
        <v>1</v>
      </c>
    </row>
    <row r="665" spans="1:13" x14ac:dyDescent="0.3">
      <c r="A665" t="s">
        <v>874</v>
      </c>
      <c r="B665">
        <v>41</v>
      </c>
      <c r="C665" s="1">
        <v>44673</v>
      </c>
      <c r="D665">
        <v>2022</v>
      </c>
      <c r="E665" t="s">
        <v>214</v>
      </c>
      <c r="F665" t="s">
        <v>13</v>
      </c>
      <c r="G665" t="s">
        <v>212</v>
      </c>
      <c r="H665" t="s">
        <v>195</v>
      </c>
      <c r="I665">
        <v>14</v>
      </c>
      <c r="J665">
        <v>3423.5</v>
      </c>
      <c r="K665">
        <v>1</v>
      </c>
      <c r="L665" t="s">
        <v>193</v>
      </c>
      <c r="M665">
        <v>1</v>
      </c>
    </row>
    <row r="666" spans="1:13" x14ac:dyDescent="0.3">
      <c r="A666" t="s">
        <v>875</v>
      </c>
      <c r="B666">
        <v>41</v>
      </c>
      <c r="C666" s="1">
        <v>44786</v>
      </c>
      <c r="D666">
        <v>2022</v>
      </c>
      <c r="E666" t="s">
        <v>219</v>
      </c>
      <c r="F666" t="s">
        <v>13</v>
      </c>
      <c r="G666" t="s">
        <v>200</v>
      </c>
      <c r="H666" t="s">
        <v>195</v>
      </c>
      <c r="I666">
        <v>8</v>
      </c>
      <c r="J666">
        <v>2317.0500000000002</v>
      </c>
      <c r="K666">
        <v>1</v>
      </c>
      <c r="L666" t="s">
        <v>193</v>
      </c>
      <c r="M666">
        <v>0</v>
      </c>
    </row>
    <row r="667" spans="1:13" x14ac:dyDescent="0.3">
      <c r="A667" t="s">
        <v>876</v>
      </c>
      <c r="B667">
        <v>41</v>
      </c>
      <c r="C667" s="1">
        <v>44905</v>
      </c>
      <c r="D667">
        <v>2022</v>
      </c>
      <c r="E667" t="s">
        <v>198</v>
      </c>
      <c r="F667" t="s">
        <v>199</v>
      </c>
      <c r="G667" t="s">
        <v>191</v>
      </c>
      <c r="H667" t="s">
        <v>192</v>
      </c>
      <c r="I667">
        <v>9</v>
      </c>
      <c r="J667">
        <v>5167.25</v>
      </c>
      <c r="K667">
        <v>1</v>
      </c>
      <c r="L667" t="s">
        <v>201</v>
      </c>
      <c r="M667">
        <v>0</v>
      </c>
    </row>
    <row r="668" spans="1:13" x14ac:dyDescent="0.3">
      <c r="A668" t="s">
        <v>877</v>
      </c>
      <c r="B668">
        <v>41</v>
      </c>
      <c r="C668" s="1">
        <v>44659</v>
      </c>
      <c r="D668">
        <v>2022</v>
      </c>
      <c r="E668" t="s">
        <v>190</v>
      </c>
      <c r="F668" t="s">
        <v>12</v>
      </c>
      <c r="G668" t="s">
        <v>212</v>
      </c>
      <c r="H668" t="s">
        <v>206</v>
      </c>
      <c r="I668">
        <v>3</v>
      </c>
      <c r="J668">
        <v>611.38</v>
      </c>
      <c r="K668">
        <v>1</v>
      </c>
      <c r="L668" t="s">
        <v>193</v>
      </c>
      <c r="M668">
        <v>1</v>
      </c>
    </row>
    <row r="669" spans="1:13" x14ac:dyDescent="0.3">
      <c r="A669" t="s">
        <v>878</v>
      </c>
      <c r="B669">
        <v>41</v>
      </c>
      <c r="C669" s="1">
        <v>45164</v>
      </c>
      <c r="D669">
        <v>2023</v>
      </c>
      <c r="E669" t="s">
        <v>227</v>
      </c>
      <c r="F669" t="s">
        <v>12</v>
      </c>
      <c r="G669" t="s">
        <v>191</v>
      </c>
      <c r="H669" t="s">
        <v>192</v>
      </c>
      <c r="I669">
        <v>9</v>
      </c>
      <c r="J669">
        <v>788.48</v>
      </c>
      <c r="K669">
        <v>0</v>
      </c>
      <c r="L669" t="s">
        <v>215</v>
      </c>
      <c r="M669">
        <v>0</v>
      </c>
    </row>
    <row r="670" spans="1:13" x14ac:dyDescent="0.3">
      <c r="A670" t="s">
        <v>879</v>
      </c>
      <c r="B670">
        <v>41</v>
      </c>
      <c r="C670" s="1">
        <v>45140</v>
      </c>
      <c r="D670">
        <v>2023</v>
      </c>
      <c r="E670" t="s">
        <v>219</v>
      </c>
      <c r="F670" t="s">
        <v>13</v>
      </c>
      <c r="G670" t="s">
        <v>212</v>
      </c>
      <c r="H670" t="s">
        <v>195</v>
      </c>
      <c r="I670">
        <v>3</v>
      </c>
      <c r="J670">
        <v>1267.07</v>
      </c>
      <c r="K670">
        <v>0</v>
      </c>
      <c r="L670" t="s">
        <v>201</v>
      </c>
      <c r="M670">
        <v>1</v>
      </c>
    </row>
    <row r="671" spans="1:13" x14ac:dyDescent="0.3">
      <c r="A671" t="s">
        <v>880</v>
      </c>
      <c r="B671">
        <v>41</v>
      </c>
      <c r="C671" s="1">
        <v>45252</v>
      </c>
      <c r="D671">
        <v>2023</v>
      </c>
      <c r="E671" t="s">
        <v>227</v>
      </c>
      <c r="F671" t="s">
        <v>13</v>
      </c>
      <c r="G671" t="s">
        <v>212</v>
      </c>
      <c r="H671" t="s">
        <v>192</v>
      </c>
      <c r="I671">
        <v>12</v>
      </c>
      <c r="J671">
        <v>3792.67</v>
      </c>
      <c r="K671">
        <v>0</v>
      </c>
      <c r="L671" t="s">
        <v>215</v>
      </c>
      <c r="M671">
        <v>1</v>
      </c>
    </row>
    <row r="672" spans="1:13" x14ac:dyDescent="0.3">
      <c r="A672" t="s">
        <v>881</v>
      </c>
      <c r="B672">
        <v>41</v>
      </c>
      <c r="C672" s="1">
        <v>45394</v>
      </c>
      <c r="D672">
        <v>2024</v>
      </c>
      <c r="E672" t="s">
        <v>219</v>
      </c>
      <c r="F672" t="s">
        <v>13</v>
      </c>
      <c r="G672" t="s">
        <v>212</v>
      </c>
      <c r="H672" t="s">
        <v>192</v>
      </c>
      <c r="I672">
        <v>8</v>
      </c>
      <c r="J672">
        <v>3654.85</v>
      </c>
      <c r="K672">
        <v>0</v>
      </c>
      <c r="L672" t="s">
        <v>193</v>
      </c>
      <c r="M672">
        <v>1</v>
      </c>
    </row>
    <row r="673" spans="1:13" x14ac:dyDescent="0.3">
      <c r="A673" t="s">
        <v>882</v>
      </c>
      <c r="B673">
        <v>41</v>
      </c>
      <c r="C673" s="1">
        <v>45691</v>
      </c>
      <c r="D673">
        <v>2025</v>
      </c>
      <c r="E673" t="s">
        <v>287</v>
      </c>
      <c r="F673" t="s">
        <v>199</v>
      </c>
      <c r="G673" t="s">
        <v>191</v>
      </c>
      <c r="H673" t="s">
        <v>192</v>
      </c>
      <c r="I673">
        <v>19</v>
      </c>
      <c r="J673">
        <v>5942.78</v>
      </c>
      <c r="K673">
        <v>0</v>
      </c>
      <c r="L673" t="s">
        <v>193</v>
      </c>
      <c r="M673">
        <v>0</v>
      </c>
    </row>
    <row r="674" spans="1:13" x14ac:dyDescent="0.3">
      <c r="A674" t="s">
        <v>883</v>
      </c>
      <c r="B674">
        <v>41</v>
      </c>
      <c r="C674" s="1">
        <v>45706</v>
      </c>
      <c r="D674">
        <v>2025</v>
      </c>
      <c r="E674" t="s">
        <v>287</v>
      </c>
      <c r="F674" t="s">
        <v>199</v>
      </c>
      <c r="G674" t="s">
        <v>203</v>
      </c>
      <c r="H674" t="s">
        <v>206</v>
      </c>
      <c r="I674">
        <v>18</v>
      </c>
      <c r="J674">
        <v>6668.08</v>
      </c>
      <c r="K674">
        <v>0</v>
      </c>
      <c r="L674" t="s">
        <v>201</v>
      </c>
      <c r="M674">
        <v>0</v>
      </c>
    </row>
    <row r="675" spans="1:13" x14ac:dyDescent="0.3">
      <c r="A675" t="s">
        <v>884</v>
      </c>
      <c r="B675">
        <v>41</v>
      </c>
      <c r="C675" s="1">
        <v>45924</v>
      </c>
      <c r="D675">
        <v>2025</v>
      </c>
      <c r="E675" t="s">
        <v>287</v>
      </c>
      <c r="F675" t="s">
        <v>13</v>
      </c>
      <c r="G675" t="s">
        <v>203</v>
      </c>
      <c r="H675" t="s">
        <v>195</v>
      </c>
      <c r="I675">
        <v>4</v>
      </c>
      <c r="J675">
        <v>2313</v>
      </c>
      <c r="K675">
        <v>0</v>
      </c>
      <c r="L675" t="s">
        <v>193</v>
      </c>
      <c r="M675">
        <v>1</v>
      </c>
    </row>
    <row r="676" spans="1:13" x14ac:dyDescent="0.3">
      <c r="A676" t="s">
        <v>885</v>
      </c>
      <c r="B676">
        <v>41</v>
      </c>
      <c r="C676" s="1">
        <v>45795</v>
      </c>
      <c r="D676">
        <v>2025</v>
      </c>
      <c r="E676" t="s">
        <v>227</v>
      </c>
      <c r="F676" t="s">
        <v>13</v>
      </c>
      <c r="G676" t="s">
        <v>212</v>
      </c>
      <c r="H676" t="s">
        <v>192</v>
      </c>
      <c r="I676">
        <v>8</v>
      </c>
      <c r="J676">
        <v>3527.78</v>
      </c>
      <c r="K676">
        <v>0</v>
      </c>
      <c r="L676" t="s">
        <v>215</v>
      </c>
      <c r="M676">
        <v>1</v>
      </c>
    </row>
    <row r="677" spans="1:13" x14ac:dyDescent="0.3">
      <c r="A677" t="s">
        <v>886</v>
      </c>
      <c r="B677">
        <v>42</v>
      </c>
      <c r="C677" s="1">
        <v>44336</v>
      </c>
      <c r="D677">
        <v>2021</v>
      </c>
      <c r="E677" t="s">
        <v>190</v>
      </c>
      <c r="F677" t="s">
        <v>13</v>
      </c>
      <c r="G677" t="s">
        <v>212</v>
      </c>
      <c r="H677" t="s">
        <v>195</v>
      </c>
      <c r="I677">
        <v>4</v>
      </c>
      <c r="J677">
        <v>3451.43</v>
      </c>
      <c r="K677">
        <v>0</v>
      </c>
      <c r="L677" t="s">
        <v>193</v>
      </c>
      <c r="M677">
        <v>1</v>
      </c>
    </row>
    <row r="678" spans="1:13" x14ac:dyDescent="0.3">
      <c r="A678" t="s">
        <v>887</v>
      </c>
      <c r="B678">
        <v>42</v>
      </c>
      <c r="C678" s="1">
        <v>44514</v>
      </c>
      <c r="D678">
        <v>2021</v>
      </c>
      <c r="E678" t="s">
        <v>219</v>
      </c>
      <c r="F678" t="s">
        <v>13</v>
      </c>
      <c r="G678" t="s">
        <v>212</v>
      </c>
      <c r="H678" t="s">
        <v>206</v>
      </c>
      <c r="I678">
        <v>11</v>
      </c>
      <c r="J678">
        <v>3790.64</v>
      </c>
      <c r="K678">
        <v>0</v>
      </c>
      <c r="L678" t="s">
        <v>210</v>
      </c>
      <c r="M678">
        <v>1</v>
      </c>
    </row>
    <row r="679" spans="1:13" x14ac:dyDescent="0.3">
      <c r="A679" t="s">
        <v>888</v>
      </c>
      <c r="B679">
        <v>42</v>
      </c>
      <c r="C679" s="1">
        <v>44318</v>
      </c>
      <c r="D679">
        <v>2021</v>
      </c>
      <c r="E679" t="s">
        <v>214</v>
      </c>
      <c r="F679" t="s">
        <v>12</v>
      </c>
      <c r="G679" t="s">
        <v>200</v>
      </c>
      <c r="H679" t="s">
        <v>195</v>
      </c>
      <c r="I679">
        <v>9</v>
      </c>
      <c r="J679">
        <v>390.62</v>
      </c>
      <c r="K679">
        <v>0</v>
      </c>
      <c r="L679" t="s">
        <v>193</v>
      </c>
      <c r="M679">
        <v>0</v>
      </c>
    </row>
    <row r="680" spans="1:13" x14ac:dyDescent="0.3">
      <c r="A680" t="s">
        <v>889</v>
      </c>
      <c r="B680">
        <v>42</v>
      </c>
      <c r="C680" s="1">
        <v>44636</v>
      </c>
      <c r="D680">
        <v>2022</v>
      </c>
      <c r="E680" t="s">
        <v>214</v>
      </c>
      <c r="F680" t="s">
        <v>13</v>
      </c>
      <c r="G680" t="s">
        <v>212</v>
      </c>
      <c r="H680" t="s">
        <v>206</v>
      </c>
      <c r="I680">
        <v>2</v>
      </c>
      <c r="J680">
        <v>1999.92</v>
      </c>
      <c r="K680">
        <v>0</v>
      </c>
      <c r="L680" t="s">
        <v>193</v>
      </c>
      <c r="M680">
        <v>1</v>
      </c>
    </row>
    <row r="681" spans="1:13" x14ac:dyDescent="0.3">
      <c r="A681" t="s">
        <v>890</v>
      </c>
      <c r="B681">
        <v>42</v>
      </c>
      <c r="C681" s="1">
        <v>45225</v>
      </c>
      <c r="D681">
        <v>2023</v>
      </c>
      <c r="E681" t="s">
        <v>190</v>
      </c>
      <c r="F681" t="s">
        <v>13</v>
      </c>
      <c r="G681" t="s">
        <v>212</v>
      </c>
      <c r="H681" t="s">
        <v>204</v>
      </c>
      <c r="I681">
        <v>5</v>
      </c>
      <c r="J681">
        <v>3778.68</v>
      </c>
      <c r="K681">
        <v>1</v>
      </c>
      <c r="L681" t="s">
        <v>196</v>
      </c>
      <c r="M681">
        <v>1</v>
      </c>
    </row>
    <row r="682" spans="1:13" x14ac:dyDescent="0.3">
      <c r="A682" t="s">
        <v>891</v>
      </c>
      <c r="B682">
        <v>42</v>
      </c>
      <c r="C682" s="1">
        <v>45212</v>
      </c>
      <c r="D682">
        <v>2023</v>
      </c>
      <c r="E682" t="s">
        <v>214</v>
      </c>
      <c r="F682" t="s">
        <v>12</v>
      </c>
      <c r="G682" t="s">
        <v>200</v>
      </c>
      <c r="H682" t="s">
        <v>195</v>
      </c>
      <c r="I682">
        <v>1</v>
      </c>
      <c r="J682">
        <v>640.49</v>
      </c>
      <c r="K682">
        <v>0</v>
      </c>
      <c r="L682" t="s">
        <v>201</v>
      </c>
      <c r="M682">
        <v>0</v>
      </c>
    </row>
    <row r="683" spans="1:13" x14ac:dyDescent="0.3">
      <c r="A683" t="s">
        <v>892</v>
      </c>
      <c r="B683">
        <v>42</v>
      </c>
      <c r="C683" s="1">
        <v>44970</v>
      </c>
      <c r="D683">
        <v>2023</v>
      </c>
      <c r="E683" t="s">
        <v>198</v>
      </c>
      <c r="F683" t="s">
        <v>199</v>
      </c>
      <c r="G683" t="s">
        <v>203</v>
      </c>
      <c r="H683" t="s">
        <v>195</v>
      </c>
      <c r="I683">
        <v>10</v>
      </c>
      <c r="J683">
        <v>7040.36</v>
      </c>
      <c r="K683">
        <v>1</v>
      </c>
      <c r="L683" t="s">
        <v>196</v>
      </c>
      <c r="M683">
        <v>0</v>
      </c>
    </row>
    <row r="684" spans="1:13" x14ac:dyDescent="0.3">
      <c r="A684" t="s">
        <v>893</v>
      </c>
      <c r="B684">
        <v>42</v>
      </c>
      <c r="C684" s="1">
        <v>45188</v>
      </c>
      <c r="D684">
        <v>2023</v>
      </c>
      <c r="E684" t="s">
        <v>190</v>
      </c>
      <c r="F684" t="s">
        <v>12</v>
      </c>
      <c r="G684" t="s">
        <v>212</v>
      </c>
      <c r="H684" t="s">
        <v>195</v>
      </c>
      <c r="I684">
        <v>16</v>
      </c>
      <c r="J684">
        <v>301.36</v>
      </c>
      <c r="K684">
        <v>0</v>
      </c>
      <c r="L684" t="s">
        <v>215</v>
      </c>
      <c r="M684">
        <v>1</v>
      </c>
    </row>
    <row r="685" spans="1:13" x14ac:dyDescent="0.3">
      <c r="A685" t="s">
        <v>894</v>
      </c>
      <c r="B685">
        <v>42</v>
      </c>
      <c r="C685" s="1">
        <v>45123</v>
      </c>
      <c r="D685">
        <v>2023</v>
      </c>
      <c r="E685" t="s">
        <v>198</v>
      </c>
      <c r="F685" t="s">
        <v>199</v>
      </c>
      <c r="G685" t="s">
        <v>203</v>
      </c>
      <c r="H685" t="s">
        <v>195</v>
      </c>
      <c r="I685">
        <v>14</v>
      </c>
      <c r="J685">
        <v>2874.82</v>
      </c>
      <c r="K685">
        <v>1</v>
      </c>
      <c r="L685" t="s">
        <v>196</v>
      </c>
      <c r="M685">
        <v>0</v>
      </c>
    </row>
    <row r="686" spans="1:13" x14ac:dyDescent="0.3">
      <c r="A686" t="s">
        <v>895</v>
      </c>
      <c r="B686">
        <v>42</v>
      </c>
      <c r="C686" s="1">
        <v>44964</v>
      </c>
      <c r="D686">
        <v>2023</v>
      </c>
      <c r="E686" t="s">
        <v>227</v>
      </c>
      <c r="F686" t="s">
        <v>199</v>
      </c>
      <c r="G686" t="s">
        <v>203</v>
      </c>
      <c r="H686" t="s">
        <v>204</v>
      </c>
      <c r="I686">
        <v>4</v>
      </c>
      <c r="J686">
        <v>7929.25</v>
      </c>
      <c r="K686">
        <v>0</v>
      </c>
      <c r="L686" t="s">
        <v>196</v>
      </c>
      <c r="M686">
        <v>1</v>
      </c>
    </row>
    <row r="687" spans="1:13" x14ac:dyDescent="0.3">
      <c r="A687" t="s">
        <v>896</v>
      </c>
      <c r="B687">
        <v>42</v>
      </c>
      <c r="C687" s="1">
        <v>45640</v>
      </c>
      <c r="D687">
        <v>2024</v>
      </c>
      <c r="E687" t="s">
        <v>198</v>
      </c>
      <c r="F687" t="s">
        <v>12</v>
      </c>
      <c r="G687" t="s">
        <v>191</v>
      </c>
      <c r="H687" t="s">
        <v>195</v>
      </c>
      <c r="I687">
        <v>5</v>
      </c>
      <c r="J687">
        <v>1476.27</v>
      </c>
      <c r="K687">
        <v>1</v>
      </c>
      <c r="L687" t="s">
        <v>215</v>
      </c>
      <c r="M687">
        <v>0</v>
      </c>
    </row>
    <row r="688" spans="1:13" x14ac:dyDescent="0.3">
      <c r="A688" t="s">
        <v>897</v>
      </c>
      <c r="B688">
        <v>42</v>
      </c>
      <c r="C688" s="1">
        <v>45335</v>
      </c>
      <c r="D688">
        <v>2024</v>
      </c>
      <c r="E688" t="s">
        <v>190</v>
      </c>
      <c r="F688" t="s">
        <v>209</v>
      </c>
      <c r="G688" t="s">
        <v>212</v>
      </c>
      <c r="H688" t="s">
        <v>195</v>
      </c>
      <c r="I688">
        <v>3</v>
      </c>
      <c r="J688">
        <v>86.79</v>
      </c>
      <c r="K688">
        <v>1</v>
      </c>
      <c r="L688" t="s">
        <v>215</v>
      </c>
      <c r="M688">
        <v>1</v>
      </c>
    </row>
    <row r="689" spans="1:13" x14ac:dyDescent="0.3">
      <c r="A689" t="s">
        <v>898</v>
      </c>
      <c r="B689">
        <v>42</v>
      </c>
      <c r="C689" s="1">
        <v>45464</v>
      </c>
      <c r="D689">
        <v>2024</v>
      </c>
      <c r="E689" t="s">
        <v>198</v>
      </c>
      <c r="F689" t="s">
        <v>13</v>
      </c>
      <c r="G689" t="s">
        <v>191</v>
      </c>
      <c r="H689" t="s">
        <v>206</v>
      </c>
      <c r="I689">
        <v>13</v>
      </c>
      <c r="J689">
        <v>3535.38</v>
      </c>
      <c r="K689">
        <v>1</v>
      </c>
      <c r="L689" t="s">
        <v>193</v>
      </c>
      <c r="M689">
        <v>1</v>
      </c>
    </row>
    <row r="690" spans="1:13" x14ac:dyDescent="0.3">
      <c r="A690" t="s">
        <v>899</v>
      </c>
      <c r="B690">
        <v>42</v>
      </c>
      <c r="C690" s="1">
        <v>45629</v>
      </c>
      <c r="D690">
        <v>2024</v>
      </c>
      <c r="E690" t="s">
        <v>214</v>
      </c>
      <c r="F690" t="s">
        <v>12</v>
      </c>
      <c r="G690" t="s">
        <v>212</v>
      </c>
      <c r="H690" t="s">
        <v>192</v>
      </c>
      <c r="I690">
        <v>13</v>
      </c>
      <c r="J690">
        <v>933.38</v>
      </c>
      <c r="K690">
        <v>0</v>
      </c>
      <c r="L690" t="s">
        <v>193</v>
      </c>
      <c r="M690">
        <v>1</v>
      </c>
    </row>
    <row r="691" spans="1:13" x14ac:dyDescent="0.3">
      <c r="A691" t="s">
        <v>900</v>
      </c>
      <c r="B691">
        <v>42</v>
      </c>
      <c r="C691" s="1">
        <v>45896</v>
      </c>
      <c r="D691">
        <v>2025</v>
      </c>
      <c r="E691" t="s">
        <v>214</v>
      </c>
      <c r="F691" t="s">
        <v>13</v>
      </c>
      <c r="G691" t="s">
        <v>191</v>
      </c>
      <c r="H691" t="s">
        <v>192</v>
      </c>
      <c r="I691">
        <v>9</v>
      </c>
      <c r="J691">
        <v>2867.64</v>
      </c>
      <c r="K691">
        <v>1</v>
      </c>
      <c r="L691" t="s">
        <v>196</v>
      </c>
      <c r="M691">
        <v>1</v>
      </c>
    </row>
    <row r="692" spans="1:13" x14ac:dyDescent="0.3">
      <c r="A692" t="s">
        <v>901</v>
      </c>
      <c r="B692">
        <v>42</v>
      </c>
      <c r="C692" s="1">
        <v>45914</v>
      </c>
      <c r="D692">
        <v>2025</v>
      </c>
      <c r="E692" t="s">
        <v>219</v>
      </c>
      <c r="F692" t="s">
        <v>13</v>
      </c>
      <c r="G692" t="s">
        <v>191</v>
      </c>
      <c r="H692" t="s">
        <v>206</v>
      </c>
      <c r="I692">
        <v>13</v>
      </c>
      <c r="J692">
        <v>2855.64</v>
      </c>
      <c r="K692">
        <v>1</v>
      </c>
      <c r="L692" t="s">
        <v>201</v>
      </c>
      <c r="M692">
        <v>0</v>
      </c>
    </row>
    <row r="693" spans="1:13" x14ac:dyDescent="0.3">
      <c r="A693" t="s">
        <v>902</v>
      </c>
      <c r="B693">
        <v>43</v>
      </c>
      <c r="C693" s="1">
        <v>44558</v>
      </c>
      <c r="D693">
        <v>2021</v>
      </c>
      <c r="E693" t="s">
        <v>214</v>
      </c>
      <c r="F693" t="s">
        <v>12</v>
      </c>
      <c r="G693" t="s">
        <v>203</v>
      </c>
      <c r="H693" t="s">
        <v>195</v>
      </c>
      <c r="I693">
        <v>9</v>
      </c>
      <c r="J693">
        <v>1074.8800000000001</v>
      </c>
      <c r="K693">
        <v>0</v>
      </c>
      <c r="L693" t="s">
        <v>215</v>
      </c>
      <c r="M693">
        <v>1</v>
      </c>
    </row>
    <row r="694" spans="1:13" x14ac:dyDescent="0.3">
      <c r="A694" t="s">
        <v>903</v>
      </c>
      <c r="B694">
        <v>43</v>
      </c>
      <c r="C694" s="1">
        <v>44506</v>
      </c>
      <c r="D694">
        <v>2021</v>
      </c>
      <c r="E694" t="s">
        <v>214</v>
      </c>
      <c r="F694" t="s">
        <v>12</v>
      </c>
      <c r="G694" t="s">
        <v>212</v>
      </c>
      <c r="H694" t="s">
        <v>206</v>
      </c>
      <c r="I694">
        <v>10</v>
      </c>
      <c r="J694">
        <v>1121.24</v>
      </c>
      <c r="K694">
        <v>0</v>
      </c>
      <c r="L694" t="s">
        <v>201</v>
      </c>
      <c r="M694">
        <v>1</v>
      </c>
    </row>
    <row r="695" spans="1:13" x14ac:dyDescent="0.3">
      <c r="A695" t="s">
        <v>904</v>
      </c>
      <c r="B695">
        <v>43</v>
      </c>
      <c r="C695" s="1">
        <v>44595</v>
      </c>
      <c r="D695">
        <v>2022</v>
      </c>
      <c r="E695" t="s">
        <v>214</v>
      </c>
      <c r="F695" t="s">
        <v>12</v>
      </c>
      <c r="G695" t="s">
        <v>212</v>
      </c>
      <c r="H695" t="s">
        <v>192</v>
      </c>
      <c r="I695">
        <v>7</v>
      </c>
      <c r="J695">
        <v>995.01</v>
      </c>
      <c r="K695">
        <v>0</v>
      </c>
      <c r="L695" t="s">
        <v>215</v>
      </c>
      <c r="M695">
        <v>1</v>
      </c>
    </row>
    <row r="696" spans="1:13" x14ac:dyDescent="0.3">
      <c r="A696" t="s">
        <v>905</v>
      </c>
      <c r="B696">
        <v>43</v>
      </c>
      <c r="C696" s="1">
        <v>44749</v>
      </c>
      <c r="D696">
        <v>2022</v>
      </c>
      <c r="E696" t="s">
        <v>214</v>
      </c>
      <c r="F696" t="s">
        <v>209</v>
      </c>
      <c r="G696" t="s">
        <v>191</v>
      </c>
      <c r="H696" t="s">
        <v>204</v>
      </c>
      <c r="I696">
        <v>5</v>
      </c>
      <c r="J696">
        <v>60</v>
      </c>
      <c r="K696">
        <v>0</v>
      </c>
      <c r="L696" t="s">
        <v>210</v>
      </c>
      <c r="M696">
        <v>0</v>
      </c>
    </row>
    <row r="697" spans="1:13" x14ac:dyDescent="0.3">
      <c r="A697" t="s">
        <v>906</v>
      </c>
      <c r="B697">
        <v>43</v>
      </c>
      <c r="C697" s="1">
        <v>45139</v>
      </c>
      <c r="D697">
        <v>2023</v>
      </c>
      <c r="E697" t="s">
        <v>198</v>
      </c>
      <c r="F697" t="s">
        <v>12</v>
      </c>
      <c r="G697" t="s">
        <v>203</v>
      </c>
      <c r="H697" t="s">
        <v>204</v>
      </c>
      <c r="I697">
        <v>3</v>
      </c>
      <c r="J697">
        <v>912.94</v>
      </c>
      <c r="K697">
        <v>1</v>
      </c>
      <c r="L697" t="s">
        <v>215</v>
      </c>
      <c r="M697">
        <v>0</v>
      </c>
    </row>
    <row r="698" spans="1:13" x14ac:dyDescent="0.3">
      <c r="A698" t="s">
        <v>907</v>
      </c>
      <c r="B698">
        <v>43</v>
      </c>
      <c r="C698" s="1">
        <v>45120</v>
      </c>
      <c r="D698">
        <v>2023</v>
      </c>
      <c r="E698" t="s">
        <v>214</v>
      </c>
      <c r="F698" t="s">
        <v>13</v>
      </c>
      <c r="G698" t="s">
        <v>212</v>
      </c>
      <c r="H698" t="s">
        <v>195</v>
      </c>
      <c r="I698">
        <v>6</v>
      </c>
      <c r="J698">
        <v>2231.38</v>
      </c>
      <c r="K698">
        <v>0</v>
      </c>
      <c r="L698" t="s">
        <v>193</v>
      </c>
      <c r="M698">
        <v>1</v>
      </c>
    </row>
    <row r="699" spans="1:13" x14ac:dyDescent="0.3">
      <c r="A699" t="s">
        <v>908</v>
      </c>
      <c r="B699">
        <v>43</v>
      </c>
      <c r="C699" s="1">
        <v>45318</v>
      </c>
      <c r="D699">
        <v>2024</v>
      </c>
      <c r="E699" t="s">
        <v>190</v>
      </c>
      <c r="F699" t="s">
        <v>12</v>
      </c>
      <c r="G699" t="s">
        <v>212</v>
      </c>
      <c r="H699" t="s">
        <v>195</v>
      </c>
      <c r="I699">
        <v>16</v>
      </c>
      <c r="J699">
        <v>1195.33</v>
      </c>
      <c r="K699">
        <v>0</v>
      </c>
      <c r="L699" t="s">
        <v>201</v>
      </c>
      <c r="M699">
        <v>1</v>
      </c>
    </row>
    <row r="700" spans="1:13" x14ac:dyDescent="0.3">
      <c r="A700" t="s">
        <v>909</v>
      </c>
      <c r="B700">
        <v>43</v>
      </c>
      <c r="C700" s="1">
        <v>45580</v>
      </c>
      <c r="D700">
        <v>2024</v>
      </c>
      <c r="E700" t="s">
        <v>190</v>
      </c>
      <c r="F700" t="s">
        <v>12</v>
      </c>
      <c r="G700" t="s">
        <v>203</v>
      </c>
      <c r="H700" t="s">
        <v>192</v>
      </c>
      <c r="I700">
        <v>1</v>
      </c>
      <c r="J700">
        <v>1226.57</v>
      </c>
      <c r="K700">
        <v>0</v>
      </c>
      <c r="L700" t="s">
        <v>215</v>
      </c>
      <c r="M700">
        <v>0</v>
      </c>
    </row>
    <row r="701" spans="1:13" x14ac:dyDescent="0.3">
      <c r="A701" t="s">
        <v>910</v>
      </c>
      <c r="B701">
        <v>43</v>
      </c>
      <c r="C701" s="1">
        <v>45452</v>
      </c>
      <c r="D701">
        <v>2024</v>
      </c>
      <c r="E701" t="s">
        <v>190</v>
      </c>
      <c r="F701" t="s">
        <v>199</v>
      </c>
      <c r="G701" t="s">
        <v>191</v>
      </c>
      <c r="H701" t="s">
        <v>195</v>
      </c>
      <c r="I701">
        <v>12</v>
      </c>
      <c r="J701">
        <v>3513.79</v>
      </c>
      <c r="K701">
        <v>0</v>
      </c>
      <c r="L701" t="s">
        <v>196</v>
      </c>
      <c r="M701">
        <v>0</v>
      </c>
    </row>
    <row r="702" spans="1:13" x14ac:dyDescent="0.3">
      <c r="A702" t="s">
        <v>911</v>
      </c>
      <c r="B702">
        <v>43</v>
      </c>
      <c r="C702" s="1">
        <v>45494</v>
      </c>
      <c r="D702">
        <v>2024</v>
      </c>
      <c r="E702" t="s">
        <v>225</v>
      </c>
      <c r="F702" t="s">
        <v>13</v>
      </c>
      <c r="G702" t="s">
        <v>203</v>
      </c>
      <c r="H702" t="s">
        <v>204</v>
      </c>
      <c r="I702">
        <v>4</v>
      </c>
      <c r="J702">
        <v>3084.38</v>
      </c>
      <c r="K702">
        <v>0</v>
      </c>
      <c r="L702" t="s">
        <v>215</v>
      </c>
      <c r="M702">
        <v>0</v>
      </c>
    </row>
    <row r="703" spans="1:13" x14ac:dyDescent="0.3">
      <c r="A703" t="s">
        <v>912</v>
      </c>
      <c r="B703">
        <v>43</v>
      </c>
      <c r="C703" s="1">
        <v>45726</v>
      </c>
      <c r="D703">
        <v>2025</v>
      </c>
      <c r="E703" t="s">
        <v>214</v>
      </c>
      <c r="F703" t="s">
        <v>13</v>
      </c>
      <c r="G703" t="s">
        <v>212</v>
      </c>
      <c r="H703" t="s">
        <v>204</v>
      </c>
      <c r="I703">
        <v>6</v>
      </c>
      <c r="J703">
        <v>2435.09</v>
      </c>
      <c r="K703">
        <v>0</v>
      </c>
      <c r="L703" t="s">
        <v>210</v>
      </c>
      <c r="M703">
        <v>1</v>
      </c>
    </row>
    <row r="704" spans="1:13" x14ac:dyDescent="0.3">
      <c r="A704" t="s">
        <v>913</v>
      </c>
      <c r="B704">
        <v>43</v>
      </c>
      <c r="C704" s="1">
        <v>45741</v>
      </c>
      <c r="D704">
        <v>2025</v>
      </c>
      <c r="E704" t="s">
        <v>225</v>
      </c>
      <c r="F704" t="s">
        <v>209</v>
      </c>
      <c r="G704" t="s">
        <v>200</v>
      </c>
      <c r="H704" t="s">
        <v>192</v>
      </c>
      <c r="I704">
        <v>2</v>
      </c>
      <c r="J704">
        <v>168.56</v>
      </c>
      <c r="K704">
        <v>0</v>
      </c>
      <c r="L704" t="s">
        <v>215</v>
      </c>
      <c r="M704">
        <v>1</v>
      </c>
    </row>
    <row r="705" spans="1:13" x14ac:dyDescent="0.3">
      <c r="A705" t="s">
        <v>914</v>
      </c>
      <c r="B705">
        <v>43</v>
      </c>
      <c r="C705" s="1">
        <v>45927</v>
      </c>
      <c r="D705">
        <v>2025</v>
      </c>
      <c r="E705" t="s">
        <v>287</v>
      </c>
      <c r="F705" t="s">
        <v>13</v>
      </c>
      <c r="G705" t="s">
        <v>212</v>
      </c>
      <c r="H705" t="s">
        <v>204</v>
      </c>
      <c r="I705">
        <v>16</v>
      </c>
      <c r="J705">
        <v>1179.9100000000001</v>
      </c>
      <c r="K705">
        <v>0</v>
      </c>
      <c r="L705" t="s">
        <v>201</v>
      </c>
      <c r="M705">
        <v>1</v>
      </c>
    </row>
    <row r="706" spans="1:13" x14ac:dyDescent="0.3">
      <c r="A706" t="s">
        <v>915</v>
      </c>
      <c r="B706">
        <v>43</v>
      </c>
      <c r="C706" s="1">
        <v>45661</v>
      </c>
      <c r="D706">
        <v>2025</v>
      </c>
      <c r="E706" t="s">
        <v>219</v>
      </c>
      <c r="F706" t="s">
        <v>13</v>
      </c>
      <c r="G706" t="s">
        <v>203</v>
      </c>
      <c r="H706" t="s">
        <v>195</v>
      </c>
      <c r="I706">
        <v>14</v>
      </c>
      <c r="J706">
        <v>3974.91</v>
      </c>
      <c r="K706">
        <v>0</v>
      </c>
      <c r="L706" t="s">
        <v>196</v>
      </c>
      <c r="M706">
        <v>0</v>
      </c>
    </row>
    <row r="707" spans="1:13" x14ac:dyDescent="0.3">
      <c r="A707" t="s">
        <v>916</v>
      </c>
      <c r="B707">
        <v>44</v>
      </c>
      <c r="C707" s="1">
        <v>44362</v>
      </c>
      <c r="D707">
        <v>2021</v>
      </c>
      <c r="E707" t="s">
        <v>190</v>
      </c>
      <c r="F707" t="s">
        <v>13</v>
      </c>
      <c r="G707" t="s">
        <v>191</v>
      </c>
      <c r="H707" t="s">
        <v>192</v>
      </c>
      <c r="I707">
        <v>10</v>
      </c>
      <c r="J707">
        <v>1404.73</v>
      </c>
      <c r="K707">
        <v>0</v>
      </c>
      <c r="L707" t="s">
        <v>201</v>
      </c>
      <c r="M707">
        <v>1</v>
      </c>
    </row>
    <row r="708" spans="1:13" x14ac:dyDescent="0.3">
      <c r="A708" t="s">
        <v>917</v>
      </c>
      <c r="B708">
        <v>44</v>
      </c>
      <c r="C708" s="1">
        <v>44526</v>
      </c>
      <c r="D708">
        <v>2021</v>
      </c>
      <c r="E708" t="s">
        <v>214</v>
      </c>
      <c r="F708" t="s">
        <v>209</v>
      </c>
      <c r="G708" t="s">
        <v>203</v>
      </c>
      <c r="H708" t="s">
        <v>195</v>
      </c>
      <c r="I708">
        <v>9</v>
      </c>
      <c r="J708">
        <v>122.33</v>
      </c>
      <c r="K708">
        <v>0</v>
      </c>
      <c r="L708" t="s">
        <v>215</v>
      </c>
      <c r="M708">
        <v>1</v>
      </c>
    </row>
    <row r="709" spans="1:13" x14ac:dyDescent="0.3">
      <c r="A709" t="s">
        <v>918</v>
      </c>
      <c r="B709">
        <v>44</v>
      </c>
      <c r="C709" s="1">
        <v>44355</v>
      </c>
      <c r="D709">
        <v>2021</v>
      </c>
      <c r="E709" t="s">
        <v>214</v>
      </c>
      <c r="F709" t="s">
        <v>12</v>
      </c>
      <c r="G709" t="s">
        <v>212</v>
      </c>
      <c r="H709" t="s">
        <v>206</v>
      </c>
      <c r="I709">
        <v>5</v>
      </c>
      <c r="J709">
        <v>915.36</v>
      </c>
      <c r="K709">
        <v>0</v>
      </c>
      <c r="L709" t="s">
        <v>210</v>
      </c>
      <c r="M709">
        <v>1</v>
      </c>
    </row>
    <row r="710" spans="1:13" x14ac:dyDescent="0.3">
      <c r="A710" t="s">
        <v>919</v>
      </c>
      <c r="B710">
        <v>44</v>
      </c>
      <c r="C710" s="1">
        <v>44721</v>
      </c>
      <c r="D710">
        <v>2022</v>
      </c>
      <c r="E710" t="s">
        <v>287</v>
      </c>
      <c r="F710" t="s">
        <v>12</v>
      </c>
      <c r="G710" t="s">
        <v>200</v>
      </c>
      <c r="H710" t="s">
        <v>195</v>
      </c>
      <c r="I710">
        <v>7</v>
      </c>
      <c r="J710">
        <v>1118.4000000000001</v>
      </c>
      <c r="K710">
        <v>0</v>
      </c>
      <c r="L710" t="s">
        <v>196</v>
      </c>
      <c r="M710">
        <v>0</v>
      </c>
    </row>
    <row r="711" spans="1:13" x14ac:dyDescent="0.3">
      <c r="A711" t="s">
        <v>920</v>
      </c>
      <c r="B711">
        <v>44</v>
      </c>
      <c r="C711" s="1">
        <v>44683</v>
      </c>
      <c r="D711">
        <v>2022</v>
      </c>
      <c r="E711" t="s">
        <v>227</v>
      </c>
      <c r="F711" t="s">
        <v>199</v>
      </c>
      <c r="G711" t="s">
        <v>203</v>
      </c>
      <c r="H711" t="s">
        <v>206</v>
      </c>
      <c r="I711">
        <v>15</v>
      </c>
      <c r="J711">
        <v>4068.64</v>
      </c>
      <c r="K711">
        <v>0</v>
      </c>
      <c r="L711" t="s">
        <v>196</v>
      </c>
      <c r="M711">
        <v>1</v>
      </c>
    </row>
    <row r="712" spans="1:13" x14ac:dyDescent="0.3">
      <c r="A712" t="s">
        <v>921</v>
      </c>
      <c r="B712">
        <v>44</v>
      </c>
      <c r="C712" s="1">
        <v>44596</v>
      </c>
      <c r="D712">
        <v>2022</v>
      </c>
      <c r="E712" t="s">
        <v>214</v>
      </c>
      <c r="F712" t="s">
        <v>12</v>
      </c>
      <c r="G712" t="s">
        <v>191</v>
      </c>
      <c r="H712" t="s">
        <v>206</v>
      </c>
      <c r="I712">
        <v>15</v>
      </c>
      <c r="J712">
        <v>606.83000000000004</v>
      </c>
      <c r="K712">
        <v>0</v>
      </c>
      <c r="L712" t="s">
        <v>210</v>
      </c>
      <c r="M712">
        <v>1</v>
      </c>
    </row>
    <row r="713" spans="1:13" x14ac:dyDescent="0.3">
      <c r="A713" t="s">
        <v>922</v>
      </c>
      <c r="B713">
        <v>44</v>
      </c>
      <c r="C713" s="1">
        <v>44795</v>
      </c>
      <c r="D713">
        <v>2022</v>
      </c>
      <c r="E713" t="s">
        <v>287</v>
      </c>
      <c r="F713" t="s">
        <v>13</v>
      </c>
      <c r="G713" t="s">
        <v>191</v>
      </c>
      <c r="H713" t="s">
        <v>195</v>
      </c>
      <c r="I713">
        <v>5</v>
      </c>
      <c r="J713">
        <v>3703.51</v>
      </c>
      <c r="K713">
        <v>0</v>
      </c>
      <c r="L713" t="s">
        <v>193</v>
      </c>
      <c r="M713">
        <v>0</v>
      </c>
    </row>
    <row r="714" spans="1:13" x14ac:dyDescent="0.3">
      <c r="A714" t="s">
        <v>923</v>
      </c>
      <c r="B714">
        <v>44</v>
      </c>
      <c r="C714" s="1">
        <v>45252</v>
      </c>
      <c r="D714">
        <v>2023</v>
      </c>
      <c r="E714" t="s">
        <v>190</v>
      </c>
      <c r="F714" t="s">
        <v>12</v>
      </c>
      <c r="G714" t="s">
        <v>200</v>
      </c>
      <c r="H714" t="s">
        <v>206</v>
      </c>
      <c r="I714">
        <v>3</v>
      </c>
      <c r="J714">
        <v>943.86</v>
      </c>
      <c r="K714">
        <v>0</v>
      </c>
      <c r="L714" t="s">
        <v>210</v>
      </c>
      <c r="M714">
        <v>0</v>
      </c>
    </row>
    <row r="715" spans="1:13" x14ac:dyDescent="0.3">
      <c r="A715" t="s">
        <v>924</v>
      </c>
      <c r="B715">
        <v>44</v>
      </c>
      <c r="C715" s="1">
        <v>45150</v>
      </c>
      <c r="D715">
        <v>2023</v>
      </c>
      <c r="E715" t="s">
        <v>190</v>
      </c>
      <c r="F715" t="s">
        <v>12</v>
      </c>
      <c r="G715" t="s">
        <v>200</v>
      </c>
      <c r="H715" t="s">
        <v>206</v>
      </c>
      <c r="I715">
        <v>3</v>
      </c>
      <c r="J715">
        <v>1008.43</v>
      </c>
      <c r="K715">
        <v>0</v>
      </c>
      <c r="L715" t="s">
        <v>210</v>
      </c>
      <c r="M715">
        <v>0</v>
      </c>
    </row>
    <row r="716" spans="1:13" x14ac:dyDescent="0.3">
      <c r="A716" t="s">
        <v>925</v>
      </c>
      <c r="B716">
        <v>44</v>
      </c>
      <c r="C716" s="1">
        <v>45100</v>
      </c>
      <c r="D716">
        <v>2023</v>
      </c>
      <c r="E716" t="s">
        <v>190</v>
      </c>
      <c r="F716" t="s">
        <v>209</v>
      </c>
      <c r="G716" t="s">
        <v>212</v>
      </c>
      <c r="H716" t="s">
        <v>192</v>
      </c>
      <c r="I716">
        <v>6</v>
      </c>
      <c r="J716">
        <v>137.72999999999999</v>
      </c>
      <c r="K716">
        <v>0</v>
      </c>
      <c r="L716" t="s">
        <v>210</v>
      </c>
      <c r="M716">
        <v>1</v>
      </c>
    </row>
    <row r="717" spans="1:13" x14ac:dyDescent="0.3">
      <c r="A717" t="s">
        <v>926</v>
      </c>
      <c r="B717">
        <v>44</v>
      </c>
      <c r="C717" s="1">
        <v>45432</v>
      </c>
      <c r="D717">
        <v>2024</v>
      </c>
      <c r="E717" t="s">
        <v>198</v>
      </c>
      <c r="F717" t="s">
        <v>199</v>
      </c>
      <c r="G717" t="s">
        <v>200</v>
      </c>
      <c r="H717" t="s">
        <v>204</v>
      </c>
      <c r="I717">
        <v>14</v>
      </c>
      <c r="J717">
        <v>7247.73</v>
      </c>
      <c r="K717">
        <v>1</v>
      </c>
      <c r="L717" t="s">
        <v>196</v>
      </c>
      <c r="M717">
        <v>0</v>
      </c>
    </row>
    <row r="718" spans="1:13" x14ac:dyDescent="0.3">
      <c r="A718" t="s">
        <v>927</v>
      </c>
      <c r="B718">
        <v>44</v>
      </c>
      <c r="C718" s="1">
        <v>45654</v>
      </c>
      <c r="D718">
        <v>2024</v>
      </c>
      <c r="E718" t="s">
        <v>225</v>
      </c>
      <c r="F718" t="s">
        <v>13</v>
      </c>
      <c r="G718" t="s">
        <v>203</v>
      </c>
      <c r="H718" t="s">
        <v>195</v>
      </c>
      <c r="I718">
        <v>4</v>
      </c>
      <c r="J718">
        <v>3527.68</v>
      </c>
      <c r="K718">
        <v>0</v>
      </c>
      <c r="L718" t="s">
        <v>210</v>
      </c>
      <c r="M718">
        <v>0</v>
      </c>
    </row>
    <row r="719" spans="1:13" x14ac:dyDescent="0.3">
      <c r="A719" t="s">
        <v>928</v>
      </c>
      <c r="B719">
        <v>44</v>
      </c>
      <c r="C719" s="1">
        <v>45608</v>
      </c>
      <c r="D719">
        <v>2024</v>
      </c>
      <c r="E719" t="s">
        <v>214</v>
      </c>
      <c r="F719" t="s">
        <v>12</v>
      </c>
      <c r="G719" t="s">
        <v>212</v>
      </c>
      <c r="H719" t="s">
        <v>195</v>
      </c>
      <c r="I719">
        <v>2</v>
      </c>
      <c r="J719">
        <v>918.85</v>
      </c>
      <c r="K719">
        <v>0</v>
      </c>
      <c r="L719" t="s">
        <v>215</v>
      </c>
      <c r="M719">
        <v>1</v>
      </c>
    </row>
    <row r="720" spans="1:13" x14ac:dyDescent="0.3">
      <c r="A720" t="s">
        <v>929</v>
      </c>
      <c r="B720">
        <v>44</v>
      </c>
      <c r="C720" s="1">
        <v>45585</v>
      </c>
      <c r="D720">
        <v>2024</v>
      </c>
      <c r="E720" t="s">
        <v>214</v>
      </c>
      <c r="F720" t="s">
        <v>13</v>
      </c>
      <c r="G720" t="s">
        <v>212</v>
      </c>
      <c r="H720" t="s">
        <v>204</v>
      </c>
      <c r="I720">
        <v>15</v>
      </c>
      <c r="J720">
        <v>3058.72</v>
      </c>
      <c r="K720">
        <v>0</v>
      </c>
      <c r="L720" t="s">
        <v>215</v>
      </c>
      <c r="M720">
        <v>1</v>
      </c>
    </row>
    <row r="721" spans="1:13" x14ac:dyDescent="0.3">
      <c r="A721" t="s">
        <v>930</v>
      </c>
      <c r="B721">
        <v>44</v>
      </c>
      <c r="C721" s="1">
        <v>45768</v>
      </c>
      <c r="D721">
        <v>2025</v>
      </c>
      <c r="E721" t="s">
        <v>219</v>
      </c>
      <c r="F721" t="s">
        <v>12</v>
      </c>
      <c r="G721" t="s">
        <v>212</v>
      </c>
      <c r="H721" t="s">
        <v>192</v>
      </c>
      <c r="I721">
        <v>13</v>
      </c>
      <c r="J721">
        <v>1076.3399999999999</v>
      </c>
      <c r="K721">
        <v>0</v>
      </c>
      <c r="L721" t="s">
        <v>201</v>
      </c>
      <c r="M721">
        <v>1</v>
      </c>
    </row>
    <row r="722" spans="1:13" x14ac:dyDescent="0.3">
      <c r="A722" t="s">
        <v>931</v>
      </c>
      <c r="B722">
        <v>44</v>
      </c>
      <c r="C722" s="1">
        <v>45949</v>
      </c>
      <c r="D722">
        <v>2025</v>
      </c>
      <c r="E722" t="s">
        <v>219</v>
      </c>
      <c r="F722" t="s">
        <v>199</v>
      </c>
      <c r="G722" t="s">
        <v>203</v>
      </c>
      <c r="H722" t="s">
        <v>204</v>
      </c>
      <c r="I722">
        <v>10</v>
      </c>
      <c r="J722">
        <v>7366.4</v>
      </c>
      <c r="K722">
        <v>0</v>
      </c>
      <c r="L722" t="s">
        <v>196</v>
      </c>
      <c r="M722">
        <v>0</v>
      </c>
    </row>
    <row r="723" spans="1:13" x14ac:dyDescent="0.3">
      <c r="A723" t="s">
        <v>932</v>
      </c>
      <c r="B723">
        <v>44</v>
      </c>
      <c r="C723" s="1">
        <v>45824</v>
      </c>
      <c r="D723">
        <v>2025</v>
      </c>
      <c r="E723" t="s">
        <v>219</v>
      </c>
      <c r="F723" t="s">
        <v>12</v>
      </c>
      <c r="G723" t="s">
        <v>212</v>
      </c>
      <c r="H723" t="s">
        <v>195</v>
      </c>
      <c r="I723">
        <v>7</v>
      </c>
      <c r="J723">
        <v>811.77</v>
      </c>
      <c r="K723">
        <v>0</v>
      </c>
      <c r="L723" t="s">
        <v>215</v>
      </c>
      <c r="M723">
        <v>1</v>
      </c>
    </row>
    <row r="724" spans="1:13" x14ac:dyDescent="0.3">
      <c r="A724" t="s">
        <v>933</v>
      </c>
      <c r="B724">
        <v>44</v>
      </c>
      <c r="C724" s="1">
        <v>45683</v>
      </c>
      <c r="D724">
        <v>2025</v>
      </c>
      <c r="E724" t="s">
        <v>227</v>
      </c>
      <c r="F724" t="s">
        <v>13</v>
      </c>
      <c r="G724" t="s">
        <v>212</v>
      </c>
      <c r="H724" t="s">
        <v>195</v>
      </c>
      <c r="I724">
        <v>5</v>
      </c>
      <c r="J724">
        <v>2144.02</v>
      </c>
      <c r="K724">
        <v>0</v>
      </c>
      <c r="L724" t="s">
        <v>196</v>
      </c>
      <c r="M724">
        <v>1</v>
      </c>
    </row>
    <row r="725" spans="1:13" x14ac:dyDescent="0.3">
      <c r="A725" t="s">
        <v>934</v>
      </c>
      <c r="B725">
        <v>44</v>
      </c>
      <c r="C725" s="1">
        <v>45774</v>
      </c>
      <c r="D725">
        <v>2025</v>
      </c>
      <c r="E725" t="s">
        <v>219</v>
      </c>
      <c r="F725" t="s">
        <v>12</v>
      </c>
      <c r="G725" t="s">
        <v>212</v>
      </c>
      <c r="H725" t="s">
        <v>204</v>
      </c>
      <c r="I725">
        <v>3</v>
      </c>
      <c r="J725">
        <v>547.83000000000004</v>
      </c>
      <c r="K725">
        <v>0</v>
      </c>
      <c r="L725" t="s">
        <v>201</v>
      </c>
      <c r="M725">
        <v>1</v>
      </c>
    </row>
    <row r="726" spans="1:13" x14ac:dyDescent="0.3">
      <c r="A726" t="s">
        <v>935</v>
      </c>
      <c r="B726">
        <v>45</v>
      </c>
      <c r="C726" s="1">
        <v>44522</v>
      </c>
      <c r="D726">
        <v>2021</v>
      </c>
      <c r="E726" t="s">
        <v>219</v>
      </c>
      <c r="F726" t="s">
        <v>209</v>
      </c>
      <c r="G726" t="s">
        <v>191</v>
      </c>
      <c r="H726" t="s">
        <v>195</v>
      </c>
      <c r="I726">
        <v>3</v>
      </c>
      <c r="J726">
        <v>528.94000000000005</v>
      </c>
      <c r="K726">
        <v>0</v>
      </c>
      <c r="L726" t="s">
        <v>215</v>
      </c>
      <c r="M726">
        <v>1</v>
      </c>
    </row>
    <row r="727" spans="1:13" x14ac:dyDescent="0.3">
      <c r="A727" t="s">
        <v>936</v>
      </c>
      <c r="B727">
        <v>45</v>
      </c>
      <c r="C727" s="1">
        <v>44914</v>
      </c>
      <c r="D727">
        <v>2022</v>
      </c>
      <c r="E727" t="s">
        <v>219</v>
      </c>
      <c r="F727" t="s">
        <v>209</v>
      </c>
      <c r="G727" t="s">
        <v>203</v>
      </c>
      <c r="H727" t="s">
        <v>195</v>
      </c>
      <c r="I727">
        <v>4</v>
      </c>
      <c r="J727">
        <v>70.180000000000007</v>
      </c>
      <c r="K727">
        <v>0</v>
      </c>
      <c r="L727" t="s">
        <v>215</v>
      </c>
      <c r="M727">
        <v>0</v>
      </c>
    </row>
    <row r="728" spans="1:13" x14ac:dyDescent="0.3">
      <c r="A728" t="s">
        <v>937</v>
      </c>
      <c r="B728">
        <v>45</v>
      </c>
      <c r="C728" s="1">
        <v>45277</v>
      </c>
      <c r="D728">
        <v>2023</v>
      </c>
      <c r="E728" t="s">
        <v>214</v>
      </c>
      <c r="F728" t="s">
        <v>12</v>
      </c>
      <c r="G728" t="s">
        <v>200</v>
      </c>
      <c r="H728" t="s">
        <v>204</v>
      </c>
      <c r="I728">
        <v>9</v>
      </c>
      <c r="J728">
        <v>884.9</v>
      </c>
      <c r="K728">
        <v>0</v>
      </c>
      <c r="L728" t="s">
        <v>210</v>
      </c>
      <c r="M728">
        <v>0</v>
      </c>
    </row>
    <row r="729" spans="1:13" x14ac:dyDescent="0.3">
      <c r="A729" t="s">
        <v>938</v>
      </c>
      <c r="B729">
        <v>45</v>
      </c>
      <c r="C729" s="1">
        <v>45527</v>
      </c>
      <c r="D729">
        <v>2024</v>
      </c>
      <c r="E729" t="s">
        <v>214</v>
      </c>
      <c r="F729" t="s">
        <v>13</v>
      </c>
      <c r="G729" t="s">
        <v>203</v>
      </c>
      <c r="H729" t="s">
        <v>204</v>
      </c>
      <c r="I729">
        <v>11</v>
      </c>
      <c r="J729">
        <v>1705.7</v>
      </c>
      <c r="K729">
        <v>1</v>
      </c>
      <c r="L729" t="s">
        <v>210</v>
      </c>
      <c r="M729">
        <v>0</v>
      </c>
    </row>
    <row r="730" spans="1:13" x14ac:dyDescent="0.3">
      <c r="A730" t="s">
        <v>939</v>
      </c>
      <c r="B730">
        <v>45</v>
      </c>
      <c r="C730" s="1">
        <v>45599</v>
      </c>
      <c r="D730">
        <v>2024</v>
      </c>
      <c r="E730" t="s">
        <v>190</v>
      </c>
      <c r="F730" t="s">
        <v>13</v>
      </c>
      <c r="G730" t="s">
        <v>191</v>
      </c>
      <c r="H730" t="s">
        <v>195</v>
      </c>
      <c r="I730">
        <v>5</v>
      </c>
      <c r="J730">
        <v>2650.99</v>
      </c>
      <c r="K730">
        <v>1</v>
      </c>
      <c r="L730" t="s">
        <v>196</v>
      </c>
      <c r="M730">
        <v>0</v>
      </c>
    </row>
    <row r="731" spans="1:13" x14ac:dyDescent="0.3">
      <c r="A731" t="s">
        <v>940</v>
      </c>
      <c r="B731">
        <v>45</v>
      </c>
      <c r="C731" s="1">
        <v>45576</v>
      </c>
      <c r="D731">
        <v>2024</v>
      </c>
      <c r="E731" t="s">
        <v>190</v>
      </c>
      <c r="F731" t="s">
        <v>209</v>
      </c>
      <c r="G731" t="s">
        <v>200</v>
      </c>
      <c r="H731" t="s">
        <v>195</v>
      </c>
      <c r="I731">
        <v>5</v>
      </c>
      <c r="J731">
        <v>242.57</v>
      </c>
      <c r="K731">
        <v>1</v>
      </c>
      <c r="L731" t="s">
        <v>210</v>
      </c>
      <c r="M731">
        <v>1</v>
      </c>
    </row>
    <row r="732" spans="1:13" x14ac:dyDescent="0.3">
      <c r="A732" t="s">
        <v>941</v>
      </c>
      <c r="B732">
        <v>45</v>
      </c>
      <c r="C732" s="1">
        <v>46010</v>
      </c>
      <c r="D732">
        <v>2025</v>
      </c>
      <c r="E732" t="s">
        <v>198</v>
      </c>
      <c r="F732" t="s">
        <v>12</v>
      </c>
      <c r="G732" t="s">
        <v>200</v>
      </c>
      <c r="H732" t="s">
        <v>206</v>
      </c>
      <c r="I732">
        <v>4</v>
      </c>
      <c r="J732">
        <v>1371.11</v>
      </c>
      <c r="K732">
        <v>1</v>
      </c>
      <c r="L732" t="s">
        <v>201</v>
      </c>
      <c r="M732">
        <v>0</v>
      </c>
    </row>
    <row r="733" spans="1:13" x14ac:dyDescent="0.3">
      <c r="A733" t="s">
        <v>942</v>
      </c>
      <c r="B733">
        <v>45</v>
      </c>
      <c r="C733" s="1">
        <v>45974</v>
      </c>
      <c r="D733">
        <v>2025</v>
      </c>
      <c r="E733" t="s">
        <v>214</v>
      </c>
      <c r="F733" t="s">
        <v>209</v>
      </c>
      <c r="G733" t="s">
        <v>191</v>
      </c>
      <c r="H733" t="s">
        <v>192</v>
      </c>
      <c r="I733">
        <v>7</v>
      </c>
      <c r="J733">
        <v>169.32</v>
      </c>
      <c r="K733">
        <v>1</v>
      </c>
      <c r="L733" t="s">
        <v>215</v>
      </c>
      <c r="M733">
        <v>0</v>
      </c>
    </row>
    <row r="734" spans="1:13" x14ac:dyDescent="0.3">
      <c r="A734" t="s">
        <v>943</v>
      </c>
      <c r="B734">
        <v>46</v>
      </c>
      <c r="C734" s="1">
        <v>44485</v>
      </c>
      <c r="D734">
        <v>2021</v>
      </c>
      <c r="E734" t="s">
        <v>198</v>
      </c>
      <c r="F734" t="s">
        <v>13</v>
      </c>
      <c r="G734" t="s">
        <v>203</v>
      </c>
      <c r="H734" t="s">
        <v>195</v>
      </c>
      <c r="I734">
        <v>5</v>
      </c>
      <c r="J734">
        <v>1583.94</v>
      </c>
      <c r="K734">
        <v>1</v>
      </c>
      <c r="L734" t="s">
        <v>193</v>
      </c>
      <c r="M734">
        <v>0</v>
      </c>
    </row>
    <row r="735" spans="1:13" x14ac:dyDescent="0.3">
      <c r="A735" t="s">
        <v>944</v>
      </c>
      <c r="B735">
        <v>46</v>
      </c>
      <c r="C735" s="1">
        <v>44395</v>
      </c>
      <c r="D735">
        <v>2021</v>
      </c>
      <c r="E735" t="s">
        <v>219</v>
      </c>
      <c r="F735" t="s">
        <v>12</v>
      </c>
      <c r="G735" t="s">
        <v>212</v>
      </c>
      <c r="H735" t="s">
        <v>195</v>
      </c>
      <c r="I735">
        <v>12</v>
      </c>
      <c r="J735">
        <v>542.6</v>
      </c>
      <c r="K735">
        <v>0</v>
      </c>
      <c r="L735" t="s">
        <v>215</v>
      </c>
      <c r="M735">
        <v>1</v>
      </c>
    </row>
    <row r="736" spans="1:13" x14ac:dyDescent="0.3">
      <c r="A736" t="s">
        <v>945</v>
      </c>
      <c r="B736">
        <v>46</v>
      </c>
      <c r="C736" s="1">
        <v>44519</v>
      </c>
      <c r="D736">
        <v>2021</v>
      </c>
      <c r="E736" t="s">
        <v>198</v>
      </c>
      <c r="F736" t="s">
        <v>13</v>
      </c>
      <c r="G736" t="s">
        <v>212</v>
      </c>
      <c r="H736" t="s">
        <v>195</v>
      </c>
      <c r="I736">
        <v>2</v>
      </c>
      <c r="J736">
        <v>3344.77</v>
      </c>
      <c r="K736">
        <v>1</v>
      </c>
      <c r="L736" t="s">
        <v>193</v>
      </c>
      <c r="M736">
        <v>1</v>
      </c>
    </row>
    <row r="737" spans="1:13" x14ac:dyDescent="0.3">
      <c r="A737" t="s">
        <v>946</v>
      </c>
      <c r="B737">
        <v>46</v>
      </c>
      <c r="C737" s="1">
        <v>44483</v>
      </c>
      <c r="D737">
        <v>2021</v>
      </c>
      <c r="E737" t="s">
        <v>198</v>
      </c>
      <c r="F737" t="s">
        <v>13</v>
      </c>
      <c r="G737" t="s">
        <v>200</v>
      </c>
      <c r="H737" t="s">
        <v>204</v>
      </c>
      <c r="I737">
        <v>6</v>
      </c>
      <c r="J737">
        <v>2131.16</v>
      </c>
      <c r="K737">
        <v>1</v>
      </c>
      <c r="L737" t="s">
        <v>193</v>
      </c>
      <c r="M737">
        <v>0</v>
      </c>
    </row>
    <row r="738" spans="1:13" x14ac:dyDescent="0.3">
      <c r="A738" t="s">
        <v>947</v>
      </c>
      <c r="B738">
        <v>46</v>
      </c>
      <c r="C738" s="1">
        <v>44232</v>
      </c>
      <c r="D738">
        <v>2021</v>
      </c>
      <c r="E738" t="s">
        <v>190</v>
      </c>
      <c r="F738" t="s">
        <v>199</v>
      </c>
      <c r="G738" t="s">
        <v>191</v>
      </c>
      <c r="H738" t="s">
        <v>192</v>
      </c>
      <c r="I738">
        <v>8</v>
      </c>
      <c r="J738">
        <v>5574.87</v>
      </c>
      <c r="K738">
        <v>0</v>
      </c>
      <c r="L738" t="s">
        <v>193</v>
      </c>
      <c r="M738">
        <v>0</v>
      </c>
    </row>
    <row r="739" spans="1:13" x14ac:dyDescent="0.3">
      <c r="A739" t="s">
        <v>948</v>
      </c>
      <c r="B739">
        <v>46</v>
      </c>
      <c r="C739" s="1">
        <v>44245</v>
      </c>
      <c r="D739">
        <v>2021</v>
      </c>
      <c r="E739" t="s">
        <v>190</v>
      </c>
      <c r="F739" t="s">
        <v>199</v>
      </c>
      <c r="G739" t="s">
        <v>191</v>
      </c>
      <c r="H739" t="s">
        <v>195</v>
      </c>
      <c r="I739">
        <v>11</v>
      </c>
      <c r="J739">
        <v>6811.81</v>
      </c>
      <c r="K739">
        <v>0</v>
      </c>
      <c r="L739" t="s">
        <v>196</v>
      </c>
      <c r="M739">
        <v>1</v>
      </c>
    </row>
    <row r="740" spans="1:13" x14ac:dyDescent="0.3">
      <c r="A740" t="s">
        <v>949</v>
      </c>
      <c r="B740">
        <v>46</v>
      </c>
      <c r="C740" s="1">
        <v>44789</v>
      </c>
      <c r="D740">
        <v>2022</v>
      </c>
      <c r="E740" t="s">
        <v>190</v>
      </c>
      <c r="F740" t="s">
        <v>13</v>
      </c>
      <c r="G740" t="s">
        <v>203</v>
      </c>
      <c r="H740" t="s">
        <v>195</v>
      </c>
      <c r="I740">
        <v>12</v>
      </c>
      <c r="J740">
        <v>3352.18</v>
      </c>
      <c r="K740">
        <v>1</v>
      </c>
      <c r="L740" t="s">
        <v>193</v>
      </c>
      <c r="M740">
        <v>1</v>
      </c>
    </row>
    <row r="741" spans="1:13" x14ac:dyDescent="0.3">
      <c r="A741" t="s">
        <v>950</v>
      </c>
      <c r="B741">
        <v>46</v>
      </c>
      <c r="C741" s="1">
        <v>44809</v>
      </c>
      <c r="D741">
        <v>2022</v>
      </c>
      <c r="E741" t="s">
        <v>219</v>
      </c>
      <c r="F741" t="s">
        <v>13</v>
      </c>
      <c r="G741" t="s">
        <v>203</v>
      </c>
      <c r="H741" t="s">
        <v>192</v>
      </c>
      <c r="I741">
        <v>7</v>
      </c>
      <c r="J741">
        <v>1422.74</v>
      </c>
      <c r="K741">
        <v>0</v>
      </c>
      <c r="L741" t="s">
        <v>201</v>
      </c>
      <c r="M741">
        <v>0</v>
      </c>
    </row>
    <row r="742" spans="1:13" x14ac:dyDescent="0.3">
      <c r="A742" t="s">
        <v>951</v>
      </c>
      <c r="B742">
        <v>46</v>
      </c>
      <c r="C742" s="1">
        <v>44775</v>
      </c>
      <c r="D742">
        <v>2022</v>
      </c>
      <c r="E742" t="s">
        <v>198</v>
      </c>
      <c r="F742" t="s">
        <v>199</v>
      </c>
      <c r="G742" t="s">
        <v>203</v>
      </c>
      <c r="H742" t="s">
        <v>195</v>
      </c>
      <c r="I742">
        <v>15</v>
      </c>
      <c r="J742">
        <v>3965.21</v>
      </c>
      <c r="K742">
        <v>1</v>
      </c>
      <c r="L742" t="s">
        <v>196</v>
      </c>
      <c r="M742">
        <v>0</v>
      </c>
    </row>
    <row r="743" spans="1:13" x14ac:dyDescent="0.3">
      <c r="A743" t="s">
        <v>952</v>
      </c>
      <c r="B743">
        <v>46</v>
      </c>
      <c r="C743" s="1">
        <v>45093</v>
      </c>
      <c r="D743">
        <v>2023</v>
      </c>
      <c r="E743" t="s">
        <v>198</v>
      </c>
      <c r="F743" t="s">
        <v>13</v>
      </c>
      <c r="G743" t="s">
        <v>200</v>
      </c>
      <c r="H743" t="s">
        <v>192</v>
      </c>
      <c r="I743">
        <v>7</v>
      </c>
      <c r="J743">
        <v>1378.99</v>
      </c>
      <c r="K743">
        <v>1</v>
      </c>
      <c r="L743" t="s">
        <v>193</v>
      </c>
      <c r="M743">
        <v>0</v>
      </c>
    </row>
    <row r="744" spans="1:13" x14ac:dyDescent="0.3">
      <c r="A744" t="s">
        <v>953</v>
      </c>
      <c r="B744">
        <v>46</v>
      </c>
      <c r="C744" s="1">
        <v>45200</v>
      </c>
      <c r="D744">
        <v>2023</v>
      </c>
      <c r="E744" t="s">
        <v>287</v>
      </c>
      <c r="F744" t="s">
        <v>209</v>
      </c>
      <c r="G744" t="s">
        <v>212</v>
      </c>
      <c r="H744" t="s">
        <v>195</v>
      </c>
      <c r="I744">
        <v>4</v>
      </c>
      <c r="J744">
        <v>422.48</v>
      </c>
      <c r="K744">
        <v>0</v>
      </c>
      <c r="L744" t="s">
        <v>215</v>
      </c>
      <c r="M744">
        <v>1</v>
      </c>
    </row>
    <row r="745" spans="1:13" x14ac:dyDescent="0.3">
      <c r="A745" t="s">
        <v>954</v>
      </c>
      <c r="B745">
        <v>46</v>
      </c>
      <c r="C745" s="1">
        <v>45510</v>
      </c>
      <c r="D745">
        <v>2024</v>
      </c>
      <c r="E745" t="s">
        <v>214</v>
      </c>
      <c r="F745" t="s">
        <v>209</v>
      </c>
      <c r="G745" t="s">
        <v>212</v>
      </c>
      <c r="H745" t="s">
        <v>195</v>
      </c>
      <c r="I745">
        <v>8</v>
      </c>
      <c r="J745">
        <v>106.58</v>
      </c>
      <c r="K745">
        <v>0</v>
      </c>
      <c r="L745" t="s">
        <v>201</v>
      </c>
      <c r="M745">
        <v>1</v>
      </c>
    </row>
    <row r="746" spans="1:13" x14ac:dyDescent="0.3">
      <c r="A746" t="s">
        <v>955</v>
      </c>
      <c r="B746">
        <v>46</v>
      </c>
      <c r="C746" s="1">
        <v>46017</v>
      </c>
      <c r="D746">
        <v>2025</v>
      </c>
      <c r="E746" t="s">
        <v>198</v>
      </c>
      <c r="F746" t="s">
        <v>13</v>
      </c>
      <c r="G746" t="s">
        <v>200</v>
      </c>
      <c r="H746" t="s">
        <v>195</v>
      </c>
      <c r="I746">
        <v>18</v>
      </c>
      <c r="J746">
        <v>2357.87</v>
      </c>
      <c r="K746">
        <v>1</v>
      </c>
      <c r="L746" t="s">
        <v>201</v>
      </c>
      <c r="M746">
        <v>0</v>
      </c>
    </row>
    <row r="747" spans="1:13" x14ac:dyDescent="0.3">
      <c r="A747" t="s">
        <v>956</v>
      </c>
      <c r="B747">
        <v>46</v>
      </c>
      <c r="C747" s="1">
        <v>45926</v>
      </c>
      <c r="D747">
        <v>2025</v>
      </c>
      <c r="E747" t="s">
        <v>227</v>
      </c>
      <c r="F747" t="s">
        <v>209</v>
      </c>
      <c r="G747" t="s">
        <v>191</v>
      </c>
      <c r="H747" t="s">
        <v>195</v>
      </c>
      <c r="I747">
        <v>3</v>
      </c>
      <c r="J747">
        <v>451.83</v>
      </c>
      <c r="K747">
        <v>0</v>
      </c>
      <c r="L747" t="s">
        <v>210</v>
      </c>
      <c r="M747">
        <v>0</v>
      </c>
    </row>
    <row r="748" spans="1:13" x14ac:dyDescent="0.3">
      <c r="A748" t="s">
        <v>957</v>
      </c>
      <c r="B748">
        <v>46</v>
      </c>
      <c r="C748" s="1">
        <v>45677</v>
      </c>
      <c r="D748">
        <v>2025</v>
      </c>
      <c r="E748" t="s">
        <v>198</v>
      </c>
      <c r="F748" t="s">
        <v>13</v>
      </c>
      <c r="G748" t="s">
        <v>191</v>
      </c>
      <c r="H748" t="s">
        <v>195</v>
      </c>
      <c r="I748">
        <v>8</v>
      </c>
      <c r="J748">
        <v>2970.81</v>
      </c>
      <c r="K748">
        <v>1</v>
      </c>
      <c r="L748" t="s">
        <v>210</v>
      </c>
      <c r="M748">
        <v>1</v>
      </c>
    </row>
    <row r="749" spans="1:13" x14ac:dyDescent="0.3">
      <c r="A749" t="s">
        <v>958</v>
      </c>
      <c r="B749">
        <v>46</v>
      </c>
      <c r="C749" s="1">
        <v>45681</v>
      </c>
      <c r="D749">
        <v>2025</v>
      </c>
      <c r="E749" t="s">
        <v>287</v>
      </c>
      <c r="F749" t="s">
        <v>199</v>
      </c>
      <c r="G749" t="s">
        <v>191</v>
      </c>
      <c r="H749" t="s">
        <v>206</v>
      </c>
      <c r="I749">
        <v>14</v>
      </c>
      <c r="J749">
        <v>2741.18</v>
      </c>
      <c r="K749">
        <v>0</v>
      </c>
      <c r="L749" t="s">
        <v>201</v>
      </c>
      <c r="M749">
        <v>0</v>
      </c>
    </row>
    <row r="750" spans="1:13" x14ac:dyDescent="0.3">
      <c r="A750" t="s">
        <v>959</v>
      </c>
      <c r="B750">
        <v>46</v>
      </c>
      <c r="C750" s="1">
        <v>45962</v>
      </c>
      <c r="D750">
        <v>2025</v>
      </c>
      <c r="E750" t="s">
        <v>198</v>
      </c>
      <c r="F750" t="s">
        <v>13</v>
      </c>
      <c r="G750" t="s">
        <v>191</v>
      </c>
      <c r="H750" t="s">
        <v>192</v>
      </c>
      <c r="I750">
        <v>11</v>
      </c>
      <c r="J750">
        <v>2960.94</v>
      </c>
      <c r="K750">
        <v>1</v>
      </c>
      <c r="L750" t="s">
        <v>196</v>
      </c>
      <c r="M750">
        <v>0</v>
      </c>
    </row>
    <row r="751" spans="1:13" x14ac:dyDescent="0.3">
      <c r="A751" t="s">
        <v>960</v>
      </c>
      <c r="B751">
        <v>47</v>
      </c>
      <c r="C751" s="1">
        <v>44370</v>
      </c>
      <c r="D751">
        <v>2021</v>
      </c>
      <c r="E751" t="s">
        <v>214</v>
      </c>
      <c r="F751" t="s">
        <v>13</v>
      </c>
      <c r="G751" t="s">
        <v>200</v>
      </c>
      <c r="H751" t="s">
        <v>204</v>
      </c>
      <c r="I751">
        <v>9</v>
      </c>
      <c r="J751">
        <v>2404.98</v>
      </c>
      <c r="K751">
        <v>0</v>
      </c>
      <c r="L751" t="s">
        <v>193</v>
      </c>
      <c r="M751">
        <v>1</v>
      </c>
    </row>
    <row r="752" spans="1:13" x14ac:dyDescent="0.3">
      <c r="A752" t="s">
        <v>961</v>
      </c>
      <c r="B752">
        <v>47</v>
      </c>
      <c r="C752" s="1">
        <v>44389</v>
      </c>
      <c r="D752">
        <v>2021</v>
      </c>
      <c r="E752" t="s">
        <v>214</v>
      </c>
      <c r="F752" t="s">
        <v>209</v>
      </c>
      <c r="G752" t="s">
        <v>191</v>
      </c>
      <c r="H752" t="s">
        <v>192</v>
      </c>
      <c r="I752">
        <v>14</v>
      </c>
      <c r="J752">
        <v>248.05</v>
      </c>
      <c r="K752">
        <v>0</v>
      </c>
      <c r="L752" t="s">
        <v>210</v>
      </c>
      <c r="M752">
        <v>1</v>
      </c>
    </row>
    <row r="753" spans="1:13" x14ac:dyDescent="0.3">
      <c r="A753" t="s">
        <v>962</v>
      </c>
      <c r="B753">
        <v>47</v>
      </c>
      <c r="C753" s="1">
        <v>44444</v>
      </c>
      <c r="D753">
        <v>2021</v>
      </c>
      <c r="E753" t="s">
        <v>190</v>
      </c>
      <c r="F753" t="s">
        <v>209</v>
      </c>
      <c r="G753" t="s">
        <v>212</v>
      </c>
      <c r="H753" t="s">
        <v>192</v>
      </c>
      <c r="I753">
        <v>12</v>
      </c>
      <c r="J753">
        <v>127.93</v>
      </c>
      <c r="K753">
        <v>0</v>
      </c>
      <c r="L753" t="s">
        <v>201</v>
      </c>
      <c r="M753">
        <v>1</v>
      </c>
    </row>
    <row r="754" spans="1:13" x14ac:dyDescent="0.3">
      <c r="A754" t="s">
        <v>963</v>
      </c>
      <c r="B754">
        <v>47</v>
      </c>
      <c r="C754" s="1">
        <v>44692</v>
      </c>
      <c r="D754">
        <v>2022</v>
      </c>
      <c r="E754" t="s">
        <v>227</v>
      </c>
      <c r="F754" t="s">
        <v>12</v>
      </c>
      <c r="G754" t="s">
        <v>212</v>
      </c>
      <c r="H754" t="s">
        <v>195</v>
      </c>
      <c r="I754">
        <v>7</v>
      </c>
      <c r="J754">
        <v>527.22</v>
      </c>
      <c r="K754">
        <v>0</v>
      </c>
      <c r="L754" t="s">
        <v>193</v>
      </c>
      <c r="M754">
        <v>1</v>
      </c>
    </row>
    <row r="755" spans="1:13" x14ac:dyDescent="0.3">
      <c r="A755" t="s">
        <v>964</v>
      </c>
      <c r="B755">
        <v>47</v>
      </c>
      <c r="C755" s="1">
        <v>45042</v>
      </c>
      <c r="D755">
        <v>2023</v>
      </c>
      <c r="E755" t="s">
        <v>225</v>
      </c>
      <c r="F755" t="s">
        <v>12</v>
      </c>
      <c r="G755" t="s">
        <v>212</v>
      </c>
      <c r="H755" t="s">
        <v>195</v>
      </c>
      <c r="I755">
        <v>2</v>
      </c>
      <c r="J755">
        <v>1398</v>
      </c>
      <c r="K755">
        <v>0</v>
      </c>
      <c r="L755" t="s">
        <v>215</v>
      </c>
      <c r="M755">
        <v>1</v>
      </c>
    </row>
    <row r="756" spans="1:13" x14ac:dyDescent="0.3">
      <c r="A756" t="s">
        <v>965</v>
      </c>
      <c r="B756">
        <v>47</v>
      </c>
      <c r="C756" s="1">
        <v>45064</v>
      </c>
      <c r="D756">
        <v>2023</v>
      </c>
      <c r="E756" t="s">
        <v>190</v>
      </c>
      <c r="F756" t="s">
        <v>12</v>
      </c>
      <c r="G756" t="s">
        <v>203</v>
      </c>
      <c r="H756" t="s">
        <v>195</v>
      </c>
      <c r="I756">
        <v>11</v>
      </c>
      <c r="J756">
        <v>564.21</v>
      </c>
      <c r="K756">
        <v>0</v>
      </c>
      <c r="L756" t="s">
        <v>210</v>
      </c>
      <c r="M756">
        <v>0</v>
      </c>
    </row>
    <row r="757" spans="1:13" x14ac:dyDescent="0.3">
      <c r="A757" t="s">
        <v>966</v>
      </c>
      <c r="B757">
        <v>47</v>
      </c>
      <c r="C757" s="1">
        <v>45052</v>
      </c>
      <c r="D757">
        <v>2023</v>
      </c>
      <c r="E757" t="s">
        <v>214</v>
      </c>
      <c r="F757" t="s">
        <v>199</v>
      </c>
      <c r="G757" t="s">
        <v>212</v>
      </c>
      <c r="H757" t="s">
        <v>195</v>
      </c>
      <c r="I757">
        <v>2</v>
      </c>
      <c r="J757">
        <v>4732.41</v>
      </c>
      <c r="K757">
        <v>0</v>
      </c>
      <c r="L757" t="s">
        <v>196</v>
      </c>
      <c r="M757">
        <v>1</v>
      </c>
    </row>
    <row r="758" spans="1:13" x14ac:dyDescent="0.3">
      <c r="A758" t="s">
        <v>967</v>
      </c>
      <c r="B758">
        <v>47</v>
      </c>
      <c r="C758" s="1">
        <v>45079</v>
      </c>
      <c r="D758">
        <v>2023</v>
      </c>
      <c r="E758" t="s">
        <v>225</v>
      </c>
      <c r="F758" t="s">
        <v>199</v>
      </c>
      <c r="G758" t="s">
        <v>203</v>
      </c>
      <c r="H758" t="s">
        <v>195</v>
      </c>
      <c r="I758">
        <v>5</v>
      </c>
      <c r="J758">
        <v>4683.8599999999997</v>
      </c>
      <c r="K758">
        <v>1</v>
      </c>
      <c r="L758" t="s">
        <v>193</v>
      </c>
      <c r="M758">
        <v>1</v>
      </c>
    </row>
    <row r="759" spans="1:13" x14ac:dyDescent="0.3">
      <c r="A759" t="s">
        <v>968</v>
      </c>
      <c r="B759">
        <v>47</v>
      </c>
      <c r="C759" s="1">
        <v>45201</v>
      </c>
      <c r="D759">
        <v>2023</v>
      </c>
      <c r="E759" t="s">
        <v>225</v>
      </c>
      <c r="F759" t="s">
        <v>13</v>
      </c>
      <c r="G759" t="s">
        <v>212</v>
      </c>
      <c r="H759" t="s">
        <v>204</v>
      </c>
      <c r="I759">
        <v>13</v>
      </c>
      <c r="J759">
        <v>3191.86</v>
      </c>
      <c r="K759">
        <v>1</v>
      </c>
      <c r="L759" t="s">
        <v>193</v>
      </c>
      <c r="M759">
        <v>1</v>
      </c>
    </row>
    <row r="760" spans="1:13" x14ac:dyDescent="0.3">
      <c r="A760" t="s">
        <v>969</v>
      </c>
      <c r="B760">
        <v>47</v>
      </c>
      <c r="C760" s="1">
        <v>45020</v>
      </c>
      <c r="D760">
        <v>2023</v>
      </c>
      <c r="E760" t="s">
        <v>287</v>
      </c>
      <c r="F760" t="s">
        <v>13</v>
      </c>
      <c r="G760" t="s">
        <v>203</v>
      </c>
      <c r="H760" t="s">
        <v>195</v>
      </c>
      <c r="I760">
        <v>17</v>
      </c>
      <c r="J760">
        <v>3060.03</v>
      </c>
      <c r="K760">
        <v>0</v>
      </c>
      <c r="L760" t="s">
        <v>193</v>
      </c>
      <c r="M760">
        <v>1</v>
      </c>
    </row>
    <row r="761" spans="1:13" x14ac:dyDescent="0.3">
      <c r="A761" t="s">
        <v>970</v>
      </c>
      <c r="B761">
        <v>47</v>
      </c>
      <c r="C761" s="1">
        <v>45609</v>
      </c>
      <c r="D761">
        <v>2024</v>
      </c>
      <c r="E761" t="s">
        <v>198</v>
      </c>
      <c r="F761" t="s">
        <v>13</v>
      </c>
      <c r="G761" t="s">
        <v>200</v>
      </c>
      <c r="H761" t="s">
        <v>195</v>
      </c>
      <c r="I761">
        <v>5</v>
      </c>
      <c r="J761">
        <v>3151.26</v>
      </c>
      <c r="K761">
        <v>1</v>
      </c>
      <c r="L761" t="s">
        <v>215</v>
      </c>
      <c r="M761">
        <v>1</v>
      </c>
    </row>
    <row r="762" spans="1:13" x14ac:dyDescent="0.3">
      <c r="A762" t="s">
        <v>971</v>
      </c>
      <c r="B762">
        <v>47</v>
      </c>
      <c r="C762" s="1">
        <v>45435</v>
      </c>
      <c r="D762">
        <v>2024</v>
      </c>
      <c r="E762" t="s">
        <v>190</v>
      </c>
      <c r="F762" t="s">
        <v>199</v>
      </c>
      <c r="G762" t="s">
        <v>191</v>
      </c>
      <c r="H762" t="s">
        <v>204</v>
      </c>
      <c r="I762">
        <v>18</v>
      </c>
      <c r="J762">
        <v>7456.14</v>
      </c>
      <c r="K762">
        <v>0</v>
      </c>
      <c r="L762" t="s">
        <v>201</v>
      </c>
      <c r="M762">
        <v>0</v>
      </c>
    </row>
    <row r="763" spans="1:13" x14ac:dyDescent="0.3">
      <c r="A763" t="s">
        <v>972</v>
      </c>
      <c r="B763">
        <v>47</v>
      </c>
      <c r="C763" s="1">
        <v>45292</v>
      </c>
      <c r="D763">
        <v>2024</v>
      </c>
      <c r="E763" t="s">
        <v>198</v>
      </c>
      <c r="F763" t="s">
        <v>12</v>
      </c>
      <c r="G763" t="s">
        <v>191</v>
      </c>
      <c r="H763" t="s">
        <v>195</v>
      </c>
      <c r="I763">
        <v>15</v>
      </c>
      <c r="J763">
        <v>388.74</v>
      </c>
      <c r="K763">
        <v>1</v>
      </c>
      <c r="L763" t="s">
        <v>215</v>
      </c>
      <c r="M763">
        <v>0</v>
      </c>
    </row>
    <row r="764" spans="1:13" x14ac:dyDescent="0.3">
      <c r="A764" t="s">
        <v>973</v>
      </c>
      <c r="B764">
        <v>47</v>
      </c>
      <c r="C764" s="1">
        <v>45469</v>
      </c>
      <c r="D764">
        <v>2024</v>
      </c>
      <c r="E764" t="s">
        <v>190</v>
      </c>
      <c r="F764" t="s">
        <v>12</v>
      </c>
      <c r="G764" t="s">
        <v>212</v>
      </c>
      <c r="H764" t="s">
        <v>192</v>
      </c>
      <c r="I764">
        <v>10</v>
      </c>
      <c r="J764">
        <v>603.15</v>
      </c>
      <c r="K764">
        <v>0</v>
      </c>
      <c r="L764" t="s">
        <v>215</v>
      </c>
      <c r="M764">
        <v>1</v>
      </c>
    </row>
    <row r="765" spans="1:13" x14ac:dyDescent="0.3">
      <c r="A765" t="s">
        <v>974</v>
      </c>
      <c r="B765">
        <v>47</v>
      </c>
      <c r="C765" s="1">
        <v>45527</v>
      </c>
      <c r="D765">
        <v>2024</v>
      </c>
      <c r="E765" t="s">
        <v>198</v>
      </c>
      <c r="F765" t="s">
        <v>13</v>
      </c>
      <c r="G765" t="s">
        <v>191</v>
      </c>
      <c r="H765" t="s">
        <v>195</v>
      </c>
      <c r="I765">
        <v>2</v>
      </c>
      <c r="J765">
        <v>2769.66</v>
      </c>
      <c r="K765">
        <v>1</v>
      </c>
      <c r="L765" t="s">
        <v>196</v>
      </c>
      <c r="M765">
        <v>0</v>
      </c>
    </row>
    <row r="766" spans="1:13" x14ac:dyDescent="0.3">
      <c r="A766" t="s">
        <v>975</v>
      </c>
      <c r="B766">
        <v>47</v>
      </c>
      <c r="C766" s="1">
        <v>45324</v>
      </c>
      <c r="D766">
        <v>2024</v>
      </c>
      <c r="E766" t="s">
        <v>198</v>
      </c>
      <c r="F766" t="s">
        <v>12</v>
      </c>
      <c r="G766" t="s">
        <v>212</v>
      </c>
      <c r="H766" t="s">
        <v>195</v>
      </c>
      <c r="I766">
        <v>14</v>
      </c>
      <c r="J766">
        <v>1216.08</v>
      </c>
      <c r="K766">
        <v>1</v>
      </c>
      <c r="L766" t="s">
        <v>210</v>
      </c>
      <c r="M766">
        <v>1</v>
      </c>
    </row>
    <row r="767" spans="1:13" x14ac:dyDescent="0.3">
      <c r="A767" t="s">
        <v>976</v>
      </c>
      <c r="B767">
        <v>47</v>
      </c>
      <c r="C767" s="1">
        <v>45666</v>
      </c>
      <c r="D767">
        <v>2025</v>
      </c>
      <c r="E767" t="s">
        <v>287</v>
      </c>
      <c r="F767" t="s">
        <v>199</v>
      </c>
      <c r="G767" t="s">
        <v>203</v>
      </c>
      <c r="H767" t="s">
        <v>195</v>
      </c>
      <c r="I767">
        <v>10</v>
      </c>
      <c r="J767">
        <v>6681.74</v>
      </c>
      <c r="K767">
        <v>0</v>
      </c>
      <c r="L767" t="s">
        <v>196</v>
      </c>
      <c r="M767">
        <v>0</v>
      </c>
    </row>
    <row r="768" spans="1:13" x14ac:dyDescent="0.3">
      <c r="A768" t="s">
        <v>977</v>
      </c>
      <c r="B768">
        <v>47</v>
      </c>
      <c r="C768" s="1">
        <v>45696</v>
      </c>
      <c r="D768">
        <v>2025</v>
      </c>
      <c r="E768" t="s">
        <v>225</v>
      </c>
      <c r="F768" t="s">
        <v>13</v>
      </c>
      <c r="G768" t="s">
        <v>191</v>
      </c>
      <c r="H768" t="s">
        <v>195</v>
      </c>
      <c r="I768">
        <v>7</v>
      </c>
      <c r="J768">
        <v>3279.9</v>
      </c>
      <c r="K768">
        <v>0</v>
      </c>
      <c r="L768" t="s">
        <v>201</v>
      </c>
      <c r="M768">
        <v>0</v>
      </c>
    </row>
    <row r="769" spans="1:13" x14ac:dyDescent="0.3">
      <c r="A769" t="s">
        <v>978</v>
      </c>
      <c r="B769">
        <v>47</v>
      </c>
      <c r="C769" s="1">
        <v>45718</v>
      </c>
      <c r="D769">
        <v>2025</v>
      </c>
      <c r="E769" t="s">
        <v>227</v>
      </c>
      <c r="F769" t="s">
        <v>209</v>
      </c>
      <c r="G769" t="s">
        <v>212</v>
      </c>
      <c r="H769" t="s">
        <v>195</v>
      </c>
      <c r="I769">
        <v>8</v>
      </c>
      <c r="J769">
        <v>386.48</v>
      </c>
      <c r="K769">
        <v>0</v>
      </c>
      <c r="L769" t="s">
        <v>193</v>
      </c>
      <c r="M769">
        <v>1</v>
      </c>
    </row>
    <row r="770" spans="1:13" x14ac:dyDescent="0.3">
      <c r="A770" t="s">
        <v>979</v>
      </c>
      <c r="B770">
        <v>48</v>
      </c>
      <c r="C770" s="1">
        <v>44245</v>
      </c>
      <c r="D770">
        <v>2021</v>
      </c>
      <c r="E770" t="s">
        <v>225</v>
      </c>
      <c r="F770" t="s">
        <v>12</v>
      </c>
      <c r="G770" t="s">
        <v>191</v>
      </c>
      <c r="H770" t="s">
        <v>204</v>
      </c>
      <c r="I770">
        <v>3</v>
      </c>
      <c r="J770">
        <v>876.19</v>
      </c>
      <c r="K770">
        <v>0</v>
      </c>
      <c r="L770" t="s">
        <v>210</v>
      </c>
      <c r="M770">
        <v>1</v>
      </c>
    </row>
    <row r="771" spans="1:13" x14ac:dyDescent="0.3">
      <c r="A771" t="s">
        <v>980</v>
      </c>
      <c r="B771">
        <v>48</v>
      </c>
      <c r="C771" s="1">
        <v>44308</v>
      </c>
      <c r="D771">
        <v>2021</v>
      </c>
      <c r="E771" t="s">
        <v>198</v>
      </c>
      <c r="F771" t="s">
        <v>199</v>
      </c>
      <c r="G771" t="s">
        <v>203</v>
      </c>
      <c r="H771" t="s">
        <v>192</v>
      </c>
      <c r="I771">
        <v>1</v>
      </c>
      <c r="J771">
        <v>7926.03</v>
      </c>
      <c r="K771">
        <v>1</v>
      </c>
      <c r="L771" t="s">
        <v>196</v>
      </c>
      <c r="M771">
        <v>0</v>
      </c>
    </row>
    <row r="772" spans="1:13" x14ac:dyDescent="0.3">
      <c r="A772" t="s">
        <v>981</v>
      </c>
      <c r="B772">
        <v>48</v>
      </c>
      <c r="C772" s="1">
        <v>44421</v>
      </c>
      <c r="D772">
        <v>2021</v>
      </c>
      <c r="E772" t="s">
        <v>198</v>
      </c>
      <c r="F772" t="s">
        <v>13</v>
      </c>
      <c r="G772" t="s">
        <v>212</v>
      </c>
      <c r="H772" t="s">
        <v>195</v>
      </c>
      <c r="I772">
        <v>8</v>
      </c>
      <c r="J772">
        <v>1218.6400000000001</v>
      </c>
      <c r="K772">
        <v>1</v>
      </c>
      <c r="L772" t="s">
        <v>196</v>
      </c>
      <c r="M772">
        <v>1</v>
      </c>
    </row>
    <row r="773" spans="1:13" x14ac:dyDescent="0.3">
      <c r="A773" t="s">
        <v>982</v>
      </c>
      <c r="B773">
        <v>48</v>
      </c>
      <c r="C773" s="1">
        <v>44633</v>
      </c>
      <c r="D773">
        <v>2022</v>
      </c>
      <c r="E773" t="s">
        <v>198</v>
      </c>
      <c r="F773" t="s">
        <v>13</v>
      </c>
      <c r="G773" t="s">
        <v>212</v>
      </c>
      <c r="H773" t="s">
        <v>206</v>
      </c>
      <c r="I773">
        <v>13</v>
      </c>
      <c r="J773">
        <v>2984.47</v>
      </c>
      <c r="K773">
        <v>1</v>
      </c>
      <c r="L773" t="s">
        <v>193</v>
      </c>
      <c r="M773">
        <v>1</v>
      </c>
    </row>
    <row r="774" spans="1:13" x14ac:dyDescent="0.3">
      <c r="A774" t="s">
        <v>983</v>
      </c>
      <c r="B774">
        <v>48</v>
      </c>
      <c r="C774" s="1">
        <v>44677</v>
      </c>
      <c r="D774">
        <v>2022</v>
      </c>
      <c r="E774" t="s">
        <v>198</v>
      </c>
      <c r="F774" t="s">
        <v>13</v>
      </c>
      <c r="G774" t="s">
        <v>191</v>
      </c>
      <c r="H774" t="s">
        <v>192</v>
      </c>
      <c r="I774">
        <v>7</v>
      </c>
      <c r="J774">
        <v>1119.5</v>
      </c>
      <c r="K774">
        <v>1</v>
      </c>
      <c r="L774" t="s">
        <v>215</v>
      </c>
      <c r="M774">
        <v>0</v>
      </c>
    </row>
    <row r="775" spans="1:13" x14ac:dyDescent="0.3">
      <c r="A775" t="s">
        <v>984</v>
      </c>
      <c r="B775">
        <v>48</v>
      </c>
      <c r="C775" s="1">
        <v>44720</v>
      </c>
      <c r="D775">
        <v>2022</v>
      </c>
      <c r="E775" t="s">
        <v>198</v>
      </c>
      <c r="F775" t="s">
        <v>13</v>
      </c>
      <c r="G775" t="s">
        <v>212</v>
      </c>
      <c r="H775" t="s">
        <v>195</v>
      </c>
      <c r="I775">
        <v>3</v>
      </c>
      <c r="J775">
        <v>2531.31</v>
      </c>
      <c r="K775">
        <v>1</v>
      </c>
      <c r="L775" t="s">
        <v>210</v>
      </c>
      <c r="M775">
        <v>1</v>
      </c>
    </row>
    <row r="776" spans="1:13" x14ac:dyDescent="0.3">
      <c r="A776" t="s">
        <v>985</v>
      </c>
      <c r="B776">
        <v>48</v>
      </c>
      <c r="C776" s="1">
        <v>44595</v>
      </c>
      <c r="D776">
        <v>2022</v>
      </c>
      <c r="E776" t="s">
        <v>225</v>
      </c>
      <c r="F776" t="s">
        <v>13</v>
      </c>
      <c r="G776" t="s">
        <v>200</v>
      </c>
      <c r="H776" t="s">
        <v>192</v>
      </c>
      <c r="I776">
        <v>14</v>
      </c>
      <c r="J776">
        <v>2003.54</v>
      </c>
      <c r="K776">
        <v>0</v>
      </c>
      <c r="L776" t="s">
        <v>196</v>
      </c>
      <c r="M776">
        <v>0</v>
      </c>
    </row>
    <row r="777" spans="1:13" x14ac:dyDescent="0.3">
      <c r="A777" t="s">
        <v>986</v>
      </c>
      <c r="B777">
        <v>48</v>
      </c>
      <c r="C777" s="1">
        <v>44852</v>
      </c>
      <c r="D777">
        <v>2022</v>
      </c>
      <c r="E777" t="s">
        <v>219</v>
      </c>
      <c r="F777" t="s">
        <v>12</v>
      </c>
      <c r="G777" t="s">
        <v>203</v>
      </c>
      <c r="H777" t="s">
        <v>204</v>
      </c>
      <c r="I777">
        <v>6</v>
      </c>
      <c r="J777">
        <v>1171.18</v>
      </c>
      <c r="K777">
        <v>0</v>
      </c>
      <c r="L777" t="s">
        <v>215</v>
      </c>
      <c r="M777">
        <v>0</v>
      </c>
    </row>
    <row r="778" spans="1:13" x14ac:dyDescent="0.3">
      <c r="A778" t="s">
        <v>987</v>
      </c>
      <c r="B778">
        <v>48</v>
      </c>
      <c r="C778" s="1">
        <v>45030</v>
      </c>
      <c r="D778">
        <v>2023</v>
      </c>
      <c r="E778" t="s">
        <v>198</v>
      </c>
      <c r="F778" t="s">
        <v>13</v>
      </c>
      <c r="G778" t="s">
        <v>191</v>
      </c>
      <c r="H778" t="s">
        <v>206</v>
      </c>
      <c r="I778">
        <v>2</v>
      </c>
      <c r="J778">
        <v>2110.13</v>
      </c>
      <c r="K778">
        <v>1</v>
      </c>
      <c r="L778" t="s">
        <v>201</v>
      </c>
      <c r="M778">
        <v>0</v>
      </c>
    </row>
    <row r="779" spans="1:13" x14ac:dyDescent="0.3">
      <c r="A779" t="s">
        <v>988</v>
      </c>
      <c r="B779">
        <v>48</v>
      </c>
      <c r="C779" s="1">
        <v>45139</v>
      </c>
      <c r="D779">
        <v>2023</v>
      </c>
      <c r="E779" t="s">
        <v>214</v>
      </c>
      <c r="F779" t="s">
        <v>199</v>
      </c>
      <c r="G779" t="s">
        <v>191</v>
      </c>
      <c r="H779" t="s">
        <v>204</v>
      </c>
      <c r="I779">
        <v>1</v>
      </c>
      <c r="J779">
        <v>3741.07</v>
      </c>
      <c r="K779">
        <v>1</v>
      </c>
      <c r="L779" t="s">
        <v>196</v>
      </c>
      <c r="M779">
        <v>0</v>
      </c>
    </row>
    <row r="780" spans="1:13" x14ac:dyDescent="0.3">
      <c r="A780" t="s">
        <v>989</v>
      </c>
      <c r="B780">
        <v>48</v>
      </c>
      <c r="C780" s="1">
        <v>45266</v>
      </c>
      <c r="D780">
        <v>2023</v>
      </c>
      <c r="E780" t="s">
        <v>198</v>
      </c>
      <c r="F780" t="s">
        <v>13</v>
      </c>
      <c r="G780" t="s">
        <v>191</v>
      </c>
      <c r="H780" t="s">
        <v>192</v>
      </c>
      <c r="I780">
        <v>14</v>
      </c>
      <c r="J780">
        <v>2057.71</v>
      </c>
      <c r="K780">
        <v>1</v>
      </c>
      <c r="L780" t="s">
        <v>201</v>
      </c>
      <c r="M780">
        <v>0</v>
      </c>
    </row>
    <row r="781" spans="1:13" x14ac:dyDescent="0.3">
      <c r="A781" t="s">
        <v>990</v>
      </c>
      <c r="B781">
        <v>48</v>
      </c>
      <c r="C781" s="1">
        <v>45162</v>
      </c>
      <c r="D781">
        <v>2023</v>
      </c>
      <c r="E781" t="s">
        <v>198</v>
      </c>
      <c r="F781" t="s">
        <v>13</v>
      </c>
      <c r="G781" t="s">
        <v>191</v>
      </c>
      <c r="H781" t="s">
        <v>195</v>
      </c>
      <c r="I781">
        <v>10</v>
      </c>
      <c r="J781">
        <v>1634.31</v>
      </c>
      <c r="K781">
        <v>1</v>
      </c>
      <c r="L781" t="s">
        <v>193</v>
      </c>
      <c r="M781">
        <v>0</v>
      </c>
    </row>
    <row r="782" spans="1:13" x14ac:dyDescent="0.3">
      <c r="A782" t="s">
        <v>991</v>
      </c>
      <c r="B782">
        <v>48</v>
      </c>
      <c r="C782" s="1">
        <v>45589</v>
      </c>
      <c r="D782">
        <v>2024</v>
      </c>
      <c r="E782" t="s">
        <v>287</v>
      </c>
      <c r="F782" t="s">
        <v>12</v>
      </c>
      <c r="G782" t="s">
        <v>212</v>
      </c>
      <c r="H782" t="s">
        <v>204</v>
      </c>
      <c r="I782">
        <v>14</v>
      </c>
      <c r="J782">
        <v>1136.04</v>
      </c>
      <c r="K782">
        <v>0</v>
      </c>
      <c r="L782" t="s">
        <v>201</v>
      </c>
      <c r="M782">
        <v>1</v>
      </c>
    </row>
    <row r="783" spans="1:13" x14ac:dyDescent="0.3">
      <c r="A783" t="s">
        <v>992</v>
      </c>
      <c r="B783">
        <v>48</v>
      </c>
      <c r="C783" s="1">
        <v>45398</v>
      </c>
      <c r="D783">
        <v>2024</v>
      </c>
      <c r="E783" t="s">
        <v>198</v>
      </c>
      <c r="F783" t="s">
        <v>13</v>
      </c>
      <c r="G783" t="s">
        <v>203</v>
      </c>
      <c r="H783" t="s">
        <v>192</v>
      </c>
      <c r="I783">
        <v>10</v>
      </c>
      <c r="J783">
        <v>2126.31</v>
      </c>
      <c r="K783">
        <v>1</v>
      </c>
      <c r="L783" t="s">
        <v>193</v>
      </c>
      <c r="M783">
        <v>0</v>
      </c>
    </row>
    <row r="784" spans="1:13" x14ac:dyDescent="0.3">
      <c r="A784" t="s">
        <v>993</v>
      </c>
      <c r="B784">
        <v>48</v>
      </c>
      <c r="C784" s="1">
        <v>45377</v>
      </c>
      <c r="D784">
        <v>2024</v>
      </c>
      <c r="E784" t="s">
        <v>225</v>
      </c>
      <c r="F784" t="s">
        <v>199</v>
      </c>
      <c r="G784" t="s">
        <v>191</v>
      </c>
      <c r="H784" t="s">
        <v>204</v>
      </c>
      <c r="I784">
        <v>9</v>
      </c>
      <c r="J784">
        <v>3259.56</v>
      </c>
      <c r="K784">
        <v>0</v>
      </c>
      <c r="L784" t="s">
        <v>210</v>
      </c>
      <c r="M784">
        <v>0</v>
      </c>
    </row>
    <row r="785" spans="1:13" x14ac:dyDescent="0.3">
      <c r="A785" t="s">
        <v>994</v>
      </c>
      <c r="B785">
        <v>48</v>
      </c>
      <c r="C785" s="1">
        <v>45369</v>
      </c>
      <c r="D785">
        <v>2024</v>
      </c>
      <c r="E785" t="s">
        <v>198</v>
      </c>
      <c r="F785" t="s">
        <v>13</v>
      </c>
      <c r="G785" t="s">
        <v>200</v>
      </c>
      <c r="H785" t="s">
        <v>195</v>
      </c>
      <c r="I785">
        <v>6</v>
      </c>
      <c r="J785">
        <v>1177.48</v>
      </c>
      <c r="K785">
        <v>1</v>
      </c>
      <c r="L785" t="s">
        <v>210</v>
      </c>
      <c r="M785">
        <v>1</v>
      </c>
    </row>
    <row r="786" spans="1:13" x14ac:dyDescent="0.3">
      <c r="A786" t="s">
        <v>995</v>
      </c>
      <c r="B786">
        <v>48</v>
      </c>
      <c r="C786" s="1">
        <v>45603</v>
      </c>
      <c r="D786">
        <v>2024</v>
      </c>
      <c r="E786" t="s">
        <v>287</v>
      </c>
      <c r="F786" t="s">
        <v>199</v>
      </c>
      <c r="G786" t="s">
        <v>200</v>
      </c>
      <c r="H786" t="s">
        <v>206</v>
      </c>
      <c r="I786">
        <v>13</v>
      </c>
      <c r="J786">
        <v>7761.07</v>
      </c>
      <c r="K786">
        <v>0</v>
      </c>
      <c r="L786" t="s">
        <v>210</v>
      </c>
      <c r="M786">
        <v>1</v>
      </c>
    </row>
    <row r="787" spans="1:13" x14ac:dyDescent="0.3">
      <c r="A787" t="s">
        <v>996</v>
      </c>
      <c r="B787">
        <v>48</v>
      </c>
      <c r="C787" s="1">
        <v>46012</v>
      </c>
      <c r="D787">
        <v>2025</v>
      </c>
      <c r="E787" t="s">
        <v>214</v>
      </c>
      <c r="F787" t="s">
        <v>13</v>
      </c>
      <c r="G787" t="s">
        <v>203</v>
      </c>
      <c r="H787" t="s">
        <v>192</v>
      </c>
      <c r="I787">
        <v>3</v>
      </c>
      <c r="J787">
        <v>1447.8</v>
      </c>
      <c r="K787">
        <v>0</v>
      </c>
      <c r="L787" t="s">
        <v>196</v>
      </c>
      <c r="M787">
        <v>0</v>
      </c>
    </row>
    <row r="788" spans="1:13" x14ac:dyDescent="0.3">
      <c r="A788" t="s">
        <v>997</v>
      </c>
      <c r="B788">
        <v>48</v>
      </c>
      <c r="C788" s="1">
        <v>45836</v>
      </c>
      <c r="D788">
        <v>2025</v>
      </c>
      <c r="E788" t="s">
        <v>190</v>
      </c>
      <c r="F788" t="s">
        <v>12</v>
      </c>
      <c r="G788" t="s">
        <v>203</v>
      </c>
      <c r="H788" t="s">
        <v>206</v>
      </c>
      <c r="I788">
        <v>8</v>
      </c>
      <c r="J788">
        <v>1199.1300000000001</v>
      </c>
      <c r="K788">
        <v>0</v>
      </c>
      <c r="L788" t="s">
        <v>210</v>
      </c>
      <c r="M788">
        <v>1</v>
      </c>
    </row>
    <row r="789" spans="1:13" x14ac:dyDescent="0.3">
      <c r="A789" t="s">
        <v>998</v>
      </c>
      <c r="B789">
        <v>48</v>
      </c>
      <c r="C789" s="1">
        <v>45847</v>
      </c>
      <c r="D789">
        <v>2025</v>
      </c>
      <c r="E789" t="s">
        <v>227</v>
      </c>
      <c r="F789" t="s">
        <v>199</v>
      </c>
      <c r="G789" t="s">
        <v>191</v>
      </c>
      <c r="H789" t="s">
        <v>195</v>
      </c>
      <c r="I789">
        <v>9</v>
      </c>
      <c r="J789">
        <v>7641.96</v>
      </c>
      <c r="K789">
        <v>1</v>
      </c>
      <c r="L789" t="s">
        <v>196</v>
      </c>
      <c r="M789">
        <v>0</v>
      </c>
    </row>
    <row r="790" spans="1:13" x14ac:dyDescent="0.3">
      <c r="A790" t="s">
        <v>999</v>
      </c>
      <c r="B790">
        <v>48</v>
      </c>
      <c r="C790" s="1">
        <v>45934</v>
      </c>
      <c r="D790">
        <v>2025</v>
      </c>
      <c r="E790" t="s">
        <v>214</v>
      </c>
      <c r="F790" t="s">
        <v>13</v>
      </c>
      <c r="G790" t="s">
        <v>212</v>
      </c>
      <c r="H790" t="s">
        <v>204</v>
      </c>
      <c r="I790">
        <v>14</v>
      </c>
      <c r="J790">
        <v>1268.98</v>
      </c>
      <c r="K790">
        <v>0</v>
      </c>
      <c r="L790" t="s">
        <v>210</v>
      </c>
      <c r="M790">
        <v>1</v>
      </c>
    </row>
    <row r="791" spans="1:13" x14ac:dyDescent="0.3">
      <c r="A791" t="s">
        <v>1000</v>
      </c>
      <c r="B791">
        <v>49</v>
      </c>
      <c r="C791" s="1">
        <v>44418</v>
      </c>
      <c r="D791">
        <v>2021</v>
      </c>
      <c r="E791" t="s">
        <v>219</v>
      </c>
      <c r="F791" t="s">
        <v>199</v>
      </c>
      <c r="G791" t="s">
        <v>191</v>
      </c>
      <c r="H791" t="s">
        <v>204</v>
      </c>
      <c r="I791">
        <v>6</v>
      </c>
      <c r="J791">
        <v>3156.32</v>
      </c>
      <c r="K791">
        <v>1</v>
      </c>
      <c r="L791" t="s">
        <v>193</v>
      </c>
      <c r="M791">
        <v>1</v>
      </c>
    </row>
    <row r="792" spans="1:13" x14ac:dyDescent="0.3">
      <c r="A792" t="s">
        <v>1001</v>
      </c>
      <c r="B792">
        <v>49</v>
      </c>
      <c r="C792" s="1">
        <v>44548</v>
      </c>
      <c r="D792">
        <v>2021</v>
      </c>
      <c r="E792" t="s">
        <v>227</v>
      </c>
      <c r="F792" t="s">
        <v>13</v>
      </c>
      <c r="G792" t="s">
        <v>191</v>
      </c>
      <c r="H792" t="s">
        <v>195</v>
      </c>
      <c r="I792">
        <v>9</v>
      </c>
      <c r="J792">
        <v>1041.98</v>
      </c>
      <c r="K792">
        <v>1</v>
      </c>
      <c r="L792" t="s">
        <v>193</v>
      </c>
      <c r="M792">
        <v>1</v>
      </c>
    </row>
    <row r="793" spans="1:13" x14ac:dyDescent="0.3">
      <c r="A793" t="s">
        <v>1002</v>
      </c>
      <c r="B793">
        <v>49</v>
      </c>
      <c r="C793" s="1">
        <v>44404</v>
      </c>
      <c r="D793">
        <v>2021</v>
      </c>
      <c r="E793" t="s">
        <v>225</v>
      </c>
      <c r="F793" t="s">
        <v>199</v>
      </c>
      <c r="G793" t="s">
        <v>200</v>
      </c>
      <c r="H793" t="s">
        <v>195</v>
      </c>
      <c r="I793">
        <v>12</v>
      </c>
      <c r="J793">
        <v>4667.01</v>
      </c>
      <c r="K793">
        <v>0</v>
      </c>
      <c r="L793" t="s">
        <v>193</v>
      </c>
      <c r="M793">
        <v>1</v>
      </c>
    </row>
    <row r="794" spans="1:13" x14ac:dyDescent="0.3">
      <c r="A794" t="s">
        <v>1003</v>
      </c>
      <c r="B794">
        <v>49</v>
      </c>
      <c r="C794" s="1">
        <v>44359</v>
      </c>
      <c r="D794">
        <v>2021</v>
      </c>
      <c r="E794" t="s">
        <v>198</v>
      </c>
      <c r="F794" t="s">
        <v>13</v>
      </c>
      <c r="G794" t="s">
        <v>191</v>
      </c>
      <c r="H794" t="s">
        <v>195</v>
      </c>
      <c r="I794">
        <v>20</v>
      </c>
      <c r="J794">
        <v>1901.51</v>
      </c>
      <c r="K794">
        <v>1</v>
      </c>
      <c r="L794" t="s">
        <v>196</v>
      </c>
      <c r="M794">
        <v>0</v>
      </c>
    </row>
    <row r="795" spans="1:13" x14ac:dyDescent="0.3">
      <c r="A795" t="s">
        <v>1004</v>
      </c>
      <c r="B795">
        <v>49</v>
      </c>
      <c r="C795" s="1">
        <v>44875</v>
      </c>
      <c r="D795">
        <v>2022</v>
      </c>
      <c r="E795" t="s">
        <v>214</v>
      </c>
      <c r="F795" t="s">
        <v>12</v>
      </c>
      <c r="G795" t="s">
        <v>200</v>
      </c>
      <c r="H795" t="s">
        <v>206</v>
      </c>
      <c r="I795">
        <v>3</v>
      </c>
      <c r="J795">
        <v>721.16</v>
      </c>
      <c r="K795">
        <v>0</v>
      </c>
      <c r="L795" t="s">
        <v>193</v>
      </c>
      <c r="M795">
        <v>0</v>
      </c>
    </row>
    <row r="796" spans="1:13" x14ac:dyDescent="0.3">
      <c r="A796" t="s">
        <v>1005</v>
      </c>
      <c r="B796">
        <v>49</v>
      </c>
      <c r="C796" s="1">
        <v>44634</v>
      </c>
      <c r="D796">
        <v>2022</v>
      </c>
      <c r="E796" t="s">
        <v>227</v>
      </c>
      <c r="F796" t="s">
        <v>199</v>
      </c>
      <c r="G796" t="s">
        <v>191</v>
      </c>
      <c r="H796" t="s">
        <v>192</v>
      </c>
      <c r="I796">
        <v>10</v>
      </c>
      <c r="J796">
        <v>6563.64</v>
      </c>
      <c r="K796">
        <v>1</v>
      </c>
      <c r="L796" t="s">
        <v>196</v>
      </c>
      <c r="M796">
        <v>0</v>
      </c>
    </row>
    <row r="797" spans="1:13" x14ac:dyDescent="0.3">
      <c r="A797" t="s">
        <v>1006</v>
      </c>
      <c r="B797">
        <v>49</v>
      </c>
      <c r="C797" s="1">
        <v>44870</v>
      </c>
      <c r="D797">
        <v>2022</v>
      </c>
      <c r="E797" t="s">
        <v>198</v>
      </c>
      <c r="F797" t="s">
        <v>13</v>
      </c>
      <c r="G797" t="s">
        <v>212</v>
      </c>
      <c r="H797" t="s">
        <v>204</v>
      </c>
      <c r="I797">
        <v>16</v>
      </c>
      <c r="J797">
        <v>1117.8699999999999</v>
      </c>
      <c r="K797">
        <v>1</v>
      </c>
      <c r="L797" t="s">
        <v>196</v>
      </c>
      <c r="M797">
        <v>1</v>
      </c>
    </row>
    <row r="798" spans="1:13" x14ac:dyDescent="0.3">
      <c r="A798" t="s">
        <v>1007</v>
      </c>
      <c r="B798">
        <v>49</v>
      </c>
      <c r="C798" s="1">
        <v>44856</v>
      </c>
      <c r="D798">
        <v>2022</v>
      </c>
      <c r="E798" t="s">
        <v>190</v>
      </c>
      <c r="F798" t="s">
        <v>199</v>
      </c>
      <c r="G798" t="s">
        <v>203</v>
      </c>
      <c r="H798" t="s">
        <v>195</v>
      </c>
      <c r="I798">
        <v>10</v>
      </c>
      <c r="J798">
        <v>7013.63</v>
      </c>
      <c r="K798">
        <v>1</v>
      </c>
      <c r="L798" t="s">
        <v>193</v>
      </c>
      <c r="M798">
        <v>0</v>
      </c>
    </row>
    <row r="799" spans="1:13" x14ac:dyDescent="0.3">
      <c r="A799" t="s">
        <v>1008</v>
      </c>
      <c r="B799">
        <v>49</v>
      </c>
      <c r="C799" s="1">
        <v>45023</v>
      </c>
      <c r="D799">
        <v>2023</v>
      </c>
      <c r="E799" t="s">
        <v>198</v>
      </c>
      <c r="F799" t="s">
        <v>199</v>
      </c>
      <c r="G799" t="s">
        <v>191</v>
      </c>
      <c r="H799" t="s">
        <v>206</v>
      </c>
      <c r="I799">
        <v>19</v>
      </c>
      <c r="J799">
        <v>4049.53</v>
      </c>
      <c r="K799">
        <v>1</v>
      </c>
      <c r="L799" t="s">
        <v>210</v>
      </c>
      <c r="M799">
        <v>1</v>
      </c>
    </row>
    <row r="800" spans="1:13" x14ac:dyDescent="0.3">
      <c r="A800" t="s">
        <v>1009</v>
      </c>
      <c r="B800">
        <v>49</v>
      </c>
      <c r="C800" s="1">
        <v>45232</v>
      </c>
      <c r="D800">
        <v>2023</v>
      </c>
      <c r="E800" t="s">
        <v>214</v>
      </c>
      <c r="F800" t="s">
        <v>12</v>
      </c>
      <c r="G800" t="s">
        <v>191</v>
      </c>
      <c r="H800" t="s">
        <v>195</v>
      </c>
      <c r="I800">
        <v>14</v>
      </c>
      <c r="J800">
        <v>1111.9100000000001</v>
      </c>
      <c r="K800">
        <v>0</v>
      </c>
      <c r="L800" t="s">
        <v>215</v>
      </c>
      <c r="M800">
        <v>0</v>
      </c>
    </row>
    <row r="801" spans="1:13" x14ac:dyDescent="0.3">
      <c r="A801" t="s">
        <v>1010</v>
      </c>
      <c r="B801">
        <v>49</v>
      </c>
      <c r="C801" s="1">
        <v>45247</v>
      </c>
      <c r="D801">
        <v>2023</v>
      </c>
      <c r="E801" t="s">
        <v>227</v>
      </c>
      <c r="F801" t="s">
        <v>199</v>
      </c>
      <c r="G801" t="s">
        <v>191</v>
      </c>
      <c r="H801" t="s">
        <v>204</v>
      </c>
      <c r="I801">
        <v>14</v>
      </c>
      <c r="J801">
        <v>4647.22</v>
      </c>
      <c r="K801">
        <v>1</v>
      </c>
      <c r="L801" t="s">
        <v>196</v>
      </c>
      <c r="M801">
        <v>0</v>
      </c>
    </row>
    <row r="802" spans="1:13" x14ac:dyDescent="0.3">
      <c r="A802" t="s">
        <v>1011</v>
      </c>
      <c r="B802">
        <v>49</v>
      </c>
      <c r="C802" s="1">
        <v>45151</v>
      </c>
      <c r="D802">
        <v>2023</v>
      </c>
      <c r="E802" t="s">
        <v>198</v>
      </c>
      <c r="F802" t="s">
        <v>13</v>
      </c>
      <c r="G802" t="s">
        <v>203</v>
      </c>
      <c r="H802" t="s">
        <v>204</v>
      </c>
      <c r="I802">
        <v>19</v>
      </c>
      <c r="J802">
        <v>3704.46</v>
      </c>
      <c r="K802">
        <v>1</v>
      </c>
      <c r="L802" t="s">
        <v>196</v>
      </c>
      <c r="M802">
        <v>0</v>
      </c>
    </row>
    <row r="803" spans="1:13" x14ac:dyDescent="0.3">
      <c r="A803" t="s">
        <v>1012</v>
      </c>
      <c r="B803">
        <v>49</v>
      </c>
      <c r="C803" s="1">
        <v>45030</v>
      </c>
      <c r="D803">
        <v>2023</v>
      </c>
      <c r="E803" t="s">
        <v>219</v>
      </c>
      <c r="F803" t="s">
        <v>199</v>
      </c>
      <c r="G803" t="s">
        <v>191</v>
      </c>
      <c r="H803" t="s">
        <v>192</v>
      </c>
      <c r="I803">
        <v>2</v>
      </c>
      <c r="J803">
        <v>5265.34</v>
      </c>
      <c r="K803">
        <v>0</v>
      </c>
      <c r="L803" t="s">
        <v>196</v>
      </c>
      <c r="M803">
        <v>0</v>
      </c>
    </row>
    <row r="804" spans="1:13" x14ac:dyDescent="0.3">
      <c r="A804" t="s">
        <v>1013</v>
      </c>
      <c r="B804">
        <v>49</v>
      </c>
      <c r="C804" s="1">
        <v>45354</v>
      </c>
      <c r="D804">
        <v>2024</v>
      </c>
      <c r="E804" t="s">
        <v>198</v>
      </c>
      <c r="F804" t="s">
        <v>13</v>
      </c>
      <c r="G804" t="s">
        <v>212</v>
      </c>
      <c r="H804" t="s">
        <v>192</v>
      </c>
      <c r="I804">
        <v>7</v>
      </c>
      <c r="J804">
        <v>3810.54</v>
      </c>
      <c r="K804">
        <v>1</v>
      </c>
      <c r="L804" t="s">
        <v>210</v>
      </c>
      <c r="M804">
        <v>1</v>
      </c>
    </row>
    <row r="805" spans="1:13" x14ac:dyDescent="0.3">
      <c r="A805" t="s">
        <v>1014</v>
      </c>
      <c r="B805">
        <v>49</v>
      </c>
      <c r="C805" s="1">
        <v>45349</v>
      </c>
      <c r="D805">
        <v>2024</v>
      </c>
      <c r="E805" t="s">
        <v>190</v>
      </c>
      <c r="F805" t="s">
        <v>13</v>
      </c>
      <c r="G805" t="s">
        <v>191</v>
      </c>
      <c r="H805" t="s">
        <v>192</v>
      </c>
      <c r="I805">
        <v>4</v>
      </c>
      <c r="J805">
        <v>2191.2199999999998</v>
      </c>
      <c r="K805">
        <v>1</v>
      </c>
      <c r="L805" t="s">
        <v>193</v>
      </c>
      <c r="M805">
        <v>1</v>
      </c>
    </row>
    <row r="806" spans="1:13" x14ac:dyDescent="0.3">
      <c r="A806" t="s">
        <v>1015</v>
      </c>
      <c r="B806">
        <v>49</v>
      </c>
      <c r="C806" s="1">
        <v>45383</v>
      </c>
      <c r="D806">
        <v>2024</v>
      </c>
      <c r="E806" t="s">
        <v>287</v>
      </c>
      <c r="F806" t="s">
        <v>12</v>
      </c>
      <c r="G806" t="s">
        <v>212</v>
      </c>
      <c r="H806" t="s">
        <v>195</v>
      </c>
      <c r="I806">
        <v>18</v>
      </c>
      <c r="J806">
        <v>582.12</v>
      </c>
      <c r="K806">
        <v>0</v>
      </c>
      <c r="L806" t="s">
        <v>210</v>
      </c>
      <c r="M806">
        <v>1</v>
      </c>
    </row>
    <row r="807" spans="1:13" x14ac:dyDescent="0.3">
      <c r="A807" t="s">
        <v>1016</v>
      </c>
      <c r="B807">
        <v>49</v>
      </c>
      <c r="C807" s="1">
        <v>45414</v>
      </c>
      <c r="D807">
        <v>2024</v>
      </c>
      <c r="E807" t="s">
        <v>287</v>
      </c>
      <c r="F807" t="s">
        <v>13</v>
      </c>
      <c r="G807" t="s">
        <v>203</v>
      </c>
      <c r="H807" t="s">
        <v>192</v>
      </c>
      <c r="I807">
        <v>6</v>
      </c>
      <c r="J807">
        <v>3822.88</v>
      </c>
      <c r="K807">
        <v>0</v>
      </c>
      <c r="L807" t="s">
        <v>196</v>
      </c>
      <c r="M807">
        <v>0</v>
      </c>
    </row>
    <row r="808" spans="1:13" x14ac:dyDescent="0.3">
      <c r="A808" t="s">
        <v>1017</v>
      </c>
      <c r="B808">
        <v>49</v>
      </c>
      <c r="C808" s="1">
        <v>45419</v>
      </c>
      <c r="D808">
        <v>2024</v>
      </c>
      <c r="E808" t="s">
        <v>227</v>
      </c>
      <c r="F808" t="s">
        <v>13</v>
      </c>
      <c r="G808" t="s">
        <v>191</v>
      </c>
      <c r="H808" t="s">
        <v>204</v>
      </c>
      <c r="I808">
        <v>1</v>
      </c>
      <c r="J808">
        <v>3883.15</v>
      </c>
      <c r="K808">
        <v>1</v>
      </c>
      <c r="L808" t="s">
        <v>201</v>
      </c>
      <c r="M808">
        <v>0</v>
      </c>
    </row>
    <row r="809" spans="1:13" x14ac:dyDescent="0.3">
      <c r="A809" t="s">
        <v>1018</v>
      </c>
      <c r="B809">
        <v>49</v>
      </c>
      <c r="C809" s="1">
        <v>45886</v>
      </c>
      <c r="D809">
        <v>2025</v>
      </c>
      <c r="E809" t="s">
        <v>198</v>
      </c>
      <c r="F809" t="s">
        <v>199</v>
      </c>
      <c r="G809" t="s">
        <v>200</v>
      </c>
      <c r="H809" t="s">
        <v>206</v>
      </c>
      <c r="I809">
        <v>3</v>
      </c>
      <c r="J809">
        <v>4525.9799999999996</v>
      </c>
      <c r="K809">
        <v>1</v>
      </c>
      <c r="L809" t="s">
        <v>201</v>
      </c>
      <c r="M809">
        <v>1</v>
      </c>
    </row>
    <row r="810" spans="1:13" x14ac:dyDescent="0.3">
      <c r="A810" t="s">
        <v>1019</v>
      </c>
      <c r="B810">
        <v>49</v>
      </c>
      <c r="C810" s="1">
        <v>45788</v>
      </c>
      <c r="D810">
        <v>2025</v>
      </c>
      <c r="E810" t="s">
        <v>214</v>
      </c>
      <c r="F810" t="s">
        <v>12</v>
      </c>
      <c r="G810" t="s">
        <v>191</v>
      </c>
      <c r="H810" t="s">
        <v>195</v>
      </c>
      <c r="I810">
        <v>16</v>
      </c>
      <c r="J810">
        <v>1370.33</v>
      </c>
      <c r="K810">
        <v>0</v>
      </c>
      <c r="L810" t="s">
        <v>215</v>
      </c>
      <c r="M810">
        <v>1</v>
      </c>
    </row>
    <row r="811" spans="1:13" x14ac:dyDescent="0.3">
      <c r="A811" t="s">
        <v>1020</v>
      </c>
      <c r="B811">
        <v>49</v>
      </c>
      <c r="C811" s="1">
        <v>45786</v>
      </c>
      <c r="D811">
        <v>2025</v>
      </c>
      <c r="E811" t="s">
        <v>198</v>
      </c>
      <c r="F811" t="s">
        <v>13</v>
      </c>
      <c r="G811" t="s">
        <v>212</v>
      </c>
      <c r="H811" t="s">
        <v>204</v>
      </c>
      <c r="I811">
        <v>4</v>
      </c>
      <c r="J811">
        <v>2491.66</v>
      </c>
      <c r="K811">
        <v>1</v>
      </c>
      <c r="L811" t="s">
        <v>215</v>
      </c>
      <c r="M811">
        <v>1</v>
      </c>
    </row>
    <row r="812" spans="1:13" x14ac:dyDescent="0.3">
      <c r="A812" t="s">
        <v>1021</v>
      </c>
      <c r="B812">
        <v>50</v>
      </c>
      <c r="C812" s="1">
        <v>44547</v>
      </c>
      <c r="D812">
        <v>2021</v>
      </c>
      <c r="E812" t="s">
        <v>225</v>
      </c>
      <c r="F812" t="s">
        <v>12</v>
      </c>
      <c r="G812" t="s">
        <v>212</v>
      </c>
      <c r="H812" t="s">
        <v>206</v>
      </c>
      <c r="I812">
        <v>3</v>
      </c>
      <c r="J812">
        <v>1381.17</v>
      </c>
      <c r="K812">
        <v>0</v>
      </c>
      <c r="L812" t="s">
        <v>215</v>
      </c>
      <c r="M812">
        <v>1</v>
      </c>
    </row>
    <row r="813" spans="1:13" x14ac:dyDescent="0.3">
      <c r="A813" t="s">
        <v>1022</v>
      </c>
      <c r="B813">
        <v>50</v>
      </c>
      <c r="C813" s="1">
        <v>44390</v>
      </c>
      <c r="D813">
        <v>2021</v>
      </c>
      <c r="E813" t="s">
        <v>190</v>
      </c>
      <c r="F813" t="s">
        <v>12</v>
      </c>
      <c r="G813" t="s">
        <v>203</v>
      </c>
      <c r="H813" t="s">
        <v>195</v>
      </c>
      <c r="I813">
        <v>15</v>
      </c>
      <c r="J813">
        <v>598.32000000000005</v>
      </c>
      <c r="K813">
        <v>0</v>
      </c>
      <c r="L813" t="s">
        <v>215</v>
      </c>
      <c r="M813">
        <v>1</v>
      </c>
    </row>
    <row r="814" spans="1:13" x14ac:dyDescent="0.3">
      <c r="A814" t="s">
        <v>1023</v>
      </c>
      <c r="B814">
        <v>50</v>
      </c>
      <c r="C814" s="1">
        <v>44523</v>
      </c>
      <c r="D814">
        <v>2021</v>
      </c>
      <c r="E814" t="s">
        <v>225</v>
      </c>
      <c r="F814" t="s">
        <v>12</v>
      </c>
      <c r="G814" t="s">
        <v>212</v>
      </c>
      <c r="H814" t="s">
        <v>192</v>
      </c>
      <c r="I814">
        <v>7</v>
      </c>
      <c r="J814">
        <v>280.73</v>
      </c>
      <c r="K814">
        <v>0</v>
      </c>
      <c r="L814" t="s">
        <v>201</v>
      </c>
      <c r="M814">
        <v>1</v>
      </c>
    </row>
    <row r="815" spans="1:13" x14ac:dyDescent="0.3">
      <c r="A815" t="s">
        <v>1024</v>
      </c>
      <c r="B815">
        <v>50</v>
      </c>
      <c r="C815" s="1">
        <v>44562</v>
      </c>
      <c r="D815">
        <v>2022</v>
      </c>
      <c r="E815" t="s">
        <v>219</v>
      </c>
      <c r="F815" t="s">
        <v>13</v>
      </c>
      <c r="G815" t="s">
        <v>200</v>
      </c>
      <c r="H815" t="s">
        <v>192</v>
      </c>
      <c r="I815">
        <v>5</v>
      </c>
      <c r="J815">
        <v>2389.34</v>
      </c>
      <c r="K815">
        <v>0</v>
      </c>
      <c r="L815" t="s">
        <v>201</v>
      </c>
      <c r="M815">
        <v>0</v>
      </c>
    </row>
    <row r="816" spans="1:13" x14ac:dyDescent="0.3">
      <c r="A816" t="s">
        <v>1025</v>
      </c>
      <c r="B816">
        <v>50</v>
      </c>
      <c r="C816" s="1">
        <v>44844</v>
      </c>
      <c r="D816">
        <v>2022</v>
      </c>
      <c r="E816" t="s">
        <v>198</v>
      </c>
      <c r="F816" t="s">
        <v>13</v>
      </c>
      <c r="G816" t="s">
        <v>191</v>
      </c>
      <c r="H816" t="s">
        <v>195</v>
      </c>
      <c r="I816">
        <v>16</v>
      </c>
      <c r="J816">
        <v>1652.85</v>
      </c>
      <c r="K816">
        <v>1</v>
      </c>
      <c r="L816" t="s">
        <v>196</v>
      </c>
      <c r="M816">
        <v>0</v>
      </c>
    </row>
    <row r="817" spans="1:13" x14ac:dyDescent="0.3">
      <c r="A817" t="s">
        <v>1026</v>
      </c>
      <c r="B817">
        <v>50</v>
      </c>
      <c r="C817" s="1">
        <v>44779</v>
      </c>
      <c r="D817">
        <v>2022</v>
      </c>
      <c r="E817" t="s">
        <v>214</v>
      </c>
      <c r="F817" t="s">
        <v>12</v>
      </c>
      <c r="G817" t="s">
        <v>212</v>
      </c>
      <c r="H817" t="s">
        <v>195</v>
      </c>
      <c r="I817">
        <v>14</v>
      </c>
      <c r="J817">
        <v>1219.46</v>
      </c>
      <c r="K817">
        <v>0</v>
      </c>
      <c r="L817" t="s">
        <v>215</v>
      </c>
      <c r="M817">
        <v>1</v>
      </c>
    </row>
    <row r="818" spans="1:13" x14ac:dyDescent="0.3">
      <c r="A818" t="s">
        <v>1027</v>
      </c>
      <c r="B818">
        <v>50</v>
      </c>
      <c r="C818" s="1">
        <v>44855</v>
      </c>
      <c r="D818">
        <v>2022</v>
      </c>
      <c r="E818" t="s">
        <v>198</v>
      </c>
      <c r="F818" t="s">
        <v>13</v>
      </c>
      <c r="G818" t="s">
        <v>191</v>
      </c>
      <c r="H818" t="s">
        <v>204</v>
      </c>
      <c r="I818">
        <v>19</v>
      </c>
      <c r="J818">
        <v>2031.91</v>
      </c>
      <c r="K818">
        <v>1</v>
      </c>
      <c r="L818" t="s">
        <v>196</v>
      </c>
      <c r="M818">
        <v>0</v>
      </c>
    </row>
    <row r="819" spans="1:13" x14ac:dyDescent="0.3">
      <c r="A819" t="s">
        <v>1028</v>
      </c>
      <c r="B819">
        <v>50</v>
      </c>
      <c r="C819" s="1">
        <v>45237</v>
      </c>
      <c r="D819">
        <v>2023</v>
      </c>
      <c r="E819" t="s">
        <v>287</v>
      </c>
      <c r="F819" t="s">
        <v>209</v>
      </c>
      <c r="G819" t="s">
        <v>203</v>
      </c>
      <c r="H819" t="s">
        <v>195</v>
      </c>
      <c r="I819">
        <v>9</v>
      </c>
      <c r="J819">
        <v>488.81</v>
      </c>
      <c r="K819">
        <v>0</v>
      </c>
      <c r="L819" t="s">
        <v>210</v>
      </c>
      <c r="M819">
        <v>1</v>
      </c>
    </row>
    <row r="820" spans="1:13" x14ac:dyDescent="0.3">
      <c r="A820" t="s">
        <v>1029</v>
      </c>
      <c r="B820">
        <v>50</v>
      </c>
      <c r="C820" s="1">
        <v>45219</v>
      </c>
      <c r="D820">
        <v>2023</v>
      </c>
      <c r="E820" t="s">
        <v>214</v>
      </c>
      <c r="F820" t="s">
        <v>209</v>
      </c>
      <c r="G820" t="s">
        <v>212</v>
      </c>
      <c r="H820" t="s">
        <v>192</v>
      </c>
      <c r="I820">
        <v>4</v>
      </c>
      <c r="J820">
        <v>496.98</v>
      </c>
      <c r="K820">
        <v>0</v>
      </c>
      <c r="L820" t="s">
        <v>210</v>
      </c>
      <c r="M820">
        <v>1</v>
      </c>
    </row>
    <row r="821" spans="1:13" x14ac:dyDescent="0.3">
      <c r="A821" t="s">
        <v>1030</v>
      </c>
      <c r="B821">
        <v>50</v>
      </c>
      <c r="C821" s="1">
        <v>45085</v>
      </c>
      <c r="D821">
        <v>2023</v>
      </c>
      <c r="E821" t="s">
        <v>214</v>
      </c>
      <c r="F821" t="s">
        <v>12</v>
      </c>
      <c r="G821" t="s">
        <v>200</v>
      </c>
      <c r="H821" t="s">
        <v>206</v>
      </c>
      <c r="I821">
        <v>13</v>
      </c>
      <c r="J821">
        <v>293.45</v>
      </c>
      <c r="K821">
        <v>0</v>
      </c>
      <c r="L821" t="s">
        <v>201</v>
      </c>
      <c r="M821">
        <v>0</v>
      </c>
    </row>
    <row r="822" spans="1:13" x14ac:dyDescent="0.3">
      <c r="A822" t="s">
        <v>1031</v>
      </c>
      <c r="B822">
        <v>50</v>
      </c>
      <c r="C822" s="1">
        <v>45308</v>
      </c>
      <c r="D822">
        <v>2024</v>
      </c>
      <c r="E822" t="s">
        <v>198</v>
      </c>
      <c r="F822" t="s">
        <v>13</v>
      </c>
      <c r="G822" t="s">
        <v>191</v>
      </c>
      <c r="H822" t="s">
        <v>195</v>
      </c>
      <c r="I822">
        <v>14</v>
      </c>
      <c r="J822">
        <v>2517</v>
      </c>
      <c r="K822">
        <v>1</v>
      </c>
      <c r="L822" t="s">
        <v>201</v>
      </c>
      <c r="M822">
        <v>0</v>
      </c>
    </row>
    <row r="823" spans="1:13" x14ac:dyDescent="0.3">
      <c r="A823" t="s">
        <v>1032</v>
      </c>
      <c r="B823">
        <v>50</v>
      </c>
      <c r="C823" s="1">
        <v>45323</v>
      </c>
      <c r="D823">
        <v>2024</v>
      </c>
      <c r="E823" t="s">
        <v>214</v>
      </c>
      <c r="F823" t="s">
        <v>209</v>
      </c>
      <c r="G823" t="s">
        <v>191</v>
      </c>
      <c r="H823" t="s">
        <v>192</v>
      </c>
      <c r="I823">
        <v>11</v>
      </c>
      <c r="J823">
        <v>133.36000000000001</v>
      </c>
      <c r="K823">
        <v>0</v>
      </c>
      <c r="L823" t="s">
        <v>210</v>
      </c>
      <c r="M823">
        <v>0</v>
      </c>
    </row>
    <row r="824" spans="1:13" x14ac:dyDescent="0.3">
      <c r="A824" t="s">
        <v>1033</v>
      </c>
      <c r="B824">
        <v>50</v>
      </c>
      <c r="C824" s="1">
        <v>45374</v>
      </c>
      <c r="D824">
        <v>2024</v>
      </c>
      <c r="E824" t="s">
        <v>198</v>
      </c>
      <c r="F824" t="s">
        <v>199</v>
      </c>
      <c r="G824" t="s">
        <v>191</v>
      </c>
      <c r="H824" t="s">
        <v>204</v>
      </c>
      <c r="I824">
        <v>5</v>
      </c>
      <c r="J824">
        <v>4891.08</v>
      </c>
      <c r="K824">
        <v>1</v>
      </c>
      <c r="L824" t="s">
        <v>196</v>
      </c>
      <c r="M824">
        <v>1</v>
      </c>
    </row>
    <row r="825" spans="1:13" x14ac:dyDescent="0.3">
      <c r="A825" t="s">
        <v>1034</v>
      </c>
      <c r="B825">
        <v>50</v>
      </c>
      <c r="C825" s="1">
        <v>45489</v>
      </c>
      <c r="D825">
        <v>2024</v>
      </c>
      <c r="E825" t="s">
        <v>198</v>
      </c>
      <c r="F825" t="s">
        <v>13</v>
      </c>
      <c r="G825" t="s">
        <v>203</v>
      </c>
      <c r="H825" t="s">
        <v>204</v>
      </c>
      <c r="I825">
        <v>3</v>
      </c>
      <c r="J825">
        <v>1650.07</v>
      </c>
      <c r="K825">
        <v>1</v>
      </c>
      <c r="L825" t="s">
        <v>210</v>
      </c>
      <c r="M825">
        <v>1</v>
      </c>
    </row>
    <row r="826" spans="1:13" x14ac:dyDescent="0.3">
      <c r="A826" t="s">
        <v>1035</v>
      </c>
      <c r="B826">
        <v>50</v>
      </c>
      <c r="C826" s="1">
        <v>45643</v>
      </c>
      <c r="D826">
        <v>2024</v>
      </c>
      <c r="E826" t="s">
        <v>198</v>
      </c>
      <c r="F826" t="s">
        <v>199</v>
      </c>
      <c r="G826" t="s">
        <v>191</v>
      </c>
      <c r="H826" t="s">
        <v>192</v>
      </c>
      <c r="I826">
        <v>10</v>
      </c>
      <c r="J826">
        <v>7947.14</v>
      </c>
      <c r="K826">
        <v>1</v>
      </c>
      <c r="L826" t="s">
        <v>193</v>
      </c>
      <c r="M826">
        <v>1</v>
      </c>
    </row>
    <row r="827" spans="1:13" x14ac:dyDescent="0.3">
      <c r="A827" t="s">
        <v>1036</v>
      </c>
      <c r="B827">
        <v>50</v>
      </c>
      <c r="C827" s="1">
        <v>45618</v>
      </c>
      <c r="D827">
        <v>2024</v>
      </c>
      <c r="E827" t="s">
        <v>214</v>
      </c>
      <c r="F827" t="s">
        <v>13</v>
      </c>
      <c r="G827" t="s">
        <v>200</v>
      </c>
      <c r="H827" t="s">
        <v>192</v>
      </c>
      <c r="I827">
        <v>6</v>
      </c>
      <c r="J827">
        <v>3665.28</v>
      </c>
      <c r="K827">
        <v>0</v>
      </c>
      <c r="L827" t="s">
        <v>201</v>
      </c>
      <c r="M827">
        <v>0</v>
      </c>
    </row>
    <row r="828" spans="1:13" x14ac:dyDescent="0.3">
      <c r="A828" t="s">
        <v>1037</v>
      </c>
      <c r="B828">
        <v>50</v>
      </c>
      <c r="C828" s="1">
        <v>45846</v>
      </c>
      <c r="D828">
        <v>2025</v>
      </c>
      <c r="E828" t="s">
        <v>198</v>
      </c>
      <c r="F828" t="s">
        <v>12</v>
      </c>
      <c r="G828" t="s">
        <v>191</v>
      </c>
      <c r="H828" t="s">
        <v>195</v>
      </c>
      <c r="I828">
        <v>2</v>
      </c>
      <c r="J828">
        <v>1318.85</v>
      </c>
      <c r="K828">
        <v>1</v>
      </c>
      <c r="L828" t="s">
        <v>215</v>
      </c>
      <c r="M828">
        <v>0</v>
      </c>
    </row>
    <row r="829" spans="1:13" x14ac:dyDescent="0.3">
      <c r="A829" t="s">
        <v>1038</v>
      </c>
      <c r="B829">
        <v>51</v>
      </c>
      <c r="C829" s="1">
        <v>44320</v>
      </c>
      <c r="D829">
        <v>2021</v>
      </c>
      <c r="E829" t="s">
        <v>198</v>
      </c>
      <c r="F829" t="s">
        <v>209</v>
      </c>
      <c r="G829" t="s">
        <v>212</v>
      </c>
      <c r="H829" t="s">
        <v>195</v>
      </c>
      <c r="I829">
        <v>7</v>
      </c>
      <c r="J829">
        <v>182.93</v>
      </c>
      <c r="K829">
        <v>1</v>
      </c>
      <c r="L829" t="s">
        <v>193</v>
      </c>
      <c r="M829">
        <v>1</v>
      </c>
    </row>
    <row r="830" spans="1:13" x14ac:dyDescent="0.3">
      <c r="A830" t="s">
        <v>1039</v>
      </c>
      <c r="B830">
        <v>51</v>
      </c>
      <c r="C830" s="1">
        <v>44256</v>
      </c>
      <c r="D830">
        <v>2021</v>
      </c>
      <c r="E830" t="s">
        <v>287</v>
      </c>
      <c r="F830" t="s">
        <v>209</v>
      </c>
      <c r="G830" t="s">
        <v>212</v>
      </c>
      <c r="H830" t="s">
        <v>204</v>
      </c>
      <c r="I830">
        <v>4</v>
      </c>
      <c r="J830">
        <v>396.66</v>
      </c>
      <c r="K830">
        <v>0</v>
      </c>
      <c r="L830" t="s">
        <v>215</v>
      </c>
      <c r="M830">
        <v>1</v>
      </c>
    </row>
    <row r="831" spans="1:13" x14ac:dyDescent="0.3">
      <c r="A831" t="s">
        <v>1040</v>
      </c>
      <c r="B831">
        <v>51</v>
      </c>
      <c r="C831" s="1">
        <v>44670</v>
      </c>
      <c r="D831">
        <v>2022</v>
      </c>
      <c r="E831" t="s">
        <v>219</v>
      </c>
      <c r="F831" t="s">
        <v>12</v>
      </c>
      <c r="G831" t="s">
        <v>212</v>
      </c>
      <c r="H831" t="s">
        <v>206</v>
      </c>
      <c r="I831">
        <v>14</v>
      </c>
      <c r="J831">
        <v>648.03</v>
      </c>
      <c r="K831">
        <v>1</v>
      </c>
      <c r="L831" t="s">
        <v>215</v>
      </c>
      <c r="M831">
        <v>1</v>
      </c>
    </row>
    <row r="832" spans="1:13" x14ac:dyDescent="0.3">
      <c r="A832" t="s">
        <v>1041</v>
      </c>
      <c r="B832">
        <v>51</v>
      </c>
      <c r="C832" s="1">
        <v>44887</v>
      </c>
      <c r="D832">
        <v>2022</v>
      </c>
      <c r="E832" t="s">
        <v>198</v>
      </c>
      <c r="F832" t="s">
        <v>209</v>
      </c>
      <c r="G832" t="s">
        <v>212</v>
      </c>
      <c r="H832" t="s">
        <v>204</v>
      </c>
      <c r="I832">
        <v>6</v>
      </c>
      <c r="J832">
        <v>459.86</v>
      </c>
      <c r="K832">
        <v>1</v>
      </c>
      <c r="L832" t="s">
        <v>215</v>
      </c>
      <c r="M832">
        <v>1</v>
      </c>
    </row>
    <row r="833" spans="1:13" x14ac:dyDescent="0.3">
      <c r="A833" t="s">
        <v>1042</v>
      </c>
      <c r="B833">
        <v>51</v>
      </c>
      <c r="C833" s="1">
        <v>44682</v>
      </c>
      <c r="D833">
        <v>2022</v>
      </c>
      <c r="E833" t="s">
        <v>190</v>
      </c>
      <c r="F833" t="s">
        <v>13</v>
      </c>
      <c r="G833" t="s">
        <v>191</v>
      </c>
      <c r="H833" t="s">
        <v>206</v>
      </c>
      <c r="I833">
        <v>14</v>
      </c>
      <c r="J833">
        <v>2352.58</v>
      </c>
      <c r="K833">
        <v>0</v>
      </c>
      <c r="L833" t="s">
        <v>193</v>
      </c>
      <c r="M833">
        <v>0</v>
      </c>
    </row>
    <row r="834" spans="1:13" x14ac:dyDescent="0.3">
      <c r="A834" t="s">
        <v>1043</v>
      </c>
      <c r="B834">
        <v>51</v>
      </c>
      <c r="C834" s="1">
        <v>44587</v>
      </c>
      <c r="D834">
        <v>2022</v>
      </c>
      <c r="E834" t="s">
        <v>198</v>
      </c>
      <c r="F834" t="s">
        <v>13</v>
      </c>
      <c r="G834" t="s">
        <v>212</v>
      </c>
      <c r="H834" t="s">
        <v>206</v>
      </c>
      <c r="I834">
        <v>3</v>
      </c>
      <c r="J834">
        <v>3600.63</v>
      </c>
      <c r="K834">
        <v>1</v>
      </c>
      <c r="L834" t="s">
        <v>215</v>
      </c>
      <c r="M834">
        <v>1</v>
      </c>
    </row>
    <row r="835" spans="1:13" x14ac:dyDescent="0.3">
      <c r="A835" t="s">
        <v>1044</v>
      </c>
      <c r="B835">
        <v>51</v>
      </c>
      <c r="C835" s="1">
        <v>44868</v>
      </c>
      <c r="D835">
        <v>2022</v>
      </c>
      <c r="E835" t="s">
        <v>198</v>
      </c>
      <c r="F835" t="s">
        <v>13</v>
      </c>
      <c r="G835" t="s">
        <v>191</v>
      </c>
      <c r="H835" t="s">
        <v>195</v>
      </c>
      <c r="I835">
        <v>10</v>
      </c>
      <c r="J835">
        <v>3839.9</v>
      </c>
      <c r="K835">
        <v>1</v>
      </c>
      <c r="L835" t="s">
        <v>193</v>
      </c>
      <c r="M835">
        <v>0</v>
      </c>
    </row>
    <row r="836" spans="1:13" x14ac:dyDescent="0.3">
      <c r="A836" t="s">
        <v>1045</v>
      </c>
      <c r="B836">
        <v>51</v>
      </c>
      <c r="C836" s="1">
        <v>44744</v>
      </c>
      <c r="D836">
        <v>2022</v>
      </c>
      <c r="E836" t="s">
        <v>219</v>
      </c>
      <c r="F836" t="s">
        <v>199</v>
      </c>
      <c r="G836" t="s">
        <v>203</v>
      </c>
      <c r="H836" t="s">
        <v>195</v>
      </c>
      <c r="I836">
        <v>8</v>
      </c>
      <c r="J836">
        <v>7917.99</v>
      </c>
      <c r="K836">
        <v>1</v>
      </c>
      <c r="L836" t="s">
        <v>196</v>
      </c>
      <c r="M836">
        <v>0</v>
      </c>
    </row>
    <row r="837" spans="1:13" x14ac:dyDescent="0.3">
      <c r="A837" t="s">
        <v>1046</v>
      </c>
      <c r="B837">
        <v>51</v>
      </c>
      <c r="C837" s="1">
        <v>45149</v>
      </c>
      <c r="D837">
        <v>2023</v>
      </c>
      <c r="E837" t="s">
        <v>219</v>
      </c>
      <c r="F837" t="s">
        <v>199</v>
      </c>
      <c r="G837" t="s">
        <v>203</v>
      </c>
      <c r="H837" t="s">
        <v>206</v>
      </c>
      <c r="I837">
        <v>12</v>
      </c>
      <c r="J837">
        <v>5495.83</v>
      </c>
      <c r="K837">
        <v>0</v>
      </c>
      <c r="L837" t="s">
        <v>193</v>
      </c>
      <c r="M837">
        <v>1</v>
      </c>
    </row>
    <row r="838" spans="1:13" x14ac:dyDescent="0.3">
      <c r="A838" t="s">
        <v>1047</v>
      </c>
      <c r="B838">
        <v>51</v>
      </c>
      <c r="C838" s="1">
        <v>45386</v>
      </c>
      <c r="D838">
        <v>2024</v>
      </c>
      <c r="E838" t="s">
        <v>190</v>
      </c>
      <c r="F838" t="s">
        <v>199</v>
      </c>
      <c r="G838" t="s">
        <v>200</v>
      </c>
      <c r="H838" t="s">
        <v>195</v>
      </c>
      <c r="I838">
        <v>2</v>
      </c>
      <c r="J838">
        <v>2751.24</v>
      </c>
      <c r="K838">
        <v>1</v>
      </c>
      <c r="L838" t="s">
        <v>201</v>
      </c>
      <c r="M838">
        <v>1</v>
      </c>
    </row>
    <row r="839" spans="1:13" x14ac:dyDescent="0.3">
      <c r="A839" t="s">
        <v>1048</v>
      </c>
      <c r="B839">
        <v>51</v>
      </c>
      <c r="C839" s="1">
        <v>45459</v>
      </c>
      <c r="D839">
        <v>2024</v>
      </c>
      <c r="E839" t="s">
        <v>214</v>
      </c>
      <c r="F839" t="s">
        <v>12</v>
      </c>
      <c r="G839" t="s">
        <v>212</v>
      </c>
      <c r="H839" t="s">
        <v>195</v>
      </c>
      <c r="I839">
        <v>3</v>
      </c>
      <c r="J839">
        <v>258.61</v>
      </c>
      <c r="K839">
        <v>0</v>
      </c>
      <c r="L839" t="s">
        <v>215</v>
      </c>
      <c r="M839">
        <v>1</v>
      </c>
    </row>
    <row r="840" spans="1:13" x14ac:dyDescent="0.3">
      <c r="A840" t="s">
        <v>1049</v>
      </c>
      <c r="B840">
        <v>51</v>
      </c>
      <c r="C840" s="1">
        <v>45550</v>
      </c>
      <c r="D840">
        <v>2024</v>
      </c>
      <c r="E840" t="s">
        <v>225</v>
      </c>
      <c r="F840" t="s">
        <v>13</v>
      </c>
      <c r="G840" t="s">
        <v>203</v>
      </c>
      <c r="H840" t="s">
        <v>192</v>
      </c>
      <c r="I840">
        <v>16</v>
      </c>
      <c r="J840">
        <v>2779.26</v>
      </c>
      <c r="K840">
        <v>0</v>
      </c>
      <c r="L840" t="s">
        <v>193</v>
      </c>
      <c r="M840">
        <v>0</v>
      </c>
    </row>
    <row r="841" spans="1:13" x14ac:dyDescent="0.3">
      <c r="A841" t="s">
        <v>1050</v>
      </c>
      <c r="B841">
        <v>51</v>
      </c>
      <c r="C841" s="1">
        <v>45395</v>
      </c>
      <c r="D841">
        <v>2024</v>
      </c>
      <c r="E841" t="s">
        <v>225</v>
      </c>
      <c r="F841" t="s">
        <v>199</v>
      </c>
      <c r="G841" t="s">
        <v>203</v>
      </c>
      <c r="H841" t="s">
        <v>195</v>
      </c>
      <c r="I841">
        <v>5</v>
      </c>
      <c r="J841">
        <v>3843.45</v>
      </c>
      <c r="K841">
        <v>1</v>
      </c>
      <c r="L841" t="s">
        <v>201</v>
      </c>
      <c r="M841">
        <v>0</v>
      </c>
    </row>
    <row r="842" spans="1:13" x14ac:dyDescent="0.3">
      <c r="A842" t="s">
        <v>1051</v>
      </c>
      <c r="B842">
        <v>51</v>
      </c>
      <c r="C842" s="1">
        <v>45589</v>
      </c>
      <c r="D842">
        <v>2024</v>
      </c>
      <c r="E842" t="s">
        <v>214</v>
      </c>
      <c r="F842" t="s">
        <v>13</v>
      </c>
      <c r="G842" t="s">
        <v>200</v>
      </c>
      <c r="H842" t="s">
        <v>195</v>
      </c>
      <c r="I842">
        <v>13</v>
      </c>
      <c r="J842">
        <v>2950.22</v>
      </c>
      <c r="K842">
        <v>1</v>
      </c>
      <c r="L842" t="s">
        <v>193</v>
      </c>
      <c r="M842">
        <v>0</v>
      </c>
    </row>
    <row r="843" spans="1:13" x14ac:dyDescent="0.3">
      <c r="A843" t="s">
        <v>1052</v>
      </c>
      <c r="B843">
        <v>51</v>
      </c>
      <c r="C843" s="1">
        <v>45680</v>
      </c>
      <c r="D843">
        <v>2025</v>
      </c>
      <c r="E843" t="s">
        <v>219</v>
      </c>
      <c r="F843" t="s">
        <v>209</v>
      </c>
      <c r="G843" t="s">
        <v>203</v>
      </c>
      <c r="H843" t="s">
        <v>204</v>
      </c>
      <c r="I843">
        <v>9</v>
      </c>
      <c r="J843">
        <v>277.60000000000002</v>
      </c>
      <c r="K843">
        <v>0</v>
      </c>
      <c r="L843" t="s">
        <v>201</v>
      </c>
      <c r="M843">
        <v>0</v>
      </c>
    </row>
    <row r="844" spans="1:13" x14ac:dyDescent="0.3">
      <c r="A844" t="s">
        <v>1053</v>
      </c>
      <c r="B844">
        <v>51</v>
      </c>
      <c r="C844" s="1">
        <v>45716</v>
      </c>
      <c r="D844">
        <v>2025</v>
      </c>
      <c r="E844" t="s">
        <v>214</v>
      </c>
      <c r="F844" t="s">
        <v>13</v>
      </c>
      <c r="G844" t="s">
        <v>191</v>
      </c>
      <c r="H844" t="s">
        <v>195</v>
      </c>
      <c r="I844">
        <v>6</v>
      </c>
      <c r="J844">
        <v>2835.17</v>
      </c>
      <c r="K844">
        <v>0</v>
      </c>
      <c r="L844" t="s">
        <v>196</v>
      </c>
      <c r="M844">
        <v>0</v>
      </c>
    </row>
    <row r="845" spans="1:13" x14ac:dyDescent="0.3">
      <c r="A845" t="s">
        <v>1054</v>
      </c>
      <c r="B845">
        <v>51</v>
      </c>
      <c r="C845" s="1">
        <v>45757</v>
      </c>
      <c r="D845">
        <v>2025</v>
      </c>
      <c r="E845" t="s">
        <v>190</v>
      </c>
      <c r="F845" t="s">
        <v>199</v>
      </c>
      <c r="G845" t="s">
        <v>203</v>
      </c>
      <c r="H845" t="s">
        <v>204</v>
      </c>
      <c r="I845">
        <v>15</v>
      </c>
      <c r="J845">
        <v>6399.7</v>
      </c>
      <c r="K845">
        <v>0</v>
      </c>
      <c r="L845" t="s">
        <v>193</v>
      </c>
      <c r="M845">
        <v>0</v>
      </c>
    </row>
    <row r="846" spans="1:13" x14ac:dyDescent="0.3">
      <c r="A846" t="s">
        <v>1055</v>
      </c>
      <c r="B846">
        <v>51</v>
      </c>
      <c r="C846" s="1">
        <v>45701</v>
      </c>
      <c r="D846">
        <v>2025</v>
      </c>
      <c r="E846" t="s">
        <v>219</v>
      </c>
      <c r="F846" t="s">
        <v>12</v>
      </c>
      <c r="G846" t="s">
        <v>212</v>
      </c>
      <c r="H846" t="s">
        <v>206</v>
      </c>
      <c r="I846">
        <v>6</v>
      </c>
      <c r="J846">
        <v>573.1</v>
      </c>
      <c r="K846">
        <v>0</v>
      </c>
      <c r="L846" t="s">
        <v>210</v>
      </c>
      <c r="M846">
        <v>1</v>
      </c>
    </row>
    <row r="847" spans="1:13" x14ac:dyDescent="0.3">
      <c r="A847" t="s">
        <v>1056</v>
      </c>
      <c r="B847">
        <v>52</v>
      </c>
      <c r="C847" s="1">
        <v>44330</v>
      </c>
      <c r="D847">
        <v>2021</v>
      </c>
      <c r="E847" t="s">
        <v>214</v>
      </c>
      <c r="F847" t="s">
        <v>12</v>
      </c>
      <c r="G847" t="s">
        <v>212</v>
      </c>
      <c r="H847" t="s">
        <v>195</v>
      </c>
      <c r="I847">
        <v>2</v>
      </c>
      <c r="J847">
        <v>951.7</v>
      </c>
      <c r="K847">
        <v>0</v>
      </c>
      <c r="L847" t="s">
        <v>196</v>
      </c>
      <c r="M847">
        <v>1</v>
      </c>
    </row>
    <row r="848" spans="1:13" x14ac:dyDescent="0.3">
      <c r="A848" t="s">
        <v>1057</v>
      </c>
      <c r="B848">
        <v>52</v>
      </c>
      <c r="C848" s="1">
        <v>44364</v>
      </c>
      <c r="D848">
        <v>2021</v>
      </c>
      <c r="E848" t="s">
        <v>214</v>
      </c>
      <c r="F848" t="s">
        <v>12</v>
      </c>
      <c r="G848" t="s">
        <v>212</v>
      </c>
      <c r="H848" t="s">
        <v>204</v>
      </c>
      <c r="I848">
        <v>7</v>
      </c>
      <c r="J848">
        <v>1485.41</v>
      </c>
      <c r="K848">
        <v>0</v>
      </c>
      <c r="L848" t="s">
        <v>210</v>
      </c>
      <c r="M848">
        <v>1</v>
      </c>
    </row>
    <row r="849" spans="1:13" x14ac:dyDescent="0.3">
      <c r="A849" t="s">
        <v>1058</v>
      </c>
      <c r="B849">
        <v>52</v>
      </c>
      <c r="C849" s="1">
        <v>44458</v>
      </c>
      <c r="D849">
        <v>2021</v>
      </c>
      <c r="E849" t="s">
        <v>190</v>
      </c>
      <c r="F849" t="s">
        <v>209</v>
      </c>
      <c r="G849" t="s">
        <v>212</v>
      </c>
      <c r="H849" t="s">
        <v>192</v>
      </c>
      <c r="I849">
        <v>8</v>
      </c>
      <c r="J849">
        <v>4.79</v>
      </c>
      <c r="K849">
        <v>0</v>
      </c>
      <c r="L849" t="s">
        <v>215</v>
      </c>
      <c r="M849">
        <v>1</v>
      </c>
    </row>
    <row r="850" spans="1:13" x14ac:dyDescent="0.3">
      <c r="A850" t="s">
        <v>1059</v>
      </c>
      <c r="B850">
        <v>52</v>
      </c>
      <c r="C850" s="1">
        <v>44584</v>
      </c>
      <c r="D850">
        <v>2022</v>
      </c>
      <c r="E850" t="s">
        <v>214</v>
      </c>
      <c r="F850" t="s">
        <v>13</v>
      </c>
      <c r="G850" t="s">
        <v>191</v>
      </c>
      <c r="H850" t="s">
        <v>192</v>
      </c>
      <c r="I850">
        <v>6</v>
      </c>
      <c r="J850">
        <v>1904.08</v>
      </c>
      <c r="K850">
        <v>0</v>
      </c>
      <c r="L850" t="s">
        <v>193</v>
      </c>
      <c r="M850">
        <v>0</v>
      </c>
    </row>
    <row r="851" spans="1:13" x14ac:dyDescent="0.3">
      <c r="A851" t="s">
        <v>1060</v>
      </c>
      <c r="B851">
        <v>52</v>
      </c>
      <c r="C851" s="1">
        <v>45088</v>
      </c>
      <c r="D851">
        <v>2023</v>
      </c>
      <c r="E851" t="s">
        <v>219</v>
      </c>
      <c r="F851" t="s">
        <v>199</v>
      </c>
      <c r="G851" t="s">
        <v>203</v>
      </c>
      <c r="H851" t="s">
        <v>195</v>
      </c>
      <c r="I851">
        <v>6</v>
      </c>
      <c r="J851">
        <v>4029.76</v>
      </c>
      <c r="K851">
        <v>1</v>
      </c>
      <c r="L851" t="s">
        <v>201</v>
      </c>
      <c r="M851">
        <v>1</v>
      </c>
    </row>
    <row r="852" spans="1:13" x14ac:dyDescent="0.3">
      <c r="A852" t="s">
        <v>1061</v>
      </c>
      <c r="B852">
        <v>52</v>
      </c>
      <c r="C852" s="1">
        <v>45009</v>
      </c>
      <c r="D852">
        <v>2023</v>
      </c>
      <c r="E852" t="s">
        <v>219</v>
      </c>
      <c r="F852" t="s">
        <v>199</v>
      </c>
      <c r="G852" t="s">
        <v>191</v>
      </c>
      <c r="H852" t="s">
        <v>195</v>
      </c>
      <c r="I852">
        <v>14</v>
      </c>
      <c r="J852">
        <v>3249.98</v>
      </c>
      <c r="K852">
        <v>1</v>
      </c>
      <c r="L852" t="s">
        <v>193</v>
      </c>
      <c r="M852">
        <v>0</v>
      </c>
    </row>
    <row r="853" spans="1:13" x14ac:dyDescent="0.3">
      <c r="A853" t="s">
        <v>1062</v>
      </c>
      <c r="B853">
        <v>52</v>
      </c>
      <c r="C853" s="1">
        <v>45135</v>
      </c>
      <c r="D853">
        <v>2023</v>
      </c>
      <c r="E853" t="s">
        <v>190</v>
      </c>
      <c r="F853" t="s">
        <v>199</v>
      </c>
      <c r="G853" t="s">
        <v>191</v>
      </c>
      <c r="H853" t="s">
        <v>192</v>
      </c>
      <c r="I853">
        <v>17</v>
      </c>
      <c r="J853">
        <v>4866.34</v>
      </c>
      <c r="K853">
        <v>1</v>
      </c>
      <c r="L853" t="s">
        <v>196</v>
      </c>
      <c r="M853">
        <v>0</v>
      </c>
    </row>
    <row r="854" spans="1:13" x14ac:dyDescent="0.3">
      <c r="A854" t="s">
        <v>1063</v>
      </c>
      <c r="B854">
        <v>52</v>
      </c>
      <c r="C854" s="1">
        <v>44966</v>
      </c>
      <c r="D854">
        <v>2023</v>
      </c>
      <c r="E854" t="s">
        <v>219</v>
      </c>
      <c r="F854" t="s">
        <v>12</v>
      </c>
      <c r="G854" t="s">
        <v>212</v>
      </c>
      <c r="H854" t="s">
        <v>192</v>
      </c>
      <c r="I854">
        <v>11</v>
      </c>
      <c r="J854">
        <v>340.6</v>
      </c>
      <c r="K854">
        <v>0</v>
      </c>
      <c r="L854" t="s">
        <v>215</v>
      </c>
      <c r="M854">
        <v>1</v>
      </c>
    </row>
    <row r="855" spans="1:13" x14ac:dyDescent="0.3">
      <c r="A855" t="s">
        <v>1064</v>
      </c>
      <c r="B855">
        <v>52</v>
      </c>
      <c r="C855" s="1">
        <v>44933</v>
      </c>
      <c r="D855">
        <v>2023</v>
      </c>
      <c r="E855" t="s">
        <v>214</v>
      </c>
      <c r="F855" t="s">
        <v>199</v>
      </c>
      <c r="G855" t="s">
        <v>191</v>
      </c>
      <c r="H855" t="s">
        <v>195</v>
      </c>
      <c r="I855">
        <v>9</v>
      </c>
      <c r="J855">
        <v>7218.86</v>
      </c>
      <c r="K855">
        <v>1</v>
      </c>
      <c r="L855" t="s">
        <v>201</v>
      </c>
      <c r="M855">
        <v>0</v>
      </c>
    </row>
    <row r="856" spans="1:13" x14ac:dyDescent="0.3">
      <c r="A856" t="s">
        <v>1065</v>
      </c>
      <c r="B856">
        <v>52</v>
      </c>
      <c r="C856" s="1">
        <v>45114</v>
      </c>
      <c r="D856">
        <v>2023</v>
      </c>
      <c r="E856" t="s">
        <v>227</v>
      </c>
      <c r="F856" t="s">
        <v>12</v>
      </c>
      <c r="G856" t="s">
        <v>212</v>
      </c>
      <c r="H856" t="s">
        <v>192</v>
      </c>
      <c r="I856">
        <v>8</v>
      </c>
      <c r="J856">
        <v>1116.43</v>
      </c>
      <c r="K856">
        <v>0</v>
      </c>
      <c r="L856" t="s">
        <v>201</v>
      </c>
      <c r="M856">
        <v>1</v>
      </c>
    </row>
    <row r="857" spans="1:13" x14ac:dyDescent="0.3">
      <c r="A857" t="s">
        <v>1066</v>
      </c>
      <c r="B857">
        <v>52</v>
      </c>
      <c r="C857" s="1">
        <v>45309</v>
      </c>
      <c r="D857">
        <v>2024</v>
      </c>
      <c r="E857" t="s">
        <v>287</v>
      </c>
      <c r="F857" t="s">
        <v>13</v>
      </c>
      <c r="G857" t="s">
        <v>191</v>
      </c>
      <c r="H857" t="s">
        <v>204</v>
      </c>
      <c r="I857">
        <v>20</v>
      </c>
      <c r="J857">
        <v>1841.74</v>
      </c>
      <c r="K857">
        <v>0</v>
      </c>
      <c r="L857" t="s">
        <v>193</v>
      </c>
      <c r="M857">
        <v>0</v>
      </c>
    </row>
    <row r="858" spans="1:13" x14ac:dyDescent="0.3">
      <c r="A858" t="s">
        <v>1067</v>
      </c>
      <c r="B858">
        <v>52</v>
      </c>
      <c r="C858" s="1">
        <v>45599</v>
      </c>
      <c r="D858">
        <v>2024</v>
      </c>
      <c r="E858" t="s">
        <v>287</v>
      </c>
      <c r="F858" t="s">
        <v>13</v>
      </c>
      <c r="G858" t="s">
        <v>191</v>
      </c>
      <c r="H858" t="s">
        <v>195</v>
      </c>
      <c r="I858">
        <v>5</v>
      </c>
      <c r="J858">
        <v>3524.42</v>
      </c>
      <c r="K858">
        <v>1</v>
      </c>
      <c r="L858" t="s">
        <v>201</v>
      </c>
      <c r="M858">
        <v>1</v>
      </c>
    </row>
    <row r="859" spans="1:13" x14ac:dyDescent="0.3">
      <c r="A859" t="s">
        <v>1068</v>
      </c>
      <c r="B859">
        <v>52</v>
      </c>
      <c r="C859" s="1">
        <v>45445</v>
      </c>
      <c r="D859">
        <v>2024</v>
      </c>
      <c r="E859" t="s">
        <v>198</v>
      </c>
      <c r="F859" t="s">
        <v>199</v>
      </c>
      <c r="G859" t="s">
        <v>212</v>
      </c>
      <c r="H859" t="s">
        <v>195</v>
      </c>
      <c r="I859">
        <v>16</v>
      </c>
      <c r="J859">
        <v>4649.6400000000003</v>
      </c>
      <c r="K859">
        <v>1</v>
      </c>
      <c r="L859" t="s">
        <v>193</v>
      </c>
      <c r="M859">
        <v>1</v>
      </c>
    </row>
    <row r="860" spans="1:13" x14ac:dyDescent="0.3">
      <c r="A860" t="s">
        <v>1069</v>
      </c>
      <c r="B860">
        <v>52</v>
      </c>
      <c r="C860" s="1">
        <v>45654</v>
      </c>
      <c r="D860">
        <v>2024</v>
      </c>
      <c r="E860" t="s">
        <v>190</v>
      </c>
      <c r="F860" t="s">
        <v>12</v>
      </c>
      <c r="G860" t="s">
        <v>212</v>
      </c>
      <c r="H860" t="s">
        <v>195</v>
      </c>
      <c r="I860">
        <v>9</v>
      </c>
      <c r="J860">
        <v>420.37</v>
      </c>
      <c r="K860">
        <v>1</v>
      </c>
      <c r="L860" t="s">
        <v>215</v>
      </c>
      <c r="M860">
        <v>1</v>
      </c>
    </row>
    <row r="861" spans="1:13" x14ac:dyDescent="0.3">
      <c r="A861" t="s">
        <v>1070</v>
      </c>
      <c r="B861">
        <v>52</v>
      </c>
      <c r="C861" s="1">
        <v>45754</v>
      </c>
      <c r="D861">
        <v>2025</v>
      </c>
      <c r="E861" t="s">
        <v>198</v>
      </c>
      <c r="F861" t="s">
        <v>199</v>
      </c>
      <c r="G861" t="s">
        <v>203</v>
      </c>
      <c r="H861" t="s">
        <v>195</v>
      </c>
      <c r="I861">
        <v>17</v>
      </c>
      <c r="J861">
        <v>6537.35</v>
      </c>
      <c r="K861">
        <v>1</v>
      </c>
      <c r="L861" t="s">
        <v>193</v>
      </c>
      <c r="M861">
        <v>1</v>
      </c>
    </row>
    <row r="862" spans="1:13" x14ac:dyDescent="0.3">
      <c r="A862" t="s">
        <v>1071</v>
      </c>
      <c r="B862">
        <v>52</v>
      </c>
      <c r="C862" s="1">
        <v>45835</v>
      </c>
      <c r="D862">
        <v>2025</v>
      </c>
      <c r="E862" t="s">
        <v>227</v>
      </c>
      <c r="F862" t="s">
        <v>199</v>
      </c>
      <c r="G862" t="s">
        <v>200</v>
      </c>
      <c r="H862" t="s">
        <v>204</v>
      </c>
      <c r="I862">
        <v>7</v>
      </c>
      <c r="J862">
        <v>5854.79</v>
      </c>
      <c r="K862">
        <v>0</v>
      </c>
      <c r="L862" t="s">
        <v>193</v>
      </c>
      <c r="M862">
        <v>1</v>
      </c>
    </row>
    <row r="863" spans="1:13" x14ac:dyDescent="0.3">
      <c r="A863" t="s">
        <v>1072</v>
      </c>
      <c r="B863">
        <v>52</v>
      </c>
      <c r="C863" s="1">
        <v>45663</v>
      </c>
      <c r="D863">
        <v>2025</v>
      </c>
      <c r="E863" t="s">
        <v>214</v>
      </c>
      <c r="F863" t="s">
        <v>12</v>
      </c>
      <c r="G863" t="s">
        <v>200</v>
      </c>
      <c r="H863" t="s">
        <v>195</v>
      </c>
      <c r="I863">
        <v>11</v>
      </c>
      <c r="J863">
        <v>466.3</v>
      </c>
      <c r="K863">
        <v>0</v>
      </c>
      <c r="L863" t="s">
        <v>210</v>
      </c>
      <c r="M863">
        <v>1</v>
      </c>
    </row>
    <row r="864" spans="1:13" x14ac:dyDescent="0.3">
      <c r="A864" t="s">
        <v>1073</v>
      </c>
      <c r="B864">
        <v>53</v>
      </c>
      <c r="C864" s="1">
        <v>44263</v>
      </c>
      <c r="D864">
        <v>2021</v>
      </c>
      <c r="E864" t="s">
        <v>198</v>
      </c>
      <c r="F864" t="s">
        <v>12</v>
      </c>
      <c r="G864" t="s">
        <v>212</v>
      </c>
      <c r="H864" t="s">
        <v>206</v>
      </c>
      <c r="I864">
        <v>17</v>
      </c>
      <c r="J864">
        <v>925.23</v>
      </c>
      <c r="K864">
        <v>1</v>
      </c>
      <c r="L864" t="s">
        <v>215</v>
      </c>
      <c r="M864">
        <v>1</v>
      </c>
    </row>
    <row r="865" spans="1:13" x14ac:dyDescent="0.3">
      <c r="A865" t="s">
        <v>1074</v>
      </c>
      <c r="B865">
        <v>53</v>
      </c>
      <c r="C865" s="1">
        <v>44495</v>
      </c>
      <c r="D865">
        <v>2021</v>
      </c>
      <c r="E865" t="s">
        <v>287</v>
      </c>
      <c r="F865" t="s">
        <v>13</v>
      </c>
      <c r="G865" t="s">
        <v>191</v>
      </c>
      <c r="H865" t="s">
        <v>195</v>
      </c>
      <c r="I865">
        <v>2</v>
      </c>
      <c r="J865">
        <v>2985.75</v>
      </c>
      <c r="K865">
        <v>1</v>
      </c>
      <c r="L865" t="s">
        <v>210</v>
      </c>
      <c r="M865">
        <v>0</v>
      </c>
    </row>
    <row r="866" spans="1:13" x14ac:dyDescent="0.3">
      <c r="A866" t="s">
        <v>1075</v>
      </c>
      <c r="B866">
        <v>53</v>
      </c>
      <c r="C866" s="1">
        <v>44435</v>
      </c>
      <c r="D866">
        <v>2021</v>
      </c>
      <c r="E866" t="s">
        <v>225</v>
      </c>
      <c r="F866" t="s">
        <v>199</v>
      </c>
      <c r="G866" t="s">
        <v>203</v>
      </c>
      <c r="H866" t="s">
        <v>192</v>
      </c>
      <c r="I866">
        <v>9</v>
      </c>
      <c r="J866">
        <v>7771.43</v>
      </c>
      <c r="K866">
        <v>0</v>
      </c>
      <c r="L866" t="s">
        <v>196</v>
      </c>
      <c r="M866">
        <v>0</v>
      </c>
    </row>
    <row r="867" spans="1:13" x14ac:dyDescent="0.3">
      <c r="A867" t="s">
        <v>1076</v>
      </c>
      <c r="B867">
        <v>53</v>
      </c>
      <c r="C867" s="1">
        <v>44419</v>
      </c>
      <c r="D867">
        <v>2021</v>
      </c>
      <c r="E867" t="s">
        <v>225</v>
      </c>
      <c r="F867" t="s">
        <v>13</v>
      </c>
      <c r="G867" t="s">
        <v>191</v>
      </c>
      <c r="H867" t="s">
        <v>195</v>
      </c>
      <c r="I867">
        <v>12</v>
      </c>
      <c r="J867">
        <v>1791.13</v>
      </c>
      <c r="K867">
        <v>0</v>
      </c>
      <c r="L867" t="s">
        <v>201</v>
      </c>
      <c r="M867">
        <v>0</v>
      </c>
    </row>
    <row r="868" spans="1:13" x14ac:dyDescent="0.3">
      <c r="A868" t="s">
        <v>1077</v>
      </c>
      <c r="B868">
        <v>53</v>
      </c>
      <c r="C868" s="1">
        <v>44413</v>
      </c>
      <c r="D868">
        <v>2021</v>
      </c>
      <c r="E868" t="s">
        <v>219</v>
      </c>
      <c r="F868" t="s">
        <v>12</v>
      </c>
      <c r="G868" t="s">
        <v>191</v>
      </c>
      <c r="H868" t="s">
        <v>195</v>
      </c>
      <c r="I868">
        <v>17</v>
      </c>
      <c r="J868">
        <v>645.82000000000005</v>
      </c>
      <c r="K868">
        <v>0</v>
      </c>
      <c r="L868" t="s">
        <v>215</v>
      </c>
      <c r="M868">
        <v>1</v>
      </c>
    </row>
    <row r="869" spans="1:13" x14ac:dyDescent="0.3">
      <c r="A869" t="s">
        <v>1078</v>
      </c>
      <c r="B869">
        <v>53</v>
      </c>
      <c r="C869" s="1">
        <v>44360</v>
      </c>
      <c r="D869">
        <v>2021</v>
      </c>
      <c r="E869" t="s">
        <v>219</v>
      </c>
      <c r="F869" t="s">
        <v>13</v>
      </c>
      <c r="G869" t="s">
        <v>191</v>
      </c>
      <c r="H869" t="s">
        <v>195</v>
      </c>
      <c r="I869">
        <v>4</v>
      </c>
      <c r="J869">
        <v>1742.22</v>
      </c>
      <c r="K869">
        <v>0</v>
      </c>
      <c r="L869" t="s">
        <v>201</v>
      </c>
      <c r="M869">
        <v>0</v>
      </c>
    </row>
    <row r="870" spans="1:13" x14ac:dyDescent="0.3">
      <c r="A870" t="s">
        <v>1079</v>
      </c>
      <c r="B870">
        <v>53</v>
      </c>
      <c r="C870" s="1">
        <v>44624</v>
      </c>
      <c r="D870">
        <v>2022</v>
      </c>
      <c r="E870" t="s">
        <v>198</v>
      </c>
      <c r="F870" t="s">
        <v>199</v>
      </c>
      <c r="G870" t="s">
        <v>191</v>
      </c>
      <c r="H870" t="s">
        <v>192</v>
      </c>
      <c r="I870">
        <v>10</v>
      </c>
      <c r="J870">
        <v>6332.89</v>
      </c>
      <c r="K870">
        <v>1</v>
      </c>
      <c r="L870" t="s">
        <v>201</v>
      </c>
      <c r="M870">
        <v>1</v>
      </c>
    </row>
    <row r="871" spans="1:13" x14ac:dyDescent="0.3">
      <c r="A871" t="s">
        <v>1080</v>
      </c>
      <c r="B871">
        <v>53</v>
      </c>
      <c r="C871" s="1">
        <v>44915</v>
      </c>
      <c r="D871">
        <v>2022</v>
      </c>
      <c r="E871" t="s">
        <v>198</v>
      </c>
      <c r="F871" t="s">
        <v>199</v>
      </c>
      <c r="G871" t="s">
        <v>191</v>
      </c>
      <c r="H871" t="s">
        <v>192</v>
      </c>
      <c r="I871">
        <v>9</v>
      </c>
      <c r="J871">
        <v>7202.82</v>
      </c>
      <c r="K871">
        <v>1</v>
      </c>
      <c r="L871" t="s">
        <v>201</v>
      </c>
      <c r="M871">
        <v>0</v>
      </c>
    </row>
    <row r="872" spans="1:13" x14ac:dyDescent="0.3">
      <c r="A872" t="s">
        <v>1081</v>
      </c>
      <c r="B872">
        <v>53</v>
      </c>
      <c r="C872" s="1">
        <v>44873</v>
      </c>
      <c r="D872">
        <v>2022</v>
      </c>
      <c r="E872" t="s">
        <v>225</v>
      </c>
      <c r="F872" t="s">
        <v>13</v>
      </c>
      <c r="G872" t="s">
        <v>203</v>
      </c>
      <c r="H872" t="s">
        <v>204</v>
      </c>
      <c r="I872">
        <v>15</v>
      </c>
      <c r="J872">
        <v>2794.53</v>
      </c>
      <c r="K872">
        <v>0</v>
      </c>
      <c r="L872" t="s">
        <v>201</v>
      </c>
      <c r="M872">
        <v>0</v>
      </c>
    </row>
    <row r="873" spans="1:13" x14ac:dyDescent="0.3">
      <c r="A873" t="s">
        <v>1082</v>
      </c>
      <c r="B873">
        <v>53</v>
      </c>
      <c r="C873" s="1">
        <v>44991</v>
      </c>
      <c r="D873">
        <v>2023</v>
      </c>
      <c r="E873" t="s">
        <v>198</v>
      </c>
      <c r="F873" t="s">
        <v>13</v>
      </c>
      <c r="G873" t="s">
        <v>203</v>
      </c>
      <c r="H873" t="s">
        <v>206</v>
      </c>
      <c r="I873">
        <v>4</v>
      </c>
      <c r="J873">
        <v>1660.94</v>
      </c>
      <c r="K873">
        <v>1</v>
      </c>
      <c r="L873" t="s">
        <v>201</v>
      </c>
      <c r="M873">
        <v>0</v>
      </c>
    </row>
    <row r="874" spans="1:13" x14ac:dyDescent="0.3">
      <c r="A874" t="s">
        <v>1083</v>
      </c>
      <c r="B874">
        <v>53</v>
      </c>
      <c r="C874" s="1">
        <v>45051</v>
      </c>
      <c r="D874">
        <v>2023</v>
      </c>
      <c r="E874" t="s">
        <v>198</v>
      </c>
      <c r="F874" t="s">
        <v>199</v>
      </c>
      <c r="G874" t="s">
        <v>191</v>
      </c>
      <c r="H874" t="s">
        <v>195</v>
      </c>
      <c r="I874">
        <v>16</v>
      </c>
      <c r="J874">
        <v>7334.89</v>
      </c>
      <c r="K874">
        <v>1</v>
      </c>
      <c r="L874" t="s">
        <v>193</v>
      </c>
      <c r="M874">
        <v>1</v>
      </c>
    </row>
    <row r="875" spans="1:13" x14ac:dyDescent="0.3">
      <c r="A875" t="s">
        <v>1084</v>
      </c>
      <c r="B875">
        <v>53</v>
      </c>
      <c r="C875" s="1">
        <v>45284</v>
      </c>
      <c r="D875">
        <v>2023</v>
      </c>
      <c r="E875" t="s">
        <v>198</v>
      </c>
      <c r="F875" t="s">
        <v>13</v>
      </c>
      <c r="G875" t="s">
        <v>200</v>
      </c>
      <c r="H875" t="s">
        <v>195</v>
      </c>
      <c r="I875">
        <v>15</v>
      </c>
      <c r="J875">
        <v>1883.28</v>
      </c>
      <c r="K875">
        <v>1</v>
      </c>
      <c r="L875" t="s">
        <v>210</v>
      </c>
      <c r="M875">
        <v>0</v>
      </c>
    </row>
    <row r="876" spans="1:13" x14ac:dyDescent="0.3">
      <c r="A876" t="s">
        <v>1085</v>
      </c>
      <c r="B876">
        <v>53</v>
      </c>
      <c r="C876" s="1">
        <v>45555</v>
      </c>
      <c r="D876">
        <v>2024</v>
      </c>
      <c r="E876" t="s">
        <v>225</v>
      </c>
      <c r="F876" t="s">
        <v>199</v>
      </c>
      <c r="G876" t="s">
        <v>212</v>
      </c>
      <c r="H876" t="s">
        <v>195</v>
      </c>
      <c r="I876">
        <v>11</v>
      </c>
      <c r="J876">
        <v>5291.18</v>
      </c>
      <c r="K876">
        <v>1</v>
      </c>
      <c r="L876" t="s">
        <v>193</v>
      </c>
      <c r="M876">
        <v>1</v>
      </c>
    </row>
    <row r="877" spans="1:13" x14ac:dyDescent="0.3">
      <c r="A877" t="s">
        <v>1086</v>
      </c>
      <c r="B877">
        <v>53</v>
      </c>
      <c r="C877" s="1">
        <v>45450</v>
      </c>
      <c r="D877">
        <v>2024</v>
      </c>
      <c r="E877" t="s">
        <v>225</v>
      </c>
      <c r="F877" t="s">
        <v>12</v>
      </c>
      <c r="G877" t="s">
        <v>203</v>
      </c>
      <c r="H877" t="s">
        <v>195</v>
      </c>
      <c r="I877">
        <v>16</v>
      </c>
      <c r="J877">
        <v>1072.42</v>
      </c>
      <c r="K877">
        <v>0</v>
      </c>
      <c r="L877" t="s">
        <v>201</v>
      </c>
      <c r="M877">
        <v>1</v>
      </c>
    </row>
    <row r="878" spans="1:13" x14ac:dyDescent="0.3">
      <c r="A878" t="s">
        <v>1087</v>
      </c>
      <c r="B878">
        <v>53</v>
      </c>
      <c r="C878" s="1">
        <v>45481</v>
      </c>
      <c r="D878">
        <v>2024</v>
      </c>
      <c r="E878" t="s">
        <v>198</v>
      </c>
      <c r="F878" t="s">
        <v>13</v>
      </c>
      <c r="G878" t="s">
        <v>212</v>
      </c>
      <c r="H878" t="s">
        <v>192</v>
      </c>
      <c r="I878">
        <v>11</v>
      </c>
      <c r="J878">
        <v>1511.49</v>
      </c>
      <c r="K878">
        <v>1</v>
      </c>
      <c r="L878" t="s">
        <v>201</v>
      </c>
      <c r="M878">
        <v>1</v>
      </c>
    </row>
    <row r="879" spans="1:13" x14ac:dyDescent="0.3">
      <c r="A879" t="s">
        <v>1088</v>
      </c>
      <c r="B879">
        <v>53</v>
      </c>
      <c r="C879" s="1">
        <v>45305</v>
      </c>
      <c r="D879">
        <v>2024</v>
      </c>
      <c r="E879" t="s">
        <v>198</v>
      </c>
      <c r="F879" t="s">
        <v>13</v>
      </c>
      <c r="G879" t="s">
        <v>191</v>
      </c>
      <c r="H879" t="s">
        <v>206</v>
      </c>
      <c r="I879">
        <v>17</v>
      </c>
      <c r="J879">
        <v>2962.36</v>
      </c>
      <c r="K879">
        <v>1</v>
      </c>
      <c r="L879" t="s">
        <v>201</v>
      </c>
      <c r="M879">
        <v>0</v>
      </c>
    </row>
    <row r="880" spans="1:13" x14ac:dyDescent="0.3">
      <c r="A880" t="s">
        <v>1089</v>
      </c>
      <c r="B880">
        <v>53</v>
      </c>
      <c r="C880" s="1">
        <v>45416</v>
      </c>
      <c r="D880">
        <v>2024</v>
      </c>
      <c r="E880" t="s">
        <v>198</v>
      </c>
      <c r="F880" t="s">
        <v>199</v>
      </c>
      <c r="G880" t="s">
        <v>191</v>
      </c>
      <c r="H880" t="s">
        <v>195</v>
      </c>
      <c r="I880">
        <v>6</v>
      </c>
      <c r="J880">
        <v>3701.01</v>
      </c>
      <c r="K880">
        <v>1</v>
      </c>
      <c r="L880" t="s">
        <v>196</v>
      </c>
      <c r="M880">
        <v>1</v>
      </c>
    </row>
    <row r="881" spans="1:13" x14ac:dyDescent="0.3">
      <c r="A881" t="s">
        <v>1090</v>
      </c>
      <c r="B881">
        <v>53</v>
      </c>
      <c r="C881" s="1">
        <v>45645</v>
      </c>
      <c r="D881">
        <v>2024</v>
      </c>
      <c r="E881" t="s">
        <v>225</v>
      </c>
      <c r="F881" t="s">
        <v>13</v>
      </c>
      <c r="G881" t="s">
        <v>200</v>
      </c>
      <c r="H881" t="s">
        <v>204</v>
      </c>
      <c r="I881">
        <v>12</v>
      </c>
      <c r="J881">
        <v>3480</v>
      </c>
      <c r="K881">
        <v>0</v>
      </c>
      <c r="L881" t="s">
        <v>193</v>
      </c>
      <c r="M881">
        <v>1</v>
      </c>
    </row>
    <row r="882" spans="1:13" x14ac:dyDescent="0.3">
      <c r="A882" t="s">
        <v>1091</v>
      </c>
      <c r="B882">
        <v>53</v>
      </c>
      <c r="C882" s="1">
        <v>45851</v>
      </c>
      <c r="D882">
        <v>2025</v>
      </c>
      <c r="E882" t="s">
        <v>198</v>
      </c>
      <c r="F882" t="s">
        <v>13</v>
      </c>
      <c r="G882" t="s">
        <v>212</v>
      </c>
      <c r="H882" t="s">
        <v>195</v>
      </c>
      <c r="I882">
        <v>4</v>
      </c>
      <c r="J882">
        <v>3006.47</v>
      </c>
      <c r="K882">
        <v>1</v>
      </c>
      <c r="L882" t="s">
        <v>215</v>
      </c>
      <c r="M882">
        <v>1</v>
      </c>
    </row>
    <row r="883" spans="1:13" x14ac:dyDescent="0.3">
      <c r="A883" t="s">
        <v>1092</v>
      </c>
      <c r="B883">
        <v>53</v>
      </c>
      <c r="C883" s="1">
        <v>45995</v>
      </c>
      <c r="D883">
        <v>2025</v>
      </c>
      <c r="E883" t="s">
        <v>198</v>
      </c>
      <c r="F883" t="s">
        <v>13</v>
      </c>
      <c r="G883" t="s">
        <v>191</v>
      </c>
      <c r="H883" t="s">
        <v>192</v>
      </c>
      <c r="I883">
        <v>5</v>
      </c>
      <c r="J883">
        <v>2721.69</v>
      </c>
      <c r="K883">
        <v>1</v>
      </c>
      <c r="L883" t="s">
        <v>215</v>
      </c>
      <c r="M883">
        <v>1</v>
      </c>
    </row>
    <row r="884" spans="1:13" x14ac:dyDescent="0.3">
      <c r="A884" t="s">
        <v>1093</v>
      </c>
      <c r="B884">
        <v>53</v>
      </c>
      <c r="C884" s="1">
        <v>45715</v>
      </c>
      <c r="D884">
        <v>2025</v>
      </c>
      <c r="E884" t="s">
        <v>214</v>
      </c>
      <c r="F884" t="s">
        <v>12</v>
      </c>
      <c r="G884" t="s">
        <v>203</v>
      </c>
      <c r="H884" t="s">
        <v>206</v>
      </c>
      <c r="I884">
        <v>16</v>
      </c>
      <c r="J884">
        <v>1186.48</v>
      </c>
      <c r="K884">
        <v>0</v>
      </c>
      <c r="L884" t="s">
        <v>215</v>
      </c>
      <c r="M884">
        <v>0</v>
      </c>
    </row>
    <row r="885" spans="1:13" x14ac:dyDescent="0.3">
      <c r="A885" t="s">
        <v>1094</v>
      </c>
      <c r="B885">
        <v>54</v>
      </c>
      <c r="C885" s="1">
        <v>44444</v>
      </c>
      <c r="D885">
        <v>2021</v>
      </c>
      <c r="E885" t="s">
        <v>219</v>
      </c>
      <c r="F885" t="s">
        <v>13</v>
      </c>
      <c r="G885" t="s">
        <v>203</v>
      </c>
      <c r="H885" t="s">
        <v>195</v>
      </c>
      <c r="I885">
        <v>7</v>
      </c>
      <c r="J885">
        <v>3290.73</v>
      </c>
      <c r="K885">
        <v>0</v>
      </c>
      <c r="L885" t="s">
        <v>215</v>
      </c>
      <c r="M885">
        <v>0</v>
      </c>
    </row>
    <row r="886" spans="1:13" x14ac:dyDescent="0.3">
      <c r="A886" t="s">
        <v>1095</v>
      </c>
      <c r="B886">
        <v>54</v>
      </c>
      <c r="C886" s="1">
        <v>44209</v>
      </c>
      <c r="D886">
        <v>2021</v>
      </c>
      <c r="E886" t="s">
        <v>225</v>
      </c>
      <c r="F886" t="s">
        <v>12</v>
      </c>
      <c r="G886" t="s">
        <v>200</v>
      </c>
      <c r="H886" t="s">
        <v>192</v>
      </c>
      <c r="I886">
        <v>17</v>
      </c>
      <c r="J886">
        <v>472.08</v>
      </c>
      <c r="K886">
        <v>0</v>
      </c>
      <c r="L886" t="s">
        <v>210</v>
      </c>
      <c r="M886">
        <v>0</v>
      </c>
    </row>
    <row r="887" spans="1:13" x14ac:dyDescent="0.3">
      <c r="A887" t="s">
        <v>1096</v>
      </c>
      <c r="B887">
        <v>54</v>
      </c>
      <c r="C887" s="1">
        <v>44517</v>
      </c>
      <c r="D887">
        <v>2021</v>
      </c>
      <c r="E887" t="s">
        <v>198</v>
      </c>
      <c r="F887" t="s">
        <v>13</v>
      </c>
      <c r="G887" t="s">
        <v>191</v>
      </c>
      <c r="H887" t="s">
        <v>195</v>
      </c>
      <c r="I887">
        <v>16</v>
      </c>
      <c r="J887">
        <v>2913.42</v>
      </c>
      <c r="K887">
        <v>1</v>
      </c>
      <c r="L887" t="s">
        <v>210</v>
      </c>
      <c r="M887">
        <v>1</v>
      </c>
    </row>
    <row r="888" spans="1:13" x14ac:dyDescent="0.3">
      <c r="A888" t="s">
        <v>1097</v>
      </c>
      <c r="B888">
        <v>54</v>
      </c>
      <c r="C888" s="1">
        <v>44534</v>
      </c>
      <c r="D888">
        <v>2021</v>
      </c>
      <c r="E888" t="s">
        <v>190</v>
      </c>
      <c r="F888" t="s">
        <v>12</v>
      </c>
      <c r="G888" t="s">
        <v>200</v>
      </c>
      <c r="H888" t="s">
        <v>192</v>
      </c>
      <c r="I888">
        <v>4</v>
      </c>
      <c r="J888">
        <v>1412.7</v>
      </c>
      <c r="K888">
        <v>0</v>
      </c>
      <c r="L888" t="s">
        <v>215</v>
      </c>
      <c r="M888">
        <v>0</v>
      </c>
    </row>
    <row r="889" spans="1:13" x14ac:dyDescent="0.3">
      <c r="A889" t="s">
        <v>1098</v>
      </c>
      <c r="B889">
        <v>54</v>
      </c>
      <c r="C889" s="1">
        <v>44206</v>
      </c>
      <c r="D889">
        <v>2021</v>
      </c>
      <c r="E889" t="s">
        <v>227</v>
      </c>
      <c r="F889" t="s">
        <v>13</v>
      </c>
      <c r="G889" t="s">
        <v>203</v>
      </c>
      <c r="H889" t="s">
        <v>192</v>
      </c>
      <c r="I889">
        <v>15</v>
      </c>
      <c r="J889">
        <v>2533.2399999999998</v>
      </c>
      <c r="K889">
        <v>1</v>
      </c>
      <c r="L889" t="s">
        <v>193</v>
      </c>
      <c r="M889">
        <v>1</v>
      </c>
    </row>
    <row r="890" spans="1:13" x14ac:dyDescent="0.3">
      <c r="A890" t="s">
        <v>1099</v>
      </c>
      <c r="B890">
        <v>54</v>
      </c>
      <c r="C890" s="1">
        <v>44608</v>
      </c>
      <c r="D890">
        <v>2022</v>
      </c>
      <c r="E890" t="s">
        <v>198</v>
      </c>
      <c r="F890" t="s">
        <v>12</v>
      </c>
      <c r="G890" t="s">
        <v>212</v>
      </c>
      <c r="H890" t="s">
        <v>195</v>
      </c>
      <c r="I890">
        <v>11</v>
      </c>
      <c r="J890">
        <v>1470.96</v>
      </c>
      <c r="K890">
        <v>1</v>
      </c>
      <c r="L890" t="s">
        <v>193</v>
      </c>
      <c r="M890">
        <v>1</v>
      </c>
    </row>
    <row r="891" spans="1:13" x14ac:dyDescent="0.3">
      <c r="A891" t="s">
        <v>1100</v>
      </c>
      <c r="B891">
        <v>54</v>
      </c>
      <c r="C891" s="1">
        <v>45236</v>
      </c>
      <c r="D891">
        <v>2023</v>
      </c>
      <c r="E891" t="s">
        <v>214</v>
      </c>
      <c r="F891" t="s">
        <v>13</v>
      </c>
      <c r="G891" t="s">
        <v>203</v>
      </c>
      <c r="H891" t="s">
        <v>204</v>
      </c>
      <c r="I891">
        <v>15</v>
      </c>
      <c r="J891">
        <v>2229.46</v>
      </c>
      <c r="K891">
        <v>1</v>
      </c>
      <c r="L891" t="s">
        <v>193</v>
      </c>
      <c r="M891">
        <v>1</v>
      </c>
    </row>
    <row r="892" spans="1:13" x14ac:dyDescent="0.3">
      <c r="A892" t="s">
        <v>1101</v>
      </c>
      <c r="B892">
        <v>54</v>
      </c>
      <c r="C892" s="1">
        <v>44927</v>
      </c>
      <c r="D892">
        <v>2023</v>
      </c>
      <c r="E892" t="s">
        <v>214</v>
      </c>
      <c r="F892" t="s">
        <v>13</v>
      </c>
      <c r="G892" t="s">
        <v>191</v>
      </c>
      <c r="H892" t="s">
        <v>195</v>
      </c>
      <c r="I892">
        <v>4</v>
      </c>
      <c r="J892">
        <v>2895.42</v>
      </c>
      <c r="K892">
        <v>1</v>
      </c>
      <c r="L892" t="s">
        <v>215</v>
      </c>
      <c r="M892">
        <v>0</v>
      </c>
    </row>
    <row r="893" spans="1:13" x14ac:dyDescent="0.3">
      <c r="A893" t="s">
        <v>1102</v>
      </c>
      <c r="B893">
        <v>54</v>
      </c>
      <c r="C893" s="1">
        <v>45177</v>
      </c>
      <c r="D893">
        <v>2023</v>
      </c>
      <c r="E893" t="s">
        <v>227</v>
      </c>
      <c r="F893" t="s">
        <v>12</v>
      </c>
      <c r="G893" t="s">
        <v>191</v>
      </c>
      <c r="H893" t="s">
        <v>204</v>
      </c>
      <c r="I893">
        <v>12</v>
      </c>
      <c r="J893">
        <v>1019.93</v>
      </c>
      <c r="K893">
        <v>0</v>
      </c>
      <c r="L893" t="s">
        <v>210</v>
      </c>
      <c r="M893">
        <v>0</v>
      </c>
    </row>
    <row r="894" spans="1:13" x14ac:dyDescent="0.3">
      <c r="A894" t="s">
        <v>1103</v>
      </c>
      <c r="B894">
        <v>54</v>
      </c>
      <c r="C894" s="1">
        <v>44941</v>
      </c>
      <c r="D894">
        <v>2023</v>
      </c>
      <c r="E894" t="s">
        <v>190</v>
      </c>
      <c r="F894" t="s">
        <v>12</v>
      </c>
      <c r="G894" t="s">
        <v>212</v>
      </c>
      <c r="H894" t="s">
        <v>192</v>
      </c>
      <c r="I894">
        <v>20</v>
      </c>
      <c r="J894">
        <v>533.91999999999996</v>
      </c>
      <c r="K894">
        <v>0</v>
      </c>
      <c r="L894" t="s">
        <v>215</v>
      </c>
      <c r="M894">
        <v>1</v>
      </c>
    </row>
    <row r="895" spans="1:13" x14ac:dyDescent="0.3">
      <c r="A895" t="s">
        <v>1104</v>
      </c>
      <c r="B895">
        <v>54</v>
      </c>
      <c r="C895" s="1">
        <v>45555</v>
      </c>
      <c r="D895">
        <v>2024</v>
      </c>
      <c r="E895" t="s">
        <v>190</v>
      </c>
      <c r="F895" t="s">
        <v>12</v>
      </c>
      <c r="G895" t="s">
        <v>191</v>
      </c>
      <c r="H895" t="s">
        <v>206</v>
      </c>
      <c r="I895">
        <v>9</v>
      </c>
      <c r="J895">
        <v>1268.2</v>
      </c>
      <c r="K895">
        <v>0</v>
      </c>
      <c r="L895" t="s">
        <v>215</v>
      </c>
      <c r="M895">
        <v>0</v>
      </c>
    </row>
    <row r="896" spans="1:13" x14ac:dyDescent="0.3">
      <c r="A896" t="s">
        <v>1105</v>
      </c>
      <c r="B896">
        <v>54</v>
      </c>
      <c r="C896" s="1">
        <v>45979</v>
      </c>
      <c r="D896">
        <v>2025</v>
      </c>
      <c r="E896" t="s">
        <v>190</v>
      </c>
      <c r="F896" t="s">
        <v>13</v>
      </c>
      <c r="G896" t="s">
        <v>212</v>
      </c>
      <c r="H896" t="s">
        <v>192</v>
      </c>
      <c r="I896">
        <v>3</v>
      </c>
      <c r="J896">
        <v>2656.45</v>
      </c>
      <c r="K896">
        <v>1</v>
      </c>
      <c r="L896" t="s">
        <v>201</v>
      </c>
      <c r="M896">
        <v>1</v>
      </c>
    </row>
    <row r="897" spans="1:13" x14ac:dyDescent="0.3">
      <c r="A897" t="s">
        <v>1106</v>
      </c>
      <c r="B897">
        <v>54</v>
      </c>
      <c r="C897" s="1">
        <v>45695</v>
      </c>
      <c r="D897">
        <v>2025</v>
      </c>
      <c r="E897" t="s">
        <v>198</v>
      </c>
      <c r="F897" t="s">
        <v>13</v>
      </c>
      <c r="G897" t="s">
        <v>200</v>
      </c>
      <c r="H897" t="s">
        <v>195</v>
      </c>
      <c r="I897">
        <v>12</v>
      </c>
      <c r="J897">
        <v>3150.69</v>
      </c>
      <c r="K897">
        <v>1</v>
      </c>
      <c r="L897" t="s">
        <v>210</v>
      </c>
      <c r="M897">
        <v>1</v>
      </c>
    </row>
    <row r="898" spans="1:13" x14ac:dyDescent="0.3">
      <c r="A898" t="s">
        <v>1107</v>
      </c>
      <c r="B898">
        <v>54</v>
      </c>
      <c r="C898" s="1">
        <v>45999</v>
      </c>
      <c r="D898">
        <v>2025</v>
      </c>
      <c r="E898" t="s">
        <v>214</v>
      </c>
      <c r="F898" t="s">
        <v>13</v>
      </c>
      <c r="G898" t="s">
        <v>200</v>
      </c>
      <c r="H898" t="s">
        <v>204</v>
      </c>
      <c r="I898">
        <v>16</v>
      </c>
      <c r="J898">
        <v>3124.74</v>
      </c>
      <c r="K898">
        <v>0</v>
      </c>
      <c r="L898" t="s">
        <v>193</v>
      </c>
      <c r="M898">
        <v>0</v>
      </c>
    </row>
    <row r="899" spans="1:13" x14ac:dyDescent="0.3">
      <c r="A899" t="s">
        <v>1108</v>
      </c>
      <c r="B899">
        <v>55</v>
      </c>
      <c r="C899" s="1">
        <v>44421</v>
      </c>
      <c r="D899">
        <v>2021</v>
      </c>
      <c r="E899" t="s">
        <v>227</v>
      </c>
      <c r="F899" t="s">
        <v>209</v>
      </c>
      <c r="G899" t="s">
        <v>212</v>
      </c>
      <c r="H899" t="s">
        <v>195</v>
      </c>
      <c r="I899">
        <v>12</v>
      </c>
      <c r="J899">
        <v>495.31</v>
      </c>
      <c r="K899">
        <v>0</v>
      </c>
      <c r="L899" t="s">
        <v>210</v>
      </c>
      <c r="M899">
        <v>1</v>
      </c>
    </row>
    <row r="900" spans="1:13" x14ac:dyDescent="0.3">
      <c r="A900" t="s">
        <v>1109</v>
      </c>
      <c r="B900">
        <v>55</v>
      </c>
      <c r="C900" s="1">
        <v>44456</v>
      </c>
      <c r="D900">
        <v>2021</v>
      </c>
      <c r="E900" t="s">
        <v>227</v>
      </c>
      <c r="F900" t="s">
        <v>13</v>
      </c>
      <c r="G900" t="s">
        <v>203</v>
      </c>
      <c r="H900" t="s">
        <v>206</v>
      </c>
      <c r="I900">
        <v>9</v>
      </c>
      <c r="J900">
        <v>2863.51</v>
      </c>
      <c r="K900">
        <v>0</v>
      </c>
      <c r="L900" t="s">
        <v>196</v>
      </c>
      <c r="M900">
        <v>0</v>
      </c>
    </row>
    <row r="901" spans="1:13" x14ac:dyDescent="0.3">
      <c r="A901" t="s">
        <v>1110</v>
      </c>
      <c r="B901">
        <v>55</v>
      </c>
      <c r="C901" s="1">
        <v>44425</v>
      </c>
      <c r="D901">
        <v>2021</v>
      </c>
      <c r="E901" t="s">
        <v>190</v>
      </c>
      <c r="F901" t="s">
        <v>12</v>
      </c>
      <c r="G901" t="s">
        <v>212</v>
      </c>
      <c r="H901" t="s">
        <v>195</v>
      </c>
      <c r="I901">
        <v>13</v>
      </c>
      <c r="J901">
        <v>916.55</v>
      </c>
      <c r="K901">
        <v>0</v>
      </c>
      <c r="L901" t="s">
        <v>193</v>
      </c>
      <c r="M901">
        <v>1</v>
      </c>
    </row>
    <row r="902" spans="1:13" x14ac:dyDescent="0.3">
      <c r="A902" t="s">
        <v>1111</v>
      </c>
      <c r="B902">
        <v>55</v>
      </c>
      <c r="C902" s="1">
        <v>44369</v>
      </c>
      <c r="D902">
        <v>2021</v>
      </c>
      <c r="E902" t="s">
        <v>219</v>
      </c>
      <c r="F902" t="s">
        <v>13</v>
      </c>
      <c r="G902" t="s">
        <v>200</v>
      </c>
      <c r="H902" t="s">
        <v>204</v>
      </c>
      <c r="I902">
        <v>8</v>
      </c>
      <c r="J902">
        <v>3195.65</v>
      </c>
      <c r="K902">
        <v>0</v>
      </c>
      <c r="L902" t="s">
        <v>196</v>
      </c>
      <c r="M902">
        <v>0</v>
      </c>
    </row>
    <row r="903" spans="1:13" x14ac:dyDescent="0.3">
      <c r="A903" t="s">
        <v>1112</v>
      </c>
      <c r="B903">
        <v>55</v>
      </c>
      <c r="C903" s="1">
        <v>44395</v>
      </c>
      <c r="D903">
        <v>2021</v>
      </c>
      <c r="E903" t="s">
        <v>225</v>
      </c>
      <c r="F903" t="s">
        <v>12</v>
      </c>
      <c r="G903" t="s">
        <v>191</v>
      </c>
      <c r="H903" t="s">
        <v>195</v>
      </c>
      <c r="I903">
        <v>5</v>
      </c>
      <c r="J903">
        <v>367.75</v>
      </c>
      <c r="K903">
        <v>0</v>
      </c>
      <c r="L903" t="s">
        <v>193</v>
      </c>
      <c r="M903">
        <v>0</v>
      </c>
    </row>
    <row r="904" spans="1:13" x14ac:dyDescent="0.3">
      <c r="A904" t="s">
        <v>1113</v>
      </c>
      <c r="B904">
        <v>55</v>
      </c>
      <c r="C904" s="1">
        <v>44488</v>
      </c>
      <c r="D904">
        <v>2021</v>
      </c>
      <c r="E904" t="s">
        <v>198</v>
      </c>
      <c r="F904" t="s">
        <v>199</v>
      </c>
      <c r="G904" t="s">
        <v>191</v>
      </c>
      <c r="H904" t="s">
        <v>195</v>
      </c>
      <c r="I904">
        <v>6</v>
      </c>
      <c r="J904">
        <v>2549.6799999999998</v>
      </c>
      <c r="K904">
        <v>1</v>
      </c>
      <c r="L904" t="s">
        <v>196</v>
      </c>
      <c r="M904">
        <v>0</v>
      </c>
    </row>
    <row r="905" spans="1:13" x14ac:dyDescent="0.3">
      <c r="A905" t="s">
        <v>1114</v>
      </c>
      <c r="B905">
        <v>55</v>
      </c>
      <c r="C905" s="1">
        <v>44576</v>
      </c>
      <c r="D905">
        <v>2022</v>
      </c>
      <c r="E905" t="s">
        <v>214</v>
      </c>
      <c r="F905" t="s">
        <v>12</v>
      </c>
      <c r="G905" t="s">
        <v>212</v>
      </c>
      <c r="H905" t="s">
        <v>192</v>
      </c>
      <c r="I905">
        <v>2</v>
      </c>
      <c r="J905">
        <v>987.83</v>
      </c>
      <c r="K905">
        <v>0</v>
      </c>
      <c r="L905" t="s">
        <v>201</v>
      </c>
      <c r="M905">
        <v>1</v>
      </c>
    </row>
    <row r="906" spans="1:13" x14ac:dyDescent="0.3">
      <c r="A906" t="s">
        <v>1115</v>
      </c>
      <c r="B906">
        <v>55</v>
      </c>
      <c r="C906" s="1">
        <v>44792</v>
      </c>
      <c r="D906">
        <v>2022</v>
      </c>
      <c r="E906" t="s">
        <v>219</v>
      </c>
      <c r="F906" t="s">
        <v>12</v>
      </c>
      <c r="G906" t="s">
        <v>212</v>
      </c>
      <c r="H906" t="s">
        <v>195</v>
      </c>
      <c r="I906">
        <v>9</v>
      </c>
      <c r="J906">
        <v>994.11</v>
      </c>
      <c r="K906">
        <v>0</v>
      </c>
      <c r="L906" t="s">
        <v>193</v>
      </c>
      <c r="M906">
        <v>1</v>
      </c>
    </row>
    <row r="907" spans="1:13" x14ac:dyDescent="0.3">
      <c r="A907" t="s">
        <v>1116</v>
      </c>
      <c r="B907">
        <v>55</v>
      </c>
      <c r="C907" s="1">
        <v>44699</v>
      </c>
      <c r="D907">
        <v>2022</v>
      </c>
      <c r="E907" t="s">
        <v>225</v>
      </c>
      <c r="F907" t="s">
        <v>12</v>
      </c>
      <c r="G907" t="s">
        <v>212</v>
      </c>
      <c r="H907" t="s">
        <v>204</v>
      </c>
      <c r="I907">
        <v>10</v>
      </c>
      <c r="J907">
        <v>344.08</v>
      </c>
      <c r="K907">
        <v>0</v>
      </c>
      <c r="L907" t="s">
        <v>201</v>
      </c>
      <c r="M907">
        <v>1</v>
      </c>
    </row>
    <row r="908" spans="1:13" x14ac:dyDescent="0.3">
      <c r="A908" t="s">
        <v>1117</v>
      </c>
      <c r="B908">
        <v>55</v>
      </c>
      <c r="C908" s="1">
        <v>44971</v>
      </c>
      <c r="D908">
        <v>2023</v>
      </c>
      <c r="E908" t="s">
        <v>214</v>
      </c>
      <c r="F908" t="s">
        <v>13</v>
      </c>
      <c r="G908" t="s">
        <v>203</v>
      </c>
      <c r="H908" t="s">
        <v>192</v>
      </c>
      <c r="I908">
        <v>3</v>
      </c>
      <c r="J908">
        <v>2744.57</v>
      </c>
      <c r="K908">
        <v>0</v>
      </c>
      <c r="L908" t="s">
        <v>201</v>
      </c>
      <c r="M908">
        <v>0</v>
      </c>
    </row>
    <row r="909" spans="1:13" x14ac:dyDescent="0.3">
      <c r="A909" t="s">
        <v>1118</v>
      </c>
      <c r="B909">
        <v>55</v>
      </c>
      <c r="C909" s="1">
        <v>45217</v>
      </c>
      <c r="D909">
        <v>2023</v>
      </c>
      <c r="E909" t="s">
        <v>198</v>
      </c>
      <c r="F909" t="s">
        <v>13</v>
      </c>
      <c r="G909" t="s">
        <v>212</v>
      </c>
      <c r="H909" t="s">
        <v>195</v>
      </c>
      <c r="I909">
        <v>17</v>
      </c>
      <c r="J909">
        <v>2183.5</v>
      </c>
      <c r="K909">
        <v>1</v>
      </c>
      <c r="L909" t="s">
        <v>193</v>
      </c>
      <c r="M909">
        <v>1</v>
      </c>
    </row>
    <row r="910" spans="1:13" x14ac:dyDescent="0.3">
      <c r="A910" t="s">
        <v>1119</v>
      </c>
      <c r="B910">
        <v>55</v>
      </c>
      <c r="C910" s="1">
        <v>44984</v>
      </c>
      <c r="D910">
        <v>2023</v>
      </c>
      <c r="E910" t="s">
        <v>227</v>
      </c>
      <c r="F910" t="s">
        <v>12</v>
      </c>
      <c r="G910" t="s">
        <v>200</v>
      </c>
      <c r="H910" t="s">
        <v>192</v>
      </c>
      <c r="I910">
        <v>1</v>
      </c>
      <c r="J910">
        <v>941.1</v>
      </c>
      <c r="K910">
        <v>0</v>
      </c>
      <c r="L910" t="s">
        <v>201</v>
      </c>
      <c r="M910">
        <v>0</v>
      </c>
    </row>
    <row r="911" spans="1:13" x14ac:dyDescent="0.3">
      <c r="A911" t="s">
        <v>1120</v>
      </c>
      <c r="B911">
        <v>55</v>
      </c>
      <c r="C911" s="1">
        <v>45064</v>
      </c>
      <c r="D911">
        <v>2023</v>
      </c>
      <c r="E911" t="s">
        <v>225</v>
      </c>
      <c r="F911" t="s">
        <v>13</v>
      </c>
      <c r="G911" t="s">
        <v>191</v>
      </c>
      <c r="H911" t="s">
        <v>195</v>
      </c>
      <c r="I911">
        <v>15</v>
      </c>
      <c r="J911">
        <v>1989.64</v>
      </c>
      <c r="K911">
        <v>1</v>
      </c>
      <c r="L911" t="s">
        <v>196</v>
      </c>
      <c r="M911">
        <v>0</v>
      </c>
    </row>
    <row r="912" spans="1:13" x14ac:dyDescent="0.3">
      <c r="A912" t="s">
        <v>1121</v>
      </c>
      <c r="B912">
        <v>55</v>
      </c>
      <c r="C912" s="1">
        <v>45219</v>
      </c>
      <c r="D912">
        <v>2023</v>
      </c>
      <c r="E912" t="s">
        <v>214</v>
      </c>
      <c r="F912" t="s">
        <v>199</v>
      </c>
      <c r="G912" t="s">
        <v>212</v>
      </c>
      <c r="H912" t="s">
        <v>195</v>
      </c>
      <c r="I912">
        <v>17</v>
      </c>
      <c r="J912">
        <v>7260.22</v>
      </c>
      <c r="K912">
        <v>0</v>
      </c>
      <c r="L912" t="s">
        <v>193</v>
      </c>
      <c r="M912">
        <v>1</v>
      </c>
    </row>
    <row r="913" spans="1:13" x14ac:dyDescent="0.3">
      <c r="A913" t="s">
        <v>1122</v>
      </c>
      <c r="B913">
        <v>55</v>
      </c>
      <c r="C913" s="1">
        <v>45444</v>
      </c>
      <c r="D913">
        <v>2024</v>
      </c>
      <c r="E913" t="s">
        <v>214</v>
      </c>
      <c r="F913" t="s">
        <v>209</v>
      </c>
      <c r="G913" t="s">
        <v>212</v>
      </c>
      <c r="H913" t="s">
        <v>206</v>
      </c>
      <c r="I913">
        <v>8</v>
      </c>
      <c r="J913">
        <v>455.86</v>
      </c>
      <c r="K913">
        <v>0</v>
      </c>
      <c r="L913" t="s">
        <v>210</v>
      </c>
      <c r="M913">
        <v>1</v>
      </c>
    </row>
    <row r="914" spans="1:13" x14ac:dyDescent="0.3">
      <c r="A914" t="s">
        <v>1123</v>
      </c>
      <c r="B914">
        <v>55</v>
      </c>
      <c r="C914" s="1">
        <v>45577</v>
      </c>
      <c r="D914">
        <v>2024</v>
      </c>
      <c r="E914" t="s">
        <v>219</v>
      </c>
      <c r="F914" t="s">
        <v>209</v>
      </c>
      <c r="G914" t="s">
        <v>191</v>
      </c>
      <c r="H914" t="s">
        <v>204</v>
      </c>
      <c r="I914">
        <v>10</v>
      </c>
      <c r="J914">
        <v>175.67</v>
      </c>
      <c r="K914">
        <v>0</v>
      </c>
      <c r="L914" t="s">
        <v>215</v>
      </c>
      <c r="M914">
        <v>0</v>
      </c>
    </row>
    <row r="915" spans="1:13" x14ac:dyDescent="0.3">
      <c r="A915" t="s">
        <v>1124</v>
      </c>
      <c r="B915">
        <v>55</v>
      </c>
      <c r="C915" s="1">
        <v>45922</v>
      </c>
      <c r="D915">
        <v>2025</v>
      </c>
      <c r="E915" t="s">
        <v>190</v>
      </c>
      <c r="F915" t="s">
        <v>12</v>
      </c>
      <c r="G915" t="s">
        <v>212</v>
      </c>
      <c r="H915" t="s">
        <v>195</v>
      </c>
      <c r="I915">
        <v>3</v>
      </c>
      <c r="J915">
        <v>1151.27</v>
      </c>
      <c r="K915">
        <v>0</v>
      </c>
      <c r="L915" t="s">
        <v>201</v>
      </c>
      <c r="M915">
        <v>1</v>
      </c>
    </row>
    <row r="916" spans="1:13" x14ac:dyDescent="0.3">
      <c r="A916" t="s">
        <v>1125</v>
      </c>
      <c r="B916">
        <v>55</v>
      </c>
      <c r="C916" s="1">
        <v>45875</v>
      </c>
      <c r="D916">
        <v>2025</v>
      </c>
      <c r="E916" t="s">
        <v>219</v>
      </c>
      <c r="F916" t="s">
        <v>209</v>
      </c>
      <c r="G916" t="s">
        <v>212</v>
      </c>
      <c r="H916" t="s">
        <v>195</v>
      </c>
      <c r="I916">
        <v>20</v>
      </c>
      <c r="J916">
        <v>73.73</v>
      </c>
      <c r="K916">
        <v>1</v>
      </c>
      <c r="L916" t="s">
        <v>210</v>
      </c>
      <c r="M916">
        <v>1</v>
      </c>
    </row>
    <row r="917" spans="1:13" x14ac:dyDescent="0.3">
      <c r="A917" t="s">
        <v>1126</v>
      </c>
      <c r="B917">
        <v>55</v>
      </c>
      <c r="C917" s="1">
        <v>45786</v>
      </c>
      <c r="D917">
        <v>2025</v>
      </c>
      <c r="E917" t="s">
        <v>198</v>
      </c>
      <c r="F917" t="s">
        <v>13</v>
      </c>
      <c r="G917" t="s">
        <v>200</v>
      </c>
      <c r="H917" t="s">
        <v>192</v>
      </c>
      <c r="I917">
        <v>13</v>
      </c>
      <c r="J917">
        <v>2995.8</v>
      </c>
      <c r="K917">
        <v>1</v>
      </c>
      <c r="L917" t="s">
        <v>193</v>
      </c>
      <c r="M917">
        <v>1</v>
      </c>
    </row>
    <row r="918" spans="1:13" x14ac:dyDescent="0.3">
      <c r="A918" t="s">
        <v>1127</v>
      </c>
      <c r="B918">
        <v>55</v>
      </c>
      <c r="C918" s="1">
        <v>45814</v>
      </c>
      <c r="D918">
        <v>2025</v>
      </c>
      <c r="E918" t="s">
        <v>214</v>
      </c>
      <c r="F918" t="s">
        <v>12</v>
      </c>
      <c r="G918" t="s">
        <v>200</v>
      </c>
      <c r="H918" t="s">
        <v>195</v>
      </c>
      <c r="I918">
        <v>11</v>
      </c>
      <c r="J918">
        <v>1014.1</v>
      </c>
      <c r="K918">
        <v>0</v>
      </c>
      <c r="L918" t="s">
        <v>210</v>
      </c>
      <c r="M918">
        <v>0</v>
      </c>
    </row>
    <row r="919" spans="1:13" x14ac:dyDescent="0.3">
      <c r="A919" t="s">
        <v>1128</v>
      </c>
      <c r="B919">
        <v>55</v>
      </c>
      <c r="C919" s="1">
        <v>45863</v>
      </c>
      <c r="D919">
        <v>2025</v>
      </c>
      <c r="E919" t="s">
        <v>198</v>
      </c>
      <c r="F919" t="s">
        <v>199</v>
      </c>
      <c r="G919" t="s">
        <v>200</v>
      </c>
      <c r="H919" t="s">
        <v>195</v>
      </c>
      <c r="I919">
        <v>14</v>
      </c>
      <c r="J919">
        <v>4324.82</v>
      </c>
      <c r="K919">
        <v>1</v>
      </c>
      <c r="L919" t="s">
        <v>196</v>
      </c>
      <c r="M919">
        <v>0</v>
      </c>
    </row>
    <row r="920" spans="1:13" x14ac:dyDescent="0.3">
      <c r="A920" t="s">
        <v>1129</v>
      </c>
      <c r="B920">
        <v>55</v>
      </c>
      <c r="C920" s="1">
        <v>45895</v>
      </c>
      <c r="D920">
        <v>2025</v>
      </c>
      <c r="E920" t="s">
        <v>198</v>
      </c>
      <c r="F920" t="s">
        <v>13</v>
      </c>
      <c r="G920" t="s">
        <v>212</v>
      </c>
      <c r="H920" t="s">
        <v>204</v>
      </c>
      <c r="I920">
        <v>8</v>
      </c>
      <c r="J920">
        <v>2623.55</v>
      </c>
      <c r="K920">
        <v>1</v>
      </c>
      <c r="L920" t="s">
        <v>201</v>
      </c>
      <c r="M920">
        <v>1</v>
      </c>
    </row>
    <row r="921" spans="1:13" x14ac:dyDescent="0.3">
      <c r="A921" t="s">
        <v>1130</v>
      </c>
      <c r="B921">
        <v>56</v>
      </c>
      <c r="C921" s="1">
        <v>44306</v>
      </c>
      <c r="D921">
        <v>2021</v>
      </c>
      <c r="E921" t="s">
        <v>219</v>
      </c>
      <c r="F921" t="s">
        <v>209</v>
      </c>
      <c r="G921" t="s">
        <v>212</v>
      </c>
      <c r="H921" t="s">
        <v>195</v>
      </c>
      <c r="I921">
        <v>8</v>
      </c>
      <c r="J921">
        <v>320.63</v>
      </c>
      <c r="K921">
        <v>0</v>
      </c>
      <c r="L921" t="s">
        <v>210</v>
      </c>
      <c r="M921">
        <v>1</v>
      </c>
    </row>
    <row r="922" spans="1:13" x14ac:dyDescent="0.3">
      <c r="A922" t="s">
        <v>1131</v>
      </c>
      <c r="B922">
        <v>56</v>
      </c>
      <c r="C922" s="1">
        <v>44232</v>
      </c>
      <c r="D922">
        <v>2021</v>
      </c>
      <c r="E922" t="s">
        <v>214</v>
      </c>
      <c r="F922" t="s">
        <v>12</v>
      </c>
      <c r="G922" t="s">
        <v>203</v>
      </c>
      <c r="H922" t="s">
        <v>192</v>
      </c>
      <c r="I922">
        <v>2</v>
      </c>
      <c r="J922">
        <v>1286.1199999999999</v>
      </c>
      <c r="K922">
        <v>0</v>
      </c>
      <c r="L922" t="s">
        <v>215</v>
      </c>
      <c r="M922">
        <v>1</v>
      </c>
    </row>
    <row r="923" spans="1:13" x14ac:dyDescent="0.3">
      <c r="A923" t="s">
        <v>1132</v>
      </c>
      <c r="B923">
        <v>56</v>
      </c>
      <c r="C923" s="1">
        <v>44382</v>
      </c>
      <c r="D923">
        <v>2021</v>
      </c>
      <c r="E923" t="s">
        <v>190</v>
      </c>
      <c r="F923" t="s">
        <v>13</v>
      </c>
      <c r="G923" t="s">
        <v>191</v>
      </c>
      <c r="H923" t="s">
        <v>206</v>
      </c>
      <c r="I923">
        <v>15</v>
      </c>
      <c r="J923">
        <v>3151.39</v>
      </c>
      <c r="K923">
        <v>0</v>
      </c>
      <c r="L923" t="s">
        <v>215</v>
      </c>
      <c r="M923">
        <v>0</v>
      </c>
    </row>
    <row r="924" spans="1:13" x14ac:dyDescent="0.3">
      <c r="A924" t="s">
        <v>1133</v>
      </c>
      <c r="B924">
        <v>56</v>
      </c>
      <c r="C924" s="1">
        <v>44789</v>
      </c>
      <c r="D924">
        <v>2022</v>
      </c>
      <c r="E924" t="s">
        <v>214</v>
      </c>
      <c r="F924" t="s">
        <v>13</v>
      </c>
      <c r="G924" t="s">
        <v>212</v>
      </c>
      <c r="H924" t="s">
        <v>195</v>
      </c>
      <c r="I924">
        <v>5</v>
      </c>
      <c r="J924">
        <v>1739.14</v>
      </c>
      <c r="K924">
        <v>0</v>
      </c>
      <c r="L924" t="s">
        <v>193</v>
      </c>
      <c r="M924">
        <v>1</v>
      </c>
    </row>
    <row r="925" spans="1:13" x14ac:dyDescent="0.3">
      <c r="A925" t="s">
        <v>1134</v>
      </c>
      <c r="B925">
        <v>56</v>
      </c>
      <c r="C925" s="1">
        <v>44876</v>
      </c>
      <c r="D925">
        <v>2022</v>
      </c>
      <c r="E925" t="s">
        <v>219</v>
      </c>
      <c r="F925" t="s">
        <v>209</v>
      </c>
      <c r="G925" t="s">
        <v>212</v>
      </c>
      <c r="H925" t="s">
        <v>195</v>
      </c>
      <c r="I925">
        <v>9</v>
      </c>
      <c r="J925">
        <v>408.76</v>
      </c>
      <c r="K925">
        <v>0</v>
      </c>
      <c r="L925" t="s">
        <v>215</v>
      </c>
      <c r="M925">
        <v>1</v>
      </c>
    </row>
    <row r="926" spans="1:13" x14ac:dyDescent="0.3">
      <c r="A926" t="s">
        <v>1135</v>
      </c>
      <c r="B926">
        <v>56</v>
      </c>
      <c r="C926" s="1">
        <v>44716</v>
      </c>
      <c r="D926">
        <v>2022</v>
      </c>
      <c r="E926" t="s">
        <v>225</v>
      </c>
      <c r="F926" t="s">
        <v>199</v>
      </c>
      <c r="G926" t="s">
        <v>203</v>
      </c>
      <c r="H926" t="s">
        <v>195</v>
      </c>
      <c r="I926">
        <v>5</v>
      </c>
      <c r="J926">
        <v>2962.18</v>
      </c>
      <c r="K926">
        <v>0</v>
      </c>
      <c r="L926" t="s">
        <v>193</v>
      </c>
      <c r="M926">
        <v>0</v>
      </c>
    </row>
    <row r="927" spans="1:13" x14ac:dyDescent="0.3">
      <c r="A927" t="s">
        <v>1136</v>
      </c>
      <c r="B927">
        <v>56</v>
      </c>
      <c r="C927" s="1">
        <v>44938</v>
      </c>
      <c r="D927">
        <v>2023</v>
      </c>
      <c r="E927" t="s">
        <v>214</v>
      </c>
      <c r="F927" t="s">
        <v>199</v>
      </c>
      <c r="G927" t="s">
        <v>212</v>
      </c>
      <c r="H927" t="s">
        <v>206</v>
      </c>
      <c r="I927">
        <v>8</v>
      </c>
      <c r="J927">
        <v>3276.3</v>
      </c>
      <c r="K927">
        <v>1</v>
      </c>
      <c r="L927" t="s">
        <v>193</v>
      </c>
      <c r="M927">
        <v>1</v>
      </c>
    </row>
    <row r="928" spans="1:13" x14ac:dyDescent="0.3">
      <c r="A928" t="s">
        <v>1137</v>
      </c>
      <c r="B928">
        <v>56</v>
      </c>
      <c r="C928" s="1">
        <v>45288</v>
      </c>
      <c r="D928">
        <v>2023</v>
      </c>
      <c r="E928" t="s">
        <v>214</v>
      </c>
      <c r="F928" t="s">
        <v>13</v>
      </c>
      <c r="G928" t="s">
        <v>203</v>
      </c>
      <c r="H928" t="s">
        <v>204</v>
      </c>
      <c r="I928">
        <v>4</v>
      </c>
      <c r="J928">
        <v>3417.33</v>
      </c>
      <c r="K928">
        <v>0</v>
      </c>
      <c r="L928" t="s">
        <v>201</v>
      </c>
      <c r="M928">
        <v>0</v>
      </c>
    </row>
    <row r="929" spans="1:13" x14ac:dyDescent="0.3">
      <c r="A929" t="s">
        <v>1138</v>
      </c>
      <c r="B929">
        <v>56</v>
      </c>
      <c r="C929" s="1">
        <v>45206</v>
      </c>
      <c r="D929">
        <v>2023</v>
      </c>
      <c r="E929" t="s">
        <v>198</v>
      </c>
      <c r="F929" t="s">
        <v>13</v>
      </c>
      <c r="G929" t="s">
        <v>203</v>
      </c>
      <c r="H929" t="s">
        <v>195</v>
      </c>
      <c r="I929">
        <v>11</v>
      </c>
      <c r="J929">
        <v>1653.32</v>
      </c>
      <c r="K929">
        <v>1</v>
      </c>
      <c r="L929" t="s">
        <v>201</v>
      </c>
      <c r="M929">
        <v>0</v>
      </c>
    </row>
    <row r="930" spans="1:13" x14ac:dyDescent="0.3">
      <c r="A930" t="s">
        <v>1139</v>
      </c>
      <c r="B930">
        <v>56</v>
      </c>
      <c r="C930" s="1">
        <v>45613</v>
      </c>
      <c r="D930">
        <v>2024</v>
      </c>
      <c r="E930" t="s">
        <v>190</v>
      </c>
      <c r="F930" t="s">
        <v>199</v>
      </c>
      <c r="G930" t="s">
        <v>203</v>
      </c>
      <c r="H930" t="s">
        <v>204</v>
      </c>
      <c r="I930">
        <v>3</v>
      </c>
      <c r="J930">
        <v>5109.3900000000003</v>
      </c>
      <c r="K930">
        <v>0</v>
      </c>
      <c r="L930" t="s">
        <v>201</v>
      </c>
      <c r="M930">
        <v>1</v>
      </c>
    </row>
    <row r="931" spans="1:13" x14ac:dyDescent="0.3">
      <c r="A931" t="s">
        <v>1140</v>
      </c>
      <c r="B931">
        <v>57</v>
      </c>
      <c r="C931" s="1">
        <v>44373</v>
      </c>
      <c r="D931">
        <v>2021</v>
      </c>
      <c r="E931" t="s">
        <v>214</v>
      </c>
      <c r="F931" t="s">
        <v>12</v>
      </c>
      <c r="G931" t="s">
        <v>203</v>
      </c>
      <c r="H931" t="s">
        <v>195</v>
      </c>
      <c r="I931">
        <v>6</v>
      </c>
      <c r="J931">
        <v>943.56</v>
      </c>
      <c r="K931">
        <v>0</v>
      </c>
      <c r="L931" t="s">
        <v>215</v>
      </c>
      <c r="M931">
        <v>0</v>
      </c>
    </row>
    <row r="932" spans="1:13" x14ac:dyDescent="0.3">
      <c r="A932" t="s">
        <v>1141</v>
      </c>
      <c r="B932">
        <v>57</v>
      </c>
      <c r="C932" s="1">
        <v>44796</v>
      </c>
      <c r="D932">
        <v>2022</v>
      </c>
      <c r="E932" t="s">
        <v>225</v>
      </c>
      <c r="F932" t="s">
        <v>12</v>
      </c>
      <c r="G932" t="s">
        <v>212</v>
      </c>
      <c r="H932" t="s">
        <v>206</v>
      </c>
      <c r="I932">
        <v>13</v>
      </c>
      <c r="J932">
        <v>1161.17</v>
      </c>
      <c r="K932">
        <v>0</v>
      </c>
      <c r="L932" t="s">
        <v>210</v>
      </c>
      <c r="M932">
        <v>1</v>
      </c>
    </row>
    <row r="933" spans="1:13" x14ac:dyDescent="0.3">
      <c r="A933" t="s">
        <v>1142</v>
      </c>
      <c r="B933">
        <v>57</v>
      </c>
      <c r="C933" s="1">
        <v>44974</v>
      </c>
      <c r="D933">
        <v>2023</v>
      </c>
      <c r="E933" t="s">
        <v>214</v>
      </c>
      <c r="F933" t="s">
        <v>12</v>
      </c>
      <c r="G933" t="s">
        <v>203</v>
      </c>
      <c r="H933" t="s">
        <v>204</v>
      </c>
      <c r="I933">
        <v>7</v>
      </c>
      <c r="J933">
        <v>870.71</v>
      </c>
      <c r="K933">
        <v>0</v>
      </c>
      <c r="L933" t="s">
        <v>210</v>
      </c>
      <c r="M933">
        <v>0</v>
      </c>
    </row>
    <row r="934" spans="1:13" x14ac:dyDescent="0.3">
      <c r="A934" t="s">
        <v>1143</v>
      </c>
      <c r="B934">
        <v>57</v>
      </c>
      <c r="C934" s="1">
        <v>45004</v>
      </c>
      <c r="D934">
        <v>2023</v>
      </c>
      <c r="E934" t="s">
        <v>219</v>
      </c>
      <c r="F934" t="s">
        <v>199</v>
      </c>
      <c r="G934" t="s">
        <v>200</v>
      </c>
      <c r="H934" t="s">
        <v>195</v>
      </c>
      <c r="I934">
        <v>13</v>
      </c>
      <c r="J934">
        <v>3913.24</v>
      </c>
      <c r="K934">
        <v>1</v>
      </c>
      <c r="L934" t="s">
        <v>196</v>
      </c>
      <c r="M934">
        <v>0</v>
      </c>
    </row>
    <row r="935" spans="1:13" x14ac:dyDescent="0.3">
      <c r="A935" t="s">
        <v>1144</v>
      </c>
      <c r="B935">
        <v>57</v>
      </c>
      <c r="C935" s="1">
        <v>45079</v>
      </c>
      <c r="D935">
        <v>2023</v>
      </c>
      <c r="E935" t="s">
        <v>219</v>
      </c>
      <c r="F935" t="s">
        <v>13</v>
      </c>
      <c r="G935" t="s">
        <v>200</v>
      </c>
      <c r="H935" t="s">
        <v>206</v>
      </c>
      <c r="I935">
        <v>9</v>
      </c>
      <c r="J935">
        <v>2662.31</v>
      </c>
      <c r="K935">
        <v>0</v>
      </c>
      <c r="L935" t="s">
        <v>193</v>
      </c>
      <c r="M935">
        <v>0</v>
      </c>
    </row>
    <row r="936" spans="1:13" x14ac:dyDescent="0.3">
      <c r="A936" t="s">
        <v>1145</v>
      </c>
      <c r="B936">
        <v>57</v>
      </c>
      <c r="C936" s="1">
        <v>45619</v>
      </c>
      <c r="D936">
        <v>2024</v>
      </c>
      <c r="E936" t="s">
        <v>227</v>
      </c>
      <c r="F936" t="s">
        <v>209</v>
      </c>
      <c r="G936" t="s">
        <v>212</v>
      </c>
      <c r="H936" t="s">
        <v>204</v>
      </c>
      <c r="I936">
        <v>8</v>
      </c>
      <c r="J936">
        <v>172.49</v>
      </c>
      <c r="K936">
        <v>0</v>
      </c>
      <c r="L936" t="s">
        <v>215</v>
      </c>
      <c r="M936">
        <v>1</v>
      </c>
    </row>
    <row r="937" spans="1:13" x14ac:dyDescent="0.3">
      <c r="A937" t="s">
        <v>1146</v>
      </c>
      <c r="B937">
        <v>57</v>
      </c>
      <c r="C937" s="1">
        <v>45643</v>
      </c>
      <c r="D937">
        <v>2024</v>
      </c>
      <c r="E937" t="s">
        <v>214</v>
      </c>
      <c r="F937" t="s">
        <v>13</v>
      </c>
      <c r="G937" t="s">
        <v>212</v>
      </c>
      <c r="H937" t="s">
        <v>195</v>
      </c>
      <c r="I937">
        <v>11</v>
      </c>
      <c r="J937">
        <v>2748.52</v>
      </c>
      <c r="K937">
        <v>0</v>
      </c>
      <c r="L937" t="s">
        <v>196</v>
      </c>
      <c r="M937">
        <v>1</v>
      </c>
    </row>
    <row r="938" spans="1:13" x14ac:dyDescent="0.3">
      <c r="A938" t="s">
        <v>1147</v>
      </c>
      <c r="B938">
        <v>57</v>
      </c>
      <c r="C938" s="1">
        <v>45470</v>
      </c>
      <c r="D938">
        <v>2024</v>
      </c>
      <c r="E938" t="s">
        <v>219</v>
      </c>
      <c r="F938" t="s">
        <v>13</v>
      </c>
      <c r="G938" t="s">
        <v>191</v>
      </c>
      <c r="H938" t="s">
        <v>195</v>
      </c>
      <c r="I938">
        <v>11</v>
      </c>
      <c r="J938">
        <v>2554.94</v>
      </c>
      <c r="K938">
        <v>0</v>
      </c>
      <c r="L938" t="s">
        <v>201</v>
      </c>
      <c r="M938">
        <v>0</v>
      </c>
    </row>
    <row r="939" spans="1:13" x14ac:dyDescent="0.3">
      <c r="A939" t="s">
        <v>1148</v>
      </c>
      <c r="B939">
        <v>57</v>
      </c>
      <c r="C939" s="1">
        <v>45337</v>
      </c>
      <c r="D939">
        <v>2024</v>
      </c>
      <c r="E939" t="s">
        <v>219</v>
      </c>
      <c r="F939" t="s">
        <v>13</v>
      </c>
      <c r="G939" t="s">
        <v>212</v>
      </c>
      <c r="H939" t="s">
        <v>195</v>
      </c>
      <c r="I939">
        <v>10</v>
      </c>
      <c r="J939">
        <v>1221.94</v>
      </c>
      <c r="K939">
        <v>0</v>
      </c>
      <c r="L939" t="s">
        <v>193</v>
      </c>
      <c r="M939">
        <v>1</v>
      </c>
    </row>
    <row r="940" spans="1:13" x14ac:dyDescent="0.3">
      <c r="A940" t="s">
        <v>1149</v>
      </c>
      <c r="B940">
        <v>57</v>
      </c>
      <c r="C940" s="1">
        <v>45981</v>
      </c>
      <c r="D940">
        <v>2025</v>
      </c>
      <c r="E940" t="s">
        <v>214</v>
      </c>
      <c r="F940" t="s">
        <v>199</v>
      </c>
      <c r="G940" t="s">
        <v>191</v>
      </c>
      <c r="H940" t="s">
        <v>195</v>
      </c>
      <c r="I940">
        <v>5</v>
      </c>
      <c r="J940">
        <v>4308.0200000000004</v>
      </c>
      <c r="K940">
        <v>1</v>
      </c>
      <c r="L940" t="s">
        <v>193</v>
      </c>
      <c r="M940">
        <v>1</v>
      </c>
    </row>
    <row r="941" spans="1:13" x14ac:dyDescent="0.3">
      <c r="A941" t="s">
        <v>1150</v>
      </c>
      <c r="B941">
        <v>57</v>
      </c>
      <c r="C941" s="1">
        <v>45854</v>
      </c>
      <c r="D941">
        <v>2025</v>
      </c>
      <c r="E941" t="s">
        <v>214</v>
      </c>
      <c r="F941" t="s">
        <v>199</v>
      </c>
      <c r="G941" t="s">
        <v>200</v>
      </c>
      <c r="H941" t="s">
        <v>195</v>
      </c>
      <c r="I941">
        <v>9</v>
      </c>
      <c r="J941">
        <v>3697.01</v>
      </c>
      <c r="K941">
        <v>0</v>
      </c>
      <c r="L941" t="s">
        <v>201</v>
      </c>
      <c r="M941">
        <v>0</v>
      </c>
    </row>
    <row r="942" spans="1:13" x14ac:dyDescent="0.3">
      <c r="A942" t="s">
        <v>1151</v>
      </c>
      <c r="B942">
        <v>57</v>
      </c>
      <c r="C942" s="1">
        <v>45866</v>
      </c>
      <c r="D942">
        <v>2025</v>
      </c>
      <c r="E942" t="s">
        <v>190</v>
      </c>
      <c r="F942" t="s">
        <v>13</v>
      </c>
      <c r="G942" t="s">
        <v>191</v>
      </c>
      <c r="H942" t="s">
        <v>192</v>
      </c>
      <c r="I942">
        <v>6</v>
      </c>
      <c r="J942">
        <v>1239.3599999999999</v>
      </c>
      <c r="K942">
        <v>0</v>
      </c>
      <c r="L942" t="s">
        <v>196</v>
      </c>
      <c r="M942">
        <v>0</v>
      </c>
    </row>
    <row r="943" spans="1:13" x14ac:dyDescent="0.3">
      <c r="A943" t="s">
        <v>1152</v>
      </c>
      <c r="B943">
        <v>57</v>
      </c>
      <c r="C943" s="1">
        <v>45681</v>
      </c>
      <c r="D943">
        <v>2025</v>
      </c>
      <c r="E943" t="s">
        <v>219</v>
      </c>
      <c r="F943" t="s">
        <v>199</v>
      </c>
      <c r="G943" t="s">
        <v>212</v>
      </c>
      <c r="H943" t="s">
        <v>195</v>
      </c>
      <c r="I943">
        <v>10</v>
      </c>
      <c r="J943">
        <v>7083.67</v>
      </c>
      <c r="K943">
        <v>0</v>
      </c>
      <c r="L943" t="s">
        <v>196</v>
      </c>
      <c r="M943">
        <v>1</v>
      </c>
    </row>
    <row r="944" spans="1:13" x14ac:dyDescent="0.3">
      <c r="A944" t="s">
        <v>1153</v>
      </c>
      <c r="B944">
        <v>58</v>
      </c>
      <c r="C944" s="1">
        <v>44352</v>
      </c>
      <c r="D944">
        <v>2021</v>
      </c>
      <c r="E944" t="s">
        <v>219</v>
      </c>
      <c r="F944" t="s">
        <v>12</v>
      </c>
      <c r="G944" t="s">
        <v>212</v>
      </c>
      <c r="H944" t="s">
        <v>195</v>
      </c>
      <c r="I944">
        <v>12</v>
      </c>
      <c r="J944">
        <v>1278.8900000000001</v>
      </c>
      <c r="K944">
        <v>0</v>
      </c>
      <c r="L944" t="s">
        <v>215</v>
      </c>
      <c r="M944">
        <v>1</v>
      </c>
    </row>
    <row r="945" spans="1:13" x14ac:dyDescent="0.3">
      <c r="A945" t="s">
        <v>1154</v>
      </c>
      <c r="B945">
        <v>58</v>
      </c>
      <c r="C945" s="1">
        <v>44511</v>
      </c>
      <c r="D945">
        <v>2021</v>
      </c>
      <c r="E945" t="s">
        <v>190</v>
      </c>
      <c r="F945" t="s">
        <v>13</v>
      </c>
      <c r="G945" t="s">
        <v>200</v>
      </c>
      <c r="H945" t="s">
        <v>195</v>
      </c>
      <c r="I945">
        <v>16</v>
      </c>
      <c r="J945">
        <v>3883.55</v>
      </c>
      <c r="K945">
        <v>0</v>
      </c>
      <c r="L945" t="s">
        <v>196</v>
      </c>
      <c r="M945">
        <v>0</v>
      </c>
    </row>
    <row r="946" spans="1:13" x14ac:dyDescent="0.3">
      <c r="A946" t="s">
        <v>1155</v>
      </c>
      <c r="B946">
        <v>58</v>
      </c>
      <c r="C946" s="1">
        <v>44277</v>
      </c>
      <c r="D946">
        <v>2021</v>
      </c>
      <c r="E946" t="s">
        <v>225</v>
      </c>
      <c r="F946" t="s">
        <v>13</v>
      </c>
      <c r="G946" t="s">
        <v>200</v>
      </c>
      <c r="H946" t="s">
        <v>195</v>
      </c>
      <c r="I946">
        <v>5</v>
      </c>
      <c r="J946">
        <v>3361.79</v>
      </c>
      <c r="K946">
        <v>0</v>
      </c>
      <c r="L946" t="s">
        <v>193</v>
      </c>
      <c r="M946">
        <v>1</v>
      </c>
    </row>
    <row r="947" spans="1:13" x14ac:dyDescent="0.3">
      <c r="A947" t="s">
        <v>1156</v>
      </c>
      <c r="B947">
        <v>58</v>
      </c>
      <c r="C947" s="1">
        <v>44283</v>
      </c>
      <c r="D947">
        <v>2021</v>
      </c>
      <c r="E947" t="s">
        <v>219</v>
      </c>
      <c r="F947" t="s">
        <v>13</v>
      </c>
      <c r="G947" t="s">
        <v>200</v>
      </c>
      <c r="H947" t="s">
        <v>195</v>
      </c>
      <c r="I947">
        <v>8</v>
      </c>
      <c r="J947">
        <v>2048.69</v>
      </c>
      <c r="K947">
        <v>0</v>
      </c>
      <c r="L947" t="s">
        <v>196</v>
      </c>
      <c r="M947">
        <v>0</v>
      </c>
    </row>
    <row r="948" spans="1:13" x14ac:dyDescent="0.3">
      <c r="A948" t="s">
        <v>1157</v>
      </c>
      <c r="B948">
        <v>58</v>
      </c>
      <c r="C948" s="1">
        <v>44547</v>
      </c>
      <c r="D948">
        <v>2021</v>
      </c>
      <c r="E948" t="s">
        <v>225</v>
      </c>
      <c r="F948" t="s">
        <v>13</v>
      </c>
      <c r="G948" t="s">
        <v>200</v>
      </c>
      <c r="H948" t="s">
        <v>195</v>
      </c>
      <c r="I948">
        <v>2</v>
      </c>
      <c r="J948">
        <v>1369.05</v>
      </c>
      <c r="K948">
        <v>0</v>
      </c>
      <c r="L948" t="s">
        <v>193</v>
      </c>
      <c r="M948">
        <v>0</v>
      </c>
    </row>
    <row r="949" spans="1:13" x14ac:dyDescent="0.3">
      <c r="A949" t="s">
        <v>1158</v>
      </c>
      <c r="B949">
        <v>58</v>
      </c>
      <c r="C949" s="1">
        <v>44910</v>
      </c>
      <c r="D949">
        <v>2022</v>
      </c>
      <c r="E949" t="s">
        <v>198</v>
      </c>
      <c r="F949" t="s">
        <v>199</v>
      </c>
      <c r="G949" t="s">
        <v>203</v>
      </c>
      <c r="H949" t="s">
        <v>206</v>
      </c>
      <c r="I949">
        <v>4</v>
      </c>
      <c r="J949">
        <v>3269.23</v>
      </c>
      <c r="K949">
        <v>1</v>
      </c>
      <c r="L949" t="s">
        <v>196</v>
      </c>
      <c r="M949">
        <v>0</v>
      </c>
    </row>
    <row r="950" spans="1:13" x14ac:dyDescent="0.3">
      <c r="A950" t="s">
        <v>1159</v>
      </c>
      <c r="B950">
        <v>58</v>
      </c>
      <c r="C950" s="1">
        <v>45207</v>
      </c>
      <c r="D950">
        <v>2023</v>
      </c>
      <c r="E950" t="s">
        <v>198</v>
      </c>
      <c r="F950" t="s">
        <v>13</v>
      </c>
      <c r="G950" t="s">
        <v>212</v>
      </c>
      <c r="H950" t="s">
        <v>192</v>
      </c>
      <c r="I950">
        <v>15</v>
      </c>
      <c r="J950">
        <v>3926.28</v>
      </c>
      <c r="K950">
        <v>1</v>
      </c>
      <c r="L950" t="s">
        <v>193</v>
      </c>
      <c r="M950">
        <v>1</v>
      </c>
    </row>
    <row r="951" spans="1:13" x14ac:dyDescent="0.3">
      <c r="A951" t="s">
        <v>1160</v>
      </c>
      <c r="B951">
        <v>58</v>
      </c>
      <c r="C951" s="1">
        <v>45110</v>
      </c>
      <c r="D951">
        <v>2023</v>
      </c>
      <c r="E951" t="s">
        <v>190</v>
      </c>
      <c r="F951" t="s">
        <v>13</v>
      </c>
      <c r="G951" t="s">
        <v>212</v>
      </c>
      <c r="H951" t="s">
        <v>195</v>
      </c>
      <c r="I951">
        <v>9</v>
      </c>
      <c r="J951">
        <v>3461.23</v>
      </c>
      <c r="K951">
        <v>1</v>
      </c>
      <c r="L951" t="s">
        <v>196</v>
      </c>
      <c r="M951">
        <v>1</v>
      </c>
    </row>
    <row r="952" spans="1:13" x14ac:dyDescent="0.3">
      <c r="A952" t="s">
        <v>1161</v>
      </c>
      <c r="B952">
        <v>58</v>
      </c>
      <c r="C952" s="1">
        <v>44997</v>
      </c>
      <c r="D952">
        <v>2023</v>
      </c>
      <c r="E952" t="s">
        <v>190</v>
      </c>
      <c r="F952" t="s">
        <v>13</v>
      </c>
      <c r="G952" t="s">
        <v>212</v>
      </c>
      <c r="H952" t="s">
        <v>206</v>
      </c>
      <c r="I952">
        <v>4</v>
      </c>
      <c r="J952">
        <v>3733.04</v>
      </c>
      <c r="K952">
        <v>1</v>
      </c>
      <c r="L952" t="s">
        <v>196</v>
      </c>
      <c r="M952">
        <v>1</v>
      </c>
    </row>
    <row r="953" spans="1:13" x14ac:dyDescent="0.3">
      <c r="A953" t="s">
        <v>1162</v>
      </c>
      <c r="B953">
        <v>58</v>
      </c>
      <c r="C953" s="1">
        <v>44954</v>
      </c>
      <c r="D953">
        <v>2023</v>
      </c>
      <c r="E953" t="s">
        <v>198</v>
      </c>
      <c r="F953" t="s">
        <v>13</v>
      </c>
      <c r="G953" t="s">
        <v>191</v>
      </c>
      <c r="H953" t="s">
        <v>195</v>
      </c>
      <c r="I953">
        <v>5</v>
      </c>
      <c r="J953">
        <v>2229.58</v>
      </c>
      <c r="K953">
        <v>1</v>
      </c>
      <c r="L953" t="s">
        <v>193</v>
      </c>
      <c r="M953">
        <v>0</v>
      </c>
    </row>
    <row r="954" spans="1:13" x14ac:dyDescent="0.3">
      <c r="A954" t="s">
        <v>1163</v>
      </c>
      <c r="B954">
        <v>58</v>
      </c>
      <c r="C954" s="1">
        <v>44970</v>
      </c>
      <c r="D954">
        <v>2023</v>
      </c>
      <c r="E954" t="s">
        <v>214</v>
      </c>
      <c r="F954" t="s">
        <v>199</v>
      </c>
      <c r="G954" t="s">
        <v>200</v>
      </c>
      <c r="H954" t="s">
        <v>204</v>
      </c>
      <c r="I954">
        <v>17</v>
      </c>
      <c r="J954">
        <v>5928.99</v>
      </c>
      <c r="K954">
        <v>0</v>
      </c>
      <c r="L954" t="s">
        <v>196</v>
      </c>
      <c r="M954">
        <v>0</v>
      </c>
    </row>
    <row r="955" spans="1:13" x14ac:dyDescent="0.3">
      <c r="A955" t="s">
        <v>1164</v>
      </c>
      <c r="B955">
        <v>58</v>
      </c>
      <c r="C955" s="1">
        <v>45027</v>
      </c>
      <c r="D955">
        <v>2023</v>
      </c>
      <c r="E955" t="s">
        <v>190</v>
      </c>
      <c r="F955" t="s">
        <v>199</v>
      </c>
      <c r="G955" t="s">
        <v>203</v>
      </c>
      <c r="H955" t="s">
        <v>195</v>
      </c>
      <c r="I955">
        <v>12</v>
      </c>
      <c r="J955">
        <v>7798.34</v>
      </c>
      <c r="K955">
        <v>0</v>
      </c>
      <c r="L955" t="s">
        <v>210</v>
      </c>
      <c r="M955">
        <v>0</v>
      </c>
    </row>
    <row r="956" spans="1:13" x14ac:dyDescent="0.3">
      <c r="A956" t="s">
        <v>1165</v>
      </c>
      <c r="B956">
        <v>58</v>
      </c>
      <c r="C956" s="1">
        <v>45511</v>
      </c>
      <c r="D956">
        <v>2024</v>
      </c>
      <c r="E956" t="s">
        <v>198</v>
      </c>
      <c r="F956" t="s">
        <v>199</v>
      </c>
      <c r="G956" t="s">
        <v>200</v>
      </c>
      <c r="H956" t="s">
        <v>195</v>
      </c>
      <c r="I956">
        <v>6</v>
      </c>
      <c r="J956">
        <v>7297.99</v>
      </c>
      <c r="K956">
        <v>1</v>
      </c>
      <c r="L956" t="s">
        <v>196</v>
      </c>
      <c r="M956">
        <v>0</v>
      </c>
    </row>
    <row r="957" spans="1:13" x14ac:dyDescent="0.3">
      <c r="A957" t="s">
        <v>1166</v>
      </c>
      <c r="B957">
        <v>58</v>
      </c>
      <c r="C957" s="1">
        <v>45339</v>
      </c>
      <c r="D957">
        <v>2024</v>
      </c>
      <c r="E957" t="s">
        <v>214</v>
      </c>
      <c r="F957" t="s">
        <v>199</v>
      </c>
      <c r="G957" t="s">
        <v>212</v>
      </c>
      <c r="H957" t="s">
        <v>195</v>
      </c>
      <c r="I957">
        <v>14</v>
      </c>
      <c r="J957">
        <v>5224.13</v>
      </c>
      <c r="K957">
        <v>1</v>
      </c>
      <c r="L957" t="s">
        <v>201</v>
      </c>
      <c r="M957">
        <v>1</v>
      </c>
    </row>
    <row r="958" spans="1:13" x14ac:dyDescent="0.3">
      <c r="A958" t="s">
        <v>1167</v>
      </c>
      <c r="B958">
        <v>58</v>
      </c>
      <c r="C958" s="1">
        <v>45624</v>
      </c>
      <c r="D958">
        <v>2024</v>
      </c>
      <c r="E958" t="s">
        <v>287</v>
      </c>
      <c r="F958" t="s">
        <v>199</v>
      </c>
      <c r="G958" t="s">
        <v>200</v>
      </c>
      <c r="H958" t="s">
        <v>192</v>
      </c>
      <c r="I958">
        <v>10</v>
      </c>
      <c r="J958">
        <v>7220.08</v>
      </c>
      <c r="K958">
        <v>0</v>
      </c>
      <c r="L958" t="s">
        <v>193</v>
      </c>
      <c r="M958">
        <v>1</v>
      </c>
    </row>
    <row r="959" spans="1:13" x14ac:dyDescent="0.3">
      <c r="A959" t="s">
        <v>1168</v>
      </c>
      <c r="B959">
        <v>58</v>
      </c>
      <c r="C959" s="1">
        <v>45468</v>
      </c>
      <c r="D959">
        <v>2024</v>
      </c>
      <c r="E959" t="s">
        <v>227</v>
      </c>
      <c r="F959" t="s">
        <v>13</v>
      </c>
      <c r="G959" t="s">
        <v>191</v>
      </c>
      <c r="H959" t="s">
        <v>195</v>
      </c>
      <c r="I959">
        <v>10</v>
      </c>
      <c r="J959">
        <v>3678.27</v>
      </c>
      <c r="K959">
        <v>0</v>
      </c>
      <c r="L959" t="s">
        <v>193</v>
      </c>
      <c r="M959">
        <v>0</v>
      </c>
    </row>
    <row r="960" spans="1:13" x14ac:dyDescent="0.3">
      <c r="A960" t="s">
        <v>1169</v>
      </c>
      <c r="B960">
        <v>58</v>
      </c>
      <c r="C960" s="1">
        <v>45678</v>
      </c>
      <c r="D960">
        <v>2025</v>
      </c>
      <c r="E960" t="s">
        <v>190</v>
      </c>
      <c r="F960" t="s">
        <v>199</v>
      </c>
      <c r="G960" t="s">
        <v>191</v>
      </c>
      <c r="H960" t="s">
        <v>192</v>
      </c>
      <c r="I960">
        <v>9</v>
      </c>
      <c r="J960">
        <v>7115.29</v>
      </c>
      <c r="K960">
        <v>0</v>
      </c>
      <c r="L960" t="s">
        <v>196</v>
      </c>
      <c r="M960">
        <v>1</v>
      </c>
    </row>
    <row r="961" spans="1:13" x14ac:dyDescent="0.3">
      <c r="A961" t="s">
        <v>1170</v>
      </c>
      <c r="B961">
        <v>59</v>
      </c>
      <c r="C961" s="1">
        <v>44296</v>
      </c>
      <c r="D961">
        <v>2021</v>
      </c>
      <c r="E961" t="s">
        <v>219</v>
      </c>
      <c r="F961" t="s">
        <v>13</v>
      </c>
      <c r="G961" t="s">
        <v>212</v>
      </c>
      <c r="H961" t="s">
        <v>204</v>
      </c>
      <c r="I961">
        <v>7</v>
      </c>
      <c r="J961">
        <v>2409.6799999999998</v>
      </c>
      <c r="K961">
        <v>0</v>
      </c>
      <c r="L961" t="s">
        <v>201</v>
      </c>
      <c r="M961">
        <v>1</v>
      </c>
    </row>
    <row r="962" spans="1:13" x14ac:dyDescent="0.3">
      <c r="A962" t="s">
        <v>1171</v>
      </c>
      <c r="B962">
        <v>59</v>
      </c>
      <c r="C962" s="1">
        <v>44447</v>
      </c>
      <c r="D962">
        <v>2021</v>
      </c>
      <c r="E962" t="s">
        <v>214</v>
      </c>
      <c r="F962" t="s">
        <v>12</v>
      </c>
      <c r="G962" t="s">
        <v>200</v>
      </c>
      <c r="H962" t="s">
        <v>195</v>
      </c>
      <c r="I962">
        <v>1</v>
      </c>
      <c r="J962">
        <v>540.69000000000005</v>
      </c>
      <c r="K962">
        <v>0</v>
      </c>
      <c r="L962" t="s">
        <v>215</v>
      </c>
      <c r="M962">
        <v>1</v>
      </c>
    </row>
    <row r="963" spans="1:13" x14ac:dyDescent="0.3">
      <c r="A963" t="s">
        <v>1172</v>
      </c>
      <c r="B963">
        <v>59</v>
      </c>
      <c r="C963" s="1">
        <v>44354</v>
      </c>
      <c r="D963">
        <v>2021</v>
      </c>
      <c r="E963" t="s">
        <v>190</v>
      </c>
      <c r="F963" t="s">
        <v>199</v>
      </c>
      <c r="G963" t="s">
        <v>200</v>
      </c>
      <c r="H963" t="s">
        <v>195</v>
      </c>
      <c r="I963">
        <v>5</v>
      </c>
      <c r="J963">
        <v>3417.72</v>
      </c>
      <c r="K963">
        <v>1</v>
      </c>
      <c r="L963" t="s">
        <v>193</v>
      </c>
      <c r="M963">
        <v>0</v>
      </c>
    </row>
    <row r="964" spans="1:13" x14ac:dyDescent="0.3">
      <c r="A964" t="s">
        <v>1173</v>
      </c>
      <c r="B964">
        <v>59</v>
      </c>
      <c r="C964" s="1">
        <v>44654</v>
      </c>
      <c r="D964">
        <v>2022</v>
      </c>
      <c r="E964" t="s">
        <v>219</v>
      </c>
      <c r="F964" t="s">
        <v>12</v>
      </c>
      <c r="G964" t="s">
        <v>212</v>
      </c>
      <c r="H964" t="s">
        <v>192</v>
      </c>
      <c r="I964">
        <v>2</v>
      </c>
      <c r="J964">
        <v>259.14999999999998</v>
      </c>
      <c r="K964">
        <v>0</v>
      </c>
      <c r="L964" t="s">
        <v>201</v>
      </c>
      <c r="M964">
        <v>1</v>
      </c>
    </row>
    <row r="965" spans="1:13" x14ac:dyDescent="0.3">
      <c r="A965" t="s">
        <v>1174</v>
      </c>
      <c r="B965">
        <v>59</v>
      </c>
      <c r="C965" s="1">
        <v>45283</v>
      </c>
      <c r="D965">
        <v>2023</v>
      </c>
      <c r="E965" t="s">
        <v>219</v>
      </c>
      <c r="F965" t="s">
        <v>13</v>
      </c>
      <c r="G965" t="s">
        <v>203</v>
      </c>
      <c r="H965" t="s">
        <v>195</v>
      </c>
      <c r="I965">
        <v>10</v>
      </c>
      <c r="J965">
        <v>3993.49</v>
      </c>
      <c r="K965">
        <v>1</v>
      </c>
      <c r="L965" t="s">
        <v>201</v>
      </c>
      <c r="M965">
        <v>0</v>
      </c>
    </row>
    <row r="966" spans="1:13" x14ac:dyDescent="0.3">
      <c r="A966" t="s">
        <v>1175</v>
      </c>
      <c r="B966">
        <v>59</v>
      </c>
      <c r="C966" s="1">
        <v>45215</v>
      </c>
      <c r="D966">
        <v>2023</v>
      </c>
      <c r="E966" t="s">
        <v>214</v>
      </c>
      <c r="F966" t="s">
        <v>199</v>
      </c>
      <c r="G966" t="s">
        <v>200</v>
      </c>
      <c r="H966" t="s">
        <v>195</v>
      </c>
      <c r="I966">
        <v>13</v>
      </c>
      <c r="J966">
        <v>7736.65</v>
      </c>
      <c r="K966">
        <v>0</v>
      </c>
      <c r="L966" t="s">
        <v>193</v>
      </c>
      <c r="M966">
        <v>0</v>
      </c>
    </row>
    <row r="967" spans="1:13" x14ac:dyDescent="0.3">
      <c r="A967" t="s">
        <v>1176</v>
      </c>
      <c r="B967">
        <v>59</v>
      </c>
      <c r="C967" s="1">
        <v>45009</v>
      </c>
      <c r="D967">
        <v>2023</v>
      </c>
      <c r="E967" t="s">
        <v>214</v>
      </c>
      <c r="F967" t="s">
        <v>199</v>
      </c>
      <c r="G967" t="s">
        <v>200</v>
      </c>
      <c r="H967" t="s">
        <v>192</v>
      </c>
      <c r="I967">
        <v>14</v>
      </c>
      <c r="J967">
        <v>7955.21</v>
      </c>
      <c r="K967">
        <v>0</v>
      </c>
      <c r="L967" t="s">
        <v>193</v>
      </c>
      <c r="M967">
        <v>0</v>
      </c>
    </row>
    <row r="968" spans="1:13" x14ac:dyDescent="0.3">
      <c r="A968" t="s">
        <v>1177</v>
      </c>
      <c r="B968">
        <v>59</v>
      </c>
      <c r="C968" s="1">
        <v>45439</v>
      </c>
      <c r="D968">
        <v>2024</v>
      </c>
      <c r="E968" t="s">
        <v>190</v>
      </c>
      <c r="F968" t="s">
        <v>209</v>
      </c>
      <c r="G968" t="s">
        <v>203</v>
      </c>
      <c r="H968" t="s">
        <v>195</v>
      </c>
      <c r="I968">
        <v>5</v>
      </c>
      <c r="J968">
        <v>30.97</v>
      </c>
      <c r="K968">
        <v>0</v>
      </c>
      <c r="L968" t="s">
        <v>210</v>
      </c>
      <c r="M968">
        <v>0</v>
      </c>
    </row>
    <row r="969" spans="1:13" x14ac:dyDescent="0.3">
      <c r="A969" t="s">
        <v>1178</v>
      </c>
      <c r="B969">
        <v>59</v>
      </c>
      <c r="C969" s="1">
        <v>45749</v>
      </c>
      <c r="D969">
        <v>2025</v>
      </c>
      <c r="E969" t="s">
        <v>214</v>
      </c>
      <c r="F969" t="s">
        <v>12</v>
      </c>
      <c r="G969" t="s">
        <v>203</v>
      </c>
      <c r="H969" t="s">
        <v>195</v>
      </c>
      <c r="I969">
        <v>11</v>
      </c>
      <c r="J969">
        <v>439.31</v>
      </c>
      <c r="K969">
        <v>0</v>
      </c>
      <c r="L969" t="s">
        <v>210</v>
      </c>
      <c r="M969">
        <v>1</v>
      </c>
    </row>
    <row r="970" spans="1:13" x14ac:dyDescent="0.3">
      <c r="A970" t="s">
        <v>1179</v>
      </c>
      <c r="B970">
        <v>59</v>
      </c>
      <c r="C970" s="1">
        <v>45760</v>
      </c>
      <c r="D970">
        <v>2025</v>
      </c>
      <c r="E970" t="s">
        <v>214</v>
      </c>
      <c r="F970" t="s">
        <v>12</v>
      </c>
      <c r="G970" t="s">
        <v>203</v>
      </c>
      <c r="H970" t="s">
        <v>195</v>
      </c>
      <c r="I970">
        <v>9</v>
      </c>
      <c r="J970">
        <v>979.24</v>
      </c>
      <c r="K970">
        <v>0</v>
      </c>
      <c r="L970" t="s">
        <v>210</v>
      </c>
      <c r="M970">
        <v>0</v>
      </c>
    </row>
    <row r="971" spans="1:13" x14ac:dyDescent="0.3">
      <c r="A971" t="s">
        <v>1180</v>
      </c>
      <c r="B971">
        <v>59</v>
      </c>
      <c r="C971" s="1">
        <v>45659</v>
      </c>
      <c r="D971">
        <v>2025</v>
      </c>
      <c r="E971" t="s">
        <v>198</v>
      </c>
      <c r="F971" t="s">
        <v>13</v>
      </c>
      <c r="G971" t="s">
        <v>200</v>
      </c>
      <c r="H971" t="s">
        <v>195</v>
      </c>
      <c r="I971">
        <v>14</v>
      </c>
      <c r="J971">
        <v>2846.01</v>
      </c>
      <c r="K971">
        <v>1</v>
      </c>
      <c r="L971" t="s">
        <v>193</v>
      </c>
      <c r="M971">
        <v>0</v>
      </c>
    </row>
    <row r="972" spans="1:13" x14ac:dyDescent="0.3">
      <c r="A972" t="s">
        <v>1181</v>
      </c>
      <c r="B972">
        <v>59</v>
      </c>
      <c r="C972" s="1">
        <v>45875</v>
      </c>
      <c r="D972">
        <v>2025</v>
      </c>
      <c r="E972" t="s">
        <v>198</v>
      </c>
      <c r="F972" t="s">
        <v>199</v>
      </c>
      <c r="G972" t="s">
        <v>212</v>
      </c>
      <c r="H972" t="s">
        <v>195</v>
      </c>
      <c r="I972">
        <v>8</v>
      </c>
      <c r="J972">
        <v>5099.38</v>
      </c>
      <c r="K972">
        <v>1</v>
      </c>
      <c r="L972" t="s">
        <v>196</v>
      </c>
      <c r="M972">
        <v>1</v>
      </c>
    </row>
    <row r="973" spans="1:13" x14ac:dyDescent="0.3">
      <c r="A973" t="s">
        <v>1182</v>
      </c>
      <c r="B973">
        <v>59</v>
      </c>
      <c r="C973" s="1">
        <v>45722</v>
      </c>
      <c r="D973">
        <v>2025</v>
      </c>
      <c r="E973" t="s">
        <v>198</v>
      </c>
      <c r="F973" t="s">
        <v>199</v>
      </c>
      <c r="G973" t="s">
        <v>203</v>
      </c>
      <c r="H973" t="s">
        <v>195</v>
      </c>
      <c r="I973">
        <v>8</v>
      </c>
      <c r="J973">
        <v>6404.7</v>
      </c>
      <c r="K973">
        <v>1</v>
      </c>
      <c r="L973" t="s">
        <v>196</v>
      </c>
      <c r="M973">
        <v>0</v>
      </c>
    </row>
    <row r="974" spans="1:13" x14ac:dyDescent="0.3">
      <c r="A974" t="s">
        <v>1183</v>
      </c>
      <c r="B974">
        <v>59</v>
      </c>
      <c r="C974" s="1">
        <v>45873</v>
      </c>
      <c r="D974">
        <v>2025</v>
      </c>
      <c r="E974" t="s">
        <v>219</v>
      </c>
      <c r="F974" t="s">
        <v>199</v>
      </c>
      <c r="G974" t="s">
        <v>191</v>
      </c>
      <c r="H974" t="s">
        <v>195</v>
      </c>
      <c r="I974">
        <v>17</v>
      </c>
      <c r="J974">
        <v>4185.16</v>
      </c>
      <c r="K974">
        <v>1</v>
      </c>
      <c r="L974" t="s">
        <v>193</v>
      </c>
      <c r="M974">
        <v>0</v>
      </c>
    </row>
    <row r="975" spans="1:13" x14ac:dyDescent="0.3">
      <c r="A975" t="s">
        <v>1184</v>
      </c>
      <c r="B975">
        <v>60</v>
      </c>
      <c r="C975" s="1">
        <v>44326</v>
      </c>
      <c r="D975">
        <v>2021</v>
      </c>
      <c r="E975" t="s">
        <v>287</v>
      </c>
      <c r="F975" t="s">
        <v>12</v>
      </c>
      <c r="G975" t="s">
        <v>200</v>
      </c>
      <c r="H975" t="s">
        <v>195</v>
      </c>
      <c r="I975">
        <v>17</v>
      </c>
      <c r="J975">
        <v>430.09</v>
      </c>
      <c r="K975">
        <v>0</v>
      </c>
      <c r="L975" t="s">
        <v>201</v>
      </c>
      <c r="M975">
        <v>0</v>
      </c>
    </row>
    <row r="976" spans="1:13" x14ac:dyDescent="0.3">
      <c r="A976" t="s">
        <v>1185</v>
      </c>
      <c r="B976">
        <v>60</v>
      </c>
      <c r="C976" s="1">
        <v>44232</v>
      </c>
      <c r="D976">
        <v>2021</v>
      </c>
      <c r="E976" t="s">
        <v>198</v>
      </c>
      <c r="F976" t="s">
        <v>13</v>
      </c>
      <c r="G976" t="s">
        <v>200</v>
      </c>
      <c r="H976" t="s">
        <v>195</v>
      </c>
      <c r="I976">
        <v>16</v>
      </c>
      <c r="J976">
        <v>3225.72</v>
      </c>
      <c r="K976">
        <v>1</v>
      </c>
      <c r="L976" t="s">
        <v>201</v>
      </c>
      <c r="M976">
        <v>1</v>
      </c>
    </row>
    <row r="977" spans="1:13" x14ac:dyDescent="0.3">
      <c r="A977" t="s">
        <v>1186</v>
      </c>
      <c r="B977">
        <v>60</v>
      </c>
      <c r="C977" s="1">
        <v>44397</v>
      </c>
      <c r="D977">
        <v>2021</v>
      </c>
      <c r="E977" t="s">
        <v>198</v>
      </c>
      <c r="F977" t="s">
        <v>13</v>
      </c>
      <c r="G977" t="s">
        <v>203</v>
      </c>
      <c r="H977" t="s">
        <v>195</v>
      </c>
      <c r="I977">
        <v>3</v>
      </c>
      <c r="J977">
        <v>1947.42</v>
      </c>
      <c r="K977">
        <v>1</v>
      </c>
      <c r="L977" t="s">
        <v>193</v>
      </c>
      <c r="M977">
        <v>0</v>
      </c>
    </row>
    <row r="978" spans="1:13" x14ac:dyDescent="0.3">
      <c r="A978" t="s">
        <v>1187</v>
      </c>
      <c r="B978">
        <v>60</v>
      </c>
      <c r="C978" s="1">
        <v>44515</v>
      </c>
      <c r="D978">
        <v>2021</v>
      </c>
      <c r="E978" t="s">
        <v>225</v>
      </c>
      <c r="F978" t="s">
        <v>13</v>
      </c>
      <c r="G978" t="s">
        <v>212</v>
      </c>
      <c r="H978" t="s">
        <v>204</v>
      </c>
      <c r="I978">
        <v>11</v>
      </c>
      <c r="J978">
        <v>2034.84</v>
      </c>
      <c r="K978">
        <v>0</v>
      </c>
      <c r="L978" t="s">
        <v>201</v>
      </c>
      <c r="M978">
        <v>1</v>
      </c>
    </row>
    <row r="979" spans="1:13" x14ac:dyDescent="0.3">
      <c r="A979" t="s">
        <v>1188</v>
      </c>
      <c r="B979">
        <v>60</v>
      </c>
      <c r="C979" s="1">
        <v>44605</v>
      </c>
      <c r="D979">
        <v>2022</v>
      </c>
      <c r="E979" t="s">
        <v>214</v>
      </c>
      <c r="F979" t="s">
        <v>209</v>
      </c>
      <c r="G979" t="s">
        <v>212</v>
      </c>
      <c r="H979" t="s">
        <v>204</v>
      </c>
      <c r="I979">
        <v>12</v>
      </c>
      <c r="J979">
        <v>573.04999999999995</v>
      </c>
      <c r="K979">
        <v>0</v>
      </c>
      <c r="L979" t="s">
        <v>215</v>
      </c>
      <c r="M979">
        <v>1</v>
      </c>
    </row>
    <row r="980" spans="1:13" x14ac:dyDescent="0.3">
      <c r="A980" t="s">
        <v>1189</v>
      </c>
      <c r="B980">
        <v>60</v>
      </c>
      <c r="C980" s="1">
        <v>44598</v>
      </c>
      <c r="D980">
        <v>2022</v>
      </c>
      <c r="E980" t="s">
        <v>190</v>
      </c>
      <c r="F980" t="s">
        <v>12</v>
      </c>
      <c r="G980" t="s">
        <v>212</v>
      </c>
      <c r="H980" t="s">
        <v>204</v>
      </c>
      <c r="I980">
        <v>8</v>
      </c>
      <c r="J980">
        <v>606.91999999999996</v>
      </c>
      <c r="K980">
        <v>0</v>
      </c>
      <c r="L980" t="s">
        <v>210</v>
      </c>
      <c r="M980">
        <v>1</v>
      </c>
    </row>
    <row r="981" spans="1:13" x14ac:dyDescent="0.3">
      <c r="A981" t="s">
        <v>1190</v>
      </c>
      <c r="B981">
        <v>60</v>
      </c>
      <c r="C981" s="1">
        <v>45062</v>
      </c>
      <c r="D981">
        <v>2023</v>
      </c>
      <c r="E981" t="s">
        <v>219</v>
      </c>
      <c r="F981" t="s">
        <v>13</v>
      </c>
      <c r="G981" t="s">
        <v>191</v>
      </c>
      <c r="H981" t="s">
        <v>195</v>
      </c>
      <c r="I981">
        <v>5</v>
      </c>
      <c r="J981">
        <v>2263.9</v>
      </c>
      <c r="K981">
        <v>0</v>
      </c>
      <c r="L981" t="s">
        <v>193</v>
      </c>
      <c r="M981">
        <v>0</v>
      </c>
    </row>
    <row r="982" spans="1:13" x14ac:dyDescent="0.3">
      <c r="A982" t="s">
        <v>1191</v>
      </c>
      <c r="B982">
        <v>60</v>
      </c>
      <c r="C982" s="1">
        <v>44943</v>
      </c>
      <c r="D982">
        <v>2023</v>
      </c>
      <c r="E982" t="s">
        <v>219</v>
      </c>
      <c r="F982" t="s">
        <v>12</v>
      </c>
      <c r="G982" t="s">
        <v>203</v>
      </c>
      <c r="H982" t="s">
        <v>192</v>
      </c>
      <c r="I982">
        <v>7</v>
      </c>
      <c r="J982">
        <v>538.4</v>
      </c>
      <c r="K982">
        <v>0</v>
      </c>
      <c r="L982" t="s">
        <v>201</v>
      </c>
      <c r="M982">
        <v>0</v>
      </c>
    </row>
    <row r="983" spans="1:13" x14ac:dyDescent="0.3">
      <c r="A983" t="s">
        <v>1192</v>
      </c>
      <c r="B983">
        <v>60</v>
      </c>
      <c r="C983" s="1">
        <v>45567</v>
      </c>
      <c r="D983">
        <v>2024</v>
      </c>
      <c r="E983" t="s">
        <v>219</v>
      </c>
      <c r="F983" t="s">
        <v>13</v>
      </c>
      <c r="G983" t="s">
        <v>203</v>
      </c>
      <c r="H983" t="s">
        <v>204</v>
      </c>
      <c r="I983">
        <v>10</v>
      </c>
      <c r="J983">
        <v>2713.84</v>
      </c>
      <c r="K983">
        <v>1</v>
      </c>
      <c r="L983" t="s">
        <v>215</v>
      </c>
      <c r="M983">
        <v>1</v>
      </c>
    </row>
    <row r="984" spans="1:13" x14ac:dyDescent="0.3">
      <c r="A984" t="s">
        <v>1193</v>
      </c>
      <c r="B984">
        <v>60</v>
      </c>
      <c r="C984" s="1">
        <v>45395</v>
      </c>
      <c r="D984">
        <v>2024</v>
      </c>
      <c r="E984" t="s">
        <v>190</v>
      </c>
      <c r="F984" t="s">
        <v>13</v>
      </c>
      <c r="G984" t="s">
        <v>203</v>
      </c>
      <c r="H984" t="s">
        <v>195</v>
      </c>
      <c r="I984">
        <v>18</v>
      </c>
      <c r="J984">
        <v>2311.14</v>
      </c>
      <c r="K984">
        <v>1</v>
      </c>
      <c r="L984" t="s">
        <v>201</v>
      </c>
      <c r="M984">
        <v>0</v>
      </c>
    </row>
    <row r="985" spans="1:13" x14ac:dyDescent="0.3">
      <c r="A985" t="s">
        <v>1194</v>
      </c>
      <c r="B985">
        <v>60</v>
      </c>
      <c r="C985" s="1">
        <v>45330</v>
      </c>
      <c r="D985">
        <v>2024</v>
      </c>
      <c r="E985" t="s">
        <v>219</v>
      </c>
      <c r="F985" t="s">
        <v>12</v>
      </c>
      <c r="G985" t="s">
        <v>200</v>
      </c>
      <c r="H985" t="s">
        <v>192</v>
      </c>
      <c r="I985">
        <v>5</v>
      </c>
      <c r="J985">
        <v>460.22</v>
      </c>
      <c r="K985">
        <v>0</v>
      </c>
      <c r="L985" t="s">
        <v>210</v>
      </c>
      <c r="M985">
        <v>1</v>
      </c>
    </row>
    <row r="986" spans="1:13" x14ac:dyDescent="0.3">
      <c r="A986" t="s">
        <v>1195</v>
      </c>
      <c r="B986">
        <v>60</v>
      </c>
      <c r="C986" s="1">
        <v>45669</v>
      </c>
      <c r="D986">
        <v>2025</v>
      </c>
      <c r="E986" t="s">
        <v>227</v>
      </c>
      <c r="F986" t="s">
        <v>13</v>
      </c>
      <c r="G986" t="s">
        <v>212</v>
      </c>
      <c r="H986" t="s">
        <v>204</v>
      </c>
      <c r="I986">
        <v>18</v>
      </c>
      <c r="J986">
        <v>3379.84</v>
      </c>
      <c r="K986">
        <v>1</v>
      </c>
      <c r="L986" t="s">
        <v>201</v>
      </c>
      <c r="M986">
        <v>1</v>
      </c>
    </row>
    <row r="987" spans="1:13" x14ac:dyDescent="0.3">
      <c r="A987" t="s">
        <v>1196</v>
      </c>
      <c r="B987">
        <v>60</v>
      </c>
      <c r="C987" s="1">
        <v>45877</v>
      </c>
      <c r="D987">
        <v>2025</v>
      </c>
      <c r="E987" t="s">
        <v>219</v>
      </c>
      <c r="F987" t="s">
        <v>209</v>
      </c>
      <c r="G987" t="s">
        <v>212</v>
      </c>
      <c r="H987" t="s">
        <v>195</v>
      </c>
      <c r="I987">
        <v>8</v>
      </c>
      <c r="J987">
        <v>53.99</v>
      </c>
      <c r="K987">
        <v>0</v>
      </c>
      <c r="L987" t="s">
        <v>193</v>
      </c>
      <c r="M987">
        <v>1</v>
      </c>
    </row>
    <row r="988" spans="1:13" x14ac:dyDescent="0.3">
      <c r="A988" t="s">
        <v>1197</v>
      </c>
      <c r="B988">
        <v>60</v>
      </c>
      <c r="C988" s="1">
        <v>45658</v>
      </c>
      <c r="D988">
        <v>2025</v>
      </c>
      <c r="E988" t="s">
        <v>198</v>
      </c>
      <c r="F988" t="s">
        <v>13</v>
      </c>
      <c r="G988" t="s">
        <v>191</v>
      </c>
      <c r="H988" t="s">
        <v>192</v>
      </c>
      <c r="I988">
        <v>14</v>
      </c>
      <c r="J988">
        <v>2483.42</v>
      </c>
      <c r="K988">
        <v>1</v>
      </c>
      <c r="L988" t="s">
        <v>201</v>
      </c>
      <c r="M988">
        <v>0</v>
      </c>
    </row>
    <row r="989" spans="1:13" x14ac:dyDescent="0.3">
      <c r="A989" t="s">
        <v>1198</v>
      </c>
      <c r="B989">
        <v>60</v>
      </c>
      <c r="C989" s="1">
        <v>45925</v>
      </c>
      <c r="D989">
        <v>2025</v>
      </c>
      <c r="E989" t="s">
        <v>225</v>
      </c>
      <c r="F989" t="s">
        <v>13</v>
      </c>
      <c r="G989" t="s">
        <v>200</v>
      </c>
      <c r="H989" t="s">
        <v>206</v>
      </c>
      <c r="I989">
        <v>15</v>
      </c>
      <c r="J989">
        <v>2010.52</v>
      </c>
      <c r="K989">
        <v>1</v>
      </c>
      <c r="L989" t="s">
        <v>196</v>
      </c>
      <c r="M989">
        <v>0</v>
      </c>
    </row>
    <row r="990" spans="1:13" x14ac:dyDescent="0.3">
      <c r="A990" t="s">
        <v>1199</v>
      </c>
      <c r="B990">
        <v>61</v>
      </c>
      <c r="C990" s="1">
        <v>44393</v>
      </c>
      <c r="D990">
        <v>2021</v>
      </c>
      <c r="E990" t="s">
        <v>225</v>
      </c>
      <c r="F990" t="s">
        <v>199</v>
      </c>
      <c r="G990" t="s">
        <v>191</v>
      </c>
      <c r="H990" t="s">
        <v>195</v>
      </c>
      <c r="I990">
        <v>13</v>
      </c>
      <c r="J990">
        <v>3153.07</v>
      </c>
      <c r="K990">
        <v>1</v>
      </c>
      <c r="L990" t="s">
        <v>193</v>
      </c>
      <c r="M990">
        <v>1</v>
      </c>
    </row>
    <row r="991" spans="1:13" x14ac:dyDescent="0.3">
      <c r="A991" t="s">
        <v>1200</v>
      </c>
      <c r="B991">
        <v>61</v>
      </c>
      <c r="C991" s="1">
        <v>44231</v>
      </c>
      <c r="D991">
        <v>2021</v>
      </c>
      <c r="E991" t="s">
        <v>214</v>
      </c>
      <c r="F991" t="s">
        <v>209</v>
      </c>
      <c r="G991" t="s">
        <v>212</v>
      </c>
      <c r="H991" t="s">
        <v>195</v>
      </c>
      <c r="I991">
        <v>9</v>
      </c>
      <c r="J991">
        <v>197.84</v>
      </c>
      <c r="K991">
        <v>0</v>
      </c>
      <c r="L991" t="s">
        <v>210</v>
      </c>
      <c r="M991">
        <v>1</v>
      </c>
    </row>
    <row r="992" spans="1:13" x14ac:dyDescent="0.3">
      <c r="A992" t="s">
        <v>1201</v>
      </c>
      <c r="B992">
        <v>61</v>
      </c>
      <c r="C992" s="1">
        <v>44321</v>
      </c>
      <c r="D992">
        <v>2021</v>
      </c>
      <c r="E992" t="s">
        <v>214</v>
      </c>
      <c r="F992" t="s">
        <v>209</v>
      </c>
      <c r="G992" t="s">
        <v>200</v>
      </c>
      <c r="H992" t="s">
        <v>195</v>
      </c>
      <c r="I992">
        <v>7</v>
      </c>
      <c r="J992">
        <v>194.37</v>
      </c>
      <c r="K992">
        <v>0</v>
      </c>
      <c r="L992" t="s">
        <v>215</v>
      </c>
      <c r="M992">
        <v>0</v>
      </c>
    </row>
    <row r="993" spans="1:13" x14ac:dyDescent="0.3">
      <c r="A993" t="s">
        <v>1202</v>
      </c>
      <c r="B993">
        <v>61</v>
      </c>
      <c r="C993" s="1">
        <v>44761</v>
      </c>
      <c r="D993">
        <v>2022</v>
      </c>
      <c r="E993" t="s">
        <v>219</v>
      </c>
      <c r="F993" t="s">
        <v>209</v>
      </c>
      <c r="G993" t="s">
        <v>212</v>
      </c>
      <c r="H993" t="s">
        <v>206</v>
      </c>
      <c r="I993">
        <v>2</v>
      </c>
      <c r="J993">
        <v>517.94000000000005</v>
      </c>
      <c r="K993">
        <v>0</v>
      </c>
      <c r="L993" t="s">
        <v>210</v>
      </c>
      <c r="M993">
        <v>1</v>
      </c>
    </row>
    <row r="994" spans="1:13" x14ac:dyDescent="0.3">
      <c r="A994" t="s">
        <v>1203</v>
      </c>
      <c r="B994">
        <v>61</v>
      </c>
      <c r="C994" s="1">
        <v>44565</v>
      </c>
      <c r="D994">
        <v>2022</v>
      </c>
      <c r="E994" t="s">
        <v>214</v>
      </c>
      <c r="F994" t="s">
        <v>209</v>
      </c>
      <c r="G994" t="s">
        <v>212</v>
      </c>
      <c r="H994" t="s">
        <v>192</v>
      </c>
      <c r="I994">
        <v>6</v>
      </c>
      <c r="J994">
        <v>486.07</v>
      </c>
      <c r="K994">
        <v>0</v>
      </c>
      <c r="L994" t="s">
        <v>210</v>
      </c>
      <c r="M994">
        <v>1</v>
      </c>
    </row>
    <row r="995" spans="1:13" x14ac:dyDescent="0.3">
      <c r="A995" t="s">
        <v>1204</v>
      </c>
      <c r="B995">
        <v>61</v>
      </c>
      <c r="C995" s="1">
        <v>45277</v>
      </c>
      <c r="D995">
        <v>2023</v>
      </c>
      <c r="E995" t="s">
        <v>214</v>
      </c>
      <c r="F995" t="s">
        <v>209</v>
      </c>
      <c r="G995" t="s">
        <v>212</v>
      </c>
      <c r="H995" t="s">
        <v>195</v>
      </c>
      <c r="I995">
        <v>1</v>
      </c>
      <c r="J995">
        <v>553.47</v>
      </c>
      <c r="K995">
        <v>0</v>
      </c>
      <c r="L995" t="s">
        <v>215</v>
      </c>
      <c r="M995">
        <v>1</v>
      </c>
    </row>
    <row r="996" spans="1:13" x14ac:dyDescent="0.3">
      <c r="A996" t="s">
        <v>1205</v>
      </c>
      <c r="B996">
        <v>61</v>
      </c>
      <c r="C996" s="1">
        <v>45353</v>
      </c>
      <c r="D996">
        <v>2024</v>
      </c>
      <c r="E996" t="s">
        <v>219</v>
      </c>
      <c r="F996" t="s">
        <v>13</v>
      </c>
      <c r="G996" t="s">
        <v>200</v>
      </c>
      <c r="H996" t="s">
        <v>195</v>
      </c>
      <c r="I996">
        <v>5</v>
      </c>
      <c r="J996">
        <v>1974.29</v>
      </c>
      <c r="K996">
        <v>0</v>
      </c>
      <c r="L996" t="s">
        <v>201</v>
      </c>
      <c r="M996">
        <v>1</v>
      </c>
    </row>
    <row r="997" spans="1:13" x14ac:dyDescent="0.3">
      <c r="A997" t="s">
        <v>1206</v>
      </c>
      <c r="B997">
        <v>61</v>
      </c>
      <c r="C997" s="1">
        <v>45603</v>
      </c>
      <c r="D997">
        <v>2024</v>
      </c>
      <c r="E997" t="s">
        <v>225</v>
      </c>
      <c r="F997" t="s">
        <v>12</v>
      </c>
      <c r="G997" t="s">
        <v>191</v>
      </c>
      <c r="H997" t="s">
        <v>195</v>
      </c>
      <c r="I997">
        <v>3</v>
      </c>
      <c r="J997">
        <v>818.04</v>
      </c>
      <c r="K997">
        <v>0</v>
      </c>
      <c r="L997" t="s">
        <v>215</v>
      </c>
      <c r="M997">
        <v>0</v>
      </c>
    </row>
    <row r="998" spans="1:13" x14ac:dyDescent="0.3">
      <c r="A998" t="s">
        <v>1207</v>
      </c>
      <c r="B998">
        <v>61</v>
      </c>
      <c r="C998" s="1">
        <v>45540</v>
      </c>
      <c r="D998">
        <v>2024</v>
      </c>
      <c r="E998" t="s">
        <v>219</v>
      </c>
      <c r="F998" t="s">
        <v>12</v>
      </c>
      <c r="G998" t="s">
        <v>212</v>
      </c>
      <c r="H998" t="s">
        <v>204</v>
      </c>
      <c r="I998">
        <v>17</v>
      </c>
      <c r="J998">
        <v>1422.84</v>
      </c>
      <c r="K998">
        <v>0</v>
      </c>
      <c r="L998" t="s">
        <v>196</v>
      </c>
      <c r="M998">
        <v>1</v>
      </c>
    </row>
    <row r="999" spans="1:13" x14ac:dyDescent="0.3">
      <c r="A999" t="s">
        <v>1208</v>
      </c>
      <c r="B999">
        <v>61</v>
      </c>
      <c r="C999" s="1">
        <v>45455</v>
      </c>
      <c r="D999">
        <v>2024</v>
      </c>
      <c r="E999" t="s">
        <v>219</v>
      </c>
      <c r="F999" t="s">
        <v>12</v>
      </c>
      <c r="G999" t="s">
        <v>191</v>
      </c>
      <c r="H999" t="s">
        <v>195</v>
      </c>
      <c r="I999">
        <v>13</v>
      </c>
      <c r="J999">
        <v>1354.21</v>
      </c>
      <c r="K999">
        <v>0</v>
      </c>
      <c r="L999" t="s">
        <v>201</v>
      </c>
      <c r="M999">
        <v>0</v>
      </c>
    </row>
    <row r="1000" spans="1:13" x14ac:dyDescent="0.3">
      <c r="A1000" t="s">
        <v>1209</v>
      </c>
      <c r="B1000">
        <v>61</v>
      </c>
      <c r="C1000" s="1">
        <v>45426</v>
      </c>
      <c r="D1000">
        <v>2024</v>
      </c>
      <c r="E1000" t="s">
        <v>225</v>
      </c>
      <c r="F1000" t="s">
        <v>209</v>
      </c>
      <c r="G1000" t="s">
        <v>203</v>
      </c>
      <c r="H1000" t="s">
        <v>195</v>
      </c>
      <c r="I1000">
        <v>3</v>
      </c>
      <c r="J1000">
        <v>85.99</v>
      </c>
      <c r="K1000">
        <v>0</v>
      </c>
      <c r="L1000" t="s">
        <v>215</v>
      </c>
      <c r="M1000">
        <v>1</v>
      </c>
    </row>
    <row r="1001" spans="1:13" x14ac:dyDescent="0.3">
      <c r="A1001" t="s">
        <v>1210</v>
      </c>
      <c r="B1001">
        <v>61</v>
      </c>
      <c r="C1001" s="1">
        <v>45358</v>
      </c>
      <c r="D1001">
        <v>2024</v>
      </c>
      <c r="E1001" t="s">
        <v>287</v>
      </c>
      <c r="F1001" t="s">
        <v>12</v>
      </c>
      <c r="G1001" t="s">
        <v>212</v>
      </c>
      <c r="H1001" t="s">
        <v>195</v>
      </c>
      <c r="I1001">
        <v>3</v>
      </c>
      <c r="J1001">
        <v>784.02</v>
      </c>
      <c r="K1001">
        <v>0</v>
      </c>
      <c r="L1001" t="s">
        <v>210</v>
      </c>
      <c r="M1001">
        <v>1</v>
      </c>
    </row>
    <row r="1002" spans="1:13" x14ac:dyDescent="0.3">
      <c r="A1002" t="s">
        <v>1211</v>
      </c>
      <c r="B1002">
        <v>61</v>
      </c>
      <c r="C1002" s="1">
        <v>45923</v>
      </c>
      <c r="D1002">
        <v>2025</v>
      </c>
      <c r="E1002" t="s">
        <v>214</v>
      </c>
      <c r="F1002" t="s">
        <v>12</v>
      </c>
      <c r="G1002" t="s">
        <v>203</v>
      </c>
      <c r="H1002" t="s">
        <v>192</v>
      </c>
      <c r="I1002">
        <v>13</v>
      </c>
      <c r="J1002">
        <v>1364.01</v>
      </c>
      <c r="K1002">
        <v>0</v>
      </c>
      <c r="L1002" t="s">
        <v>210</v>
      </c>
      <c r="M1002">
        <v>0</v>
      </c>
    </row>
    <row r="1003" spans="1:13" x14ac:dyDescent="0.3">
      <c r="A1003" t="s">
        <v>1212</v>
      </c>
      <c r="B1003">
        <v>61</v>
      </c>
      <c r="C1003" s="1">
        <v>45993</v>
      </c>
      <c r="D1003">
        <v>2025</v>
      </c>
      <c r="E1003" t="s">
        <v>214</v>
      </c>
      <c r="F1003" t="s">
        <v>13</v>
      </c>
      <c r="G1003" t="s">
        <v>191</v>
      </c>
      <c r="H1003" t="s">
        <v>195</v>
      </c>
      <c r="I1003">
        <v>11</v>
      </c>
      <c r="J1003">
        <v>3475.65</v>
      </c>
      <c r="K1003">
        <v>1</v>
      </c>
      <c r="L1003" t="s">
        <v>201</v>
      </c>
      <c r="M1003">
        <v>0</v>
      </c>
    </row>
    <row r="1004" spans="1:13" x14ac:dyDescent="0.3">
      <c r="A1004" t="s">
        <v>1213</v>
      </c>
      <c r="B1004">
        <v>61</v>
      </c>
      <c r="C1004" s="1">
        <v>45669</v>
      </c>
      <c r="D1004">
        <v>2025</v>
      </c>
      <c r="E1004" t="s">
        <v>219</v>
      </c>
      <c r="F1004" t="s">
        <v>13</v>
      </c>
      <c r="G1004" t="s">
        <v>191</v>
      </c>
      <c r="H1004" t="s">
        <v>195</v>
      </c>
      <c r="I1004">
        <v>10</v>
      </c>
      <c r="J1004">
        <v>1446.7</v>
      </c>
      <c r="K1004">
        <v>1</v>
      </c>
      <c r="L1004" t="s">
        <v>193</v>
      </c>
      <c r="M1004">
        <v>0</v>
      </c>
    </row>
    <row r="1005" spans="1:13" x14ac:dyDescent="0.3">
      <c r="A1005" t="s">
        <v>1214</v>
      </c>
      <c r="B1005">
        <v>61</v>
      </c>
      <c r="C1005" s="1">
        <v>45883</v>
      </c>
      <c r="D1005">
        <v>2025</v>
      </c>
      <c r="E1005" t="s">
        <v>214</v>
      </c>
      <c r="F1005" t="s">
        <v>12</v>
      </c>
      <c r="G1005" t="s">
        <v>212</v>
      </c>
      <c r="H1005" t="s">
        <v>206</v>
      </c>
      <c r="I1005">
        <v>1</v>
      </c>
      <c r="J1005">
        <v>479.09</v>
      </c>
      <c r="K1005">
        <v>1</v>
      </c>
      <c r="L1005" t="s">
        <v>196</v>
      </c>
      <c r="M1005">
        <v>1</v>
      </c>
    </row>
    <row r="1006" spans="1:13" x14ac:dyDescent="0.3">
      <c r="A1006" t="s">
        <v>1215</v>
      </c>
      <c r="B1006">
        <v>61</v>
      </c>
      <c r="C1006" s="1">
        <v>45866</v>
      </c>
      <c r="D1006">
        <v>2025</v>
      </c>
      <c r="E1006" t="s">
        <v>190</v>
      </c>
      <c r="F1006" t="s">
        <v>199</v>
      </c>
      <c r="G1006" t="s">
        <v>191</v>
      </c>
      <c r="H1006" t="s">
        <v>195</v>
      </c>
      <c r="I1006">
        <v>2</v>
      </c>
      <c r="J1006">
        <v>7207.59</v>
      </c>
      <c r="K1006">
        <v>0</v>
      </c>
      <c r="L1006" t="s">
        <v>210</v>
      </c>
      <c r="M1006">
        <v>1</v>
      </c>
    </row>
    <row r="1007" spans="1:13" x14ac:dyDescent="0.3">
      <c r="A1007" t="s">
        <v>1216</v>
      </c>
      <c r="B1007">
        <v>62</v>
      </c>
      <c r="C1007" s="1">
        <v>44405</v>
      </c>
      <c r="D1007">
        <v>2021</v>
      </c>
      <c r="E1007" t="s">
        <v>219</v>
      </c>
      <c r="F1007" t="s">
        <v>12</v>
      </c>
      <c r="G1007" t="s">
        <v>212</v>
      </c>
      <c r="H1007" t="s">
        <v>206</v>
      </c>
      <c r="I1007">
        <v>2</v>
      </c>
      <c r="J1007">
        <v>616.80999999999995</v>
      </c>
      <c r="K1007">
        <v>0</v>
      </c>
      <c r="L1007" t="s">
        <v>210</v>
      </c>
      <c r="M1007">
        <v>1</v>
      </c>
    </row>
    <row r="1008" spans="1:13" x14ac:dyDescent="0.3">
      <c r="A1008" t="s">
        <v>1217</v>
      </c>
      <c r="B1008">
        <v>62</v>
      </c>
      <c r="C1008" s="1">
        <v>44274</v>
      </c>
      <c r="D1008">
        <v>2021</v>
      </c>
      <c r="E1008" t="s">
        <v>214</v>
      </c>
      <c r="F1008" t="s">
        <v>209</v>
      </c>
      <c r="G1008" t="s">
        <v>200</v>
      </c>
      <c r="H1008" t="s">
        <v>192</v>
      </c>
      <c r="I1008">
        <v>6</v>
      </c>
      <c r="J1008">
        <v>559.59</v>
      </c>
      <c r="K1008">
        <v>0</v>
      </c>
      <c r="L1008" t="s">
        <v>215</v>
      </c>
      <c r="M1008">
        <v>0</v>
      </c>
    </row>
    <row r="1009" spans="1:13" x14ac:dyDescent="0.3">
      <c r="A1009" t="s">
        <v>1218</v>
      </c>
      <c r="B1009">
        <v>62</v>
      </c>
      <c r="C1009" s="1">
        <v>44625</v>
      </c>
      <c r="D1009">
        <v>2022</v>
      </c>
      <c r="E1009" t="s">
        <v>214</v>
      </c>
      <c r="F1009" t="s">
        <v>199</v>
      </c>
      <c r="G1009" t="s">
        <v>191</v>
      </c>
      <c r="H1009" t="s">
        <v>195</v>
      </c>
      <c r="I1009">
        <v>13</v>
      </c>
      <c r="J1009">
        <v>4189.8100000000004</v>
      </c>
      <c r="K1009">
        <v>0</v>
      </c>
      <c r="L1009" t="s">
        <v>193</v>
      </c>
      <c r="M1009">
        <v>0</v>
      </c>
    </row>
    <row r="1010" spans="1:13" x14ac:dyDescent="0.3">
      <c r="A1010" t="s">
        <v>1219</v>
      </c>
      <c r="B1010">
        <v>62</v>
      </c>
      <c r="C1010" s="1">
        <v>44624</v>
      </c>
      <c r="D1010">
        <v>2022</v>
      </c>
      <c r="E1010" t="s">
        <v>214</v>
      </c>
      <c r="F1010" t="s">
        <v>12</v>
      </c>
      <c r="G1010" t="s">
        <v>212</v>
      </c>
      <c r="H1010" t="s">
        <v>204</v>
      </c>
      <c r="I1010">
        <v>4</v>
      </c>
      <c r="J1010">
        <v>1005.75</v>
      </c>
      <c r="K1010">
        <v>0</v>
      </c>
      <c r="L1010" t="s">
        <v>210</v>
      </c>
      <c r="M1010">
        <v>1</v>
      </c>
    </row>
    <row r="1011" spans="1:13" x14ac:dyDescent="0.3">
      <c r="A1011" t="s">
        <v>1220</v>
      </c>
      <c r="B1011">
        <v>62</v>
      </c>
      <c r="C1011" s="1">
        <v>44700</v>
      </c>
      <c r="D1011">
        <v>2022</v>
      </c>
      <c r="E1011" t="s">
        <v>190</v>
      </c>
      <c r="F1011" t="s">
        <v>209</v>
      </c>
      <c r="G1011" t="s">
        <v>212</v>
      </c>
      <c r="H1011" t="s">
        <v>204</v>
      </c>
      <c r="I1011">
        <v>2</v>
      </c>
      <c r="J1011">
        <v>480.62</v>
      </c>
      <c r="K1011">
        <v>0</v>
      </c>
      <c r="L1011" t="s">
        <v>210</v>
      </c>
      <c r="M1011">
        <v>1</v>
      </c>
    </row>
    <row r="1012" spans="1:13" x14ac:dyDescent="0.3">
      <c r="A1012" t="s">
        <v>1221</v>
      </c>
      <c r="B1012">
        <v>62</v>
      </c>
      <c r="C1012" s="1">
        <v>44596</v>
      </c>
      <c r="D1012">
        <v>2022</v>
      </c>
      <c r="E1012" t="s">
        <v>190</v>
      </c>
      <c r="F1012" t="s">
        <v>13</v>
      </c>
      <c r="G1012" t="s">
        <v>191</v>
      </c>
      <c r="H1012" t="s">
        <v>195</v>
      </c>
      <c r="I1012">
        <v>5</v>
      </c>
      <c r="J1012">
        <v>1240.92</v>
      </c>
      <c r="K1012">
        <v>0</v>
      </c>
      <c r="L1012" t="s">
        <v>193</v>
      </c>
      <c r="M1012">
        <v>1</v>
      </c>
    </row>
    <row r="1013" spans="1:13" x14ac:dyDescent="0.3">
      <c r="A1013" t="s">
        <v>1222</v>
      </c>
      <c r="B1013">
        <v>62</v>
      </c>
      <c r="C1013" s="1">
        <v>44750</v>
      </c>
      <c r="D1013">
        <v>2022</v>
      </c>
      <c r="E1013" t="s">
        <v>225</v>
      </c>
      <c r="F1013" t="s">
        <v>12</v>
      </c>
      <c r="G1013" t="s">
        <v>212</v>
      </c>
      <c r="H1013" t="s">
        <v>206</v>
      </c>
      <c r="I1013">
        <v>4</v>
      </c>
      <c r="J1013">
        <v>1343.04</v>
      </c>
      <c r="K1013">
        <v>0</v>
      </c>
      <c r="L1013" t="s">
        <v>215</v>
      </c>
      <c r="M1013">
        <v>1</v>
      </c>
    </row>
    <row r="1014" spans="1:13" x14ac:dyDescent="0.3">
      <c r="A1014" t="s">
        <v>1223</v>
      </c>
      <c r="B1014">
        <v>62</v>
      </c>
      <c r="C1014" s="1">
        <v>45186</v>
      </c>
      <c r="D1014">
        <v>2023</v>
      </c>
      <c r="E1014" t="s">
        <v>198</v>
      </c>
      <c r="F1014" t="s">
        <v>199</v>
      </c>
      <c r="G1014" t="s">
        <v>203</v>
      </c>
      <c r="H1014" t="s">
        <v>192</v>
      </c>
      <c r="I1014">
        <v>1</v>
      </c>
      <c r="J1014">
        <v>4728.33</v>
      </c>
      <c r="K1014">
        <v>1</v>
      </c>
      <c r="L1014" t="s">
        <v>210</v>
      </c>
      <c r="M1014">
        <v>1</v>
      </c>
    </row>
    <row r="1015" spans="1:13" x14ac:dyDescent="0.3">
      <c r="A1015" t="s">
        <v>1224</v>
      </c>
      <c r="B1015">
        <v>62</v>
      </c>
      <c r="C1015" s="1">
        <v>44959</v>
      </c>
      <c r="D1015">
        <v>2023</v>
      </c>
      <c r="E1015" t="s">
        <v>198</v>
      </c>
      <c r="F1015" t="s">
        <v>12</v>
      </c>
      <c r="G1015" t="s">
        <v>203</v>
      </c>
      <c r="H1015" t="s">
        <v>192</v>
      </c>
      <c r="I1015">
        <v>4</v>
      </c>
      <c r="J1015">
        <v>598.71</v>
      </c>
      <c r="K1015">
        <v>1</v>
      </c>
      <c r="L1015" t="s">
        <v>196</v>
      </c>
      <c r="M1015">
        <v>1</v>
      </c>
    </row>
    <row r="1016" spans="1:13" x14ac:dyDescent="0.3">
      <c r="A1016" t="s">
        <v>1225</v>
      </c>
      <c r="B1016">
        <v>62</v>
      </c>
      <c r="C1016" s="1">
        <v>44980</v>
      </c>
      <c r="D1016">
        <v>2023</v>
      </c>
      <c r="E1016" t="s">
        <v>225</v>
      </c>
      <c r="F1016" t="s">
        <v>13</v>
      </c>
      <c r="G1016" t="s">
        <v>200</v>
      </c>
      <c r="H1016" t="s">
        <v>195</v>
      </c>
      <c r="I1016">
        <v>15</v>
      </c>
      <c r="J1016">
        <v>2490.0100000000002</v>
      </c>
      <c r="K1016">
        <v>0</v>
      </c>
      <c r="L1016" t="s">
        <v>210</v>
      </c>
      <c r="M1016">
        <v>1</v>
      </c>
    </row>
    <row r="1017" spans="1:13" x14ac:dyDescent="0.3">
      <c r="A1017" t="s">
        <v>1226</v>
      </c>
      <c r="B1017">
        <v>62</v>
      </c>
      <c r="C1017" s="1">
        <v>45293</v>
      </c>
      <c r="D1017">
        <v>2024</v>
      </c>
      <c r="E1017" t="s">
        <v>198</v>
      </c>
      <c r="F1017" t="s">
        <v>209</v>
      </c>
      <c r="G1017" t="s">
        <v>203</v>
      </c>
      <c r="H1017" t="s">
        <v>204</v>
      </c>
      <c r="I1017">
        <v>15</v>
      </c>
      <c r="J1017">
        <v>496.84</v>
      </c>
      <c r="K1017">
        <v>1</v>
      </c>
      <c r="L1017" t="s">
        <v>215</v>
      </c>
      <c r="M1017">
        <v>0</v>
      </c>
    </row>
    <row r="1018" spans="1:13" x14ac:dyDescent="0.3">
      <c r="A1018" t="s">
        <v>1227</v>
      </c>
      <c r="B1018">
        <v>62</v>
      </c>
      <c r="C1018" s="1">
        <v>45348</v>
      </c>
      <c r="D1018">
        <v>2024</v>
      </c>
      <c r="E1018" t="s">
        <v>198</v>
      </c>
      <c r="F1018" t="s">
        <v>13</v>
      </c>
      <c r="G1018" t="s">
        <v>203</v>
      </c>
      <c r="H1018" t="s">
        <v>195</v>
      </c>
      <c r="I1018">
        <v>3</v>
      </c>
      <c r="J1018">
        <v>2424.5300000000002</v>
      </c>
      <c r="K1018">
        <v>1</v>
      </c>
      <c r="L1018" t="s">
        <v>210</v>
      </c>
      <c r="M1018">
        <v>0</v>
      </c>
    </row>
    <row r="1019" spans="1:13" x14ac:dyDescent="0.3">
      <c r="A1019" t="s">
        <v>1228</v>
      </c>
      <c r="B1019">
        <v>62</v>
      </c>
      <c r="C1019" s="1">
        <v>45707</v>
      </c>
      <c r="D1019">
        <v>2025</v>
      </c>
      <c r="E1019" t="s">
        <v>190</v>
      </c>
      <c r="F1019" t="s">
        <v>12</v>
      </c>
      <c r="G1019" t="s">
        <v>191</v>
      </c>
      <c r="H1019" t="s">
        <v>195</v>
      </c>
      <c r="I1019">
        <v>15</v>
      </c>
      <c r="J1019">
        <v>1355.13</v>
      </c>
      <c r="K1019">
        <v>1</v>
      </c>
      <c r="L1019" t="s">
        <v>210</v>
      </c>
      <c r="M1019">
        <v>0</v>
      </c>
    </row>
    <row r="1020" spans="1:13" x14ac:dyDescent="0.3">
      <c r="A1020" t="s">
        <v>1229</v>
      </c>
      <c r="B1020">
        <v>62</v>
      </c>
      <c r="C1020" s="1">
        <v>46011</v>
      </c>
      <c r="D1020">
        <v>2025</v>
      </c>
      <c r="E1020" t="s">
        <v>287</v>
      </c>
      <c r="F1020" t="s">
        <v>199</v>
      </c>
      <c r="G1020" t="s">
        <v>191</v>
      </c>
      <c r="H1020" t="s">
        <v>195</v>
      </c>
      <c r="I1020">
        <v>6</v>
      </c>
      <c r="J1020">
        <v>7018.12</v>
      </c>
      <c r="K1020">
        <v>1</v>
      </c>
      <c r="L1020" t="s">
        <v>196</v>
      </c>
      <c r="M1020">
        <v>0</v>
      </c>
    </row>
    <row r="1021" spans="1:13" x14ac:dyDescent="0.3">
      <c r="A1021" t="s">
        <v>1230</v>
      </c>
      <c r="B1021">
        <v>62</v>
      </c>
      <c r="C1021" s="1">
        <v>45691</v>
      </c>
      <c r="D1021">
        <v>2025</v>
      </c>
      <c r="E1021" t="s">
        <v>198</v>
      </c>
      <c r="F1021" t="s">
        <v>13</v>
      </c>
      <c r="G1021" t="s">
        <v>191</v>
      </c>
      <c r="H1021" t="s">
        <v>204</v>
      </c>
      <c r="I1021">
        <v>10</v>
      </c>
      <c r="J1021">
        <v>3767.87</v>
      </c>
      <c r="K1021">
        <v>1</v>
      </c>
      <c r="L1021" t="s">
        <v>215</v>
      </c>
      <c r="M1021">
        <v>1</v>
      </c>
    </row>
    <row r="1022" spans="1:13" x14ac:dyDescent="0.3">
      <c r="A1022" t="s">
        <v>1231</v>
      </c>
      <c r="B1022">
        <v>63</v>
      </c>
      <c r="C1022" s="1">
        <v>44531</v>
      </c>
      <c r="D1022">
        <v>2021</v>
      </c>
      <c r="E1022" t="s">
        <v>214</v>
      </c>
      <c r="F1022" t="s">
        <v>13</v>
      </c>
      <c r="G1022" t="s">
        <v>212</v>
      </c>
      <c r="H1022" t="s">
        <v>195</v>
      </c>
      <c r="I1022">
        <v>6</v>
      </c>
      <c r="J1022">
        <v>1680.09</v>
      </c>
      <c r="K1022">
        <v>0</v>
      </c>
      <c r="L1022" t="s">
        <v>215</v>
      </c>
      <c r="M1022">
        <v>1</v>
      </c>
    </row>
    <row r="1023" spans="1:13" x14ac:dyDescent="0.3">
      <c r="A1023" t="s">
        <v>1232</v>
      </c>
      <c r="B1023">
        <v>63</v>
      </c>
      <c r="C1023" s="1">
        <v>44378</v>
      </c>
      <c r="D1023">
        <v>2021</v>
      </c>
      <c r="E1023" t="s">
        <v>219</v>
      </c>
      <c r="F1023" t="s">
        <v>12</v>
      </c>
      <c r="G1023" t="s">
        <v>212</v>
      </c>
      <c r="H1023" t="s">
        <v>195</v>
      </c>
      <c r="I1023">
        <v>3</v>
      </c>
      <c r="J1023">
        <v>1293.49</v>
      </c>
      <c r="K1023">
        <v>0</v>
      </c>
      <c r="L1023" t="s">
        <v>201</v>
      </c>
      <c r="M1023">
        <v>1</v>
      </c>
    </row>
    <row r="1024" spans="1:13" x14ac:dyDescent="0.3">
      <c r="A1024" t="s">
        <v>1233</v>
      </c>
      <c r="B1024">
        <v>63</v>
      </c>
      <c r="C1024" s="1">
        <v>44494</v>
      </c>
      <c r="D1024">
        <v>2021</v>
      </c>
      <c r="E1024" t="s">
        <v>219</v>
      </c>
      <c r="F1024" t="s">
        <v>199</v>
      </c>
      <c r="G1024" t="s">
        <v>203</v>
      </c>
      <c r="H1024" t="s">
        <v>195</v>
      </c>
      <c r="I1024">
        <v>5</v>
      </c>
      <c r="J1024">
        <v>3163.38</v>
      </c>
      <c r="K1024">
        <v>0</v>
      </c>
      <c r="L1024" t="s">
        <v>193</v>
      </c>
      <c r="M1024">
        <v>0</v>
      </c>
    </row>
    <row r="1025" spans="1:13" x14ac:dyDescent="0.3">
      <c r="A1025" t="s">
        <v>1234</v>
      </c>
      <c r="B1025">
        <v>63</v>
      </c>
      <c r="C1025" s="1">
        <v>44760</v>
      </c>
      <c r="D1025">
        <v>2022</v>
      </c>
      <c r="E1025" t="s">
        <v>198</v>
      </c>
      <c r="F1025" t="s">
        <v>13</v>
      </c>
      <c r="G1025" t="s">
        <v>200</v>
      </c>
      <c r="H1025" t="s">
        <v>204</v>
      </c>
      <c r="I1025">
        <v>10</v>
      </c>
      <c r="J1025">
        <v>2641.09</v>
      </c>
      <c r="K1025">
        <v>1</v>
      </c>
      <c r="L1025" t="s">
        <v>196</v>
      </c>
      <c r="M1025">
        <v>0</v>
      </c>
    </row>
    <row r="1026" spans="1:13" x14ac:dyDescent="0.3">
      <c r="A1026" t="s">
        <v>1235</v>
      </c>
      <c r="B1026">
        <v>63</v>
      </c>
      <c r="C1026" s="1">
        <v>44727</v>
      </c>
      <c r="D1026">
        <v>2022</v>
      </c>
      <c r="E1026" t="s">
        <v>198</v>
      </c>
      <c r="F1026" t="s">
        <v>199</v>
      </c>
      <c r="G1026" t="s">
        <v>191</v>
      </c>
      <c r="H1026" t="s">
        <v>195</v>
      </c>
      <c r="I1026">
        <v>12</v>
      </c>
      <c r="J1026">
        <v>6891.21</v>
      </c>
      <c r="K1026">
        <v>1</v>
      </c>
      <c r="L1026" t="s">
        <v>193</v>
      </c>
      <c r="M1026">
        <v>1</v>
      </c>
    </row>
    <row r="1027" spans="1:13" x14ac:dyDescent="0.3">
      <c r="A1027" t="s">
        <v>1236</v>
      </c>
      <c r="B1027">
        <v>63</v>
      </c>
      <c r="C1027" s="1">
        <v>44970</v>
      </c>
      <c r="D1027">
        <v>2023</v>
      </c>
      <c r="E1027" t="s">
        <v>190</v>
      </c>
      <c r="F1027" t="s">
        <v>12</v>
      </c>
      <c r="G1027" t="s">
        <v>212</v>
      </c>
      <c r="H1027" t="s">
        <v>195</v>
      </c>
      <c r="I1027">
        <v>11</v>
      </c>
      <c r="J1027">
        <v>819.87</v>
      </c>
      <c r="K1027">
        <v>0</v>
      </c>
      <c r="L1027" t="s">
        <v>201</v>
      </c>
      <c r="M1027">
        <v>1</v>
      </c>
    </row>
    <row r="1028" spans="1:13" x14ac:dyDescent="0.3">
      <c r="A1028" t="s">
        <v>1237</v>
      </c>
      <c r="B1028">
        <v>63</v>
      </c>
      <c r="C1028" s="1">
        <v>45133</v>
      </c>
      <c r="D1028">
        <v>2023</v>
      </c>
      <c r="E1028" t="s">
        <v>190</v>
      </c>
      <c r="F1028" t="s">
        <v>209</v>
      </c>
      <c r="G1028" t="s">
        <v>203</v>
      </c>
      <c r="H1028" t="s">
        <v>192</v>
      </c>
      <c r="I1028">
        <v>16</v>
      </c>
      <c r="J1028">
        <v>589.53</v>
      </c>
      <c r="K1028">
        <v>0</v>
      </c>
      <c r="L1028" t="s">
        <v>193</v>
      </c>
      <c r="M1028">
        <v>1</v>
      </c>
    </row>
    <row r="1029" spans="1:13" x14ac:dyDescent="0.3">
      <c r="A1029" t="s">
        <v>1238</v>
      </c>
      <c r="B1029">
        <v>63</v>
      </c>
      <c r="C1029" s="1">
        <v>44988</v>
      </c>
      <c r="D1029">
        <v>2023</v>
      </c>
      <c r="E1029" t="s">
        <v>190</v>
      </c>
      <c r="F1029" t="s">
        <v>199</v>
      </c>
      <c r="G1029" t="s">
        <v>191</v>
      </c>
      <c r="H1029" t="s">
        <v>192</v>
      </c>
      <c r="I1029">
        <v>6</v>
      </c>
      <c r="J1029">
        <v>2524.27</v>
      </c>
      <c r="K1029">
        <v>0</v>
      </c>
      <c r="L1029" t="s">
        <v>193</v>
      </c>
      <c r="M1029">
        <v>0</v>
      </c>
    </row>
    <row r="1030" spans="1:13" x14ac:dyDescent="0.3">
      <c r="A1030" t="s">
        <v>1239</v>
      </c>
      <c r="B1030">
        <v>63</v>
      </c>
      <c r="C1030" s="1">
        <v>45247</v>
      </c>
      <c r="D1030">
        <v>2023</v>
      </c>
      <c r="E1030" t="s">
        <v>198</v>
      </c>
      <c r="F1030" t="s">
        <v>12</v>
      </c>
      <c r="G1030" t="s">
        <v>212</v>
      </c>
      <c r="H1030" t="s">
        <v>192</v>
      </c>
      <c r="I1030">
        <v>13</v>
      </c>
      <c r="J1030">
        <v>1025</v>
      </c>
      <c r="K1030">
        <v>1</v>
      </c>
      <c r="L1030" t="s">
        <v>196</v>
      </c>
      <c r="M1030">
        <v>1</v>
      </c>
    </row>
    <row r="1031" spans="1:13" x14ac:dyDescent="0.3">
      <c r="A1031" t="s">
        <v>1240</v>
      </c>
      <c r="B1031">
        <v>63</v>
      </c>
      <c r="C1031" s="1">
        <v>45064</v>
      </c>
      <c r="D1031">
        <v>2023</v>
      </c>
      <c r="E1031" t="s">
        <v>219</v>
      </c>
      <c r="F1031" t="s">
        <v>12</v>
      </c>
      <c r="G1031" t="s">
        <v>212</v>
      </c>
      <c r="H1031" t="s">
        <v>192</v>
      </c>
      <c r="I1031">
        <v>8</v>
      </c>
      <c r="J1031">
        <v>1261.8599999999999</v>
      </c>
      <c r="K1031">
        <v>1</v>
      </c>
      <c r="L1031" t="s">
        <v>193</v>
      </c>
      <c r="M1031">
        <v>1</v>
      </c>
    </row>
    <row r="1032" spans="1:13" x14ac:dyDescent="0.3">
      <c r="A1032" t="s">
        <v>1241</v>
      </c>
      <c r="B1032">
        <v>63</v>
      </c>
      <c r="C1032" s="1">
        <v>45296</v>
      </c>
      <c r="D1032">
        <v>2024</v>
      </c>
      <c r="E1032" t="s">
        <v>198</v>
      </c>
      <c r="F1032" t="s">
        <v>199</v>
      </c>
      <c r="G1032" t="s">
        <v>203</v>
      </c>
      <c r="H1032" t="s">
        <v>204</v>
      </c>
      <c r="I1032">
        <v>20</v>
      </c>
      <c r="J1032">
        <v>6700.08</v>
      </c>
      <c r="K1032">
        <v>1</v>
      </c>
      <c r="L1032" t="s">
        <v>196</v>
      </c>
      <c r="M1032">
        <v>0</v>
      </c>
    </row>
    <row r="1033" spans="1:13" x14ac:dyDescent="0.3">
      <c r="A1033" t="s">
        <v>1242</v>
      </c>
      <c r="B1033">
        <v>63</v>
      </c>
      <c r="C1033" s="1">
        <v>45496</v>
      </c>
      <c r="D1033">
        <v>2024</v>
      </c>
      <c r="E1033" t="s">
        <v>214</v>
      </c>
      <c r="F1033" t="s">
        <v>199</v>
      </c>
      <c r="G1033" t="s">
        <v>203</v>
      </c>
      <c r="H1033" t="s">
        <v>195</v>
      </c>
      <c r="I1033">
        <v>1</v>
      </c>
      <c r="J1033">
        <v>2998.93</v>
      </c>
      <c r="K1033">
        <v>0</v>
      </c>
      <c r="L1033" t="s">
        <v>193</v>
      </c>
      <c r="M1033">
        <v>0</v>
      </c>
    </row>
    <row r="1034" spans="1:13" x14ac:dyDescent="0.3">
      <c r="A1034" t="s">
        <v>1243</v>
      </c>
      <c r="B1034">
        <v>63</v>
      </c>
      <c r="C1034" s="1">
        <v>45428</v>
      </c>
      <c r="D1034">
        <v>2024</v>
      </c>
      <c r="E1034" t="s">
        <v>190</v>
      </c>
      <c r="F1034" t="s">
        <v>12</v>
      </c>
      <c r="G1034" t="s">
        <v>212</v>
      </c>
      <c r="H1034" t="s">
        <v>195</v>
      </c>
      <c r="I1034">
        <v>10</v>
      </c>
      <c r="J1034">
        <v>1319.4</v>
      </c>
      <c r="K1034">
        <v>0</v>
      </c>
      <c r="L1034" t="s">
        <v>210</v>
      </c>
      <c r="M1034">
        <v>1</v>
      </c>
    </row>
    <row r="1035" spans="1:13" x14ac:dyDescent="0.3">
      <c r="A1035" t="s">
        <v>1244</v>
      </c>
      <c r="B1035">
        <v>63</v>
      </c>
      <c r="C1035" s="1">
        <v>45546</v>
      </c>
      <c r="D1035">
        <v>2024</v>
      </c>
      <c r="E1035" t="s">
        <v>190</v>
      </c>
      <c r="F1035" t="s">
        <v>199</v>
      </c>
      <c r="G1035" t="s">
        <v>191</v>
      </c>
      <c r="H1035" t="s">
        <v>195</v>
      </c>
      <c r="I1035">
        <v>3</v>
      </c>
      <c r="J1035">
        <v>7491.84</v>
      </c>
      <c r="K1035">
        <v>1</v>
      </c>
      <c r="L1035" t="s">
        <v>196</v>
      </c>
      <c r="M1035">
        <v>0</v>
      </c>
    </row>
    <row r="1036" spans="1:13" x14ac:dyDescent="0.3">
      <c r="A1036" t="s">
        <v>1245</v>
      </c>
      <c r="B1036">
        <v>63</v>
      </c>
      <c r="C1036" s="1">
        <v>45946</v>
      </c>
      <c r="D1036">
        <v>2025</v>
      </c>
      <c r="E1036" t="s">
        <v>219</v>
      </c>
      <c r="F1036" t="s">
        <v>12</v>
      </c>
      <c r="G1036" t="s">
        <v>203</v>
      </c>
      <c r="H1036" t="s">
        <v>195</v>
      </c>
      <c r="I1036">
        <v>13</v>
      </c>
      <c r="J1036">
        <v>1423.61</v>
      </c>
      <c r="K1036">
        <v>0</v>
      </c>
      <c r="L1036" t="s">
        <v>201</v>
      </c>
      <c r="M1036">
        <v>0</v>
      </c>
    </row>
    <row r="1037" spans="1:13" x14ac:dyDescent="0.3">
      <c r="A1037" t="s">
        <v>1246</v>
      </c>
      <c r="B1037">
        <v>63</v>
      </c>
      <c r="C1037" s="1">
        <v>45724</v>
      </c>
      <c r="D1037">
        <v>2025</v>
      </c>
      <c r="E1037" t="s">
        <v>190</v>
      </c>
      <c r="F1037" t="s">
        <v>209</v>
      </c>
      <c r="G1037" t="s">
        <v>212</v>
      </c>
      <c r="H1037" t="s">
        <v>192</v>
      </c>
      <c r="I1037">
        <v>8</v>
      </c>
      <c r="J1037">
        <v>455.03</v>
      </c>
      <c r="K1037">
        <v>0</v>
      </c>
      <c r="L1037" t="s">
        <v>215</v>
      </c>
      <c r="M1037">
        <v>1</v>
      </c>
    </row>
    <row r="1038" spans="1:13" x14ac:dyDescent="0.3">
      <c r="A1038" t="s">
        <v>1247</v>
      </c>
      <c r="B1038">
        <v>63</v>
      </c>
      <c r="C1038" s="1">
        <v>45791</v>
      </c>
      <c r="D1038">
        <v>2025</v>
      </c>
      <c r="E1038" t="s">
        <v>190</v>
      </c>
      <c r="F1038" t="s">
        <v>13</v>
      </c>
      <c r="G1038" t="s">
        <v>200</v>
      </c>
      <c r="H1038" t="s">
        <v>206</v>
      </c>
      <c r="I1038">
        <v>2</v>
      </c>
      <c r="J1038">
        <v>1305.24</v>
      </c>
      <c r="K1038">
        <v>0</v>
      </c>
      <c r="L1038" t="s">
        <v>215</v>
      </c>
      <c r="M1038">
        <v>0</v>
      </c>
    </row>
    <row r="1039" spans="1:13" x14ac:dyDescent="0.3">
      <c r="A1039" t="s">
        <v>1248</v>
      </c>
      <c r="B1039">
        <v>63</v>
      </c>
      <c r="C1039" s="1">
        <v>45700</v>
      </c>
      <c r="D1039">
        <v>2025</v>
      </c>
      <c r="E1039" t="s">
        <v>225</v>
      </c>
      <c r="F1039" t="s">
        <v>12</v>
      </c>
      <c r="G1039" t="s">
        <v>212</v>
      </c>
      <c r="H1039" t="s">
        <v>195</v>
      </c>
      <c r="I1039">
        <v>13</v>
      </c>
      <c r="J1039">
        <v>1051.52</v>
      </c>
      <c r="K1039">
        <v>0</v>
      </c>
      <c r="L1039" t="s">
        <v>201</v>
      </c>
      <c r="M1039">
        <v>1</v>
      </c>
    </row>
    <row r="1040" spans="1:13" x14ac:dyDescent="0.3">
      <c r="A1040" t="s">
        <v>1249</v>
      </c>
      <c r="B1040">
        <v>63</v>
      </c>
      <c r="C1040" s="1">
        <v>45664</v>
      </c>
      <c r="D1040">
        <v>2025</v>
      </c>
      <c r="E1040" t="s">
        <v>227</v>
      </c>
      <c r="F1040" t="s">
        <v>12</v>
      </c>
      <c r="G1040" t="s">
        <v>191</v>
      </c>
      <c r="H1040" t="s">
        <v>192</v>
      </c>
      <c r="I1040">
        <v>6</v>
      </c>
      <c r="J1040">
        <v>1220.4000000000001</v>
      </c>
      <c r="K1040">
        <v>0</v>
      </c>
      <c r="L1040" t="s">
        <v>201</v>
      </c>
      <c r="M1040">
        <v>0</v>
      </c>
    </row>
    <row r="1041" spans="1:13" x14ac:dyDescent="0.3">
      <c r="A1041" t="s">
        <v>1250</v>
      </c>
      <c r="B1041">
        <v>64</v>
      </c>
      <c r="C1041" s="1">
        <v>44467</v>
      </c>
      <c r="D1041">
        <v>2021</v>
      </c>
      <c r="E1041" t="s">
        <v>225</v>
      </c>
      <c r="F1041" t="s">
        <v>13</v>
      </c>
      <c r="G1041" t="s">
        <v>200</v>
      </c>
      <c r="H1041" t="s">
        <v>195</v>
      </c>
      <c r="I1041">
        <v>14</v>
      </c>
      <c r="J1041">
        <v>2687.87</v>
      </c>
      <c r="K1041">
        <v>0</v>
      </c>
      <c r="L1041" t="s">
        <v>215</v>
      </c>
      <c r="M1041">
        <v>0</v>
      </c>
    </row>
    <row r="1042" spans="1:13" x14ac:dyDescent="0.3">
      <c r="A1042" t="s">
        <v>1251</v>
      </c>
      <c r="B1042">
        <v>64</v>
      </c>
      <c r="C1042" s="1">
        <v>44452</v>
      </c>
      <c r="D1042">
        <v>2021</v>
      </c>
      <c r="E1042" t="s">
        <v>287</v>
      </c>
      <c r="F1042" t="s">
        <v>199</v>
      </c>
      <c r="G1042" t="s">
        <v>200</v>
      </c>
      <c r="H1042" t="s">
        <v>195</v>
      </c>
      <c r="I1042">
        <v>8</v>
      </c>
      <c r="J1042">
        <v>4151.42</v>
      </c>
      <c r="K1042">
        <v>0</v>
      </c>
      <c r="L1042" t="s">
        <v>193</v>
      </c>
      <c r="M1042">
        <v>0</v>
      </c>
    </row>
    <row r="1043" spans="1:13" x14ac:dyDescent="0.3">
      <c r="A1043" t="s">
        <v>1252</v>
      </c>
      <c r="B1043">
        <v>64</v>
      </c>
      <c r="C1043" s="1">
        <v>44211</v>
      </c>
      <c r="D1043">
        <v>2021</v>
      </c>
      <c r="E1043" t="s">
        <v>190</v>
      </c>
      <c r="F1043" t="s">
        <v>12</v>
      </c>
      <c r="G1043" t="s">
        <v>203</v>
      </c>
      <c r="H1043" t="s">
        <v>192</v>
      </c>
      <c r="I1043">
        <v>5</v>
      </c>
      <c r="J1043">
        <v>334.5</v>
      </c>
      <c r="K1043">
        <v>0</v>
      </c>
      <c r="L1043" t="s">
        <v>201</v>
      </c>
      <c r="M1043">
        <v>0</v>
      </c>
    </row>
    <row r="1044" spans="1:13" x14ac:dyDescent="0.3">
      <c r="A1044" t="s">
        <v>1253</v>
      </c>
      <c r="B1044">
        <v>64</v>
      </c>
      <c r="C1044" s="1">
        <v>44548</v>
      </c>
      <c r="D1044">
        <v>2021</v>
      </c>
      <c r="E1044" t="s">
        <v>287</v>
      </c>
      <c r="F1044" t="s">
        <v>12</v>
      </c>
      <c r="G1044" t="s">
        <v>212</v>
      </c>
      <c r="H1044" t="s">
        <v>195</v>
      </c>
      <c r="I1044">
        <v>10</v>
      </c>
      <c r="J1044">
        <v>1004.68</v>
      </c>
      <c r="K1044">
        <v>0</v>
      </c>
      <c r="L1044" t="s">
        <v>215</v>
      </c>
      <c r="M1044">
        <v>1</v>
      </c>
    </row>
    <row r="1045" spans="1:13" x14ac:dyDescent="0.3">
      <c r="A1045" t="s">
        <v>1254</v>
      </c>
      <c r="B1045">
        <v>64</v>
      </c>
      <c r="C1045" s="1">
        <v>44547</v>
      </c>
      <c r="D1045">
        <v>2021</v>
      </c>
      <c r="E1045" t="s">
        <v>198</v>
      </c>
      <c r="F1045" t="s">
        <v>13</v>
      </c>
      <c r="G1045" t="s">
        <v>203</v>
      </c>
      <c r="H1045" t="s">
        <v>195</v>
      </c>
      <c r="I1045">
        <v>17</v>
      </c>
      <c r="J1045">
        <v>1090.6300000000001</v>
      </c>
      <c r="K1045">
        <v>1</v>
      </c>
      <c r="L1045" t="s">
        <v>193</v>
      </c>
      <c r="M1045">
        <v>0</v>
      </c>
    </row>
    <row r="1046" spans="1:13" x14ac:dyDescent="0.3">
      <c r="A1046" t="s">
        <v>1255</v>
      </c>
      <c r="B1046">
        <v>64</v>
      </c>
      <c r="C1046" s="1">
        <v>44856</v>
      </c>
      <c r="D1046">
        <v>2022</v>
      </c>
      <c r="E1046" t="s">
        <v>214</v>
      </c>
      <c r="F1046" t="s">
        <v>209</v>
      </c>
      <c r="G1046" t="s">
        <v>212</v>
      </c>
      <c r="H1046" t="s">
        <v>195</v>
      </c>
      <c r="I1046">
        <v>10</v>
      </c>
      <c r="J1046">
        <v>141.19</v>
      </c>
      <c r="K1046">
        <v>0</v>
      </c>
      <c r="L1046" t="s">
        <v>215</v>
      </c>
      <c r="M1046">
        <v>1</v>
      </c>
    </row>
    <row r="1047" spans="1:13" x14ac:dyDescent="0.3">
      <c r="A1047" t="s">
        <v>1256</v>
      </c>
      <c r="B1047">
        <v>64</v>
      </c>
      <c r="C1047" s="1">
        <v>44882</v>
      </c>
      <c r="D1047">
        <v>2022</v>
      </c>
      <c r="E1047" t="s">
        <v>287</v>
      </c>
      <c r="F1047" t="s">
        <v>12</v>
      </c>
      <c r="G1047" t="s">
        <v>200</v>
      </c>
      <c r="H1047" t="s">
        <v>195</v>
      </c>
      <c r="I1047">
        <v>11</v>
      </c>
      <c r="J1047">
        <v>772.65</v>
      </c>
      <c r="K1047">
        <v>0</v>
      </c>
      <c r="L1047" t="s">
        <v>215</v>
      </c>
      <c r="M1047">
        <v>0</v>
      </c>
    </row>
    <row r="1048" spans="1:13" x14ac:dyDescent="0.3">
      <c r="A1048" t="s">
        <v>1257</v>
      </c>
      <c r="B1048">
        <v>64</v>
      </c>
      <c r="C1048" s="1">
        <v>45116</v>
      </c>
      <c r="D1048">
        <v>2023</v>
      </c>
      <c r="E1048" t="s">
        <v>225</v>
      </c>
      <c r="F1048" t="s">
        <v>13</v>
      </c>
      <c r="G1048" t="s">
        <v>203</v>
      </c>
      <c r="H1048" t="s">
        <v>206</v>
      </c>
      <c r="I1048">
        <v>9</v>
      </c>
      <c r="J1048">
        <v>2421.0700000000002</v>
      </c>
      <c r="K1048">
        <v>0</v>
      </c>
      <c r="L1048" t="s">
        <v>215</v>
      </c>
      <c r="M1048">
        <v>1</v>
      </c>
    </row>
    <row r="1049" spans="1:13" x14ac:dyDescent="0.3">
      <c r="A1049" t="s">
        <v>1258</v>
      </c>
      <c r="B1049">
        <v>64</v>
      </c>
      <c r="C1049" s="1">
        <v>45086</v>
      </c>
      <c r="D1049">
        <v>2023</v>
      </c>
      <c r="E1049" t="s">
        <v>198</v>
      </c>
      <c r="F1049" t="s">
        <v>199</v>
      </c>
      <c r="G1049" t="s">
        <v>212</v>
      </c>
      <c r="H1049" t="s">
        <v>204</v>
      </c>
      <c r="I1049">
        <v>6</v>
      </c>
      <c r="J1049">
        <v>3826.82</v>
      </c>
      <c r="K1049">
        <v>1</v>
      </c>
      <c r="L1049" t="s">
        <v>196</v>
      </c>
      <c r="M1049">
        <v>1</v>
      </c>
    </row>
    <row r="1050" spans="1:13" x14ac:dyDescent="0.3">
      <c r="A1050" t="s">
        <v>1259</v>
      </c>
      <c r="B1050">
        <v>64</v>
      </c>
      <c r="C1050" s="1">
        <v>45001</v>
      </c>
      <c r="D1050">
        <v>2023</v>
      </c>
      <c r="E1050" t="s">
        <v>198</v>
      </c>
      <c r="F1050" t="s">
        <v>12</v>
      </c>
      <c r="G1050" t="s">
        <v>212</v>
      </c>
      <c r="H1050" t="s">
        <v>195</v>
      </c>
      <c r="I1050">
        <v>18</v>
      </c>
      <c r="J1050">
        <v>324.55</v>
      </c>
      <c r="K1050">
        <v>1</v>
      </c>
      <c r="L1050" t="s">
        <v>215</v>
      </c>
      <c r="M1050">
        <v>1</v>
      </c>
    </row>
    <row r="1051" spans="1:13" x14ac:dyDescent="0.3">
      <c r="A1051" t="s">
        <v>1260</v>
      </c>
      <c r="B1051">
        <v>64</v>
      </c>
      <c r="C1051" s="1">
        <v>45001</v>
      </c>
      <c r="D1051">
        <v>2023</v>
      </c>
      <c r="E1051" t="s">
        <v>198</v>
      </c>
      <c r="F1051" t="s">
        <v>13</v>
      </c>
      <c r="G1051" t="s">
        <v>191</v>
      </c>
      <c r="H1051" t="s">
        <v>206</v>
      </c>
      <c r="I1051">
        <v>12</v>
      </c>
      <c r="J1051">
        <v>2953.75</v>
      </c>
      <c r="K1051">
        <v>1</v>
      </c>
      <c r="L1051" t="s">
        <v>196</v>
      </c>
      <c r="M1051">
        <v>1</v>
      </c>
    </row>
    <row r="1052" spans="1:13" x14ac:dyDescent="0.3">
      <c r="A1052" t="s">
        <v>1261</v>
      </c>
      <c r="B1052">
        <v>64</v>
      </c>
      <c r="C1052" s="1">
        <v>44971</v>
      </c>
      <c r="D1052">
        <v>2023</v>
      </c>
      <c r="E1052" t="s">
        <v>198</v>
      </c>
      <c r="F1052" t="s">
        <v>13</v>
      </c>
      <c r="G1052" t="s">
        <v>200</v>
      </c>
      <c r="H1052" t="s">
        <v>195</v>
      </c>
      <c r="I1052">
        <v>16</v>
      </c>
      <c r="J1052">
        <v>2115.85</v>
      </c>
      <c r="K1052">
        <v>1</v>
      </c>
      <c r="L1052" t="s">
        <v>196</v>
      </c>
      <c r="M1052">
        <v>0</v>
      </c>
    </row>
    <row r="1053" spans="1:13" x14ac:dyDescent="0.3">
      <c r="A1053" t="s">
        <v>1262</v>
      </c>
      <c r="B1053">
        <v>64</v>
      </c>
      <c r="C1053" s="1">
        <v>45177</v>
      </c>
      <c r="D1053">
        <v>2023</v>
      </c>
      <c r="E1053" t="s">
        <v>198</v>
      </c>
      <c r="F1053" t="s">
        <v>199</v>
      </c>
      <c r="G1053" t="s">
        <v>191</v>
      </c>
      <c r="H1053" t="s">
        <v>192</v>
      </c>
      <c r="I1053">
        <v>4</v>
      </c>
      <c r="J1053">
        <v>5714.83</v>
      </c>
      <c r="K1053">
        <v>1</v>
      </c>
      <c r="L1053" t="s">
        <v>201</v>
      </c>
      <c r="M1053">
        <v>1</v>
      </c>
    </row>
    <row r="1054" spans="1:13" x14ac:dyDescent="0.3">
      <c r="A1054" t="s">
        <v>1263</v>
      </c>
      <c r="B1054">
        <v>64</v>
      </c>
      <c r="C1054" s="1">
        <v>45492</v>
      </c>
      <c r="D1054">
        <v>2024</v>
      </c>
      <c r="E1054" t="s">
        <v>227</v>
      </c>
      <c r="F1054" t="s">
        <v>199</v>
      </c>
      <c r="G1054" t="s">
        <v>200</v>
      </c>
      <c r="H1054" t="s">
        <v>195</v>
      </c>
      <c r="I1054">
        <v>6</v>
      </c>
      <c r="J1054">
        <v>5225.01</v>
      </c>
      <c r="K1054">
        <v>0</v>
      </c>
      <c r="L1054" t="s">
        <v>193</v>
      </c>
      <c r="M1054">
        <v>0</v>
      </c>
    </row>
    <row r="1055" spans="1:13" x14ac:dyDescent="0.3">
      <c r="A1055" t="s">
        <v>1264</v>
      </c>
      <c r="B1055">
        <v>64</v>
      </c>
      <c r="C1055" s="1">
        <v>45337</v>
      </c>
      <c r="D1055">
        <v>2024</v>
      </c>
      <c r="E1055" t="s">
        <v>287</v>
      </c>
      <c r="F1055" t="s">
        <v>209</v>
      </c>
      <c r="G1055" t="s">
        <v>212</v>
      </c>
      <c r="H1055" t="s">
        <v>195</v>
      </c>
      <c r="I1055">
        <v>5</v>
      </c>
      <c r="J1055">
        <v>532.26</v>
      </c>
      <c r="K1055">
        <v>1</v>
      </c>
      <c r="L1055" t="s">
        <v>215</v>
      </c>
      <c r="M1055">
        <v>1</v>
      </c>
    </row>
    <row r="1056" spans="1:13" x14ac:dyDescent="0.3">
      <c r="A1056" t="s">
        <v>1265</v>
      </c>
      <c r="B1056">
        <v>64</v>
      </c>
      <c r="C1056" s="1">
        <v>45293</v>
      </c>
      <c r="D1056">
        <v>2024</v>
      </c>
      <c r="E1056" t="s">
        <v>214</v>
      </c>
      <c r="F1056" t="s">
        <v>209</v>
      </c>
      <c r="G1056" t="s">
        <v>203</v>
      </c>
      <c r="H1056" t="s">
        <v>195</v>
      </c>
      <c r="I1056">
        <v>2</v>
      </c>
      <c r="J1056">
        <v>226.04</v>
      </c>
      <c r="K1056">
        <v>0</v>
      </c>
      <c r="L1056" t="s">
        <v>210</v>
      </c>
      <c r="M1056">
        <v>1</v>
      </c>
    </row>
    <row r="1057" spans="1:13" x14ac:dyDescent="0.3">
      <c r="A1057" t="s">
        <v>1266</v>
      </c>
      <c r="B1057">
        <v>64</v>
      </c>
      <c r="C1057" s="1">
        <v>45939</v>
      </c>
      <c r="D1057">
        <v>2025</v>
      </c>
      <c r="E1057" t="s">
        <v>219</v>
      </c>
      <c r="F1057" t="s">
        <v>209</v>
      </c>
      <c r="G1057" t="s">
        <v>212</v>
      </c>
      <c r="H1057" t="s">
        <v>206</v>
      </c>
      <c r="I1057">
        <v>14</v>
      </c>
      <c r="J1057">
        <v>19.510000000000002</v>
      </c>
      <c r="K1057">
        <v>0</v>
      </c>
      <c r="L1057" t="s">
        <v>210</v>
      </c>
      <c r="M1057">
        <v>1</v>
      </c>
    </row>
    <row r="1058" spans="1:13" x14ac:dyDescent="0.3">
      <c r="A1058" t="s">
        <v>1267</v>
      </c>
      <c r="B1058">
        <v>65</v>
      </c>
      <c r="C1058" s="1">
        <v>44202</v>
      </c>
      <c r="D1058">
        <v>2021</v>
      </c>
      <c r="E1058" t="s">
        <v>190</v>
      </c>
      <c r="F1058" t="s">
        <v>12</v>
      </c>
      <c r="G1058" t="s">
        <v>212</v>
      </c>
      <c r="H1058" t="s">
        <v>204</v>
      </c>
      <c r="I1058">
        <v>5</v>
      </c>
      <c r="J1058">
        <v>656.31</v>
      </c>
      <c r="K1058">
        <v>0</v>
      </c>
      <c r="L1058" t="s">
        <v>210</v>
      </c>
      <c r="M1058">
        <v>1</v>
      </c>
    </row>
    <row r="1059" spans="1:13" x14ac:dyDescent="0.3">
      <c r="A1059" t="s">
        <v>1268</v>
      </c>
      <c r="B1059">
        <v>65</v>
      </c>
      <c r="C1059" s="1">
        <v>44477</v>
      </c>
      <c r="D1059">
        <v>2021</v>
      </c>
      <c r="E1059" t="s">
        <v>214</v>
      </c>
      <c r="F1059" t="s">
        <v>12</v>
      </c>
      <c r="G1059" t="s">
        <v>191</v>
      </c>
      <c r="H1059" t="s">
        <v>195</v>
      </c>
      <c r="I1059">
        <v>16</v>
      </c>
      <c r="J1059">
        <v>926.15</v>
      </c>
      <c r="K1059">
        <v>0</v>
      </c>
      <c r="L1059" t="s">
        <v>201</v>
      </c>
      <c r="M1059">
        <v>0</v>
      </c>
    </row>
    <row r="1060" spans="1:13" x14ac:dyDescent="0.3">
      <c r="A1060" t="s">
        <v>1269</v>
      </c>
      <c r="B1060">
        <v>65</v>
      </c>
      <c r="C1060" s="1">
        <v>44663</v>
      </c>
      <c r="D1060">
        <v>2022</v>
      </c>
      <c r="E1060" t="s">
        <v>190</v>
      </c>
      <c r="F1060" t="s">
        <v>12</v>
      </c>
      <c r="G1060" t="s">
        <v>212</v>
      </c>
      <c r="H1060" t="s">
        <v>192</v>
      </c>
      <c r="I1060">
        <v>12</v>
      </c>
      <c r="J1060">
        <v>324.37</v>
      </c>
      <c r="K1060">
        <v>0</v>
      </c>
      <c r="L1060" t="s">
        <v>210</v>
      </c>
      <c r="M1060">
        <v>1</v>
      </c>
    </row>
    <row r="1061" spans="1:13" x14ac:dyDescent="0.3">
      <c r="A1061" t="s">
        <v>1270</v>
      </c>
      <c r="B1061">
        <v>65</v>
      </c>
      <c r="C1061" s="1">
        <v>44786</v>
      </c>
      <c r="D1061">
        <v>2022</v>
      </c>
      <c r="E1061" t="s">
        <v>190</v>
      </c>
      <c r="F1061" t="s">
        <v>199</v>
      </c>
      <c r="G1061" t="s">
        <v>203</v>
      </c>
      <c r="H1061" t="s">
        <v>195</v>
      </c>
      <c r="I1061">
        <v>4</v>
      </c>
      <c r="J1061">
        <v>6044.87</v>
      </c>
      <c r="K1061">
        <v>0</v>
      </c>
      <c r="L1061" t="s">
        <v>201</v>
      </c>
      <c r="M1061">
        <v>0</v>
      </c>
    </row>
    <row r="1062" spans="1:13" x14ac:dyDescent="0.3">
      <c r="A1062" t="s">
        <v>1271</v>
      </c>
      <c r="B1062">
        <v>65</v>
      </c>
      <c r="C1062" s="1">
        <v>44858</v>
      </c>
      <c r="D1062">
        <v>2022</v>
      </c>
      <c r="E1062" t="s">
        <v>190</v>
      </c>
      <c r="F1062" t="s">
        <v>12</v>
      </c>
      <c r="G1062" t="s">
        <v>212</v>
      </c>
      <c r="H1062" t="s">
        <v>195</v>
      </c>
      <c r="I1062">
        <v>14</v>
      </c>
      <c r="J1062">
        <v>1323.95</v>
      </c>
      <c r="K1062">
        <v>0</v>
      </c>
      <c r="L1062" t="s">
        <v>215</v>
      </c>
      <c r="M1062">
        <v>1</v>
      </c>
    </row>
    <row r="1063" spans="1:13" x14ac:dyDescent="0.3">
      <c r="A1063" t="s">
        <v>1272</v>
      </c>
      <c r="B1063">
        <v>65</v>
      </c>
      <c r="C1063" s="1">
        <v>44766</v>
      </c>
      <c r="D1063">
        <v>2022</v>
      </c>
      <c r="E1063" t="s">
        <v>219</v>
      </c>
      <c r="F1063" t="s">
        <v>12</v>
      </c>
      <c r="G1063" t="s">
        <v>212</v>
      </c>
      <c r="H1063" t="s">
        <v>206</v>
      </c>
      <c r="I1063">
        <v>12</v>
      </c>
      <c r="J1063">
        <v>462.06</v>
      </c>
      <c r="K1063">
        <v>0</v>
      </c>
      <c r="L1063" t="s">
        <v>210</v>
      </c>
      <c r="M1063">
        <v>1</v>
      </c>
    </row>
    <row r="1064" spans="1:13" x14ac:dyDescent="0.3">
      <c r="A1064" t="s">
        <v>1273</v>
      </c>
      <c r="B1064">
        <v>65</v>
      </c>
      <c r="C1064" s="1">
        <v>44611</v>
      </c>
      <c r="D1064">
        <v>2022</v>
      </c>
      <c r="E1064" t="s">
        <v>287</v>
      </c>
      <c r="F1064" t="s">
        <v>199</v>
      </c>
      <c r="G1064" t="s">
        <v>212</v>
      </c>
      <c r="H1064" t="s">
        <v>192</v>
      </c>
      <c r="I1064">
        <v>13</v>
      </c>
      <c r="J1064">
        <v>6744.06</v>
      </c>
      <c r="K1064">
        <v>0</v>
      </c>
      <c r="L1064" t="s">
        <v>201</v>
      </c>
      <c r="M1064">
        <v>1</v>
      </c>
    </row>
    <row r="1065" spans="1:13" x14ac:dyDescent="0.3">
      <c r="A1065" t="s">
        <v>1274</v>
      </c>
      <c r="B1065">
        <v>65</v>
      </c>
      <c r="C1065" s="1">
        <v>44708</v>
      </c>
      <c r="D1065">
        <v>2022</v>
      </c>
      <c r="E1065" t="s">
        <v>214</v>
      </c>
      <c r="F1065" t="s">
        <v>209</v>
      </c>
      <c r="G1065" t="s">
        <v>212</v>
      </c>
      <c r="H1065" t="s">
        <v>195</v>
      </c>
      <c r="I1065">
        <v>15</v>
      </c>
      <c r="J1065">
        <v>20.76</v>
      </c>
      <c r="K1065">
        <v>0</v>
      </c>
      <c r="L1065" t="s">
        <v>193</v>
      </c>
      <c r="M1065">
        <v>1</v>
      </c>
    </row>
    <row r="1066" spans="1:13" x14ac:dyDescent="0.3">
      <c r="A1066" t="s">
        <v>1275</v>
      </c>
      <c r="B1066">
        <v>65</v>
      </c>
      <c r="C1066" s="1">
        <v>45024</v>
      </c>
      <c r="D1066">
        <v>2023</v>
      </c>
      <c r="E1066" t="s">
        <v>214</v>
      </c>
      <c r="F1066" t="s">
        <v>209</v>
      </c>
      <c r="G1066" t="s">
        <v>203</v>
      </c>
      <c r="H1066" t="s">
        <v>192</v>
      </c>
      <c r="I1066">
        <v>12</v>
      </c>
      <c r="J1066">
        <v>24.44</v>
      </c>
      <c r="K1066">
        <v>0</v>
      </c>
      <c r="L1066" t="s">
        <v>215</v>
      </c>
      <c r="M1066">
        <v>1</v>
      </c>
    </row>
    <row r="1067" spans="1:13" x14ac:dyDescent="0.3">
      <c r="A1067" t="s">
        <v>1276</v>
      </c>
      <c r="B1067">
        <v>65</v>
      </c>
      <c r="C1067" s="1">
        <v>45105</v>
      </c>
      <c r="D1067">
        <v>2023</v>
      </c>
      <c r="E1067" t="s">
        <v>190</v>
      </c>
      <c r="F1067" t="s">
        <v>209</v>
      </c>
      <c r="G1067" t="s">
        <v>212</v>
      </c>
      <c r="H1067" t="s">
        <v>195</v>
      </c>
      <c r="I1067">
        <v>10</v>
      </c>
      <c r="J1067">
        <v>202.59</v>
      </c>
      <c r="K1067">
        <v>0</v>
      </c>
      <c r="L1067" t="s">
        <v>215</v>
      </c>
      <c r="M1067">
        <v>1</v>
      </c>
    </row>
    <row r="1068" spans="1:13" x14ac:dyDescent="0.3">
      <c r="A1068" t="s">
        <v>1277</v>
      </c>
      <c r="B1068">
        <v>65</v>
      </c>
      <c r="C1068" s="1">
        <v>45410</v>
      </c>
      <c r="D1068">
        <v>2024</v>
      </c>
      <c r="E1068" t="s">
        <v>219</v>
      </c>
      <c r="F1068" t="s">
        <v>13</v>
      </c>
      <c r="G1068" t="s">
        <v>212</v>
      </c>
      <c r="H1068" t="s">
        <v>204</v>
      </c>
      <c r="I1068">
        <v>4</v>
      </c>
      <c r="J1068">
        <v>1580.92</v>
      </c>
      <c r="K1068">
        <v>0</v>
      </c>
      <c r="L1068" t="s">
        <v>201</v>
      </c>
      <c r="M1068">
        <v>1</v>
      </c>
    </row>
    <row r="1069" spans="1:13" x14ac:dyDescent="0.3">
      <c r="A1069" t="s">
        <v>1278</v>
      </c>
      <c r="B1069">
        <v>65</v>
      </c>
      <c r="C1069" s="1">
        <v>45361</v>
      </c>
      <c r="D1069">
        <v>2024</v>
      </c>
      <c r="E1069" t="s">
        <v>225</v>
      </c>
      <c r="F1069" t="s">
        <v>12</v>
      </c>
      <c r="G1069" t="s">
        <v>200</v>
      </c>
      <c r="H1069" t="s">
        <v>204</v>
      </c>
      <c r="I1069">
        <v>10</v>
      </c>
      <c r="J1069">
        <v>683.52</v>
      </c>
      <c r="K1069">
        <v>0</v>
      </c>
      <c r="L1069" t="s">
        <v>201</v>
      </c>
      <c r="M1069">
        <v>0</v>
      </c>
    </row>
    <row r="1070" spans="1:13" x14ac:dyDescent="0.3">
      <c r="A1070" t="s">
        <v>1279</v>
      </c>
      <c r="B1070">
        <v>65</v>
      </c>
      <c r="C1070" s="1">
        <v>45327</v>
      </c>
      <c r="D1070">
        <v>2024</v>
      </c>
      <c r="E1070" t="s">
        <v>190</v>
      </c>
      <c r="F1070" t="s">
        <v>13</v>
      </c>
      <c r="G1070" t="s">
        <v>191</v>
      </c>
      <c r="H1070" t="s">
        <v>204</v>
      </c>
      <c r="I1070">
        <v>8</v>
      </c>
      <c r="J1070">
        <v>3340.23</v>
      </c>
      <c r="K1070">
        <v>1</v>
      </c>
      <c r="L1070" t="s">
        <v>215</v>
      </c>
      <c r="M1070">
        <v>1</v>
      </c>
    </row>
    <row r="1071" spans="1:13" x14ac:dyDescent="0.3">
      <c r="A1071" t="s">
        <v>1280</v>
      </c>
      <c r="B1071">
        <v>65</v>
      </c>
      <c r="C1071" s="1">
        <v>45950</v>
      </c>
      <c r="D1071">
        <v>2025</v>
      </c>
      <c r="E1071" t="s">
        <v>214</v>
      </c>
      <c r="F1071" t="s">
        <v>209</v>
      </c>
      <c r="G1071" t="s">
        <v>203</v>
      </c>
      <c r="H1071" t="s">
        <v>195</v>
      </c>
      <c r="I1071">
        <v>6</v>
      </c>
      <c r="J1071">
        <v>240.89</v>
      </c>
      <c r="K1071">
        <v>0</v>
      </c>
      <c r="L1071" t="s">
        <v>210</v>
      </c>
      <c r="M1071">
        <v>0</v>
      </c>
    </row>
    <row r="1072" spans="1:13" x14ac:dyDescent="0.3">
      <c r="A1072" t="s">
        <v>1281</v>
      </c>
      <c r="B1072">
        <v>65</v>
      </c>
      <c r="C1072" s="1">
        <v>45783</v>
      </c>
      <c r="D1072">
        <v>2025</v>
      </c>
      <c r="E1072" t="s">
        <v>214</v>
      </c>
      <c r="F1072" t="s">
        <v>209</v>
      </c>
      <c r="G1072" t="s">
        <v>203</v>
      </c>
      <c r="H1072" t="s">
        <v>195</v>
      </c>
      <c r="I1072">
        <v>3</v>
      </c>
      <c r="J1072">
        <v>160.91999999999999</v>
      </c>
      <c r="K1072">
        <v>0</v>
      </c>
      <c r="L1072" t="s">
        <v>210</v>
      </c>
      <c r="M1072">
        <v>0</v>
      </c>
    </row>
    <row r="1073" spans="1:13" x14ac:dyDescent="0.3">
      <c r="A1073" t="s">
        <v>1282</v>
      </c>
      <c r="B1073">
        <v>65</v>
      </c>
      <c r="C1073" s="1">
        <v>45956</v>
      </c>
      <c r="D1073">
        <v>2025</v>
      </c>
      <c r="E1073" t="s">
        <v>214</v>
      </c>
      <c r="F1073" t="s">
        <v>209</v>
      </c>
      <c r="G1073" t="s">
        <v>212</v>
      </c>
      <c r="H1073" t="s">
        <v>206</v>
      </c>
      <c r="I1073">
        <v>4</v>
      </c>
      <c r="J1073">
        <v>137.44999999999999</v>
      </c>
      <c r="K1073">
        <v>0</v>
      </c>
      <c r="L1073" t="s">
        <v>215</v>
      </c>
      <c r="M1073">
        <v>1</v>
      </c>
    </row>
    <row r="1074" spans="1:13" x14ac:dyDescent="0.3">
      <c r="A1074" t="s">
        <v>1283</v>
      </c>
      <c r="B1074">
        <v>66</v>
      </c>
      <c r="C1074" s="1">
        <v>44269</v>
      </c>
      <c r="D1074">
        <v>2021</v>
      </c>
      <c r="E1074" t="s">
        <v>190</v>
      </c>
      <c r="F1074" t="s">
        <v>209</v>
      </c>
      <c r="G1074" t="s">
        <v>212</v>
      </c>
      <c r="H1074" t="s">
        <v>192</v>
      </c>
      <c r="I1074">
        <v>4</v>
      </c>
      <c r="J1074">
        <v>305.22000000000003</v>
      </c>
      <c r="K1074">
        <v>0</v>
      </c>
      <c r="L1074" t="s">
        <v>210</v>
      </c>
      <c r="M1074">
        <v>1</v>
      </c>
    </row>
    <row r="1075" spans="1:13" x14ac:dyDescent="0.3">
      <c r="A1075" t="s">
        <v>1284</v>
      </c>
      <c r="B1075">
        <v>66</v>
      </c>
      <c r="C1075" s="1">
        <v>44232</v>
      </c>
      <c r="D1075">
        <v>2021</v>
      </c>
      <c r="E1075" t="s">
        <v>219</v>
      </c>
      <c r="F1075" t="s">
        <v>13</v>
      </c>
      <c r="G1075" t="s">
        <v>203</v>
      </c>
      <c r="H1075" t="s">
        <v>195</v>
      </c>
      <c r="I1075">
        <v>8</v>
      </c>
      <c r="J1075">
        <v>3299.36</v>
      </c>
      <c r="K1075">
        <v>0</v>
      </c>
      <c r="L1075" t="s">
        <v>193</v>
      </c>
      <c r="M1075">
        <v>0</v>
      </c>
    </row>
    <row r="1076" spans="1:13" x14ac:dyDescent="0.3">
      <c r="A1076" t="s">
        <v>1285</v>
      </c>
      <c r="B1076">
        <v>66</v>
      </c>
      <c r="C1076" s="1">
        <v>45178</v>
      </c>
      <c r="D1076">
        <v>2023</v>
      </c>
      <c r="E1076" t="s">
        <v>225</v>
      </c>
      <c r="F1076" t="s">
        <v>209</v>
      </c>
      <c r="G1076" t="s">
        <v>200</v>
      </c>
      <c r="H1076" t="s">
        <v>206</v>
      </c>
      <c r="I1076">
        <v>3</v>
      </c>
      <c r="J1076">
        <v>63.54</v>
      </c>
      <c r="K1076">
        <v>0</v>
      </c>
      <c r="L1076" t="s">
        <v>215</v>
      </c>
      <c r="M1076">
        <v>0</v>
      </c>
    </row>
    <row r="1077" spans="1:13" x14ac:dyDescent="0.3">
      <c r="A1077" t="s">
        <v>1286</v>
      </c>
      <c r="B1077">
        <v>66</v>
      </c>
      <c r="C1077" s="1">
        <v>44937</v>
      </c>
      <c r="D1077">
        <v>2023</v>
      </c>
      <c r="E1077" t="s">
        <v>214</v>
      </c>
      <c r="F1077" t="s">
        <v>209</v>
      </c>
      <c r="G1077" t="s">
        <v>212</v>
      </c>
      <c r="H1077" t="s">
        <v>195</v>
      </c>
      <c r="I1077">
        <v>7</v>
      </c>
      <c r="J1077">
        <v>383.91</v>
      </c>
      <c r="K1077">
        <v>0</v>
      </c>
      <c r="L1077" t="s">
        <v>215</v>
      </c>
      <c r="M1077">
        <v>1</v>
      </c>
    </row>
    <row r="1078" spans="1:13" x14ac:dyDescent="0.3">
      <c r="A1078" t="s">
        <v>1287</v>
      </c>
      <c r="B1078">
        <v>66</v>
      </c>
      <c r="C1078" s="1">
        <v>44943</v>
      </c>
      <c r="D1078">
        <v>2023</v>
      </c>
      <c r="E1078" t="s">
        <v>198</v>
      </c>
      <c r="F1078" t="s">
        <v>13</v>
      </c>
      <c r="G1078" t="s">
        <v>203</v>
      </c>
      <c r="H1078" t="s">
        <v>204</v>
      </c>
      <c r="I1078">
        <v>3</v>
      </c>
      <c r="J1078">
        <v>1380.55</v>
      </c>
      <c r="K1078">
        <v>1</v>
      </c>
      <c r="L1078" t="s">
        <v>193</v>
      </c>
      <c r="M1078">
        <v>0</v>
      </c>
    </row>
    <row r="1079" spans="1:13" x14ac:dyDescent="0.3">
      <c r="A1079" t="s">
        <v>1288</v>
      </c>
      <c r="B1079">
        <v>66</v>
      </c>
      <c r="C1079" s="1">
        <v>45553</v>
      </c>
      <c r="D1079">
        <v>2024</v>
      </c>
      <c r="E1079" t="s">
        <v>214</v>
      </c>
      <c r="F1079" t="s">
        <v>199</v>
      </c>
      <c r="G1079" t="s">
        <v>212</v>
      </c>
      <c r="H1079" t="s">
        <v>206</v>
      </c>
      <c r="I1079">
        <v>3</v>
      </c>
      <c r="J1079">
        <v>6352.27</v>
      </c>
      <c r="K1079">
        <v>0</v>
      </c>
      <c r="L1079" t="s">
        <v>196</v>
      </c>
      <c r="M1079">
        <v>1</v>
      </c>
    </row>
    <row r="1080" spans="1:13" x14ac:dyDescent="0.3">
      <c r="A1080" t="s">
        <v>1289</v>
      </c>
      <c r="B1080">
        <v>66</v>
      </c>
      <c r="C1080" s="1">
        <v>45375</v>
      </c>
      <c r="D1080">
        <v>2024</v>
      </c>
      <c r="E1080" t="s">
        <v>287</v>
      </c>
      <c r="F1080" t="s">
        <v>209</v>
      </c>
      <c r="G1080" t="s">
        <v>212</v>
      </c>
      <c r="H1080" t="s">
        <v>206</v>
      </c>
      <c r="I1080">
        <v>8</v>
      </c>
      <c r="J1080">
        <v>24.87</v>
      </c>
      <c r="K1080">
        <v>0</v>
      </c>
      <c r="L1080" t="s">
        <v>201</v>
      </c>
      <c r="M1080">
        <v>1</v>
      </c>
    </row>
    <row r="1081" spans="1:13" x14ac:dyDescent="0.3">
      <c r="A1081" t="s">
        <v>1290</v>
      </c>
      <c r="B1081">
        <v>66</v>
      </c>
      <c r="C1081" s="1">
        <v>45572</v>
      </c>
      <c r="D1081">
        <v>2024</v>
      </c>
      <c r="E1081" t="s">
        <v>287</v>
      </c>
      <c r="F1081" t="s">
        <v>199</v>
      </c>
      <c r="G1081" t="s">
        <v>191</v>
      </c>
      <c r="H1081" t="s">
        <v>195</v>
      </c>
      <c r="I1081">
        <v>3</v>
      </c>
      <c r="J1081">
        <v>7923.98</v>
      </c>
      <c r="K1081">
        <v>0</v>
      </c>
      <c r="L1081" t="s">
        <v>196</v>
      </c>
      <c r="M1081">
        <v>1</v>
      </c>
    </row>
    <row r="1082" spans="1:13" x14ac:dyDescent="0.3">
      <c r="A1082" t="s">
        <v>1291</v>
      </c>
      <c r="B1082">
        <v>67</v>
      </c>
      <c r="C1082" s="1">
        <v>44631</v>
      </c>
      <c r="D1082">
        <v>2022</v>
      </c>
      <c r="E1082" t="s">
        <v>219</v>
      </c>
      <c r="F1082" t="s">
        <v>12</v>
      </c>
      <c r="G1082" t="s">
        <v>203</v>
      </c>
      <c r="H1082" t="s">
        <v>204</v>
      </c>
      <c r="I1082">
        <v>9</v>
      </c>
      <c r="J1082">
        <v>321.66000000000003</v>
      </c>
      <c r="K1082">
        <v>0</v>
      </c>
      <c r="L1082" t="s">
        <v>201</v>
      </c>
      <c r="M1082">
        <v>1</v>
      </c>
    </row>
    <row r="1083" spans="1:13" x14ac:dyDescent="0.3">
      <c r="A1083" t="s">
        <v>1292</v>
      </c>
      <c r="B1083">
        <v>67</v>
      </c>
      <c r="C1083" s="1">
        <v>45277</v>
      </c>
      <c r="D1083">
        <v>2023</v>
      </c>
      <c r="E1083" t="s">
        <v>219</v>
      </c>
      <c r="F1083" t="s">
        <v>13</v>
      </c>
      <c r="G1083" t="s">
        <v>212</v>
      </c>
      <c r="H1083" t="s">
        <v>206</v>
      </c>
      <c r="I1083">
        <v>10</v>
      </c>
      <c r="J1083">
        <v>1961.92</v>
      </c>
      <c r="K1083">
        <v>0</v>
      </c>
      <c r="L1083" t="s">
        <v>210</v>
      </c>
      <c r="M1083">
        <v>1</v>
      </c>
    </row>
    <row r="1084" spans="1:13" x14ac:dyDescent="0.3">
      <c r="A1084" t="s">
        <v>1293</v>
      </c>
      <c r="B1084">
        <v>67</v>
      </c>
      <c r="C1084" s="1">
        <v>44998</v>
      </c>
      <c r="D1084">
        <v>2023</v>
      </c>
      <c r="E1084" t="s">
        <v>190</v>
      </c>
      <c r="F1084" t="s">
        <v>209</v>
      </c>
      <c r="G1084" t="s">
        <v>212</v>
      </c>
      <c r="H1084" t="s">
        <v>204</v>
      </c>
      <c r="I1084">
        <v>3</v>
      </c>
      <c r="J1084">
        <v>75.2</v>
      </c>
      <c r="K1084">
        <v>0</v>
      </c>
      <c r="L1084" t="s">
        <v>215</v>
      </c>
      <c r="M1084">
        <v>1</v>
      </c>
    </row>
    <row r="1085" spans="1:13" x14ac:dyDescent="0.3">
      <c r="A1085" t="s">
        <v>1294</v>
      </c>
      <c r="B1085">
        <v>67</v>
      </c>
      <c r="C1085" s="1">
        <v>45410</v>
      </c>
      <c r="D1085">
        <v>2024</v>
      </c>
      <c r="E1085" t="s">
        <v>190</v>
      </c>
      <c r="F1085" t="s">
        <v>13</v>
      </c>
      <c r="G1085" t="s">
        <v>191</v>
      </c>
      <c r="H1085" t="s">
        <v>195</v>
      </c>
      <c r="I1085">
        <v>3</v>
      </c>
      <c r="J1085">
        <v>2756.81</v>
      </c>
      <c r="K1085">
        <v>0</v>
      </c>
      <c r="L1085" t="s">
        <v>215</v>
      </c>
      <c r="M1085">
        <v>0</v>
      </c>
    </row>
    <row r="1086" spans="1:13" x14ac:dyDescent="0.3">
      <c r="A1086" t="s">
        <v>1295</v>
      </c>
      <c r="B1086">
        <v>67</v>
      </c>
      <c r="C1086" s="1">
        <v>45444</v>
      </c>
      <c r="D1086">
        <v>2024</v>
      </c>
      <c r="E1086" t="s">
        <v>190</v>
      </c>
      <c r="F1086" t="s">
        <v>12</v>
      </c>
      <c r="G1086" t="s">
        <v>212</v>
      </c>
      <c r="H1086" t="s">
        <v>206</v>
      </c>
      <c r="I1086">
        <v>11</v>
      </c>
      <c r="J1086">
        <v>1417.28</v>
      </c>
      <c r="K1086">
        <v>0</v>
      </c>
      <c r="L1086" t="s">
        <v>210</v>
      </c>
      <c r="M1086">
        <v>1</v>
      </c>
    </row>
    <row r="1087" spans="1:13" x14ac:dyDescent="0.3">
      <c r="A1087" t="s">
        <v>1296</v>
      </c>
      <c r="B1087">
        <v>67</v>
      </c>
      <c r="C1087" s="1">
        <v>45875</v>
      </c>
      <c r="D1087">
        <v>2025</v>
      </c>
      <c r="E1087" t="s">
        <v>219</v>
      </c>
      <c r="F1087" t="s">
        <v>12</v>
      </c>
      <c r="G1087" t="s">
        <v>212</v>
      </c>
      <c r="H1087" t="s">
        <v>195</v>
      </c>
      <c r="I1087">
        <v>16</v>
      </c>
      <c r="J1087">
        <v>1057.6500000000001</v>
      </c>
      <c r="K1087">
        <v>0</v>
      </c>
      <c r="L1087" t="s">
        <v>210</v>
      </c>
      <c r="M1087">
        <v>1</v>
      </c>
    </row>
    <row r="1088" spans="1:13" x14ac:dyDescent="0.3">
      <c r="A1088" t="s">
        <v>1297</v>
      </c>
      <c r="B1088">
        <v>67</v>
      </c>
      <c r="C1088" s="1">
        <v>45724</v>
      </c>
      <c r="D1088">
        <v>2025</v>
      </c>
      <c r="E1088" t="s">
        <v>287</v>
      </c>
      <c r="F1088" t="s">
        <v>209</v>
      </c>
      <c r="G1088" t="s">
        <v>212</v>
      </c>
      <c r="H1088" t="s">
        <v>195</v>
      </c>
      <c r="I1088">
        <v>12</v>
      </c>
      <c r="J1088">
        <v>6.87</v>
      </c>
      <c r="K1088">
        <v>0</v>
      </c>
      <c r="L1088" t="s">
        <v>215</v>
      </c>
      <c r="M1088">
        <v>1</v>
      </c>
    </row>
    <row r="1089" spans="1:13" x14ac:dyDescent="0.3">
      <c r="A1089" t="s">
        <v>1298</v>
      </c>
      <c r="B1089">
        <v>67</v>
      </c>
      <c r="C1089" s="1">
        <v>45851</v>
      </c>
      <c r="D1089">
        <v>2025</v>
      </c>
      <c r="E1089" t="s">
        <v>214</v>
      </c>
      <c r="F1089" t="s">
        <v>13</v>
      </c>
      <c r="G1089" t="s">
        <v>200</v>
      </c>
      <c r="H1089" t="s">
        <v>192</v>
      </c>
      <c r="I1089">
        <v>15</v>
      </c>
      <c r="J1089">
        <v>1000.74</v>
      </c>
      <c r="K1089">
        <v>0</v>
      </c>
      <c r="L1089" t="s">
        <v>193</v>
      </c>
      <c r="M1089">
        <v>1</v>
      </c>
    </row>
    <row r="1090" spans="1:13" x14ac:dyDescent="0.3">
      <c r="A1090" t="s">
        <v>1299</v>
      </c>
      <c r="B1090">
        <v>67</v>
      </c>
      <c r="C1090" s="1">
        <v>45676</v>
      </c>
      <c r="D1090">
        <v>2025</v>
      </c>
      <c r="E1090" t="s">
        <v>225</v>
      </c>
      <c r="F1090" t="s">
        <v>12</v>
      </c>
      <c r="G1090" t="s">
        <v>200</v>
      </c>
      <c r="H1090" t="s">
        <v>195</v>
      </c>
      <c r="I1090">
        <v>5</v>
      </c>
      <c r="J1090">
        <v>1058.77</v>
      </c>
      <c r="K1090">
        <v>0</v>
      </c>
      <c r="L1090" t="s">
        <v>210</v>
      </c>
      <c r="M1090">
        <v>0</v>
      </c>
    </row>
    <row r="1091" spans="1:13" x14ac:dyDescent="0.3">
      <c r="A1091" t="s">
        <v>1300</v>
      </c>
      <c r="B1091">
        <v>67</v>
      </c>
      <c r="C1091" s="1">
        <v>46016</v>
      </c>
      <c r="D1091">
        <v>2025</v>
      </c>
      <c r="E1091" t="s">
        <v>227</v>
      </c>
      <c r="F1091" t="s">
        <v>12</v>
      </c>
      <c r="G1091" t="s">
        <v>212</v>
      </c>
      <c r="H1091" t="s">
        <v>195</v>
      </c>
      <c r="I1091">
        <v>6</v>
      </c>
      <c r="J1091">
        <v>1023.98</v>
      </c>
      <c r="K1091">
        <v>0</v>
      </c>
      <c r="L1091" t="s">
        <v>215</v>
      </c>
      <c r="M1091">
        <v>1</v>
      </c>
    </row>
    <row r="1092" spans="1:13" x14ac:dyDescent="0.3">
      <c r="A1092" t="s">
        <v>1301</v>
      </c>
      <c r="B1092">
        <v>68</v>
      </c>
      <c r="C1092" s="1">
        <v>44230</v>
      </c>
      <c r="D1092">
        <v>2021</v>
      </c>
      <c r="E1092" t="s">
        <v>287</v>
      </c>
      <c r="F1092" t="s">
        <v>12</v>
      </c>
      <c r="G1092" t="s">
        <v>191</v>
      </c>
      <c r="H1092" t="s">
        <v>195</v>
      </c>
      <c r="I1092">
        <v>11</v>
      </c>
      <c r="J1092">
        <v>774.84</v>
      </c>
      <c r="K1092">
        <v>0</v>
      </c>
      <c r="L1092" t="s">
        <v>196</v>
      </c>
      <c r="M1092">
        <v>0</v>
      </c>
    </row>
    <row r="1093" spans="1:13" x14ac:dyDescent="0.3">
      <c r="A1093" t="s">
        <v>1302</v>
      </c>
      <c r="B1093">
        <v>68</v>
      </c>
      <c r="C1093" s="1">
        <v>44502</v>
      </c>
      <c r="D1093">
        <v>2021</v>
      </c>
      <c r="E1093" t="s">
        <v>225</v>
      </c>
      <c r="F1093" t="s">
        <v>12</v>
      </c>
      <c r="G1093" t="s">
        <v>200</v>
      </c>
      <c r="H1093" t="s">
        <v>192</v>
      </c>
      <c r="I1093">
        <v>10</v>
      </c>
      <c r="J1093">
        <v>772.48</v>
      </c>
      <c r="K1093">
        <v>0</v>
      </c>
      <c r="L1093" t="s">
        <v>196</v>
      </c>
      <c r="M1093">
        <v>0</v>
      </c>
    </row>
    <row r="1094" spans="1:13" x14ac:dyDescent="0.3">
      <c r="A1094" t="s">
        <v>1303</v>
      </c>
      <c r="B1094">
        <v>68</v>
      </c>
      <c r="C1094" s="1">
        <v>44268</v>
      </c>
      <c r="D1094">
        <v>2021</v>
      </c>
      <c r="E1094" t="s">
        <v>214</v>
      </c>
      <c r="F1094" t="s">
        <v>13</v>
      </c>
      <c r="G1094" t="s">
        <v>191</v>
      </c>
      <c r="H1094" t="s">
        <v>195</v>
      </c>
      <c r="I1094">
        <v>10</v>
      </c>
      <c r="J1094">
        <v>1044.18</v>
      </c>
      <c r="K1094">
        <v>0</v>
      </c>
      <c r="L1094" t="s">
        <v>201</v>
      </c>
      <c r="M1094">
        <v>0</v>
      </c>
    </row>
    <row r="1095" spans="1:13" x14ac:dyDescent="0.3">
      <c r="A1095" t="s">
        <v>1304</v>
      </c>
      <c r="B1095">
        <v>68</v>
      </c>
      <c r="C1095" s="1">
        <v>44380</v>
      </c>
      <c r="D1095">
        <v>2021</v>
      </c>
      <c r="E1095" t="s">
        <v>225</v>
      </c>
      <c r="F1095" t="s">
        <v>12</v>
      </c>
      <c r="G1095" t="s">
        <v>200</v>
      </c>
      <c r="H1095" t="s">
        <v>192</v>
      </c>
      <c r="I1095">
        <v>17</v>
      </c>
      <c r="J1095">
        <v>389.16</v>
      </c>
      <c r="K1095">
        <v>0</v>
      </c>
      <c r="L1095" t="s">
        <v>215</v>
      </c>
      <c r="M1095">
        <v>1</v>
      </c>
    </row>
    <row r="1096" spans="1:13" x14ac:dyDescent="0.3">
      <c r="A1096" t="s">
        <v>1305</v>
      </c>
      <c r="B1096">
        <v>68</v>
      </c>
      <c r="C1096" s="1">
        <v>44228</v>
      </c>
      <c r="D1096">
        <v>2021</v>
      </c>
      <c r="E1096" t="s">
        <v>190</v>
      </c>
      <c r="F1096" t="s">
        <v>13</v>
      </c>
      <c r="G1096" t="s">
        <v>203</v>
      </c>
      <c r="H1096" t="s">
        <v>195</v>
      </c>
      <c r="I1096">
        <v>18</v>
      </c>
      <c r="J1096">
        <v>3894.99</v>
      </c>
      <c r="K1096">
        <v>0</v>
      </c>
      <c r="L1096" t="s">
        <v>196</v>
      </c>
      <c r="M1096">
        <v>1</v>
      </c>
    </row>
    <row r="1097" spans="1:13" x14ac:dyDescent="0.3">
      <c r="A1097" t="s">
        <v>1306</v>
      </c>
      <c r="B1097">
        <v>68</v>
      </c>
      <c r="C1097" s="1">
        <v>44389</v>
      </c>
      <c r="D1097">
        <v>2021</v>
      </c>
      <c r="E1097" t="s">
        <v>214</v>
      </c>
      <c r="F1097" t="s">
        <v>199</v>
      </c>
      <c r="G1097" t="s">
        <v>200</v>
      </c>
      <c r="H1097" t="s">
        <v>206</v>
      </c>
      <c r="I1097">
        <v>13</v>
      </c>
      <c r="J1097">
        <v>5028.72</v>
      </c>
      <c r="K1097">
        <v>0</v>
      </c>
      <c r="L1097" t="s">
        <v>196</v>
      </c>
      <c r="M1097">
        <v>0</v>
      </c>
    </row>
    <row r="1098" spans="1:13" x14ac:dyDescent="0.3">
      <c r="A1098" t="s">
        <v>1307</v>
      </c>
      <c r="B1098">
        <v>68</v>
      </c>
      <c r="C1098" s="1">
        <v>44787</v>
      </c>
      <c r="D1098">
        <v>2022</v>
      </c>
      <c r="E1098" t="s">
        <v>198</v>
      </c>
      <c r="F1098" t="s">
        <v>13</v>
      </c>
      <c r="G1098" t="s">
        <v>203</v>
      </c>
      <c r="H1098" t="s">
        <v>204</v>
      </c>
      <c r="I1098">
        <v>4</v>
      </c>
      <c r="J1098">
        <v>3370.12</v>
      </c>
      <c r="K1098">
        <v>1</v>
      </c>
      <c r="L1098" t="s">
        <v>193</v>
      </c>
      <c r="M1098">
        <v>1</v>
      </c>
    </row>
    <row r="1099" spans="1:13" x14ac:dyDescent="0.3">
      <c r="A1099" t="s">
        <v>1308</v>
      </c>
      <c r="B1099">
        <v>68</v>
      </c>
      <c r="C1099" s="1">
        <v>44695</v>
      </c>
      <c r="D1099">
        <v>2022</v>
      </c>
      <c r="E1099" t="s">
        <v>198</v>
      </c>
      <c r="F1099" t="s">
        <v>13</v>
      </c>
      <c r="G1099" t="s">
        <v>191</v>
      </c>
      <c r="H1099" t="s">
        <v>195</v>
      </c>
      <c r="I1099">
        <v>3</v>
      </c>
      <c r="J1099">
        <v>2651.44</v>
      </c>
      <c r="K1099">
        <v>1</v>
      </c>
      <c r="L1099" t="s">
        <v>201</v>
      </c>
      <c r="M1099">
        <v>1</v>
      </c>
    </row>
    <row r="1100" spans="1:13" x14ac:dyDescent="0.3">
      <c r="A1100" t="s">
        <v>1309</v>
      </c>
      <c r="B1100">
        <v>68</v>
      </c>
      <c r="C1100" s="1">
        <v>44854</v>
      </c>
      <c r="D1100">
        <v>2022</v>
      </c>
      <c r="E1100" t="s">
        <v>219</v>
      </c>
      <c r="F1100" t="s">
        <v>12</v>
      </c>
      <c r="G1100" t="s">
        <v>212</v>
      </c>
      <c r="H1100" t="s">
        <v>206</v>
      </c>
      <c r="I1100">
        <v>10</v>
      </c>
      <c r="J1100">
        <v>460.88</v>
      </c>
      <c r="K1100">
        <v>0</v>
      </c>
      <c r="L1100" t="s">
        <v>215</v>
      </c>
      <c r="M1100">
        <v>1</v>
      </c>
    </row>
    <row r="1101" spans="1:13" x14ac:dyDescent="0.3">
      <c r="A1101" t="s">
        <v>1310</v>
      </c>
      <c r="B1101">
        <v>68</v>
      </c>
      <c r="C1101" s="1">
        <v>44706</v>
      </c>
      <c r="D1101">
        <v>2022</v>
      </c>
      <c r="E1101" t="s">
        <v>214</v>
      </c>
      <c r="F1101" t="s">
        <v>13</v>
      </c>
      <c r="G1101" t="s">
        <v>200</v>
      </c>
      <c r="H1101" t="s">
        <v>195</v>
      </c>
      <c r="I1101">
        <v>5</v>
      </c>
      <c r="J1101">
        <v>2285.1999999999998</v>
      </c>
      <c r="K1101">
        <v>0</v>
      </c>
      <c r="L1101" t="s">
        <v>201</v>
      </c>
      <c r="M1101">
        <v>1</v>
      </c>
    </row>
    <row r="1102" spans="1:13" x14ac:dyDescent="0.3">
      <c r="A1102" t="s">
        <v>1311</v>
      </c>
      <c r="B1102">
        <v>68</v>
      </c>
      <c r="C1102" s="1">
        <v>44843</v>
      </c>
      <c r="D1102">
        <v>2022</v>
      </c>
      <c r="E1102" t="s">
        <v>225</v>
      </c>
      <c r="F1102" t="s">
        <v>13</v>
      </c>
      <c r="G1102" t="s">
        <v>200</v>
      </c>
      <c r="H1102" t="s">
        <v>206</v>
      </c>
      <c r="I1102">
        <v>15</v>
      </c>
      <c r="J1102">
        <v>1880.27</v>
      </c>
      <c r="K1102">
        <v>0</v>
      </c>
      <c r="L1102" t="s">
        <v>201</v>
      </c>
      <c r="M1102">
        <v>0</v>
      </c>
    </row>
    <row r="1103" spans="1:13" x14ac:dyDescent="0.3">
      <c r="A1103" t="s">
        <v>1312</v>
      </c>
      <c r="B1103">
        <v>68</v>
      </c>
      <c r="C1103" s="1">
        <v>45125</v>
      </c>
      <c r="D1103">
        <v>2023</v>
      </c>
      <c r="E1103" t="s">
        <v>214</v>
      </c>
      <c r="F1103" t="s">
        <v>13</v>
      </c>
      <c r="G1103" t="s">
        <v>203</v>
      </c>
      <c r="H1103" t="s">
        <v>195</v>
      </c>
      <c r="I1103">
        <v>20</v>
      </c>
      <c r="J1103">
        <v>1189.6600000000001</v>
      </c>
      <c r="K1103">
        <v>1</v>
      </c>
      <c r="L1103" t="s">
        <v>196</v>
      </c>
      <c r="M1103">
        <v>0</v>
      </c>
    </row>
    <row r="1104" spans="1:13" x14ac:dyDescent="0.3">
      <c r="A1104" t="s">
        <v>1313</v>
      </c>
      <c r="B1104">
        <v>68</v>
      </c>
      <c r="C1104" s="1">
        <v>45033</v>
      </c>
      <c r="D1104">
        <v>2023</v>
      </c>
      <c r="E1104" t="s">
        <v>190</v>
      </c>
      <c r="F1104" t="s">
        <v>12</v>
      </c>
      <c r="G1104" t="s">
        <v>203</v>
      </c>
      <c r="H1104" t="s">
        <v>195</v>
      </c>
      <c r="I1104">
        <v>16</v>
      </c>
      <c r="J1104">
        <v>1157.6400000000001</v>
      </c>
      <c r="K1104">
        <v>0</v>
      </c>
      <c r="L1104" t="s">
        <v>215</v>
      </c>
      <c r="M1104">
        <v>0</v>
      </c>
    </row>
    <row r="1105" spans="1:13" x14ac:dyDescent="0.3">
      <c r="A1105" t="s">
        <v>1314</v>
      </c>
      <c r="B1105">
        <v>68</v>
      </c>
      <c r="C1105" s="1">
        <v>44945</v>
      </c>
      <c r="D1105">
        <v>2023</v>
      </c>
      <c r="E1105" t="s">
        <v>219</v>
      </c>
      <c r="F1105" t="s">
        <v>209</v>
      </c>
      <c r="G1105" t="s">
        <v>200</v>
      </c>
      <c r="H1105" t="s">
        <v>195</v>
      </c>
      <c r="I1105">
        <v>3</v>
      </c>
      <c r="J1105">
        <v>388.53</v>
      </c>
      <c r="K1105">
        <v>0</v>
      </c>
      <c r="L1105" t="s">
        <v>201</v>
      </c>
      <c r="M1105">
        <v>0</v>
      </c>
    </row>
    <row r="1106" spans="1:13" x14ac:dyDescent="0.3">
      <c r="A1106" t="s">
        <v>1315</v>
      </c>
      <c r="B1106">
        <v>68</v>
      </c>
      <c r="C1106" s="1">
        <v>45186</v>
      </c>
      <c r="D1106">
        <v>2023</v>
      </c>
      <c r="E1106" t="s">
        <v>198</v>
      </c>
      <c r="F1106" t="s">
        <v>199</v>
      </c>
      <c r="G1106" t="s">
        <v>200</v>
      </c>
      <c r="H1106" t="s">
        <v>192</v>
      </c>
      <c r="I1106">
        <v>8</v>
      </c>
      <c r="J1106">
        <v>7137.83</v>
      </c>
      <c r="K1106">
        <v>1</v>
      </c>
      <c r="L1106" t="s">
        <v>196</v>
      </c>
      <c r="M1106">
        <v>0</v>
      </c>
    </row>
    <row r="1107" spans="1:13" x14ac:dyDescent="0.3">
      <c r="A1107" t="s">
        <v>1316</v>
      </c>
      <c r="B1107">
        <v>68</v>
      </c>
      <c r="C1107" s="1">
        <v>45509</v>
      </c>
      <c r="D1107">
        <v>2024</v>
      </c>
      <c r="E1107" t="s">
        <v>190</v>
      </c>
      <c r="F1107" t="s">
        <v>12</v>
      </c>
      <c r="G1107" t="s">
        <v>203</v>
      </c>
      <c r="H1107" t="s">
        <v>192</v>
      </c>
      <c r="I1107">
        <v>2</v>
      </c>
      <c r="J1107">
        <v>1261.42</v>
      </c>
      <c r="K1107">
        <v>0</v>
      </c>
      <c r="L1107" t="s">
        <v>193</v>
      </c>
      <c r="M1107">
        <v>0</v>
      </c>
    </row>
    <row r="1108" spans="1:13" x14ac:dyDescent="0.3">
      <c r="A1108" t="s">
        <v>1317</v>
      </c>
      <c r="B1108">
        <v>68</v>
      </c>
      <c r="C1108" s="1">
        <v>45629</v>
      </c>
      <c r="D1108">
        <v>2024</v>
      </c>
      <c r="E1108" t="s">
        <v>219</v>
      </c>
      <c r="F1108" t="s">
        <v>199</v>
      </c>
      <c r="G1108" t="s">
        <v>191</v>
      </c>
      <c r="H1108" t="s">
        <v>195</v>
      </c>
      <c r="I1108">
        <v>10</v>
      </c>
      <c r="J1108">
        <v>7661.1</v>
      </c>
      <c r="K1108">
        <v>0</v>
      </c>
      <c r="L1108" t="s">
        <v>196</v>
      </c>
      <c r="M1108">
        <v>0</v>
      </c>
    </row>
    <row r="1109" spans="1:13" x14ac:dyDescent="0.3">
      <c r="A1109" t="s">
        <v>1318</v>
      </c>
      <c r="B1109">
        <v>68</v>
      </c>
      <c r="C1109" s="1">
        <v>45592</v>
      </c>
      <c r="D1109">
        <v>2024</v>
      </c>
      <c r="E1109" t="s">
        <v>227</v>
      </c>
      <c r="F1109" t="s">
        <v>13</v>
      </c>
      <c r="G1109" t="s">
        <v>203</v>
      </c>
      <c r="H1109" t="s">
        <v>192</v>
      </c>
      <c r="I1109">
        <v>11</v>
      </c>
      <c r="J1109">
        <v>2363.27</v>
      </c>
      <c r="K1109">
        <v>0</v>
      </c>
      <c r="L1109" t="s">
        <v>215</v>
      </c>
      <c r="M1109">
        <v>0</v>
      </c>
    </row>
    <row r="1110" spans="1:13" x14ac:dyDescent="0.3">
      <c r="A1110" t="s">
        <v>1319</v>
      </c>
      <c r="B1110">
        <v>68</v>
      </c>
      <c r="C1110" s="1">
        <v>45394</v>
      </c>
      <c r="D1110">
        <v>2024</v>
      </c>
      <c r="E1110" t="s">
        <v>225</v>
      </c>
      <c r="F1110" t="s">
        <v>199</v>
      </c>
      <c r="G1110" t="s">
        <v>200</v>
      </c>
      <c r="H1110" t="s">
        <v>195</v>
      </c>
      <c r="I1110">
        <v>6</v>
      </c>
      <c r="J1110">
        <v>3753.41</v>
      </c>
      <c r="K1110">
        <v>0</v>
      </c>
      <c r="L1110" t="s">
        <v>196</v>
      </c>
      <c r="M1110">
        <v>0</v>
      </c>
    </row>
    <row r="1111" spans="1:13" x14ac:dyDescent="0.3">
      <c r="A1111" t="s">
        <v>1320</v>
      </c>
      <c r="B1111">
        <v>68</v>
      </c>
      <c r="C1111" s="1">
        <v>45543</v>
      </c>
      <c r="D1111">
        <v>2024</v>
      </c>
      <c r="E1111" t="s">
        <v>214</v>
      </c>
      <c r="F1111" t="s">
        <v>12</v>
      </c>
      <c r="G1111" t="s">
        <v>212</v>
      </c>
      <c r="H1111" t="s">
        <v>195</v>
      </c>
      <c r="I1111">
        <v>14</v>
      </c>
      <c r="J1111">
        <v>277.82</v>
      </c>
      <c r="K1111">
        <v>0</v>
      </c>
      <c r="L1111" t="s">
        <v>196</v>
      </c>
      <c r="M1111">
        <v>1</v>
      </c>
    </row>
    <row r="1112" spans="1:13" x14ac:dyDescent="0.3">
      <c r="A1112" t="s">
        <v>1321</v>
      </c>
      <c r="B1112">
        <v>68</v>
      </c>
      <c r="C1112" s="1">
        <v>45340</v>
      </c>
      <c r="D1112">
        <v>2024</v>
      </c>
      <c r="E1112" t="s">
        <v>287</v>
      </c>
      <c r="F1112" t="s">
        <v>12</v>
      </c>
      <c r="G1112" t="s">
        <v>203</v>
      </c>
      <c r="H1112" t="s">
        <v>192</v>
      </c>
      <c r="I1112">
        <v>13</v>
      </c>
      <c r="J1112">
        <v>1322.03</v>
      </c>
      <c r="K1112">
        <v>0</v>
      </c>
      <c r="L1112" t="s">
        <v>201</v>
      </c>
      <c r="M1112">
        <v>1</v>
      </c>
    </row>
    <row r="1113" spans="1:13" x14ac:dyDescent="0.3">
      <c r="A1113" t="s">
        <v>1322</v>
      </c>
      <c r="B1113">
        <v>68</v>
      </c>
      <c r="C1113" s="1">
        <v>45682</v>
      </c>
      <c r="D1113">
        <v>2025</v>
      </c>
      <c r="E1113" t="s">
        <v>219</v>
      </c>
      <c r="F1113" t="s">
        <v>12</v>
      </c>
      <c r="G1113" t="s">
        <v>212</v>
      </c>
      <c r="H1113" t="s">
        <v>195</v>
      </c>
      <c r="I1113">
        <v>9</v>
      </c>
      <c r="J1113">
        <v>877.98</v>
      </c>
      <c r="K1113">
        <v>0</v>
      </c>
      <c r="L1113" t="s">
        <v>215</v>
      </c>
      <c r="M1113">
        <v>1</v>
      </c>
    </row>
    <row r="1114" spans="1:13" x14ac:dyDescent="0.3">
      <c r="A1114" t="s">
        <v>1323</v>
      </c>
      <c r="B1114">
        <v>68</v>
      </c>
      <c r="C1114" s="1">
        <v>45670</v>
      </c>
      <c r="D1114">
        <v>2025</v>
      </c>
      <c r="E1114" t="s">
        <v>214</v>
      </c>
      <c r="F1114" t="s">
        <v>209</v>
      </c>
      <c r="G1114" t="s">
        <v>212</v>
      </c>
      <c r="H1114" t="s">
        <v>204</v>
      </c>
      <c r="I1114">
        <v>10</v>
      </c>
      <c r="J1114">
        <v>487.92</v>
      </c>
      <c r="K1114">
        <v>0</v>
      </c>
      <c r="L1114" t="s">
        <v>215</v>
      </c>
      <c r="M1114">
        <v>1</v>
      </c>
    </row>
    <row r="1115" spans="1:13" x14ac:dyDescent="0.3">
      <c r="A1115" t="s">
        <v>1324</v>
      </c>
      <c r="B1115">
        <v>68</v>
      </c>
      <c r="C1115" s="1">
        <v>45925</v>
      </c>
      <c r="D1115">
        <v>2025</v>
      </c>
      <c r="E1115" t="s">
        <v>214</v>
      </c>
      <c r="F1115" t="s">
        <v>12</v>
      </c>
      <c r="G1115" t="s">
        <v>212</v>
      </c>
      <c r="H1115" t="s">
        <v>195</v>
      </c>
      <c r="I1115">
        <v>1</v>
      </c>
      <c r="J1115">
        <v>1492.82</v>
      </c>
      <c r="K1115">
        <v>0</v>
      </c>
      <c r="L1115" t="s">
        <v>215</v>
      </c>
      <c r="M1115">
        <v>1</v>
      </c>
    </row>
    <row r="1116" spans="1:13" x14ac:dyDescent="0.3">
      <c r="A1116" t="s">
        <v>1325</v>
      </c>
      <c r="B1116">
        <v>69</v>
      </c>
      <c r="C1116" s="1">
        <v>44474</v>
      </c>
      <c r="D1116">
        <v>2021</v>
      </c>
      <c r="E1116" t="s">
        <v>198</v>
      </c>
      <c r="F1116" t="s">
        <v>199</v>
      </c>
      <c r="G1116" t="s">
        <v>212</v>
      </c>
      <c r="H1116" t="s">
        <v>204</v>
      </c>
      <c r="I1116">
        <v>11</v>
      </c>
      <c r="J1116">
        <v>6707.47</v>
      </c>
      <c r="K1116">
        <v>1</v>
      </c>
      <c r="L1116" t="s">
        <v>196</v>
      </c>
      <c r="M1116">
        <v>1</v>
      </c>
    </row>
    <row r="1117" spans="1:13" x14ac:dyDescent="0.3">
      <c r="A1117" t="s">
        <v>1326</v>
      </c>
      <c r="B1117">
        <v>69</v>
      </c>
      <c r="C1117" s="1">
        <v>44399</v>
      </c>
      <c r="D1117">
        <v>2021</v>
      </c>
      <c r="E1117" t="s">
        <v>227</v>
      </c>
      <c r="F1117" t="s">
        <v>13</v>
      </c>
      <c r="G1117" t="s">
        <v>203</v>
      </c>
      <c r="H1117" t="s">
        <v>204</v>
      </c>
      <c r="I1117">
        <v>17</v>
      </c>
      <c r="J1117">
        <v>3792.8</v>
      </c>
      <c r="K1117">
        <v>1</v>
      </c>
      <c r="L1117" t="s">
        <v>201</v>
      </c>
      <c r="M1117">
        <v>0</v>
      </c>
    </row>
    <row r="1118" spans="1:13" x14ac:dyDescent="0.3">
      <c r="A1118" t="s">
        <v>1327</v>
      </c>
      <c r="B1118">
        <v>69</v>
      </c>
      <c r="C1118" s="1">
        <v>44488</v>
      </c>
      <c r="D1118">
        <v>2021</v>
      </c>
      <c r="E1118" t="s">
        <v>198</v>
      </c>
      <c r="F1118" t="s">
        <v>199</v>
      </c>
      <c r="G1118" t="s">
        <v>191</v>
      </c>
      <c r="H1118" t="s">
        <v>192</v>
      </c>
      <c r="I1118">
        <v>18</v>
      </c>
      <c r="J1118">
        <v>7973.58</v>
      </c>
      <c r="K1118">
        <v>1</v>
      </c>
      <c r="L1118" t="s">
        <v>201</v>
      </c>
      <c r="M1118">
        <v>0</v>
      </c>
    </row>
    <row r="1119" spans="1:13" x14ac:dyDescent="0.3">
      <c r="A1119" t="s">
        <v>1328</v>
      </c>
      <c r="B1119">
        <v>69</v>
      </c>
      <c r="C1119" s="1">
        <v>44444</v>
      </c>
      <c r="D1119">
        <v>2021</v>
      </c>
      <c r="E1119" t="s">
        <v>225</v>
      </c>
      <c r="F1119" t="s">
        <v>199</v>
      </c>
      <c r="G1119" t="s">
        <v>191</v>
      </c>
      <c r="H1119" t="s">
        <v>192</v>
      </c>
      <c r="I1119">
        <v>1</v>
      </c>
      <c r="J1119">
        <v>5016.4799999999996</v>
      </c>
      <c r="K1119">
        <v>1</v>
      </c>
      <c r="L1119" t="s">
        <v>193</v>
      </c>
      <c r="M1119">
        <v>0</v>
      </c>
    </row>
    <row r="1120" spans="1:13" x14ac:dyDescent="0.3">
      <c r="A1120" t="s">
        <v>1329</v>
      </c>
      <c r="B1120">
        <v>69</v>
      </c>
      <c r="C1120" s="1">
        <v>44336</v>
      </c>
      <c r="D1120">
        <v>2021</v>
      </c>
      <c r="E1120" t="s">
        <v>198</v>
      </c>
      <c r="F1120" t="s">
        <v>13</v>
      </c>
      <c r="G1120" t="s">
        <v>203</v>
      </c>
      <c r="H1120" t="s">
        <v>192</v>
      </c>
      <c r="I1120">
        <v>5</v>
      </c>
      <c r="J1120">
        <v>2606.69</v>
      </c>
      <c r="K1120">
        <v>1</v>
      </c>
      <c r="L1120" t="s">
        <v>193</v>
      </c>
      <c r="M1120">
        <v>1</v>
      </c>
    </row>
    <row r="1121" spans="1:13" x14ac:dyDescent="0.3">
      <c r="A1121" t="s">
        <v>1330</v>
      </c>
      <c r="B1121">
        <v>69</v>
      </c>
      <c r="C1121" s="1">
        <v>44662</v>
      </c>
      <c r="D1121">
        <v>2022</v>
      </c>
      <c r="E1121" t="s">
        <v>287</v>
      </c>
      <c r="F1121" t="s">
        <v>199</v>
      </c>
      <c r="G1121" t="s">
        <v>203</v>
      </c>
      <c r="H1121" t="s">
        <v>195</v>
      </c>
      <c r="I1121">
        <v>5</v>
      </c>
      <c r="J1121">
        <v>5793.48</v>
      </c>
      <c r="K1121">
        <v>1</v>
      </c>
      <c r="L1121" t="s">
        <v>210</v>
      </c>
      <c r="M1121">
        <v>0</v>
      </c>
    </row>
    <row r="1122" spans="1:13" x14ac:dyDescent="0.3">
      <c r="A1122" t="s">
        <v>1331</v>
      </c>
      <c r="B1122">
        <v>69</v>
      </c>
      <c r="C1122" s="1">
        <v>44652</v>
      </c>
      <c r="D1122">
        <v>2022</v>
      </c>
      <c r="E1122" t="s">
        <v>287</v>
      </c>
      <c r="F1122" t="s">
        <v>12</v>
      </c>
      <c r="G1122" t="s">
        <v>203</v>
      </c>
      <c r="H1122" t="s">
        <v>192</v>
      </c>
      <c r="I1122">
        <v>9</v>
      </c>
      <c r="J1122">
        <v>890.79</v>
      </c>
      <c r="K1122">
        <v>0</v>
      </c>
      <c r="L1122" t="s">
        <v>193</v>
      </c>
      <c r="M1122">
        <v>0</v>
      </c>
    </row>
    <row r="1123" spans="1:13" x14ac:dyDescent="0.3">
      <c r="A1123" t="s">
        <v>1332</v>
      </c>
      <c r="B1123">
        <v>69</v>
      </c>
      <c r="C1123" s="1">
        <v>44584</v>
      </c>
      <c r="D1123">
        <v>2022</v>
      </c>
      <c r="E1123" t="s">
        <v>198</v>
      </c>
      <c r="F1123" t="s">
        <v>13</v>
      </c>
      <c r="G1123" t="s">
        <v>212</v>
      </c>
      <c r="H1123" t="s">
        <v>204</v>
      </c>
      <c r="I1123">
        <v>6</v>
      </c>
      <c r="J1123">
        <v>2397.73</v>
      </c>
      <c r="K1123">
        <v>1</v>
      </c>
      <c r="L1123" t="s">
        <v>196</v>
      </c>
      <c r="M1123">
        <v>1</v>
      </c>
    </row>
    <row r="1124" spans="1:13" x14ac:dyDescent="0.3">
      <c r="A1124" t="s">
        <v>1333</v>
      </c>
      <c r="B1124">
        <v>69</v>
      </c>
      <c r="C1124" s="1">
        <v>45128</v>
      </c>
      <c r="D1124">
        <v>2023</v>
      </c>
      <c r="E1124" t="s">
        <v>219</v>
      </c>
      <c r="F1124" t="s">
        <v>13</v>
      </c>
      <c r="G1124" t="s">
        <v>203</v>
      </c>
      <c r="H1124" t="s">
        <v>204</v>
      </c>
      <c r="I1124">
        <v>15</v>
      </c>
      <c r="J1124">
        <v>2739.7</v>
      </c>
      <c r="K1124">
        <v>0</v>
      </c>
      <c r="L1124" t="s">
        <v>193</v>
      </c>
      <c r="M1124">
        <v>0</v>
      </c>
    </row>
    <row r="1125" spans="1:13" x14ac:dyDescent="0.3">
      <c r="A1125" t="s">
        <v>1334</v>
      </c>
      <c r="B1125">
        <v>69</v>
      </c>
      <c r="C1125" s="1">
        <v>45128</v>
      </c>
      <c r="D1125">
        <v>2023</v>
      </c>
      <c r="E1125" t="s">
        <v>190</v>
      </c>
      <c r="F1125" t="s">
        <v>13</v>
      </c>
      <c r="G1125" t="s">
        <v>200</v>
      </c>
      <c r="H1125" t="s">
        <v>195</v>
      </c>
      <c r="I1125">
        <v>4</v>
      </c>
      <c r="J1125">
        <v>2533.0100000000002</v>
      </c>
      <c r="K1125">
        <v>0</v>
      </c>
      <c r="L1125" t="s">
        <v>196</v>
      </c>
      <c r="M1125">
        <v>0</v>
      </c>
    </row>
    <row r="1126" spans="1:13" x14ac:dyDescent="0.3">
      <c r="A1126" t="s">
        <v>1335</v>
      </c>
      <c r="B1126">
        <v>69</v>
      </c>
      <c r="C1126" s="1">
        <v>44930</v>
      </c>
      <c r="D1126">
        <v>2023</v>
      </c>
      <c r="E1126" t="s">
        <v>190</v>
      </c>
      <c r="F1126" t="s">
        <v>199</v>
      </c>
      <c r="G1126" t="s">
        <v>203</v>
      </c>
      <c r="H1126" t="s">
        <v>195</v>
      </c>
      <c r="I1126">
        <v>11</v>
      </c>
      <c r="J1126">
        <v>2763.58</v>
      </c>
      <c r="K1126">
        <v>0</v>
      </c>
      <c r="L1126" t="s">
        <v>193</v>
      </c>
      <c r="M1126">
        <v>0</v>
      </c>
    </row>
    <row r="1127" spans="1:13" x14ac:dyDescent="0.3">
      <c r="A1127" t="s">
        <v>1336</v>
      </c>
      <c r="B1127">
        <v>69</v>
      </c>
      <c r="C1127" s="1">
        <v>45510</v>
      </c>
      <c r="D1127">
        <v>2024</v>
      </c>
      <c r="E1127" t="s">
        <v>225</v>
      </c>
      <c r="F1127" t="s">
        <v>13</v>
      </c>
      <c r="G1127" t="s">
        <v>212</v>
      </c>
      <c r="H1127" t="s">
        <v>192</v>
      </c>
      <c r="I1127">
        <v>7</v>
      </c>
      <c r="J1127">
        <v>1521.56</v>
      </c>
      <c r="K1127">
        <v>0</v>
      </c>
      <c r="L1127" t="s">
        <v>193</v>
      </c>
      <c r="M1127">
        <v>1</v>
      </c>
    </row>
    <row r="1128" spans="1:13" x14ac:dyDescent="0.3">
      <c r="A1128" t="s">
        <v>1337</v>
      </c>
      <c r="B1128">
        <v>69</v>
      </c>
      <c r="C1128" s="1">
        <v>45439</v>
      </c>
      <c r="D1128">
        <v>2024</v>
      </c>
      <c r="E1128" t="s">
        <v>219</v>
      </c>
      <c r="F1128" t="s">
        <v>13</v>
      </c>
      <c r="G1128" t="s">
        <v>200</v>
      </c>
      <c r="H1128" t="s">
        <v>206</v>
      </c>
      <c r="I1128">
        <v>13</v>
      </c>
      <c r="J1128">
        <v>2372.9299999999998</v>
      </c>
      <c r="K1128">
        <v>0</v>
      </c>
      <c r="L1128" t="s">
        <v>196</v>
      </c>
      <c r="M1128">
        <v>1</v>
      </c>
    </row>
    <row r="1129" spans="1:13" x14ac:dyDescent="0.3">
      <c r="A1129" t="s">
        <v>1338</v>
      </c>
      <c r="B1129">
        <v>69</v>
      </c>
      <c r="C1129" s="1">
        <v>45571</v>
      </c>
      <c r="D1129">
        <v>2024</v>
      </c>
      <c r="E1129" t="s">
        <v>190</v>
      </c>
      <c r="F1129" t="s">
        <v>13</v>
      </c>
      <c r="G1129" t="s">
        <v>203</v>
      </c>
      <c r="H1129" t="s">
        <v>195</v>
      </c>
      <c r="I1129">
        <v>12</v>
      </c>
      <c r="J1129">
        <v>2619.5100000000002</v>
      </c>
      <c r="K1129">
        <v>0</v>
      </c>
      <c r="L1129" t="s">
        <v>215</v>
      </c>
      <c r="M1129">
        <v>0</v>
      </c>
    </row>
    <row r="1130" spans="1:13" x14ac:dyDescent="0.3">
      <c r="A1130" t="s">
        <v>1339</v>
      </c>
      <c r="B1130">
        <v>69</v>
      </c>
      <c r="C1130" s="1">
        <v>45578</v>
      </c>
      <c r="D1130">
        <v>2024</v>
      </c>
      <c r="E1130" t="s">
        <v>198</v>
      </c>
      <c r="F1130" t="s">
        <v>199</v>
      </c>
      <c r="G1130" t="s">
        <v>200</v>
      </c>
      <c r="H1130" t="s">
        <v>192</v>
      </c>
      <c r="I1130">
        <v>5</v>
      </c>
      <c r="J1130">
        <v>5417.11</v>
      </c>
      <c r="K1130">
        <v>1</v>
      </c>
      <c r="L1130" t="s">
        <v>196</v>
      </c>
      <c r="M1130">
        <v>0</v>
      </c>
    </row>
    <row r="1131" spans="1:13" x14ac:dyDescent="0.3">
      <c r="A1131" t="s">
        <v>1340</v>
      </c>
      <c r="B1131">
        <v>69</v>
      </c>
      <c r="C1131" s="1">
        <v>45986</v>
      </c>
      <c r="D1131">
        <v>2025</v>
      </c>
      <c r="E1131" t="s">
        <v>287</v>
      </c>
      <c r="F1131" t="s">
        <v>12</v>
      </c>
      <c r="G1131" t="s">
        <v>191</v>
      </c>
      <c r="H1131" t="s">
        <v>192</v>
      </c>
      <c r="I1131">
        <v>8</v>
      </c>
      <c r="J1131">
        <v>522.92999999999995</v>
      </c>
      <c r="K1131">
        <v>0</v>
      </c>
      <c r="L1131" t="s">
        <v>215</v>
      </c>
      <c r="M1131">
        <v>0</v>
      </c>
    </row>
    <row r="1132" spans="1:13" x14ac:dyDescent="0.3">
      <c r="A1132" t="s">
        <v>1341</v>
      </c>
      <c r="B1132">
        <v>69</v>
      </c>
      <c r="C1132" s="1">
        <v>45970</v>
      </c>
      <c r="D1132">
        <v>2025</v>
      </c>
      <c r="E1132" t="s">
        <v>219</v>
      </c>
      <c r="F1132" t="s">
        <v>199</v>
      </c>
      <c r="G1132" t="s">
        <v>200</v>
      </c>
      <c r="H1132" t="s">
        <v>195</v>
      </c>
      <c r="I1132">
        <v>13</v>
      </c>
      <c r="J1132">
        <v>6546.82</v>
      </c>
      <c r="K1132">
        <v>0</v>
      </c>
      <c r="L1132" t="s">
        <v>201</v>
      </c>
      <c r="M1132">
        <v>0</v>
      </c>
    </row>
    <row r="1133" spans="1:13" x14ac:dyDescent="0.3">
      <c r="A1133" t="s">
        <v>1342</v>
      </c>
      <c r="B1133">
        <v>69</v>
      </c>
      <c r="C1133" s="1">
        <v>45783</v>
      </c>
      <c r="D1133">
        <v>2025</v>
      </c>
      <c r="E1133" t="s">
        <v>225</v>
      </c>
      <c r="F1133" t="s">
        <v>13</v>
      </c>
      <c r="G1133" t="s">
        <v>191</v>
      </c>
      <c r="H1133" t="s">
        <v>195</v>
      </c>
      <c r="I1133">
        <v>18</v>
      </c>
      <c r="J1133">
        <v>1745.93</v>
      </c>
      <c r="K1133">
        <v>1</v>
      </c>
      <c r="L1133" t="s">
        <v>193</v>
      </c>
      <c r="M1133">
        <v>0</v>
      </c>
    </row>
    <row r="1134" spans="1:13" x14ac:dyDescent="0.3">
      <c r="A1134" t="s">
        <v>1343</v>
      </c>
      <c r="B1134">
        <v>69</v>
      </c>
      <c r="C1134" s="1">
        <v>45865</v>
      </c>
      <c r="D1134">
        <v>2025</v>
      </c>
      <c r="E1134" t="s">
        <v>190</v>
      </c>
      <c r="F1134" t="s">
        <v>12</v>
      </c>
      <c r="G1134" t="s">
        <v>212</v>
      </c>
      <c r="H1134" t="s">
        <v>195</v>
      </c>
      <c r="I1134">
        <v>8</v>
      </c>
      <c r="J1134">
        <v>1397.86</v>
      </c>
      <c r="K1134">
        <v>0</v>
      </c>
      <c r="L1134" t="s">
        <v>215</v>
      </c>
      <c r="M1134">
        <v>1</v>
      </c>
    </row>
    <row r="1135" spans="1:13" x14ac:dyDescent="0.3">
      <c r="A1135" t="s">
        <v>1344</v>
      </c>
      <c r="B1135">
        <v>70</v>
      </c>
      <c r="C1135" s="1">
        <v>44905</v>
      </c>
      <c r="D1135">
        <v>2022</v>
      </c>
      <c r="E1135" t="s">
        <v>198</v>
      </c>
      <c r="F1135" t="s">
        <v>12</v>
      </c>
      <c r="G1135" t="s">
        <v>212</v>
      </c>
      <c r="H1135" t="s">
        <v>206</v>
      </c>
      <c r="I1135">
        <v>9</v>
      </c>
      <c r="J1135">
        <v>348.95</v>
      </c>
      <c r="K1135">
        <v>1</v>
      </c>
      <c r="L1135" t="s">
        <v>201</v>
      </c>
      <c r="M1135">
        <v>1</v>
      </c>
    </row>
    <row r="1136" spans="1:13" x14ac:dyDescent="0.3">
      <c r="A1136" t="s">
        <v>1345</v>
      </c>
      <c r="B1136">
        <v>70</v>
      </c>
      <c r="C1136" s="1">
        <v>44737</v>
      </c>
      <c r="D1136">
        <v>2022</v>
      </c>
      <c r="E1136" t="s">
        <v>190</v>
      </c>
      <c r="F1136" t="s">
        <v>199</v>
      </c>
      <c r="G1136" t="s">
        <v>191</v>
      </c>
      <c r="H1136" t="s">
        <v>206</v>
      </c>
      <c r="I1136">
        <v>4</v>
      </c>
      <c r="J1136">
        <v>7324.5</v>
      </c>
      <c r="K1136">
        <v>0</v>
      </c>
      <c r="L1136" t="s">
        <v>193</v>
      </c>
      <c r="M1136">
        <v>0</v>
      </c>
    </row>
    <row r="1137" spans="1:13" x14ac:dyDescent="0.3">
      <c r="A1137" t="s">
        <v>1346</v>
      </c>
      <c r="B1137">
        <v>70</v>
      </c>
      <c r="C1137" s="1">
        <v>44914</v>
      </c>
      <c r="D1137">
        <v>2022</v>
      </c>
      <c r="E1137" t="s">
        <v>219</v>
      </c>
      <c r="F1137" t="s">
        <v>13</v>
      </c>
      <c r="G1137" t="s">
        <v>191</v>
      </c>
      <c r="H1137" t="s">
        <v>192</v>
      </c>
      <c r="I1137">
        <v>5</v>
      </c>
      <c r="J1137">
        <v>3997.19</v>
      </c>
      <c r="K1137">
        <v>1</v>
      </c>
      <c r="L1137" t="s">
        <v>193</v>
      </c>
      <c r="M1137">
        <v>0</v>
      </c>
    </row>
    <row r="1138" spans="1:13" x14ac:dyDescent="0.3">
      <c r="A1138" t="s">
        <v>1347</v>
      </c>
      <c r="B1138">
        <v>70</v>
      </c>
      <c r="C1138" s="1">
        <v>44768</v>
      </c>
      <c r="D1138">
        <v>2022</v>
      </c>
      <c r="E1138" t="s">
        <v>190</v>
      </c>
      <c r="F1138" t="s">
        <v>199</v>
      </c>
      <c r="G1138" t="s">
        <v>212</v>
      </c>
      <c r="H1138" t="s">
        <v>206</v>
      </c>
      <c r="I1138">
        <v>10</v>
      </c>
      <c r="J1138">
        <v>5698.12</v>
      </c>
      <c r="K1138">
        <v>0</v>
      </c>
      <c r="L1138" t="s">
        <v>201</v>
      </c>
      <c r="M1138">
        <v>1</v>
      </c>
    </row>
    <row r="1139" spans="1:13" x14ac:dyDescent="0.3">
      <c r="A1139" t="s">
        <v>1348</v>
      </c>
      <c r="B1139">
        <v>70</v>
      </c>
      <c r="C1139" s="1">
        <v>45009</v>
      </c>
      <c r="D1139">
        <v>2023</v>
      </c>
      <c r="E1139" t="s">
        <v>198</v>
      </c>
      <c r="F1139" t="s">
        <v>199</v>
      </c>
      <c r="G1139" t="s">
        <v>200</v>
      </c>
      <c r="H1139" t="s">
        <v>195</v>
      </c>
      <c r="I1139">
        <v>8</v>
      </c>
      <c r="J1139">
        <v>5600.22</v>
      </c>
      <c r="K1139">
        <v>1</v>
      </c>
      <c r="L1139" t="s">
        <v>210</v>
      </c>
      <c r="M1139">
        <v>0</v>
      </c>
    </row>
    <row r="1140" spans="1:13" x14ac:dyDescent="0.3">
      <c r="A1140" t="s">
        <v>1349</v>
      </c>
      <c r="B1140">
        <v>70</v>
      </c>
      <c r="C1140" s="1">
        <v>45157</v>
      </c>
      <c r="D1140">
        <v>2023</v>
      </c>
      <c r="E1140" t="s">
        <v>214</v>
      </c>
      <c r="F1140" t="s">
        <v>199</v>
      </c>
      <c r="G1140" t="s">
        <v>191</v>
      </c>
      <c r="H1140" t="s">
        <v>204</v>
      </c>
      <c r="I1140">
        <v>4</v>
      </c>
      <c r="J1140">
        <v>7713.91</v>
      </c>
      <c r="K1140">
        <v>0</v>
      </c>
      <c r="L1140" t="s">
        <v>196</v>
      </c>
      <c r="M1140">
        <v>1</v>
      </c>
    </row>
    <row r="1141" spans="1:13" x14ac:dyDescent="0.3">
      <c r="A1141" t="s">
        <v>1350</v>
      </c>
      <c r="B1141">
        <v>70</v>
      </c>
      <c r="C1141" s="1">
        <v>45225</v>
      </c>
      <c r="D1141">
        <v>2023</v>
      </c>
      <c r="E1141" t="s">
        <v>219</v>
      </c>
      <c r="F1141" t="s">
        <v>12</v>
      </c>
      <c r="G1141" t="s">
        <v>212</v>
      </c>
      <c r="H1141" t="s">
        <v>206</v>
      </c>
      <c r="I1141">
        <v>14</v>
      </c>
      <c r="J1141">
        <v>749.77</v>
      </c>
      <c r="K1141">
        <v>0</v>
      </c>
      <c r="L1141" t="s">
        <v>210</v>
      </c>
      <c r="M1141">
        <v>1</v>
      </c>
    </row>
    <row r="1142" spans="1:13" x14ac:dyDescent="0.3">
      <c r="A1142" t="s">
        <v>1351</v>
      </c>
      <c r="B1142">
        <v>70</v>
      </c>
      <c r="C1142" s="1">
        <v>45158</v>
      </c>
      <c r="D1142">
        <v>2023</v>
      </c>
      <c r="E1142" t="s">
        <v>198</v>
      </c>
      <c r="F1142" t="s">
        <v>199</v>
      </c>
      <c r="G1142" t="s">
        <v>203</v>
      </c>
      <c r="H1142" t="s">
        <v>206</v>
      </c>
      <c r="I1142">
        <v>2</v>
      </c>
      <c r="J1142">
        <v>3858.82</v>
      </c>
      <c r="K1142">
        <v>1</v>
      </c>
      <c r="L1142" t="s">
        <v>193</v>
      </c>
      <c r="M1142">
        <v>1</v>
      </c>
    </row>
    <row r="1143" spans="1:13" x14ac:dyDescent="0.3">
      <c r="A1143" t="s">
        <v>1352</v>
      </c>
      <c r="B1143">
        <v>70</v>
      </c>
      <c r="C1143" s="1">
        <v>45592</v>
      </c>
      <c r="D1143">
        <v>2024</v>
      </c>
      <c r="E1143" t="s">
        <v>214</v>
      </c>
      <c r="F1143" t="s">
        <v>12</v>
      </c>
      <c r="G1143" t="s">
        <v>212</v>
      </c>
      <c r="H1143" t="s">
        <v>204</v>
      </c>
      <c r="I1143">
        <v>3</v>
      </c>
      <c r="J1143">
        <v>1470.06</v>
      </c>
      <c r="K1143">
        <v>0</v>
      </c>
      <c r="L1143" t="s">
        <v>210</v>
      </c>
      <c r="M1143">
        <v>1</v>
      </c>
    </row>
    <row r="1144" spans="1:13" x14ac:dyDescent="0.3">
      <c r="A1144" t="s">
        <v>1353</v>
      </c>
      <c r="B1144">
        <v>70</v>
      </c>
      <c r="C1144" s="1">
        <v>45364</v>
      </c>
      <c r="D1144">
        <v>2024</v>
      </c>
      <c r="E1144" t="s">
        <v>227</v>
      </c>
      <c r="F1144" t="s">
        <v>209</v>
      </c>
      <c r="G1144" t="s">
        <v>200</v>
      </c>
      <c r="H1144" t="s">
        <v>204</v>
      </c>
      <c r="I1144">
        <v>6</v>
      </c>
      <c r="J1144">
        <v>391.42</v>
      </c>
      <c r="K1144">
        <v>0</v>
      </c>
      <c r="L1144" t="s">
        <v>215</v>
      </c>
      <c r="M1144">
        <v>0</v>
      </c>
    </row>
    <row r="1145" spans="1:13" x14ac:dyDescent="0.3">
      <c r="A1145" t="s">
        <v>1354</v>
      </c>
      <c r="B1145">
        <v>70</v>
      </c>
      <c r="C1145" s="1">
        <v>45801</v>
      </c>
      <c r="D1145">
        <v>2025</v>
      </c>
      <c r="E1145" t="s">
        <v>214</v>
      </c>
      <c r="F1145" t="s">
        <v>209</v>
      </c>
      <c r="G1145" t="s">
        <v>200</v>
      </c>
      <c r="H1145" t="s">
        <v>206</v>
      </c>
      <c r="I1145">
        <v>11</v>
      </c>
      <c r="J1145">
        <v>10.01</v>
      </c>
      <c r="K1145">
        <v>1</v>
      </c>
      <c r="L1145" t="s">
        <v>215</v>
      </c>
      <c r="M1145">
        <v>0</v>
      </c>
    </row>
    <row r="1146" spans="1:13" x14ac:dyDescent="0.3">
      <c r="A1146" t="s">
        <v>1355</v>
      </c>
      <c r="B1146">
        <v>70</v>
      </c>
      <c r="C1146" s="1">
        <v>45988</v>
      </c>
      <c r="D1146">
        <v>2025</v>
      </c>
      <c r="E1146" t="s">
        <v>214</v>
      </c>
      <c r="F1146" t="s">
        <v>13</v>
      </c>
      <c r="G1146" t="s">
        <v>212</v>
      </c>
      <c r="H1146" t="s">
        <v>195</v>
      </c>
      <c r="I1146">
        <v>14</v>
      </c>
      <c r="J1146">
        <v>2151.23</v>
      </c>
      <c r="K1146">
        <v>0</v>
      </c>
      <c r="L1146" t="s">
        <v>196</v>
      </c>
      <c r="M1146">
        <v>1</v>
      </c>
    </row>
    <row r="1147" spans="1:13" x14ac:dyDescent="0.3">
      <c r="A1147" t="s">
        <v>1356</v>
      </c>
      <c r="B1147">
        <v>70</v>
      </c>
      <c r="C1147" s="1">
        <v>45996</v>
      </c>
      <c r="D1147">
        <v>2025</v>
      </c>
      <c r="E1147" t="s">
        <v>227</v>
      </c>
      <c r="F1147" t="s">
        <v>13</v>
      </c>
      <c r="G1147" t="s">
        <v>200</v>
      </c>
      <c r="H1147" t="s">
        <v>192</v>
      </c>
      <c r="I1147">
        <v>2</v>
      </c>
      <c r="J1147">
        <v>1700.6</v>
      </c>
      <c r="K1147">
        <v>0</v>
      </c>
      <c r="L1147" t="s">
        <v>193</v>
      </c>
      <c r="M1147">
        <v>1</v>
      </c>
    </row>
    <row r="1148" spans="1:13" x14ac:dyDescent="0.3">
      <c r="A1148" t="s">
        <v>1357</v>
      </c>
      <c r="B1148">
        <v>71</v>
      </c>
      <c r="C1148" s="1">
        <v>44397</v>
      </c>
      <c r="D1148">
        <v>2021</v>
      </c>
      <c r="E1148" t="s">
        <v>190</v>
      </c>
      <c r="F1148" t="s">
        <v>209</v>
      </c>
      <c r="G1148" t="s">
        <v>191</v>
      </c>
      <c r="H1148" t="s">
        <v>195</v>
      </c>
      <c r="I1148">
        <v>11</v>
      </c>
      <c r="J1148">
        <v>372.26</v>
      </c>
      <c r="K1148">
        <v>0</v>
      </c>
      <c r="L1148" t="s">
        <v>193</v>
      </c>
      <c r="M1148">
        <v>1</v>
      </c>
    </row>
    <row r="1149" spans="1:13" x14ac:dyDescent="0.3">
      <c r="A1149" t="s">
        <v>1358</v>
      </c>
      <c r="B1149">
        <v>71</v>
      </c>
      <c r="C1149" s="1">
        <v>44466</v>
      </c>
      <c r="D1149">
        <v>2021</v>
      </c>
      <c r="E1149" t="s">
        <v>214</v>
      </c>
      <c r="F1149" t="s">
        <v>199</v>
      </c>
      <c r="G1149" t="s">
        <v>203</v>
      </c>
      <c r="H1149" t="s">
        <v>195</v>
      </c>
      <c r="I1149">
        <v>8</v>
      </c>
      <c r="J1149">
        <v>7336.41</v>
      </c>
      <c r="K1149">
        <v>0</v>
      </c>
      <c r="L1149" t="s">
        <v>193</v>
      </c>
      <c r="M1149">
        <v>0</v>
      </c>
    </row>
    <row r="1150" spans="1:13" x14ac:dyDescent="0.3">
      <c r="A1150" t="s">
        <v>1359</v>
      </c>
      <c r="B1150">
        <v>71</v>
      </c>
      <c r="C1150" s="1">
        <v>44793</v>
      </c>
      <c r="D1150">
        <v>2022</v>
      </c>
      <c r="E1150" t="s">
        <v>227</v>
      </c>
      <c r="F1150" t="s">
        <v>13</v>
      </c>
      <c r="G1150" t="s">
        <v>191</v>
      </c>
      <c r="H1150" t="s">
        <v>192</v>
      </c>
      <c r="I1150">
        <v>12</v>
      </c>
      <c r="J1150">
        <v>3293.44</v>
      </c>
      <c r="K1150">
        <v>0</v>
      </c>
      <c r="L1150" t="s">
        <v>201</v>
      </c>
      <c r="M1150">
        <v>1</v>
      </c>
    </row>
    <row r="1151" spans="1:13" x14ac:dyDescent="0.3">
      <c r="A1151" t="s">
        <v>1360</v>
      </c>
      <c r="B1151">
        <v>71</v>
      </c>
      <c r="C1151" s="1">
        <v>44571</v>
      </c>
      <c r="D1151">
        <v>2022</v>
      </c>
      <c r="E1151" t="s">
        <v>198</v>
      </c>
      <c r="F1151" t="s">
        <v>199</v>
      </c>
      <c r="G1151" t="s">
        <v>203</v>
      </c>
      <c r="H1151" t="s">
        <v>195</v>
      </c>
      <c r="I1151">
        <v>2</v>
      </c>
      <c r="J1151">
        <v>3398.52</v>
      </c>
      <c r="K1151">
        <v>1</v>
      </c>
      <c r="L1151" t="s">
        <v>201</v>
      </c>
      <c r="M1151">
        <v>0</v>
      </c>
    </row>
    <row r="1152" spans="1:13" x14ac:dyDescent="0.3">
      <c r="A1152" t="s">
        <v>1361</v>
      </c>
      <c r="B1152">
        <v>71</v>
      </c>
      <c r="C1152" s="1">
        <v>44885</v>
      </c>
      <c r="D1152">
        <v>2022</v>
      </c>
      <c r="E1152" t="s">
        <v>225</v>
      </c>
      <c r="F1152" t="s">
        <v>209</v>
      </c>
      <c r="G1152" t="s">
        <v>212</v>
      </c>
      <c r="H1152" t="s">
        <v>192</v>
      </c>
      <c r="I1152">
        <v>7</v>
      </c>
      <c r="J1152">
        <v>43.96</v>
      </c>
      <c r="K1152">
        <v>0</v>
      </c>
      <c r="L1152" t="s">
        <v>210</v>
      </c>
      <c r="M1152">
        <v>1</v>
      </c>
    </row>
    <row r="1153" spans="1:13" x14ac:dyDescent="0.3">
      <c r="A1153" t="s">
        <v>1362</v>
      </c>
      <c r="B1153">
        <v>71</v>
      </c>
      <c r="C1153" s="1">
        <v>45476</v>
      </c>
      <c r="D1153">
        <v>2024</v>
      </c>
      <c r="E1153" t="s">
        <v>190</v>
      </c>
      <c r="F1153" t="s">
        <v>12</v>
      </c>
      <c r="G1153" t="s">
        <v>212</v>
      </c>
      <c r="H1153" t="s">
        <v>204</v>
      </c>
      <c r="I1153">
        <v>10</v>
      </c>
      <c r="J1153">
        <v>979.79</v>
      </c>
      <c r="K1153">
        <v>1</v>
      </c>
      <c r="L1153" t="s">
        <v>210</v>
      </c>
      <c r="M1153">
        <v>1</v>
      </c>
    </row>
    <row r="1154" spans="1:13" x14ac:dyDescent="0.3">
      <c r="A1154" t="s">
        <v>1363</v>
      </c>
      <c r="B1154">
        <v>71</v>
      </c>
      <c r="C1154" s="1">
        <v>45551</v>
      </c>
      <c r="D1154">
        <v>2024</v>
      </c>
      <c r="E1154" t="s">
        <v>198</v>
      </c>
      <c r="F1154" t="s">
        <v>13</v>
      </c>
      <c r="G1154" t="s">
        <v>200</v>
      </c>
      <c r="H1154" t="s">
        <v>192</v>
      </c>
      <c r="I1154">
        <v>6</v>
      </c>
      <c r="J1154">
        <v>3431.1</v>
      </c>
      <c r="K1154">
        <v>1</v>
      </c>
      <c r="L1154" t="s">
        <v>196</v>
      </c>
      <c r="M1154">
        <v>1</v>
      </c>
    </row>
    <row r="1155" spans="1:13" x14ac:dyDescent="0.3">
      <c r="A1155" t="s">
        <v>1364</v>
      </c>
      <c r="B1155">
        <v>71</v>
      </c>
      <c r="C1155" s="1">
        <v>45430</v>
      </c>
      <c r="D1155">
        <v>2024</v>
      </c>
      <c r="E1155" t="s">
        <v>190</v>
      </c>
      <c r="F1155" t="s">
        <v>13</v>
      </c>
      <c r="G1155" t="s">
        <v>191</v>
      </c>
      <c r="H1155" t="s">
        <v>204</v>
      </c>
      <c r="I1155">
        <v>6</v>
      </c>
      <c r="J1155">
        <v>3598</v>
      </c>
      <c r="K1155">
        <v>1</v>
      </c>
      <c r="L1155" t="s">
        <v>193</v>
      </c>
      <c r="M1155">
        <v>0</v>
      </c>
    </row>
    <row r="1156" spans="1:13" x14ac:dyDescent="0.3">
      <c r="A1156" t="s">
        <v>1365</v>
      </c>
      <c r="B1156">
        <v>71</v>
      </c>
      <c r="C1156" s="1">
        <v>45314</v>
      </c>
      <c r="D1156">
        <v>2024</v>
      </c>
      <c r="E1156" t="s">
        <v>214</v>
      </c>
      <c r="F1156" t="s">
        <v>209</v>
      </c>
      <c r="G1156" t="s">
        <v>200</v>
      </c>
      <c r="H1156" t="s">
        <v>192</v>
      </c>
      <c r="I1156">
        <v>9</v>
      </c>
      <c r="J1156">
        <v>20.47</v>
      </c>
      <c r="K1156">
        <v>0</v>
      </c>
      <c r="L1156" t="s">
        <v>201</v>
      </c>
      <c r="M1156">
        <v>1</v>
      </c>
    </row>
    <row r="1157" spans="1:13" x14ac:dyDescent="0.3">
      <c r="A1157" t="s">
        <v>1366</v>
      </c>
      <c r="B1157">
        <v>71</v>
      </c>
      <c r="C1157" s="1">
        <v>45704</v>
      </c>
      <c r="D1157">
        <v>2025</v>
      </c>
      <c r="E1157" t="s">
        <v>190</v>
      </c>
      <c r="F1157" t="s">
        <v>199</v>
      </c>
      <c r="G1157" t="s">
        <v>200</v>
      </c>
      <c r="H1157" t="s">
        <v>195</v>
      </c>
      <c r="I1157">
        <v>6</v>
      </c>
      <c r="J1157">
        <v>4409.12</v>
      </c>
      <c r="K1157">
        <v>0</v>
      </c>
      <c r="L1157" t="s">
        <v>193</v>
      </c>
      <c r="M1157">
        <v>1</v>
      </c>
    </row>
    <row r="1158" spans="1:13" x14ac:dyDescent="0.3">
      <c r="A1158" t="s">
        <v>1367</v>
      </c>
      <c r="B1158">
        <v>71</v>
      </c>
      <c r="C1158" s="1">
        <v>45677</v>
      </c>
      <c r="D1158">
        <v>2025</v>
      </c>
      <c r="E1158" t="s">
        <v>190</v>
      </c>
      <c r="F1158" t="s">
        <v>12</v>
      </c>
      <c r="G1158" t="s">
        <v>212</v>
      </c>
      <c r="H1158" t="s">
        <v>192</v>
      </c>
      <c r="I1158">
        <v>10</v>
      </c>
      <c r="J1158">
        <v>682.9</v>
      </c>
      <c r="K1158">
        <v>0</v>
      </c>
      <c r="L1158" t="s">
        <v>215</v>
      </c>
      <c r="M1158">
        <v>1</v>
      </c>
    </row>
    <row r="1159" spans="1:13" x14ac:dyDescent="0.3">
      <c r="A1159" t="s">
        <v>1368</v>
      </c>
      <c r="B1159">
        <v>72</v>
      </c>
      <c r="C1159" s="1">
        <v>44374</v>
      </c>
      <c r="D1159">
        <v>2021</v>
      </c>
      <c r="E1159" t="s">
        <v>214</v>
      </c>
      <c r="F1159" t="s">
        <v>199</v>
      </c>
      <c r="G1159" t="s">
        <v>203</v>
      </c>
      <c r="H1159" t="s">
        <v>195</v>
      </c>
      <c r="I1159">
        <v>13</v>
      </c>
      <c r="J1159">
        <v>3143.35</v>
      </c>
      <c r="K1159">
        <v>0</v>
      </c>
      <c r="L1159" t="s">
        <v>196</v>
      </c>
      <c r="M1159">
        <v>1</v>
      </c>
    </row>
    <row r="1160" spans="1:13" x14ac:dyDescent="0.3">
      <c r="A1160" t="s">
        <v>1369</v>
      </c>
      <c r="B1160">
        <v>72</v>
      </c>
      <c r="C1160" s="1">
        <v>44198</v>
      </c>
      <c r="D1160">
        <v>2021</v>
      </c>
      <c r="E1160" t="s">
        <v>219</v>
      </c>
      <c r="F1160" t="s">
        <v>199</v>
      </c>
      <c r="G1160" t="s">
        <v>191</v>
      </c>
      <c r="H1160" t="s">
        <v>206</v>
      </c>
      <c r="I1160">
        <v>19</v>
      </c>
      <c r="J1160">
        <v>4214.67</v>
      </c>
      <c r="K1160">
        <v>0</v>
      </c>
      <c r="L1160" t="s">
        <v>193</v>
      </c>
      <c r="M1160">
        <v>1</v>
      </c>
    </row>
    <row r="1161" spans="1:13" x14ac:dyDescent="0.3">
      <c r="A1161" t="s">
        <v>1370</v>
      </c>
      <c r="B1161">
        <v>72</v>
      </c>
      <c r="C1161" s="1">
        <v>44306</v>
      </c>
      <c r="D1161">
        <v>2021</v>
      </c>
      <c r="E1161" t="s">
        <v>190</v>
      </c>
      <c r="F1161" t="s">
        <v>13</v>
      </c>
      <c r="G1161" t="s">
        <v>212</v>
      </c>
      <c r="H1161" t="s">
        <v>192</v>
      </c>
      <c r="I1161">
        <v>14</v>
      </c>
      <c r="J1161">
        <v>1480.96</v>
      </c>
      <c r="K1161">
        <v>1</v>
      </c>
      <c r="L1161" t="s">
        <v>201</v>
      </c>
      <c r="M1161">
        <v>1</v>
      </c>
    </row>
    <row r="1162" spans="1:13" x14ac:dyDescent="0.3">
      <c r="A1162" t="s">
        <v>1371</v>
      </c>
      <c r="B1162">
        <v>72</v>
      </c>
      <c r="C1162" s="1">
        <v>44816</v>
      </c>
      <c r="D1162">
        <v>2022</v>
      </c>
      <c r="E1162" t="s">
        <v>219</v>
      </c>
      <c r="F1162" t="s">
        <v>12</v>
      </c>
      <c r="G1162" t="s">
        <v>212</v>
      </c>
      <c r="H1162" t="s">
        <v>195</v>
      </c>
      <c r="I1162">
        <v>10</v>
      </c>
      <c r="J1162">
        <v>276.3</v>
      </c>
      <c r="K1162">
        <v>0</v>
      </c>
      <c r="L1162" t="s">
        <v>196</v>
      </c>
      <c r="M1162">
        <v>1</v>
      </c>
    </row>
    <row r="1163" spans="1:13" x14ac:dyDescent="0.3">
      <c r="A1163" t="s">
        <v>1372</v>
      </c>
      <c r="B1163">
        <v>72</v>
      </c>
      <c r="C1163" s="1">
        <v>44633</v>
      </c>
      <c r="D1163">
        <v>2022</v>
      </c>
      <c r="E1163" t="s">
        <v>219</v>
      </c>
      <c r="F1163" t="s">
        <v>12</v>
      </c>
      <c r="G1163" t="s">
        <v>212</v>
      </c>
      <c r="H1163" t="s">
        <v>195</v>
      </c>
      <c r="I1163">
        <v>4</v>
      </c>
      <c r="J1163">
        <v>1136.6199999999999</v>
      </c>
      <c r="K1163">
        <v>0</v>
      </c>
      <c r="L1163" t="s">
        <v>196</v>
      </c>
      <c r="M1163">
        <v>1</v>
      </c>
    </row>
    <row r="1164" spans="1:13" x14ac:dyDescent="0.3">
      <c r="A1164" t="s">
        <v>1373</v>
      </c>
      <c r="B1164">
        <v>72</v>
      </c>
      <c r="C1164" s="1">
        <v>44662</v>
      </c>
      <c r="D1164">
        <v>2022</v>
      </c>
      <c r="E1164" t="s">
        <v>214</v>
      </c>
      <c r="F1164" t="s">
        <v>209</v>
      </c>
      <c r="G1164" t="s">
        <v>212</v>
      </c>
      <c r="H1164" t="s">
        <v>206</v>
      </c>
      <c r="I1164">
        <v>2</v>
      </c>
      <c r="J1164">
        <v>301.88</v>
      </c>
      <c r="K1164">
        <v>1</v>
      </c>
      <c r="L1164" t="s">
        <v>210</v>
      </c>
      <c r="M1164">
        <v>1</v>
      </c>
    </row>
    <row r="1165" spans="1:13" x14ac:dyDescent="0.3">
      <c r="A1165" t="s">
        <v>1374</v>
      </c>
      <c r="B1165">
        <v>72</v>
      </c>
      <c r="C1165" s="1">
        <v>44758</v>
      </c>
      <c r="D1165">
        <v>2022</v>
      </c>
      <c r="E1165" t="s">
        <v>198</v>
      </c>
      <c r="F1165" t="s">
        <v>13</v>
      </c>
      <c r="G1165" t="s">
        <v>212</v>
      </c>
      <c r="H1165" t="s">
        <v>206</v>
      </c>
      <c r="I1165">
        <v>2</v>
      </c>
      <c r="J1165">
        <v>3906.46</v>
      </c>
      <c r="K1165">
        <v>1</v>
      </c>
      <c r="L1165" t="s">
        <v>193</v>
      </c>
      <c r="M1165">
        <v>1</v>
      </c>
    </row>
    <row r="1166" spans="1:13" x14ac:dyDescent="0.3">
      <c r="A1166" t="s">
        <v>1375</v>
      </c>
      <c r="B1166">
        <v>72</v>
      </c>
      <c r="C1166" s="1">
        <v>45264</v>
      </c>
      <c r="D1166">
        <v>2023</v>
      </c>
      <c r="E1166" t="s">
        <v>219</v>
      </c>
      <c r="F1166" t="s">
        <v>12</v>
      </c>
      <c r="G1166" t="s">
        <v>212</v>
      </c>
      <c r="H1166" t="s">
        <v>192</v>
      </c>
      <c r="I1166">
        <v>5</v>
      </c>
      <c r="J1166">
        <v>1115.94</v>
      </c>
      <c r="K1166">
        <v>0</v>
      </c>
      <c r="L1166" t="s">
        <v>210</v>
      </c>
      <c r="M1166">
        <v>1</v>
      </c>
    </row>
    <row r="1167" spans="1:13" x14ac:dyDescent="0.3">
      <c r="A1167" t="s">
        <v>1376</v>
      </c>
      <c r="B1167">
        <v>72</v>
      </c>
      <c r="C1167" s="1">
        <v>45019</v>
      </c>
      <c r="D1167">
        <v>2023</v>
      </c>
      <c r="E1167" t="s">
        <v>214</v>
      </c>
      <c r="F1167" t="s">
        <v>12</v>
      </c>
      <c r="G1167" t="s">
        <v>191</v>
      </c>
      <c r="H1167" t="s">
        <v>195</v>
      </c>
      <c r="I1167">
        <v>9</v>
      </c>
      <c r="J1167">
        <v>723.22</v>
      </c>
      <c r="K1167">
        <v>0</v>
      </c>
      <c r="L1167" t="s">
        <v>210</v>
      </c>
      <c r="M1167">
        <v>0</v>
      </c>
    </row>
    <row r="1168" spans="1:13" x14ac:dyDescent="0.3">
      <c r="A1168" t="s">
        <v>1377</v>
      </c>
      <c r="B1168">
        <v>72</v>
      </c>
      <c r="C1168" s="1">
        <v>45171</v>
      </c>
      <c r="D1168">
        <v>2023</v>
      </c>
      <c r="E1168" t="s">
        <v>225</v>
      </c>
      <c r="F1168" t="s">
        <v>13</v>
      </c>
      <c r="G1168" t="s">
        <v>203</v>
      </c>
      <c r="H1168" t="s">
        <v>204</v>
      </c>
      <c r="I1168">
        <v>1</v>
      </c>
      <c r="J1168">
        <v>1334.32</v>
      </c>
      <c r="K1168">
        <v>0</v>
      </c>
      <c r="L1168" t="s">
        <v>193</v>
      </c>
      <c r="M1168">
        <v>1</v>
      </c>
    </row>
    <row r="1169" spans="1:13" x14ac:dyDescent="0.3">
      <c r="A1169" t="s">
        <v>1378</v>
      </c>
      <c r="B1169">
        <v>72</v>
      </c>
      <c r="C1169" s="1">
        <v>45352</v>
      </c>
      <c r="D1169">
        <v>2024</v>
      </c>
      <c r="E1169" t="s">
        <v>219</v>
      </c>
      <c r="F1169" t="s">
        <v>13</v>
      </c>
      <c r="G1169" t="s">
        <v>212</v>
      </c>
      <c r="H1169" t="s">
        <v>195</v>
      </c>
      <c r="I1169">
        <v>12</v>
      </c>
      <c r="J1169">
        <v>3133.5</v>
      </c>
      <c r="K1169">
        <v>1</v>
      </c>
      <c r="L1169" t="s">
        <v>201</v>
      </c>
      <c r="M1169">
        <v>1</v>
      </c>
    </row>
    <row r="1170" spans="1:13" x14ac:dyDescent="0.3">
      <c r="A1170" t="s">
        <v>1379</v>
      </c>
      <c r="B1170">
        <v>72</v>
      </c>
      <c r="C1170" s="1">
        <v>45319</v>
      </c>
      <c r="D1170">
        <v>2024</v>
      </c>
      <c r="E1170" t="s">
        <v>198</v>
      </c>
      <c r="F1170" t="s">
        <v>13</v>
      </c>
      <c r="G1170" t="s">
        <v>191</v>
      </c>
      <c r="H1170" t="s">
        <v>204</v>
      </c>
      <c r="I1170">
        <v>5</v>
      </c>
      <c r="J1170">
        <v>1239.78</v>
      </c>
      <c r="K1170">
        <v>1</v>
      </c>
      <c r="L1170" t="s">
        <v>196</v>
      </c>
      <c r="M1170">
        <v>1</v>
      </c>
    </row>
    <row r="1171" spans="1:13" x14ac:dyDescent="0.3">
      <c r="A1171" t="s">
        <v>1380</v>
      </c>
      <c r="B1171">
        <v>72</v>
      </c>
      <c r="C1171" s="1">
        <v>45584</v>
      </c>
      <c r="D1171">
        <v>2024</v>
      </c>
      <c r="E1171" t="s">
        <v>214</v>
      </c>
      <c r="F1171" t="s">
        <v>12</v>
      </c>
      <c r="G1171" t="s">
        <v>212</v>
      </c>
      <c r="H1171" t="s">
        <v>192</v>
      </c>
      <c r="I1171">
        <v>4</v>
      </c>
      <c r="J1171">
        <v>760.22</v>
      </c>
      <c r="K1171">
        <v>0</v>
      </c>
      <c r="L1171" t="s">
        <v>201</v>
      </c>
      <c r="M1171">
        <v>1</v>
      </c>
    </row>
    <row r="1172" spans="1:13" x14ac:dyDescent="0.3">
      <c r="A1172" t="s">
        <v>1381</v>
      </c>
      <c r="B1172">
        <v>72</v>
      </c>
      <c r="C1172" s="1">
        <v>45466</v>
      </c>
      <c r="D1172">
        <v>2024</v>
      </c>
      <c r="E1172" t="s">
        <v>225</v>
      </c>
      <c r="F1172" t="s">
        <v>199</v>
      </c>
      <c r="G1172" t="s">
        <v>200</v>
      </c>
      <c r="H1172" t="s">
        <v>195</v>
      </c>
      <c r="I1172">
        <v>13</v>
      </c>
      <c r="J1172">
        <v>2590.44</v>
      </c>
      <c r="K1172">
        <v>1</v>
      </c>
      <c r="L1172" t="s">
        <v>193</v>
      </c>
      <c r="M1172">
        <v>1</v>
      </c>
    </row>
    <row r="1173" spans="1:13" x14ac:dyDescent="0.3">
      <c r="A1173" t="s">
        <v>1382</v>
      </c>
      <c r="B1173">
        <v>72</v>
      </c>
      <c r="C1173" s="1">
        <v>45760</v>
      </c>
      <c r="D1173">
        <v>2025</v>
      </c>
      <c r="E1173" t="s">
        <v>219</v>
      </c>
      <c r="F1173" t="s">
        <v>209</v>
      </c>
      <c r="G1173" t="s">
        <v>191</v>
      </c>
      <c r="H1173" t="s">
        <v>195</v>
      </c>
      <c r="I1173">
        <v>5</v>
      </c>
      <c r="J1173">
        <v>141.9</v>
      </c>
      <c r="K1173">
        <v>0</v>
      </c>
      <c r="L1173" t="s">
        <v>215</v>
      </c>
      <c r="M1173">
        <v>1</v>
      </c>
    </row>
    <row r="1174" spans="1:13" x14ac:dyDescent="0.3">
      <c r="A1174" t="s">
        <v>1383</v>
      </c>
      <c r="B1174">
        <v>72</v>
      </c>
      <c r="C1174" s="1">
        <v>45810</v>
      </c>
      <c r="D1174">
        <v>2025</v>
      </c>
      <c r="E1174" t="s">
        <v>214</v>
      </c>
      <c r="F1174" t="s">
        <v>13</v>
      </c>
      <c r="G1174" t="s">
        <v>212</v>
      </c>
      <c r="H1174" t="s">
        <v>192</v>
      </c>
      <c r="I1174">
        <v>11</v>
      </c>
      <c r="J1174">
        <v>2286.8000000000002</v>
      </c>
      <c r="K1174">
        <v>0</v>
      </c>
      <c r="L1174" t="s">
        <v>193</v>
      </c>
      <c r="M1174">
        <v>1</v>
      </c>
    </row>
    <row r="1175" spans="1:13" x14ac:dyDescent="0.3">
      <c r="A1175" t="s">
        <v>1384</v>
      </c>
      <c r="B1175">
        <v>72</v>
      </c>
      <c r="C1175" s="1">
        <v>45934</v>
      </c>
      <c r="D1175">
        <v>2025</v>
      </c>
      <c r="E1175" t="s">
        <v>227</v>
      </c>
      <c r="F1175" t="s">
        <v>12</v>
      </c>
      <c r="G1175" t="s">
        <v>200</v>
      </c>
      <c r="H1175" t="s">
        <v>192</v>
      </c>
      <c r="I1175">
        <v>5</v>
      </c>
      <c r="J1175">
        <v>456.14</v>
      </c>
      <c r="K1175">
        <v>0</v>
      </c>
      <c r="L1175" t="s">
        <v>215</v>
      </c>
      <c r="M1175">
        <v>0</v>
      </c>
    </row>
    <row r="1176" spans="1:13" x14ac:dyDescent="0.3">
      <c r="A1176" t="s">
        <v>1385</v>
      </c>
      <c r="B1176">
        <v>73</v>
      </c>
      <c r="C1176" s="1">
        <v>44256</v>
      </c>
      <c r="D1176">
        <v>2021</v>
      </c>
      <c r="E1176" t="s">
        <v>225</v>
      </c>
      <c r="F1176" t="s">
        <v>13</v>
      </c>
      <c r="G1176" t="s">
        <v>212</v>
      </c>
      <c r="H1176" t="s">
        <v>206</v>
      </c>
      <c r="I1176">
        <v>5</v>
      </c>
      <c r="J1176">
        <v>2402.4699999999998</v>
      </c>
      <c r="K1176">
        <v>0</v>
      </c>
      <c r="L1176" t="s">
        <v>201</v>
      </c>
      <c r="M1176">
        <v>1</v>
      </c>
    </row>
    <row r="1177" spans="1:13" x14ac:dyDescent="0.3">
      <c r="A1177" t="s">
        <v>1386</v>
      </c>
      <c r="B1177">
        <v>73</v>
      </c>
      <c r="C1177" s="1">
        <v>44246</v>
      </c>
      <c r="D1177">
        <v>2021</v>
      </c>
      <c r="E1177" t="s">
        <v>214</v>
      </c>
      <c r="F1177" t="s">
        <v>12</v>
      </c>
      <c r="G1177" t="s">
        <v>212</v>
      </c>
      <c r="H1177" t="s">
        <v>195</v>
      </c>
      <c r="I1177">
        <v>15</v>
      </c>
      <c r="J1177">
        <v>1458.76</v>
      </c>
      <c r="K1177">
        <v>1</v>
      </c>
      <c r="L1177" t="s">
        <v>215</v>
      </c>
      <c r="M1177">
        <v>1</v>
      </c>
    </row>
    <row r="1178" spans="1:13" x14ac:dyDescent="0.3">
      <c r="A1178" t="s">
        <v>1387</v>
      </c>
      <c r="B1178">
        <v>73</v>
      </c>
      <c r="C1178" s="1">
        <v>44418</v>
      </c>
      <c r="D1178">
        <v>2021</v>
      </c>
      <c r="E1178" t="s">
        <v>214</v>
      </c>
      <c r="F1178" t="s">
        <v>12</v>
      </c>
      <c r="G1178" t="s">
        <v>191</v>
      </c>
      <c r="H1178" t="s">
        <v>206</v>
      </c>
      <c r="I1178">
        <v>11</v>
      </c>
      <c r="J1178">
        <v>607.29</v>
      </c>
      <c r="K1178">
        <v>0</v>
      </c>
      <c r="L1178" t="s">
        <v>215</v>
      </c>
      <c r="M1178">
        <v>0</v>
      </c>
    </row>
    <row r="1179" spans="1:13" x14ac:dyDescent="0.3">
      <c r="A1179" t="s">
        <v>1388</v>
      </c>
      <c r="B1179">
        <v>73</v>
      </c>
      <c r="C1179" s="1">
        <v>44355</v>
      </c>
      <c r="D1179">
        <v>2021</v>
      </c>
      <c r="E1179" t="s">
        <v>214</v>
      </c>
      <c r="F1179" t="s">
        <v>209</v>
      </c>
      <c r="G1179" t="s">
        <v>212</v>
      </c>
      <c r="H1179" t="s">
        <v>195</v>
      </c>
      <c r="I1179">
        <v>5</v>
      </c>
      <c r="J1179">
        <v>208.72</v>
      </c>
      <c r="K1179">
        <v>0</v>
      </c>
      <c r="L1179" t="s">
        <v>193</v>
      </c>
      <c r="M1179">
        <v>1</v>
      </c>
    </row>
    <row r="1180" spans="1:13" x14ac:dyDescent="0.3">
      <c r="A1180" t="s">
        <v>1389</v>
      </c>
      <c r="B1180">
        <v>73</v>
      </c>
      <c r="C1180" s="1">
        <v>44341</v>
      </c>
      <c r="D1180">
        <v>2021</v>
      </c>
      <c r="E1180" t="s">
        <v>287</v>
      </c>
      <c r="F1180" t="s">
        <v>12</v>
      </c>
      <c r="G1180" t="s">
        <v>212</v>
      </c>
      <c r="H1180" t="s">
        <v>195</v>
      </c>
      <c r="I1180">
        <v>13</v>
      </c>
      <c r="J1180">
        <v>1020.66</v>
      </c>
      <c r="K1180">
        <v>1</v>
      </c>
      <c r="L1180" t="s">
        <v>215</v>
      </c>
      <c r="M1180">
        <v>1</v>
      </c>
    </row>
    <row r="1181" spans="1:13" x14ac:dyDescent="0.3">
      <c r="A1181" t="s">
        <v>1390</v>
      </c>
      <c r="B1181">
        <v>73</v>
      </c>
      <c r="C1181" s="1">
        <v>44934</v>
      </c>
      <c r="D1181">
        <v>2023</v>
      </c>
      <c r="E1181" t="s">
        <v>287</v>
      </c>
      <c r="F1181" t="s">
        <v>12</v>
      </c>
      <c r="G1181" t="s">
        <v>212</v>
      </c>
      <c r="H1181" t="s">
        <v>195</v>
      </c>
      <c r="I1181">
        <v>9</v>
      </c>
      <c r="J1181">
        <v>637</v>
      </c>
      <c r="K1181">
        <v>0</v>
      </c>
      <c r="L1181" t="s">
        <v>210</v>
      </c>
      <c r="M1181">
        <v>1</v>
      </c>
    </row>
    <row r="1182" spans="1:13" x14ac:dyDescent="0.3">
      <c r="A1182" t="s">
        <v>1391</v>
      </c>
      <c r="B1182">
        <v>73</v>
      </c>
      <c r="C1182" s="1">
        <v>45061</v>
      </c>
      <c r="D1182">
        <v>2023</v>
      </c>
      <c r="E1182" t="s">
        <v>198</v>
      </c>
      <c r="F1182" t="s">
        <v>199</v>
      </c>
      <c r="G1182" t="s">
        <v>200</v>
      </c>
      <c r="H1182" t="s">
        <v>195</v>
      </c>
      <c r="I1182">
        <v>10</v>
      </c>
      <c r="J1182">
        <v>6898.77</v>
      </c>
      <c r="K1182">
        <v>1</v>
      </c>
      <c r="L1182" t="s">
        <v>201</v>
      </c>
      <c r="M1182">
        <v>0</v>
      </c>
    </row>
    <row r="1183" spans="1:13" x14ac:dyDescent="0.3">
      <c r="A1183" t="s">
        <v>1392</v>
      </c>
      <c r="B1183">
        <v>73</v>
      </c>
      <c r="C1183" s="1">
        <v>45084</v>
      </c>
      <c r="D1183">
        <v>2023</v>
      </c>
      <c r="E1183" t="s">
        <v>190</v>
      </c>
      <c r="F1183" t="s">
        <v>209</v>
      </c>
      <c r="G1183" t="s">
        <v>212</v>
      </c>
      <c r="H1183" t="s">
        <v>195</v>
      </c>
      <c r="I1183">
        <v>16</v>
      </c>
      <c r="J1183">
        <v>570.67999999999995</v>
      </c>
      <c r="K1183">
        <v>0</v>
      </c>
      <c r="L1183" t="s">
        <v>210</v>
      </c>
      <c r="M1183">
        <v>1</v>
      </c>
    </row>
    <row r="1184" spans="1:13" x14ac:dyDescent="0.3">
      <c r="A1184" t="s">
        <v>1393</v>
      </c>
      <c r="B1184">
        <v>73</v>
      </c>
      <c r="C1184" s="1">
        <v>45091</v>
      </c>
      <c r="D1184">
        <v>2023</v>
      </c>
      <c r="E1184" t="s">
        <v>227</v>
      </c>
      <c r="F1184" t="s">
        <v>13</v>
      </c>
      <c r="G1184" t="s">
        <v>212</v>
      </c>
      <c r="H1184" t="s">
        <v>195</v>
      </c>
      <c r="I1184">
        <v>5</v>
      </c>
      <c r="J1184">
        <v>1537.73</v>
      </c>
      <c r="K1184">
        <v>0</v>
      </c>
      <c r="L1184" t="s">
        <v>201</v>
      </c>
      <c r="M1184">
        <v>1</v>
      </c>
    </row>
    <row r="1185" spans="1:13" x14ac:dyDescent="0.3">
      <c r="A1185" t="s">
        <v>1394</v>
      </c>
      <c r="B1185">
        <v>73</v>
      </c>
      <c r="C1185" s="1">
        <v>45210</v>
      </c>
      <c r="D1185">
        <v>2023</v>
      </c>
      <c r="E1185" t="s">
        <v>225</v>
      </c>
      <c r="F1185" t="s">
        <v>13</v>
      </c>
      <c r="G1185" t="s">
        <v>200</v>
      </c>
      <c r="H1185" t="s">
        <v>204</v>
      </c>
      <c r="I1185">
        <v>5</v>
      </c>
      <c r="J1185">
        <v>1792.64</v>
      </c>
      <c r="K1185">
        <v>0</v>
      </c>
      <c r="L1185" t="s">
        <v>201</v>
      </c>
      <c r="M1185">
        <v>0</v>
      </c>
    </row>
    <row r="1186" spans="1:13" x14ac:dyDescent="0.3">
      <c r="A1186" t="s">
        <v>1395</v>
      </c>
      <c r="B1186">
        <v>73</v>
      </c>
      <c r="C1186" s="1">
        <v>45100</v>
      </c>
      <c r="D1186">
        <v>2023</v>
      </c>
      <c r="E1186" t="s">
        <v>287</v>
      </c>
      <c r="F1186" t="s">
        <v>199</v>
      </c>
      <c r="G1186" t="s">
        <v>212</v>
      </c>
      <c r="H1186" t="s">
        <v>206</v>
      </c>
      <c r="I1186">
        <v>15</v>
      </c>
      <c r="J1186">
        <v>5031.29</v>
      </c>
      <c r="K1186">
        <v>0</v>
      </c>
      <c r="L1186" t="s">
        <v>193</v>
      </c>
      <c r="M1186">
        <v>1</v>
      </c>
    </row>
    <row r="1187" spans="1:13" x14ac:dyDescent="0.3">
      <c r="A1187" t="s">
        <v>1396</v>
      </c>
      <c r="B1187">
        <v>73</v>
      </c>
      <c r="C1187" s="1">
        <v>45556</v>
      </c>
      <c r="D1187">
        <v>2024</v>
      </c>
      <c r="E1187" t="s">
        <v>219</v>
      </c>
      <c r="F1187" t="s">
        <v>12</v>
      </c>
      <c r="G1187" t="s">
        <v>191</v>
      </c>
      <c r="H1187" t="s">
        <v>206</v>
      </c>
      <c r="I1187">
        <v>3</v>
      </c>
      <c r="J1187">
        <v>1309.52</v>
      </c>
      <c r="K1187">
        <v>0</v>
      </c>
      <c r="L1187" t="s">
        <v>210</v>
      </c>
      <c r="M1187">
        <v>0</v>
      </c>
    </row>
    <row r="1188" spans="1:13" x14ac:dyDescent="0.3">
      <c r="A1188" t="s">
        <v>1397</v>
      </c>
      <c r="B1188">
        <v>73</v>
      </c>
      <c r="C1188" s="1">
        <v>45340</v>
      </c>
      <c r="D1188">
        <v>2024</v>
      </c>
      <c r="E1188" t="s">
        <v>214</v>
      </c>
      <c r="F1188" t="s">
        <v>13</v>
      </c>
      <c r="G1188" t="s">
        <v>191</v>
      </c>
      <c r="H1188" t="s">
        <v>204</v>
      </c>
      <c r="I1188">
        <v>5</v>
      </c>
      <c r="J1188">
        <v>2881.6</v>
      </c>
      <c r="K1188">
        <v>0</v>
      </c>
      <c r="L1188" t="s">
        <v>193</v>
      </c>
      <c r="M1188">
        <v>1</v>
      </c>
    </row>
    <row r="1189" spans="1:13" x14ac:dyDescent="0.3">
      <c r="A1189" t="s">
        <v>1398</v>
      </c>
      <c r="B1189">
        <v>73</v>
      </c>
      <c r="C1189" s="1">
        <v>45465</v>
      </c>
      <c r="D1189">
        <v>2024</v>
      </c>
      <c r="E1189" t="s">
        <v>214</v>
      </c>
      <c r="F1189" t="s">
        <v>13</v>
      </c>
      <c r="G1189" t="s">
        <v>191</v>
      </c>
      <c r="H1189" t="s">
        <v>192</v>
      </c>
      <c r="I1189">
        <v>9</v>
      </c>
      <c r="J1189">
        <v>3082.19</v>
      </c>
      <c r="K1189">
        <v>0</v>
      </c>
      <c r="L1189" t="s">
        <v>210</v>
      </c>
      <c r="M1189">
        <v>0</v>
      </c>
    </row>
    <row r="1190" spans="1:13" x14ac:dyDescent="0.3">
      <c r="A1190" t="s">
        <v>1399</v>
      </c>
      <c r="B1190">
        <v>73</v>
      </c>
      <c r="C1190" s="1">
        <v>45775</v>
      </c>
      <c r="D1190">
        <v>2025</v>
      </c>
      <c r="E1190" t="s">
        <v>227</v>
      </c>
      <c r="F1190" t="s">
        <v>13</v>
      </c>
      <c r="G1190" t="s">
        <v>212</v>
      </c>
      <c r="H1190" t="s">
        <v>195</v>
      </c>
      <c r="I1190">
        <v>5</v>
      </c>
      <c r="J1190">
        <v>2810.41</v>
      </c>
      <c r="K1190">
        <v>0</v>
      </c>
      <c r="L1190" t="s">
        <v>201</v>
      </c>
      <c r="M1190">
        <v>1</v>
      </c>
    </row>
    <row r="1191" spans="1:13" x14ac:dyDescent="0.3">
      <c r="A1191" t="s">
        <v>1400</v>
      </c>
      <c r="B1191">
        <v>73</v>
      </c>
      <c r="C1191" s="1">
        <v>45775</v>
      </c>
      <c r="D1191">
        <v>2025</v>
      </c>
      <c r="E1191" t="s">
        <v>198</v>
      </c>
      <c r="F1191" t="s">
        <v>13</v>
      </c>
      <c r="G1191" t="s">
        <v>212</v>
      </c>
      <c r="H1191" t="s">
        <v>195</v>
      </c>
      <c r="I1191">
        <v>11</v>
      </c>
      <c r="J1191">
        <v>3358.4</v>
      </c>
      <c r="K1191">
        <v>1</v>
      </c>
      <c r="L1191" t="s">
        <v>193</v>
      </c>
      <c r="M1191">
        <v>1</v>
      </c>
    </row>
    <row r="1192" spans="1:13" x14ac:dyDescent="0.3">
      <c r="A1192" t="s">
        <v>1401</v>
      </c>
      <c r="B1192">
        <v>73</v>
      </c>
      <c r="C1192" s="1">
        <v>45848</v>
      </c>
      <c r="D1192">
        <v>2025</v>
      </c>
      <c r="E1192" t="s">
        <v>214</v>
      </c>
      <c r="F1192" t="s">
        <v>12</v>
      </c>
      <c r="G1192" t="s">
        <v>212</v>
      </c>
      <c r="H1192" t="s">
        <v>195</v>
      </c>
      <c r="I1192">
        <v>8</v>
      </c>
      <c r="J1192">
        <v>550.09</v>
      </c>
      <c r="K1192">
        <v>0</v>
      </c>
      <c r="L1192" t="s">
        <v>215</v>
      </c>
      <c r="M1192">
        <v>1</v>
      </c>
    </row>
    <row r="1193" spans="1:13" x14ac:dyDescent="0.3">
      <c r="A1193" t="s">
        <v>1402</v>
      </c>
      <c r="B1193">
        <v>73</v>
      </c>
      <c r="C1193" s="1">
        <v>45882</v>
      </c>
      <c r="D1193">
        <v>2025</v>
      </c>
      <c r="E1193" t="s">
        <v>219</v>
      </c>
      <c r="F1193" t="s">
        <v>13</v>
      </c>
      <c r="G1193" t="s">
        <v>200</v>
      </c>
      <c r="H1193" t="s">
        <v>195</v>
      </c>
      <c r="I1193">
        <v>18</v>
      </c>
      <c r="J1193">
        <v>2420.19</v>
      </c>
      <c r="K1193">
        <v>0</v>
      </c>
      <c r="L1193" t="s">
        <v>201</v>
      </c>
      <c r="M1193">
        <v>0</v>
      </c>
    </row>
    <row r="1194" spans="1:13" x14ac:dyDescent="0.3">
      <c r="A1194" t="s">
        <v>1403</v>
      </c>
      <c r="B1194">
        <v>73</v>
      </c>
      <c r="C1194" s="1">
        <v>46009</v>
      </c>
      <c r="D1194">
        <v>2025</v>
      </c>
      <c r="E1194" t="s">
        <v>198</v>
      </c>
      <c r="F1194" t="s">
        <v>13</v>
      </c>
      <c r="G1194" t="s">
        <v>200</v>
      </c>
      <c r="H1194" t="s">
        <v>206</v>
      </c>
      <c r="I1194">
        <v>5</v>
      </c>
      <c r="J1194">
        <v>1547.08</v>
      </c>
      <c r="K1194">
        <v>1</v>
      </c>
      <c r="L1194" t="s">
        <v>201</v>
      </c>
      <c r="M1194">
        <v>1</v>
      </c>
    </row>
    <row r="1195" spans="1:13" x14ac:dyDescent="0.3">
      <c r="A1195" t="s">
        <v>1404</v>
      </c>
      <c r="B1195">
        <v>74</v>
      </c>
      <c r="C1195" s="1">
        <v>44397</v>
      </c>
      <c r="D1195">
        <v>2021</v>
      </c>
      <c r="E1195" t="s">
        <v>214</v>
      </c>
      <c r="F1195" t="s">
        <v>13</v>
      </c>
      <c r="G1195" t="s">
        <v>200</v>
      </c>
      <c r="H1195" t="s">
        <v>192</v>
      </c>
      <c r="I1195">
        <v>6</v>
      </c>
      <c r="J1195">
        <v>1414.9</v>
      </c>
      <c r="K1195">
        <v>0</v>
      </c>
      <c r="L1195" t="s">
        <v>201</v>
      </c>
      <c r="M1195">
        <v>0</v>
      </c>
    </row>
    <row r="1196" spans="1:13" x14ac:dyDescent="0.3">
      <c r="A1196" t="s">
        <v>1405</v>
      </c>
      <c r="B1196">
        <v>74</v>
      </c>
      <c r="C1196" s="1">
        <v>44835</v>
      </c>
      <c r="D1196">
        <v>2022</v>
      </c>
      <c r="E1196" t="s">
        <v>219</v>
      </c>
      <c r="F1196" t="s">
        <v>199</v>
      </c>
      <c r="G1196" t="s">
        <v>203</v>
      </c>
      <c r="H1196" t="s">
        <v>192</v>
      </c>
      <c r="I1196">
        <v>2</v>
      </c>
      <c r="J1196">
        <v>4381.53</v>
      </c>
      <c r="K1196">
        <v>0</v>
      </c>
      <c r="L1196" t="s">
        <v>193</v>
      </c>
      <c r="M1196">
        <v>1</v>
      </c>
    </row>
    <row r="1197" spans="1:13" x14ac:dyDescent="0.3">
      <c r="A1197" t="s">
        <v>1406</v>
      </c>
      <c r="B1197">
        <v>74</v>
      </c>
      <c r="C1197" s="1">
        <v>44726</v>
      </c>
      <c r="D1197">
        <v>2022</v>
      </c>
      <c r="E1197" t="s">
        <v>219</v>
      </c>
      <c r="F1197" t="s">
        <v>209</v>
      </c>
      <c r="G1197" t="s">
        <v>212</v>
      </c>
      <c r="H1197" t="s">
        <v>195</v>
      </c>
      <c r="I1197">
        <v>5</v>
      </c>
      <c r="J1197">
        <v>429.97</v>
      </c>
      <c r="K1197">
        <v>0</v>
      </c>
      <c r="L1197" t="s">
        <v>215</v>
      </c>
      <c r="M1197">
        <v>1</v>
      </c>
    </row>
    <row r="1198" spans="1:13" x14ac:dyDescent="0.3">
      <c r="A1198" t="s">
        <v>1407</v>
      </c>
      <c r="B1198">
        <v>74</v>
      </c>
      <c r="C1198" s="1">
        <v>44658</v>
      </c>
      <c r="D1198">
        <v>2022</v>
      </c>
      <c r="E1198" t="s">
        <v>214</v>
      </c>
      <c r="F1198" t="s">
        <v>13</v>
      </c>
      <c r="G1198" t="s">
        <v>191</v>
      </c>
      <c r="H1198" t="s">
        <v>195</v>
      </c>
      <c r="I1198">
        <v>8</v>
      </c>
      <c r="J1198">
        <v>1384.84</v>
      </c>
      <c r="K1198">
        <v>0</v>
      </c>
      <c r="L1198" t="s">
        <v>201</v>
      </c>
      <c r="M1198">
        <v>0</v>
      </c>
    </row>
    <row r="1199" spans="1:13" x14ac:dyDescent="0.3">
      <c r="A1199" t="s">
        <v>1408</v>
      </c>
      <c r="B1199">
        <v>74</v>
      </c>
      <c r="C1199" s="1">
        <v>44606</v>
      </c>
      <c r="D1199">
        <v>2022</v>
      </c>
      <c r="E1199" t="s">
        <v>219</v>
      </c>
      <c r="F1199" t="s">
        <v>199</v>
      </c>
      <c r="G1199" t="s">
        <v>203</v>
      </c>
      <c r="H1199" t="s">
        <v>192</v>
      </c>
      <c r="I1199">
        <v>8</v>
      </c>
      <c r="J1199">
        <v>5129.78</v>
      </c>
      <c r="K1199">
        <v>0</v>
      </c>
      <c r="L1199" t="s">
        <v>193</v>
      </c>
      <c r="M1199">
        <v>0</v>
      </c>
    </row>
    <row r="1200" spans="1:13" x14ac:dyDescent="0.3">
      <c r="A1200" t="s">
        <v>1409</v>
      </c>
      <c r="B1200">
        <v>74</v>
      </c>
      <c r="C1200" s="1">
        <v>44934</v>
      </c>
      <c r="D1200">
        <v>2023</v>
      </c>
      <c r="E1200" t="s">
        <v>225</v>
      </c>
      <c r="F1200" t="s">
        <v>209</v>
      </c>
      <c r="G1200" t="s">
        <v>212</v>
      </c>
      <c r="H1200" t="s">
        <v>195</v>
      </c>
      <c r="I1200">
        <v>12</v>
      </c>
      <c r="J1200">
        <v>302.05</v>
      </c>
      <c r="K1200">
        <v>0</v>
      </c>
      <c r="L1200" t="s">
        <v>215</v>
      </c>
      <c r="M1200">
        <v>1</v>
      </c>
    </row>
    <row r="1201" spans="1:13" x14ac:dyDescent="0.3">
      <c r="A1201" t="s">
        <v>1410</v>
      </c>
      <c r="B1201">
        <v>74</v>
      </c>
      <c r="C1201" s="1">
        <v>44981</v>
      </c>
      <c r="D1201">
        <v>2023</v>
      </c>
      <c r="E1201" t="s">
        <v>198</v>
      </c>
      <c r="F1201" t="s">
        <v>13</v>
      </c>
      <c r="G1201" t="s">
        <v>191</v>
      </c>
      <c r="H1201" t="s">
        <v>192</v>
      </c>
      <c r="I1201">
        <v>6</v>
      </c>
      <c r="J1201">
        <v>1160.94</v>
      </c>
      <c r="K1201">
        <v>1</v>
      </c>
      <c r="L1201" t="s">
        <v>201</v>
      </c>
      <c r="M1201">
        <v>0</v>
      </c>
    </row>
    <row r="1202" spans="1:13" x14ac:dyDescent="0.3">
      <c r="A1202" t="s">
        <v>1411</v>
      </c>
      <c r="B1202">
        <v>74</v>
      </c>
      <c r="C1202" s="1">
        <v>45123</v>
      </c>
      <c r="D1202">
        <v>2023</v>
      </c>
      <c r="E1202" t="s">
        <v>190</v>
      </c>
      <c r="F1202" t="s">
        <v>12</v>
      </c>
      <c r="G1202" t="s">
        <v>203</v>
      </c>
      <c r="H1202" t="s">
        <v>206</v>
      </c>
      <c r="I1202">
        <v>1</v>
      </c>
      <c r="J1202">
        <v>422.15</v>
      </c>
      <c r="K1202">
        <v>0</v>
      </c>
      <c r="L1202" t="s">
        <v>201</v>
      </c>
      <c r="M1202">
        <v>1</v>
      </c>
    </row>
    <row r="1203" spans="1:13" x14ac:dyDescent="0.3">
      <c r="A1203" t="s">
        <v>1412</v>
      </c>
      <c r="B1203">
        <v>74</v>
      </c>
      <c r="C1203" s="1">
        <v>44986</v>
      </c>
      <c r="D1203">
        <v>2023</v>
      </c>
      <c r="E1203" t="s">
        <v>198</v>
      </c>
      <c r="F1203" t="s">
        <v>199</v>
      </c>
      <c r="G1203" t="s">
        <v>212</v>
      </c>
      <c r="H1203" t="s">
        <v>192</v>
      </c>
      <c r="I1203">
        <v>15</v>
      </c>
      <c r="J1203">
        <v>7691.1</v>
      </c>
      <c r="K1203">
        <v>1</v>
      </c>
      <c r="L1203" t="s">
        <v>196</v>
      </c>
      <c r="M1203">
        <v>1</v>
      </c>
    </row>
    <row r="1204" spans="1:13" x14ac:dyDescent="0.3">
      <c r="A1204" t="s">
        <v>1413</v>
      </c>
      <c r="B1204">
        <v>74</v>
      </c>
      <c r="C1204" s="1">
        <v>45131</v>
      </c>
      <c r="D1204">
        <v>2023</v>
      </c>
      <c r="E1204" t="s">
        <v>227</v>
      </c>
      <c r="F1204" t="s">
        <v>13</v>
      </c>
      <c r="G1204" t="s">
        <v>203</v>
      </c>
      <c r="H1204" t="s">
        <v>195</v>
      </c>
      <c r="I1204">
        <v>10</v>
      </c>
      <c r="J1204">
        <v>2937.07</v>
      </c>
      <c r="K1204">
        <v>0</v>
      </c>
      <c r="L1204" t="s">
        <v>193</v>
      </c>
      <c r="M1204">
        <v>0</v>
      </c>
    </row>
    <row r="1205" spans="1:13" x14ac:dyDescent="0.3">
      <c r="A1205" t="s">
        <v>1414</v>
      </c>
      <c r="B1205">
        <v>74</v>
      </c>
      <c r="C1205" s="1">
        <v>45651</v>
      </c>
      <c r="D1205">
        <v>2024</v>
      </c>
      <c r="E1205" t="s">
        <v>219</v>
      </c>
      <c r="F1205" t="s">
        <v>12</v>
      </c>
      <c r="G1205" t="s">
        <v>212</v>
      </c>
      <c r="H1205" t="s">
        <v>192</v>
      </c>
      <c r="I1205">
        <v>9</v>
      </c>
      <c r="J1205">
        <v>597.25</v>
      </c>
      <c r="K1205">
        <v>0</v>
      </c>
      <c r="L1205" t="s">
        <v>201</v>
      </c>
      <c r="M1205">
        <v>1</v>
      </c>
    </row>
    <row r="1206" spans="1:13" x14ac:dyDescent="0.3">
      <c r="A1206" t="s">
        <v>1415</v>
      </c>
      <c r="B1206">
        <v>74</v>
      </c>
      <c r="C1206" s="1">
        <v>45432</v>
      </c>
      <c r="D1206">
        <v>2024</v>
      </c>
      <c r="E1206" t="s">
        <v>190</v>
      </c>
      <c r="F1206" t="s">
        <v>12</v>
      </c>
      <c r="G1206" t="s">
        <v>200</v>
      </c>
      <c r="H1206" t="s">
        <v>192</v>
      </c>
      <c r="I1206">
        <v>1</v>
      </c>
      <c r="J1206">
        <v>1360.93</v>
      </c>
      <c r="K1206">
        <v>0</v>
      </c>
      <c r="L1206" t="s">
        <v>210</v>
      </c>
      <c r="M1206">
        <v>0</v>
      </c>
    </row>
    <row r="1207" spans="1:13" x14ac:dyDescent="0.3">
      <c r="A1207" t="s">
        <v>1416</v>
      </c>
      <c r="B1207">
        <v>74</v>
      </c>
      <c r="C1207" s="1">
        <v>45652</v>
      </c>
      <c r="D1207">
        <v>2024</v>
      </c>
      <c r="E1207" t="s">
        <v>219</v>
      </c>
      <c r="F1207" t="s">
        <v>209</v>
      </c>
      <c r="G1207" t="s">
        <v>212</v>
      </c>
      <c r="H1207" t="s">
        <v>195</v>
      </c>
      <c r="I1207">
        <v>9</v>
      </c>
      <c r="J1207">
        <v>177.96</v>
      </c>
      <c r="K1207">
        <v>0</v>
      </c>
      <c r="L1207" t="s">
        <v>210</v>
      </c>
      <c r="M1207">
        <v>1</v>
      </c>
    </row>
    <row r="1208" spans="1:13" x14ac:dyDescent="0.3">
      <c r="A1208" t="s">
        <v>1417</v>
      </c>
      <c r="B1208">
        <v>74</v>
      </c>
      <c r="C1208" s="1">
        <v>45790</v>
      </c>
      <c r="D1208">
        <v>2025</v>
      </c>
      <c r="E1208" t="s">
        <v>214</v>
      </c>
      <c r="F1208" t="s">
        <v>209</v>
      </c>
      <c r="G1208" t="s">
        <v>212</v>
      </c>
      <c r="H1208" t="s">
        <v>204</v>
      </c>
      <c r="I1208">
        <v>9</v>
      </c>
      <c r="J1208">
        <v>560.74</v>
      </c>
      <c r="K1208">
        <v>0</v>
      </c>
      <c r="L1208" t="s">
        <v>193</v>
      </c>
      <c r="M1208">
        <v>1</v>
      </c>
    </row>
    <row r="1209" spans="1:13" x14ac:dyDescent="0.3">
      <c r="A1209" t="s">
        <v>1418</v>
      </c>
      <c r="B1209">
        <v>74</v>
      </c>
      <c r="C1209" s="1">
        <v>45989</v>
      </c>
      <c r="D1209">
        <v>2025</v>
      </c>
      <c r="E1209" t="s">
        <v>287</v>
      </c>
      <c r="F1209" t="s">
        <v>12</v>
      </c>
      <c r="G1209" t="s">
        <v>203</v>
      </c>
      <c r="H1209" t="s">
        <v>195</v>
      </c>
      <c r="I1209">
        <v>9</v>
      </c>
      <c r="J1209">
        <v>534.97</v>
      </c>
      <c r="K1209">
        <v>0</v>
      </c>
      <c r="L1209" t="s">
        <v>210</v>
      </c>
      <c r="M1209">
        <v>0</v>
      </c>
    </row>
    <row r="1210" spans="1:13" x14ac:dyDescent="0.3">
      <c r="A1210" t="s">
        <v>1419</v>
      </c>
      <c r="B1210">
        <v>74</v>
      </c>
      <c r="C1210" s="1">
        <v>45883</v>
      </c>
      <c r="D1210">
        <v>2025</v>
      </c>
      <c r="E1210" t="s">
        <v>190</v>
      </c>
      <c r="F1210" t="s">
        <v>199</v>
      </c>
      <c r="G1210" t="s">
        <v>191</v>
      </c>
      <c r="H1210" t="s">
        <v>204</v>
      </c>
      <c r="I1210">
        <v>7</v>
      </c>
      <c r="J1210">
        <v>3562.1</v>
      </c>
      <c r="K1210">
        <v>0</v>
      </c>
      <c r="L1210" t="s">
        <v>201</v>
      </c>
      <c r="M1210">
        <v>1</v>
      </c>
    </row>
    <row r="1211" spans="1:13" x14ac:dyDescent="0.3">
      <c r="A1211" t="s">
        <v>1420</v>
      </c>
      <c r="B1211">
        <v>75</v>
      </c>
      <c r="C1211" s="1">
        <v>44322</v>
      </c>
      <c r="D1211">
        <v>2021</v>
      </c>
      <c r="E1211" t="s">
        <v>190</v>
      </c>
      <c r="F1211" t="s">
        <v>13</v>
      </c>
      <c r="G1211" t="s">
        <v>200</v>
      </c>
      <c r="H1211" t="s">
        <v>204</v>
      </c>
      <c r="I1211">
        <v>7</v>
      </c>
      <c r="J1211">
        <v>2383.29</v>
      </c>
      <c r="K1211">
        <v>0</v>
      </c>
      <c r="L1211" t="s">
        <v>201</v>
      </c>
      <c r="M1211">
        <v>1</v>
      </c>
    </row>
    <row r="1212" spans="1:13" x14ac:dyDescent="0.3">
      <c r="A1212" t="s">
        <v>1421</v>
      </c>
      <c r="B1212">
        <v>75</v>
      </c>
      <c r="C1212" s="1">
        <v>44456</v>
      </c>
      <c r="D1212">
        <v>2021</v>
      </c>
      <c r="E1212" t="s">
        <v>214</v>
      </c>
      <c r="F1212" t="s">
        <v>199</v>
      </c>
      <c r="G1212" t="s">
        <v>203</v>
      </c>
      <c r="H1212" t="s">
        <v>206</v>
      </c>
      <c r="I1212">
        <v>5</v>
      </c>
      <c r="J1212">
        <v>5503.2</v>
      </c>
      <c r="K1212">
        <v>0</v>
      </c>
      <c r="L1212" t="s">
        <v>193</v>
      </c>
      <c r="M1212">
        <v>0</v>
      </c>
    </row>
    <row r="1213" spans="1:13" x14ac:dyDescent="0.3">
      <c r="A1213" t="s">
        <v>1422</v>
      </c>
      <c r="B1213">
        <v>75</v>
      </c>
      <c r="C1213" s="1">
        <v>44605</v>
      </c>
      <c r="D1213">
        <v>2022</v>
      </c>
      <c r="E1213" t="s">
        <v>225</v>
      </c>
      <c r="F1213" t="s">
        <v>209</v>
      </c>
      <c r="G1213" t="s">
        <v>212</v>
      </c>
      <c r="H1213" t="s">
        <v>195</v>
      </c>
      <c r="I1213">
        <v>9</v>
      </c>
      <c r="J1213">
        <v>385.46</v>
      </c>
      <c r="K1213">
        <v>0</v>
      </c>
      <c r="L1213" t="s">
        <v>215</v>
      </c>
      <c r="M1213">
        <v>1</v>
      </c>
    </row>
    <row r="1214" spans="1:13" x14ac:dyDescent="0.3">
      <c r="A1214" t="s">
        <v>1423</v>
      </c>
      <c r="B1214">
        <v>75</v>
      </c>
      <c r="C1214" s="1">
        <v>44854</v>
      </c>
      <c r="D1214">
        <v>2022</v>
      </c>
      <c r="E1214" t="s">
        <v>198</v>
      </c>
      <c r="F1214" t="s">
        <v>199</v>
      </c>
      <c r="G1214" t="s">
        <v>203</v>
      </c>
      <c r="H1214" t="s">
        <v>206</v>
      </c>
      <c r="I1214">
        <v>15</v>
      </c>
      <c r="J1214">
        <v>5929.43</v>
      </c>
      <c r="K1214">
        <v>1</v>
      </c>
      <c r="L1214" t="s">
        <v>196</v>
      </c>
      <c r="M1214">
        <v>0</v>
      </c>
    </row>
    <row r="1215" spans="1:13" x14ac:dyDescent="0.3">
      <c r="A1215" t="s">
        <v>1424</v>
      </c>
      <c r="B1215">
        <v>75</v>
      </c>
      <c r="C1215" s="1">
        <v>44883</v>
      </c>
      <c r="D1215">
        <v>2022</v>
      </c>
      <c r="E1215" t="s">
        <v>198</v>
      </c>
      <c r="F1215" t="s">
        <v>199</v>
      </c>
      <c r="G1215" t="s">
        <v>200</v>
      </c>
      <c r="H1215" t="s">
        <v>192</v>
      </c>
      <c r="I1215">
        <v>2</v>
      </c>
      <c r="J1215">
        <v>3156.32</v>
      </c>
      <c r="K1215">
        <v>1</v>
      </c>
      <c r="L1215" t="s">
        <v>193</v>
      </c>
      <c r="M1215">
        <v>1</v>
      </c>
    </row>
    <row r="1216" spans="1:13" x14ac:dyDescent="0.3">
      <c r="A1216" t="s">
        <v>1425</v>
      </c>
      <c r="B1216">
        <v>75</v>
      </c>
      <c r="C1216" s="1">
        <v>44745</v>
      </c>
      <c r="D1216">
        <v>2022</v>
      </c>
      <c r="E1216" t="s">
        <v>214</v>
      </c>
      <c r="F1216" t="s">
        <v>209</v>
      </c>
      <c r="G1216" t="s">
        <v>212</v>
      </c>
      <c r="H1216" t="s">
        <v>195</v>
      </c>
      <c r="I1216">
        <v>10</v>
      </c>
      <c r="J1216">
        <v>243.81</v>
      </c>
      <c r="K1216">
        <v>1</v>
      </c>
      <c r="L1216" t="s">
        <v>210</v>
      </c>
      <c r="M1216">
        <v>1</v>
      </c>
    </row>
    <row r="1217" spans="1:13" x14ac:dyDescent="0.3">
      <c r="A1217" t="s">
        <v>1426</v>
      </c>
      <c r="B1217">
        <v>75</v>
      </c>
      <c r="C1217" s="1">
        <v>44817</v>
      </c>
      <c r="D1217">
        <v>2022</v>
      </c>
      <c r="E1217" t="s">
        <v>190</v>
      </c>
      <c r="F1217" t="s">
        <v>12</v>
      </c>
      <c r="G1217" t="s">
        <v>200</v>
      </c>
      <c r="H1217" t="s">
        <v>195</v>
      </c>
      <c r="I1217">
        <v>1</v>
      </c>
      <c r="J1217">
        <v>568.46</v>
      </c>
      <c r="K1217">
        <v>0</v>
      </c>
      <c r="L1217" t="s">
        <v>210</v>
      </c>
      <c r="M1217">
        <v>0</v>
      </c>
    </row>
    <row r="1218" spans="1:13" x14ac:dyDescent="0.3">
      <c r="A1218" t="s">
        <v>1427</v>
      </c>
      <c r="B1218">
        <v>75</v>
      </c>
      <c r="C1218" s="1">
        <v>45460</v>
      </c>
      <c r="D1218">
        <v>2024</v>
      </c>
      <c r="E1218" t="s">
        <v>225</v>
      </c>
      <c r="F1218" t="s">
        <v>13</v>
      </c>
      <c r="G1218" t="s">
        <v>212</v>
      </c>
      <c r="H1218" t="s">
        <v>195</v>
      </c>
      <c r="I1218">
        <v>7</v>
      </c>
      <c r="J1218">
        <v>2244.17</v>
      </c>
      <c r="K1218">
        <v>1</v>
      </c>
      <c r="L1218" t="s">
        <v>201</v>
      </c>
      <c r="M1218">
        <v>1</v>
      </c>
    </row>
    <row r="1219" spans="1:13" x14ac:dyDescent="0.3">
      <c r="A1219" t="s">
        <v>1428</v>
      </c>
      <c r="B1219">
        <v>75</v>
      </c>
      <c r="C1219" s="1">
        <v>45357</v>
      </c>
      <c r="D1219">
        <v>2024</v>
      </c>
      <c r="E1219" t="s">
        <v>198</v>
      </c>
      <c r="F1219" t="s">
        <v>12</v>
      </c>
      <c r="G1219" t="s">
        <v>212</v>
      </c>
      <c r="H1219" t="s">
        <v>195</v>
      </c>
      <c r="I1219">
        <v>16</v>
      </c>
      <c r="J1219">
        <v>620.13</v>
      </c>
      <c r="K1219">
        <v>1</v>
      </c>
      <c r="L1219" t="s">
        <v>201</v>
      </c>
      <c r="M1219">
        <v>1</v>
      </c>
    </row>
    <row r="1220" spans="1:13" x14ac:dyDescent="0.3">
      <c r="A1220" t="s">
        <v>1429</v>
      </c>
      <c r="B1220">
        <v>75</v>
      </c>
      <c r="C1220" s="1">
        <v>45389</v>
      </c>
      <c r="D1220">
        <v>2024</v>
      </c>
      <c r="E1220" t="s">
        <v>198</v>
      </c>
      <c r="F1220" t="s">
        <v>199</v>
      </c>
      <c r="G1220" t="s">
        <v>200</v>
      </c>
      <c r="H1220" t="s">
        <v>192</v>
      </c>
      <c r="I1220">
        <v>17</v>
      </c>
      <c r="J1220">
        <v>7100.74</v>
      </c>
      <c r="K1220">
        <v>1</v>
      </c>
      <c r="L1220" t="s">
        <v>196</v>
      </c>
      <c r="M1220">
        <v>1</v>
      </c>
    </row>
    <row r="1221" spans="1:13" x14ac:dyDescent="0.3">
      <c r="A1221" t="s">
        <v>1430</v>
      </c>
      <c r="B1221">
        <v>75</v>
      </c>
      <c r="C1221" s="1">
        <v>45505</v>
      </c>
      <c r="D1221">
        <v>2024</v>
      </c>
      <c r="E1221" t="s">
        <v>225</v>
      </c>
      <c r="F1221" t="s">
        <v>209</v>
      </c>
      <c r="G1221" t="s">
        <v>212</v>
      </c>
      <c r="H1221" t="s">
        <v>206</v>
      </c>
      <c r="I1221">
        <v>8</v>
      </c>
      <c r="J1221">
        <v>549.78</v>
      </c>
      <c r="K1221">
        <v>0</v>
      </c>
      <c r="L1221" t="s">
        <v>215</v>
      </c>
      <c r="M1221">
        <v>1</v>
      </c>
    </row>
    <row r="1222" spans="1:13" x14ac:dyDescent="0.3">
      <c r="A1222" t="s">
        <v>1431</v>
      </c>
      <c r="B1222">
        <v>75</v>
      </c>
      <c r="C1222" s="1">
        <v>45353</v>
      </c>
      <c r="D1222">
        <v>2024</v>
      </c>
      <c r="E1222" t="s">
        <v>225</v>
      </c>
      <c r="F1222" t="s">
        <v>209</v>
      </c>
      <c r="G1222" t="s">
        <v>212</v>
      </c>
      <c r="H1222" t="s">
        <v>192</v>
      </c>
      <c r="I1222">
        <v>15</v>
      </c>
      <c r="J1222">
        <v>365.23</v>
      </c>
      <c r="K1222">
        <v>0</v>
      </c>
      <c r="L1222" t="s">
        <v>215</v>
      </c>
      <c r="M1222">
        <v>1</v>
      </c>
    </row>
    <row r="1223" spans="1:13" x14ac:dyDescent="0.3">
      <c r="A1223" t="s">
        <v>1432</v>
      </c>
      <c r="B1223">
        <v>75</v>
      </c>
      <c r="C1223" s="1">
        <v>45391</v>
      </c>
      <c r="D1223">
        <v>2024</v>
      </c>
      <c r="E1223" t="s">
        <v>227</v>
      </c>
      <c r="F1223" t="s">
        <v>13</v>
      </c>
      <c r="G1223" t="s">
        <v>191</v>
      </c>
      <c r="H1223" t="s">
        <v>192</v>
      </c>
      <c r="I1223">
        <v>16</v>
      </c>
      <c r="J1223">
        <v>2454.37</v>
      </c>
      <c r="K1223">
        <v>0</v>
      </c>
      <c r="L1223" t="s">
        <v>193</v>
      </c>
      <c r="M1223">
        <v>0</v>
      </c>
    </row>
    <row r="1224" spans="1:13" x14ac:dyDescent="0.3">
      <c r="A1224" t="s">
        <v>1433</v>
      </c>
      <c r="B1224">
        <v>75</v>
      </c>
      <c r="C1224" s="1">
        <v>45743</v>
      </c>
      <c r="D1224">
        <v>2025</v>
      </c>
      <c r="E1224" t="s">
        <v>198</v>
      </c>
      <c r="F1224" t="s">
        <v>199</v>
      </c>
      <c r="G1224" t="s">
        <v>212</v>
      </c>
      <c r="H1224" t="s">
        <v>204</v>
      </c>
      <c r="I1224">
        <v>11</v>
      </c>
      <c r="J1224">
        <v>4494.18</v>
      </c>
      <c r="K1224">
        <v>1</v>
      </c>
      <c r="L1224" t="s">
        <v>201</v>
      </c>
      <c r="M1224">
        <v>1</v>
      </c>
    </row>
    <row r="1225" spans="1:13" x14ac:dyDescent="0.3">
      <c r="A1225" t="s">
        <v>1434</v>
      </c>
      <c r="B1225">
        <v>75</v>
      </c>
      <c r="C1225" s="1">
        <v>45788</v>
      </c>
      <c r="D1225">
        <v>2025</v>
      </c>
      <c r="E1225" t="s">
        <v>219</v>
      </c>
      <c r="F1225" t="s">
        <v>12</v>
      </c>
      <c r="G1225" t="s">
        <v>212</v>
      </c>
      <c r="H1225" t="s">
        <v>192</v>
      </c>
      <c r="I1225">
        <v>1</v>
      </c>
      <c r="J1225">
        <v>1484.82</v>
      </c>
      <c r="K1225">
        <v>0</v>
      </c>
      <c r="L1225" t="s">
        <v>201</v>
      </c>
      <c r="M1225">
        <v>1</v>
      </c>
    </row>
    <row r="1226" spans="1:13" x14ac:dyDescent="0.3">
      <c r="A1226" t="s">
        <v>1435</v>
      </c>
      <c r="B1226">
        <v>75</v>
      </c>
      <c r="C1226" s="1">
        <v>45824</v>
      </c>
      <c r="D1226">
        <v>2025</v>
      </c>
      <c r="E1226" t="s">
        <v>287</v>
      </c>
      <c r="F1226" t="s">
        <v>13</v>
      </c>
      <c r="G1226" t="s">
        <v>191</v>
      </c>
      <c r="H1226" t="s">
        <v>206</v>
      </c>
      <c r="I1226">
        <v>4</v>
      </c>
      <c r="J1226">
        <v>2883.81</v>
      </c>
      <c r="K1226">
        <v>0</v>
      </c>
      <c r="L1226" t="s">
        <v>193</v>
      </c>
      <c r="M1226">
        <v>1</v>
      </c>
    </row>
    <row r="1227" spans="1:13" x14ac:dyDescent="0.3">
      <c r="A1227" t="s">
        <v>1436</v>
      </c>
      <c r="B1227">
        <v>75</v>
      </c>
      <c r="C1227" s="1">
        <v>45663</v>
      </c>
      <c r="D1227">
        <v>2025</v>
      </c>
      <c r="E1227" t="s">
        <v>214</v>
      </c>
      <c r="F1227" t="s">
        <v>12</v>
      </c>
      <c r="G1227" t="s">
        <v>191</v>
      </c>
      <c r="H1227" t="s">
        <v>195</v>
      </c>
      <c r="I1227">
        <v>11</v>
      </c>
      <c r="J1227">
        <v>1461.81</v>
      </c>
      <c r="K1227">
        <v>0</v>
      </c>
      <c r="L1227" t="s">
        <v>210</v>
      </c>
      <c r="M1227">
        <v>1</v>
      </c>
    </row>
    <row r="1228" spans="1:13" x14ac:dyDescent="0.3">
      <c r="A1228" t="s">
        <v>1437</v>
      </c>
      <c r="B1228">
        <v>75</v>
      </c>
      <c r="C1228" s="1">
        <v>45727</v>
      </c>
      <c r="D1228">
        <v>2025</v>
      </c>
      <c r="E1228" t="s">
        <v>219</v>
      </c>
      <c r="F1228" t="s">
        <v>199</v>
      </c>
      <c r="G1228" t="s">
        <v>191</v>
      </c>
      <c r="H1228" t="s">
        <v>206</v>
      </c>
      <c r="I1228">
        <v>9</v>
      </c>
      <c r="J1228">
        <v>3750.47</v>
      </c>
      <c r="K1228">
        <v>0</v>
      </c>
      <c r="L1228" t="s">
        <v>201</v>
      </c>
      <c r="M1228">
        <v>0</v>
      </c>
    </row>
    <row r="1229" spans="1:13" x14ac:dyDescent="0.3">
      <c r="A1229" t="s">
        <v>1438</v>
      </c>
      <c r="B1229">
        <v>75</v>
      </c>
      <c r="C1229" s="1">
        <v>45795</v>
      </c>
      <c r="D1229">
        <v>2025</v>
      </c>
      <c r="E1229" t="s">
        <v>225</v>
      </c>
      <c r="F1229" t="s">
        <v>12</v>
      </c>
      <c r="G1229" t="s">
        <v>212</v>
      </c>
      <c r="H1229" t="s">
        <v>204</v>
      </c>
      <c r="I1229">
        <v>20</v>
      </c>
      <c r="J1229">
        <v>1374.19</v>
      </c>
      <c r="K1229">
        <v>0</v>
      </c>
      <c r="L1229" t="s">
        <v>215</v>
      </c>
      <c r="M1229">
        <v>1</v>
      </c>
    </row>
    <row r="1230" spans="1:13" x14ac:dyDescent="0.3">
      <c r="A1230" t="s">
        <v>1439</v>
      </c>
      <c r="B1230">
        <v>76</v>
      </c>
      <c r="C1230" s="1">
        <v>44463</v>
      </c>
      <c r="D1230">
        <v>2021</v>
      </c>
      <c r="E1230" t="s">
        <v>214</v>
      </c>
      <c r="F1230" t="s">
        <v>209</v>
      </c>
      <c r="G1230" t="s">
        <v>212</v>
      </c>
      <c r="H1230" t="s">
        <v>195</v>
      </c>
      <c r="I1230">
        <v>11</v>
      </c>
      <c r="J1230">
        <v>503.46</v>
      </c>
      <c r="K1230">
        <v>0</v>
      </c>
      <c r="L1230" t="s">
        <v>210</v>
      </c>
      <c r="M1230">
        <v>1</v>
      </c>
    </row>
    <row r="1231" spans="1:13" x14ac:dyDescent="0.3">
      <c r="A1231" t="s">
        <v>1440</v>
      </c>
      <c r="B1231">
        <v>76</v>
      </c>
      <c r="C1231" s="1">
        <v>44400</v>
      </c>
      <c r="D1231">
        <v>2021</v>
      </c>
      <c r="E1231" t="s">
        <v>219</v>
      </c>
      <c r="F1231" t="s">
        <v>13</v>
      </c>
      <c r="G1231" t="s">
        <v>200</v>
      </c>
      <c r="H1231" t="s">
        <v>192</v>
      </c>
      <c r="I1231">
        <v>4</v>
      </c>
      <c r="J1231">
        <v>1734.08</v>
      </c>
      <c r="K1231">
        <v>0</v>
      </c>
      <c r="L1231" t="s">
        <v>193</v>
      </c>
      <c r="M1231">
        <v>1</v>
      </c>
    </row>
    <row r="1232" spans="1:13" x14ac:dyDescent="0.3">
      <c r="A1232" t="s">
        <v>1441</v>
      </c>
      <c r="B1232">
        <v>76</v>
      </c>
      <c r="C1232" s="1">
        <v>44220</v>
      </c>
      <c r="D1232">
        <v>2021</v>
      </c>
      <c r="E1232" t="s">
        <v>219</v>
      </c>
      <c r="F1232" t="s">
        <v>12</v>
      </c>
      <c r="G1232" t="s">
        <v>212</v>
      </c>
      <c r="H1232" t="s">
        <v>206</v>
      </c>
      <c r="I1232">
        <v>15</v>
      </c>
      <c r="J1232">
        <v>599.94000000000005</v>
      </c>
      <c r="K1232">
        <v>0</v>
      </c>
      <c r="L1232" t="s">
        <v>193</v>
      </c>
      <c r="M1232">
        <v>1</v>
      </c>
    </row>
    <row r="1233" spans="1:13" x14ac:dyDescent="0.3">
      <c r="A1233" t="s">
        <v>1442</v>
      </c>
      <c r="B1233">
        <v>76</v>
      </c>
      <c r="C1233" s="1">
        <v>44811</v>
      </c>
      <c r="D1233">
        <v>2022</v>
      </c>
      <c r="E1233" t="s">
        <v>214</v>
      </c>
      <c r="F1233" t="s">
        <v>199</v>
      </c>
      <c r="G1233" t="s">
        <v>200</v>
      </c>
      <c r="H1233" t="s">
        <v>192</v>
      </c>
      <c r="I1233">
        <v>4</v>
      </c>
      <c r="J1233">
        <v>4715.7</v>
      </c>
      <c r="K1233">
        <v>0</v>
      </c>
      <c r="L1233" t="s">
        <v>201</v>
      </c>
      <c r="M1233">
        <v>1</v>
      </c>
    </row>
    <row r="1234" spans="1:13" x14ac:dyDescent="0.3">
      <c r="A1234" t="s">
        <v>1443</v>
      </c>
      <c r="B1234">
        <v>76</v>
      </c>
      <c r="C1234" s="1">
        <v>44868</v>
      </c>
      <c r="D1234">
        <v>2022</v>
      </c>
      <c r="E1234" t="s">
        <v>225</v>
      </c>
      <c r="F1234" t="s">
        <v>199</v>
      </c>
      <c r="G1234" t="s">
        <v>203</v>
      </c>
      <c r="H1234" t="s">
        <v>206</v>
      </c>
      <c r="I1234">
        <v>7</v>
      </c>
      <c r="J1234">
        <v>6703.96</v>
      </c>
      <c r="K1234">
        <v>0</v>
      </c>
      <c r="L1234" t="s">
        <v>196</v>
      </c>
      <c r="M1234">
        <v>0</v>
      </c>
    </row>
    <row r="1235" spans="1:13" x14ac:dyDescent="0.3">
      <c r="A1235" t="s">
        <v>1444</v>
      </c>
      <c r="B1235">
        <v>76</v>
      </c>
      <c r="C1235" s="1">
        <v>45134</v>
      </c>
      <c r="D1235">
        <v>2023</v>
      </c>
      <c r="E1235" t="s">
        <v>225</v>
      </c>
      <c r="F1235" t="s">
        <v>12</v>
      </c>
      <c r="G1235" t="s">
        <v>212</v>
      </c>
      <c r="H1235" t="s">
        <v>195</v>
      </c>
      <c r="I1235">
        <v>3</v>
      </c>
      <c r="J1235">
        <v>775.51</v>
      </c>
      <c r="K1235">
        <v>0</v>
      </c>
      <c r="L1235" t="s">
        <v>215</v>
      </c>
      <c r="M1235">
        <v>1</v>
      </c>
    </row>
    <row r="1236" spans="1:13" x14ac:dyDescent="0.3">
      <c r="A1236" t="s">
        <v>1445</v>
      </c>
      <c r="B1236">
        <v>76</v>
      </c>
      <c r="C1236" s="1">
        <v>45265</v>
      </c>
      <c r="D1236">
        <v>2023</v>
      </c>
      <c r="E1236" t="s">
        <v>198</v>
      </c>
      <c r="F1236" t="s">
        <v>13</v>
      </c>
      <c r="G1236" t="s">
        <v>212</v>
      </c>
      <c r="H1236" t="s">
        <v>192</v>
      </c>
      <c r="I1236">
        <v>17</v>
      </c>
      <c r="J1236">
        <v>2737.81</v>
      </c>
      <c r="K1236">
        <v>1</v>
      </c>
      <c r="L1236" t="s">
        <v>193</v>
      </c>
      <c r="M1236">
        <v>1</v>
      </c>
    </row>
    <row r="1237" spans="1:13" x14ac:dyDescent="0.3">
      <c r="A1237" t="s">
        <v>1446</v>
      </c>
      <c r="B1237">
        <v>76</v>
      </c>
      <c r="C1237" s="1">
        <v>45032</v>
      </c>
      <c r="D1237">
        <v>2023</v>
      </c>
      <c r="E1237" t="s">
        <v>219</v>
      </c>
      <c r="F1237" t="s">
        <v>209</v>
      </c>
      <c r="G1237" t="s">
        <v>212</v>
      </c>
      <c r="H1237" t="s">
        <v>192</v>
      </c>
      <c r="I1237">
        <v>14</v>
      </c>
      <c r="J1237">
        <v>494.35</v>
      </c>
      <c r="K1237">
        <v>0</v>
      </c>
      <c r="L1237" t="s">
        <v>215</v>
      </c>
      <c r="M1237">
        <v>1</v>
      </c>
    </row>
    <row r="1238" spans="1:13" x14ac:dyDescent="0.3">
      <c r="A1238" t="s">
        <v>1447</v>
      </c>
      <c r="B1238">
        <v>76</v>
      </c>
      <c r="C1238" s="1">
        <v>45251</v>
      </c>
      <c r="D1238">
        <v>2023</v>
      </c>
      <c r="E1238" t="s">
        <v>190</v>
      </c>
      <c r="F1238" t="s">
        <v>13</v>
      </c>
      <c r="G1238" t="s">
        <v>191</v>
      </c>
      <c r="H1238" t="s">
        <v>195</v>
      </c>
      <c r="I1238">
        <v>16</v>
      </c>
      <c r="J1238">
        <v>3109.8</v>
      </c>
      <c r="K1238">
        <v>0</v>
      </c>
      <c r="L1238" t="s">
        <v>193</v>
      </c>
      <c r="M1238">
        <v>0</v>
      </c>
    </row>
    <row r="1239" spans="1:13" x14ac:dyDescent="0.3">
      <c r="A1239" t="s">
        <v>1448</v>
      </c>
      <c r="B1239">
        <v>76</v>
      </c>
      <c r="C1239" s="1">
        <v>45088</v>
      </c>
      <c r="D1239">
        <v>2023</v>
      </c>
      <c r="E1239" t="s">
        <v>198</v>
      </c>
      <c r="F1239" t="s">
        <v>13</v>
      </c>
      <c r="G1239" t="s">
        <v>191</v>
      </c>
      <c r="H1239" t="s">
        <v>204</v>
      </c>
      <c r="I1239">
        <v>2</v>
      </c>
      <c r="J1239">
        <v>2633.94</v>
      </c>
      <c r="K1239">
        <v>1</v>
      </c>
      <c r="L1239" t="s">
        <v>196</v>
      </c>
      <c r="M1239">
        <v>0</v>
      </c>
    </row>
    <row r="1240" spans="1:13" x14ac:dyDescent="0.3">
      <c r="A1240" t="s">
        <v>1449</v>
      </c>
      <c r="B1240">
        <v>76</v>
      </c>
      <c r="C1240" s="1">
        <v>45521</v>
      </c>
      <c r="D1240">
        <v>2024</v>
      </c>
      <c r="E1240" t="s">
        <v>214</v>
      </c>
      <c r="F1240" t="s">
        <v>12</v>
      </c>
      <c r="G1240" t="s">
        <v>203</v>
      </c>
      <c r="H1240" t="s">
        <v>195</v>
      </c>
      <c r="I1240">
        <v>5</v>
      </c>
      <c r="J1240">
        <v>947.28</v>
      </c>
      <c r="K1240">
        <v>0</v>
      </c>
      <c r="L1240" t="s">
        <v>193</v>
      </c>
      <c r="M1240">
        <v>0</v>
      </c>
    </row>
    <row r="1241" spans="1:13" x14ac:dyDescent="0.3">
      <c r="A1241" t="s">
        <v>1450</v>
      </c>
      <c r="B1241">
        <v>76</v>
      </c>
      <c r="C1241" s="1">
        <v>45729</v>
      </c>
      <c r="D1241">
        <v>2025</v>
      </c>
      <c r="E1241" t="s">
        <v>198</v>
      </c>
      <c r="F1241" t="s">
        <v>199</v>
      </c>
      <c r="G1241" t="s">
        <v>203</v>
      </c>
      <c r="H1241" t="s">
        <v>192</v>
      </c>
      <c r="I1241">
        <v>12</v>
      </c>
      <c r="J1241">
        <v>7236.85</v>
      </c>
      <c r="K1241">
        <v>1</v>
      </c>
      <c r="L1241" t="s">
        <v>193</v>
      </c>
      <c r="M1241">
        <v>0</v>
      </c>
    </row>
    <row r="1242" spans="1:13" x14ac:dyDescent="0.3">
      <c r="A1242" t="s">
        <v>1451</v>
      </c>
      <c r="B1242">
        <v>76</v>
      </c>
      <c r="C1242" s="1">
        <v>45724</v>
      </c>
      <c r="D1242">
        <v>2025</v>
      </c>
      <c r="E1242" t="s">
        <v>219</v>
      </c>
      <c r="F1242" t="s">
        <v>13</v>
      </c>
      <c r="G1242" t="s">
        <v>200</v>
      </c>
      <c r="H1242" t="s">
        <v>204</v>
      </c>
      <c r="I1242">
        <v>11</v>
      </c>
      <c r="J1242">
        <v>3359.05</v>
      </c>
      <c r="K1242">
        <v>0</v>
      </c>
      <c r="L1242" t="s">
        <v>210</v>
      </c>
      <c r="M1242">
        <v>0</v>
      </c>
    </row>
    <row r="1243" spans="1:13" x14ac:dyDescent="0.3">
      <c r="A1243" t="s">
        <v>1452</v>
      </c>
      <c r="B1243">
        <v>76</v>
      </c>
      <c r="C1243" s="1">
        <v>45706</v>
      </c>
      <c r="D1243">
        <v>2025</v>
      </c>
      <c r="E1243" t="s">
        <v>198</v>
      </c>
      <c r="F1243" t="s">
        <v>13</v>
      </c>
      <c r="G1243" t="s">
        <v>200</v>
      </c>
      <c r="H1243" t="s">
        <v>206</v>
      </c>
      <c r="I1243">
        <v>7</v>
      </c>
      <c r="J1243">
        <v>3367.33</v>
      </c>
      <c r="K1243">
        <v>1</v>
      </c>
      <c r="L1243" t="s">
        <v>193</v>
      </c>
      <c r="M1243">
        <v>0</v>
      </c>
    </row>
    <row r="1244" spans="1:13" x14ac:dyDescent="0.3">
      <c r="A1244" t="s">
        <v>1453</v>
      </c>
      <c r="B1244">
        <v>76</v>
      </c>
      <c r="C1244" s="1">
        <v>45705</v>
      </c>
      <c r="D1244">
        <v>2025</v>
      </c>
      <c r="E1244" t="s">
        <v>190</v>
      </c>
      <c r="F1244" t="s">
        <v>199</v>
      </c>
      <c r="G1244" t="s">
        <v>200</v>
      </c>
      <c r="H1244" t="s">
        <v>195</v>
      </c>
      <c r="I1244">
        <v>13</v>
      </c>
      <c r="J1244">
        <v>2538.7399999999998</v>
      </c>
      <c r="K1244">
        <v>0</v>
      </c>
      <c r="L1244" t="s">
        <v>196</v>
      </c>
      <c r="M1244">
        <v>1</v>
      </c>
    </row>
    <row r="1245" spans="1:13" x14ac:dyDescent="0.3">
      <c r="A1245" t="s">
        <v>1454</v>
      </c>
      <c r="B1245">
        <v>76</v>
      </c>
      <c r="C1245" s="1">
        <v>45932</v>
      </c>
      <c r="D1245">
        <v>2025</v>
      </c>
      <c r="E1245" t="s">
        <v>198</v>
      </c>
      <c r="F1245" t="s">
        <v>13</v>
      </c>
      <c r="G1245" t="s">
        <v>212</v>
      </c>
      <c r="H1245" t="s">
        <v>195</v>
      </c>
      <c r="I1245">
        <v>11</v>
      </c>
      <c r="J1245">
        <v>2664.51</v>
      </c>
      <c r="K1245">
        <v>1</v>
      </c>
      <c r="L1245" t="s">
        <v>201</v>
      </c>
      <c r="M1245">
        <v>1</v>
      </c>
    </row>
    <row r="1246" spans="1:13" x14ac:dyDescent="0.3">
      <c r="A1246" t="s">
        <v>1455</v>
      </c>
      <c r="B1246">
        <v>76</v>
      </c>
      <c r="C1246" s="1">
        <v>45755</v>
      </c>
      <c r="D1246">
        <v>2025</v>
      </c>
      <c r="E1246" t="s">
        <v>214</v>
      </c>
      <c r="F1246" t="s">
        <v>13</v>
      </c>
      <c r="G1246" t="s">
        <v>212</v>
      </c>
      <c r="H1246" t="s">
        <v>204</v>
      </c>
      <c r="I1246">
        <v>8</v>
      </c>
      <c r="J1246">
        <v>2984.06</v>
      </c>
      <c r="K1246">
        <v>0</v>
      </c>
      <c r="L1246" t="s">
        <v>196</v>
      </c>
      <c r="M1246">
        <v>1</v>
      </c>
    </row>
    <row r="1247" spans="1:13" x14ac:dyDescent="0.3">
      <c r="A1247" t="s">
        <v>1456</v>
      </c>
      <c r="B1247">
        <v>77</v>
      </c>
      <c r="C1247" s="1">
        <v>44309</v>
      </c>
      <c r="D1247">
        <v>2021</v>
      </c>
      <c r="E1247" t="s">
        <v>225</v>
      </c>
      <c r="F1247" t="s">
        <v>12</v>
      </c>
      <c r="G1247" t="s">
        <v>203</v>
      </c>
      <c r="H1247" t="s">
        <v>204</v>
      </c>
      <c r="I1247">
        <v>10</v>
      </c>
      <c r="J1247">
        <v>767.21</v>
      </c>
      <c r="K1247">
        <v>0</v>
      </c>
      <c r="L1247" t="s">
        <v>201</v>
      </c>
      <c r="M1247">
        <v>0</v>
      </c>
    </row>
    <row r="1248" spans="1:13" x14ac:dyDescent="0.3">
      <c r="A1248" t="s">
        <v>1457</v>
      </c>
      <c r="B1248">
        <v>77</v>
      </c>
      <c r="C1248" s="1">
        <v>44724</v>
      </c>
      <c r="D1248">
        <v>2022</v>
      </c>
      <c r="E1248" t="s">
        <v>219</v>
      </c>
      <c r="F1248" t="s">
        <v>209</v>
      </c>
      <c r="G1248" t="s">
        <v>212</v>
      </c>
      <c r="H1248" t="s">
        <v>195</v>
      </c>
      <c r="I1248">
        <v>14</v>
      </c>
      <c r="J1248">
        <v>60.94</v>
      </c>
      <c r="K1248">
        <v>0</v>
      </c>
      <c r="L1248" t="s">
        <v>215</v>
      </c>
      <c r="M1248">
        <v>1</v>
      </c>
    </row>
    <row r="1249" spans="1:13" x14ac:dyDescent="0.3">
      <c r="A1249" t="s">
        <v>1458</v>
      </c>
      <c r="B1249">
        <v>77</v>
      </c>
      <c r="C1249" s="1">
        <v>44655</v>
      </c>
      <c r="D1249">
        <v>2022</v>
      </c>
      <c r="E1249" t="s">
        <v>214</v>
      </c>
      <c r="F1249" t="s">
        <v>12</v>
      </c>
      <c r="G1249" t="s">
        <v>200</v>
      </c>
      <c r="H1249" t="s">
        <v>204</v>
      </c>
      <c r="I1249">
        <v>2</v>
      </c>
      <c r="J1249">
        <v>647.86</v>
      </c>
      <c r="K1249">
        <v>0</v>
      </c>
      <c r="L1249" t="s">
        <v>210</v>
      </c>
      <c r="M1249">
        <v>0</v>
      </c>
    </row>
    <row r="1250" spans="1:13" x14ac:dyDescent="0.3">
      <c r="A1250" t="s">
        <v>1459</v>
      </c>
      <c r="B1250">
        <v>77</v>
      </c>
      <c r="C1250" s="1">
        <v>44609</v>
      </c>
      <c r="D1250">
        <v>2022</v>
      </c>
      <c r="E1250" t="s">
        <v>214</v>
      </c>
      <c r="F1250" t="s">
        <v>13</v>
      </c>
      <c r="G1250" t="s">
        <v>191</v>
      </c>
      <c r="H1250" t="s">
        <v>192</v>
      </c>
      <c r="I1250">
        <v>5</v>
      </c>
      <c r="J1250">
        <v>1821.55</v>
      </c>
      <c r="K1250">
        <v>0</v>
      </c>
      <c r="L1250" t="s">
        <v>201</v>
      </c>
      <c r="M1250">
        <v>0</v>
      </c>
    </row>
    <row r="1251" spans="1:13" x14ac:dyDescent="0.3">
      <c r="A1251" t="s">
        <v>1460</v>
      </c>
      <c r="B1251">
        <v>77</v>
      </c>
      <c r="C1251" s="1">
        <v>44822</v>
      </c>
      <c r="D1251">
        <v>2022</v>
      </c>
      <c r="E1251" t="s">
        <v>214</v>
      </c>
      <c r="F1251" t="s">
        <v>199</v>
      </c>
      <c r="G1251" t="s">
        <v>203</v>
      </c>
      <c r="H1251" t="s">
        <v>195</v>
      </c>
      <c r="I1251">
        <v>16</v>
      </c>
      <c r="J1251">
        <v>5158.6899999999996</v>
      </c>
      <c r="K1251">
        <v>0</v>
      </c>
      <c r="L1251" t="s">
        <v>193</v>
      </c>
      <c r="M1251">
        <v>0</v>
      </c>
    </row>
    <row r="1252" spans="1:13" x14ac:dyDescent="0.3">
      <c r="A1252" t="s">
        <v>1461</v>
      </c>
      <c r="B1252">
        <v>77</v>
      </c>
      <c r="C1252" s="1">
        <v>45037</v>
      </c>
      <c r="D1252">
        <v>2023</v>
      </c>
      <c r="E1252" t="s">
        <v>190</v>
      </c>
      <c r="F1252" t="s">
        <v>13</v>
      </c>
      <c r="G1252" t="s">
        <v>200</v>
      </c>
      <c r="H1252" t="s">
        <v>195</v>
      </c>
      <c r="I1252">
        <v>11</v>
      </c>
      <c r="J1252">
        <v>2331.91</v>
      </c>
      <c r="K1252">
        <v>0</v>
      </c>
      <c r="L1252" t="s">
        <v>193</v>
      </c>
      <c r="M1252">
        <v>1</v>
      </c>
    </row>
    <row r="1253" spans="1:13" x14ac:dyDescent="0.3">
      <c r="A1253" t="s">
        <v>1462</v>
      </c>
      <c r="B1253">
        <v>77</v>
      </c>
      <c r="C1253" s="1">
        <v>45628</v>
      </c>
      <c r="D1253">
        <v>2024</v>
      </c>
      <c r="E1253" t="s">
        <v>225</v>
      </c>
      <c r="F1253" t="s">
        <v>199</v>
      </c>
      <c r="G1253" t="s">
        <v>203</v>
      </c>
      <c r="H1253" t="s">
        <v>204</v>
      </c>
      <c r="I1253">
        <v>6</v>
      </c>
      <c r="J1253">
        <v>3281.68</v>
      </c>
      <c r="K1253">
        <v>0</v>
      </c>
      <c r="L1253" t="s">
        <v>196</v>
      </c>
      <c r="M1253">
        <v>1</v>
      </c>
    </row>
    <row r="1254" spans="1:13" x14ac:dyDescent="0.3">
      <c r="A1254" t="s">
        <v>1463</v>
      </c>
      <c r="B1254">
        <v>77</v>
      </c>
      <c r="C1254" s="1">
        <v>45424</v>
      </c>
      <c r="D1254">
        <v>2024</v>
      </c>
      <c r="E1254" t="s">
        <v>214</v>
      </c>
      <c r="F1254" t="s">
        <v>12</v>
      </c>
      <c r="G1254" t="s">
        <v>212</v>
      </c>
      <c r="H1254" t="s">
        <v>195</v>
      </c>
      <c r="I1254">
        <v>13</v>
      </c>
      <c r="J1254">
        <v>1201.5999999999999</v>
      </c>
      <c r="K1254">
        <v>0</v>
      </c>
      <c r="L1254" t="s">
        <v>215</v>
      </c>
      <c r="M1254">
        <v>1</v>
      </c>
    </row>
    <row r="1255" spans="1:13" x14ac:dyDescent="0.3">
      <c r="A1255" t="s">
        <v>1464</v>
      </c>
      <c r="B1255">
        <v>77</v>
      </c>
      <c r="C1255" s="1">
        <v>45654</v>
      </c>
      <c r="D1255">
        <v>2024</v>
      </c>
      <c r="E1255" t="s">
        <v>214</v>
      </c>
      <c r="F1255" t="s">
        <v>209</v>
      </c>
      <c r="G1255" t="s">
        <v>191</v>
      </c>
      <c r="H1255" t="s">
        <v>204</v>
      </c>
      <c r="I1255">
        <v>9</v>
      </c>
      <c r="J1255">
        <v>287.86</v>
      </c>
      <c r="K1255">
        <v>0</v>
      </c>
      <c r="L1255" t="s">
        <v>210</v>
      </c>
      <c r="M1255">
        <v>0</v>
      </c>
    </row>
    <row r="1256" spans="1:13" x14ac:dyDescent="0.3">
      <c r="A1256" t="s">
        <v>1465</v>
      </c>
      <c r="B1256">
        <v>78</v>
      </c>
      <c r="C1256" s="1">
        <v>44366</v>
      </c>
      <c r="D1256">
        <v>2021</v>
      </c>
      <c r="E1256" t="s">
        <v>190</v>
      </c>
      <c r="F1256" t="s">
        <v>12</v>
      </c>
      <c r="G1256" t="s">
        <v>212</v>
      </c>
      <c r="H1256" t="s">
        <v>204</v>
      </c>
      <c r="I1256">
        <v>10</v>
      </c>
      <c r="J1256">
        <v>1387.52</v>
      </c>
      <c r="K1256">
        <v>0</v>
      </c>
      <c r="L1256" t="s">
        <v>215</v>
      </c>
      <c r="M1256">
        <v>1</v>
      </c>
    </row>
    <row r="1257" spans="1:13" x14ac:dyDescent="0.3">
      <c r="A1257" t="s">
        <v>1466</v>
      </c>
      <c r="B1257">
        <v>78</v>
      </c>
      <c r="C1257" s="1">
        <v>44609</v>
      </c>
      <c r="D1257">
        <v>2022</v>
      </c>
      <c r="E1257" t="s">
        <v>219</v>
      </c>
      <c r="F1257" t="s">
        <v>13</v>
      </c>
      <c r="G1257" t="s">
        <v>200</v>
      </c>
      <c r="H1257" t="s">
        <v>195</v>
      </c>
      <c r="I1257">
        <v>15</v>
      </c>
      <c r="J1257">
        <v>1994.28</v>
      </c>
      <c r="K1257">
        <v>0</v>
      </c>
      <c r="L1257" t="s">
        <v>196</v>
      </c>
      <c r="M1257">
        <v>0</v>
      </c>
    </row>
    <row r="1258" spans="1:13" x14ac:dyDescent="0.3">
      <c r="A1258" t="s">
        <v>1467</v>
      </c>
      <c r="B1258">
        <v>78</v>
      </c>
      <c r="C1258" s="1">
        <v>44647</v>
      </c>
      <c r="D1258">
        <v>2022</v>
      </c>
      <c r="E1258" t="s">
        <v>198</v>
      </c>
      <c r="F1258" t="s">
        <v>199</v>
      </c>
      <c r="G1258" t="s">
        <v>200</v>
      </c>
      <c r="H1258" t="s">
        <v>206</v>
      </c>
      <c r="I1258">
        <v>13</v>
      </c>
      <c r="J1258">
        <v>6563.76</v>
      </c>
      <c r="K1258">
        <v>1</v>
      </c>
      <c r="L1258" t="s">
        <v>193</v>
      </c>
      <c r="M1258">
        <v>1</v>
      </c>
    </row>
    <row r="1259" spans="1:13" x14ac:dyDescent="0.3">
      <c r="A1259" t="s">
        <v>1468</v>
      </c>
      <c r="B1259">
        <v>78</v>
      </c>
      <c r="C1259" s="1">
        <v>44576</v>
      </c>
      <c r="D1259">
        <v>2022</v>
      </c>
      <c r="E1259" t="s">
        <v>214</v>
      </c>
      <c r="F1259" t="s">
        <v>13</v>
      </c>
      <c r="G1259" t="s">
        <v>191</v>
      </c>
      <c r="H1259" t="s">
        <v>195</v>
      </c>
      <c r="I1259">
        <v>14</v>
      </c>
      <c r="J1259">
        <v>3181.47</v>
      </c>
      <c r="K1259">
        <v>0</v>
      </c>
      <c r="L1259" t="s">
        <v>201</v>
      </c>
      <c r="M1259">
        <v>0</v>
      </c>
    </row>
    <row r="1260" spans="1:13" x14ac:dyDescent="0.3">
      <c r="A1260" t="s">
        <v>1469</v>
      </c>
      <c r="B1260">
        <v>78</v>
      </c>
      <c r="C1260" s="1">
        <v>44702</v>
      </c>
      <c r="D1260">
        <v>2022</v>
      </c>
      <c r="E1260" t="s">
        <v>198</v>
      </c>
      <c r="F1260" t="s">
        <v>13</v>
      </c>
      <c r="G1260" t="s">
        <v>203</v>
      </c>
      <c r="H1260" t="s">
        <v>195</v>
      </c>
      <c r="I1260">
        <v>2</v>
      </c>
      <c r="J1260">
        <v>3787.26</v>
      </c>
      <c r="K1260">
        <v>1</v>
      </c>
      <c r="L1260" t="s">
        <v>210</v>
      </c>
      <c r="M1260">
        <v>0</v>
      </c>
    </row>
    <row r="1261" spans="1:13" x14ac:dyDescent="0.3">
      <c r="A1261" t="s">
        <v>1470</v>
      </c>
      <c r="B1261">
        <v>78</v>
      </c>
      <c r="C1261" s="1">
        <v>44567</v>
      </c>
      <c r="D1261">
        <v>2022</v>
      </c>
      <c r="E1261" t="s">
        <v>227</v>
      </c>
      <c r="F1261" t="s">
        <v>13</v>
      </c>
      <c r="G1261" t="s">
        <v>212</v>
      </c>
      <c r="H1261" t="s">
        <v>192</v>
      </c>
      <c r="I1261">
        <v>3</v>
      </c>
      <c r="J1261">
        <v>3828.38</v>
      </c>
      <c r="K1261">
        <v>0</v>
      </c>
      <c r="L1261" t="s">
        <v>193</v>
      </c>
      <c r="M1261">
        <v>1</v>
      </c>
    </row>
    <row r="1262" spans="1:13" x14ac:dyDescent="0.3">
      <c r="A1262" t="s">
        <v>1471</v>
      </c>
      <c r="B1262">
        <v>78</v>
      </c>
      <c r="C1262" s="1">
        <v>45068</v>
      </c>
      <c r="D1262">
        <v>2023</v>
      </c>
      <c r="E1262" t="s">
        <v>219</v>
      </c>
      <c r="F1262" t="s">
        <v>13</v>
      </c>
      <c r="G1262" t="s">
        <v>200</v>
      </c>
      <c r="H1262" t="s">
        <v>195</v>
      </c>
      <c r="I1262">
        <v>8</v>
      </c>
      <c r="J1262">
        <v>3451.9</v>
      </c>
      <c r="K1262">
        <v>0</v>
      </c>
      <c r="L1262" t="s">
        <v>193</v>
      </c>
      <c r="M1262">
        <v>0</v>
      </c>
    </row>
    <row r="1263" spans="1:13" x14ac:dyDescent="0.3">
      <c r="A1263" t="s">
        <v>1472</v>
      </c>
      <c r="B1263">
        <v>78</v>
      </c>
      <c r="C1263" s="1">
        <v>44950</v>
      </c>
      <c r="D1263">
        <v>2023</v>
      </c>
      <c r="E1263" t="s">
        <v>287</v>
      </c>
      <c r="F1263" t="s">
        <v>13</v>
      </c>
      <c r="G1263" t="s">
        <v>191</v>
      </c>
      <c r="H1263" t="s">
        <v>204</v>
      </c>
      <c r="I1263">
        <v>16</v>
      </c>
      <c r="J1263">
        <v>2215.1999999999998</v>
      </c>
      <c r="K1263">
        <v>0</v>
      </c>
      <c r="L1263" t="s">
        <v>201</v>
      </c>
      <c r="M1263">
        <v>1</v>
      </c>
    </row>
    <row r="1264" spans="1:13" x14ac:dyDescent="0.3">
      <c r="A1264" t="s">
        <v>1473</v>
      </c>
      <c r="B1264">
        <v>78</v>
      </c>
      <c r="C1264" s="1">
        <v>44952</v>
      </c>
      <c r="D1264">
        <v>2023</v>
      </c>
      <c r="E1264" t="s">
        <v>214</v>
      </c>
      <c r="F1264" t="s">
        <v>199</v>
      </c>
      <c r="G1264" t="s">
        <v>212</v>
      </c>
      <c r="H1264" t="s">
        <v>206</v>
      </c>
      <c r="I1264">
        <v>11</v>
      </c>
      <c r="J1264">
        <v>6620.06</v>
      </c>
      <c r="K1264">
        <v>0</v>
      </c>
      <c r="L1264" t="s">
        <v>210</v>
      </c>
      <c r="M1264">
        <v>1</v>
      </c>
    </row>
    <row r="1265" spans="1:13" x14ac:dyDescent="0.3">
      <c r="A1265" t="s">
        <v>1474</v>
      </c>
      <c r="B1265">
        <v>78</v>
      </c>
      <c r="C1265" s="1">
        <v>45130</v>
      </c>
      <c r="D1265">
        <v>2023</v>
      </c>
      <c r="E1265" t="s">
        <v>198</v>
      </c>
      <c r="F1265" t="s">
        <v>12</v>
      </c>
      <c r="G1265" t="s">
        <v>212</v>
      </c>
      <c r="H1265" t="s">
        <v>204</v>
      </c>
      <c r="I1265">
        <v>16</v>
      </c>
      <c r="J1265">
        <v>403.89</v>
      </c>
      <c r="K1265">
        <v>1</v>
      </c>
      <c r="L1265" t="s">
        <v>201</v>
      </c>
      <c r="M1265">
        <v>1</v>
      </c>
    </row>
    <row r="1266" spans="1:13" x14ac:dyDescent="0.3">
      <c r="A1266" t="s">
        <v>1475</v>
      </c>
      <c r="B1266">
        <v>78</v>
      </c>
      <c r="C1266" s="1">
        <v>45121</v>
      </c>
      <c r="D1266">
        <v>2023</v>
      </c>
      <c r="E1266" t="s">
        <v>287</v>
      </c>
      <c r="F1266" t="s">
        <v>209</v>
      </c>
      <c r="G1266" t="s">
        <v>191</v>
      </c>
      <c r="H1266" t="s">
        <v>195</v>
      </c>
      <c r="I1266">
        <v>13</v>
      </c>
      <c r="J1266">
        <v>549.16</v>
      </c>
      <c r="K1266">
        <v>0</v>
      </c>
      <c r="L1266" t="s">
        <v>210</v>
      </c>
      <c r="M1266">
        <v>1</v>
      </c>
    </row>
    <row r="1267" spans="1:13" x14ac:dyDescent="0.3">
      <c r="A1267" t="s">
        <v>1476</v>
      </c>
      <c r="B1267">
        <v>78</v>
      </c>
      <c r="C1267" s="1">
        <v>45356</v>
      </c>
      <c r="D1267">
        <v>2024</v>
      </c>
      <c r="E1267" t="s">
        <v>219</v>
      </c>
      <c r="F1267" t="s">
        <v>199</v>
      </c>
      <c r="G1267" t="s">
        <v>203</v>
      </c>
      <c r="H1267" t="s">
        <v>192</v>
      </c>
      <c r="I1267">
        <v>4</v>
      </c>
      <c r="J1267">
        <v>2717.9</v>
      </c>
      <c r="K1267">
        <v>0</v>
      </c>
      <c r="L1267" t="s">
        <v>196</v>
      </c>
      <c r="M1267">
        <v>0</v>
      </c>
    </row>
    <row r="1268" spans="1:13" x14ac:dyDescent="0.3">
      <c r="A1268" t="s">
        <v>1477</v>
      </c>
      <c r="B1268">
        <v>78</v>
      </c>
      <c r="C1268" s="1">
        <v>45908</v>
      </c>
      <c r="D1268">
        <v>2025</v>
      </c>
      <c r="E1268" t="s">
        <v>198</v>
      </c>
      <c r="F1268" t="s">
        <v>13</v>
      </c>
      <c r="G1268" t="s">
        <v>212</v>
      </c>
      <c r="H1268" t="s">
        <v>206</v>
      </c>
      <c r="I1268">
        <v>2</v>
      </c>
      <c r="J1268">
        <v>2423.06</v>
      </c>
      <c r="K1268">
        <v>1</v>
      </c>
      <c r="L1268" t="s">
        <v>215</v>
      </c>
      <c r="M1268">
        <v>1</v>
      </c>
    </row>
    <row r="1269" spans="1:13" x14ac:dyDescent="0.3">
      <c r="A1269" t="s">
        <v>1478</v>
      </c>
      <c r="B1269">
        <v>78</v>
      </c>
      <c r="C1269" s="1">
        <v>45737</v>
      </c>
      <c r="D1269">
        <v>2025</v>
      </c>
      <c r="E1269" t="s">
        <v>225</v>
      </c>
      <c r="F1269" t="s">
        <v>199</v>
      </c>
      <c r="G1269" t="s">
        <v>200</v>
      </c>
      <c r="H1269" t="s">
        <v>195</v>
      </c>
      <c r="I1269">
        <v>14</v>
      </c>
      <c r="J1269">
        <v>5892.3</v>
      </c>
      <c r="K1269">
        <v>0</v>
      </c>
      <c r="L1269" t="s">
        <v>193</v>
      </c>
      <c r="M1269">
        <v>0</v>
      </c>
    </row>
    <row r="1270" spans="1:13" x14ac:dyDescent="0.3">
      <c r="A1270" t="s">
        <v>1479</v>
      </c>
      <c r="B1270">
        <v>78</v>
      </c>
      <c r="C1270" s="1">
        <v>45879</v>
      </c>
      <c r="D1270">
        <v>2025</v>
      </c>
      <c r="E1270" t="s">
        <v>198</v>
      </c>
      <c r="F1270" t="s">
        <v>199</v>
      </c>
      <c r="G1270" t="s">
        <v>203</v>
      </c>
      <c r="H1270" t="s">
        <v>195</v>
      </c>
      <c r="I1270">
        <v>2</v>
      </c>
      <c r="J1270">
        <v>7277.05</v>
      </c>
      <c r="K1270">
        <v>1</v>
      </c>
      <c r="L1270" t="s">
        <v>193</v>
      </c>
      <c r="M1270">
        <v>0</v>
      </c>
    </row>
    <row r="1271" spans="1:13" x14ac:dyDescent="0.3">
      <c r="A1271" t="s">
        <v>1480</v>
      </c>
      <c r="B1271">
        <v>78</v>
      </c>
      <c r="C1271" s="1">
        <v>45763</v>
      </c>
      <c r="D1271">
        <v>2025</v>
      </c>
      <c r="E1271" t="s">
        <v>190</v>
      </c>
      <c r="F1271" t="s">
        <v>12</v>
      </c>
      <c r="G1271" t="s">
        <v>200</v>
      </c>
      <c r="H1271" t="s">
        <v>204</v>
      </c>
      <c r="I1271">
        <v>11</v>
      </c>
      <c r="J1271">
        <v>1188.05</v>
      </c>
      <c r="K1271">
        <v>0</v>
      </c>
      <c r="L1271" t="s">
        <v>193</v>
      </c>
      <c r="M1271">
        <v>1</v>
      </c>
    </row>
    <row r="1272" spans="1:13" x14ac:dyDescent="0.3">
      <c r="A1272" t="s">
        <v>1481</v>
      </c>
      <c r="B1272">
        <v>78</v>
      </c>
      <c r="C1272" s="1">
        <v>45972</v>
      </c>
      <c r="D1272">
        <v>2025</v>
      </c>
      <c r="E1272" t="s">
        <v>225</v>
      </c>
      <c r="F1272" t="s">
        <v>13</v>
      </c>
      <c r="G1272" t="s">
        <v>212</v>
      </c>
      <c r="H1272" t="s">
        <v>192</v>
      </c>
      <c r="I1272">
        <v>5</v>
      </c>
      <c r="J1272">
        <v>2316.0100000000002</v>
      </c>
      <c r="K1272">
        <v>0</v>
      </c>
      <c r="L1272" t="s">
        <v>193</v>
      </c>
      <c r="M1272">
        <v>1</v>
      </c>
    </row>
    <row r="1273" spans="1:13" x14ac:dyDescent="0.3">
      <c r="A1273" t="s">
        <v>1482</v>
      </c>
      <c r="B1273">
        <v>78</v>
      </c>
      <c r="C1273" s="1">
        <v>45698</v>
      </c>
      <c r="D1273">
        <v>2025</v>
      </c>
      <c r="E1273" t="s">
        <v>219</v>
      </c>
      <c r="F1273" t="s">
        <v>209</v>
      </c>
      <c r="G1273" t="s">
        <v>191</v>
      </c>
      <c r="H1273" t="s">
        <v>206</v>
      </c>
      <c r="I1273">
        <v>1</v>
      </c>
      <c r="J1273">
        <v>551.54999999999995</v>
      </c>
      <c r="K1273">
        <v>0</v>
      </c>
      <c r="L1273" t="s">
        <v>210</v>
      </c>
      <c r="M1273">
        <v>0</v>
      </c>
    </row>
    <row r="1274" spans="1:13" x14ac:dyDescent="0.3">
      <c r="A1274" t="s">
        <v>1483</v>
      </c>
      <c r="B1274">
        <v>79</v>
      </c>
      <c r="C1274" s="1">
        <v>44350</v>
      </c>
      <c r="D1274">
        <v>2021</v>
      </c>
      <c r="E1274" t="s">
        <v>219</v>
      </c>
      <c r="F1274" t="s">
        <v>199</v>
      </c>
      <c r="G1274" t="s">
        <v>191</v>
      </c>
      <c r="H1274" t="s">
        <v>195</v>
      </c>
      <c r="I1274">
        <v>10</v>
      </c>
      <c r="J1274">
        <v>3990.97</v>
      </c>
      <c r="K1274">
        <v>0</v>
      </c>
      <c r="L1274" t="s">
        <v>196</v>
      </c>
      <c r="M1274">
        <v>1</v>
      </c>
    </row>
    <row r="1275" spans="1:13" x14ac:dyDescent="0.3">
      <c r="A1275" t="s">
        <v>1484</v>
      </c>
      <c r="B1275">
        <v>79</v>
      </c>
      <c r="C1275" s="1">
        <v>44393</v>
      </c>
      <c r="D1275">
        <v>2021</v>
      </c>
      <c r="E1275" t="s">
        <v>214</v>
      </c>
      <c r="F1275" t="s">
        <v>12</v>
      </c>
      <c r="G1275" t="s">
        <v>212</v>
      </c>
      <c r="H1275" t="s">
        <v>192</v>
      </c>
      <c r="I1275">
        <v>14</v>
      </c>
      <c r="J1275">
        <v>625.86</v>
      </c>
      <c r="K1275">
        <v>0</v>
      </c>
      <c r="L1275" t="s">
        <v>193</v>
      </c>
      <c r="M1275">
        <v>1</v>
      </c>
    </row>
    <row r="1276" spans="1:13" x14ac:dyDescent="0.3">
      <c r="A1276" t="s">
        <v>1485</v>
      </c>
      <c r="B1276">
        <v>79</v>
      </c>
      <c r="C1276" s="1">
        <v>44693</v>
      </c>
      <c r="D1276">
        <v>2022</v>
      </c>
      <c r="E1276" t="s">
        <v>198</v>
      </c>
      <c r="F1276" t="s">
        <v>13</v>
      </c>
      <c r="G1276" t="s">
        <v>212</v>
      </c>
      <c r="H1276" t="s">
        <v>206</v>
      </c>
      <c r="I1276">
        <v>5</v>
      </c>
      <c r="J1276">
        <v>2446.61</v>
      </c>
      <c r="K1276">
        <v>1</v>
      </c>
      <c r="L1276" t="s">
        <v>201</v>
      </c>
      <c r="M1276">
        <v>1</v>
      </c>
    </row>
    <row r="1277" spans="1:13" x14ac:dyDescent="0.3">
      <c r="A1277" t="s">
        <v>1486</v>
      </c>
      <c r="B1277">
        <v>79</v>
      </c>
      <c r="C1277" s="1">
        <v>44715</v>
      </c>
      <c r="D1277">
        <v>2022</v>
      </c>
      <c r="E1277" t="s">
        <v>198</v>
      </c>
      <c r="F1277" t="s">
        <v>13</v>
      </c>
      <c r="G1277" t="s">
        <v>212</v>
      </c>
      <c r="H1277" t="s">
        <v>192</v>
      </c>
      <c r="I1277">
        <v>5</v>
      </c>
      <c r="J1277">
        <v>2399.67</v>
      </c>
      <c r="K1277">
        <v>1</v>
      </c>
      <c r="L1277" t="s">
        <v>193</v>
      </c>
      <c r="M1277">
        <v>1</v>
      </c>
    </row>
    <row r="1278" spans="1:13" x14ac:dyDescent="0.3">
      <c r="A1278" t="s">
        <v>1487</v>
      </c>
      <c r="B1278">
        <v>79</v>
      </c>
      <c r="C1278" s="1">
        <v>44648</v>
      </c>
      <c r="D1278">
        <v>2022</v>
      </c>
      <c r="E1278" t="s">
        <v>214</v>
      </c>
      <c r="F1278" t="s">
        <v>13</v>
      </c>
      <c r="G1278" t="s">
        <v>203</v>
      </c>
      <c r="H1278" t="s">
        <v>206</v>
      </c>
      <c r="I1278">
        <v>2</v>
      </c>
      <c r="J1278">
        <v>2274.7800000000002</v>
      </c>
      <c r="K1278">
        <v>1</v>
      </c>
      <c r="L1278" t="s">
        <v>193</v>
      </c>
      <c r="M1278">
        <v>0</v>
      </c>
    </row>
    <row r="1279" spans="1:13" x14ac:dyDescent="0.3">
      <c r="A1279" t="s">
        <v>1488</v>
      </c>
      <c r="B1279">
        <v>79</v>
      </c>
      <c r="C1279" s="1">
        <v>44729</v>
      </c>
      <c r="D1279">
        <v>2022</v>
      </c>
      <c r="E1279" t="s">
        <v>198</v>
      </c>
      <c r="F1279" t="s">
        <v>209</v>
      </c>
      <c r="G1279" t="s">
        <v>212</v>
      </c>
      <c r="H1279" t="s">
        <v>206</v>
      </c>
      <c r="I1279">
        <v>7</v>
      </c>
      <c r="J1279">
        <v>187.21</v>
      </c>
      <c r="K1279">
        <v>1</v>
      </c>
      <c r="L1279" t="s">
        <v>215</v>
      </c>
      <c r="M1279">
        <v>1</v>
      </c>
    </row>
    <row r="1280" spans="1:13" x14ac:dyDescent="0.3">
      <c r="A1280" t="s">
        <v>1489</v>
      </c>
      <c r="B1280">
        <v>79</v>
      </c>
      <c r="C1280" s="1">
        <v>45420</v>
      </c>
      <c r="D1280">
        <v>2024</v>
      </c>
      <c r="E1280" t="s">
        <v>225</v>
      </c>
      <c r="F1280" t="s">
        <v>13</v>
      </c>
      <c r="G1280" t="s">
        <v>200</v>
      </c>
      <c r="H1280" t="s">
        <v>206</v>
      </c>
      <c r="I1280">
        <v>10</v>
      </c>
      <c r="J1280">
        <v>3400.56</v>
      </c>
      <c r="K1280">
        <v>0</v>
      </c>
      <c r="L1280" t="s">
        <v>201</v>
      </c>
      <c r="M1280">
        <v>0</v>
      </c>
    </row>
    <row r="1281" spans="1:13" x14ac:dyDescent="0.3">
      <c r="A1281" t="s">
        <v>1490</v>
      </c>
      <c r="B1281">
        <v>79</v>
      </c>
      <c r="C1281" s="1">
        <v>45324</v>
      </c>
      <c r="D1281">
        <v>2024</v>
      </c>
      <c r="E1281" t="s">
        <v>219</v>
      </c>
      <c r="F1281" t="s">
        <v>12</v>
      </c>
      <c r="G1281" t="s">
        <v>212</v>
      </c>
      <c r="H1281" t="s">
        <v>204</v>
      </c>
      <c r="I1281">
        <v>15</v>
      </c>
      <c r="J1281">
        <v>411.09</v>
      </c>
      <c r="K1281">
        <v>0</v>
      </c>
      <c r="L1281" t="s">
        <v>201</v>
      </c>
      <c r="M1281">
        <v>1</v>
      </c>
    </row>
    <row r="1282" spans="1:13" x14ac:dyDescent="0.3">
      <c r="A1282" t="s">
        <v>1491</v>
      </c>
      <c r="B1282">
        <v>79</v>
      </c>
      <c r="C1282" s="1">
        <v>45494</v>
      </c>
      <c r="D1282">
        <v>2024</v>
      </c>
      <c r="E1282" t="s">
        <v>219</v>
      </c>
      <c r="F1282" t="s">
        <v>199</v>
      </c>
      <c r="G1282" t="s">
        <v>200</v>
      </c>
      <c r="H1282" t="s">
        <v>195</v>
      </c>
      <c r="I1282">
        <v>16</v>
      </c>
      <c r="J1282">
        <v>5680.02</v>
      </c>
      <c r="K1282">
        <v>0</v>
      </c>
      <c r="L1282" t="s">
        <v>193</v>
      </c>
      <c r="M1282">
        <v>1</v>
      </c>
    </row>
    <row r="1283" spans="1:13" x14ac:dyDescent="0.3">
      <c r="A1283" t="s">
        <v>1492</v>
      </c>
      <c r="B1283">
        <v>79</v>
      </c>
      <c r="C1283" s="1">
        <v>45783</v>
      </c>
      <c r="D1283">
        <v>2025</v>
      </c>
      <c r="E1283" t="s">
        <v>190</v>
      </c>
      <c r="F1283" t="s">
        <v>209</v>
      </c>
      <c r="G1283" t="s">
        <v>212</v>
      </c>
      <c r="H1283" t="s">
        <v>195</v>
      </c>
      <c r="I1283">
        <v>8</v>
      </c>
      <c r="J1283">
        <v>117.14</v>
      </c>
      <c r="K1283">
        <v>0</v>
      </c>
      <c r="L1283" t="s">
        <v>215</v>
      </c>
      <c r="M1283">
        <v>1</v>
      </c>
    </row>
    <row r="1284" spans="1:13" x14ac:dyDescent="0.3">
      <c r="A1284" t="s">
        <v>1493</v>
      </c>
      <c r="B1284">
        <v>79</v>
      </c>
      <c r="C1284" s="1">
        <v>45829</v>
      </c>
      <c r="D1284">
        <v>2025</v>
      </c>
      <c r="E1284" t="s">
        <v>190</v>
      </c>
      <c r="F1284" t="s">
        <v>12</v>
      </c>
      <c r="G1284" t="s">
        <v>212</v>
      </c>
      <c r="H1284" t="s">
        <v>195</v>
      </c>
      <c r="I1284">
        <v>5</v>
      </c>
      <c r="J1284">
        <v>1394.39</v>
      </c>
      <c r="K1284">
        <v>0</v>
      </c>
      <c r="L1284" t="s">
        <v>196</v>
      </c>
      <c r="M1284">
        <v>1</v>
      </c>
    </row>
    <row r="1285" spans="1:13" x14ac:dyDescent="0.3">
      <c r="A1285" t="s">
        <v>1494</v>
      </c>
      <c r="B1285">
        <v>80</v>
      </c>
      <c r="C1285" s="1">
        <v>44237</v>
      </c>
      <c r="D1285">
        <v>2021</v>
      </c>
      <c r="E1285" t="s">
        <v>190</v>
      </c>
      <c r="F1285" t="s">
        <v>209</v>
      </c>
      <c r="G1285" t="s">
        <v>212</v>
      </c>
      <c r="H1285" t="s">
        <v>195</v>
      </c>
      <c r="I1285">
        <v>8</v>
      </c>
      <c r="J1285">
        <v>189.02</v>
      </c>
      <c r="K1285">
        <v>0</v>
      </c>
      <c r="L1285" t="s">
        <v>215</v>
      </c>
      <c r="M1285">
        <v>1</v>
      </c>
    </row>
    <row r="1286" spans="1:13" x14ac:dyDescent="0.3">
      <c r="A1286" t="s">
        <v>1495</v>
      </c>
      <c r="B1286">
        <v>80</v>
      </c>
      <c r="C1286" s="1">
        <v>44621</v>
      </c>
      <c r="D1286">
        <v>2022</v>
      </c>
      <c r="E1286" t="s">
        <v>214</v>
      </c>
      <c r="F1286" t="s">
        <v>13</v>
      </c>
      <c r="G1286" t="s">
        <v>203</v>
      </c>
      <c r="H1286" t="s">
        <v>204</v>
      </c>
      <c r="I1286">
        <v>3</v>
      </c>
      <c r="J1286">
        <v>3546.41</v>
      </c>
      <c r="K1286">
        <v>0</v>
      </c>
      <c r="L1286" t="s">
        <v>201</v>
      </c>
      <c r="M1286">
        <v>1</v>
      </c>
    </row>
    <row r="1287" spans="1:13" x14ac:dyDescent="0.3">
      <c r="A1287" t="s">
        <v>1496</v>
      </c>
      <c r="B1287">
        <v>80</v>
      </c>
      <c r="C1287" s="1">
        <v>44683</v>
      </c>
      <c r="D1287">
        <v>2022</v>
      </c>
      <c r="E1287" t="s">
        <v>227</v>
      </c>
      <c r="F1287" t="s">
        <v>12</v>
      </c>
      <c r="G1287" t="s">
        <v>191</v>
      </c>
      <c r="H1287" t="s">
        <v>195</v>
      </c>
      <c r="I1287">
        <v>6</v>
      </c>
      <c r="J1287">
        <v>480.24</v>
      </c>
      <c r="K1287">
        <v>0</v>
      </c>
      <c r="L1287" t="s">
        <v>193</v>
      </c>
      <c r="M1287">
        <v>0</v>
      </c>
    </row>
    <row r="1288" spans="1:13" x14ac:dyDescent="0.3">
      <c r="A1288" t="s">
        <v>1497</v>
      </c>
      <c r="B1288">
        <v>80</v>
      </c>
      <c r="C1288" s="1">
        <v>44565</v>
      </c>
      <c r="D1288">
        <v>2022</v>
      </c>
      <c r="E1288" t="s">
        <v>287</v>
      </c>
      <c r="F1288" t="s">
        <v>12</v>
      </c>
      <c r="G1288" t="s">
        <v>212</v>
      </c>
      <c r="H1288" t="s">
        <v>195</v>
      </c>
      <c r="I1288">
        <v>8</v>
      </c>
      <c r="J1288">
        <v>392.34</v>
      </c>
      <c r="K1288">
        <v>0</v>
      </c>
      <c r="L1288" t="s">
        <v>210</v>
      </c>
      <c r="M1288">
        <v>1</v>
      </c>
    </row>
    <row r="1289" spans="1:13" x14ac:dyDescent="0.3">
      <c r="A1289" t="s">
        <v>1498</v>
      </c>
      <c r="B1289">
        <v>80</v>
      </c>
      <c r="C1289" s="1">
        <v>45035</v>
      </c>
      <c r="D1289">
        <v>2023</v>
      </c>
      <c r="E1289" t="s">
        <v>214</v>
      </c>
      <c r="F1289" t="s">
        <v>209</v>
      </c>
      <c r="G1289" t="s">
        <v>203</v>
      </c>
      <c r="H1289" t="s">
        <v>192</v>
      </c>
      <c r="I1289">
        <v>11</v>
      </c>
      <c r="J1289">
        <v>227.3</v>
      </c>
      <c r="K1289">
        <v>0</v>
      </c>
      <c r="L1289" t="s">
        <v>215</v>
      </c>
      <c r="M1289">
        <v>0</v>
      </c>
    </row>
    <row r="1290" spans="1:13" x14ac:dyDescent="0.3">
      <c r="A1290" t="s">
        <v>1499</v>
      </c>
      <c r="B1290">
        <v>80</v>
      </c>
      <c r="C1290" s="1">
        <v>45470</v>
      </c>
      <c r="D1290">
        <v>2024</v>
      </c>
      <c r="E1290" t="s">
        <v>190</v>
      </c>
      <c r="F1290" t="s">
        <v>199</v>
      </c>
      <c r="G1290" t="s">
        <v>203</v>
      </c>
      <c r="H1290" t="s">
        <v>195</v>
      </c>
      <c r="I1290">
        <v>1</v>
      </c>
      <c r="J1290">
        <v>5851.77</v>
      </c>
      <c r="K1290">
        <v>1</v>
      </c>
      <c r="L1290" t="s">
        <v>196</v>
      </c>
      <c r="M1290">
        <v>0</v>
      </c>
    </row>
    <row r="1291" spans="1:13" x14ac:dyDescent="0.3">
      <c r="A1291" t="s">
        <v>1500</v>
      </c>
      <c r="B1291">
        <v>80</v>
      </c>
      <c r="C1291" s="1">
        <v>45549</v>
      </c>
      <c r="D1291">
        <v>2024</v>
      </c>
      <c r="E1291" t="s">
        <v>214</v>
      </c>
      <c r="F1291" t="s">
        <v>13</v>
      </c>
      <c r="G1291" t="s">
        <v>212</v>
      </c>
      <c r="H1291" t="s">
        <v>206</v>
      </c>
      <c r="I1291">
        <v>13</v>
      </c>
      <c r="J1291">
        <v>2311.8000000000002</v>
      </c>
      <c r="K1291">
        <v>0</v>
      </c>
      <c r="L1291" t="s">
        <v>201</v>
      </c>
      <c r="M1291">
        <v>1</v>
      </c>
    </row>
    <row r="1292" spans="1:13" x14ac:dyDescent="0.3">
      <c r="A1292" t="s">
        <v>1501</v>
      </c>
      <c r="B1292">
        <v>80</v>
      </c>
      <c r="C1292" s="1">
        <v>45624</v>
      </c>
      <c r="D1292">
        <v>2024</v>
      </c>
      <c r="E1292" t="s">
        <v>214</v>
      </c>
      <c r="F1292" t="s">
        <v>13</v>
      </c>
      <c r="G1292" t="s">
        <v>203</v>
      </c>
      <c r="H1292" t="s">
        <v>195</v>
      </c>
      <c r="I1292">
        <v>15</v>
      </c>
      <c r="J1292">
        <v>3491.13</v>
      </c>
      <c r="K1292">
        <v>0</v>
      </c>
      <c r="L1292" t="s">
        <v>193</v>
      </c>
      <c r="M1292">
        <v>0</v>
      </c>
    </row>
    <row r="1293" spans="1:13" x14ac:dyDescent="0.3">
      <c r="A1293" t="s">
        <v>1502</v>
      </c>
      <c r="B1293">
        <v>80</v>
      </c>
      <c r="C1293" s="1">
        <v>45632</v>
      </c>
      <c r="D1293">
        <v>2024</v>
      </c>
      <c r="E1293" t="s">
        <v>287</v>
      </c>
      <c r="F1293" t="s">
        <v>12</v>
      </c>
      <c r="G1293" t="s">
        <v>212</v>
      </c>
      <c r="H1293" t="s">
        <v>192</v>
      </c>
      <c r="I1293">
        <v>18</v>
      </c>
      <c r="J1293">
        <v>859.91</v>
      </c>
      <c r="K1293">
        <v>0</v>
      </c>
      <c r="L1293" t="s">
        <v>215</v>
      </c>
      <c r="M1293">
        <v>1</v>
      </c>
    </row>
    <row r="1294" spans="1:13" x14ac:dyDescent="0.3">
      <c r="A1294" t="s">
        <v>1503</v>
      </c>
      <c r="B1294">
        <v>80</v>
      </c>
      <c r="C1294" s="1">
        <v>45469</v>
      </c>
      <c r="D1294">
        <v>2024</v>
      </c>
      <c r="E1294" t="s">
        <v>198</v>
      </c>
      <c r="F1294" t="s">
        <v>13</v>
      </c>
      <c r="G1294" t="s">
        <v>200</v>
      </c>
      <c r="H1294" t="s">
        <v>195</v>
      </c>
      <c r="I1294">
        <v>9</v>
      </c>
      <c r="J1294">
        <v>2249.4699999999998</v>
      </c>
      <c r="K1294">
        <v>1</v>
      </c>
      <c r="L1294" t="s">
        <v>210</v>
      </c>
      <c r="M1294">
        <v>1</v>
      </c>
    </row>
    <row r="1295" spans="1:13" x14ac:dyDescent="0.3">
      <c r="A1295" t="s">
        <v>1504</v>
      </c>
      <c r="B1295">
        <v>80</v>
      </c>
      <c r="C1295" s="1">
        <v>45760</v>
      </c>
      <c r="D1295">
        <v>2025</v>
      </c>
      <c r="E1295" t="s">
        <v>198</v>
      </c>
      <c r="F1295" t="s">
        <v>199</v>
      </c>
      <c r="G1295" t="s">
        <v>191</v>
      </c>
      <c r="H1295" t="s">
        <v>206</v>
      </c>
      <c r="I1295">
        <v>10</v>
      </c>
      <c r="J1295">
        <v>7580.92</v>
      </c>
      <c r="K1295">
        <v>1</v>
      </c>
      <c r="L1295" t="s">
        <v>196</v>
      </c>
      <c r="M1295">
        <v>0</v>
      </c>
    </row>
    <row r="1296" spans="1:13" x14ac:dyDescent="0.3">
      <c r="A1296" t="s">
        <v>1505</v>
      </c>
      <c r="B1296">
        <v>81</v>
      </c>
      <c r="C1296" s="1">
        <v>44304</v>
      </c>
      <c r="D1296">
        <v>2021</v>
      </c>
      <c r="E1296" t="s">
        <v>190</v>
      </c>
      <c r="F1296" t="s">
        <v>199</v>
      </c>
      <c r="G1296" t="s">
        <v>212</v>
      </c>
      <c r="H1296" t="s">
        <v>195</v>
      </c>
      <c r="I1296">
        <v>5</v>
      </c>
      <c r="J1296">
        <v>5532.94</v>
      </c>
      <c r="K1296">
        <v>1</v>
      </c>
      <c r="L1296" t="s">
        <v>196</v>
      </c>
      <c r="M1296">
        <v>1</v>
      </c>
    </row>
    <row r="1297" spans="1:13" x14ac:dyDescent="0.3">
      <c r="A1297" t="s">
        <v>1506</v>
      </c>
      <c r="B1297">
        <v>81</v>
      </c>
      <c r="C1297" s="1">
        <v>44323</v>
      </c>
      <c r="D1297">
        <v>2021</v>
      </c>
      <c r="E1297" t="s">
        <v>190</v>
      </c>
      <c r="F1297" t="s">
        <v>199</v>
      </c>
      <c r="G1297" t="s">
        <v>212</v>
      </c>
      <c r="H1297" t="s">
        <v>195</v>
      </c>
      <c r="I1297">
        <v>12</v>
      </c>
      <c r="J1297">
        <v>4363.1499999999996</v>
      </c>
      <c r="K1297">
        <v>0</v>
      </c>
      <c r="L1297" t="s">
        <v>193</v>
      </c>
      <c r="M1297">
        <v>1</v>
      </c>
    </row>
    <row r="1298" spans="1:13" x14ac:dyDescent="0.3">
      <c r="A1298" t="s">
        <v>1507</v>
      </c>
      <c r="B1298">
        <v>81</v>
      </c>
      <c r="C1298" s="1">
        <v>44523</v>
      </c>
      <c r="D1298">
        <v>2021</v>
      </c>
      <c r="E1298" t="s">
        <v>287</v>
      </c>
      <c r="F1298" t="s">
        <v>13</v>
      </c>
      <c r="G1298" t="s">
        <v>203</v>
      </c>
      <c r="H1298" t="s">
        <v>195</v>
      </c>
      <c r="I1298">
        <v>10</v>
      </c>
      <c r="J1298">
        <v>3820.56</v>
      </c>
      <c r="K1298">
        <v>0</v>
      </c>
      <c r="L1298" t="s">
        <v>201</v>
      </c>
      <c r="M1298">
        <v>0</v>
      </c>
    </row>
    <row r="1299" spans="1:13" x14ac:dyDescent="0.3">
      <c r="A1299" t="s">
        <v>1508</v>
      </c>
      <c r="B1299">
        <v>81</v>
      </c>
      <c r="C1299" s="1">
        <v>44385</v>
      </c>
      <c r="D1299">
        <v>2021</v>
      </c>
      <c r="E1299" t="s">
        <v>227</v>
      </c>
      <c r="F1299" t="s">
        <v>13</v>
      </c>
      <c r="G1299" t="s">
        <v>212</v>
      </c>
      <c r="H1299" t="s">
        <v>204</v>
      </c>
      <c r="I1299">
        <v>11</v>
      </c>
      <c r="J1299">
        <v>2411.17</v>
      </c>
      <c r="K1299">
        <v>0</v>
      </c>
      <c r="L1299" t="s">
        <v>201</v>
      </c>
      <c r="M1299">
        <v>1</v>
      </c>
    </row>
    <row r="1300" spans="1:13" x14ac:dyDescent="0.3">
      <c r="A1300" t="s">
        <v>1509</v>
      </c>
      <c r="B1300">
        <v>81</v>
      </c>
      <c r="C1300" s="1">
        <v>44465</v>
      </c>
      <c r="D1300">
        <v>2021</v>
      </c>
      <c r="E1300" t="s">
        <v>225</v>
      </c>
      <c r="F1300" t="s">
        <v>12</v>
      </c>
      <c r="G1300" t="s">
        <v>200</v>
      </c>
      <c r="H1300" t="s">
        <v>204</v>
      </c>
      <c r="I1300">
        <v>13</v>
      </c>
      <c r="J1300">
        <v>1227.01</v>
      </c>
      <c r="K1300">
        <v>1</v>
      </c>
      <c r="L1300" t="s">
        <v>201</v>
      </c>
      <c r="M1300">
        <v>0</v>
      </c>
    </row>
    <row r="1301" spans="1:13" x14ac:dyDescent="0.3">
      <c r="A1301" t="s">
        <v>1510</v>
      </c>
      <c r="B1301">
        <v>81</v>
      </c>
      <c r="C1301" s="1">
        <v>44577</v>
      </c>
      <c r="D1301">
        <v>2022</v>
      </c>
      <c r="E1301" t="s">
        <v>219</v>
      </c>
      <c r="F1301" t="s">
        <v>12</v>
      </c>
      <c r="G1301" t="s">
        <v>203</v>
      </c>
      <c r="H1301" t="s">
        <v>195</v>
      </c>
      <c r="I1301">
        <v>10</v>
      </c>
      <c r="J1301">
        <v>255.08</v>
      </c>
      <c r="K1301">
        <v>0</v>
      </c>
      <c r="L1301" t="s">
        <v>210</v>
      </c>
      <c r="M1301">
        <v>0</v>
      </c>
    </row>
    <row r="1302" spans="1:13" x14ac:dyDescent="0.3">
      <c r="A1302" t="s">
        <v>1511</v>
      </c>
      <c r="B1302">
        <v>81</v>
      </c>
      <c r="C1302" s="1">
        <v>44791</v>
      </c>
      <c r="D1302">
        <v>2022</v>
      </c>
      <c r="E1302" t="s">
        <v>227</v>
      </c>
      <c r="F1302" t="s">
        <v>199</v>
      </c>
      <c r="G1302" t="s">
        <v>203</v>
      </c>
      <c r="H1302" t="s">
        <v>195</v>
      </c>
      <c r="I1302">
        <v>6</v>
      </c>
      <c r="J1302">
        <v>3224.98</v>
      </c>
      <c r="K1302">
        <v>0</v>
      </c>
      <c r="L1302" t="s">
        <v>193</v>
      </c>
      <c r="M1302">
        <v>1</v>
      </c>
    </row>
    <row r="1303" spans="1:13" x14ac:dyDescent="0.3">
      <c r="A1303" t="s">
        <v>1512</v>
      </c>
      <c r="B1303">
        <v>81</v>
      </c>
      <c r="C1303" s="1">
        <v>44859</v>
      </c>
      <c r="D1303">
        <v>2022</v>
      </c>
      <c r="E1303" t="s">
        <v>190</v>
      </c>
      <c r="F1303" t="s">
        <v>13</v>
      </c>
      <c r="G1303" t="s">
        <v>191</v>
      </c>
      <c r="H1303" t="s">
        <v>195</v>
      </c>
      <c r="I1303">
        <v>12</v>
      </c>
      <c r="J1303">
        <v>2898.5</v>
      </c>
      <c r="K1303">
        <v>1</v>
      </c>
      <c r="L1303" t="s">
        <v>210</v>
      </c>
      <c r="M1303">
        <v>0</v>
      </c>
    </row>
    <row r="1304" spans="1:13" x14ac:dyDescent="0.3">
      <c r="A1304" t="s">
        <v>1513</v>
      </c>
      <c r="B1304">
        <v>81</v>
      </c>
      <c r="C1304" s="1">
        <v>44749</v>
      </c>
      <c r="D1304">
        <v>2022</v>
      </c>
      <c r="E1304" t="s">
        <v>214</v>
      </c>
      <c r="F1304" t="s">
        <v>12</v>
      </c>
      <c r="G1304" t="s">
        <v>191</v>
      </c>
      <c r="H1304" t="s">
        <v>195</v>
      </c>
      <c r="I1304">
        <v>7</v>
      </c>
      <c r="J1304">
        <v>1374.1</v>
      </c>
      <c r="K1304">
        <v>1</v>
      </c>
      <c r="L1304" t="s">
        <v>193</v>
      </c>
      <c r="M1304">
        <v>0</v>
      </c>
    </row>
    <row r="1305" spans="1:13" x14ac:dyDescent="0.3">
      <c r="A1305" t="s">
        <v>1514</v>
      </c>
      <c r="B1305">
        <v>81</v>
      </c>
      <c r="C1305" s="1">
        <v>45233</v>
      </c>
      <c r="D1305">
        <v>2023</v>
      </c>
      <c r="E1305" t="s">
        <v>287</v>
      </c>
      <c r="F1305" t="s">
        <v>209</v>
      </c>
      <c r="G1305" t="s">
        <v>212</v>
      </c>
      <c r="H1305" t="s">
        <v>195</v>
      </c>
      <c r="I1305">
        <v>6</v>
      </c>
      <c r="J1305">
        <v>229.96</v>
      </c>
      <c r="K1305">
        <v>0</v>
      </c>
      <c r="L1305" t="s">
        <v>210</v>
      </c>
      <c r="M1305">
        <v>1</v>
      </c>
    </row>
    <row r="1306" spans="1:13" x14ac:dyDescent="0.3">
      <c r="A1306" t="s">
        <v>1515</v>
      </c>
      <c r="B1306">
        <v>81</v>
      </c>
      <c r="C1306" s="1">
        <v>45213</v>
      </c>
      <c r="D1306">
        <v>2023</v>
      </c>
      <c r="E1306" t="s">
        <v>219</v>
      </c>
      <c r="F1306" t="s">
        <v>12</v>
      </c>
      <c r="G1306" t="s">
        <v>212</v>
      </c>
      <c r="H1306" t="s">
        <v>195</v>
      </c>
      <c r="I1306">
        <v>7</v>
      </c>
      <c r="J1306">
        <v>530.25</v>
      </c>
      <c r="K1306">
        <v>0</v>
      </c>
      <c r="L1306" t="s">
        <v>210</v>
      </c>
      <c r="M1306">
        <v>1</v>
      </c>
    </row>
    <row r="1307" spans="1:13" x14ac:dyDescent="0.3">
      <c r="A1307" t="s">
        <v>1516</v>
      </c>
      <c r="B1307">
        <v>81</v>
      </c>
      <c r="C1307" s="1">
        <v>44930</v>
      </c>
      <c r="D1307">
        <v>2023</v>
      </c>
      <c r="E1307" t="s">
        <v>287</v>
      </c>
      <c r="F1307" t="s">
        <v>209</v>
      </c>
      <c r="G1307" t="s">
        <v>212</v>
      </c>
      <c r="H1307" t="s">
        <v>206</v>
      </c>
      <c r="I1307">
        <v>8</v>
      </c>
      <c r="J1307">
        <v>16.52</v>
      </c>
      <c r="K1307">
        <v>0</v>
      </c>
      <c r="L1307" t="s">
        <v>210</v>
      </c>
      <c r="M1307">
        <v>1</v>
      </c>
    </row>
    <row r="1308" spans="1:13" x14ac:dyDescent="0.3">
      <c r="A1308" t="s">
        <v>1517</v>
      </c>
      <c r="B1308">
        <v>81</v>
      </c>
      <c r="C1308" s="1">
        <v>45574</v>
      </c>
      <c r="D1308">
        <v>2024</v>
      </c>
      <c r="E1308" t="s">
        <v>219</v>
      </c>
      <c r="F1308" t="s">
        <v>209</v>
      </c>
      <c r="G1308" t="s">
        <v>212</v>
      </c>
      <c r="H1308" t="s">
        <v>192</v>
      </c>
      <c r="I1308">
        <v>3</v>
      </c>
      <c r="J1308">
        <v>138.97</v>
      </c>
      <c r="K1308">
        <v>0</v>
      </c>
      <c r="L1308" t="s">
        <v>215</v>
      </c>
      <c r="M1308">
        <v>1</v>
      </c>
    </row>
    <row r="1309" spans="1:13" x14ac:dyDescent="0.3">
      <c r="A1309" t="s">
        <v>1518</v>
      </c>
      <c r="B1309">
        <v>81</v>
      </c>
      <c r="C1309" s="1">
        <v>45610</v>
      </c>
      <c r="D1309">
        <v>2024</v>
      </c>
      <c r="E1309" t="s">
        <v>190</v>
      </c>
      <c r="F1309" t="s">
        <v>12</v>
      </c>
      <c r="G1309" t="s">
        <v>203</v>
      </c>
      <c r="H1309" t="s">
        <v>195</v>
      </c>
      <c r="I1309">
        <v>1</v>
      </c>
      <c r="J1309">
        <v>916.85</v>
      </c>
      <c r="K1309">
        <v>0</v>
      </c>
      <c r="L1309" t="s">
        <v>196</v>
      </c>
      <c r="M1309">
        <v>0</v>
      </c>
    </row>
    <row r="1310" spans="1:13" x14ac:dyDescent="0.3">
      <c r="A1310" t="s">
        <v>1519</v>
      </c>
      <c r="B1310">
        <v>81</v>
      </c>
      <c r="C1310" s="1">
        <v>45635</v>
      </c>
      <c r="D1310">
        <v>2024</v>
      </c>
      <c r="E1310" t="s">
        <v>214</v>
      </c>
      <c r="F1310" t="s">
        <v>209</v>
      </c>
      <c r="G1310" t="s">
        <v>200</v>
      </c>
      <c r="H1310" t="s">
        <v>195</v>
      </c>
      <c r="I1310">
        <v>12</v>
      </c>
      <c r="J1310">
        <v>360.3</v>
      </c>
      <c r="K1310">
        <v>0</v>
      </c>
      <c r="L1310" t="s">
        <v>215</v>
      </c>
      <c r="M1310">
        <v>1</v>
      </c>
    </row>
    <row r="1311" spans="1:13" x14ac:dyDescent="0.3">
      <c r="A1311" t="s">
        <v>1520</v>
      </c>
      <c r="B1311">
        <v>81</v>
      </c>
      <c r="C1311" s="1">
        <v>45701</v>
      </c>
      <c r="D1311">
        <v>2025</v>
      </c>
      <c r="E1311" t="s">
        <v>198</v>
      </c>
      <c r="F1311" t="s">
        <v>12</v>
      </c>
      <c r="G1311" t="s">
        <v>212</v>
      </c>
      <c r="H1311" t="s">
        <v>195</v>
      </c>
      <c r="I1311">
        <v>7</v>
      </c>
      <c r="J1311">
        <v>1214.57</v>
      </c>
      <c r="K1311">
        <v>1</v>
      </c>
      <c r="L1311" t="s">
        <v>196</v>
      </c>
      <c r="M1311">
        <v>1</v>
      </c>
    </row>
    <row r="1312" spans="1:13" x14ac:dyDescent="0.3">
      <c r="A1312" t="s">
        <v>1521</v>
      </c>
      <c r="B1312">
        <v>81</v>
      </c>
      <c r="C1312" s="1">
        <v>45718</v>
      </c>
      <c r="D1312">
        <v>2025</v>
      </c>
      <c r="E1312" t="s">
        <v>198</v>
      </c>
      <c r="F1312" t="s">
        <v>13</v>
      </c>
      <c r="G1312" t="s">
        <v>191</v>
      </c>
      <c r="H1312" t="s">
        <v>195</v>
      </c>
      <c r="I1312">
        <v>11</v>
      </c>
      <c r="J1312">
        <v>3777.49</v>
      </c>
      <c r="K1312">
        <v>1</v>
      </c>
      <c r="L1312" t="s">
        <v>196</v>
      </c>
      <c r="M1312">
        <v>0</v>
      </c>
    </row>
    <row r="1313" spans="1:13" x14ac:dyDescent="0.3">
      <c r="A1313" t="s">
        <v>1522</v>
      </c>
      <c r="B1313">
        <v>81</v>
      </c>
      <c r="C1313" s="1">
        <v>45708</v>
      </c>
      <c r="D1313">
        <v>2025</v>
      </c>
      <c r="E1313" t="s">
        <v>214</v>
      </c>
      <c r="F1313" t="s">
        <v>12</v>
      </c>
      <c r="G1313" t="s">
        <v>212</v>
      </c>
      <c r="H1313" t="s">
        <v>192</v>
      </c>
      <c r="I1313">
        <v>7</v>
      </c>
      <c r="J1313">
        <v>1369.15</v>
      </c>
      <c r="K1313">
        <v>0</v>
      </c>
      <c r="L1313" t="s">
        <v>215</v>
      </c>
      <c r="M1313">
        <v>1</v>
      </c>
    </row>
    <row r="1314" spans="1:13" x14ac:dyDescent="0.3">
      <c r="A1314" t="s">
        <v>1523</v>
      </c>
      <c r="B1314">
        <v>81</v>
      </c>
      <c r="C1314" s="1">
        <v>45782</v>
      </c>
      <c r="D1314">
        <v>2025</v>
      </c>
      <c r="E1314" t="s">
        <v>214</v>
      </c>
      <c r="F1314" t="s">
        <v>12</v>
      </c>
      <c r="G1314" t="s">
        <v>212</v>
      </c>
      <c r="H1314" t="s">
        <v>206</v>
      </c>
      <c r="I1314">
        <v>18</v>
      </c>
      <c r="J1314">
        <v>1089.1199999999999</v>
      </c>
      <c r="K1314">
        <v>0</v>
      </c>
      <c r="L1314" t="s">
        <v>193</v>
      </c>
      <c r="M1314">
        <v>1</v>
      </c>
    </row>
    <row r="1315" spans="1:13" x14ac:dyDescent="0.3">
      <c r="A1315" t="s">
        <v>1524</v>
      </c>
      <c r="B1315">
        <v>82</v>
      </c>
      <c r="C1315" s="1">
        <v>44234</v>
      </c>
      <c r="D1315">
        <v>2021</v>
      </c>
      <c r="E1315" t="s">
        <v>287</v>
      </c>
      <c r="F1315" t="s">
        <v>12</v>
      </c>
      <c r="G1315" t="s">
        <v>200</v>
      </c>
      <c r="H1315" t="s">
        <v>192</v>
      </c>
      <c r="I1315">
        <v>2</v>
      </c>
      <c r="J1315">
        <v>373.6</v>
      </c>
      <c r="K1315">
        <v>0</v>
      </c>
      <c r="L1315" t="s">
        <v>210</v>
      </c>
      <c r="M1315">
        <v>0</v>
      </c>
    </row>
    <row r="1316" spans="1:13" x14ac:dyDescent="0.3">
      <c r="A1316" t="s">
        <v>1525</v>
      </c>
      <c r="B1316">
        <v>82</v>
      </c>
      <c r="C1316" s="1">
        <v>44291</v>
      </c>
      <c r="D1316">
        <v>2021</v>
      </c>
      <c r="E1316" t="s">
        <v>190</v>
      </c>
      <c r="F1316" t="s">
        <v>209</v>
      </c>
      <c r="G1316" t="s">
        <v>212</v>
      </c>
      <c r="H1316" t="s">
        <v>192</v>
      </c>
      <c r="I1316">
        <v>5</v>
      </c>
      <c r="J1316">
        <v>490.15</v>
      </c>
      <c r="K1316">
        <v>0</v>
      </c>
      <c r="L1316" t="s">
        <v>210</v>
      </c>
      <c r="M1316">
        <v>1</v>
      </c>
    </row>
    <row r="1317" spans="1:13" x14ac:dyDescent="0.3">
      <c r="A1317" t="s">
        <v>1526</v>
      </c>
      <c r="B1317">
        <v>82</v>
      </c>
      <c r="C1317" s="1">
        <v>44430</v>
      </c>
      <c r="D1317">
        <v>2021</v>
      </c>
      <c r="E1317" t="s">
        <v>198</v>
      </c>
      <c r="F1317" t="s">
        <v>209</v>
      </c>
      <c r="G1317" t="s">
        <v>212</v>
      </c>
      <c r="H1317" t="s">
        <v>195</v>
      </c>
      <c r="I1317">
        <v>11</v>
      </c>
      <c r="J1317">
        <v>173.6</v>
      </c>
      <c r="K1317">
        <v>1</v>
      </c>
      <c r="L1317" t="s">
        <v>210</v>
      </c>
      <c r="M1317">
        <v>1</v>
      </c>
    </row>
    <row r="1318" spans="1:13" x14ac:dyDescent="0.3">
      <c r="A1318" t="s">
        <v>1527</v>
      </c>
      <c r="B1318">
        <v>82</v>
      </c>
      <c r="C1318" s="1">
        <v>44875</v>
      </c>
      <c r="D1318">
        <v>2022</v>
      </c>
      <c r="E1318" t="s">
        <v>225</v>
      </c>
      <c r="F1318" t="s">
        <v>13</v>
      </c>
      <c r="G1318" t="s">
        <v>191</v>
      </c>
      <c r="H1318" t="s">
        <v>195</v>
      </c>
      <c r="I1318">
        <v>6</v>
      </c>
      <c r="J1318">
        <v>3788.31</v>
      </c>
      <c r="K1318">
        <v>0</v>
      </c>
      <c r="L1318" t="s">
        <v>215</v>
      </c>
      <c r="M1318">
        <v>1</v>
      </c>
    </row>
    <row r="1319" spans="1:13" x14ac:dyDescent="0.3">
      <c r="A1319" t="s">
        <v>1528</v>
      </c>
      <c r="B1319">
        <v>82</v>
      </c>
      <c r="C1319" s="1">
        <v>44728</v>
      </c>
      <c r="D1319">
        <v>2022</v>
      </c>
      <c r="E1319" t="s">
        <v>225</v>
      </c>
      <c r="F1319" t="s">
        <v>13</v>
      </c>
      <c r="G1319" t="s">
        <v>200</v>
      </c>
      <c r="H1319" t="s">
        <v>192</v>
      </c>
      <c r="I1319">
        <v>1</v>
      </c>
      <c r="J1319">
        <v>2662.32</v>
      </c>
      <c r="K1319">
        <v>0</v>
      </c>
      <c r="L1319" t="s">
        <v>215</v>
      </c>
      <c r="M1319">
        <v>0</v>
      </c>
    </row>
    <row r="1320" spans="1:13" x14ac:dyDescent="0.3">
      <c r="A1320" t="s">
        <v>1529</v>
      </c>
      <c r="B1320">
        <v>82</v>
      </c>
      <c r="C1320" s="1">
        <v>45203</v>
      </c>
      <c r="D1320">
        <v>2023</v>
      </c>
      <c r="E1320" t="s">
        <v>225</v>
      </c>
      <c r="F1320" t="s">
        <v>13</v>
      </c>
      <c r="G1320" t="s">
        <v>200</v>
      </c>
      <c r="H1320" t="s">
        <v>195</v>
      </c>
      <c r="I1320">
        <v>2</v>
      </c>
      <c r="J1320">
        <v>1356.91</v>
      </c>
      <c r="K1320">
        <v>0</v>
      </c>
      <c r="L1320" t="s">
        <v>193</v>
      </c>
      <c r="M1320">
        <v>1</v>
      </c>
    </row>
    <row r="1321" spans="1:13" x14ac:dyDescent="0.3">
      <c r="A1321" t="s">
        <v>1530</v>
      </c>
      <c r="B1321">
        <v>82</v>
      </c>
      <c r="C1321" s="1">
        <v>44968</v>
      </c>
      <c r="D1321">
        <v>2023</v>
      </c>
      <c r="E1321" t="s">
        <v>198</v>
      </c>
      <c r="F1321" t="s">
        <v>199</v>
      </c>
      <c r="G1321" t="s">
        <v>191</v>
      </c>
      <c r="H1321" t="s">
        <v>206</v>
      </c>
      <c r="I1321">
        <v>15</v>
      </c>
      <c r="J1321">
        <v>2865.36</v>
      </c>
      <c r="K1321">
        <v>1</v>
      </c>
      <c r="L1321" t="s">
        <v>201</v>
      </c>
      <c r="M1321">
        <v>0</v>
      </c>
    </row>
    <row r="1322" spans="1:13" x14ac:dyDescent="0.3">
      <c r="A1322" t="s">
        <v>1531</v>
      </c>
      <c r="B1322">
        <v>82</v>
      </c>
      <c r="C1322" s="1">
        <v>45083</v>
      </c>
      <c r="D1322">
        <v>2023</v>
      </c>
      <c r="E1322" t="s">
        <v>219</v>
      </c>
      <c r="F1322" t="s">
        <v>199</v>
      </c>
      <c r="G1322" t="s">
        <v>203</v>
      </c>
      <c r="H1322" t="s">
        <v>204</v>
      </c>
      <c r="I1322">
        <v>11</v>
      </c>
      <c r="J1322">
        <v>2857.53</v>
      </c>
      <c r="K1322">
        <v>1</v>
      </c>
      <c r="L1322" t="s">
        <v>196</v>
      </c>
      <c r="M1322">
        <v>0</v>
      </c>
    </row>
    <row r="1323" spans="1:13" x14ac:dyDescent="0.3">
      <c r="A1323" t="s">
        <v>1532</v>
      </c>
      <c r="B1323">
        <v>82</v>
      </c>
      <c r="C1323" s="1">
        <v>45208</v>
      </c>
      <c r="D1323">
        <v>2023</v>
      </c>
      <c r="E1323" t="s">
        <v>198</v>
      </c>
      <c r="F1323" t="s">
        <v>199</v>
      </c>
      <c r="G1323" t="s">
        <v>203</v>
      </c>
      <c r="H1323" t="s">
        <v>192</v>
      </c>
      <c r="I1323">
        <v>2</v>
      </c>
      <c r="J1323">
        <v>5788.36</v>
      </c>
      <c r="K1323">
        <v>1</v>
      </c>
      <c r="L1323" t="s">
        <v>210</v>
      </c>
      <c r="M1323">
        <v>0</v>
      </c>
    </row>
    <row r="1324" spans="1:13" x14ac:dyDescent="0.3">
      <c r="A1324" t="s">
        <v>1533</v>
      </c>
      <c r="B1324">
        <v>82</v>
      </c>
      <c r="C1324" s="1">
        <v>45253</v>
      </c>
      <c r="D1324">
        <v>2023</v>
      </c>
      <c r="E1324" t="s">
        <v>225</v>
      </c>
      <c r="F1324" t="s">
        <v>12</v>
      </c>
      <c r="G1324" t="s">
        <v>212</v>
      </c>
      <c r="H1324" t="s">
        <v>195</v>
      </c>
      <c r="I1324">
        <v>4</v>
      </c>
      <c r="J1324">
        <v>1222.8699999999999</v>
      </c>
      <c r="K1324">
        <v>0</v>
      </c>
      <c r="L1324" t="s">
        <v>201</v>
      </c>
      <c r="M1324">
        <v>1</v>
      </c>
    </row>
    <row r="1325" spans="1:13" x14ac:dyDescent="0.3">
      <c r="A1325" t="s">
        <v>1534</v>
      </c>
      <c r="B1325">
        <v>82</v>
      </c>
      <c r="C1325" s="1">
        <v>45525</v>
      </c>
      <c r="D1325">
        <v>2024</v>
      </c>
      <c r="E1325" t="s">
        <v>214</v>
      </c>
      <c r="F1325" t="s">
        <v>12</v>
      </c>
      <c r="G1325" t="s">
        <v>212</v>
      </c>
      <c r="H1325" t="s">
        <v>195</v>
      </c>
      <c r="I1325">
        <v>1</v>
      </c>
      <c r="J1325">
        <v>728.48</v>
      </c>
      <c r="K1325">
        <v>1</v>
      </c>
      <c r="L1325" t="s">
        <v>215</v>
      </c>
      <c r="M1325">
        <v>1</v>
      </c>
    </row>
    <row r="1326" spans="1:13" x14ac:dyDescent="0.3">
      <c r="A1326" t="s">
        <v>1535</v>
      </c>
      <c r="B1326">
        <v>82</v>
      </c>
      <c r="C1326" s="1">
        <v>45294</v>
      </c>
      <c r="D1326">
        <v>2024</v>
      </c>
      <c r="E1326" t="s">
        <v>190</v>
      </c>
      <c r="F1326" t="s">
        <v>199</v>
      </c>
      <c r="G1326" t="s">
        <v>203</v>
      </c>
      <c r="H1326" t="s">
        <v>204</v>
      </c>
      <c r="I1326">
        <v>15</v>
      </c>
      <c r="J1326">
        <v>4579.3999999999996</v>
      </c>
      <c r="K1326">
        <v>1</v>
      </c>
      <c r="L1326" t="s">
        <v>210</v>
      </c>
      <c r="M1326">
        <v>1</v>
      </c>
    </row>
    <row r="1327" spans="1:13" x14ac:dyDescent="0.3">
      <c r="A1327" t="s">
        <v>1536</v>
      </c>
      <c r="B1327">
        <v>82</v>
      </c>
      <c r="C1327" s="1">
        <v>45414</v>
      </c>
      <c r="D1327">
        <v>2024</v>
      </c>
      <c r="E1327" t="s">
        <v>219</v>
      </c>
      <c r="F1327" t="s">
        <v>13</v>
      </c>
      <c r="G1327" t="s">
        <v>200</v>
      </c>
      <c r="H1327" t="s">
        <v>195</v>
      </c>
      <c r="I1327">
        <v>9</v>
      </c>
      <c r="J1327">
        <v>3941.4</v>
      </c>
      <c r="K1327">
        <v>1</v>
      </c>
      <c r="L1327" t="s">
        <v>210</v>
      </c>
      <c r="M1327">
        <v>0</v>
      </c>
    </row>
    <row r="1328" spans="1:13" x14ac:dyDescent="0.3">
      <c r="A1328" t="s">
        <v>1537</v>
      </c>
      <c r="B1328">
        <v>82</v>
      </c>
      <c r="C1328" s="1">
        <v>45438</v>
      </c>
      <c r="D1328">
        <v>2024</v>
      </c>
      <c r="E1328" t="s">
        <v>214</v>
      </c>
      <c r="F1328" t="s">
        <v>13</v>
      </c>
      <c r="G1328" t="s">
        <v>203</v>
      </c>
      <c r="H1328" t="s">
        <v>195</v>
      </c>
      <c r="I1328">
        <v>14</v>
      </c>
      <c r="J1328">
        <v>3160.35</v>
      </c>
      <c r="K1328">
        <v>1</v>
      </c>
      <c r="L1328" t="s">
        <v>201</v>
      </c>
      <c r="M1328">
        <v>0</v>
      </c>
    </row>
    <row r="1329" spans="1:13" x14ac:dyDescent="0.3">
      <c r="A1329" t="s">
        <v>1538</v>
      </c>
      <c r="B1329">
        <v>82</v>
      </c>
      <c r="C1329" s="1">
        <v>45752</v>
      </c>
      <c r="D1329">
        <v>2025</v>
      </c>
      <c r="E1329" t="s">
        <v>214</v>
      </c>
      <c r="F1329" t="s">
        <v>13</v>
      </c>
      <c r="G1329" t="s">
        <v>212</v>
      </c>
      <c r="H1329" t="s">
        <v>206</v>
      </c>
      <c r="I1329">
        <v>7</v>
      </c>
      <c r="J1329">
        <v>3598.98</v>
      </c>
      <c r="K1329">
        <v>1</v>
      </c>
      <c r="L1329" t="s">
        <v>193</v>
      </c>
      <c r="M1329">
        <v>1</v>
      </c>
    </row>
    <row r="1330" spans="1:13" x14ac:dyDescent="0.3">
      <c r="A1330" t="s">
        <v>1539</v>
      </c>
      <c r="B1330">
        <v>82</v>
      </c>
      <c r="C1330" s="1">
        <v>45949</v>
      </c>
      <c r="D1330">
        <v>2025</v>
      </c>
      <c r="E1330" t="s">
        <v>214</v>
      </c>
      <c r="F1330" t="s">
        <v>12</v>
      </c>
      <c r="G1330" t="s">
        <v>203</v>
      </c>
      <c r="H1330" t="s">
        <v>195</v>
      </c>
      <c r="I1330">
        <v>14</v>
      </c>
      <c r="J1330">
        <v>394.78</v>
      </c>
      <c r="K1330">
        <v>1</v>
      </c>
      <c r="L1330" t="s">
        <v>193</v>
      </c>
      <c r="M1330">
        <v>1</v>
      </c>
    </row>
    <row r="1331" spans="1:13" x14ac:dyDescent="0.3">
      <c r="A1331" t="s">
        <v>1540</v>
      </c>
      <c r="B1331">
        <v>82</v>
      </c>
      <c r="C1331" s="1">
        <v>45759</v>
      </c>
      <c r="D1331">
        <v>2025</v>
      </c>
      <c r="E1331" t="s">
        <v>190</v>
      </c>
      <c r="F1331" t="s">
        <v>199</v>
      </c>
      <c r="G1331" t="s">
        <v>203</v>
      </c>
      <c r="H1331" t="s">
        <v>195</v>
      </c>
      <c r="I1331">
        <v>14</v>
      </c>
      <c r="J1331">
        <v>4936.4799999999996</v>
      </c>
      <c r="K1331">
        <v>1</v>
      </c>
      <c r="L1331" t="s">
        <v>196</v>
      </c>
      <c r="M1331">
        <v>0</v>
      </c>
    </row>
    <row r="1332" spans="1:13" x14ac:dyDescent="0.3">
      <c r="A1332" t="s">
        <v>1541</v>
      </c>
      <c r="B1332">
        <v>82</v>
      </c>
      <c r="C1332" s="1">
        <v>45743</v>
      </c>
      <c r="D1332">
        <v>2025</v>
      </c>
      <c r="E1332" t="s">
        <v>198</v>
      </c>
      <c r="F1332" t="s">
        <v>199</v>
      </c>
      <c r="G1332" t="s">
        <v>203</v>
      </c>
      <c r="H1332" t="s">
        <v>195</v>
      </c>
      <c r="I1332">
        <v>9</v>
      </c>
      <c r="J1332">
        <v>7648.05</v>
      </c>
      <c r="K1332">
        <v>1</v>
      </c>
      <c r="L1332" t="s">
        <v>196</v>
      </c>
      <c r="M1332">
        <v>1</v>
      </c>
    </row>
    <row r="1333" spans="1:13" x14ac:dyDescent="0.3">
      <c r="A1333" t="s">
        <v>1542</v>
      </c>
      <c r="B1333">
        <v>83</v>
      </c>
      <c r="C1333" s="1">
        <v>44447</v>
      </c>
      <c r="D1333">
        <v>2021</v>
      </c>
      <c r="E1333" t="s">
        <v>198</v>
      </c>
      <c r="F1333" t="s">
        <v>199</v>
      </c>
      <c r="G1333" t="s">
        <v>200</v>
      </c>
      <c r="H1333" t="s">
        <v>195</v>
      </c>
      <c r="I1333">
        <v>6</v>
      </c>
      <c r="J1333">
        <v>7422.25</v>
      </c>
      <c r="K1333">
        <v>1</v>
      </c>
      <c r="L1333" t="s">
        <v>201</v>
      </c>
      <c r="M1333">
        <v>1</v>
      </c>
    </row>
    <row r="1334" spans="1:13" x14ac:dyDescent="0.3">
      <c r="A1334" t="s">
        <v>1543</v>
      </c>
      <c r="B1334">
        <v>83</v>
      </c>
      <c r="C1334" s="1">
        <v>44355</v>
      </c>
      <c r="D1334">
        <v>2021</v>
      </c>
      <c r="E1334" t="s">
        <v>219</v>
      </c>
      <c r="F1334" t="s">
        <v>199</v>
      </c>
      <c r="G1334" t="s">
        <v>191</v>
      </c>
      <c r="H1334" t="s">
        <v>204</v>
      </c>
      <c r="I1334">
        <v>6</v>
      </c>
      <c r="J1334">
        <v>3025.84</v>
      </c>
      <c r="K1334">
        <v>1</v>
      </c>
      <c r="L1334" t="s">
        <v>196</v>
      </c>
      <c r="M1334">
        <v>0</v>
      </c>
    </row>
    <row r="1335" spans="1:13" x14ac:dyDescent="0.3">
      <c r="A1335" t="s">
        <v>1544</v>
      </c>
      <c r="B1335">
        <v>83</v>
      </c>
      <c r="C1335" s="1">
        <v>44418</v>
      </c>
      <c r="D1335">
        <v>2021</v>
      </c>
      <c r="E1335" t="s">
        <v>190</v>
      </c>
      <c r="F1335" t="s">
        <v>13</v>
      </c>
      <c r="G1335" t="s">
        <v>212</v>
      </c>
      <c r="H1335" t="s">
        <v>195</v>
      </c>
      <c r="I1335">
        <v>8</v>
      </c>
      <c r="J1335">
        <v>3779.02</v>
      </c>
      <c r="K1335">
        <v>1</v>
      </c>
      <c r="L1335" t="s">
        <v>193</v>
      </c>
      <c r="M1335">
        <v>1</v>
      </c>
    </row>
    <row r="1336" spans="1:13" x14ac:dyDescent="0.3">
      <c r="A1336" t="s">
        <v>1545</v>
      </c>
      <c r="B1336">
        <v>83</v>
      </c>
      <c r="C1336" s="1">
        <v>44363</v>
      </c>
      <c r="D1336">
        <v>2021</v>
      </c>
      <c r="E1336" t="s">
        <v>219</v>
      </c>
      <c r="F1336" t="s">
        <v>13</v>
      </c>
      <c r="G1336" t="s">
        <v>191</v>
      </c>
      <c r="H1336" t="s">
        <v>195</v>
      </c>
      <c r="I1336">
        <v>3</v>
      </c>
      <c r="J1336">
        <v>2755.55</v>
      </c>
      <c r="K1336">
        <v>1</v>
      </c>
      <c r="L1336" t="s">
        <v>193</v>
      </c>
      <c r="M1336">
        <v>0</v>
      </c>
    </row>
    <row r="1337" spans="1:13" x14ac:dyDescent="0.3">
      <c r="A1337" t="s">
        <v>1546</v>
      </c>
      <c r="B1337">
        <v>83</v>
      </c>
      <c r="C1337" s="1">
        <v>44520</v>
      </c>
      <c r="D1337">
        <v>2021</v>
      </c>
      <c r="E1337" t="s">
        <v>190</v>
      </c>
      <c r="F1337" t="s">
        <v>12</v>
      </c>
      <c r="G1337" t="s">
        <v>203</v>
      </c>
      <c r="H1337" t="s">
        <v>195</v>
      </c>
      <c r="I1337">
        <v>15</v>
      </c>
      <c r="J1337">
        <v>995.33</v>
      </c>
      <c r="K1337">
        <v>0</v>
      </c>
      <c r="L1337" t="s">
        <v>210</v>
      </c>
      <c r="M1337">
        <v>0</v>
      </c>
    </row>
    <row r="1338" spans="1:13" x14ac:dyDescent="0.3">
      <c r="A1338" t="s">
        <v>1547</v>
      </c>
      <c r="B1338">
        <v>83</v>
      </c>
      <c r="C1338" s="1">
        <v>44363</v>
      </c>
      <c r="D1338">
        <v>2021</v>
      </c>
      <c r="E1338" t="s">
        <v>219</v>
      </c>
      <c r="F1338" t="s">
        <v>12</v>
      </c>
      <c r="G1338" t="s">
        <v>212</v>
      </c>
      <c r="H1338" t="s">
        <v>204</v>
      </c>
      <c r="I1338">
        <v>15</v>
      </c>
      <c r="J1338">
        <v>969.89</v>
      </c>
      <c r="K1338">
        <v>0</v>
      </c>
      <c r="L1338" t="s">
        <v>215</v>
      </c>
      <c r="M1338">
        <v>1</v>
      </c>
    </row>
    <row r="1339" spans="1:13" x14ac:dyDescent="0.3">
      <c r="A1339" t="s">
        <v>1548</v>
      </c>
      <c r="B1339">
        <v>83</v>
      </c>
      <c r="C1339" s="1">
        <v>44855</v>
      </c>
      <c r="D1339">
        <v>2022</v>
      </c>
      <c r="E1339" t="s">
        <v>214</v>
      </c>
      <c r="F1339" t="s">
        <v>12</v>
      </c>
      <c r="G1339" t="s">
        <v>191</v>
      </c>
      <c r="H1339" t="s">
        <v>195</v>
      </c>
      <c r="I1339">
        <v>7</v>
      </c>
      <c r="J1339">
        <v>1251.25</v>
      </c>
      <c r="K1339">
        <v>0</v>
      </c>
      <c r="L1339" t="s">
        <v>201</v>
      </c>
      <c r="M1339">
        <v>1</v>
      </c>
    </row>
    <row r="1340" spans="1:13" x14ac:dyDescent="0.3">
      <c r="A1340" t="s">
        <v>1549</v>
      </c>
      <c r="B1340">
        <v>83</v>
      </c>
      <c r="C1340" s="1">
        <v>44753</v>
      </c>
      <c r="D1340">
        <v>2022</v>
      </c>
      <c r="E1340" t="s">
        <v>214</v>
      </c>
      <c r="F1340" t="s">
        <v>12</v>
      </c>
      <c r="G1340" t="s">
        <v>212</v>
      </c>
      <c r="H1340" t="s">
        <v>195</v>
      </c>
      <c r="I1340">
        <v>7</v>
      </c>
      <c r="J1340">
        <v>805.07</v>
      </c>
      <c r="K1340">
        <v>0</v>
      </c>
      <c r="L1340" t="s">
        <v>215</v>
      </c>
      <c r="M1340">
        <v>1</v>
      </c>
    </row>
    <row r="1341" spans="1:13" x14ac:dyDescent="0.3">
      <c r="A1341" t="s">
        <v>1550</v>
      </c>
      <c r="B1341">
        <v>83</v>
      </c>
      <c r="C1341" s="1">
        <v>44635</v>
      </c>
      <c r="D1341">
        <v>2022</v>
      </c>
      <c r="E1341" t="s">
        <v>214</v>
      </c>
      <c r="F1341" t="s">
        <v>199</v>
      </c>
      <c r="G1341" t="s">
        <v>203</v>
      </c>
      <c r="H1341" t="s">
        <v>192</v>
      </c>
      <c r="I1341">
        <v>2</v>
      </c>
      <c r="J1341">
        <v>4143.63</v>
      </c>
      <c r="K1341">
        <v>0</v>
      </c>
      <c r="L1341" t="s">
        <v>196</v>
      </c>
      <c r="M1341">
        <v>0</v>
      </c>
    </row>
    <row r="1342" spans="1:13" x14ac:dyDescent="0.3">
      <c r="A1342" t="s">
        <v>1551</v>
      </c>
      <c r="B1342">
        <v>83</v>
      </c>
      <c r="C1342" s="1">
        <v>44866</v>
      </c>
      <c r="D1342">
        <v>2022</v>
      </c>
      <c r="E1342" t="s">
        <v>219</v>
      </c>
      <c r="F1342" t="s">
        <v>12</v>
      </c>
      <c r="G1342" t="s">
        <v>212</v>
      </c>
      <c r="H1342" t="s">
        <v>204</v>
      </c>
      <c r="I1342">
        <v>7</v>
      </c>
      <c r="J1342">
        <v>450.91</v>
      </c>
      <c r="K1342">
        <v>0</v>
      </c>
      <c r="L1342" t="s">
        <v>193</v>
      </c>
      <c r="M1342">
        <v>1</v>
      </c>
    </row>
    <row r="1343" spans="1:13" x14ac:dyDescent="0.3">
      <c r="A1343" t="s">
        <v>1552</v>
      </c>
      <c r="B1343">
        <v>83</v>
      </c>
      <c r="C1343" s="1">
        <v>44691</v>
      </c>
      <c r="D1343">
        <v>2022</v>
      </c>
      <c r="E1343" t="s">
        <v>214</v>
      </c>
      <c r="F1343" t="s">
        <v>199</v>
      </c>
      <c r="G1343" t="s">
        <v>191</v>
      </c>
      <c r="H1343" t="s">
        <v>192</v>
      </c>
      <c r="I1343">
        <v>9</v>
      </c>
      <c r="J1343">
        <v>6914.89</v>
      </c>
      <c r="K1343">
        <v>0</v>
      </c>
      <c r="L1343" t="s">
        <v>201</v>
      </c>
      <c r="M1343">
        <v>0</v>
      </c>
    </row>
    <row r="1344" spans="1:13" x14ac:dyDescent="0.3">
      <c r="A1344" t="s">
        <v>1553</v>
      </c>
      <c r="B1344">
        <v>83</v>
      </c>
      <c r="C1344" s="1">
        <v>44675</v>
      </c>
      <c r="D1344">
        <v>2022</v>
      </c>
      <c r="E1344" t="s">
        <v>214</v>
      </c>
      <c r="F1344" t="s">
        <v>12</v>
      </c>
      <c r="G1344" t="s">
        <v>203</v>
      </c>
      <c r="H1344" t="s">
        <v>195</v>
      </c>
      <c r="I1344">
        <v>8</v>
      </c>
      <c r="J1344">
        <v>1208.49</v>
      </c>
      <c r="K1344">
        <v>0</v>
      </c>
      <c r="L1344" t="s">
        <v>201</v>
      </c>
      <c r="M1344">
        <v>0</v>
      </c>
    </row>
    <row r="1345" spans="1:13" x14ac:dyDescent="0.3">
      <c r="A1345" t="s">
        <v>1554</v>
      </c>
      <c r="B1345">
        <v>83</v>
      </c>
      <c r="C1345" s="1">
        <v>45271</v>
      </c>
      <c r="D1345">
        <v>2023</v>
      </c>
      <c r="E1345" t="s">
        <v>287</v>
      </c>
      <c r="F1345" t="s">
        <v>199</v>
      </c>
      <c r="G1345" t="s">
        <v>203</v>
      </c>
      <c r="H1345" t="s">
        <v>195</v>
      </c>
      <c r="I1345">
        <v>4</v>
      </c>
      <c r="J1345">
        <v>5717.27</v>
      </c>
      <c r="K1345">
        <v>1</v>
      </c>
      <c r="L1345" t="s">
        <v>196</v>
      </c>
      <c r="M1345">
        <v>0</v>
      </c>
    </row>
    <row r="1346" spans="1:13" x14ac:dyDescent="0.3">
      <c r="A1346" t="s">
        <v>1555</v>
      </c>
      <c r="B1346">
        <v>83</v>
      </c>
      <c r="C1346" s="1">
        <v>45108</v>
      </c>
      <c r="D1346">
        <v>2023</v>
      </c>
      <c r="E1346" t="s">
        <v>198</v>
      </c>
      <c r="F1346" t="s">
        <v>13</v>
      </c>
      <c r="G1346" t="s">
        <v>191</v>
      </c>
      <c r="H1346" t="s">
        <v>204</v>
      </c>
      <c r="I1346">
        <v>7</v>
      </c>
      <c r="J1346">
        <v>2971.48</v>
      </c>
      <c r="K1346">
        <v>1</v>
      </c>
      <c r="L1346" t="s">
        <v>201</v>
      </c>
      <c r="M1346">
        <v>0</v>
      </c>
    </row>
    <row r="1347" spans="1:13" x14ac:dyDescent="0.3">
      <c r="A1347" t="s">
        <v>1556</v>
      </c>
      <c r="B1347">
        <v>83</v>
      </c>
      <c r="C1347" s="1">
        <v>45083</v>
      </c>
      <c r="D1347">
        <v>2023</v>
      </c>
      <c r="E1347" t="s">
        <v>198</v>
      </c>
      <c r="F1347" t="s">
        <v>13</v>
      </c>
      <c r="G1347" t="s">
        <v>212</v>
      </c>
      <c r="H1347" t="s">
        <v>192</v>
      </c>
      <c r="I1347">
        <v>4</v>
      </c>
      <c r="J1347">
        <v>1838.6</v>
      </c>
      <c r="K1347">
        <v>1</v>
      </c>
      <c r="L1347" t="s">
        <v>201</v>
      </c>
      <c r="M1347">
        <v>1</v>
      </c>
    </row>
    <row r="1348" spans="1:13" x14ac:dyDescent="0.3">
      <c r="A1348" t="s">
        <v>1557</v>
      </c>
      <c r="B1348">
        <v>83</v>
      </c>
      <c r="C1348" s="1">
        <v>45479</v>
      </c>
      <c r="D1348">
        <v>2024</v>
      </c>
      <c r="E1348" t="s">
        <v>219</v>
      </c>
      <c r="F1348" t="s">
        <v>13</v>
      </c>
      <c r="G1348" t="s">
        <v>200</v>
      </c>
      <c r="H1348" t="s">
        <v>195</v>
      </c>
      <c r="I1348">
        <v>3</v>
      </c>
      <c r="J1348">
        <v>1470.92</v>
      </c>
      <c r="K1348">
        <v>0</v>
      </c>
      <c r="L1348" t="s">
        <v>201</v>
      </c>
      <c r="M1348">
        <v>0</v>
      </c>
    </row>
    <row r="1349" spans="1:13" x14ac:dyDescent="0.3">
      <c r="A1349" t="s">
        <v>1558</v>
      </c>
      <c r="B1349">
        <v>83</v>
      </c>
      <c r="C1349" s="1">
        <v>45488</v>
      </c>
      <c r="D1349">
        <v>2024</v>
      </c>
      <c r="E1349" t="s">
        <v>190</v>
      </c>
      <c r="F1349" t="s">
        <v>199</v>
      </c>
      <c r="G1349" t="s">
        <v>203</v>
      </c>
      <c r="H1349" t="s">
        <v>204</v>
      </c>
      <c r="I1349">
        <v>9</v>
      </c>
      <c r="J1349">
        <v>4733.66</v>
      </c>
      <c r="K1349">
        <v>0</v>
      </c>
      <c r="L1349" t="s">
        <v>201</v>
      </c>
      <c r="M1349">
        <v>1</v>
      </c>
    </row>
    <row r="1350" spans="1:13" x14ac:dyDescent="0.3">
      <c r="A1350" t="s">
        <v>1559</v>
      </c>
      <c r="B1350">
        <v>83</v>
      </c>
      <c r="C1350" s="1">
        <v>45304</v>
      </c>
      <c r="D1350">
        <v>2024</v>
      </c>
      <c r="E1350" t="s">
        <v>198</v>
      </c>
      <c r="F1350" t="s">
        <v>13</v>
      </c>
      <c r="G1350" t="s">
        <v>191</v>
      </c>
      <c r="H1350" t="s">
        <v>195</v>
      </c>
      <c r="I1350">
        <v>2</v>
      </c>
      <c r="J1350">
        <v>1691.88</v>
      </c>
      <c r="K1350">
        <v>1</v>
      </c>
      <c r="L1350" t="s">
        <v>201</v>
      </c>
      <c r="M1350">
        <v>0</v>
      </c>
    </row>
    <row r="1351" spans="1:13" x14ac:dyDescent="0.3">
      <c r="A1351" t="s">
        <v>1560</v>
      </c>
      <c r="B1351">
        <v>83</v>
      </c>
      <c r="C1351" s="1">
        <v>45444</v>
      </c>
      <c r="D1351">
        <v>2024</v>
      </c>
      <c r="E1351" t="s">
        <v>198</v>
      </c>
      <c r="F1351" t="s">
        <v>13</v>
      </c>
      <c r="G1351" t="s">
        <v>200</v>
      </c>
      <c r="H1351" t="s">
        <v>195</v>
      </c>
      <c r="I1351">
        <v>5</v>
      </c>
      <c r="J1351">
        <v>1730.56</v>
      </c>
      <c r="K1351">
        <v>1</v>
      </c>
      <c r="L1351" t="s">
        <v>201</v>
      </c>
      <c r="M1351">
        <v>0</v>
      </c>
    </row>
    <row r="1352" spans="1:13" x14ac:dyDescent="0.3">
      <c r="A1352" t="s">
        <v>1561</v>
      </c>
      <c r="B1352">
        <v>83</v>
      </c>
      <c r="C1352" s="1">
        <v>45342</v>
      </c>
      <c r="D1352">
        <v>2024</v>
      </c>
      <c r="E1352" t="s">
        <v>198</v>
      </c>
      <c r="F1352" t="s">
        <v>199</v>
      </c>
      <c r="G1352" t="s">
        <v>203</v>
      </c>
      <c r="H1352" t="s">
        <v>195</v>
      </c>
      <c r="I1352">
        <v>13</v>
      </c>
      <c r="J1352">
        <v>3513.13</v>
      </c>
      <c r="K1352">
        <v>1</v>
      </c>
      <c r="L1352" t="s">
        <v>193</v>
      </c>
      <c r="M1352">
        <v>0</v>
      </c>
    </row>
    <row r="1353" spans="1:13" x14ac:dyDescent="0.3">
      <c r="A1353" t="s">
        <v>1562</v>
      </c>
      <c r="B1353">
        <v>83</v>
      </c>
      <c r="C1353" s="1">
        <v>45642</v>
      </c>
      <c r="D1353">
        <v>2024</v>
      </c>
      <c r="E1353" t="s">
        <v>198</v>
      </c>
      <c r="F1353" t="s">
        <v>13</v>
      </c>
      <c r="G1353" t="s">
        <v>203</v>
      </c>
      <c r="H1353" t="s">
        <v>195</v>
      </c>
      <c r="I1353">
        <v>18</v>
      </c>
      <c r="J1353">
        <v>1007.37</v>
      </c>
      <c r="K1353">
        <v>1</v>
      </c>
      <c r="L1353" t="s">
        <v>193</v>
      </c>
      <c r="M1353">
        <v>1</v>
      </c>
    </row>
    <row r="1354" spans="1:13" x14ac:dyDescent="0.3">
      <c r="A1354" t="s">
        <v>1563</v>
      </c>
      <c r="B1354">
        <v>83</v>
      </c>
      <c r="C1354" s="1">
        <v>45748</v>
      </c>
      <c r="D1354">
        <v>2025</v>
      </c>
      <c r="E1354" t="s">
        <v>190</v>
      </c>
      <c r="F1354" t="s">
        <v>13</v>
      </c>
      <c r="G1354" t="s">
        <v>200</v>
      </c>
      <c r="H1354" t="s">
        <v>204</v>
      </c>
      <c r="I1354">
        <v>10</v>
      </c>
      <c r="J1354">
        <v>3887.12</v>
      </c>
      <c r="K1354">
        <v>0</v>
      </c>
      <c r="L1354" t="s">
        <v>201</v>
      </c>
      <c r="M1354">
        <v>1</v>
      </c>
    </row>
    <row r="1355" spans="1:13" x14ac:dyDescent="0.3">
      <c r="A1355" t="s">
        <v>1564</v>
      </c>
      <c r="B1355">
        <v>83</v>
      </c>
      <c r="C1355" s="1">
        <v>45925</v>
      </c>
      <c r="D1355">
        <v>2025</v>
      </c>
      <c r="E1355" t="s">
        <v>198</v>
      </c>
      <c r="F1355" t="s">
        <v>199</v>
      </c>
      <c r="G1355" t="s">
        <v>191</v>
      </c>
      <c r="H1355" t="s">
        <v>195</v>
      </c>
      <c r="I1355">
        <v>7</v>
      </c>
      <c r="J1355">
        <v>6803.04</v>
      </c>
      <c r="K1355">
        <v>1</v>
      </c>
      <c r="L1355" t="s">
        <v>193</v>
      </c>
      <c r="M1355">
        <v>1</v>
      </c>
    </row>
    <row r="1356" spans="1:13" x14ac:dyDescent="0.3">
      <c r="A1356" t="s">
        <v>1565</v>
      </c>
      <c r="B1356">
        <v>83</v>
      </c>
      <c r="C1356" s="1">
        <v>45769</v>
      </c>
      <c r="D1356">
        <v>2025</v>
      </c>
      <c r="E1356" t="s">
        <v>198</v>
      </c>
      <c r="F1356" t="s">
        <v>199</v>
      </c>
      <c r="G1356" t="s">
        <v>191</v>
      </c>
      <c r="H1356" t="s">
        <v>195</v>
      </c>
      <c r="I1356">
        <v>9</v>
      </c>
      <c r="J1356">
        <v>4853.5</v>
      </c>
      <c r="K1356">
        <v>1</v>
      </c>
      <c r="L1356" t="s">
        <v>210</v>
      </c>
      <c r="M1356">
        <v>0</v>
      </c>
    </row>
    <row r="1357" spans="1:13" x14ac:dyDescent="0.3">
      <c r="A1357" t="s">
        <v>1566</v>
      </c>
      <c r="B1357">
        <v>83</v>
      </c>
      <c r="C1357" s="1">
        <v>45738</v>
      </c>
      <c r="D1357">
        <v>2025</v>
      </c>
      <c r="E1357" t="s">
        <v>198</v>
      </c>
      <c r="F1357" t="s">
        <v>13</v>
      </c>
      <c r="G1357" t="s">
        <v>212</v>
      </c>
      <c r="H1357" t="s">
        <v>206</v>
      </c>
      <c r="I1357">
        <v>2</v>
      </c>
      <c r="J1357">
        <v>2944.01</v>
      </c>
      <c r="K1357">
        <v>1</v>
      </c>
      <c r="L1357" t="s">
        <v>196</v>
      </c>
      <c r="M1357">
        <v>1</v>
      </c>
    </row>
    <row r="1358" spans="1:13" x14ac:dyDescent="0.3">
      <c r="A1358" t="s">
        <v>1567</v>
      </c>
      <c r="B1358">
        <v>83</v>
      </c>
      <c r="C1358" s="1">
        <v>45964</v>
      </c>
      <c r="D1358">
        <v>2025</v>
      </c>
      <c r="E1358" t="s">
        <v>190</v>
      </c>
      <c r="F1358" t="s">
        <v>12</v>
      </c>
      <c r="G1358" t="s">
        <v>212</v>
      </c>
      <c r="H1358" t="s">
        <v>195</v>
      </c>
      <c r="I1358">
        <v>9</v>
      </c>
      <c r="J1358">
        <v>1099.69</v>
      </c>
      <c r="K1358">
        <v>1</v>
      </c>
      <c r="L1358" t="s">
        <v>193</v>
      </c>
      <c r="M1358">
        <v>1</v>
      </c>
    </row>
    <row r="1359" spans="1:13" x14ac:dyDescent="0.3">
      <c r="A1359" t="s">
        <v>1568</v>
      </c>
      <c r="B1359">
        <v>84</v>
      </c>
      <c r="C1359" s="1">
        <v>44514</v>
      </c>
      <c r="D1359">
        <v>2021</v>
      </c>
      <c r="E1359" t="s">
        <v>214</v>
      </c>
      <c r="F1359" t="s">
        <v>209</v>
      </c>
      <c r="G1359" t="s">
        <v>203</v>
      </c>
      <c r="H1359" t="s">
        <v>206</v>
      </c>
      <c r="I1359">
        <v>3</v>
      </c>
      <c r="J1359">
        <v>73.86</v>
      </c>
      <c r="K1359">
        <v>0</v>
      </c>
      <c r="L1359" t="s">
        <v>210</v>
      </c>
      <c r="M1359">
        <v>1</v>
      </c>
    </row>
    <row r="1360" spans="1:13" x14ac:dyDescent="0.3">
      <c r="A1360" t="s">
        <v>1569</v>
      </c>
      <c r="B1360">
        <v>84</v>
      </c>
      <c r="C1360" s="1">
        <v>44404</v>
      </c>
      <c r="D1360">
        <v>2021</v>
      </c>
      <c r="E1360" t="s">
        <v>219</v>
      </c>
      <c r="F1360" t="s">
        <v>12</v>
      </c>
      <c r="G1360" t="s">
        <v>212</v>
      </c>
      <c r="H1360" t="s">
        <v>206</v>
      </c>
      <c r="I1360">
        <v>2</v>
      </c>
      <c r="J1360">
        <v>525.84</v>
      </c>
      <c r="K1360">
        <v>0</v>
      </c>
      <c r="L1360" t="s">
        <v>201</v>
      </c>
      <c r="M1360">
        <v>1</v>
      </c>
    </row>
    <row r="1361" spans="1:13" x14ac:dyDescent="0.3">
      <c r="A1361" t="s">
        <v>1570</v>
      </c>
      <c r="B1361">
        <v>84</v>
      </c>
      <c r="C1361" s="1">
        <v>44844</v>
      </c>
      <c r="D1361">
        <v>2022</v>
      </c>
      <c r="E1361" t="s">
        <v>214</v>
      </c>
      <c r="F1361" t="s">
        <v>209</v>
      </c>
      <c r="G1361" t="s">
        <v>191</v>
      </c>
      <c r="H1361" t="s">
        <v>192</v>
      </c>
      <c r="I1361">
        <v>4</v>
      </c>
      <c r="J1361">
        <v>498.11</v>
      </c>
      <c r="K1361">
        <v>0</v>
      </c>
      <c r="L1361" t="s">
        <v>215</v>
      </c>
      <c r="M1361">
        <v>1</v>
      </c>
    </row>
    <row r="1362" spans="1:13" x14ac:dyDescent="0.3">
      <c r="A1362" t="s">
        <v>1571</v>
      </c>
      <c r="B1362">
        <v>84</v>
      </c>
      <c r="C1362" s="1">
        <v>45039</v>
      </c>
      <c r="D1362">
        <v>2023</v>
      </c>
      <c r="E1362" t="s">
        <v>190</v>
      </c>
      <c r="F1362" t="s">
        <v>12</v>
      </c>
      <c r="G1362" t="s">
        <v>203</v>
      </c>
      <c r="H1362" t="s">
        <v>206</v>
      </c>
      <c r="I1362">
        <v>8</v>
      </c>
      <c r="J1362">
        <v>1073.3800000000001</v>
      </c>
      <c r="K1362">
        <v>0</v>
      </c>
      <c r="L1362" t="s">
        <v>215</v>
      </c>
      <c r="M1362">
        <v>0</v>
      </c>
    </row>
    <row r="1363" spans="1:13" x14ac:dyDescent="0.3">
      <c r="A1363" t="s">
        <v>1572</v>
      </c>
      <c r="B1363">
        <v>84</v>
      </c>
      <c r="C1363" s="1">
        <v>45001</v>
      </c>
      <c r="D1363">
        <v>2023</v>
      </c>
      <c r="E1363" t="s">
        <v>190</v>
      </c>
      <c r="F1363" t="s">
        <v>13</v>
      </c>
      <c r="G1363" t="s">
        <v>203</v>
      </c>
      <c r="H1363" t="s">
        <v>192</v>
      </c>
      <c r="I1363">
        <v>10</v>
      </c>
      <c r="J1363">
        <v>2661.23</v>
      </c>
      <c r="K1363">
        <v>0</v>
      </c>
      <c r="L1363" t="s">
        <v>193</v>
      </c>
      <c r="M1363">
        <v>0</v>
      </c>
    </row>
    <row r="1364" spans="1:13" x14ac:dyDescent="0.3">
      <c r="A1364" t="s">
        <v>1573</v>
      </c>
      <c r="B1364">
        <v>84</v>
      </c>
      <c r="C1364" s="1">
        <v>44968</v>
      </c>
      <c r="D1364">
        <v>2023</v>
      </c>
      <c r="E1364" t="s">
        <v>198</v>
      </c>
      <c r="F1364" t="s">
        <v>199</v>
      </c>
      <c r="G1364" t="s">
        <v>200</v>
      </c>
      <c r="H1364" t="s">
        <v>204</v>
      </c>
      <c r="I1364">
        <v>2</v>
      </c>
      <c r="J1364">
        <v>6784.19</v>
      </c>
      <c r="K1364">
        <v>1</v>
      </c>
      <c r="L1364" t="s">
        <v>201</v>
      </c>
      <c r="M1364">
        <v>0</v>
      </c>
    </row>
    <row r="1365" spans="1:13" x14ac:dyDescent="0.3">
      <c r="A1365" t="s">
        <v>1574</v>
      </c>
      <c r="B1365">
        <v>84</v>
      </c>
      <c r="C1365" s="1">
        <v>45083</v>
      </c>
      <c r="D1365">
        <v>2023</v>
      </c>
      <c r="E1365" t="s">
        <v>190</v>
      </c>
      <c r="F1365" t="s">
        <v>12</v>
      </c>
      <c r="G1365" t="s">
        <v>203</v>
      </c>
      <c r="H1365" t="s">
        <v>195</v>
      </c>
      <c r="I1365">
        <v>17</v>
      </c>
      <c r="J1365">
        <v>1241.27</v>
      </c>
      <c r="K1365">
        <v>0</v>
      </c>
      <c r="L1365" t="s">
        <v>201</v>
      </c>
      <c r="M1365">
        <v>0</v>
      </c>
    </row>
    <row r="1366" spans="1:13" x14ac:dyDescent="0.3">
      <c r="A1366" t="s">
        <v>1575</v>
      </c>
      <c r="B1366">
        <v>84</v>
      </c>
      <c r="C1366" s="1">
        <v>45510</v>
      </c>
      <c r="D1366">
        <v>2024</v>
      </c>
      <c r="E1366" t="s">
        <v>287</v>
      </c>
      <c r="F1366" t="s">
        <v>12</v>
      </c>
      <c r="G1366" t="s">
        <v>203</v>
      </c>
      <c r="H1366" t="s">
        <v>206</v>
      </c>
      <c r="I1366">
        <v>11</v>
      </c>
      <c r="J1366">
        <v>1386.98</v>
      </c>
      <c r="K1366">
        <v>0</v>
      </c>
      <c r="L1366" t="s">
        <v>210</v>
      </c>
      <c r="M1366">
        <v>0</v>
      </c>
    </row>
    <row r="1367" spans="1:13" x14ac:dyDescent="0.3">
      <c r="A1367" t="s">
        <v>1576</v>
      </c>
      <c r="B1367">
        <v>84</v>
      </c>
      <c r="C1367" s="1">
        <v>45858</v>
      </c>
      <c r="D1367">
        <v>2025</v>
      </c>
      <c r="E1367" t="s">
        <v>225</v>
      </c>
      <c r="F1367" t="s">
        <v>13</v>
      </c>
      <c r="G1367" t="s">
        <v>212</v>
      </c>
      <c r="H1367" t="s">
        <v>192</v>
      </c>
      <c r="I1367">
        <v>7</v>
      </c>
      <c r="J1367">
        <v>1836.05</v>
      </c>
      <c r="K1367">
        <v>0</v>
      </c>
      <c r="L1367" t="s">
        <v>201</v>
      </c>
      <c r="M1367">
        <v>1</v>
      </c>
    </row>
    <row r="1368" spans="1:13" x14ac:dyDescent="0.3">
      <c r="A1368" t="s">
        <v>1577</v>
      </c>
      <c r="B1368">
        <v>84</v>
      </c>
      <c r="C1368" s="1">
        <v>45835</v>
      </c>
      <c r="D1368">
        <v>2025</v>
      </c>
      <c r="E1368" t="s">
        <v>198</v>
      </c>
      <c r="F1368" t="s">
        <v>199</v>
      </c>
      <c r="G1368" t="s">
        <v>200</v>
      </c>
      <c r="H1368" t="s">
        <v>206</v>
      </c>
      <c r="I1368">
        <v>7</v>
      </c>
      <c r="J1368">
        <v>3212.88</v>
      </c>
      <c r="K1368">
        <v>1</v>
      </c>
      <c r="L1368" t="s">
        <v>193</v>
      </c>
      <c r="M1368">
        <v>0</v>
      </c>
    </row>
    <row r="1369" spans="1:13" x14ac:dyDescent="0.3">
      <c r="A1369" t="s">
        <v>1578</v>
      </c>
      <c r="B1369">
        <v>84</v>
      </c>
      <c r="C1369" s="1">
        <v>45836</v>
      </c>
      <c r="D1369">
        <v>2025</v>
      </c>
      <c r="E1369" t="s">
        <v>198</v>
      </c>
      <c r="F1369" t="s">
        <v>199</v>
      </c>
      <c r="G1369" t="s">
        <v>200</v>
      </c>
      <c r="H1369" t="s">
        <v>195</v>
      </c>
      <c r="I1369">
        <v>9</v>
      </c>
      <c r="J1369">
        <v>3195.05</v>
      </c>
      <c r="K1369">
        <v>1</v>
      </c>
      <c r="L1369" t="s">
        <v>193</v>
      </c>
      <c r="M1369">
        <v>0</v>
      </c>
    </row>
    <row r="1370" spans="1:13" x14ac:dyDescent="0.3">
      <c r="A1370" t="s">
        <v>1579</v>
      </c>
      <c r="B1370">
        <v>84</v>
      </c>
      <c r="C1370" s="1">
        <v>45938</v>
      </c>
      <c r="D1370">
        <v>2025</v>
      </c>
      <c r="E1370" t="s">
        <v>190</v>
      </c>
      <c r="F1370" t="s">
        <v>13</v>
      </c>
      <c r="G1370" t="s">
        <v>203</v>
      </c>
      <c r="H1370" t="s">
        <v>195</v>
      </c>
      <c r="I1370">
        <v>4</v>
      </c>
      <c r="J1370">
        <v>1807.87</v>
      </c>
      <c r="K1370">
        <v>0</v>
      </c>
      <c r="L1370" t="s">
        <v>193</v>
      </c>
      <c r="M1370">
        <v>0</v>
      </c>
    </row>
    <row r="1371" spans="1:13" x14ac:dyDescent="0.3">
      <c r="A1371" t="s">
        <v>1580</v>
      </c>
      <c r="B1371">
        <v>84</v>
      </c>
      <c r="C1371" s="1">
        <v>45866</v>
      </c>
      <c r="D1371">
        <v>2025</v>
      </c>
      <c r="E1371" t="s">
        <v>225</v>
      </c>
      <c r="F1371" t="s">
        <v>199</v>
      </c>
      <c r="G1371" t="s">
        <v>203</v>
      </c>
      <c r="H1371" t="s">
        <v>192</v>
      </c>
      <c r="I1371">
        <v>14</v>
      </c>
      <c r="J1371">
        <v>6292.65</v>
      </c>
      <c r="K1371">
        <v>1</v>
      </c>
      <c r="L1371" t="s">
        <v>210</v>
      </c>
      <c r="M1371">
        <v>0</v>
      </c>
    </row>
    <row r="1372" spans="1:13" x14ac:dyDescent="0.3">
      <c r="A1372" t="s">
        <v>1581</v>
      </c>
      <c r="B1372">
        <v>85</v>
      </c>
      <c r="C1372" s="1">
        <v>44363</v>
      </c>
      <c r="D1372">
        <v>2021</v>
      </c>
      <c r="E1372" t="s">
        <v>219</v>
      </c>
      <c r="F1372" t="s">
        <v>12</v>
      </c>
      <c r="G1372" t="s">
        <v>191</v>
      </c>
      <c r="H1372" t="s">
        <v>195</v>
      </c>
      <c r="I1372">
        <v>8</v>
      </c>
      <c r="J1372">
        <v>1330.02</v>
      </c>
      <c r="K1372">
        <v>0</v>
      </c>
      <c r="L1372" t="s">
        <v>201</v>
      </c>
      <c r="M1372">
        <v>0</v>
      </c>
    </row>
    <row r="1373" spans="1:13" x14ac:dyDescent="0.3">
      <c r="A1373" t="s">
        <v>1582</v>
      </c>
      <c r="B1373">
        <v>85</v>
      </c>
      <c r="C1373" s="1">
        <v>44294</v>
      </c>
      <c r="D1373">
        <v>2021</v>
      </c>
      <c r="E1373" t="s">
        <v>219</v>
      </c>
      <c r="F1373" t="s">
        <v>12</v>
      </c>
      <c r="G1373" t="s">
        <v>200</v>
      </c>
      <c r="H1373" t="s">
        <v>192</v>
      </c>
      <c r="I1373">
        <v>11</v>
      </c>
      <c r="J1373">
        <v>1100.79</v>
      </c>
      <c r="K1373">
        <v>0</v>
      </c>
      <c r="L1373" t="s">
        <v>201</v>
      </c>
      <c r="M1373">
        <v>0</v>
      </c>
    </row>
    <row r="1374" spans="1:13" x14ac:dyDescent="0.3">
      <c r="A1374" t="s">
        <v>1583</v>
      </c>
      <c r="B1374">
        <v>85</v>
      </c>
      <c r="C1374" s="1">
        <v>44666</v>
      </c>
      <c r="D1374">
        <v>2022</v>
      </c>
      <c r="E1374" t="s">
        <v>190</v>
      </c>
      <c r="F1374" t="s">
        <v>13</v>
      </c>
      <c r="G1374" t="s">
        <v>212</v>
      </c>
      <c r="H1374" t="s">
        <v>195</v>
      </c>
      <c r="I1374">
        <v>2</v>
      </c>
      <c r="J1374">
        <v>3096.15</v>
      </c>
      <c r="K1374">
        <v>0</v>
      </c>
      <c r="L1374" t="s">
        <v>210</v>
      </c>
      <c r="M1374">
        <v>1</v>
      </c>
    </row>
    <row r="1375" spans="1:13" x14ac:dyDescent="0.3">
      <c r="A1375" t="s">
        <v>1584</v>
      </c>
      <c r="B1375">
        <v>85</v>
      </c>
      <c r="C1375" s="1">
        <v>45151</v>
      </c>
      <c r="D1375">
        <v>2023</v>
      </c>
      <c r="E1375" t="s">
        <v>190</v>
      </c>
      <c r="F1375" t="s">
        <v>12</v>
      </c>
      <c r="G1375" t="s">
        <v>212</v>
      </c>
      <c r="H1375" t="s">
        <v>195</v>
      </c>
      <c r="I1375">
        <v>11</v>
      </c>
      <c r="J1375">
        <v>524.64</v>
      </c>
      <c r="K1375">
        <v>0</v>
      </c>
      <c r="L1375" t="s">
        <v>201</v>
      </c>
      <c r="M1375">
        <v>1</v>
      </c>
    </row>
    <row r="1376" spans="1:13" x14ac:dyDescent="0.3">
      <c r="A1376" t="s">
        <v>1585</v>
      </c>
      <c r="B1376">
        <v>85</v>
      </c>
      <c r="C1376" s="1">
        <v>45183</v>
      </c>
      <c r="D1376">
        <v>2023</v>
      </c>
      <c r="E1376" t="s">
        <v>214</v>
      </c>
      <c r="F1376" t="s">
        <v>209</v>
      </c>
      <c r="G1376" t="s">
        <v>191</v>
      </c>
      <c r="H1376" t="s">
        <v>195</v>
      </c>
      <c r="I1376">
        <v>13</v>
      </c>
      <c r="J1376">
        <v>495.26</v>
      </c>
      <c r="K1376">
        <v>0</v>
      </c>
      <c r="L1376" t="s">
        <v>210</v>
      </c>
      <c r="M1376">
        <v>0</v>
      </c>
    </row>
    <row r="1377" spans="1:13" x14ac:dyDescent="0.3">
      <c r="A1377" t="s">
        <v>1586</v>
      </c>
      <c r="B1377">
        <v>85</v>
      </c>
      <c r="C1377" s="1">
        <v>45544</v>
      </c>
      <c r="D1377">
        <v>2024</v>
      </c>
      <c r="E1377" t="s">
        <v>214</v>
      </c>
      <c r="F1377" t="s">
        <v>199</v>
      </c>
      <c r="G1377" t="s">
        <v>191</v>
      </c>
      <c r="H1377" t="s">
        <v>192</v>
      </c>
      <c r="I1377">
        <v>5</v>
      </c>
      <c r="J1377">
        <v>3619.47</v>
      </c>
      <c r="K1377">
        <v>0</v>
      </c>
      <c r="L1377" t="s">
        <v>196</v>
      </c>
      <c r="M1377">
        <v>1</v>
      </c>
    </row>
    <row r="1378" spans="1:13" x14ac:dyDescent="0.3">
      <c r="A1378" t="s">
        <v>1587</v>
      </c>
      <c r="B1378">
        <v>85</v>
      </c>
      <c r="C1378" s="1">
        <v>45615</v>
      </c>
      <c r="D1378">
        <v>2024</v>
      </c>
      <c r="E1378" t="s">
        <v>214</v>
      </c>
      <c r="F1378" t="s">
        <v>199</v>
      </c>
      <c r="G1378" t="s">
        <v>203</v>
      </c>
      <c r="H1378" t="s">
        <v>204</v>
      </c>
      <c r="I1378">
        <v>9</v>
      </c>
      <c r="J1378">
        <v>6302.36</v>
      </c>
      <c r="K1378">
        <v>0</v>
      </c>
      <c r="L1378" t="s">
        <v>196</v>
      </c>
      <c r="M1378">
        <v>1</v>
      </c>
    </row>
    <row r="1379" spans="1:13" x14ac:dyDescent="0.3">
      <c r="A1379" t="s">
        <v>1588</v>
      </c>
      <c r="B1379">
        <v>85</v>
      </c>
      <c r="C1379" s="1">
        <v>45345</v>
      </c>
      <c r="D1379">
        <v>2024</v>
      </c>
      <c r="E1379" t="s">
        <v>214</v>
      </c>
      <c r="F1379" t="s">
        <v>209</v>
      </c>
      <c r="G1379" t="s">
        <v>212</v>
      </c>
      <c r="H1379" t="s">
        <v>195</v>
      </c>
      <c r="I1379">
        <v>8</v>
      </c>
      <c r="J1379">
        <v>363.95</v>
      </c>
      <c r="K1379">
        <v>0</v>
      </c>
      <c r="L1379" t="s">
        <v>210</v>
      </c>
      <c r="M1379">
        <v>1</v>
      </c>
    </row>
    <row r="1380" spans="1:13" x14ac:dyDescent="0.3">
      <c r="A1380" t="s">
        <v>1589</v>
      </c>
      <c r="B1380">
        <v>85</v>
      </c>
      <c r="C1380" s="1">
        <v>45570</v>
      </c>
      <c r="D1380">
        <v>2024</v>
      </c>
      <c r="E1380" t="s">
        <v>214</v>
      </c>
      <c r="F1380" t="s">
        <v>199</v>
      </c>
      <c r="G1380" t="s">
        <v>191</v>
      </c>
      <c r="H1380" t="s">
        <v>195</v>
      </c>
      <c r="I1380">
        <v>16</v>
      </c>
      <c r="J1380">
        <v>6433.56</v>
      </c>
      <c r="K1380">
        <v>0</v>
      </c>
      <c r="L1380" t="s">
        <v>193</v>
      </c>
      <c r="M1380">
        <v>0</v>
      </c>
    </row>
    <row r="1381" spans="1:13" x14ac:dyDescent="0.3">
      <c r="A1381" t="s">
        <v>1590</v>
      </c>
      <c r="B1381">
        <v>85</v>
      </c>
      <c r="C1381" s="1">
        <v>45577</v>
      </c>
      <c r="D1381">
        <v>2024</v>
      </c>
      <c r="E1381" t="s">
        <v>190</v>
      </c>
      <c r="F1381" t="s">
        <v>209</v>
      </c>
      <c r="G1381" t="s">
        <v>212</v>
      </c>
      <c r="H1381" t="s">
        <v>204</v>
      </c>
      <c r="I1381">
        <v>16</v>
      </c>
      <c r="J1381">
        <v>29.95</v>
      </c>
      <c r="K1381">
        <v>0</v>
      </c>
      <c r="L1381" t="s">
        <v>215</v>
      </c>
      <c r="M1381">
        <v>1</v>
      </c>
    </row>
    <row r="1382" spans="1:13" x14ac:dyDescent="0.3">
      <c r="A1382" t="s">
        <v>1591</v>
      </c>
      <c r="B1382">
        <v>85</v>
      </c>
      <c r="C1382" s="1">
        <v>45692</v>
      </c>
      <c r="D1382">
        <v>2025</v>
      </c>
      <c r="E1382" t="s">
        <v>214</v>
      </c>
      <c r="F1382" t="s">
        <v>12</v>
      </c>
      <c r="G1382" t="s">
        <v>212</v>
      </c>
      <c r="H1382" t="s">
        <v>206</v>
      </c>
      <c r="I1382">
        <v>2</v>
      </c>
      <c r="J1382">
        <v>1052.8499999999999</v>
      </c>
      <c r="K1382">
        <v>1</v>
      </c>
      <c r="L1382" t="s">
        <v>210</v>
      </c>
      <c r="M1382">
        <v>1</v>
      </c>
    </row>
    <row r="1383" spans="1:13" x14ac:dyDescent="0.3">
      <c r="A1383" t="s">
        <v>1592</v>
      </c>
      <c r="B1383">
        <v>85</v>
      </c>
      <c r="C1383" s="1">
        <v>45924</v>
      </c>
      <c r="D1383">
        <v>2025</v>
      </c>
      <c r="E1383" t="s">
        <v>190</v>
      </c>
      <c r="F1383" t="s">
        <v>13</v>
      </c>
      <c r="G1383" t="s">
        <v>203</v>
      </c>
      <c r="H1383" t="s">
        <v>195</v>
      </c>
      <c r="I1383">
        <v>2</v>
      </c>
      <c r="J1383">
        <v>1845.54</v>
      </c>
      <c r="K1383">
        <v>1</v>
      </c>
      <c r="L1383" t="s">
        <v>215</v>
      </c>
      <c r="M1383">
        <v>0</v>
      </c>
    </row>
    <row r="1384" spans="1:13" x14ac:dyDescent="0.3">
      <c r="A1384" t="s">
        <v>1593</v>
      </c>
      <c r="B1384">
        <v>85</v>
      </c>
      <c r="C1384" s="1">
        <v>45911</v>
      </c>
      <c r="D1384">
        <v>2025</v>
      </c>
      <c r="E1384" t="s">
        <v>198</v>
      </c>
      <c r="F1384" t="s">
        <v>13</v>
      </c>
      <c r="G1384" t="s">
        <v>203</v>
      </c>
      <c r="H1384" t="s">
        <v>206</v>
      </c>
      <c r="I1384">
        <v>6</v>
      </c>
      <c r="J1384">
        <v>2431.94</v>
      </c>
      <c r="K1384">
        <v>1</v>
      </c>
      <c r="L1384" t="s">
        <v>193</v>
      </c>
      <c r="M1384">
        <v>0</v>
      </c>
    </row>
    <row r="1385" spans="1:13" x14ac:dyDescent="0.3">
      <c r="A1385" t="s">
        <v>1594</v>
      </c>
      <c r="B1385">
        <v>86</v>
      </c>
      <c r="C1385" s="1">
        <v>44490</v>
      </c>
      <c r="D1385">
        <v>2021</v>
      </c>
      <c r="E1385" t="s">
        <v>227</v>
      </c>
      <c r="F1385" t="s">
        <v>199</v>
      </c>
      <c r="G1385" t="s">
        <v>203</v>
      </c>
      <c r="H1385" t="s">
        <v>195</v>
      </c>
      <c r="I1385">
        <v>16</v>
      </c>
      <c r="J1385">
        <v>4050.08</v>
      </c>
      <c r="K1385">
        <v>0</v>
      </c>
      <c r="L1385" t="s">
        <v>193</v>
      </c>
      <c r="M1385">
        <v>0</v>
      </c>
    </row>
    <row r="1386" spans="1:13" x14ac:dyDescent="0.3">
      <c r="A1386" t="s">
        <v>1595</v>
      </c>
      <c r="B1386">
        <v>86</v>
      </c>
      <c r="C1386" s="1">
        <v>44318</v>
      </c>
      <c r="D1386">
        <v>2021</v>
      </c>
      <c r="E1386" t="s">
        <v>227</v>
      </c>
      <c r="F1386" t="s">
        <v>199</v>
      </c>
      <c r="G1386" t="s">
        <v>200</v>
      </c>
      <c r="H1386" t="s">
        <v>204</v>
      </c>
      <c r="I1386">
        <v>8</v>
      </c>
      <c r="J1386">
        <v>6846.7</v>
      </c>
      <c r="K1386">
        <v>0</v>
      </c>
      <c r="L1386" t="s">
        <v>196</v>
      </c>
      <c r="M1386">
        <v>0</v>
      </c>
    </row>
    <row r="1387" spans="1:13" x14ac:dyDescent="0.3">
      <c r="A1387" t="s">
        <v>1596</v>
      </c>
      <c r="B1387">
        <v>86</v>
      </c>
      <c r="C1387" s="1">
        <v>44548</v>
      </c>
      <c r="D1387">
        <v>2021</v>
      </c>
      <c r="E1387" t="s">
        <v>190</v>
      </c>
      <c r="F1387" t="s">
        <v>12</v>
      </c>
      <c r="G1387" t="s">
        <v>212</v>
      </c>
      <c r="H1387" t="s">
        <v>206</v>
      </c>
      <c r="I1387">
        <v>8</v>
      </c>
      <c r="J1387">
        <v>383.38</v>
      </c>
      <c r="K1387">
        <v>0</v>
      </c>
      <c r="L1387" t="s">
        <v>201</v>
      </c>
      <c r="M1387">
        <v>1</v>
      </c>
    </row>
    <row r="1388" spans="1:13" x14ac:dyDescent="0.3">
      <c r="A1388" t="s">
        <v>1597</v>
      </c>
      <c r="B1388">
        <v>86</v>
      </c>
      <c r="C1388" s="1">
        <v>44595</v>
      </c>
      <c r="D1388">
        <v>2022</v>
      </c>
      <c r="E1388" t="s">
        <v>219</v>
      </c>
      <c r="F1388" t="s">
        <v>13</v>
      </c>
      <c r="G1388" t="s">
        <v>191</v>
      </c>
      <c r="H1388" t="s">
        <v>204</v>
      </c>
      <c r="I1388">
        <v>5</v>
      </c>
      <c r="J1388">
        <v>2737.43</v>
      </c>
      <c r="K1388">
        <v>0</v>
      </c>
      <c r="L1388" t="s">
        <v>193</v>
      </c>
      <c r="M1388">
        <v>0</v>
      </c>
    </row>
    <row r="1389" spans="1:13" x14ac:dyDescent="0.3">
      <c r="A1389" t="s">
        <v>1598</v>
      </c>
      <c r="B1389">
        <v>86</v>
      </c>
      <c r="C1389" s="1">
        <v>44745</v>
      </c>
      <c r="D1389">
        <v>2022</v>
      </c>
      <c r="E1389" t="s">
        <v>214</v>
      </c>
      <c r="F1389" t="s">
        <v>209</v>
      </c>
      <c r="G1389" t="s">
        <v>212</v>
      </c>
      <c r="H1389" t="s">
        <v>206</v>
      </c>
      <c r="I1389">
        <v>8</v>
      </c>
      <c r="J1389">
        <v>581.79</v>
      </c>
      <c r="K1389">
        <v>0</v>
      </c>
      <c r="L1389" t="s">
        <v>215</v>
      </c>
      <c r="M1389">
        <v>1</v>
      </c>
    </row>
    <row r="1390" spans="1:13" x14ac:dyDescent="0.3">
      <c r="A1390" t="s">
        <v>1599</v>
      </c>
      <c r="B1390">
        <v>86</v>
      </c>
      <c r="C1390" s="1">
        <v>44693</v>
      </c>
      <c r="D1390">
        <v>2022</v>
      </c>
      <c r="E1390" t="s">
        <v>219</v>
      </c>
      <c r="F1390" t="s">
        <v>209</v>
      </c>
      <c r="G1390" t="s">
        <v>212</v>
      </c>
      <c r="H1390" t="s">
        <v>206</v>
      </c>
      <c r="I1390">
        <v>5</v>
      </c>
      <c r="J1390">
        <v>423.35</v>
      </c>
      <c r="K1390">
        <v>0</v>
      </c>
      <c r="L1390" t="s">
        <v>215</v>
      </c>
      <c r="M1390">
        <v>1</v>
      </c>
    </row>
    <row r="1391" spans="1:13" x14ac:dyDescent="0.3">
      <c r="A1391" t="s">
        <v>1600</v>
      </c>
      <c r="B1391">
        <v>86</v>
      </c>
      <c r="C1391" s="1">
        <v>44659</v>
      </c>
      <c r="D1391">
        <v>2022</v>
      </c>
      <c r="E1391" t="s">
        <v>219</v>
      </c>
      <c r="F1391" t="s">
        <v>13</v>
      </c>
      <c r="G1391" t="s">
        <v>191</v>
      </c>
      <c r="H1391" t="s">
        <v>195</v>
      </c>
      <c r="I1391">
        <v>4</v>
      </c>
      <c r="J1391">
        <v>1477.67</v>
      </c>
      <c r="K1391">
        <v>0</v>
      </c>
      <c r="L1391" t="s">
        <v>201</v>
      </c>
      <c r="M1391">
        <v>0</v>
      </c>
    </row>
    <row r="1392" spans="1:13" x14ac:dyDescent="0.3">
      <c r="A1392" t="s">
        <v>1601</v>
      </c>
      <c r="B1392">
        <v>86</v>
      </c>
      <c r="C1392" s="1">
        <v>44911</v>
      </c>
      <c r="D1392">
        <v>2022</v>
      </c>
      <c r="E1392" t="s">
        <v>214</v>
      </c>
      <c r="F1392" t="s">
        <v>209</v>
      </c>
      <c r="G1392" t="s">
        <v>212</v>
      </c>
      <c r="H1392" t="s">
        <v>195</v>
      </c>
      <c r="I1392">
        <v>11</v>
      </c>
      <c r="J1392">
        <v>160.61000000000001</v>
      </c>
      <c r="K1392">
        <v>0</v>
      </c>
      <c r="L1392" t="s">
        <v>201</v>
      </c>
      <c r="M1392">
        <v>1</v>
      </c>
    </row>
    <row r="1393" spans="1:13" x14ac:dyDescent="0.3">
      <c r="A1393" t="s">
        <v>1602</v>
      </c>
      <c r="B1393">
        <v>86</v>
      </c>
      <c r="C1393" s="1">
        <v>44862</v>
      </c>
      <c r="D1393">
        <v>2022</v>
      </c>
      <c r="E1393" t="s">
        <v>214</v>
      </c>
      <c r="F1393" t="s">
        <v>199</v>
      </c>
      <c r="G1393" t="s">
        <v>191</v>
      </c>
      <c r="H1393" t="s">
        <v>195</v>
      </c>
      <c r="I1393">
        <v>4</v>
      </c>
      <c r="J1393">
        <v>6837.81</v>
      </c>
      <c r="K1393">
        <v>0</v>
      </c>
      <c r="L1393" t="s">
        <v>201</v>
      </c>
      <c r="M1393">
        <v>1</v>
      </c>
    </row>
    <row r="1394" spans="1:13" x14ac:dyDescent="0.3">
      <c r="A1394" t="s">
        <v>1603</v>
      </c>
      <c r="B1394">
        <v>86</v>
      </c>
      <c r="C1394" s="1">
        <v>45163</v>
      </c>
      <c r="D1394">
        <v>2023</v>
      </c>
      <c r="E1394" t="s">
        <v>219</v>
      </c>
      <c r="F1394" t="s">
        <v>199</v>
      </c>
      <c r="G1394" t="s">
        <v>203</v>
      </c>
      <c r="H1394" t="s">
        <v>204</v>
      </c>
      <c r="I1394">
        <v>4</v>
      </c>
      <c r="J1394">
        <v>6960.53</v>
      </c>
      <c r="K1394">
        <v>1</v>
      </c>
      <c r="L1394" t="s">
        <v>196</v>
      </c>
      <c r="M1394">
        <v>0</v>
      </c>
    </row>
    <row r="1395" spans="1:13" x14ac:dyDescent="0.3">
      <c r="A1395" t="s">
        <v>1604</v>
      </c>
      <c r="B1395">
        <v>86</v>
      </c>
      <c r="C1395" s="1">
        <v>45181</v>
      </c>
      <c r="D1395">
        <v>2023</v>
      </c>
      <c r="E1395" t="s">
        <v>214</v>
      </c>
      <c r="F1395" t="s">
        <v>199</v>
      </c>
      <c r="G1395" t="s">
        <v>203</v>
      </c>
      <c r="H1395" t="s">
        <v>195</v>
      </c>
      <c r="I1395">
        <v>17</v>
      </c>
      <c r="J1395">
        <v>7677.57</v>
      </c>
      <c r="K1395">
        <v>1</v>
      </c>
      <c r="L1395" t="s">
        <v>196</v>
      </c>
      <c r="M1395">
        <v>1</v>
      </c>
    </row>
    <row r="1396" spans="1:13" x14ac:dyDescent="0.3">
      <c r="A1396" t="s">
        <v>1605</v>
      </c>
      <c r="B1396">
        <v>86</v>
      </c>
      <c r="C1396" s="1">
        <v>45009</v>
      </c>
      <c r="D1396">
        <v>2023</v>
      </c>
      <c r="E1396" t="s">
        <v>219</v>
      </c>
      <c r="F1396" t="s">
        <v>13</v>
      </c>
      <c r="G1396" t="s">
        <v>191</v>
      </c>
      <c r="H1396" t="s">
        <v>204</v>
      </c>
      <c r="I1396">
        <v>9</v>
      </c>
      <c r="J1396">
        <v>3850.39</v>
      </c>
      <c r="K1396">
        <v>1</v>
      </c>
      <c r="L1396" t="s">
        <v>196</v>
      </c>
      <c r="M1396">
        <v>1</v>
      </c>
    </row>
    <row r="1397" spans="1:13" x14ac:dyDescent="0.3">
      <c r="A1397" t="s">
        <v>1606</v>
      </c>
      <c r="B1397">
        <v>86</v>
      </c>
      <c r="C1397" s="1">
        <v>44961</v>
      </c>
      <c r="D1397">
        <v>2023</v>
      </c>
      <c r="E1397" t="s">
        <v>219</v>
      </c>
      <c r="F1397" t="s">
        <v>12</v>
      </c>
      <c r="G1397" t="s">
        <v>212</v>
      </c>
      <c r="H1397" t="s">
        <v>204</v>
      </c>
      <c r="I1397">
        <v>2</v>
      </c>
      <c r="J1397">
        <v>498.02</v>
      </c>
      <c r="K1397">
        <v>1</v>
      </c>
      <c r="L1397" t="s">
        <v>210</v>
      </c>
      <c r="M1397">
        <v>1</v>
      </c>
    </row>
    <row r="1398" spans="1:13" x14ac:dyDescent="0.3">
      <c r="A1398" t="s">
        <v>1607</v>
      </c>
      <c r="B1398">
        <v>86</v>
      </c>
      <c r="C1398" s="1">
        <v>45327</v>
      </c>
      <c r="D1398">
        <v>2024</v>
      </c>
      <c r="E1398" t="s">
        <v>214</v>
      </c>
      <c r="F1398" t="s">
        <v>13</v>
      </c>
      <c r="G1398" t="s">
        <v>191</v>
      </c>
      <c r="H1398" t="s">
        <v>204</v>
      </c>
      <c r="I1398">
        <v>7</v>
      </c>
      <c r="J1398">
        <v>1580.39</v>
      </c>
      <c r="K1398">
        <v>0</v>
      </c>
      <c r="L1398" t="s">
        <v>201</v>
      </c>
      <c r="M1398">
        <v>1</v>
      </c>
    </row>
    <row r="1399" spans="1:13" x14ac:dyDescent="0.3">
      <c r="A1399" t="s">
        <v>1608</v>
      </c>
      <c r="B1399">
        <v>86</v>
      </c>
      <c r="C1399" s="1">
        <v>45303</v>
      </c>
      <c r="D1399">
        <v>2024</v>
      </c>
      <c r="E1399" t="s">
        <v>219</v>
      </c>
      <c r="F1399" t="s">
        <v>12</v>
      </c>
      <c r="G1399" t="s">
        <v>212</v>
      </c>
      <c r="H1399" t="s">
        <v>195</v>
      </c>
      <c r="I1399">
        <v>8</v>
      </c>
      <c r="J1399">
        <v>1481.82</v>
      </c>
      <c r="K1399">
        <v>0</v>
      </c>
      <c r="L1399" t="s">
        <v>196</v>
      </c>
      <c r="M1399">
        <v>1</v>
      </c>
    </row>
    <row r="1400" spans="1:13" x14ac:dyDescent="0.3">
      <c r="A1400" t="s">
        <v>1609</v>
      </c>
      <c r="B1400">
        <v>86</v>
      </c>
      <c r="C1400" s="1">
        <v>45842</v>
      </c>
      <c r="D1400">
        <v>2025</v>
      </c>
      <c r="E1400" t="s">
        <v>219</v>
      </c>
      <c r="F1400" t="s">
        <v>12</v>
      </c>
      <c r="G1400" t="s">
        <v>212</v>
      </c>
      <c r="H1400" t="s">
        <v>206</v>
      </c>
      <c r="I1400">
        <v>10</v>
      </c>
      <c r="J1400">
        <v>1137.22</v>
      </c>
      <c r="K1400">
        <v>0</v>
      </c>
      <c r="L1400" t="s">
        <v>201</v>
      </c>
      <c r="M1400">
        <v>1</v>
      </c>
    </row>
    <row r="1401" spans="1:13" x14ac:dyDescent="0.3">
      <c r="A1401" t="s">
        <v>1610</v>
      </c>
      <c r="B1401">
        <v>86</v>
      </c>
      <c r="C1401" s="1">
        <v>45863</v>
      </c>
      <c r="D1401">
        <v>2025</v>
      </c>
      <c r="E1401" t="s">
        <v>214</v>
      </c>
      <c r="F1401" t="s">
        <v>209</v>
      </c>
      <c r="G1401" t="s">
        <v>212</v>
      </c>
      <c r="H1401" t="s">
        <v>192</v>
      </c>
      <c r="I1401">
        <v>3</v>
      </c>
      <c r="J1401">
        <v>226.58</v>
      </c>
      <c r="K1401">
        <v>0</v>
      </c>
      <c r="L1401" t="s">
        <v>210</v>
      </c>
      <c r="M1401">
        <v>1</v>
      </c>
    </row>
    <row r="1402" spans="1:13" x14ac:dyDescent="0.3">
      <c r="A1402" t="s">
        <v>1611</v>
      </c>
      <c r="B1402">
        <v>86</v>
      </c>
      <c r="C1402" s="1">
        <v>45778</v>
      </c>
      <c r="D1402">
        <v>2025</v>
      </c>
      <c r="E1402" t="s">
        <v>214</v>
      </c>
      <c r="F1402" t="s">
        <v>12</v>
      </c>
      <c r="G1402" t="s">
        <v>203</v>
      </c>
      <c r="H1402" t="s">
        <v>192</v>
      </c>
      <c r="I1402">
        <v>12</v>
      </c>
      <c r="J1402">
        <v>1299.53</v>
      </c>
      <c r="K1402">
        <v>0</v>
      </c>
      <c r="L1402" t="s">
        <v>210</v>
      </c>
      <c r="M1402">
        <v>0</v>
      </c>
    </row>
    <row r="1403" spans="1:13" x14ac:dyDescent="0.3">
      <c r="A1403" t="s">
        <v>1612</v>
      </c>
      <c r="B1403">
        <v>87</v>
      </c>
      <c r="C1403" s="1">
        <v>44311</v>
      </c>
      <c r="D1403">
        <v>2021</v>
      </c>
      <c r="E1403" t="s">
        <v>214</v>
      </c>
      <c r="F1403" t="s">
        <v>13</v>
      </c>
      <c r="G1403" t="s">
        <v>200</v>
      </c>
      <c r="H1403" t="s">
        <v>192</v>
      </c>
      <c r="I1403">
        <v>13</v>
      </c>
      <c r="J1403">
        <v>1775.12</v>
      </c>
      <c r="K1403">
        <v>1</v>
      </c>
      <c r="L1403" t="s">
        <v>215</v>
      </c>
      <c r="M1403">
        <v>0</v>
      </c>
    </row>
    <row r="1404" spans="1:13" x14ac:dyDescent="0.3">
      <c r="A1404" t="s">
        <v>1613</v>
      </c>
      <c r="B1404">
        <v>87</v>
      </c>
      <c r="C1404" s="1">
        <v>44370</v>
      </c>
      <c r="D1404">
        <v>2021</v>
      </c>
      <c r="E1404" t="s">
        <v>190</v>
      </c>
      <c r="F1404" t="s">
        <v>12</v>
      </c>
      <c r="G1404" t="s">
        <v>203</v>
      </c>
      <c r="H1404" t="s">
        <v>195</v>
      </c>
      <c r="I1404">
        <v>17</v>
      </c>
      <c r="J1404">
        <v>983.43</v>
      </c>
      <c r="K1404">
        <v>0</v>
      </c>
      <c r="L1404" t="s">
        <v>210</v>
      </c>
      <c r="M1404">
        <v>0</v>
      </c>
    </row>
    <row r="1405" spans="1:13" x14ac:dyDescent="0.3">
      <c r="A1405" t="s">
        <v>1614</v>
      </c>
      <c r="B1405">
        <v>87</v>
      </c>
      <c r="C1405" s="1">
        <v>44534</v>
      </c>
      <c r="D1405">
        <v>2021</v>
      </c>
      <c r="E1405" t="s">
        <v>198</v>
      </c>
      <c r="F1405" t="s">
        <v>12</v>
      </c>
      <c r="G1405" t="s">
        <v>203</v>
      </c>
      <c r="H1405" t="s">
        <v>195</v>
      </c>
      <c r="I1405">
        <v>7</v>
      </c>
      <c r="J1405">
        <v>879.9</v>
      </c>
      <c r="K1405">
        <v>1</v>
      </c>
      <c r="L1405" t="s">
        <v>215</v>
      </c>
      <c r="M1405">
        <v>0</v>
      </c>
    </row>
    <row r="1406" spans="1:13" x14ac:dyDescent="0.3">
      <c r="A1406" t="s">
        <v>1615</v>
      </c>
      <c r="B1406">
        <v>87</v>
      </c>
      <c r="C1406" s="1">
        <v>44308</v>
      </c>
      <c r="D1406">
        <v>2021</v>
      </c>
      <c r="E1406" t="s">
        <v>198</v>
      </c>
      <c r="F1406" t="s">
        <v>13</v>
      </c>
      <c r="G1406" t="s">
        <v>203</v>
      </c>
      <c r="H1406" t="s">
        <v>192</v>
      </c>
      <c r="I1406">
        <v>5</v>
      </c>
      <c r="J1406">
        <v>2668.92</v>
      </c>
      <c r="K1406">
        <v>1</v>
      </c>
      <c r="L1406" t="s">
        <v>193</v>
      </c>
      <c r="M1406">
        <v>0</v>
      </c>
    </row>
    <row r="1407" spans="1:13" x14ac:dyDescent="0.3">
      <c r="A1407" t="s">
        <v>1616</v>
      </c>
      <c r="B1407">
        <v>87</v>
      </c>
      <c r="C1407" s="1">
        <v>44462</v>
      </c>
      <c r="D1407">
        <v>2021</v>
      </c>
      <c r="E1407" t="s">
        <v>198</v>
      </c>
      <c r="F1407" t="s">
        <v>13</v>
      </c>
      <c r="G1407" t="s">
        <v>200</v>
      </c>
      <c r="H1407" t="s">
        <v>195</v>
      </c>
      <c r="I1407">
        <v>11</v>
      </c>
      <c r="J1407">
        <v>1851.06</v>
      </c>
      <c r="K1407">
        <v>1</v>
      </c>
      <c r="L1407" t="s">
        <v>201</v>
      </c>
      <c r="M1407">
        <v>1</v>
      </c>
    </row>
    <row r="1408" spans="1:13" x14ac:dyDescent="0.3">
      <c r="A1408" t="s">
        <v>1617</v>
      </c>
      <c r="B1408">
        <v>87</v>
      </c>
      <c r="C1408" s="1">
        <v>44674</v>
      </c>
      <c r="D1408">
        <v>2022</v>
      </c>
      <c r="E1408" t="s">
        <v>219</v>
      </c>
      <c r="F1408" t="s">
        <v>12</v>
      </c>
      <c r="G1408" t="s">
        <v>212</v>
      </c>
      <c r="H1408" t="s">
        <v>195</v>
      </c>
      <c r="I1408">
        <v>4</v>
      </c>
      <c r="J1408">
        <v>1098.47</v>
      </c>
      <c r="K1408">
        <v>0</v>
      </c>
      <c r="L1408" t="s">
        <v>210</v>
      </c>
      <c r="M1408">
        <v>1</v>
      </c>
    </row>
    <row r="1409" spans="1:13" x14ac:dyDescent="0.3">
      <c r="A1409" t="s">
        <v>1618</v>
      </c>
      <c r="B1409">
        <v>87</v>
      </c>
      <c r="C1409" s="1">
        <v>44654</v>
      </c>
      <c r="D1409">
        <v>2022</v>
      </c>
      <c r="E1409" t="s">
        <v>287</v>
      </c>
      <c r="F1409" t="s">
        <v>199</v>
      </c>
      <c r="G1409" t="s">
        <v>191</v>
      </c>
      <c r="H1409" t="s">
        <v>195</v>
      </c>
      <c r="I1409">
        <v>14</v>
      </c>
      <c r="J1409">
        <v>4742.17</v>
      </c>
      <c r="K1409">
        <v>0</v>
      </c>
      <c r="L1409" t="s">
        <v>196</v>
      </c>
      <c r="M1409">
        <v>0</v>
      </c>
    </row>
    <row r="1410" spans="1:13" x14ac:dyDescent="0.3">
      <c r="A1410" t="s">
        <v>1619</v>
      </c>
      <c r="B1410">
        <v>87</v>
      </c>
      <c r="C1410" s="1">
        <v>44760</v>
      </c>
      <c r="D1410">
        <v>2022</v>
      </c>
      <c r="E1410" t="s">
        <v>225</v>
      </c>
      <c r="F1410" t="s">
        <v>199</v>
      </c>
      <c r="G1410" t="s">
        <v>212</v>
      </c>
      <c r="H1410" t="s">
        <v>204</v>
      </c>
      <c r="I1410">
        <v>6</v>
      </c>
      <c r="J1410">
        <v>6463.32</v>
      </c>
      <c r="K1410">
        <v>0</v>
      </c>
      <c r="L1410" t="s">
        <v>201</v>
      </c>
      <c r="M1410">
        <v>1</v>
      </c>
    </row>
    <row r="1411" spans="1:13" x14ac:dyDescent="0.3">
      <c r="A1411" t="s">
        <v>1620</v>
      </c>
      <c r="B1411">
        <v>87</v>
      </c>
      <c r="C1411" s="1">
        <v>44587</v>
      </c>
      <c r="D1411">
        <v>2022</v>
      </c>
      <c r="E1411" t="s">
        <v>227</v>
      </c>
      <c r="F1411" t="s">
        <v>199</v>
      </c>
      <c r="G1411" t="s">
        <v>191</v>
      </c>
      <c r="H1411" t="s">
        <v>204</v>
      </c>
      <c r="I1411">
        <v>2</v>
      </c>
      <c r="J1411">
        <v>5503.57</v>
      </c>
      <c r="K1411">
        <v>0</v>
      </c>
      <c r="L1411" t="s">
        <v>201</v>
      </c>
      <c r="M1411">
        <v>0</v>
      </c>
    </row>
    <row r="1412" spans="1:13" x14ac:dyDescent="0.3">
      <c r="A1412" t="s">
        <v>1621</v>
      </c>
      <c r="B1412">
        <v>87</v>
      </c>
      <c r="C1412" s="1">
        <v>44768</v>
      </c>
      <c r="D1412">
        <v>2022</v>
      </c>
      <c r="E1412" t="s">
        <v>227</v>
      </c>
      <c r="F1412" t="s">
        <v>209</v>
      </c>
      <c r="G1412" t="s">
        <v>200</v>
      </c>
      <c r="H1412" t="s">
        <v>192</v>
      </c>
      <c r="I1412">
        <v>9</v>
      </c>
      <c r="J1412">
        <v>167.88</v>
      </c>
      <c r="K1412">
        <v>0</v>
      </c>
      <c r="L1412" t="s">
        <v>210</v>
      </c>
      <c r="M1412">
        <v>0</v>
      </c>
    </row>
    <row r="1413" spans="1:13" x14ac:dyDescent="0.3">
      <c r="A1413" t="s">
        <v>1622</v>
      </c>
      <c r="B1413">
        <v>87</v>
      </c>
      <c r="C1413" s="1">
        <v>44872</v>
      </c>
      <c r="D1413">
        <v>2022</v>
      </c>
      <c r="E1413" t="s">
        <v>190</v>
      </c>
      <c r="F1413" t="s">
        <v>199</v>
      </c>
      <c r="G1413" t="s">
        <v>191</v>
      </c>
      <c r="H1413" t="s">
        <v>192</v>
      </c>
      <c r="I1413">
        <v>15</v>
      </c>
      <c r="J1413">
        <v>3789.59</v>
      </c>
      <c r="K1413">
        <v>0</v>
      </c>
      <c r="L1413" t="s">
        <v>201</v>
      </c>
      <c r="M1413">
        <v>1</v>
      </c>
    </row>
    <row r="1414" spans="1:13" x14ac:dyDescent="0.3">
      <c r="A1414" t="s">
        <v>1623</v>
      </c>
      <c r="B1414">
        <v>87</v>
      </c>
      <c r="C1414" s="1">
        <v>45222</v>
      </c>
      <c r="D1414">
        <v>2023</v>
      </c>
      <c r="E1414" t="s">
        <v>190</v>
      </c>
      <c r="F1414" t="s">
        <v>199</v>
      </c>
      <c r="G1414" t="s">
        <v>191</v>
      </c>
      <c r="H1414" t="s">
        <v>204</v>
      </c>
      <c r="I1414">
        <v>12</v>
      </c>
      <c r="J1414">
        <v>2820.17</v>
      </c>
      <c r="K1414">
        <v>0</v>
      </c>
      <c r="L1414" t="s">
        <v>201</v>
      </c>
      <c r="M1414">
        <v>0</v>
      </c>
    </row>
    <row r="1415" spans="1:13" x14ac:dyDescent="0.3">
      <c r="A1415" t="s">
        <v>1624</v>
      </c>
      <c r="B1415">
        <v>87</v>
      </c>
      <c r="C1415" s="1">
        <v>45218</v>
      </c>
      <c r="D1415">
        <v>2023</v>
      </c>
      <c r="E1415" t="s">
        <v>214</v>
      </c>
      <c r="F1415" t="s">
        <v>13</v>
      </c>
      <c r="G1415" t="s">
        <v>212</v>
      </c>
      <c r="H1415" t="s">
        <v>195</v>
      </c>
      <c r="I1415">
        <v>17</v>
      </c>
      <c r="J1415">
        <v>3428.63</v>
      </c>
      <c r="K1415">
        <v>0</v>
      </c>
      <c r="L1415" t="s">
        <v>196</v>
      </c>
      <c r="M1415">
        <v>1</v>
      </c>
    </row>
    <row r="1416" spans="1:13" x14ac:dyDescent="0.3">
      <c r="A1416" t="s">
        <v>1625</v>
      </c>
      <c r="B1416">
        <v>87</v>
      </c>
      <c r="C1416" s="1">
        <v>44932</v>
      </c>
      <c r="D1416">
        <v>2023</v>
      </c>
      <c r="E1416" t="s">
        <v>219</v>
      </c>
      <c r="F1416" t="s">
        <v>199</v>
      </c>
      <c r="G1416" t="s">
        <v>203</v>
      </c>
      <c r="H1416" t="s">
        <v>195</v>
      </c>
      <c r="I1416">
        <v>18</v>
      </c>
      <c r="J1416">
        <v>4032.73</v>
      </c>
      <c r="K1416">
        <v>0</v>
      </c>
      <c r="L1416" t="s">
        <v>196</v>
      </c>
      <c r="M1416">
        <v>0</v>
      </c>
    </row>
    <row r="1417" spans="1:13" x14ac:dyDescent="0.3">
      <c r="A1417" t="s">
        <v>1626</v>
      </c>
      <c r="B1417">
        <v>87</v>
      </c>
      <c r="C1417" s="1">
        <v>45005</v>
      </c>
      <c r="D1417">
        <v>2023</v>
      </c>
      <c r="E1417" t="s">
        <v>190</v>
      </c>
      <c r="F1417" t="s">
        <v>13</v>
      </c>
      <c r="G1417" t="s">
        <v>203</v>
      </c>
      <c r="H1417" t="s">
        <v>204</v>
      </c>
      <c r="I1417">
        <v>9</v>
      </c>
      <c r="J1417">
        <v>3118.83</v>
      </c>
      <c r="K1417">
        <v>0</v>
      </c>
      <c r="L1417" t="s">
        <v>210</v>
      </c>
      <c r="M1417">
        <v>0</v>
      </c>
    </row>
    <row r="1418" spans="1:13" x14ac:dyDescent="0.3">
      <c r="A1418" t="s">
        <v>1627</v>
      </c>
      <c r="B1418">
        <v>87</v>
      </c>
      <c r="C1418" s="1">
        <v>45120</v>
      </c>
      <c r="D1418">
        <v>2023</v>
      </c>
      <c r="E1418" t="s">
        <v>214</v>
      </c>
      <c r="F1418" t="s">
        <v>199</v>
      </c>
      <c r="G1418" t="s">
        <v>200</v>
      </c>
      <c r="H1418" t="s">
        <v>192</v>
      </c>
      <c r="I1418">
        <v>14</v>
      </c>
      <c r="J1418">
        <v>2952.91</v>
      </c>
      <c r="K1418">
        <v>0</v>
      </c>
      <c r="L1418" t="s">
        <v>196</v>
      </c>
      <c r="M1418">
        <v>0</v>
      </c>
    </row>
    <row r="1419" spans="1:13" x14ac:dyDescent="0.3">
      <c r="A1419" t="s">
        <v>1628</v>
      </c>
      <c r="B1419">
        <v>87</v>
      </c>
      <c r="C1419" s="1">
        <v>44969</v>
      </c>
      <c r="D1419">
        <v>2023</v>
      </c>
      <c r="E1419" t="s">
        <v>198</v>
      </c>
      <c r="F1419" t="s">
        <v>199</v>
      </c>
      <c r="G1419" t="s">
        <v>212</v>
      </c>
      <c r="H1419" t="s">
        <v>192</v>
      </c>
      <c r="I1419">
        <v>16</v>
      </c>
      <c r="J1419">
        <v>7417.71</v>
      </c>
      <c r="K1419">
        <v>1</v>
      </c>
      <c r="L1419" t="s">
        <v>196</v>
      </c>
      <c r="M1419">
        <v>1</v>
      </c>
    </row>
    <row r="1420" spans="1:13" x14ac:dyDescent="0.3">
      <c r="A1420" t="s">
        <v>1629</v>
      </c>
      <c r="B1420">
        <v>87</v>
      </c>
      <c r="C1420" s="1">
        <v>45466</v>
      </c>
      <c r="D1420">
        <v>2024</v>
      </c>
      <c r="E1420" t="s">
        <v>198</v>
      </c>
      <c r="F1420" t="s">
        <v>199</v>
      </c>
      <c r="G1420" t="s">
        <v>191</v>
      </c>
      <c r="H1420" t="s">
        <v>204</v>
      </c>
      <c r="I1420">
        <v>19</v>
      </c>
      <c r="J1420">
        <v>7887.13</v>
      </c>
      <c r="K1420">
        <v>1</v>
      </c>
      <c r="L1420" t="s">
        <v>201</v>
      </c>
      <c r="M1420">
        <v>0</v>
      </c>
    </row>
    <row r="1421" spans="1:13" x14ac:dyDescent="0.3">
      <c r="A1421" t="s">
        <v>1630</v>
      </c>
      <c r="B1421">
        <v>87</v>
      </c>
      <c r="C1421" s="1">
        <v>45634</v>
      </c>
      <c r="D1421">
        <v>2024</v>
      </c>
      <c r="E1421" t="s">
        <v>198</v>
      </c>
      <c r="F1421" t="s">
        <v>13</v>
      </c>
      <c r="G1421" t="s">
        <v>212</v>
      </c>
      <c r="H1421" t="s">
        <v>206</v>
      </c>
      <c r="I1421">
        <v>20</v>
      </c>
      <c r="J1421">
        <v>2343.59</v>
      </c>
      <c r="K1421">
        <v>1</v>
      </c>
      <c r="L1421" t="s">
        <v>201</v>
      </c>
      <c r="M1421">
        <v>1</v>
      </c>
    </row>
    <row r="1422" spans="1:13" x14ac:dyDescent="0.3">
      <c r="A1422" t="s">
        <v>1631</v>
      </c>
      <c r="B1422">
        <v>87</v>
      </c>
      <c r="C1422" s="1">
        <v>45340</v>
      </c>
      <c r="D1422">
        <v>2024</v>
      </c>
      <c r="E1422" t="s">
        <v>214</v>
      </c>
      <c r="F1422" t="s">
        <v>12</v>
      </c>
      <c r="G1422" t="s">
        <v>212</v>
      </c>
      <c r="H1422" t="s">
        <v>192</v>
      </c>
      <c r="I1422">
        <v>13</v>
      </c>
      <c r="J1422">
        <v>760.24</v>
      </c>
      <c r="K1422">
        <v>0</v>
      </c>
      <c r="L1422" t="s">
        <v>201</v>
      </c>
      <c r="M1422">
        <v>1</v>
      </c>
    </row>
    <row r="1423" spans="1:13" x14ac:dyDescent="0.3">
      <c r="A1423" t="s">
        <v>1632</v>
      </c>
      <c r="B1423">
        <v>87</v>
      </c>
      <c r="C1423" s="1">
        <v>45701</v>
      </c>
      <c r="D1423">
        <v>2025</v>
      </c>
      <c r="E1423" t="s">
        <v>190</v>
      </c>
      <c r="F1423" t="s">
        <v>12</v>
      </c>
      <c r="G1423" t="s">
        <v>212</v>
      </c>
      <c r="H1423" t="s">
        <v>206</v>
      </c>
      <c r="I1423">
        <v>12</v>
      </c>
      <c r="J1423">
        <v>869.05</v>
      </c>
      <c r="K1423">
        <v>0</v>
      </c>
      <c r="L1423" t="s">
        <v>215</v>
      </c>
      <c r="M1423">
        <v>1</v>
      </c>
    </row>
    <row r="1424" spans="1:13" x14ac:dyDescent="0.3">
      <c r="A1424" t="s">
        <v>1633</v>
      </c>
      <c r="B1424">
        <v>87</v>
      </c>
      <c r="C1424" s="1">
        <v>45978</v>
      </c>
      <c r="D1424">
        <v>2025</v>
      </c>
      <c r="E1424" t="s">
        <v>219</v>
      </c>
      <c r="F1424" t="s">
        <v>199</v>
      </c>
      <c r="G1424" t="s">
        <v>203</v>
      </c>
      <c r="H1424" t="s">
        <v>192</v>
      </c>
      <c r="I1424">
        <v>9</v>
      </c>
      <c r="J1424">
        <v>5496.11</v>
      </c>
      <c r="K1424">
        <v>0</v>
      </c>
      <c r="L1424" t="s">
        <v>193</v>
      </c>
      <c r="M1424">
        <v>0</v>
      </c>
    </row>
    <row r="1425" spans="1:13" x14ac:dyDescent="0.3">
      <c r="A1425" t="s">
        <v>1634</v>
      </c>
      <c r="B1425">
        <v>87</v>
      </c>
      <c r="C1425" s="1">
        <v>46012</v>
      </c>
      <c r="D1425">
        <v>2025</v>
      </c>
      <c r="E1425" t="s">
        <v>214</v>
      </c>
      <c r="F1425" t="s">
        <v>13</v>
      </c>
      <c r="G1425" t="s">
        <v>212</v>
      </c>
      <c r="H1425" t="s">
        <v>204</v>
      </c>
      <c r="I1425">
        <v>3</v>
      </c>
      <c r="J1425">
        <v>2204.5500000000002</v>
      </c>
      <c r="K1425">
        <v>0</v>
      </c>
      <c r="L1425" t="s">
        <v>193</v>
      </c>
      <c r="M1425">
        <v>1</v>
      </c>
    </row>
    <row r="1426" spans="1:13" x14ac:dyDescent="0.3">
      <c r="A1426" t="s">
        <v>1635</v>
      </c>
      <c r="B1426">
        <v>88</v>
      </c>
      <c r="C1426" s="1">
        <v>44392</v>
      </c>
      <c r="D1426">
        <v>2021</v>
      </c>
      <c r="E1426" t="s">
        <v>190</v>
      </c>
      <c r="F1426" t="s">
        <v>209</v>
      </c>
      <c r="G1426" t="s">
        <v>203</v>
      </c>
      <c r="H1426" t="s">
        <v>206</v>
      </c>
      <c r="I1426">
        <v>11</v>
      </c>
      <c r="J1426">
        <v>51.38</v>
      </c>
      <c r="K1426">
        <v>0</v>
      </c>
      <c r="L1426" t="s">
        <v>210</v>
      </c>
      <c r="M1426">
        <v>0</v>
      </c>
    </row>
    <row r="1427" spans="1:13" x14ac:dyDescent="0.3">
      <c r="A1427" t="s">
        <v>1636</v>
      </c>
      <c r="B1427">
        <v>88</v>
      </c>
      <c r="C1427" s="1">
        <v>44460</v>
      </c>
      <c r="D1427">
        <v>2021</v>
      </c>
      <c r="E1427" t="s">
        <v>287</v>
      </c>
      <c r="F1427" t="s">
        <v>12</v>
      </c>
      <c r="G1427" t="s">
        <v>212</v>
      </c>
      <c r="H1427" t="s">
        <v>195</v>
      </c>
      <c r="I1427">
        <v>8</v>
      </c>
      <c r="J1427">
        <v>552.29999999999995</v>
      </c>
      <c r="K1427">
        <v>0</v>
      </c>
      <c r="L1427" t="s">
        <v>193</v>
      </c>
      <c r="M1427">
        <v>1</v>
      </c>
    </row>
    <row r="1428" spans="1:13" x14ac:dyDescent="0.3">
      <c r="A1428" t="s">
        <v>1637</v>
      </c>
      <c r="B1428">
        <v>88</v>
      </c>
      <c r="C1428" s="1">
        <v>44723</v>
      </c>
      <c r="D1428">
        <v>2022</v>
      </c>
      <c r="E1428" t="s">
        <v>219</v>
      </c>
      <c r="F1428" t="s">
        <v>13</v>
      </c>
      <c r="G1428" t="s">
        <v>200</v>
      </c>
      <c r="H1428" t="s">
        <v>206</v>
      </c>
      <c r="I1428">
        <v>6</v>
      </c>
      <c r="J1428">
        <v>2809.78</v>
      </c>
      <c r="K1428">
        <v>0</v>
      </c>
      <c r="L1428" t="s">
        <v>201</v>
      </c>
      <c r="M1428">
        <v>0</v>
      </c>
    </row>
    <row r="1429" spans="1:13" x14ac:dyDescent="0.3">
      <c r="A1429" t="s">
        <v>1638</v>
      </c>
      <c r="B1429">
        <v>88</v>
      </c>
      <c r="C1429" s="1">
        <v>44669</v>
      </c>
      <c r="D1429">
        <v>2022</v>
      </c>
      <c r="E1429" t="s">
        <v>214</v>
      </c>
      <c r="F1429" t="s">
        <v>13</v>
      </c>
      <c r="G1429" t="s">
        <v>200</v>
      </c>
      <c r="H1429" t="s">
        <v>204</v>
      </c>
      <c r="I1429">
        <v>17</v>
      </c>
      <c r="J1429">
        <v>1217.32</v>
      </c>
      <c r="K1429">
        <v>0</v>
      </c>
      <c r="L1429" t="s">
        <v>215</v>
      </c>
      <c r="M1429">
        <v>0</v>
      </c>
    </row>
    <row r="1430" spans="1:13" x14ac:dyDescent="0.3">
      <c r="A1430" t="s">
        <v>1639</v>
      </c>
      <c r="B1430">
        <v>88</v>
      </c>
      <c r="C1430" s="1">
        <v>44777</v>
      </c>
      <c r="D1430">
        <v>2022</v>
      </c>
      <c r="E1430" t="s">
        <v>190</v>
      </c>
      <c r="F1430" t="s">
        <v>13</v>
      </c>
      <c r="G1430" t="s">
        <v>203</v>
      </c>
      <c r="H1430" t="s">
        <v>195</v>
      </c>
      <c r="I1430">
        <v>15</v>
      </c>
      <c r="J1430">
        <v>1565.41</v>
      </c>
      <c r="K1430">
        <v>0</v>
      </c>
      <c r="L1430" t="s">
        <v>193</v>
      </c>
      <c r="M1430">
        <v>0</v>
      </c>
    </row>
    <row r="1431" spans="1:13" x14ac:dyDescent="0.3">
      <c r="A1431" t="s">
        <v>1640</v>
      </c>
      <c r="B1431">
        <v>88</v>
      </c>
      <c r="C1431" s="1">
        <v>44740</v>
      </c>
      <c r="D1431">
        <v>2022</v>
      </c>
      <c r="E1431" t="s">
        <v>214</v>
      </c>
      <c r="F1431" t="s">
        <v>199</v>
      </c>
      <c r="G1431" t="s">
        <v>203</v>
      </c>
      <c r="H1431" t="s">
        <v>192</v>
      </c>
      <c r="I1431">
        <v>6</v>
      </c>
      <c r="J1431">
        <v>6065.58</v>
      </c>
      <c r="K1431">
        <v>0</v>
      </c>
      <c r="L1431" t="s">
        <v>193</v>
      </c>
      <c r="M1431">
        <v>0</v>
      </c>
    </row>
    <row r="1432" spans="1:13" x14ac:dyDescent="0.3">
      <c r="A1432" t="s">
        <v>1641</v>
      </c>
      <c r="B1432">
        <v>88</v>
      </c>
      <c r="C1432" s="1">
        <v>45242</v>
      </c>
      <c r="D1432">
        <v>2023</v>
      </c>
      <c r="E1432" t="s">
        <v>190</v>
      </c>
      <c r="F1432" t="s">
        <v>209</v>
      </c>
      <c r="G1432" t="s">
        <v>212</v>
      </c>
      <c r="H1432" t="s">
        <v>204</v>
      </c>
      <c r="I1432">
        <v>7</v>
      </c>
      <c r="J1432">
        <v>356.62</v>
      </c>
      <c r="K1432">
        <v>0</v>
      </c>
      <c r="L1432" t="s">
        <v>215</v>
      </c>
      <c r="M1432">
        <v>1</v>
      </c>
    </row>
    <row r="1433" spans="1:13" x14ac:dyDescent="0.3">
      <c r="A1433" t="s">
        <v>1642</v>
      </c>
      <c r="B1433">
        <v>88</v>
      </c>
      <c r="C1433" s="1">
        <v>45562</v>
      </c>
      <c r="D1433">
        <v>2024</v>
      </c>
      <c r="E1433" t="s">
        <v>190</v>
      </c>
      <c r="F1433" t="s">
        <v>12</v>
      </c>
      <c r="G1433" t="s">
        <v>212</v>
      </c>
      <c r="H1433" t="s">
        <v>195</v>
      </c>
      <c r="I1433">
        <v>2</v>
      </c>
      <c r="J1433">
        <v>541.14</v>
      </c>
      <c r="K1433">
        <v>0</v>
      </c>
      <c r="L1433" t="s">
        <v>215</v>
      </c>
      <c r="M1433">
        <v>1</v>
      </c>
    </row>
    <row r="1434" spans="1:13" x14ac:dyDescent="0.3">
      <c r="A1434" t="s">
        <v>1643</v>
      </c>
      <c r="B1434">
        <v>88</v>
      </c>
      <c r="C1434" s="1">
        <v>45383</v>
      </c>
      <c r="D1434">
        <v>2024</v>
      </c>
      <c r="E1434" t="s">
        <v>214</v>
      </c>
      <c r="F1434" t="s">
        <v>12</v>
      </c>
      <c r="G1434" t="s">
        <v>200</v>
      </c>
      <c r="H1434" t="s">
        <v>204</v>
      </c>
      <c r="I1434">
        <v>8</v>
      </c>
      <c r="J1434">
        <v>329.76</v>
      </c>
      <c r="K1434">
        <v>0</v>
      </c>
      <c r="L1434" t="s">
        <v>193</v>
      </c>
      <c r="M1434">
        <v>0</v>
      </c>
    </row>
    <row r="1435" spans="1:13" x14ac:dyDescent="0.3">
      <c r="A1435" t="s">
        <v>1644</v>
      </c>
      <c r="B1435">
        <v>88</v>
      </c>
      <c r="C1435" s="1">
        <v>45735</v>
      </c>
      <c r="D1435">
        <v>2025</v>
      </c>
      <c r="E1435" t="s">
        <v>190</v>
      </c>
      <c r="F1435" t="s">
        <v>209</v>
      </c>
      <c r="G1435" t="s">
        <v>212</v>
      </c>
      <c r="H1435" t="s">
        <v>195</v>
      </c>
      <c r="I1435">
        <v>4</v>
      </c>
      <c r="J1435">
        <v>89.54</v>
      </c>
      <c r="K1435">
        <v>0</v>
      </c>
      <c r="L1435" t="s">
        <v>210</v>
      </c>
      <c r="M1435">
        <v>1</v>
      </c>
    </row>
    <row r="1436" spans="1:13" x14ac:dyDescent="0.3">
      <c r="A1436" t="s">
        <v>1645</v>
      </c>
      <c r="B1436">
        <v>88</v>
      </c>
      <c r="C1436" s="1">
        <v>45761</v>
      </c>
      <c r="D1436">
        <v>2025</v>
      </c>
      <c r="E1436" t="s">
        <v>219</v>
      </c>
      <c r="F1436" t="s">
        <v>13</v>
      </c>
      <c r="G1436" t="s">
        <v>212</v>
      </c>
      <c r="H1436" t="s">
        <v>195</v>
      </c>
      <c r="I1436">
        <v>12</v>
      </c>
      <c r="J1436">
        <v>1504.44</v>
      </c>
      <c r="K1436">
        <v>0</v>
      </c>
      <c r="L1436" t="s">
        <v>215</v>
      </c>
      <c r="M1436">
        <v>1</v>
      </c>
    </row>
    <row r="1437" spans="1:13" x14ac:dyDescent="0.3">
      <c r="A1437" t="s">
        <v>1646</v>
      </c>
      <c r="B1437">
        <v>89</v>
      </c>
      <c r="C1437" s="1">
        <v>44507</v>
      </c>
      <c r="D1437">
        <v>2021</v>
      </c>
      <c r="E1437" t="s">
        <v>227</v>
      </c>
      <c r="F1437" t="s">
        <v>12</v>
      </c>
      <c r="G1437" t="s">
        <v>203</v>
      </c>
      <c r="H1437" t="s">
        <v>204</v>
      </c>
      <c r="I1437">
        <v>3</v>
      </c>
      <c r="J1437">
        <v>731.12</v>
      </c>
      <c r="K1437">
        <v>0</v>
      </c>
      <c r="L1437" t="s">
        <v>215</v>
      </c>
      <c r="M1437">
        <v>1</v>
      </c>
    </row>
    <row r="1438" spans="1:13" x14ac:dyDescent="0.3">
      <c r="A1438" t="s">
        <v>1647</v>
      </c>
      <c r="B1438">
        <v>89</v>
      </c>
      <c r="C1438" s="1">
        <v>44484</v>
      </c>
      <c r="D1438">
        <v>2021</v>
      </c>
      <c r="E1438" t="s">
        <v>225</v>
      </c>
      <c r="F1438" t="s">
        <v>13</v>
      </c>
      <c r="G1438" t="s">
        <v>191</v>
      </c>
      <c r="H1438" t="s">
        <v>204</v>
      </c>
      <c r="I1438">
        <v>6</v>
      </c>
      <c r="J1438">
        <v>3982.43</v>
      </c>
      <c r="K1438">
        <v>0</v>
      </c>
      <c r="L1438" t="s">
        <v>193</v>
      </c>
      <c r="M1438">
        <v>1</v>
      </c>
    </row>
    <row r="1439" spans="1:13" x14ac:dyDescent="0.3">
      <c r="A1439" t="s">
        <v>1648</v>
      </c>
      <c r="B1439">
        <v>89</v>
      </c>
      <c r="C1439" s="1">
        <v>44533</v>
      </c>
      <c r="D1439">
        <v>2021</v>
      </c>
      <c r="E1439" t="s">
        <v>198</v>
      </c>
      <c r="F1439" t="s">
        <v>13</v>
      </c>
      <c r="G1439" t="s">
        <v>203</v>
      </c>
      <c r="H1439" t="s">
        <v>195</v>
      </c>
      <c r="I1439">
        <v>7</v>
      </c>
      <c r="J1439">
        <v>3883.09</v>
      </c>
      <c r="K1439">
        <v>1</v>
      </c>
      <c r="L1439" t="s">
        <v>210</v>
      </c>
      <c r="M1439">
        <v>1</v>
      </c>
    </row>
    <row r="1440" spans="1:13" x14ac:dyDescent="0.3">
      <c r="A1440" t="s">
        <v>1649</v>
      </c>
      <c r="B1440">
        <v>89</v>
      </c>
      <c r="C1440" s="1">
        <v>44417</v>
      </c>
      <c r="D1440">
        <v>2021</v>
      </c>
      <c r="E1440" t="s">
        <v>227</v>
      </c>
      <c r="F1440" t="s">
        <v>12</v>
      </c>
      <c r="G1440" t="s">
        <v>191</v>
      </c>
      <c r="H1440" t="s">
        <v>195</v>
      </c>
      <c r="I1440">
        <v>16</v>
      </c>
      <c r="J1440">
        <v>702.36</v>
      </c>
      <c r="K1440">
        <v>0</v>
      </c>
      <c r="L1440" t="s">
        <v>210</v>
      </c>
      <c r="M1440">
        <v>0</v>
      </c>
    </row>
    <row r="1441" spans="1:13" x14ac:dyDescent="0.3">
      <c r="A1441" t="s">
        <v>1650</v>
      </c>
      <c r="B1441">
        <v>89</v>
      </c>
      <c r="C1441" s="1">
        <v>44371</v>
      </c>
      <c r="D1441">
        <v>2021</v>
      </c>
      <c r="E1441" t="s">
        <v>227</v>
      </c>
      <c r="F1441" t="s">
        <v>12</v>
      </c>
      <c r="G1441" t="s">
        <v>212</v>
      </c>
      <c r="H1441" t="s">
        <v>192</v>
      </c>
      <c r="I1441">
        <v>7</v>
      </c>
      <c r="J1441">
        <v>920.57</v>
      </c>
      <c r="K1441">
        <v>0</v>
      </c>
      <c r="L1441" t="s">
        <v>201</v>
      </c>
      <c r="M1441">
        <v>1</v>
      </c>
    </row>
    <row r="1442" spans="1:13" x14ac:dyDescent="0.3">
      <c r="A1442" t="s">
        <v>1651</v>
      </c>
      <c r="B1442">
        <v>89</v>
      </c>
      <c r="C1442" s="1">
        <v>44446</v>
      </c>
      <c r="D1442">
        <v>2021</v>
      </c>
      <c r="E1442" t="s">
        <v>190</v>
      </c>
      <c r="F1442" t="s">
        <v>199</v>
      </c>
      <c r="G1442" t="s">
        <v>203</v>
      </c>
      <c r="H1442" t="s">
        <v>192</v>
      </c>
      <c r="I1442">
        <v>11</v>
      </c>
      <c r="J1442">
        <v>5588.6</v>
      </c>
      <c r="K1442">
        <v>0</v>
      </c>
      <c r="L1442" t="s">
        <v>196</v>
      </c>
      <c r="M1442">
        <v>1</v>
      </c>
    </row>
    <row r="1443" spans="1:13" x14ac:dyDescent="0.3">
      <c r="A1443" t="s">
        <v>1652</v>
      </c>
      <c r="B1443">
        <v>89</v>
      </c>
      <c r="C1443" s="1">
        <v>44871</v>
      </c>
      <c r="D1443">
        <v>2022</v>
      </c>
      <c r="E1443" t="s">
        <v>198</v>
      </c>
      <c r="F1443" t="s">
        <v>12</v>
      </c>
      <c r="G1443" t="s">
        <v>212</v>
      </c>
      <c r="H1443" t="s">
        <v>195</v>
      </c>
      <c r="I1443">
        <v>14</v>
      </c>
      <c r="J1443">
        <v>550.41999999999996</v>
      </c>
      <c r="K1443">
        <v>1</v>
      </c>
      <c r="L1443" t="s">
        <v>201</v>
      </c>
      <c r="M1443">
        <v>1</v>
      </c>
    </row>
    <row r="1444" spans="1:13" x14ac:dyDescent="0.3">
      <c r="A1444" t="s">
        <v>1653</v>
      </c>
      <c r="B1444">
        <v>89</v>
      </c>
      <c r="C1444" s="1">
        <v>44789</v>
      </c>
      <c r="D1444">
        <v>2022</v>
      </c>
      <c r="E1444" t="s">
        <v>219</v>
      </c>
      <c r="F1444" t="s">
        <v>199</v>
      </c>
      <c r="G1444" t="s">
        <v>203</v>
      </c>
      <c r="H1444" t="s">
        <v>195</v>
      </c>
      <c r="I1444">
        <v>16</v>
      </c>
      <c r="J1444">
        <v>7361.02</v>
      </c>
      <c r="K1444">
        <v>0</v>
      </c>
      <c r="L1444" t="s">
        <v>201</v>
      </c>
      <c r="M1444">
        <v>0</v>
      </c>
    </row>
    <row r="1445" spans="1:13" x14ac:dyDescent="0.3">
      <c r="A1445" t="s">
        <v>1654</v>
      </c>
      <c r="B1445">
        <v>89</v>
      </c>
      <c r="C1445" s="1">
        <v>44892</v>
      </c>
      <c r="D1445">
        <v>2022</v>
      </c>
      <c r="E1445" t="s">
        <v>225</v>
      </c>
      <c r="F1445" t="s">
        <v>199</v>
      </c>
      <c r="G1445" t="s">
        <v>191</v>
      </c>
      <c r="H1445" t="s">
        <v>195</v>
      </c>
      <c r="I1445">
        <v>1</v>
      </c>
      <c r="J1445">
        <v>7265.86</v>
      </c>
      <c r="K1445">
        <v>0</v>
      </c>
      <c r="L1445" t="s">
        <v>196</v>
      </c>
      <c r="M1445">
        <v>1</v>
      </c>
    </row>
    <row r="1446" spans="1:13" x14ac:dyDescent="0.3">
      <c r="A1446" t="s">
        <v>1655</v>
      </c>
      <c r="B1446">
        <v>89</v>
      </c>
      <c r="C1446" s="1">
        <v>44692</v>
      </c>
      <c r="D1446">
        <v>2022</v>
      </c>
      <c r="E1446" t="s">
        <v>225</v>
      </c>
      <c r="F1446" t="s">
        <v>13</v>
      </c>
      <c r="G1446" t="s">
        <v>212</v>
      </c>
      <c r="H1446" t="s">
        <v>192</v>
      </c>
      <c r="I1446">
        <v>2</v>
      </c>
      <c r="J1446">
        <v>1495.55</v>
      </c>
      <c r="K1446">
        <v>0</v>
      </c>
      <c r="L1446" t="s">
        <v>193</v>
      </c>
      <c r="M1446">
        <v>1</v>
      </c>
    </row>
    <row r="1447" spans="1:13" x14ac:dyDescent="0.3">
      <c r="A1447" t="s">
        <v>1656</v>
      </c>
      <c r="B1447">
        <v>89</v>
      </c>
      <c r="C1447" s="1">
        <v>44660</v>
      </c>
      <c r="D1447">
        <v>2022</v>
      </c>
      <c r="E1447" t="s">
        <v>198</v>
      </c>
      <c r="F1447" t="s">
        <v>199</v>
      </c>
      <c r="G1447" t="s">
        <v>212</v>
      </c>
      <c r="H1447" t="s">
        <v>206</v>
      </c>
      <c r="I1447">
        <v>5</v>
      </c>
      <c r="J1447">
        <v>2751.23</v>
      </c>
      <c r="K1447">
        <v>1</v>
      </c>
      <c r="L1447" t="s">
        <v>201</v>
      </c>
      <c r="M1447">
        <v>1</v>
      </c>
    </row>
    <row r="1448" spans="1:13" x14ac:dyDescent="0.3">
      <c r="A1448" t="s">
        <v>1657</v>
      </c>
      <c r="B1448">
        <v>89</v>
      </c>
      <c r="C1448" s="1">
        <v>44911</v>
      </c>
      <c r="D1448">
        <v>2022</v>
      </c>
      <c r="E1448" t="s">
        <v>198</v>
      </c>
      <c r="F1448" t="s">
        <v>13</v>
      </c>
      <c r="G1448" t="s">
        <v>203</v>
      </c>
      <c r="H1448" t="s">
        <v>204</v>
      </c>
      <c r="I1448">
        <v>14</v>
      </c>
      <c r="J1448">
        <v>2036.08</v>
      </c>
      <c r="K1448">
        <v>1</v>
      </c>
      <c r="L1448" t="s">
        <v>196</v>
      </c>
      <c r="M1448">
        <v>0</v>
      </c>
    </row>
    <row r="1449" spans="1:13" x14ac:dyDescent="0.3">
      <c r="A1449" t="s">
        <v>1658</v>
      </c>
      <c r="B1449">
        <v>89</v>
      </c>
      <c r="C1449" s="1">
        <v>44971</v>
      </c>
      <c r="D1449">
        <v>2023</v>
      </c>
      <c r="E1449" t="s">
        <v>214</v>
      </c>
      <c r="F1449" t="s">
        <v>12</v>
      </c>
      <c r="G1449" t="s">
        <v>212</v>
      </c>
      <c r="H1449" t="s">
        <v>204</v>
      </c>
      <c r="I1449">
        <v>8</v>
      </c>
      <c r="J1449">
        <v>1095.73</v>
      </c>
      <c r="K1449">
        <v>0</v>
      </c>
      <c r="L1449" t="s">
        <v>201</v>
      </c>
      <c r="M1449">
        <v>1</v>
      </c>
    </row>
    <row r="1450" spans="1:13" x14ac:dyDescent="0.3">
      <c r="A1450" t="s">
        <v>1659</v>
      </c>
      <c r="B1450">
        <v>89</v>
      </c>
      <c r="C1450" s="1">
        <v>45444</v>
      </c>
      <c r="D1450">
        <v>2024</v>
      </c>
      <c r="E1450" t="s">
        <v>190</v>
      </c>
      <c r="F1450" t="s">
        <v>199</v>
      </c>
      <c r="G1450" t="s">
        <v>200</v>
      </c>
      <c r="H1450" t="s">
        <v>195</v>
      </c>
      <c r="I1450">
        <v>15</v>
      </c>
      <c r="J1450">
        <v>3748.37</v>
      </c>
      <c r="K1450">
        <v>0</v>
      </c>
      <c r="L1450" t="s">
        <v>193</v>
      </c>
      <c r="M1450">
        <v>0</v>
      </c>
    </row>
    <row r="1451" spans="1:13" x14ac:dyDescent="0.3">
      <c r="A1451" t="s">
        <v>1660</v>
      </c>
      <c r="B1451">
        <v>89</v>
      </c>
      <c r="C1451" s="1">
        <v>45618</v>
      </c>
      <c r="D1451">
        <v>2024</v>
      </c>
      <c r="E1451" t="s">
        <v>190</v>
      </c>
      <c r="F1451" t="s">
        <v>209</v>
      </c>
      <c r="G1451" t="s">
        <v>212</v>
      </c>
      <c r="H1451" t="s">
        <v>192</v>
      </c>
      <c r="I1451">
        <v>4</v>
      </c>
      <c r="J1451">
        <v>515.08000000000004</v>
      </c>
      <c r="K1451">
        <v>0</v>
      </c>
      <c r="L1451" t="s">
        <v>201</v>
      </c>
      <c r="M1451">
        <v>1</v>
      </c>
    </row>
    <row r="1452" spans="1:13" x14ac:dyDescent="0.3">
      <c r="A1452" t="s">
        <v>1661</v>
      </c>
      <c r="B1452">
        <v>89</v>
      </c>
      <c r="C1452" s="1">
        <v>45693</v>
      </c>
      <c r="D1452">
        <v>2025</v>
      </c>
      <c r="E1452" t="s">
        <v>198</v>
      </c>
      <c r="F1452" t="s">
        <v>13</v>
      </c>
      <c r="G1452" t="s">
        <v>203</v>
      </c>
      <c r="H1452" t="s">
        <v>195</v>
      </c>
      <c r="I1452">
        <v>10</v>
      </c>
      <c r="J1452">
        <v>2382.16</v>
      </c>
      <c r="K1452">
        <v>1</v>
      </c>
      <c r="L1452" t="s">
        <v>201</v>
      </c>
      <c r="M1452">
        <v>1</v>
      </c>
    </row>
    <row r="1453" spans="1:13" x14ac:dyDescent="0.3">
      <c r="A1453" t="s">
        <v>1662</v>
      </c>
      <c r="B1453">
        <v>89</v>
      </c>
      <c r="C1453" s="1">
        <v>45844</v>
      </c>
      <c r="D1453">
        <v>2025</v>
      </c>
      <c r="E1453" t="s">
        <v>225</v>
      </c>
      <c r="F1453" t="s">
        <v>13</v>
      </c>
      <c r="G1453" t="s">
        <v>212</v>
      </c>
      <c r="H1453" t="s">
        <v>204</v>
      </c>
      <c r="I1453">
        <v>7</v>
      </c>
      <c r="J1453">
        <v>2662.02</v>
      </c>
      <c r="K1453">
        <v>0</v>
      </c>
      <c r="L1453" t="s">
        <v>193</v>
      </c>
      <c r="M1453">
        <v>1</v>
      </c>
    </row>
    <row r="1454" spans="1:13" x14ac:dyDescent="0.3">
      <c r="A1454" t="s">
        <v>1663</v>
      </c>
      <c r="B1454">
        <v>89</v>
      </c>
      <c r="C1454" s="1">
        <v>45811</v>
      </c>
      <c r="D1454">
        <v>2025</v>
      </c>
      <c r="E1454" t="s">
        <v>198</v>
      </c>
      <c r="F1454" t="s">
        <v>13</v>
      </c>
      <c r="G1454" t="s">
        <v>191</v>
      </c>
      <c r="H1454" t="s">
        <v>204</v>
      </c>
      <c r="I1454">
        <v>10</v>
      </c>
      <c r="J1454">
        <v>3471.39</v>
      </c>
      <c r="K1454">
        <v>1</v>
      </c>
      <c r="L1454" t="s">
        <v>196</v>
      </c>
      <c r="M1454">
        <v>0</v>
      </c>
    </row>
    <row r="1455" spans="1:13" x14ac:dyDescent="0.3">
      <c r="A1455" t="s">
        <v>1664</v>
      </c>
      <c r="B1455">
        <v>90</v>
      </c>
      <c r="C1455" s="1">
        <v>44430</v>
      </c>
      <c r="D1455">
        <v>2021</v>
      </c>
      <c r="E1455" t="s">
        <v>190</v>
      </c>
      <c r="F1455" t="s">
        <v>12</v>
      </c>
      <c r="G1455" t="s">
        <v>212</v>
      </c>
      <c r="H1455" t="s">
        <v>204</v>
      </c>
      <c r="I1455">
        <v>13</v>
      </c>
      <c r="J1455">
        <v>1105.33</v>
      </c>
      <c r="K1455">
        <v>0</v>
      </c>
      <c r="L1455" t="s">
        <v>215</v>
      </c>
      <c r="M1455">
        <v>1</v>
      </c>
    </row>
    <row r="1456" spans="1:13" x14ac:dyDescent="0.3">
      <c r="A1456" t="s">
        <v>1665</v>
      </c>
      <c r="B1456">
        <v>90</v>
      </c>
      <c r="C1456" s="1">
        <v>44382</v>
      </c>
      <c r="D1456">
        <v>2021</v>
      </c>
      <c r="E1456" t="s">
        <v>214</v>
      </c>
      <c r="F1456" t="s">
        <v>13</v>
      </c>
      <c r="G1456" t="s">
        <v>200</v>
      </c>
      <c r="H1456" t="s">
        <v>195</v>
      </c>
      <c r="I1456">
        <v>3</v>
      </c>
      <c r="J1456">
        <v>1742.35</v>
      </c>
      <c r="K1456">
        <v>0</v>
      </c>
      <c r="L1456" t="s">
        <v>193</v>
      </c>
      <c r="M1456">
        <v>1</v>
      </c>
    </row>
    <row r="1457" spans="1:13" x14ac:dyDescent="0.3">
      <c r="A1457" t="s">
        <v>1666</v>
      </c>
      <c r="B1457">
        <v>90</v>
      </c>
      <c r="C1457" s="1">
        <v>44249</v>
      </c>
      <c r="D1457">
        <v>2021</v>
      </c>
      <c r="E1457" t="s">
        <v>214</v>
      </c>
      <c r="F1457" t="s">
        <v>13</v>
      </c>
      <c r="G1457" t="s">
        <v>191</v>
      </c>
      <c r="H1457" t="s">
        <v>204</v>
      </c>
      <c r="I1457">
        <v>14</v>
      </c>
      <c r="J1457">
        <v>3287.49</v>
      </c>
      <c r="K1457">
        <v>0</v>
      </c>
      <c r="L1457" t="s">
        <v>196</v>
      </c>
      <c r="M1457">
        <v>0</v>
      </c>
    </row>
    <row r="1458" spans="1:13" x14ac:dyDescent="0.3">
      <c r="A1458" t="s">
        <v>1667</v>
      </c>
      <c r="B1458">
        <v>90</v>
      </c>
      <c r="C1458" s="1">
        <v>44645</v>
      </c>
      <c r="D1458">
        <v>2022</v>
      </c>
      <c r="E1458" t="s">
        <v>214</v>
      </c>
      <c r="F1458" t="s">
        <v>12</v>
      </c>
      <c r="G1458" t="s">
        <v>212</v>
      </c>
      <c r="H1458" t="s">
        <v>206</v>
      </c>
      <c r="I1458">
        <v>3</v>
      </c>
      <c r="J1458">
        <v>1229.42</v>
      </c>
      <c r="K1458">
        <v>0</v>
      </c>
      <c r="L1458" t="s">
        <v>201</v>
      </c>
      <c r="M1458">
        <v>1</v>
      </c>
    </row>
    <row r="1459" spans="1:13" x14ac:dyDescent="0.3">
      <c r="A1459" t="s">
        <v>1668</v>
      </c>
      <c r="B1459">
        <v>90</v>
      </c>
      <c r="C1459" s="1">
        <v>45201</v>
      </c>
      <c r="D1459">
        <v>2023</v>
      </c>
      <c r="E1459" t="s">
        <v>214</v>
      </c>
      <c r="F1459" t="s">
        <v>12</v>
      </c>
      <c r="G1459" t="s">
        <v>200</v>
      </c>
      <c r="H1459" t="s">
        <v>204</v>
      </c>
      <c r="I1459">
        <v>12</v>
      </c>
      <c r="J1459">
        <v>1403.68</v>
      </c>
      <c r="K1459">
        <v>0</v>
      </c>
      <c r="L1459" t="s">
        <v>210</v>
      </c>
      <c r="M1459">
        <v>0</v>
      </c>
    </row>
    <row r="1460" spans="1:13" x14ac:dyDescent="0.3">
      <c r="A1460" t="s">
        <v>1669</v>
      </c>
      <c r="B1460">
        <v>90</v>
      </c>
      <c r="C1460" s="1">
        <v>45140</v>
      </c>
      <c r="D1460">
        <v>2023</v>
      </c>
      <c r="E1460" t="s">
        <v>227</v>
      </c>
      <c r="F1460" t="s">
        <v>12</v>
      </c>
      <c r="G1460" t="s">
        <v>212</v>
      </c>
      <c r="H1460" t="s">
        <v>192</v>
      </c>
      <c r="I1460">
        <v>9</v>
      </c>
      <c r="J1460">
        <v>1276.1099999999999</v>
      </c>
      <c r="K1460">
        <v>0</v>
      </c>
      <c r="L1460" t="s">
        <v>215</v>
      </c>
      <c r="M1460">
        <v>1</v>
      </c>
    </row>
    <row r="1461" spans="1:13" x14ac:dyDescent="0.3">
      <c r="A1461" t="s">
        <v>1670</v>
      </c>
      <c r="B1461">
        <v>90</v>
      </c>
      <c r="C1461" s="1">
        <v>45122</v>
      </c>
      <c r="D1461">
        <v>2023</v>
      </c>
      <c r="E1461" t="s">
        <v>198</v>
      </c>
      <c r="F1461" t="s">
        <v>13</v>
      </c>
      <c r="G1461" t="s">
        <v>191</v>
      </c>
      <c r="H1461" t="s">
        <v>192</v>
      </c>
      <c r="I1461">
        <v>10</v>
      </c>
      <c r="J1461">
        <v>1645.94</v>
      </c>
      <c r="K1461">
        <v>1</v>
      </c>
      <c r="L1461" t="s">
        <v>210</v>
      </c>
      <c r="M1461">
        <v>0</v>
      </c>
    </row>
    <row r="1462" spans="1:13" x14ac:dyDescent="0.3">
      <c r="A1462" t="s">
        <v>1671</v>
      </c>
      <c r="B1462">
        <v>90</v>
      </c>
      <c r="C1462" s="1">
        <v>45537</v>
      </c>
      <c r="D1462">
        <v>2024</v>
      </c>
      <c r="E1462" t="s">
        <v>225</v>
      </c>
      <c r="F1462" t="s">
        <v>13</v>
      </c>
      <c r="G1462" t="s">
        <v>212</v>
      </c>
      <c r="H1462" t="s">
        <v>192</v>
      </c>
      <c r="I1462">
        <v>7</v>
      </c>
      <c r="J1462">
        <v>2107.89</v>
      </c>
      <c r="K1462">
        <v>0</v>
      </c>
      <c r="L1462" t="s">
        <v>215</v>
      </c>
      <c r="M1462">
        <v>1</v>
      </c>
    </row>
    <row r="1463" spans="1:13" x14ac:dyDescent="0.3">
      <c r="A1463" t="s">
        <v>1672</v>
      </c>
      <c r="B1463">
        <v>90</v>
      </c>
      <c r="C1463" s="1">
        <v>45445</v>
      </c>
      <c r="D1463">
        <v>2024</v>
      </c>
      <c r="E1463" t="s">
        <v>214</v>
      </c>
      <c r="F1463" t="s">
        <v>209</v>
      </c>
      <c r="G1463" t="s">
        <v>203</v>
      </c>
      <c r="H1463" t="s">
        <v>192</v>
      </c>
      <c r="I1463">
        <v>7</v>
      </c>
      <c r="J1463">
        <v>282.83</v>
      </c>
      <c r="K1463">
        <v>0</v>
      </c>
      <c r="L1463" t="s">
        <v>215</v>
      </c>
      <c r="M1463">
        <v>0</v>
      </c>
    </row>
    <row r="1464" spans="1:13" x14ac:dyDescent="0.3">
      <c r="A1464" t="s">
        <v>1673</v>
      </c>
      <c r="B1464">
        <v>90</v>
      </c>
      <c r="C1464" s="1">
        <v>45585</v>
      </c>
      <c r="D1464">
        <v>2024</v>
      </c>
      <c r="E1464" t="s">
        <v>198</v>
      </c>
      <c r="F1464" t="s">
        <v>13</v>
      </c>
      <c r="G1464" t="s">
        <v>191</v>
      </c>
      <c r="H1464" t="s">
        <v>195</v>
      </c>
      <c r="I1464">
        <v>13</v>
      </c>
      <c r="J1464">
        <v>1582.25</v>
      </c>
      <c r="K1464">
        <v>1</v>
      </c>
      <c r="L1464" t="s">
        <v>193</v>
      </c>
      <c r="M1464">
        <v>0</v>
      </c>
    </row>
    <row r="1465" spans="1:13" x14ac:dyDescent="0.3">
      <c r="A1465" t="s">
        <v>1674</v>
      </c>
      <c r="B1465">
        <v>90</v>
      </c>
      <c r="C1465" s="1">
        <v>45761</v>
      </c>
      <c r="D1465">
        <v>2025</v>
      </c>
      <c r="E1465" t="s">
        <v>190</v>
      </c>
      <c r="F1465" t="s">
        <v>12</v>
      </c>
      <c r="G1465" t="s">
        <v>191</v>
      </c>
      <c r="H1465" t="s">
        <v>204</v>
      </c>
      <c r="I1465">
        <v>3</v>
      </c>
      <c r="J1465">
        <v>297.67</v>
      </c>
      <c r="K1465">
        <v>0</v>
      </c>
      <c r="L1465" t="s">
        <v>215</v>
      </c>
      <c r="M1465">
        <v>1</v>
      </c>
    </row>
    <row r="1466" spans="1:13" x14ac:dyDescent="0.3">
      <c r="A1466" t="s">
        <v>1675</v>
      </c>
      <c r="B1466">
        <v>90</v>
      </c>
      <c r="C1466" s="1">
        <v>45885</v>
      </c>
      <c r="D1466">
        <v>2025</v>
      </c>
      <c r="E1466" t="s">
        <v>214</v>
      </c>
      <c r="F1466" t="s">
        <v>12</v>
      </c>
      <c r="G1466" t="s">
        <v>203</v>
      </c>
      <c r="H1466" t="s">
        <v>195</v>
      </c>
      <c r="I1466">
        <v>10</v>
      </c>
      <c r="J1466">
        <v>1104.1500000000001</v>
      </c>
      <c r="K1466">
        <v>0</v>
      </c>
      <c r="L1466" t="s">
        <v>201</v>
      </c>
      <c r="M1466">
        <v>0</v>
      </c>
    </row>
    <row r="1467" spans="1:13" x14ac:dyDescent="0.3">
      <c r="A1467" t="s">
        <v>1676</v>
      </c>
      <c r="B1467">
        <v>91</v>
      </c>
      <c r="C1467" s="1">
        <v>44403</v>
      </c>
      <c r="D1467">
        <v>2021</v>
      </c>
      <c r="E1467" t="s">
        <v>190</v>
      </c>
      <c r="F1467" t="s">
        <v>199</v>
      </c>
      <c r="G1467" t="s">
        <v>191</v>
      </c>
      <c r="H1467" t="s">
        <v>195</v>
      </c>
      <c r="I1467">
        <v>8</v>
      </c>
      <c r="J1467">
        <v>3389.48</v>
      </c>
      <c r="K1467">
        <v>0</v>
      </c>
      <c r="L1467" t="s">
        <v>193</v>
      </c>
      <c r="M1467">
        <v>0</v>
      </c>
    </row>
    <row r="1468" spans="1:13" x14ac:dyDescent="0.3">
      <c r="A1468" t="s">
        <v>1677</v>
      </c>
      <c r="B1468">
        <v>91</v>
      </c>
      <c r="C1468" s="1">
        <v>44251</v>
      </c>
      <c r="D1468">
        <v>2021</v>
      </c>
      <c r="E1468" t="s">
        <v>214</v>
      </c>
      <c r="F1468" t="s">
        <v>13</v>
      </c>
      <c r="G1468" t="s">
        <v>203</v>
      </c>
      <c r="H1468" t="s">
        <v>206</v>
      </c>
      <c r="I1468">
        <v>5</v>
      </c>
      <c r="J1468">
        <v>1470.19</v>
      </c>
      <c r="K1468">
        <v>0</v>
      </c>
      <c r="L1468" t="s">
        <v>193</v>
      </c>
      <c r="M1468">
        <v>0</v>
      </c>
    </row>
    <row r="1469" spans="1:13" x14ac:dyDescent="0.3">
      <c r="A1469" t="s">
        <v>1678</v>
      </c>
      <c r="B1469">
        <v>91</v>
      </c>
      <c r="C1469" s="1">
        <v>44253</v>
      </c>
      <c r="D1469">
        <v>2021</v>
      </c>
      <c r="E1469" t="s">
        <v>214</v>
      </c>
      <c r="F1469" t="s">
        <v>12</v>
      </c>
      <c r="G1469" t="s">
        <v>212</v>
      </c>
      <c r="H1469" t="s">
        <v>195</v>
      </c>
      <c r="I1469">
        <v>3</v>
      </c>
      <c r="J1469">
        <v>392.39</v>
      </c>
      <c r="K1469">
        <v>0</v>
      </c>
      <c r="L1469" t="s">
        <v>210</v>
      </c>
      <c r="M1469">
        <v>1</v>
      </c>
    </row>
    <row r="1470" spans="1:13" x14ac:dyDescent="0.3">
      <c r="A1470" t="s">
        <v>1679</v>
      </c>
      <c r="B1470">
        <v>91</v>
      </c>
      <c r="C1470" s="1">
        <v>44461</v>
      </c>
      <c r="D1470">
        <v>2021</v>
      </c>
      <c r="E1470" t="s">
        <v>214</v>
      </c>
      <c r="F1470" t="s">
        <v>209</v>
      </c>
      <c r="G1470" t="s">
        <v>212</v>
      </c>
      <c r="H1470" t="s">
        <v>204</v>
      </c>
      <c r="I1470">
        <v>12</v>
      </c>
      <c r="J1470">
        <v>356.91</v>
      </c>
      <c r="K1470">
        <v>0</v>
      </c>
      <c r="L1470" t="s">
        <v>215</v>
      </c>
      <c r="M1470">
        <v>1</v>
      </c>
    </row>
    <row r="1471" spans="1:13" x14ac:dyDescent="0.3">
      <c r="A1471" t="s">
        <v>1680</v>
      </c>
      <c r="B1471">
        <v>91</v>
      </c>
      <c r="C1471" s="1">
        <v>44653</v>
      </c>
      <c r="D1471">
        <v>2022</v>
      </c>
      <c r="E1471" t="s">
        <v>214</v>
      </c>
      <c r="F1471" t="s">
        <v>12</v>
      </c>
      <c r="G1471" t="s">
        <v>200</v>
      </c>
      <c r="H1471" t="s">
        <v>204</v>
      </c>
      <c r="I1471">
        <v>7</v>
      </c>
      <c r="J1471">
        <v>257.35000000000002</v>
      </c>
      <c r="K1471">
        <v>0</v>
      </c>
      <c r="L1471" t="s">
        <v>210</v>
      </c>
      <c r="M1471">
        <v>1</v>
      </c>
    </row>
    <row r="1472" spans="1:13" x14ac:dyDescent="0.3">
      <c r="A1472" t="s">
        <v>1681</v>
      </c>
      <c r="B1472">
        <v>91</v>
      </c>
      <c r="C1472" s="1">
        <v>44669</v>
      </c>
      <c r="D1472">
        <v>2022</v>
      </c>
      <c r="E1472" t="s">
        <v>214</v>
      </c>
      <c r="F1472" t="s">
        <v>13</v>
      </c>
      <c r="G1472" t="s">
        <v>191</v>
      </c>
      <c r="H1472" t="s">
        <v>195</v>
      </c>
      <c r="I1472">
        <v>2</v>
      </c>
      <c r="J1472">
        <v>1929.04</v>
      </c>
      <c r="K1472">
        <v>0</v>
      </c>
      <c r="L1472" t="s">
        <v>196</v>
      </c>
      <c r="M1472">
        <v>0</v>
      </c>
    </row>
    <row r="1473" spans="1:13" x14ac:dyDescent="0.3">
      <c r="A1473" t="s">
        <v>1682</v>
      </c>
      <c r="B1473">
        <v>91</v>
      </c>
      <c r="C1473" s="1">
        <v>44817</v>
      </c>
      <c r="D1473">
        <v>2022</v>
      </c>
      <c r="E1473" t="s">
        <v>214</v>
      </c>
      <c r="F1473" t="s">
        <v>12</v>
      </c>
      <c r="G1473" t="s">
        <v>203</v>
      </c>
      <c r="H1473" t="s">
        <v>204</v>
      </c>
      <c r="I1473">
        <v>13</v>
      </c>
      <c r="J1473">
        <v>590.25</v>
      </c>
      <c r="K1473">
        <v>0</v>
      </c>
      <c r="L1473" t="s">
        <v>210</v>
      </c>
      <c r="M1473">
        <v>0</v>
      </c>
    </row>
    <row r="1474" spans="1:13" x14ac:dyDescent="0.3">
      <c r="A1474" t="s">
        <v>1683</v>
      </c>
      <c r="B1474">
        <v>91</v>
      </c>
      <c r="C1474" s="1">
        <v>44764</v>
      </c>
      <c r="D1474">
        <v>2022</v>
      </c>
      <c r="E1474" t="s">
        <v>219</v>
      </c>
      <c r="F1474" t="s">
        <v>13</v>
      </c>
      <c r="G1474" t="s">
        <v>203</v>
      </c>
      <c r="H1474" t="s">
        <v>195</v>
      </c>
      <c r="I1474">
        <v>15</v>
      </c>
      <c r="J1474">
        <v>3132.95</v>
      </c>
      <c r="K1474">
        <v>0</v>
      </c>
      <c r="L1474" t="s">
        <v>215</v>
      </c>
      <c r="M1474">
        <v>0</v>
      </c>
    </row>
    <row r="1475" spans="1:13" x14ac:dyDescent="0.3">
      <c r="A1475" t="s">
        <v>1684</v>
      </c>
      <c r="B1475">
        <v>91</v>
      </c>
      <c r="C1475" s="1">
        <v>44594</v>
      </c>
      <c r="D1475">
        <v>2022</v>
      </c>
      <c r="E1475" t="s">
        <v>214</v>
      </c>
      <c r="F1475" t="s">
        <v>12</v>
      </c>
      <c r="G1475" t="s">
        <v>212</v>
      </c>
      <c r="H1475" t="s">
        <v>195</v>
      </c>
      <c r="I1475">
        <v>14</v>
      </c>
      <c r="J1475">
        <v>465.65</v>
      </c>
      <c r="K1475">
        <v>0</v>
      </c>
      <c r="L1475" t="s">
        <v>215</v>
      </c>
      <c r="M1475">
        <v>1</v>
      </c>
    </row>
    <row r="1476" spans="1:13" x14ac:dyDescent="0.3">
      <c r="A1476" t="s">
        <v>1685</v>
      </c>
      <c r="B1476">
        <v>91</v>
      </c>
      <c r="C1476" s="1">
        <v>45024</v>
      </c>
      <c r="D1476">
        <v>2023</v>
      </c>
      <c r="E1476" t="s">
        <v>214</v>
      </c>
      <c r="F1476" t="s">
        <v>13</v>
      </c>
      <c r="G1476" t="s">
        <v>200</v>
      </c>
      <c r="H1476" t="s">
        <v>195</v>
      </c>
      <c r="I1476">
        <v>14</v>
      </c>
      <c r="J1476">
        <v>2972.6</v>
      </c>
      <c r="K1476">
        <v>1</v>
      </c>
      <c r="L1476" t="s">
        <v>201</v>
      </c>
      <c r="M1476">
        <v>0</v>
      </c>
    </row>
    <row r="1477" spans="1:13" x14ac:dyDescent="0.3">
      <c r="A1477" t="s">
        <v>1686</v>
      </c>
      <c r="B1477">
        <v>91</v>
      </c>
      <c r="C1477" s="1">
        <v>45193</v>
      </c>
      <c r="D1477">
        <v>2023</v>
      </c>
      <c r="E1477" t="s">
        <v>198</v>
      </c>
      <c r="F1477" t="s">
        <v>13</v>
      </c>
      <c r="G1477" t="s">
        <v>191</v>
      </c>
      <c r="H1477" t="s">
        <v>204</v>
      </c>
      <c r="I1477">
        <v>12</v>
      </c>
      <c r="J1477">
        <v>2568.92</v>
      </c>
      <c r="K1477">
        <v>1</v>
      </c>
      <c r="L1477" t="s">
        <v>193</v>
      </c>
      <c r="M1477">
        <v>0</v>
      </c>
    </row>
    <row r="1478" spans="1:13" x14ac:dyDescent="0.3">
      <c r="A1478" t="s">
        <v>1687</v>
      </c>
      <c r="B1478">
        <v>91</v>
      </c>
      <c r="C1478" s="1">
        <v>44934</v>
      </c>
      <c r="D1478">
        <v>2023</v>
      </c>
      <c r="E1478" t="s">
        <v>219</v>
      </c>
      <c r="F1478" t="s">
        <v>13</v>
      </c>
      <c r="G1478" t="s">
        <v>191</v>
      </c>
      <c r="H1478" t="s">
        <v>204</v>
      </c>
      <c r="I1478">
        <v>9</v>
      </c>
      <c r="J1478">
        <v>3214.84</v>
      </c>
      <c r="K1478">
        <v>0</v>
      </c>
      <c r="L1478" t="s">
        <v>210</v>
      </c>
      <c r="M1478">
        <v>0</v>
      </c>
    </row>
    <row r="1479" spans="1:13" x14ac:dyDescent="0.3">
      <c r="A1479" t="s">
        <v>1688</v>
      </c>
      <c r="B1479">
        <v>91</v>
      </c>
      <c r="C1479" s="1">
        <v>45433</v>
      </c>
      <c r="D1479">
        <v>2024</v>
      </c>
      <c r="E1479" t="s">
        <v>219</v>
      </c>
      <c r="F1479" t="s">
        <v>12</v>
      </c>
      <c r="G1479" t="s">
        <v>200</v>
      </c>
      <c r="H1479" t="s">
        <v>195</v>
      </c>
      <c r="I1479">
        <v>10</v>
      </c>
      <c r="J1479">
        <v>411.75</v>
      </c>
      <c r="K1479">
        <v>0</v>
      </c>
      <c r="L1479" t="s">
        <v>215</v>
      </c>
      <c r="M1479">
        <v>1</v>
      </c>
    </row>
    <row r="1480" spans="1:13" x14ac:dyDescent="0.3">
      <c r="A1480" t="s">
        <v>1689</v>
      </c>
      <c r="B1480">
        <v>91</v>
      </c>
      <c r="C1480" s="1">
        <v>45505</v>
      </c>
      <c r="D1480">
        <v>2024</v>
      </c>
      <c r="E1480" t="s">
        <v>219</v>
      </c>
      <c r="F1480" t="s">
        <v>12</v>
      </c>
      <c r="G1480" t="s">
        <v>203</v>
      </c>
      <c r="H1480" t="s">
        <v>192</v>
      </c>
      <c r="I1480">
        <v>9</v>
      </c>
      <c r="J1480">
        <v>1242.8499999999999</v>
      </c>
      <c r="K1480">
        <v>0</v>
      </c>
      <c r="L1480" t="s">
        <v>201</v>
      </c>
      <c r="M1480">
        <v>1</v>
      </c>
    </row>
    <row r="1481" spans="1:13" x14ac:dyDescent="0.3">
      <c r="A1481" t="s">
        <v>1690</v>
      </c>
      <c r="B1481">
        <v>91</v>
      </c>
      <c r="C1481" s="1">
        <v>45447</v>
      </c>
      <c r="D1481">
        <v>2024</v>
      </c>
      <c r="E1481" t="s">
        <v>214</v>
      </c>
      <c r="F1481" t="s">
        <v>12</v>
      </c>
      <c r="G1481" t="s">
        <v>212</v>
      </c>
      <c r="H1481" t="s">
        <v>192</v>
      </c>
      <c r="I1481">
        <v>10</v>
      </c>
      <c r="J1481">
        <v>387.66</v>
      </c>
      <c r="K1481">
        <v>0</v>
      </c>
      <c r="L1481" t="s">
        <v>215</v>
      </c>
      <c r="M1481">
        <v>1</v>
      </c>
    </row>
    <row r="1482" spans="1:13" x14ac:dyDescent="0.3">
      <c r="A1482" t="s">
        <v>1691</v>
      </c>
      <c r="B1482">
        <v>91</v>
      </c>
      <c r="C1482" s="1">
        <v>45971</v>
      </c>
      <c r="D1482">
        <v>2025</v>
      </c>
      <c r="E1482" t="s">
        <v>287</v>
      </c>
      <c r="F1482" t="s">
        <v>12</v>
      </c>
      <c r="G1482" t="s">
        <v>212</v>
      </c>
      <c r="H1482" t="s">
        <v>195</v>
      </c>
      <c r="I1482">
        <v>5</v>
      </c>
      <c r="J1482">
        <v>736.86</v>
      </c>
      <c r="K1482">
        <v>0</v>
      </c>
      <c r="L1482" t="s">
        <v>215</v>
      </c>
      <c r="M1482">
        <v>1</v>
      </c>
    </row>
    <row r="1483" spans="1:13" x14ac:dyDescent="0.3">
      <c r="A1483" t="s">
        <v>1692</v>
      </c>
      <c r="B1483">
        <v>91</v>
      </c>
      <c r="C1483" s="1">
        <v>45854</v>
      </c>
      <c r="D1483">
        <v>2025</v>
      </c>
      <c r="E1483" t="s">
        <v>198</v>
      </c>
      <c r="F1483" t="s">
        <v>12</v>
      </c>
      <c r="G1483" t="s">
        <v>212</v>
      </c>
      <c r="H1483" t="s">
        <v>206</v>
      </c>
      <c r="I1483">
        <v>16</v>
      </c>
      <c r="J1483">
        <v>1094.6600000000001</v>
      </c>
      <c r="K1483">
        <v>1</v>
      </c>
      <c r="L1483" t="s">
        <v>196</v>
      </c>
      <c r="M1483">
        <v>1</v>
      </c>
    </row>
    <row r="1484" spans="1:13" x14ac:dyDescent="0.3">
      <c r="A1484" t="s">
        <v>1693</v>
      </c>
      <c r="B1484">
        <v>91</v>
      </c>
      <c r="C1484" s="1">
        <v>45846</v>
      </c>
      <c r="D1484">
        <v>2025</v>
      </c>
      <c r="E1484" t="s">
        <v>225</v>
      </c>
      <c r="F1484" t="s">
        <v>12</v>
      </c>
      <c r="G1484" t="s">
        <v>212</v>
      </c>
      <c r="H1484" t="s">
        <v>195</v>
      </c>
      <c r="I1484">
        <v>1</v>
      </c>
      <c r="J1484">
        <v>800.77</v>
      </c>
      <c r="K1484">
        <v>0</v>
      </c>
      <c r="L1484" t="s">
        <v>210</v>
      </c>
      <c r="M1484">
        <v>1</v>
      </c>
    </row>
    <row r="1485" spans="1:13" x14ac:dyDescent="0.3">
      <c r="A1485" t="s">
        <v>1694</v>
      </c>
      <c r="B1485">
        <v>91</v>
      </c>
      <c r="C1485" s="1">
        <v>45824</v>
      </c>
      <c r="D1485">
        <v>2025</v>
      </c>
      <c r="E1485" t="s">
        <v>198</v>
      </c>
      <c r="F1485" t="s">
        <v>199</v>
      </c>
      <c r="G1485" t="s">
        <v>191</v>
      </c>
      <c r="H1485" t="s">
        <v>204</v>
      </c>
      <c r="I1485">
        <v>5</v>
      </c>
      <c r="J1485">
        <v>2755.96</v>
      </c>
      <c r="K1485">
        <v>1</v>
      </c>
      <c r="L1485" t="s">
        <v>196</v>
      </c>
      <c r="M1485">
        <v>0</v>
      </c>
    </row>
    <row r="1486" spans="1:13" x14ac:dyDescent="0.3">
      <c r="A1486" t="s">
        <v>1695</v>
      </c>
      <c r="B1486">
        <v>91</v>
      </c>
      <c r="C1486" s="1">
        <v>46016</v>
      </c>
      <c r="D1486">
        <v>2025</v>
      </c>
      <c r="E1486" t="s">
        <v>190</v>
      </c>
      <c r="F1486" t="s">
        <v>199</v>
      </c>
      <c r="G1486" t="s">
        <v>191</v>
      </c>
      <c r="H1486" t="s">
        <v>195</v>
      </c>
      <c r="I1486">
        <v>15</v>
      </c>
      <c r="J1486">
        <v>3467.5</v>
      </c>
      <c r="K1486">
        <v>1</v>
      </c>
      <c r="L1486" t="s">
        <v>196</v>
      </c>
      <c r="M1486">
        <v>0</v>
      </c>
    </row>
    <row r="1487" spans="1:13" x14ac:dyDescent="0.3">
      <c r="A1487" t="s">
        <v>1696</v>
      </c>
      <c r="B1487">
        <v>92</v>
      </c>
      <c r="C1487" s="1">
        <v>44253</v>
      </c>
      <c r="D1487">
        <v>2021</v>
      </c>
      <c r="E1487" t="s">
        <v>225</v>
      </c>
      <c r="F1487" t="s">
        <v>13</v>
      </c>
      <c r="G1487" t="s">
        <v>212</v>
      </c>
      <c r="H1487" t="s">
        <v>195</v>
      </c>
      <c r="I1487">
        <v>6</v>
      </c>
      <c r="J1487">
        <v>3012.83</v>
      </c>
      <c r="K1487">
        <v>0</v>
      </c>
      <c r="L1487" t="s">
        <v>201</v>
      </c>
      <c r="M1487">
        <v>1</v>
      </c>
    </row>
    <row r="1488" spans="1:13" x14ac:dyDescent="0.3">
      <c r="A1488" t="s">
        <v>1697</v>
      </c>
      <c r="B1488">
        <v>92</v>
      </c>
      <c r="C1488" s="1">
        <v>44290</v>
      </c>
      <c r="D1488">
        <v>2021</v>
      </c>
      <c r="E1488" t="s">
        <v>219</v>
      </c>
      <c r="F1488" t="s">
        <v>199</v>
      </c>
      <c r="G1488" t="s">
        <v>191</v>
      </c>
      <c r="H1488" t="s">
        <v>195</v>
      </c>
      <c r="I1488">
        <v>1</v>
      </c>
      <c r="J1488">
        <v>7576.95</v>
      </c>
      <c r="K1488">
        <v>0</v>
      </c>
      <c r="L1488" t="s">
        <v>193</v>
      </c>
      <c r="M1488">
        <v>0</v>
      </c>
    </row>
    <row r="1489" spans="1:13" x14ac:dyDescent="0.3">
      <c r="A1489" t="s">
        <v>1698</v>
      </c>
      <c r="B1489">
        <v>92</v>
      </c>
      <c r="C1489" s="1">
        <v>44360</v>
      </c>
      <c r="D1489">
        <v>2021</v>
      </c>
      <c r="E1489" t="s">
        <v>219</v>
      </c>
      <c r="F1489" t="s">
        <v>13</v>
      </c>
      <c r="G1489" t="s">
        <v>212</v>
      </c>
      <c r="H1489" t="s">
        <v>195</v>
      </c>
      <c r="I1489">
        <v>11</v>
      </c>
      <c r="J1489">
        <v>3780.92</v>
      </c>
      <c r="K1489">
        <v>0</v>
      </c>
      <c r="L1489" t="s">
        <v>210</v>
      </c>
      <c r="M1489">
        <v>1</v>
      </c>
    </row>
    <row r="1490" spans="1:13" x14ac:dyDescent="0.3">
      <c r="A1490" t="s">
        <v>1699</v>
      </c>
      <c r="B1490">
        <v>92</v>
      </c>
      <c r="C1490" s="1">
        <v>44562</v>
      </c>
      <c r="D1490">
        <v>2022</v>
      </c>
      <c r="E1490" t="s">
        <v>198</v>
      </c>
      <c r="F1490" t="s">
        <v>12</v>
      </c>
      <c r="G1490" t="s">
        <v>191</v>
      </c>
      <c r="H1490" t="s">
        <v>204</v>
      </c>
      <c r="I1490">
        <v>2</v>
      </c>
      <c r="J1490">
        <v>1161.17</v>
      </c>
      <c r="K1490">
        <v>1</v>
      </c>
      <c r="L1490" t="s">
        <v>215</v>
      </c>
      <c r="M1490">
        <v>0</v>
      </c>
    </row>
    <row r="1491" spans="1:13" x14ac:dyDescent="0.3">
      <c r="A1491" t="s">
        <v>1700</v>
      </c>
      <c r="B1491">
        <v>92</v>
      </c>
      <c r="C1491" s="1">
        <v>44644</v>
      </c>
      <c r="D1491">
        <v>2022</v>
      </c>
      <c r="E1491" t="s">
        <v>190</v>
      </c>
      <c r="F1491" t="s">
        <v>13</v>
      </c>
      <c r="G1491" t="s">
        <v>200</v>
      </c>
      <c r="H1491" t="s">
        <v>195</v>
      </c>
      <c r="I1491">
        <v>6</v>
      </c>
      <c r="J1491">
        <v>2447.66</v>
      </c>
      <c r="K1491">
        <v>0</v>
      </c>
      <c r="L1491" t="s">
        <v>193</v>
      </c>
      <c r="M1491">
        <v>0</v>
      </c>
    </row>
    <row r="1492" spans="1:13" x14ac:dyDescent="0.3">
      <c r="A1492" t="s">
        <v>1701</v>
      </c>
      <c r="B1492">
        <v>92</v>
      </c>
      <c r="C1492" s="1">
        <v>44594</v>
      </c>
      <c r="D1492">
        <v>2022</v>
      </c>
      <c r="E1492" t="s">
        <v>227</v>
      </c>
      <c r="F1492" t="s">
        <v>13</v>
      </c>
      <c r="G1492" t="s">
        <v>212</v>
      </c>
      <c r="H1492" t="s">
        <v>195</v>
      </c>
      <c r="I1492">
        <v>4</v>
      </c>
      <c r="J1492">
        <v>2354.9899999999998</v>
      </c>
      <c r="K1492">
        <v>0</v>
      </c>
      <c r="L1492" t="s">
        <v>215</v>
      </c>
      <c r="M1492">
        <v>1</v>
      </c>
    </row>
    <row r="1493" spans="1:13" x14ac:dyDescent="0.3">
      <c r="A1493" t="s">
        <v>1702</v>
      </c>
      <c r="B1493">
        <v>92</v>
      </c>
      <c r="C1493" s="1">
        <v>44777</v>
      </c>
      <c r="D1493">
        <v>2022</v>
      </c>
      <c r="E1493" t="s">
        <v>227</v>
      </c>
      <c r="F1493" t="s">
        <v>13</v>
      </c>
      <c r="G1493" t="s">
        <v>212</v>
      </c>
      <c r="H1493" t="s">
        <v>195</v>
      </c>
      <c r="I1493">
        <v>15</v>
      </c>
      <c r="J1493">
        <v>2201.44</v>
      </c>
      <c r="K1493">
        <v>0</v>
      </c>
      <c r="L1493" t="s">
        <v>210</v>
      </c>
      <c r="M1493">
        <v>1</v>
      </c>
    </row>
    <row r="1494" spans="1:13" x14ac:dyDescent="0.3">
      <c r="A1494" t="s">
        <v>1703</v>
      </c>
      <c r="B1494">
        <v>92</v>
      </c>
      <c r="C1494" s="1">
        <v>45245</v>
      </c>
      <c r="D1494">
        <v>2023</v>
      </c>
      <c r="E1494" t="s">
        <v>219</v>
      </c>
      <c r="F1494" t="s">
        <v>13</v>
      </c>
      <c r="G1494" t="s">
        <v>203</v>
      </c>
      <c r="H1494" t="s">
        <v>204</v>
      </c>
      <c r="I1494">
        <v>8</v>
      </c>
      <c r="J1494">
        <v>3683.17</v>
      </c>
      <c r="K1494">
        <v>0</v>
      </c>
      <c r="L1494" t="s">
        <v>193</v>
      </c>
      <c r="M1494">
        <v>0</v>
      </c>
    </row>
    <row r="1495" spans="1:13" x14ac:dyDescent="0.3">
      <c r="A1495" t="s">
        <v>1704</v>
      </c>
      <c r="B1495">
        <v>92</v>
      </c>
      <c r="C1495" s="1">
        <v>45083</v>
      </c>
      <c r="D1495">
        <v>2023</v>
      </c>
      <c r="E1495" t="s">
        <v>214</v>
      </c>
      <c r="F1495" t="s">
        <v>199</v>
      </c>
      <c r="G1495" t="s">
        <v>191</v>
      </c>
      <c r="H1495" t="s">
        <v>192</v>
      </c>
      <c r="I1495">
        <v>9</v>
      </c>
      <c r="J1495">
        <v>4457.7</v>
      </c>
      <c r="K1495">
        <v>1</v>
      </c>
      <c r="L1495" t="s">
        <v>210</v>
      </c>
      <c r="M1495">
        <v>0</v>
      </c>
    </row>
    <row r="1496" spans="1:13" x14ac:dyDescent="0.3">
      <c r="A1496" t="s">
        <v>1705</v>
      </c>
      <c r="B1496">
        <v>92</v>
      </c>
      <c r="C1496" s="1">
        <v>45305</v>
      </c>
      <c r="D1496">
        <v>2024</v>
      </c>
      <c r="E1496" t="s">
        <v>214</v>
      </c>
      <c r="F1496" t="s">
        <v>209</v>
      </c>
      <c r="G1496" t="s">
        <v>212</v>
      </c>
      <c r="H1496" t="s">
        <v>195</v>
      </c>
      <c r="I1496">
        <v>12</v>
      </c>
      <c r="J1496">
        <v>519.15</v>
      </c>
      <c r="K1496">
        <v>0</v>
      </c>
      <c r="L1496" t="s">
        <v>210</v>
      </c>
      <c r="M1496">
        <v>1</v>
      </c>
    </row>
    <row r="1497" spans="1:13" x14ac:dyDescent="0.3">
      <c r="A1497" t="s">
        <v>1706</v>
      </c>
      <c r="B1497">
        <v>92</v>
      </c>
      <c r="C1497" s="1">
        <v>45845</v>
      </c>
      <c r="D1497">
        <v>2025</v>
      </c>
      <c r="E1497" t="s">
        <v>214</v>
      </c>
      <c r="F1497" t="s">
        <v>13</v>
      </c>
      <c r="G1497" t="s">
        <v>191</v>
      </c>
      <c r="H1497" t="s">
        <v>192</v>
      </c>
      <c r="I1497">
        <v>8</v>
      </c>
      <c r="J1497">
        <v>1534.03</v>
      </c>
      <c r="K1497">
        <v>0</v>
      </c>
      <c r="L1497" t="s">
        <v>193</v>
      </c>
      <c r="M1497">
        <v>0</v>
      </c>
    </row>
    <row r="1498" spans="1:13" x14ac:dyDescent="0.3">
      <c r="A1498" t="s">
        <v>1707</v>
      </c>
      <c r="B1498">
        <v>92</v>
      </c>
      <c r="C1498" s="1">
        <v>45797</v>
      </c>
      <c r="D1498">
        <v>2025</v>
      </c>
      <c r="E1498" t="s">
        <v>219</v>
      </c>
      <c r="F1498" t="s">
        <v>13</v>
      </c>
      <c r="G1498" t="s">
        <v>212</v>
      </c>
      <c r="H1498" t="s">
        <v>204</v>
      </c>
      <c r="I1498">
        <v>11</v>
      </c>
      <c r="J1498">
        <v>2576.67</v>
      </c>
      <c r="K1498">
        <v>1</v>
      </c>
      <c r="L1498" t="s">
        <v>196</v>
      </c>
      <c r="M1498">
        <v>1</v>
      </c>
    </row>
    <row r="1499" spans="1:13" x14ac:dyDescent="0.3">
      <c r="A1499" t="s">
        <v>1708</v>
      </c>
      <c r="B1499">
        <v>92</v>
      </c>
      <c r="C1499" s="1">
        <v>45949</v>
      </c>
      <c r="D1499">
        <v>2025</v>
      </c>
      <c r="E1499" t="s">
        <v>198</v>
      </c>
      <c r="F1499" t="s">
        <v>13</v>
      </c>
      <c r="G1499" t="s">
        <v>191</v>
      </c>
      <c r="H1499" t="s">
        <v>195</v>
      </c>
      <c r="I1499">
        <v>15</v>
      </c>
      <c r="J1499">
        <v>1341.49</v>
      </c>
      <c r="K1499">
        <v>1</v>
      </c>
      <c r="L1499" t="s">
        <v>193</v>
      </c>
      <c r="M1499">
        <v>0</v>
      </c>
    </row>
    <row r="1500" spans="1:13" x14ac:dyDescent="0.3">
      <c r="A1500" t="s">
        <v>1709</v>
      </c>
      <c r="B1500">
        <v>93</v>
      </c>
      <c r="C1500" s="1">
        <v>44420</v>
      </c>
      <c r="D1500">
        <v>2021</v>
      </c>
      <c r="E1500" t="s">
        <v>214</v>
      </c>
      <c r="F1500" t="s">
        <v>13</v>
      </c>
      <c r="G1500" t="s">
        <v>200</v>
      </c>
      <c r="H1500" t="s">
        <v>204</v>
      </c>
      <c r="I1500">
        <v>9</v>
      </c>
      <c r="J1500">
        <v>3407.43</v>
      </c>
      <c r="K1500">
        <v>0</v>
      </c>
      <c r="L1500" t="s">
        <v>201</v>
      </c>
      <c r="M1500">
        <v>0</v>
      </c>
    </row>
    <row r="1501" spans="1:13" x14ac:dyDescent="0.3">
      <c r="A1501" t="s">
        <v>1710</v>
      </c>
      <c r="B1501">
        <v>93</v>
      </c>
      <c r="C1501" s="1">
        <v>44289</v>
      </c>
      <c r="D1501">
        <v>2021</v>
      </c>
      <c r="E1501" t="s">
        <v>219</v>
      </c>
      <c r="F1501" t="s">
        <v>199</v>
      </c>
      <c r="G1501" t="s">
        <v>203</v>
      </c>
      <c r="H1501" t="s">
        <v>195</v>
      </c>
      <c r="I1501">
        <v>14</v>
      </c>
      <c r="J1501">
        <v>6648.72</v>
      </c>
      <c r="K1501">
        <v>0</v>
      </c>
      <c r="L1501" t="s">
        <v>196</v>
      </c>
      <c r="M1501">
        <v>1</v>
      </c>
    </row>
    <row r="1502" spans="1:13" x14ac:dyDescent="0.3">
      <c r="A1502" t="s">
        <v>1711</v>
      </c>
      <c r="B1502">
        <v>93</v>
      </c>
      <c r="C1502" s="1">
        <v>44302</v>
      </c>
      <c r="D1502">
        <v>2021</v>
      </c>
      <c r="E1502" t="s">
        <v>190</v>
      </c>
      <c r="F1502" t="s">
        <v>13</v>
      </c>
      <c r="G1502" t="s">
        <v>191</v>
      </c>
      <c r="H1502" t="s">
        <v>206</v>
      </c>
      <c r="I1502">
        <v>7</v>
      </c>
      <c r="J1502">
        <v>3329.57</v>
      </c>
      <c r="K1502">
        <v>0</v>
      </c>
      <c r="L1502" t="s">
        <v>201</v>
      </c>
      <c r="M1502">
        <v>0</v>
      </c>
    </row>
    <row r="1503" spans="1:13" x14ac:dyDescent="0.3">
      <c r="A1503" t="s">
        <v>1712</v>
      </c>
      <c r="B1503">
        <v>93</v>
      </c>
      <c r="C1503" s="1">
        <v>44308</v>
      </c>
      <c r="D1503">
        <v>2021</v>
      </c>
      <c r="E1503" t="s">
        <v>219</v>
      </c>
      <c r="F1503" t="s">
        <v>13</v>
      </c>
      <c r="G1503" t="s">
        <v>191</v>
      </c>
      <c r="H1503" t="s">
        <v>195</v>
      </c>
      <c r="I1503">
        <v>14</v>
      </c>
      <c r="J1503">
        <v>2445.4899999999998</v>
      </c>
      <c r="K1503">
        <v>0</v>
      </c>
      <c r="L1503" t="s">
        <v>201</v>
      </c>
      <c r="M1503">
        <v>0</v>
      </c>
    </row>
    <row r="1504" spans="1:13" x14ac:dyDescent="0.3">
      <c r="A1504" t="s">
        <v>1713</v>
      </c>
      <c r="B1504">
        <v>93</v>
      </c>
      <c r="C1504" s="1">
        <v>44260</v>
      </c>
      <c r="D1504">
        <v>2021</v>
      </c>
      <c r="E1504" t="s">
        <v>198</v>
      </c>
      <c r="F1504" t="s">
        <v>13</v>
      </c>
      <c r="G1504" t="s">
        <v>191</v>
      </c>
      <c r="H1504" t="s">
        <v>195</v>
      </c>
      <c r="I1504">
        <v>12</v>
      </c>
      <c r="J1504">
        <v>3426.17</v>
      </c>
      <c r="K1504">
        <v>1</v>
      </c>
      <c r="L1504" t="s">
        <v>201</v>
      </c>
      <c r="M1504">
        <v>1</v>
      </c>
    </row>
    <row r="1505" spans="1:13" x14ac:dyDescent="0.3">
      <c r="A1505" t="s">
        <v>1714</v>
      </c>
      <c r="B1505">
        <v>93</v>
      </c>
      <c r="C1505" s="1">
        <v>44365</v>
      </c>
      <c r="D1505">
        <v>2021</v>
      </c>
      <c r="E1505" t="s">
        <v>198</v>
      </c>
      <c r="F1505" t="s">
        <v>209</v>
      </c>
      <c r="G1505" t="s">
        <v>191</v>
      </c>
      <c r="H1505" t="s">
        <v>206</v>
      </c>
      <c r="I1505">
        <v>9</v>
      </c>
      <c r="J1505">
        <v>152.44</v>
      </c>
      <c r="K1505">
        <v>1</v>
      </c>
      <c r="L1505" t="s">
        <v>210</v>
      </c>
      <c r="M1505">
        <v>0</v>
      </c>
    </row>
    <row r="1506" spans="1:13" x14ac:dyDescent="0.3">
      <c r="A1506" t="s">
        <v>1715</v>
      </c>
      <c r="B1506">
        <v>93</v>
      </c>
      <c r="C1506" s="1">
        <v>44901</v>
      </c>
      <c r="D1506">
        <v>2022</v>
      </c>
      <c r="E1506" t="s">
        <v>214</v>
      </c>
      <c r="F1506" t="s">
        <v>209</v>
      </c>
      <c r="G1506" t="s">
        <v>212</v>
      </c>
      <c r="H1506" t="s">
        <v>195</v>
      </c>
      <c r="I1506">
        <v>15</v>
      </c>
      <c r="J1506">
        <v>156.66999999999999</v>
      </c>
      <c r="K1506">
        <v>0</v>
      </c>
      <c r="L1506" t="s">
        <v>193</v>
      </c>
      <c r="M1506">
        <v>1</v>
      </c>
    </row>
    <row r="1507" spans="1:13" x14ac:dyDescent="0.3">
      <c r="A1507" t="s">
        <v>1716</v>
      </c>
      <c r="B1507">
        <v>93</v>
      </c>
      <c r="C1507" s="1">
        <v>44920</v>
      </c>
      <c r="D1507">
        <v>2022</v>
      </c>
      <c r="E1507" t="s">
        <v>214</v>
      </c>
      <c r="F1507" t="s">
        <v>209</v>
      </c>
      <c r="G1507" t="s">
        <v>212</v>
      </c>
      <c r="H1507" t="s">
        <v>204</v>
      </c>
      <c r="I1507">
        <v>9</v>
      </c>
      <c r="J1507">
        <v>5.21</v>
      </c>
      <c r="K1507">
        <v>0</v>
      </c>
      <c r="L1507" t="s">
        <v>210</v>
      </c>
      <c r="M1507">
        <v>1</v>
      </c>
    </row>
    <row r="1508" spans="1:13" x14ac:dyDescent="0.3">
      <c r="A1508" t="s">
        <v>1717</v>
      </c>
      <c r="B1508">
        <v>93</v>
      </c>
      <c r="C1508" s="1">
        <v>44759</v>
      </c>
      <c r="D1508">
        <v>2022</v>
      </c>
      <c r="E1508" t="s">
        <v>214</v>
      </c>
      <c r="F1508" t="s">
        <v>199</v>
      </c>
      <c r="G1508" t="s">
        <v>212</v>
      </c>
      <c r="H1508" t="s">
        <v>192</v>
      </c>
      <c r="I1508">
        <v>11</v>
      </c>
      <c r="J1508">
        <v>4182.2</v>
      </c>
      <c r="K1508">
        <v>1</v>
      </c>
      <c r="L1508" t="s">
        <v>196</v>
      </c>
      <c r="M1508">
        <v>1</v>
      </c>
    </row>
    <row r="1509" spans="1:13" x14ac:dyDescent="0.3">
      <c r="A1509" t="s">
        <v>1718</v>
      </c>
      <c r="B1509">
        <v>93</v>
      </c>
      <c r="C1509" s="1">
        <v>45006</v>
      </c>
      <c r="D1509">
        <v>2023</v>
      </c>
      <c r="E1509" t="s">
        <v>214</v>
      </c>
      <c r="F1509" t="s">
        <v>12</v>
      </c>
      <c r="G1509" t="s">
        <v>212</v>
      </c>
      <c r="H1509" t="s">
        <v>195</v>
      </c>
      <c r="I1509">
        <v>2</v>
      </c>
      <c r="J1509">
        <v>1006.69</v>
      </c>
      <c r="K1509">
        <v>0</v>
      </c>
      <c r="L1509" t="s">
        <v>210</v>
      </c>
      <c r="M1509">
        <v>1</v>
      </c>
    </row>
    <row r="1510" spans="1:13" x14ac:dyDescent="0.3">
      <c r="A1510" t="s">
        <v>1719</v>
      </c>
      <c r="B1510">
        <v>93</v>
      </c>
      <c r="C1510" s="1">
        <v>45159</v>
      </c>
      <c r="D1510">
        <v>2023</v>
      </c>
      <c r="E1510" t="s">
        <v>190</v>
      </c>
      <c r="F1510" t="s">
        <v>209</v>
      </c>
      <c r="G1510" t="s">
        <v>212</v>
      </c>
      <c r="H1510" t="s">
        <v>206</v>
      </c>
      <c r="I1510">
        <v>2</v>
      </c>
      <c r="J1510">
        <v>55.77</v>
      </c>
      <c r="K1510">
        <v>0</v>
      </c>
      <c r="L1510" t="s">
        <v>210</v>
      </c>
      <c r="M1510">
        <v>1</v>
      </c>
    </row>
    <row r="1511" spans="1:13" x14ac:dyDescent="0.3">
      <c r="A1511" t="s">
        <v>1720</v>
      </c>
      <c r="B1511">
        <v>93</v>
      </c>
      <c r="C1511" s="1">
        <v>45402</v>
      </c>
      <c r="D1511">
        <v>2024</v>
      </c>
      <c r="E1511" t="s">
        <v>287</v>
      </c>
      <c r="F1511" t="s">
        <v>13</v>
      </c>
      <c r="G1511" t="s">
        <v>200</v>
      </c>
      <c r="H1511" t="s">
        <v>195</v>
      </c>
      <c r="I1511">
        <v>1</v>
      </c>
      <c r="J1511">
        <v>1679.09</v>
      </c>
      <c r="K1511">
        <v>0</v>
      </c>
      <c r="L1511" t="s">
        <v>193</v>
      </c>
      <c r="M1511">
        <v>1</v>
      </c>
    </row>
    <row r="1512" spans="1:13" x14ac:dyDescent="0.3">
      <c r="A1512" t="s">
        <v>1721</v>
      </c>
      <c r="B1512">
        <v>93</v>
      </c>
      <c r="C1512" s="1">
        <v>45417</v>
      </c>
      <c r="D1512">
        <v>2024</v>
      </c>
      <c r="E1512" t="s">
        <v>190</v>
      </c>
      <c r="F1512" t="s">
        <v>13</v>
      </c>
      <c r="G1512" t="s">
        <v>200</v>
      </c>
      <c r="H1512" t="s">
        <v>192</v>
      </c>
      <c r="I1512">
        <v>5</v>
      </c>
      <c r="J1512">
        <v>3638.68</v>
      </c>
      <c r="K1512">
        <v>0</v>
      </c>
      <c r="L1512" t="s">
        <v>193</v>
      </c>
      <c r="M1512">
        <v>1</v>
      </c>
    </row>
    <row r="1513" spans="1:13" x14ac:dyDescent="0.3">
      <c r="A1513" t="s">
        <v>1722</v>
      </c>
      <c r="B1513">
        <v>93</v>
      </c>
      <c r="C1513" s="1">
        <v>45495</v>
      </c>
      <c r="D1513">
        <v>2024</v>
      </c>
      <c r="E1513" t="s">
        <v>214</v>
      </c>
      <c r="F1513" t="s">
        <v>12</v>
      </c>
      <c r="G1513" t="s">
        <v>200</v>
      </c>
      <c r="H1513" t="s">
        <v>195</v>
      </c>
      <c r="I1513">
        <v>6</v>
      </c>
      <c r="J1513">
        <v>1061.02</v>
      </c>
      <c r="K1513">
        <v>1</v>
      </c>
      <c r="L1513" t="s">
        <v>201</v>
      </c>
      <c r="M1513">
        <v>0</v>
      </c>
    </row>
    <row r="1514" spans="1:13" x14ac:dyDescent="0.3">
      <c r="A1514" t="s">
        <v>1723</v>
      </c>
      <c r="B1514">
        <v>93</v>
      </c>
      <c r="C1514" s="1">
        <v>45563</v>
      </c>
      <c r="D1514">
        <v>2024</v>
      </c>
      <c r="E1514" t="s">
        <v>214</v>
      </c>
      <c r="F1514" t="s">
        <v>199</v>
      </c>
      <c r="G1514" t="s">
        <v>191</v>
      </c>
      <c r="H1514" t="s">
        <v>195</v>
      </c>
      <c r="I1514">
        <v>13</v>
      </c>
      <c r="J1514">
        <v>7102.31</v>
      </c>
      <c r="K1514">
        <v>1</v>
      </c>
      <c r="L1514" t="s">
        <v>193</v>
      </c>
      <c r="M1514">
        <v>0</v>
      </c>
    </row>
    <row r="1515" spans="1:13" x14ac:dyDescent="0.3">
      <c r="A1515" t="s">
        <v>1724</v>
      </c>
      <c r="B1515">
        <v>93</v>
      </c>
      <c r="C1515" s="1">
        <v>45831</v>
      </c>
      <c r="D1515">
        <v>2025</v>
      </c>
      <c r="E1515" t="s">
        <v>198</v>
      </c>
      <c r="F1515" t="s">
        <v>209</v>
      </c>
      <c r="G1515" t="s">
        <v>212</v>
      </c>
      <c r="H1515" t="s">
        <v>195</v>
      </c>
      <c r="I1515">
        <v>5</v>
      </c>
      <c r="J1515">
        <v>587.91999999999996</v>
      </c>
      <c r="K1515">
        <v>1</v>
      </c>
      <c r="L1515" t="s">
        <v>210</v>
      </c>
      <c r="M1515">
        <v>1</v>
      </c>
    </row>
    <row r="1516" spans="1:13" x14ac:dyDescent="0.3">
      <c r="A1516" t="s">
        <v>1725</v>
      </c>
      <c r="B1516">
        <v>93</v>
      </c>
      <c r="C1516" s="1">
        <v>45956</v>
      </c>
      <c r="D1516">
        <v>2025</v>
      </c>
      <c r="E1516" t="s">
        <v>219</v>
      </c>
      <c r="F1516" t="s">
        <v>12</v>
      </c>
      <c r="G1516" t="s">
        <v>212</v>
      </c>
      <c r="H1516" t="s">
        <v>204</v>
      </c>
      <c r="I1516">
        <v>15</v>
      </c>
      <c r="J1516">
        <v>923.94</v>
      </c>
      <c r="K1516">
        <v>0</v>
      </c>
      <c r="L1516" t="s">
        <v>215</v>
      </c>
      <c r="M1516">
        <v>1</v>
      </c>
    </row>
    <row r="1517" spans="1:13" x14ac:dyDescent="0.3">
      <c r="A1517" t="s">
        <v>1726</v>
      </c>
      <c r="B1517">
        <v>93</v>
      </c>
      <c r="C1517" s="1">
        <v>45871</v>
      </c>
      <c r="D1517">
        <v>2025</v>
      </c>
      <c r="E1517" t="s">
        <v>225</v>
      </c>
      <c r="F1517" t="s">
        <v>199</v>
      </c>
      <c r="G1517" t="s">
        <v>200</v>
      </c>
      <c r="H1517" t="s">
        <v>204</v>
      </c>
      <c r="I1517">
        <v>11</v>
      </c>
      <c r="J1517">
        <v>7945.65</v>
      </c>
      <c r="K1517">
        <v>0</v>
      </c>
      <c r="L1517" t="s">
        <v>196</v>
      </c>
      <c r="M1517">
        <v>0</v>
      </c>
    </row>
    <row r="1518" spans="1:13" x14ac:dyDescent="0.3">
      <c r="A1518" t="s">
        <v>1727</v>
      </c>
      <c r="B1518">
        <v>93</v>
      </c>
      <c r="C1518" s="1">
        <v>45729</v>
      </c>
      <c r="D1518">
        <v>2025</v>
      </c>
      <c r="E1518" t="s">
        <v>198</v>
      </c>
      <c r="F1518" t="s">
        <v>13</v>
      </c>
      <c r="G1518" t="s">
        <v>191</v>
      </c>
      <c r="H1518" t="s">
        <v>195</v>
      </c>
      <c r="I1518">
        <v>6</v>
      </c>
      <c r="J1518">
        <v>2929.01</v>
      </c>
      <c r="K1518">
        <v>1</v>
      </c>
      <c r="L1518" t="s">
        <v>215</v>
      </c>
      <c r="M1518">
        <v>0</v>
      </c>
    </row>
    <row r="1519" spans="1:13" x14ac:dyDescent="0.3">
      <c r="A1519" t="s">
        <v>1728</v>
      </c>
      <c r="B1519">
        <v>93</v>
      </c>
      <c r="C1519" s="1">
        <v>46010</v>
      </c>
      <c r="D1519">
        <v>2025</v>
      </c>
      <c r="E1519" t="s">
        <v>219</v>
      </c>
      <c r="F1519" t="s">
        <v>12</v>
      </c>
      <c r="G1519" t="s">
        <v>212</v>
      </c>
      <c r="H1519" t="s">
        <v>204</v>
      </c>
      <c r="I1519">
        <v>8</v>
      </c>
      <c r="J1519">
        <v>850.36</v>
      </c>
      <c r="K1519">
        <v>0</v>
      </c>
      <c r="L1519" t="s">
        <v>215</v>
      </c>
      <c r="M1519">
        <v>1</v>
      </c>
    </row>
    <row r="1520" spans="1:13" x14ac:dyDescent="0.3">
      <c r="A1520" t="s">
        <v>1729</v>
      </c>
      <c r="B1520">
        <v>93</v>
      </c>
      <c r="C1520" s="1">
        <v>45975</v>
      </c>
      <c r="D1520">
        <v>2025</v>
      </c>
      <c r="E1520" t="s">
        <v>219</v>
      </c>
      <c r="F1520" t="s">
        <v>13</v>
      </c>
      <c r="G1520" t="s">
        <v>212</v>
      </c>
      <c r="H1520" t="s">
        <v>195</v>
      </c>
      <c r="I1520">
        <v>5</v>
      </c>
      <c r="J1520">
        <v>2611.7800000000002</v>
      </c>
      <c r="K1520">
        <v>0</v>
      </c>
      <c r="L1520" t="s">
        <v>201</v>
      </c>
      <c r="M1520">
        <v>1</v>
      </c>
    </row>
    <row r="1521" spans="1:13" x14ac:dyDescent="0.3">
      <c r="A1521" t="s">
        <v>1730</v>
      </c>
      <c r="B1521">
        <v>94</v>
      </c>
      <c r="C1521" s="1">
        <v>44527</v>
      </c>
      <c r="D1521">
        <v>2021</v>
      </c>
      <c r="E1521" t="s">
        <v>219</v>
      </c>
      <c r="F1521" t="s">
        <v>13</v>
      </c>
      <c r="G1521" t="s">
        <v>212</v>
      </c>
      <c r="H1521" t="s">
        <v>195</v>
      </c>
      <c r="I1521">
        <v>15</v>
      </c>
      <c r="J1521">
        <v>2863.33</v>
      </c>
      <c r="K1521">
        <v>0</v>
      </c>
      <c r="L1521" t="s">
        <v>215</v>
      </c>
      <c r="M1521">
        <v>1</v>
      </c>
    </row>
    <row r="1522" spans="1:13" x14ac:dyDescent="0.3">
      <c r="A1522" t="s">
        <v>1731</v>
      </c>
      <c r="B1522">
        <v>94</v>
      </c>
      <c r="C1522" s="1">
        <v>44264</v>
      </c>
      <c r="D1522">
        <v>2021</v>
      </c>
      <c r="E1522" t="s">
        <v>190</v>
      </c>
      <c r="F1522" t="s">
        <v>199</v>
      </c>
      <c r="G1522" t="s">
        <v>203</v>
      </c>
      <c r="H1522" t="s">
        <v>206</v>
      </c>
      <c r="I1522">
        <v>4</v>
      </c>
      <c r="J1522">
        <v>6203.41</v>
      </c>
      <c r="K1522">
        <v>0</v>
      </c>
      <c r="L1522" t="s">
        <v>193</v>
      </c>
      <c r="M1522">
        <v>0</v>
      </c>
    </row>
    <row r="1523" spans="1:13" x14ac:dyDescent="0.3">
      <c r="A1523" t="s">
        <v>1732</v>
      </c>
      <c r="B1523">
        <v>94</v>
      </c>
      <c r="C1523" s="1">
        <v>44312</v>
      </c>
      <c r="D1523">
        <v>2021</v>
      </c>
      <c r="E1523" t="s">
        <v>214</v>
      </c>
      <c r="F1523" t="s">
        <v>13</v>
      </c>
      <c r="G1523" t="s">
        <v>212</v>
      </c>
      <c r="H1523" t="s">
        <v>206</v>
      </c>
      <c r="I1523">
        <v>3</v>
      </c>
      <c r="J1523">
        <v>1772.06</v>
      </c>
      <c r="K1523">
        <v>0</v>
      </c>
      <c r="L1523" t="s">
        <v>210</v>
      </c>
      <c r="M1523">
        <v>1</v>
      </c>
    </row>
    <row r="1524" spans="1:13" x14ac:dyDescent="0.3">
      <c r="A1524" t="s">
        <v>1733</v>
      </c>
      <c r="B1524">
        <v>94</v>
      </c>
      <c r="C1524" s="1">
        <v>44762</v>
      </c>
      <c r="D1524">
        <v>2022</v>
      </c>
      <c r="E1524" t="s">
        <v>198</v>
      </c>
      <c r="F1524" t="s">
        <v>199</v>
      </c>
      <c r="G1524" t="s">
        <v>191</v>
      </c>
      <c r="H1524" t="s">
        <v>206</v>
      </c>
      <c r="I1524">
        <v>7</v>
      </c>
      <c r="J1524">
        <v>3869.99</v>
      </c>
      <c r="K1524">
        <v>1</v>
      </c>
      <c r="L1524" t="s">
        <v>201</v>
      </c>
      <c r="M1524">
        <v>0</v>
      </c>
    </row>
    <row r="1525" spans="1:13" x14ac:dyDescent="0.3">
      <c r="A1525" t="s">
        <v>1734</v>
      </c>
      <c r="B1525">
        <v>94</v>
      </c>
      <c r="C1525" s="1">
        <v>44638</v>
      </c>
      <c r="D1525">
        <v>2022</v>
      </c>
      <c r="E1525" t="s">
        <v>227</v>
      </c>
      <c r="F1525" t="s">
        <v>12</v>
      </c>
      <c r="G1525" t="s">
        <v>212</v>
      </c>
      <c r="H1525" t="s">
        <v>192</v>
      </c>
      <c r="I1525">
        <v>12</v>
      </c>
      <c r="J1525">
        <v>1467.6</v>
      </c>
      <c r="K1525">
        <v>1</v>
      </c>
      <c r="L1525" t="s">
        <v>215</v>
      </c>
      <c r="M1525">
        <v>1</v>
      </c>
    </row>
    <row r="1526" spans="1:13" x14ac:dyDescent="0.3">
      <c r="A1526" t="s">
        <v>1735</v>
      </c>
      <c r="B1526">
        <v>94</v>
      </c>
      <c r="C1526" s="1">
        <v>44830</v>
      </c>
      <c r="D1526">
        <v>2022</v>
      </c>
      <c r="E1526" t="s">
        <v>225</v>
      </c>
      <c r="F1526" t="s">
        <v>12</v>
      </c>
      <c r="G1526" t="s">
        <v>212</v>
      </c>
      <c r="H1526" t="s">
        <v>206</v>
      </c>
      <c r="I1526">
        <v>15</v>
      </c>
      <c r="J1526">
        <v>260.32</v>
      </c>
      <c r="K1526">
        <v>0</v>
      </c>
      <c r="L1526" t="s">
        <v>193</v>
      </c>
      <c r="M1526">
        <v>1</v>
      </c>
    </row>
    <row r="1527" spans="1:13" x14ac:dyDescent="0.3">
      <c r="A1527" t="s">
        <v>1736</v>
      </c>
      <c r="B1527">
        <v>94</v>
      </c>
      <c r="C1527" s="1">
        <v>44862</v>
      </c>
      <c r="D1527">
        <v>2022</v>
      </c>
      <c r="E1527" t="s">
        <v>214</v>
      </c>
      <c r="F1527" t="s">
        <v>12</v>
      </c>
      <c r="G1527" t="s">
        <v>212</v>
      </c>
      <c r="H1527" t="s">
        <v>195</v>
      </c>
      <c r="I1527">
        <v>3</v>
      </c>
      <c r="J1527">
        <v>660.17</v>
      </c>
      <c r="K1527">
        <v>0</v>
      </c>
      <c r="L1527" t="s">
        <v>201</v>
      </c>
      <c r="M1527">
        <v>1</v>
      </c>
    </row>
    <row r="1528" spans="1:13" x14ac:dyDescent="0.3">
      <c r="A1528" t="s">
        <v>1737</v>
      </c>
      <c r="B1528">
        <v>94</v>
      </c>
      <c r="C1528" s="1">
        <v>44821</v>
      </c>
      <c r="D1528">
        <v>2022</v>
      </c>
      <c r="E1528" t="s">
        <v>198</v>
      </c>
      <c r="F1528" t="s">
        <v>199</v>
      </c>
      <c r="G1528" t="s">
        <v>203</v>
      </c>
      <c r="H1528" t="s">
        <v>195</v>
      </c>
      <c r="I1528">
        <v>6</v>
      </c>
      <c r="J1528">
        <v>7722.47</v>
      </c>
      <c r="K1528">
        <v>1</v>
      </c>
      <c r="L1528" t="s">
        <v>196</v>
      </c>
      <c r="M1528">
        <v>0</v>
      </c>
    </row>
    <row r="1529" spans="1:13" x14ac:dyDescent="0.3">
      <c r="A1529" t="s">
        <v>1738</v>
      </c>
      <c r="B1529">
        <v>94</v>
      </c>
      <c r="C1529" s="1">
        <v>44915</v>
      </c>
      <c r="D1529">
        <v>2022</v>
      </c>
      <c r="E1529" t="s">
        <v>190</v>
      </c>
      <c r="F1529" t="s">
        <v>13</v>
      </c>
      <c r="G1529" t="s">
        <v>203</v>
      </c>
      <c r="H1529" t="s">
        <v>206</v>
      </c>
      <c r="I1529">
        <v>8</v>
      </c>
      <c r="J1529">
        <v>2738.17</v>
      </c>
      <c r="K1529">
        <v>0</v>
      </c>
      <c r="L1529" t="s">
        <v>193</v>
      </c>
      <c r="M1529">
        <v>0</v>
      </c>
    </row>
    <row r="1530" spans="1:13" x14ac:dyDescent="0.3">
      <c r="A1530" t="s">
        <v>1739</v>
      </c>
      <c r="B1530">
        <v>94</v>
      </c>
      <c r="C1530" s="1">
        <v>45231</v>
      </c>
      <c r="D1530">
        <v>2023</v>
      </c>
      <c r="E1530" t="s">
        <v>190</v>
      </c>
      <c r="F1530" t="s">
        <v>13</v>
      </c>
      <c r="G1530" t="s">
        <v>203</v>
      </c>
      <c r="H1530" t="s">
        <v>204</v>
      </c>
      <c r="I1530">
        <v>11</v>
      </c>
      <c r="J1530">
        <v>3538.84</v>
      </c>
      <c r="K1530">
        <v>0</v>
      </c>
      <c r="L1530" t="s">
        <v>215</v>
      </c>
      <c r="M1530">
        <v>0</v>
      </c>
    </row>
    <row r="1531" spans="1:13" x14ac:dyDescent="0.3">
      <c r="A1531" t="s">
        <v>1740</v>
      </c>
      <c r="B1531">
        <v>94</v>
      </c>
      <c r="C1531" s="1">
        <v>45042</v>
      </c>
      <c r="D1531">
        <v>2023</v>
      </c>
      <c r="E1531" t="s">
        <v>219</v>
      </c>
      <c r="F1531" t="s">
        <v>13</v>
      </c>
      <c r="G1531" t="s">
        <v>191</v>
      </c>
      <c r="H1531" t="s">
        <v>195</v>
      </c>
      <c r="I1531">
        <v>6</v>
      </c>
      <c r="J1531">
        <v>2344.09</v>
      </c>
      <c r="K1531">
        <v>0</v>
      </c>
      <c r="L1531" t="s">
        <v>210</v>
      </c>
      <c r="M1531">
        <v>0</v>
      </c>
    </row>
    <row r="1532" spans="1:13" x14ac:dyDescent="0.3">
      <c r="A1532" t="s">
        <v>1741</v>
      </c>
      <c r="B1532">
        <v>94</v>
      </c>
      <c r="C1532" s="1">
        <v>45131</v>
      </c>
      <c r="D1532">
        <v>2023</v>
      </c>
      <c r="E1532" t="s">
        <v>214</v>
      </c>
      <c r="F1532" t="s">
        <v>12</v>
      </c>
      <c r="G1532" t="s">
        <v>200</v>
      </c>
      <c r="H1532" t="s">
        <v>195</v>
      </c>
      <c r="I1532">
        <v>2</v>
      </c>
      <c r="J1532">
        <v>777.97</v>
      </c>
      <c r="K1532">
        <v>0</v>
      </c>
      <c r="L1532" t="s">
        <v>210</v>
      </c>
      <c r="M1532">
        <v>0</v>
      </c>
    </row>
    <row r="1533" spans="1:13" x14ac:dyDescent="0.3">
      <c r="A1533" t="s">
        <v>1742</v>
      </c>
      <c r="B1533">
        <v>94</v>
      </c>
      <c r="C1533" s="1">
        <v>45431</v>
      </c>
      <c r="D1533">
        <v>2024</v>
      </c>
      <c r="E1533" t="s">
        <v>198</v>
      </c>
      <c r="F1533" t="s">
        <v>13</v>
      </c>
      <c r="G1533" t="s">
        <v>203</v>
      </c>
      <c r="H1533" t="s">
        <v>195</v>
      </c>
      <c r="I1533">
        <v>16</v>
      </c>
      <c r="J1533">
        <v>3908.97</v>
      </c>
      <c r="K1533">
        <v>1</v>
      </c>
      <c r="L1533" t="s">
        <v>193</v>
      </c>
      <c r="M1533">
        <v>1</v>
      </c>
    </row>
    <row r="1534" spans="1:13" x14ac:dyDescent="0.3">
      <c r="A1534" t="s">
        <v>1743</v>
      </c>
      <c r="B1534">
        <v>94</v>
      </c>
      <c r="C1534" s="1">
        <v>45582</v>
      </c>
      <c r="D1534">
        <v>2024</v>
      </c>
      <c r="E1534" t="s">
        <v>225</v>
      </c>
      <c r="F1534" t="s">
        <v>199</v>
      </c>
      <c r="G1534" t="s">
        <v>191</v>
      </c>
      <c r="H1534" t="s">
        <v>195</v>
      </c>
      <c r="I1534">
        <v>7</v>
      </c>
      <c r="J1534">
        <v>6677.08</v>
      </c>
      <c r="K1534">
        <v>0</v>
      </c>
      <c r="L1534" t="s">
        <v>193</v>
      </c>
      <c r="M1534">
        <v>0</v>
      </c>
    </row>
    <row r="1535" spans="1:13" x14ac:dyDescent="0.3">
      <c r="A1535" t="s">
        <v>1744</v>
      </c>
      <c r="B1535">
        <v>94</v>
      </c>
      <c r="C1535" s="1">
        <v>45645</v>
      </c>
      <c r="D1535">
        <v>2024</v>
      </c>
      <c r="E1535" t="s">
        <v>190</v>
      </c>
      <c r="F1535" t="s">
        <v>12</v>
      </c>
      <c r="G1535" t="s">
        <v>203</v>
      </c>
      <c r="H1535" t="s">
        <v>204</v>
      </c>
      <c r="I1535">
        <v>5</v>
      </c>
      <c r="J1535">
        <v>1281.03</v>
      </c>
      <c r="K1535">
        <v>0</v>
      </c>
      <c r="L1535" t="s">
        <v>215</v>
      </c>
      <c r="M1535">
        <v>0</v>
      </c>
    </row>
    <row r="1536" spans="1:13" x14ac:dyDescent="0.3">
      <c r="A1536" t="s">
        <v>1745</v>
      </c>
      <c r="B1536">
        <v>94</v>
      </c>
      <c r="C1536" s="1">
        <v>45549</v>
      </c>
      <c r="D1536">
        <v>2024</v>
      </c>
      <c r="E1536" t="s">
        <v>227</v>
      </c>
      <c r="F1536" t="s">
        <v>199</v>
      </c>
      <c r="G1536" t="s">
        <v>203</v>
      </c>
      <c r="H1536" t="s">
        <v>195</v>
      </c>
      <c r="I1536">
        <v>6</v>
      </c>
      <c r="J1536">
        <v>4321.2299999999996</v>
      </c>
      <c r="K1536">
        <v>0</v>
      </c>
      <c r="L1536" t="s">
        <v>201</v>
      </c>
      <c r="M1536">
        <v>0</v>
      </c>
    </row>
    <row r="1537" spans="1:13" x14ac:dyDescent="0.3">
      <c r="A1537" t="s">
        <v>1746</v>
      </c>
      <c r="B1537">
        <v>94</v>
      </c>
      <c r="C1537" s="1">
        <v>45362</v>
      </c>
      <c r="D1537">
        <v>2024</v>
      </c>
      <c r="E1537" t="s">
        <v>227</v>
      </c>
      <c r="F1537" t="s">
        <v>199</v>
      </c>
      <c r="G1537" t="s">
        <v>191</v>
      </c>
      <c r="H1537" t="s">
        <v>192</v>
      </c>
      <c r="I1537">
        <v>8</v>
      </c>
      <c r="J1537">
        <v>7292.11</v>
      </c>
      <c r="K1537">
        <v>0</v>
      </c>
      <c r="L1537" t="s">
        <v>193</v>
      </c>
      <c r="M1537">
        <v>0</v>
      </c>
    </row>
    <row r="1538" spans="1:13" x14ac:dyDescent="0.3">
      <c r="A1538" t="s">
        <v>1747</v>
      </c>
      <c r="B1538">
        <v>94</v>
      </c>
      <c r="C1538" s="1">
        <v>45794</v>
      </c>
      <c r="D1538">
        <v>2025</v>
      </c>
      <c r="E1538" t="s">
        <v>190</v>
      </c>
      <c r="F1538" t="s">
        <v>209</v>
      </c>
      <c r="G1538" t="s">
        <v>212</v>
      </c>
      <c r="H1538" t="s">
        <v>195</v>
      </c>
      <c r="I1538">
        <v>4</v>
      </c>
      <c r="J1538">
        <v>310.38</v>
      </c>
      <c r="K1538">
        <v>0</v>
      </c>
      <c r="L1538" t="s">
        <v>210</v>
      </c>
      <c r="M1538">
        <v>1</v>
      </c>
    </row>
    <row r="1539" spans="1:13" x14ac:dyDescent="0.3">
      <c r="A1539" t="s">
        <v>1748</v>
      </c>
      <c r="B1539">
        <v>94</v>
      </c>
      <c r="C1539" s="1">
        <v>46005</v>
      </c>
      <c r="D1539">
        <v>2025</v>
      </c>
      <c r="E1539" t="s">
        <v>190</v>
      </c>
      <c r="F1539" t="s">
        <v>13</v>
      </c>
      <c r="G1539" t="s">
        <v>212</v>
      </c>
      <c r="H1539" t="s">
        <v>195</v>
      </c>
      <c r="I1539">
        <v>8</v>
      </c>
      <c r="J1539">
        <v>2536.4499999999998</v>
      </c>
      <c r="K1539">
        <v>0</v>
      </c>
      <c r="L1539" t="s">
        <v>201</v>
      </c>
      <c r="M1539">
        <v>1</v>
      </c>
    </row>
    <row r="1540" spans="1:13" x14ac:dyDescent="0.3">
      <c r="A1540" t="s">
        <v>1749</v>
      </c>
      <c r="B1540">
        <v>95</v>
      </c>
      <c r="C1540" s="1">
        <v>44221</v>
      </c>
      <c r="D1540">
        <v>2021</v>
      </c>
      <c r="E1540" t="s">
        <v>198</v>
      </c>
      <c r="F1540" t="s">
        <v>13</v>
      </c>
      <c r="G1540" t="s">
        <v>203</v>
      </c>
      <c r="H1540" t="s">
        <v>195</v>
      </c>
      <c r="I1540">
        <v>15</v>
      </c>
      <c r="J1540">
        <v>2803.25</v>
      </c>
      <c r="K1540">
        <v>1</v>
      </c>
      <c r="L1540" t="s">
        <v>193</v>
      </c>
      <c r="M1540">
        <v>0</v>
      </c>
    </row>
    <row r="1541" spans="1:13" x14ac:dyDescent="0.3">
      <c r="A1541" t="s">
        <v>1750</v>
      </c>
      <c r="B1541">
        <v>95</v>
      </c>
      <c r="C1541" s="1">
        <v>44221</v>
      </c>
      <c r="D1541">
        <v>2021</v>
      </c>
      <c r="E1541" t="s">
        <v>287</v>
      </c>
      <c r="F1541" t="s">
        <v>199</v>
      </c>
      <c r="G1541" t="s">
        <v>191</v>
      </c>
      <c r="H1541" t="s">
        <v>206</v>
      </c>
      <c r="I1541">
        <v>14</v>
      </c>
      <c r="J1541">
        <v>5028.17</v>
      </c>
      <c r="K1541">
        <v>1</v>
      </c>
      <c r="L1541" t="s">
        <v>196</v>
      </c>
      <c r="M1541">
        <v>0</v>
      </c>
    </row>
    <row r="1542" spans="1:13" x14ac:dyDescent="0.3">
      <c r="A1542" t="s">
        <v>1751</v>
      </c>
      <c r="B1542">
        <v>95</v>
      </c>
      <c r="C1542" s="1">
        <v>44299</v>
      </c>
      <c r="D1542">
        <v>2021</v>
      </c>
      <c r="E1542" t="s">
        <v>214</v>
      </c>
      <c r="F1542" t="s">
        <v>199</v>
      </c>
      <c r="G1542" t="s">
        <v>203</v>
      </c>
      <c r="H1542" t="s">
        <v>204</v>
      </c>
      <c r="I1542">
        <v>6</v>
      </c>
      <c r="J1542">
        <v>4046.92</v>
      </c>
      <c r="K1542">
        <v>0</v>
      </c>
      <c r="L1542" t="s">
        <v>193</v>
      </c>
      <c r="M1542">
        <v>0</v>
      </c>
    </row>
    <row r="1543" spans="1:13" x14ac:dyDescent="0.3">
      <c r="A1543" t="s">
        <v>1752</v>
      </c>
      <c r="B1543">
        <v>95</v>
      </c>
      <c r="C1543" s="1">
        <v>44766</v>
      </c>
      <c r="D1543">
        <v>2022</v>
      </c>
      <c r="E1543" t="s">
        <v>190</v>
      </c>
      <c r="F1543" t="s">
        <v>209</v>
      </c>
      <c r="G1543" t="s">
        <v>203</v>
      </c>
      <c r="H1543" t="s">
        <v>195</v>
      </c>
      <c r="I1543">
        <v>5</v>
      </c>
      <c r="J1543">
        <v>577.79999999999995</v>
      </c>
      <c r="K1543">
        <v>0</v>
      </c>
      <c r="L1543" t="s">
        <v>215</v>
      </c>
      <c r="M1543">
        <v>0</v>
      </c>
    </row>
    <row r="1544" spans="1:13" x14ac:dyDescent="0.3">
      <c r="A1544" t="s">
        <v>1753</v>
      </c>
      <c r="B1544">
        <v>95</v>
      </c>
      <c r="C1544" s="1">
        <v>44608</v>
      </c>
      <c r="D1544">
        <v>2022</v>
      </c>
      <c r="E1544" t="s">
        <v>190</v>
      </c>
      <c r="F1544" t="s">
        <v>12</v>
      </c>
      <c r="G1544" t="s">
        <v>200</v>
      </c>
      <c r="H1544" t="s">
        <v>192</v>
      </c>
      <c r="I1544">
        <v>4</v>
      </c>
      <c r="J1544">
        <v>1297.75</v>
      </c>
      <c r="K1544">
        <v>0</v>
      </c>
      <c r="L1544" t="s">
        <v>210</v>
      </c>
      <c r="M1544">
        <v>1</v>
      </c>
    </row>
    <row r="1545" spans="1:13" x14ac:dyDescent="0.3">
      <c r="A1545" t="s">
        <v>1754</v>
      </c>
      <c r="B1545">
        <v>95</v>
      </c>
      <c r="C1545" s="1">
        <v>44788</v>
      </c>
      <c r="D1545">
        <v>2022</v>
      </c>
      <c r="E1545" t="s">
        <v>287</v>
      </c>
      <c r="F1545" t="s">
        <v>209</v>
      </c>
      <c r="G1545" t="s">
        <v>212</v>
      </c>
      <c r="H1545" t="s">
        <v>206</v>
      </c>
      <c r="I1545">
        <v>7</v>
      </c>
      <c r="J1545">
        <v>147</v>
      </c>
      <c r="K1545">
        <v>0</v>
      </c>
      <c r="L1545" t="s">
        <v>215</v>
      </c>
      <c r="M1545">
        <v>1</v>
      </c>
    </row>
    <row r="1546" spans="1:13" x14ac:dyDescent="0.3">
      <c r="A1546" t="s">
        <v>1755</v>
      </c>
      <c r="B1546">
        <v>95</v>
      </c>
      <c r="C1546" s="1">
        <v>44943</v>
      </c>
      <c r="D1546">
        <v>2023</v>
      </c>
      <c r="E1546" t="s">
        <v>219</v>
      </c>
      <c r="F1546" t="s">
        <v>13</v>
      </c>
      <c r="G1546" t="s">
        <v>191</v>
      </c>
      <c r="H1546" t="s">
        <v>195</v>
      </c>
      <c r="I1546">
        <v>7</v>
      </c>
      <c r="J1546">
        <v>3441.15</v>
      </c>
      <c r="K1546">
        <v>0</v>
      </c>
      <c r="L1546" t="s">
        <v>193</v>
      </c>
      <c r="M1546">
        <v>1</v>
      </c>
    </row>
    <row r="1547" spans="1:13" x14ac:dyDescent="0.3">
      <c r="A1547" t="s">
        <v>1756</v>
      </c>
      <c r="B1547">
        <v>95</v>
      </c>
      <c r="C1547" s="1">
        <v>45097</v>
      </c>
      <c r="D1547">
        <v>2023</v>
      </c>
      <c r="E1547" t="s">
        <v>214</v>
      </c>
      <c r="F1547" t="s">
        <v>209</v>
      </c>
      <c r="G1547" t="s">
        <v>212</v>
      </c>
      <c r="H1547" t="s">
        <v>195</v>
      </c>
      <c r="I1547">
        <v>8</v>
      </c>
      <c r="J1547">
        <v>301.45999999999998</v>
      </c>
      <c r="K1547">
        <v>0</v>
      </c>
      <c r="L1547" t="s">
        <v>215</v>
      </c>
      <c r="M1547">
        <v>1</v>
      </c>
    </row>
    <row r="1548" spans="1:13" x14ac:dyDescent="0.3">
      <c r="A1548" t="s">
        <v>1757</v>
      </c>
      <c r="B1548">
        <v>95</v>
      </c>
      <c r="C1548" s="1">
        <v>45031</v>
      </c>
      <c r="D1548">
        <v>2023</v>
      </c>
      <c r="E1548" t="s">
        <v>190</v>
      </c>
      <c r="F1548" t="s">
        <v>13</v>
      </c>
      <c r="G1548" t="s">
        <v>191</v>
      </c>
      <c r="H1548" t="s">
        <v>192</v>
      </c>
      <c r="I1548">
        <v>7</v>
      </c>
      <c r="J1548">
        <v>3886.91</v>
      </c>
      <c r="K1548">
        <v>0</v>
      </c>
      <c r="L1548" t="s">
        <v>196</v>
      </c>
      <c r="M1548">
        <v>0</v>
      </c>
    </row>
    <row r="1549" spans="1:13" x14ac:dyDescent="0.3">
      <c r="A1549" t="s">
        <v>1758</v>
      </c>
      <c r="B1549">
        <v>95</v>
      </c>
      <c r="C1549" s="1">
        <v>45413</v>
      </c>
      <c r="D1549">
        <v>2024</v>
      </c>
      <c r="E1549" t="s">
        <v>198</v>
      </c>
      <c r="F1549" t="s">
        <v>12</v>
      </c>
      <c r="G1549" t="s">
        <v>212</v>
      </c>
      <c r="H1549" t="s">
        <v>206</v>
      </c>
      <c r="I1549">
        <v>7</v>
      </c>
      <c r="J1549">
        <v>350.65</v>
      </c>
      <c r="K1549">
        <v>1</v>
      </c>
      <c r="L1549" t="s">
        <v>201</v>
      </c>
      <c r="M1549">
        <v>1</v>
      </c>
    </row>
    <row r="1550" spans="1:13" x14ac:dyDescent="0.3">
      <c r="A1550" t="s">
        <v>1759</v>
      </c>
      <c r="B1550">
        <v>95</v>
      </c>
      <c r="C1550" s="1">
        <v>45415</v>
      </c>
      <c r="D1550">
        <v>2024</v>
      </c>
      <c r="E1550" t="s">
        <v>198</v>
      </c>
      <c r="F1550" t="s">
        <v>13</v>
      </c>
      <c r="G1550" t="s">
        <v>191</v>
      </c>
      <c r="H1550" t="s">
        <v>204</v>
      </c>
      <c r="I1550">
        <v>2</v>
      </c>
      <c r="J1550">
        <v>1623.88</v>
      </c>
      <c r="K1550">
        <v>1</v>
      </c>
      <c r="L1550" t="s">
        <v>193</v>
      </c>
      <c r="M1550">
        <v>0</v>
      </c>
    </row>
    <row r="1551" spans="1:13" x14ac:dyDescent="0.3">
      <c r="A1551" t="s">
        <v>1760</v>
      </c>
      <c r="B1551">
        <v>95</v>
      </c>
      <c r="C1551" s="1">
        <v>45628</v>
      </c>
      <c r="D1551">
        <v>2024</v>
      </c>
      <c r="E1551" t="s">
        <v>214</v>
      </c>
      <c r="F1551" t="s">
        <v>209</v>
      </c>
      <c r="G1551" t="s">
        <v>212</v>
      </c>
      <c r="H1551" t="s">
        <v>204</v>
      </c>
      <c r="I1551">
        <v>14</v>
      </c>
      <c r="J1551">
        <v>90.01</v>
      </c>
      <c r="K1551">
        <v>0</v>
      </c>
      <c r="L1551" t="s">
        <v>210</v>
      </c>
      <c r="M1551">
        <v>1</v>
      </c>
    </row>
    <row r="1552" spans="1:13" x14ac:dyDescent="0.3">
      <c r="A1552" t="s">
        <v>1761</v>
      </c>
      <c r="B1552">
        <v>95</v>
      </c>
      <c r="C1552" s="1">
        <v>45451</v>
      </c>
      <c r="D1552">
        <v>2024</v>
      </c>
      <c r="E1552" t="s">
        <v>287</v>
      </c>
      <c r="F1552" t="s">
        <v>12</v>
      </c>
      <c r="G1552" t="s">
        <v>212</v>
      </c>
      <c r="H1552" t="s">
        <v>195</v>
      </c>
      <c r="I1552">
        <v>13</v>
      </c>
      <c r="J1552">
        <v>475.37</v>
      </c>
      <c r="K1552">
        <v>0</v>
      </c>
      <c r="L1552" t="s">
        <v>215</v>
      </c>
      <c r="M1552">
        <v>1</v>
      </c>
    </row>
    <row r="1553" spans="1:13" x14ac:dyDescent="0.3">
      <c r="A1553" t="s">
        <v>1762</v>
      </c>
      <c r="B1553">
        <v>95</v>
      </c>
      <c r="C1553" s="1">
        <v>45487</v>
      </c>
      <c r="D1553">
        <v>2024</v>
      </c>
      <c r="E1553" t="s">
        <v>190</v>
      </c>
      <c r="F1553" t="s">
        <v>199</v>
      </c>
      <c r="G1553" t="s">
        <v>200</v>
      </c>
      <c r="H1553" t="s">
        <v>195</v>
      </c>
      <c r="I1553">
        <v>18</v>
      </c>
      <c r="J1553">
        <v>3931.26</v>
      </c>
      <c r="K1553">
        <v>0</v>
      </c>
      <c r="L1553" t="s">
        <v>210</v>
      </c>
      <c r="M1553">
        <v>1</v>
      </c>
    </row>
    <row r="1554" spans="1:13" x14ac:dyDescent="0.3">
      <c r="A1554" t="s">
        <v>1763</v>
      </c>
      <c r="B1554">
        <v>95</v>
      </c>
      <c r="C1554" s="1">
        <v>45324</v>
      </c>
      <c r="D1554">
        <v>2024</v>
      </c>
      <c r="E1554" t="s">
        <v>198</v>
      </c>
      <c r="F1554" t="s">
        <v>13</v>
      </c>
      <c r="G1554" t="s">
        <v>191</v>
      </c>
      <c r="H1554" t="s">
        <v>195</v>
      </c>
      <c r="I1554">
        <v>13</v>
      </c>
      <c r="J1554">
        <v>2264.25</v>
      </c>
      <c r="K1554">
        <v>1</v>
      </c>
      <c r="L1554" t="s">
        <v>201</v>
      </c>
      <c r="M1554">
        <v>0</v>
      </c>
    </row>
    <row r="1555" spans="1:13" x14ac:dyDescent="0.3">
      <c r="A1555" t="s">
        <v>1764</v>
      </c>
      <c r="B1555">
        <v>95</v>
      </c>
      <c r="C1555" s="1">
        <v>45811</v>
      </c>
      <c r="D1555">
        <v>2025</v>
      </c>
      <c r="E1555" t="s">
        <v>198</v>
      </c>
      <c r="F1555" t="s">
        <v>12</v>
      </c>
      <c r="G1555" t="s">
        <v>212</v>
      </c>
      <c r="H1555" t="s">
        <v>192</v>
      </c>
      <c r="I1555">
        <v>8</v>
      </c>
      <c r="J1555">
        <v>809.78</v>
      </c>
      <c r="K1555">
        <v>1</v>
      </c>
      <c r="L1555" t="s">
        <v>210</v>
      </c>
      <c r="M1555">
        <v>1</v>
      </c>
    </row>
    <row r="1556" spans="1:13" x14ac:dyDescent="0.3">
      <c r="A1556" t="s">
        <v>1765</v>
      </c>
      <c r="B1556">
        <v>95</v>
      </c>
      <c r="C1556" s="1">
        <v>45698</v>
      </c>
      <c r="D1556">
        <v>2025</v>
      </c>
      <c r="E1556" t="s">
        <v>219</v>
      </c>
      <c r="F1556" t="s">
        <v>199</v>
      </c>
      <c r="G1556" t="s">
        <v>203</v>
      </c>
      <c r="H1556" t="s">
        <v>206</v>
      </c>
      <c r="I1556">
        <v>11</v>
      </c>
      <c r="J1556">
        <v>4043.65</v>
      </c>
      <c r="K1556">
        <v>1</v>
      </c>
      <c r="L1556" t="s">
        <v>196</v>
      </c>
      <c r="M1556">
        <v>0</v>
      </c>
    </row>
    <row r="1557" spans="1:13" x14ac:dyDescent="0.3">
      <c r="A1557" t="s">
        <v>1766</v>
      </c>
      <c r="B1557">
        <v>95</v>
      </c>
      <c r="C1557" s="1">
        <v>45989</v>
      </c>
      <c r="D1557">
        <v>2025</v>
      </c>
      <c r="E1557" t="s">
        <v>225</v>
      </c>
      <c r="F1557" t="s">
        <v>199</v>
      </c>
      <c r="G1557" t="s">
        <v>200</v>
      </c>
      <c r="H1557" t="s">
        <v>195</v>
      </c>
      <c r="I1557">
        <v>18</v>
      </c>
      <c r="J1557">
        <v>3232.42</v>
      </c>
      <c r="K1557">
        <v>0</v>
      </c>
      <c r="L1557" t="s">
        <v>193</v>
      </c>
      <c r="M1557">
        <v>0</v>
      </c>
    </row>
    <row r="1558" spans="1:13" x14ac:dyDescent="0.3">
      <c r="A1558" t="s">
        <v>1767</v>
      </c>
      <c r="B1558">
        <v>95</v>
      </c>
      <c r="C1558" s="1">
        <v>45674</v>
      </c>
      <c r="D1558">
        <v>2025</v>
      </c>
      <c r="E1558" t="s">
        <v>227</v>
      </c>
      <c r="F1558" t="s">
        <v>13</v>
      </c>
      <c r="G1558" t="s">
        <v>212</v>
      </c>
      <c r="H1558" t="s">
        <v>204</v>
      </c>
      <c r="I1558">
        <v>9</v>
      </c>
      <c r="J1558">
        <v>1541.44</v>
      </c>
      <c r="K1558">
        <v>0</v>
      </c>
      <c r="L1558" t="s">
        <v>215</v>
      </c>
      <c r="M1558">
        <v>1</v>
      </c>
    </row>
    <row r="1559" spans="1:13" x14ac:dyDescent="0.3">
      <c r="A1559" t="s">
        <v>1768</v>
      </c>
      <c r="B1559">
        <v>95</v>
      </c>
      <c r="C1559" s="1">
        <v>45805</v>
      </c>
      <c r="D1559">
        <v>2025</v>
      </c>
      <c r="E1559" t="s">
        <v>198</v>
      </c>
      <c r="F1559" t="s">
        <v>13</v>
      </c>
      <c r="G1559" t="s">
        <v>212</v>
      </c>
      <c r="H1559" t="s">
        <v>195</v>
      </c>
      <c r="I1559">
        <v>2</v>
      </c>
      <c r="J1559">
        <v>3743.88</v>
      </c>
      <c r="K1559">
        <v>1</v>
      </c>
      <c r="L1559" t="s">
        <v>193</v>
      </c>
      <c r="M1559">
        <v>1</v>
      </c>
    </row>
    <row r="1560" spans="1:13" x14ac:dyDescent="0.3">
      <c r="A1560" t="s">
        <v>1769</v>
      </c>
      <c r="B1560">
        <v>95</v>
      </c>
      <c r="C1560" s="1">
        <v>45695</v>
      </c>
      <c r="D1560">
        <v>2025</v>
      </c>
      <c r="E1560" t="s">
        <v>219</v>
      </c>
      <c r="F1560" t="s">
        <v>13</v>
      </c>
      <c r="G1560" t="s">
        <v>203</v>
      </c>
      <c r="H1560" t="s">
        <v>206</v>
      </c>
      <c r="I1560">
        <v>14</v>
      </c>
      <c r="J1560">
        <v>1270.8699999999999</v>
      </c>
      <c r="K1560">
        <v>1</v>
      </c>
      <c r="L1560" t="s">
        <v>193</v>
      </c>
      <c r="M1560">
        <v>0</v>
      </c>
    </row>
    <row r="1561" spans="1:13" x14ac:dyDescent="0.3">
      <c r="A1561" t="s">
        <v>1770</v>
      </c>
      <c r="B1561">
        <v>96</v>
      </c>
      <c r="C1561" s="1">
        <v>44418</v>
      </c>
      <c r="D1561">
        <v>2021</v>
      </c>
      <c r="E1561" t="s">
        <v>198</v>
      </c>
      <c r="F1561" t="s">
        <v>13</v>
      </c>
      <c r="G1561" t="s">
        <v>200</v>
      </c>
      <c r="H1561" t="s">
        <v>195</v>
      </c>
      <c r="I1561">
        <v>11</v>
      </c>
      <c r="J1561">
        <v>1787.37</v>
      </c>
      <c r="K1561">
        <v>1</v>
      </c>
      <c r="L1561" t="s">
        <v>201</v>
      </c>
      <c r="M1561">
        <v>1</v>
      </c>
    </row>
    <row r="1562" spans="1:13" x14ac:dyDescent="0.3">
      <c r="A1562" t="s">
        <v>1771</v>
      </c>
      <c r="B1562">
        <v>96</v>
      </c>
      <c r="C1562" s="1">
        <v>44506</v>
      </c>
      <c r="D1562">
        <v>2021</v>
      </c>
      <c r="E1562" t="s">
        <v>287</v>
      </c>
      <c r="F1562" t="s">
        <v>209</v>
      </c>
      <c r="G1562" t="s">
        <v>212</v>
      </c>
      <c r="H1562" t="s">
        <v>192</v>
      </c>
      <c r="I1562">
        <v>7</v>
      </c>
      <c r="J1562">
        <v>502.98</v>
      </c>
      <c r="K1562">
        <v>0</v>
      </c>
      <c r="L1562" t="s">
        <v>210</v>
      </c>
      <c r="M1562">
        <v>1</v>
      </c>
    </row>
    <row r="1563" spans="1:13" x14ac:dyDescent="0.3">
      <c r="A1563" t="s">
        <v>1772</v>
      </c>
      <c r="B1563">
        <v>96</v>
      </c>
      <c r="C1563" s="1">
        <v>44888</v>
      </c>
      <c r="D1563">
        <v>2022</v>
      </c>
      <c r="E1563" t="s">
        <v>225</v>
      </c>
      <c r="F1563" t="s">
        <v>12</v>
      </c>
      <c r="G1563" t="s">
        <v>212</v>
      </c>
      <c r="H1563" t="s">
        <v>192</v>
      </c>
      <c r="I1563">
        <v>11</v>
      </c>
      <c r="J1563">
        <v>504.73</v>
      </c>
      <c r="K1563">
        <v>0</v>
      </c>
      <c r="L1563" t="s">
        <v>215</v>
      </c>
      <c r="M1563">
        <v>1</v>
      </c>
    </row>
    <row r="1564" spans="1:13" x14ac:dyDescent="0.3">
      <c r="A1564" t="s">
        <v>1773</v>
      </c>
      <c r="B1564">
        <v>96</v>
      </c>
      <c r="C1564" s="1">
        <v>44609</v>
      </c>
      <c r="D1564">
        <v>2022</v>
      </c>
      <c r="E1564" t="s">
        <v>227</v>
      </c>
      <c r="F1564" t="s">
        <v>12</v>
      </c>
      <c r="G1564" t="s">
        <v>203</v>
      </c>
      <c r="H1564" t="s">
        <v>195</v>
      </c>
      <c r="I1564">
        <v>10</v>
      </c>
      <c r="J1564">
        <v>773.01</v>
      </c>
      <c r="K1564">
        <v>0</v>
      </c>
      <c r="L1564" t="s">
        <v>210</v>
      </c>
      <c r="M1564">
        <v>0</v>
      </c>
    </row>
    <row r="1565" spans="1:13" x14ac:dyDescent="0.3">
      <c r="A1565" t="s">
        <v>1774</v>
      </c>
      <c r="B1565">
        <v>96</v>
      </c>
      <c r="C1565" s="1">
        <v>44851</v>
      </c>
      <c r="D1565">
        <v>2022</v>
      </c>
      <c r="E1565" t="s">
        <v>225</v>
      </c>
      <c r="F1565" t="s">
        <v>199</v>
      </c>
      <c r="G1565" t="s">
        <v>203</v>
      </c>
      <c r="H1565" t="s">
        <v>192</v>
      </c>
      <c r="I1565">
        <v>7</v>
      </c>
      <c r="J1565">
        <v>5909.32</v>
      </c>
      <c r="K1565">
        <v>1</v>
      </c>
      <c r="L1565" t="s">
        <v>196</v>
      </c>
      <c r="M1565">
        <v>1</v>
      </c>
    </row>
    <row r="1566" spans="1:13" x14ac:dyDescent="0.3">
      <c r="A1566" t="s">
        <v>1775</v>
      </c>
      <c r="B1566">
        <v>96</v>
      </c>
      <c r="C1566" s="1">
        <v>45003</v>
      </c>
      <c r="D1566">
        <v>2023</v>
      </c>
      <c r="E1566" t="s">
        <v>225</v>
      </c>
      <c r="F1566" t="s">
        <v>199</v>
      </c>
      <c r="G1566" t="s">
        <v>191</v>
      </c>
      <c r="H1566" t="s">
        <v>204</v>
      </c>
      <c r="I1566">
        <v>4</v>
      </c>
      <c r="J1566">
        <v>5033.9399999999996</v>
      </c>
      <c r="K1566">
        <v>0</v>
      </c>
      <c r="L1566" t="s">
        <v>201</v>
      </c>
      <c r="M1566">
        <v>0</v>
      </c>
    </row>
    <row r="1567" spans="1:13" x14ac:dyDescent="0.3">
      <c r="A1567" t="s">
        <v>1776</v>
      </c>
      <c r="B1567">
        <v>96</v>
      </c>
      <c r="C1567" s="1">
        <v>44976</v>
      </c>
      <c r="D1567">
        <v>2023</v>
      </c>
      <c r="E1567" t="s">
        <v>198</v>
      </c>
      <c r="F1567" t="s">
        <v>13</v>
      </c>
      <c r="G1567" t="s">
        <v>191</v>
      </c>
      <c r="H1567" t="s">
        <v>204</v>
      </c>
      <c r="I1567">
        <v>14</v>
      </c>
      <c r="J1567">
        <v>3674.59</v>
      </c>
      <c r="K1567">
        <v>1</v>
      </c>
      <c r="L1567" t="s">
        <v>215</v>
      </c>
      <c r="M1567">
        <v>1</v>
      </c>
    </row>
    <row r="1568" spans="1:13" x14ac:dyDescent="0.3">
      <c r="A1568" t="s">
        <v>1777</v>
      </c>
      <c r="B1568">
        <v>96</v>
      </c>
      <c r="C1568" s="1">
        <v>45172</v>
      </c>
      <c r="D1568">
        <v>2023</v>
      </c>
      <c r="E1568" t="s">
        <v>198</v>
      </c>
      <c r="F1568" t="s">
        <v>13</v>
      </c>
      <c r="G1568" t="s">
        <v>203</v>
      </c>
      <c r="H1568" t="s">
        <v>192</v>
      </c>
      <c r="I1568">
        <v>11</v>
      </c>
      <c r="J1568">
        <v>3067.41</v>
      </c>
      <c r="K1568">
        <v>1</v>
      </c>
      <c r="L1568" t="s">
        <v>201</v>
      </c>
      <c r="M1568">
        <v>1</v>
      </c>
    </row>
    <row r="1569" spans="1:13" x14ac:dyDescent="0.3">
      <c r="A1569" t="s">
        <v>1778</v>
      </c>
      <c r="B1569">
        <v>96</v>
      </c>
      <c r="C1569" s="1">
        <v>45318</v>
      </c>
      <c r="D1569">
        <v>2024</v>
      </c>
      <c r="E1569" t="s">
        <v>287</v>
      </c>
      <c r="F1569" t="s">
        <v>12</v>
      </c>
      <c r="G1569" t="s">
        <v>203</v>
      </c>
      <c r="H1569" t="s">
        <v>192</v>
      </c>
      <c r="I1569">
        <v>6</v>
      </c>
      <c r="J1569">
        <v>618.99</v>
      </c>
      <c r="K1569">
        <v>0</v>
      </c>
      <c r="L1569" t="s">
        <v>210</v>
      </c>
      <c r="M1569">
        <v>0</v>
      </c>
    </row>
    <row r="1570" spans="1:13" x14ac:dyDescent="0.3">
      <c r="A1570" t="s">
        <v>1779</v>
      </c>
      <c r="B1570">
        <v>96</v>
      </c>
      <c r="C1570" s="1">
        <v>45390</v>
      </c>
      <c r="D1570">
        <v>2024</v>
      </c>
      <c r="E1570" t="s">
        <v>198</v>
      </c>
      <c r="F1570" t="s">
        <v>199</v>
      </c>
      <c r="G1570" t="s">
        <v>203</v>
      </c>
      <c r="H1570" t="s">
        <v>195</v>
      </c>
      <c r="I1570">
        <v>5</v>
      </c>
      <c r="J1570">
        <v>2796.86</v>
      </c>
      <c r="K1570">
        <v>1</v>
      </c>
      <c r="L1570" t="s">
        <v>201</v>
      </c>
      <c r="M1570">
        <v>0</v>
      </c>
    </row>
    <row r="1571" spans="1:13" x14ac:dyDescent="0.3">
      <c r="A1571" t="s">
        <v>1780</v>
      </c>
      <c r="B1571">
        <v>96</v>
      </c>
      <c r="C1571" s="1">
        <v>45422</v>
      </c>
      <c r="D1571">
        <v>2024</v>
      </c>
      <c r="E1571" t="s">
        <v>198</v>
      </c>
      <c r="F1571" t="s">
        <v>13</v>
      </c>
      <c r="G1571" t="s">
        <v>191</v>
      </c>
      <c r="H1571" t="s">
        <v>195</v>
      </c>
      <c r="I1571">
        <v>11</v>
      </c>
      <c r="J1571">
        <v>3664</v>
      </c>
      <c r="K1571">
        <v>1</v>
      </c>
      <c r="L1571" t="s">
        <v>193</v>
      </c>
      <c r="M1571">
        <v>0</v>
      </c>
    </row>
    <row r="1572" spans="1:13" x14ac:dyDescent="0.3">
      <c r="A1572" t="s">
        <v>1781</v>
      </c>
      <c r="B1572">
        <v>96</v>
      </c>
      <c r="C1572" s="1">
        <v>45454</v>
      </c>
      <c r="D1572">
        <v>2024</v>
      </c>
      <c r="E1572" t="s">
        <v>190</v>
      </c>
      <c r="F1572" t="s">
        <v>13</v>
      </c>
      <c r="G1572" t="s">
        <v>191</v>
      </c>
      <c r="H1572" t="s">
        <v>195</v>
      </c>
      <c r="I1572">
        <v>10</v>
      </c>
      <c r="J1572">
        <v>3659.04</v>
      </c>
      <c r="K1572">
        <v>1</v>
      </c>
      <c r="L1572" t="s">
        <v>201</v>
      </c>
      <c r="M1572">
        <v>1</v>
      </c>
    </row>
    <row r="1573" spans="1:13" x14ac:dyDescent="0.3">
      <c r="A1573" t="s">
        <v>1782</v>
      </c>
      <c r="B1573">
        <v>96</v>
      </c>
      <c r="C1573" s="1">
        <v>45730</v>
      </c>
      <c r="D1573">
        <v>2025</v>
      </c>
      <c r="E1573" t="s">
        <v>198</v>
      </c>
      <c r="F1573" t="s">
        <v>13</v>
      </c>
      <c r="G1573" t="s">
        <v>203</v>
      </c>
      <c r="H1573" t="s">
        <v>195</v>
      </c>
      <c r="I1573">
        <v>12</v>
      </c>
      <c r="J1573">
        <v>1920.36</v>
      </c>
      <c r="K1573">
        <v>1</v>
      </c>
      <c r="L1573" t="s">
        <v>215</v>
      </c>
      <c r="M1573">
        <v>1</v>
      </c>
    </row>
    <row r="1574" spans="1:13" x14ac:dyDescent="0.3">
      <c r="A1574" t="s">
        <v>1783</v>
      </c>
      <c r="B1574">
        <v>96</v>
      </c>
      <c r="C1574" s="1">
        <v>45689</v>
      </c>
      <c r="D1574">
        <v>2025</v>
      </c>
      <c r="E1574" t="s">
        <v>227</v>
      </c>
      <c r="F1574" t="s">
        <v>13</v>
      </c>
      <c r="G1574" t="s">
        <v>212</v>
      </c>
      <c r="H1574" t="s">
        <v>195</v>
      </c>
      <c r="I1574">
        <v>14</v>
      </c>
      <c r="J1574">
        <v>1279.8499999999999</v>
      </c>
      <c r="K1574">
        <v>0</v>
      </c>
      <c r="L1574" t="s">
        <v>193</v>
      </c>
      <c r="M1574">
        <v>1</v>
      </c>
    </row>
    <row r="1575" spans="1:13" x14ac:dyDescent="0.3">
      <c r="A1575" t="s">
        <v>1784</v>
      </c>
      <c r="B1575">
        <v>96</v>
      </c>
      <c r="C1575" s="1">
        <v>46015</v>
      </c>
      <c r="D1575">
        <v>2025</v>
      </c>
      <c r="E1575" t="s">
        <v>214</v>
      </c>
      <c r="F1575" t="s">
        <v>13</v>
      </c>
      <c r="G1575" t="s">
        <v>191</v>
      </c>
      <c r="H1575" t="s">
        <v>192</v>
      </c>
      <c r="I1575">
        <v>17</v>
      </c>
      <c r="J1575">
        <v>1424.19</v>
      </c>
      <c r="K1575">
        <v>1</v>
      </c>
      <c r="L1575" t="s">
        <v>193</v>
      </c>
      <c r="M1575">
        <v>0</v>
      </c>
    </row>
    <row r="1576" spans="1:13" x14ac:dyDescent="0.3">
      <c r="A1576" t="s">
        <v>1785</v>
      </c>
      <c r="B1576">
        <v>97</v>
      </c>
      <c r="C1576" s="1">
        <v>44526</v>
      </c>
      <c r="D1576">
        <v>2021</v>
      </c>
      <c r="E1576" t="s">
        <v>287</v>
      </c>
      <c r="F1576" t="s">
        <v>12</v>
      </c>
      <c r="G1576" t="s">
        <v>212</v>
      </c>
      <c r="H1576" t="s">
        <v>192</v>
      </c>
      <c r="I1576">
        <v>2</v>
      </c>
      <c r="J1576">
        <v>1223.8699999999999</v>
      </c>
      <c r="K1576">
        <v>0</v>
      </c>
      <c r="L1576" t="s">
        <v>193</v>
      </c>
      <c r="M1576">
        <v>1</v>
      </c>
    </row>
    <row r="1577" spans="1:13" x14ac:dyDescent="0.3">
      <c r="A1577" t="s">
        <v>1786</v>
      </c>
      <c r="B1577">
        <v>97</v>
      </c>
      <c r="C1577" s="1">
        <v>44307</v>
      </c>
      <c r="D1577">
        <v>2021</v>
      </c>
      <c r="E1577" t="s">
        <v>198</v>
      </c>
      <c r="F1577" t="s">
        <v>13</v>
      </c>
      <c r="G1577" t="s">
        <v>191</v>
      </c>
      <c r="H1577" t="s">
        <v>195</v>
      </c>
      <c r="I1577">
        <v>5</v>
      </c>
      <c r="J1577">
        <v>1011.65</v>
      </c>
      <c r="K1577">
        <v>1</v>
      </c>
      <c r="L1577" t="s">
        <v>215</v>
      </c>
      <c r="M1577">
        <v>0</v>
      </c>
    </row>
    <row r="1578" spans="1:13" x14ac:dyDescent="0.3">
      <c r="A1578" t="s">
        <v>1787</v>
      </c>
      <c r="B1578">
        <v>97</v>
      </c>
      <c r="C1578" s="1">
        <v>44521</v>
      </c>
      <c r="D1578">
        <v>2021</v>
      </c>
      <c r="E1578" t="s">
        <v>287</v>
      </c>
      <c r="F1578" t="s">
        <v>199</v>
      </c>
      <c r="G1578" t="s">
        <v>200</v>
      </c>
      <c r="H1578" t="s">
        <v>195</v>
      </c>
      <c r="I1578">
        <v>13</v>
      </c>
      <c r="J1578">
        <v>3301.72</v>
      </c>
      <c r="K1578">
        <v>1</v>
      </c>
      <c r="L1578" t="s">
        <v>193</v>
      </c>
      <c r="M1578">
        <v>0</v>
      </c>
    </row>
    <row r="1579" spans="1:13" x14ac:dyDescent="0.3">
      <c r="A1579" t="s">
        <v>1788</v>
      </c>
      <c r="B1579">
        <v>97</v>
      </c>
      <c r="C1579" s="1">
        <v>44815</v>
      </c>
      <c r="D1579">
        <v>2022</v>
      </c>
      <c r="E1579" t="s">
        <v>219</v>
      </c>
      <c r="F1579" t="s">
        <v>13</v>
      </c>
      <c r="G1579" t="s">
        <v>203</v>
      </c>
      <c r="H1579" t="s">
        <v>195</v>
      </c>
      <c r="I1579">
        <v>11</v>
      </c>
      <c r="J1579">
        <v>2389.2399999999998</v>
      </c>
      <c r="K1579">
        <v>0</v>
      </c>
      <c r="L1579" t="s">
        <v>201</v>
      </c>
      <c r="M1579">
        <v>0</v>
      </c>
    </row>
    <row r="1580" spans="1:13" x14ac:dyDescent="0.3">
      <c r="A1580" t="s">
        <v>1789</v>
      </c>
      <c r="B1580">
        <v>97</v>
      </c>
      <c r="C1580" s="1">
        <v>44718</v>
      </c>
      <c r="D1580">
        <v>2022</v>
      </c>
      <c r="E1580" t="s">
        <v>198</v>
      </c>
      <c r="F1580" t="s">
        <v>199</v>
      </c>
      <c r="G1580" t="s">
        <v>203</v>
      </c>
      <c r="H1580" t="s">
        <v>192</v>
      </c>
      <c r="I1580">
        <v>1</v>
      </c>
      <c r="J1580">
        <v>7365.21</v>
      </c>
      <c r="K1580">
        <v>1</v>
      </c>
      <c r="L1580" t="s">
        <v>210</v>
      </c>
      <c r="M1580">
        <v>1</v>
      </c>
    </row>
    <row r="1581" spans="1:13" x14ac:dyDescent="0.3">
      <c r="A1581" t="s">
        <v>1790</v>
      </c>
      <c r="B1581">
        <v>97</v>
      </c>
      <c r="C1581" s="1">
        <v>44882</v>
      </c>
      <c r="D1581">
        <v>2022</v>
      </c>
      <c r="E1581" t="s">
        <v>225</v>
      </c>
      <c r="F1581" t="s">
        <v>199</v>
      </c>
      <c r="G1581" t="s">
        <v>200</v>
      </c>
      <c r="H1581" t="s">
        <v>192</v>
      </c>
      <c r="I1581">
        <v>4</v>
      </c>
      <c r="J1581">
        <v>3454.26</v>
      </c>
      <c r="K1581">
        <v>0</v>
      </c>
      <c r="L1581" t="s">
        <v>196</v>
      </c>
      <c r="M1581">
        <v>0</v>
      </c>
    </row>
    <row r="1582" spans="1:13" x14ac:dyDescent="0.3">
      <c r="A1582" t="s">
        <v>1791</v>
      </c>
      <c r="B1582">
        <v>97</v>
      </c>
      <c r="C1582" s="1">
        <v>44740</v>
      </c>
      <c r="D1582">
        <v>2022</v>
      </c>
      <c r="E1582" t="s">
        <v>225</v>
      </c>
      <c r="F1582" t="s">
        <v>13</v>
      </c>
      <c r="G1582" t="s">
        <v>212</v>
      </c>
      <c r="H1582" t="s">
        <v>204</v>
      </c>
      <c r="I1582">
        <v>7</v>
      </c>
      <c r="J1582">
        <v>3077.77</v>
      </c>
      <c r="K1582">
        <v>0</v>
      </c>
      <c r="L1582" t="s">
        <v>196</v>
      </c>
      <c r="M1582">
        <v>1</v>
      </c>
    </row>
    <row r="1583" spans="1:13" x14ac:dyDescent="0.3">
      <c r="A1583" t="s">
        <v>1792</v>
      </c>
      <c r="B1583">
        <v>97</v>
      </c>
      <c r="C1583" s="1">
        <v>44914</v>
      </c>
      <c r="D1583">
        <v>2022</v>
      </c>
      <c r="E1583" t="s">
        <v>227</v>
      </c>
      <c r="F1583" t="s">
        <v>199</v>
      </c>
      <c r="G1583" t="s">
        <v>212</v>
      </c>
      <c r="H1583" t="s">
        <v>195</v>
      </c>
      <c r="I1583">
        <v>8</v>
      </c>
      <c r="J1583">
        <v>5714.33</v>
      </c>
      <c r="K1583">
        <v>0</v>
      </c>
      <c r="L1583" t="s">
        <v>210</v>
      </c>
      <c r="M1583">
        <v>1</v>
      </c>
    </row>
    <row r="1584" spans="1:13" x14ac:dyDescent="0.3">
      <c r="A1584" t="s">
        <v>1793</v>
      </c>
      <c r="B1584">
        <v>97</v>
      </c>
      <c r="C1584" s="1">
        <v>45018</v>
      </c>
      <c r="D1584">
        <v>2023</v>
      </c>
      <c r="E1584" t="s">
        <v>198</v>
      </c>
      <c r="F1584" t="s">
        <v>199</v>
      </c>
      <c r="G1584" t="s">
        <v>203</v>
      </c>
      <c r="H1584" t="s">
        <v>206</v>
      </c>
      <c r="I1584">
        <v>10</v>
      </c>
      <c r="J1584">
        <v>5331.53</v>
      </c>
      <c r="K1584">
        <v>1</v>
      </c>
      <c r="L1584" t="s">
        <v>201</v>
      </c>
      <c r="M1584">
        <v>0</v>
      </c>
    </row>
    <row r="1585" spans="1:13" x14ac:dyDescent="0.3">
      <c r="A1585" t="s">
        <v>1794</v>
      </c>
      <c r="B1585">
        <v>97</v>
      </c>
      <c r="C1585" s="1">
        <v>45273</v>
      </c>
      <c r="D1585">
        <v>2023</v>
      </c>
      <c r="E1585" t="s">
        <v>219</v>
      </c>
      <c r="F1585" t="s">
        <v>199</v>
      </c>
      <c r="G1585" t="s">
        <v>191</v>
      </c>
      <c r="H1585" t="s">
        <v>192</v>
      </c>
      <c r="I1585">
        <v>8</v>
      </c>
      <c r="J1585">
        <v>4641.4399999999996</v>
      </c>
      <c r="K1585">
        <v>0</v>
      </c>
      <c r="L1585" t="s">
        <v>201</v>
      </c>
      <c r="M1585">
        <v>0</v>
      </c>
    </row>
    <row r="1586" spans="1:13" x14ac:dyDescent="0.3">
      <c r="A1586" t="s">
        <v>1795</v>
      </c>
      <c r="B1586">
        <v>97</v>
      </c>
      <c r="C1586" s="1">
        <v>45012</v>
      </c>
      <c r="D1586">
        <v>2023</v>
      </c>
      <c r="E1586" t="s">
        <v>190</v>
      </c>
      <c r="F1586" t="s">
        <v>199</v>
      </c>
      <c r="G1586" t="s">
        <v>191</v>
      </c>
      <c r="H1586" t="s">
        <v>195</v>
      </c>
      <c r="I1586">
        <v>15</v>
      </c>
      <c r="J1586">
        <v>2550.17</v>
      </c>
      <c r="K1586">
        <v>0</v>
      </c>
      <c r="L1586" t="s">
        <v>196</v>
      </c>
      <c r="M1586">
        <v>0</v>
      </c>
    </row>
    <row r="1587" spans="1:13" x14ac:dyDescent="0.3">
      <c r="A1587" t="s">
        <v>1796</v>
      </c>
      <c r="B1587">
        <v>97</v>
      </c>
      <c r="C1587" s="1">
        <v>45141</v>
      </c>
      <c r="D1587">
        <v>2023</v>
      </c>
      <c r="E1587" t="s">
        <v>219</v>
      </c>
      <c r="F1587" t="s">
        <v>199</v>
      </c>
      <c r="G1587" t="s">
        <v>191</v>
      </c>
      <c r="H1587" t="s">
        <v>204</v>
      </c>
      <c r="I1587">
        <v>13</v>
      </c>
      <c r="J1587">
        <v>6887.01</v>
      </c>
      <c r="K1587">
        <v>1</v>
      </c>
      <c r="L1587" t="s">
        <v>193</v>
      </c>
      <c r="M1587">
        <v>0</v>
      </c>
    </row>
    <row r="1588" spans="1:13" x14ac:dyDescent="0.3">
      <c r="A1588" t="s">
        <v>1797</v>
      </c>
      <c r="B1588">
        <v>97</v>
      </c>
      <c r="C1588" s="1">
        <v>45279</v>
      </c>
      <c r="D1588">
        <v>2023</v>
      </c>
      <c r="E1588" t="s">
        <v>214</v>
      </c>
      <c r="F1588" t="s">
        <v>13</v>
      </c>
      <c r="G1588" t="s">
        <v>212</v>
      </c>
      <c r="H1588" t="s">
        <v>195</v>
      </c>
      <c r="I1588">
        <v>6</v>
      </c>
      <c r="J1588">
        <v>1143.3399999999999</v>
      </c>
      <c r="K1588">
        <v>1</v>
      </c>
      <c r="L1588" t="s">
        <v>193</v>
      </c>
      <c r="M1588">
        <v>1</v>
      </c>
    </row>
    <row r="1589" spans="1:13" x14ac:dyDescent="0.3">
      <c r="A1589" t="s">
        <v>1798</v>
      </c>
      <c r="B1589">
        <v>97</v>
      </c>
      <c r="C1589" s="1">
        <v>45543</v>
      </c>
      <c r="D1589">
        <v>2024</v>
      </c>
      <c r="E1589" t="s">
        <v>219</v>
      </c>
      <c r="F1589" t="s">
        <v>199</v>
      </c>
      <c r="G1589" t="s">
        <v>191</v>
      </c>
      <c r="H1589" t="s">
        <v>195</v>
      </c>
      <c r="I1589">
        <v>11</v>
      </c>
      <c r="J1589">
        <v>3682.79</v>
      </c>
      <c r="K1589">
        <v>0</v>
      </c>
      <c r="L1589" t="s">
        <v>193</v>
      </c>
      <c r="M1589">
        <v>1</v>
      </c>
    </row>
    <row r="1590" spans="1:13" x14ac:dyDescent="0.3">
      <c r="A1590" t="s">
        <v>1799</v>
      </c>
      <c r="B1590">
        <v>97</v>
      </c>
      <c r="C1590" s="1">
        <v>45373</v>
      </c>
      <c r="D1590">
        <v>2024</v>
      </c>
      <c r="E1590" t="s">
        <v>190</v>
      </c>
      <c r="F1590" t="s">
        <v>13</v>
      </c>
      <c r="G1590" t="s">
        <v>191</v>
      </c>
      <c r="H1590" t="s">
        <v>206</v>
      </c>
      <c r="I1590">
        <v>16</v>
      </c>
      <c r="J1590">
        <v>2531.6</v>
      </c>
      <c r="K1590">
        <v>0</v>
      </c>
      <c r="L1590" t="s">
        <v>201</v>
      </c>
      <c r="M1590">
        <v>0</v>
      </c>
    </row>
    <row r="1591" spans="1:13" x14ac:dyDescent="0.3">
      <c r="A1591" t="s">
        <v>1800</v>
      </c>
      <c r="B1591">
        <v>97</v>
      </c>
      <c r="C1591" s="1">
        <v>45500</v>
      </c>
      <c r="D1591">
        <v>2024</v>
      </c>
      <c r="E1591" t="s">
        <v>190</v>
      </c>
      <c r="F1591" t="s">
        <v>12</v>
      </c>
      <c r="G1591" t="s">
        <v>212</v>
      </c>
      <c r="H1591" t="s">
        <v>204</v>
      </c>
      <c r="I1591">
        <v>18</v>
      </c>
      <c r="J1591">
        <v>458.5</v>
      </c>
      <c r="K1591">
        <v>0</v>
      </c>
      <c r="L1591" t="s">
        <v>193</v>
      </c>
      <c r="M1591">
        <v>1</v>
      </c>
    </row>
    <row r="1592" spans="1:13" x14ac:dyDescent="0.3">
      <c r="A1592" t="s">
        <v>1801</v>
      </c>
      <c r="B1592">
        <v>97</v>
      </c>
      <c r="C1592" s="1">
        <v>45557</v>
      </c>
      <c r="D1592">
        <v>2024</v>
      </c>
      <c r="E1592" t="s">
        <v>214</v>
      </c>
      <c r="F1592" t="s">
        <v>199</v>
      </c>
      <c r="G1592" t="s">
        <v>203</v>
      </c>
      <c r="H1592" t="s">
        <v>195</v>
      </c>
      <c r="I1592">
        <v>15</v>
      </c>
      <c r="J1592">
        <v>5450.87</v>
      </c>
      <c r="K1592">
        <v>0</v>
      </c>
      <c r="L1592" t="s">
        <v>201</v>
      </c>
      <c r="M1592">
        <v>0</v>
      </c>
    </row>
    <row r="1593" spans="1:13" x14ac:dyDescent="0.3">
      <c r="A1593" t="s">
        <v>1802</v>
      </c>
      <c r="B1593">
        <v>97</v>
      </c>
      <c r="C1593" s="1">
        <v>45759</v>
      </c>
      <c r="D1593">
        <v>2025</v>
      </c>
      <c r="E1593" t="s">
        <v>198</v>
      </c>
      <c r="F1593" t="s">
        <v>199</v>
      </c>
      <c r="G1593" t="s">
        <v>203</v>
      </c>
      <c r="H1593" t="s">
        <v>192</v>
      </c>
      <c r="I1593">
        <v>10</v>
      </c>
      <c r="J1593">
        <v>6248.3</v>
      </c>
      <c r="K1593">
        <v>1</v>
      </c>
      <c r="L1593" t="s">
        <v>196</v>
      </c>
      <c r="M1593">
        <v>0</v>
      </c>
    </row>
    <row r="1594" spans="1:13" x14ac:dyDescent="0.3">
      <c r="A1594" t="s">
        <v>1803</v>
      </c>
      <c r="B1594">
        <v>97</v>
      </c>
      <c r="C1594" s="1">
        <v>45886</v>
      </c>
      <c r="D1594">
        <v>2025</v>
      </c>
      <c r="E1594" t="s">
        <v>198</v>
      </c>
      <c r="F1594" t="s">
        <v>199</v>
      </c>
      <c r="G1594" t="s">
        <v>203</v>
      </c>
      <c r="H1594" t="s">
        <v>192</v>
      </c>
      <c r="I1594">
        <v>15</v>
      </c>
      <c r="J1594">
        <v>3703.46</v>
      </c>
      <c r="K1594">
        <v>1</v>
      </c>
      <c r="L1594" t="s">
        <v>196</v>
      </c>
      <c r="M1594">
        <v>0</v>
      </c>
    </row>
    <row r="1595" spans="1:13" x14ac:dyDescent="0.3">
      <c r="A1595" t="s">
        <v>1804</v>
      </c>
      <c r="B1595">
        <v>97</v>
      </c>
      <c r="C1595" s="1">
        <v>45946</v>
      </c>
      <c r="D1595">
        <v>2025</v>
      </c>
      <c r="E1595" t="s">
        <v>227</v>
      </c>
      <c r="F1595" t="s">
        <v>12</v>
      </c>
      <c r="G1595" t="s">
        <v>203</v>
      </c>
      <c r="H1595" t="s">
        <v>195</v>
      </c>
      <c r="I1595">
        <v>13</v>
      </c>
      <c r="J1595">
        <v>1234.1099999999999</v>
      </c>
      <c r="K1595">
        <v>1</v>
      </c>
      <c r="L1595" t="s">
        <v>215</v>
      </c>
      <c r="M1595">
        <v>1</v>
      </c>
    </row>
    <row r="1596" spans="1:13" x14ac:dyDescent="0.3">
      <c r="A1596" t="s">
        <v>1805</v>
      </c>
      <c r="B1596">
        <v>97</v>
      </c>
      <c r="C1596" s="1">
        <v>46011</v>
      </c>
      <c r="D1596">
        <v>2025</v>
      </c>
      <c r="E1596" t="s">
        <v>219</v>
      </c>
      <c r="F1596" t="s">
        <v>13</v>
      </c>
      <c r="G1596" t="s">
        <v>191</v>
      </c>
      <c r="H1596" t="s">
        <v>192</v>
      </c>
      <c r="I1596">
        <v>8</v>
      </c>
      <c r="J1596">
        <v>2908.34</v>
      </c>
      <c r="K1596">
        <v>1</v>
      </c>
      <c r="L1596" t="s">
        <v>215</v>
      </c>
      <c r="M1596">
        <v>1</v>
      </c>
    </row>
    <row r="1597" spans="1:13" x14ac:dyDescent="0.3">
      <c r="A1597" t="s">
        <v>1806</v>
      </c>
      <c r="B1597">
        <v>98</v>
      </c>
      <c r="C1597" s="1">
        <v>44392</v>
      </c>
      <c r="D1597">
        <v>2021</v>
      </c>
      <c r="E1597" t="s">
        <v>225</v>
      </c>
      <c r="F1597" t="s">
        <v>209</v>
      </c>
      <c r="G1597" t="s">
        <v>212</v>
      </c>
      <c r="H1597" t="s">
        <v>206</v>
      </c>
      <c r="I1597">
        <v>4</v>
      </c>
      <c r="J1597">
        <v>370.26</v>
      </c>
      <c r="K1597">
        <v>0</v>
      </c>
      <c r="L1597" t="s">
        <v>215</v>
      </c>
      <c r="M1597">
        <v>1</v>
      </c>
    </row>
    <row r="1598" spans="1:13" x14ac:dyDescent="0.3">
      <c r="A1598" t="s">
        <v>1807</v>
      </c>
      <c r="B1598">
        <v>98</v>
      </c>
      <c r="C1598" s="1">
        <v>44701</v>
      </c>
      <c r="D1598">
        <v>2022</v>
      </c>
      <c r="E1598" t="s">
        <v>214</v>
      </c>
      <c r="F1598" t="s">
        <v>13</v>
      </c>
      <c r="G1598" t="s">
        <v>200</v>
      </c>
      <c r="H1598" t="s">
        <v>195</v>
      </c>
      <c r="I1598">
        <v>2</v>
      </c>
      <c r="J1598">
        <v>2923.98</v>
      </c>
      <c r="K1598">
        <v>0</v>
      </c>
      <c r="L1598" t="s">
        <v>201</v>
      </c>
      <c r="M1598">
        <v>0</v>
      </c>
    </row>
    <row r="1599" spans="1:13" x14ac:dyDescent="0.3">
      <c r="A1599" t="s">
        <v>1808</v>
      </c>
      <c r="B1599">
        <v>98</v>
      </c>
      <c r="C1599" s="1">
        <v>45040</v>
      </c>
      <c r="D1599">
        <v>2023</v>
      </c>
      <c r="E1599" t="s">
        <v>227</v>
      </c>
      <c r="F1599" t="s">
        <v>199</v>
      </c>
      <c r="G1599" t="s">
        <v>212</v>
      </c>
      <c r="H1599" t="s">
        <v>192</v>
      </c>
      <c r="I1599">
        <v>2</v>
      </c>
      <c r="J1599">
        <v>6550.19</v>
      </c>
      <c r="K1599">
        <v>0</v>
      </c>
      <c r="L1599" t="s">
        <v>193</v>
      </c>
      <c r="M1599">
        <v>1</v>
      </c>
    </row>
    <row r="1600" spans="1:13" x14ac:dyDescent="0.3">
      <c r="A1600" t="s">
        <v>1809</v>
      </c>
      <c r="B1600">
        <v>98</v>
      </c>
      <c r="C1600" s="1">
        <v>44970</v>
      </c>
      <c r="D1600">
        <v>2023</v>
      </c>
      <c r="E1600" t="s">
        <v>190</v>
      </c>
      <c r="F1600" t="s">
        <v>199</v>
      </c>
      <c r="G1600" t="s">
        <v>200</v>
      </c>
      <c r="H1600" t="s">
        <v>204</v>
      </c>
      <c r="I1600">
        <v>4</v>
      </c>
      <c r="J1600">
        <v>5665.84</v>
      </c>
      <c r="K1600">
        <v>0</v>
      </c>
      <c r="L1600" t="s">
        <v>196</v>
      </c>
      <c r="M1600">
        <v>1</v>
      </c>
    </row>
    <row r="1601" spans="1:13" x14ac:dyDescent="0.3">
      <c r="A1601" t="s">
        <v>1810</v>
      </c>
      <c r="B1601">
        <v>98</v>
      </c>
      <c r="C1601" s="1">
        <v>44990</v>
      </c>
      <c r="D1601">
        <v>2023</v>
      </c>
      <c r="E1601" t="s">
        <v>219</v>
      </c>
      <c r="F1601" t="s">
        <v>13</v>
      </c>
      <c r="G1601" t="s">
        <v>191</v>
      </c>
      <c r="H1601" t="s">
        <v>204</v>
      </c>
      <c r="I1601">
        <v>9</v>
      </c>
      <c r="J1601">
        <v>3316.88</v>
      </c>
      <c r="K1601">
        <v>0</v>
      </c>
      <c r="L1601" t="s">
        <v>201</v>
      </c>
      <c r="M1601">
        <v>0</v>
      </c>
    </row>
    <row r="1602" spans="1:13" x14ac:dyDescent="0.3">
      <c r="A1602" t="s">
        <v>1811</v>
      </c>
      <c r="B1602">
        <v>98</v>
      </c>
      <c r="C1602" s="1">
        <v>44945</v>
      </c>
      <c r="D1602">
        <v>2023</v>
      </c>
      <c r="E1602" t="s">
        <v>190</v>
      </c>
      <c r="F1602" t="s">
        <v>13</v>
      </c>
      <c r="G1602" t="s">
        <v>203</v>
      </c>
      <c r="H1602" t="s">
        <v>192</v>
      </c>
      <c r="I1602">
        <v>15</v>
      </c>
      <c r="J1602">
        <v>3864.75</v>
      </c>
      <c r="K1602">
        <v>0</v>
      </c>
      <c r="L1602" t="s">
        <v>193</v>
      </c>
      <c r="M1602">
        <v>1</v>
      </c>
    </row>
    <row r="1603" spans="1:13" x14ac:dyDescent="0.3">
      <c r="A1603" t="s">
        <v>1812</v>
      </c>
      <c r="B1603">
        <v>98</v>
      </c>
      <c r="C1603" s="1">
        <v>45047</v>
      </c>
      <c r="D1603">
        <v>2023</v>
      </c>
      <c r="E1603" t="s">
        <v>190</v>
      </c>
      <c r="F1603" t="s">
        <v>12</v>
      </c>
      <c r="G1603" t="s">
        <v>203</v>
      </c>
      <c r="H1603" t="s">
        <v>195</v>
      </c>
      <c r="I1603">
        <v>5</v>
      </c>
      <c r="J1603">
        <v>1298.1300000000001</v>
      </c>
      <c r="K1603">
        <v>0</v>
      </c>
      <c r="L1603" t="s">
        <v>215</v>
      </c>
      <c r="M1603">
        <v>1</v>
      </c>
    </row>
    <row r="1604" spans="1:13" x14ac:dyDescent="0.3">
      <c r="A1604" t="s">
        <v>1813</v>
      </c>
      <c r="B1604">
        <v>98</v>
      </c>
      <c r="C1604" s="1">
        <v>45103</v>
      </c>
      <c r="D1604">
        <v>2023</v>
      </c>
      <c r="E1604" t="s">
        <v>198</v>
      </c>
      <c r="F1604" t="s">
        <v>12</v>
      </c>
      <c r="G1604" t="s">
        <v>212</v>
      </c>
      <c r="H1604" t="s">
        <v>195</v>
      </c>
      <c r="I1604">
        <v>15</v>
      </c>
      <c r="J1604">
        <v>657.87</v>
      </c>
      <c r="K1604">
        <v>1</v>
      </c>
      <c r="L1604" t="s">
        <v>210</v>
      </c>
      <c r="M1604">
        <v>1</v>
      </c>
    </row>
    <row r="1605" spans="1:13" x14ac:dyDescent="0.3">
      <c r="A1605" t="s">
        <v>1814</v>
      </c>
      <c r="B1605">
        <v>98</v>
      </c>
      <c r="C1605" s="1">
        <v>45401</v>
      </c>
      <c r="D1605">
        <v>2024</v>
      </c>
      <c r="E1605" t="s">
        <v>198</v>
      </c>
      <c r="F1605" t="s">
        <v>199</v>
      </c>
      <c r="G1605" t="s">
        <v>203</v>
      </c>
      <c r="H1605" t="s">
        <v>192</v>
      </c>
      <c r="I1605">
        <v>13</v>
      </c>
      <c r="J1605">
        <v>6612.56</v>
      </c>
      <c r="K1605">
        <v>1</v>
      </c>
      <c r="L1605" t="s">
        <v>193</v>
      </c>
      <c r="M1605">
        <v>0</v>
      </c>
    </row>
    <row r="1606" spans="1:13" x14ac:dyDescent="0.3">
      <c r="A1606" t="s">
        <v>1815</v>
      </c>
      <c r="B1606">
        <v>98</v>
      </c>
      <c r="C1606" s="1">
        <v>45353</v>
      </c>
      <c r="D1606">
        <v>2024</v>
      </c>
      <c r="E1606" t="s">
        <v>190</v>
      </c>
      <c r="F1606" t="s">
        <v>12</v>
      </c>
      <c r="G1606" t="s">
        <v>212</v>
      </c>
      <c r="H1606" t="s">
        <v>206</v>
      </c>
      <c r="I1606">
        <v>4</v>
      </c>
      <c r="J1606">
        <v>328.71</v>
      </c>
      <c r="K1606">
        <v>0</v>
      </c>
      <c r="L1606" t="s">
        <v>193</v>
      </c>
      <c r="M1606">
        <v>1</v>
      </c>
    </row>
    <row r="1607" spans="1:13" x14ac:dyDescent="0.3">
      <c r="A1607" t="s">
        <v>1816</v>
      </c>
      <c r="B1607">
        <v>98</v>
      </c>
      <c r="C1607" s="1">
        <v>45562</v>
      </c>
      <c r="D1607">
        <v>2024</v>
      </c>
      <c r="E1607" t="s">
        <v>225</v>
      </c>
      <c r="F1607" t="s">
        <v>13</v>
      </c>
      <c r="G1607" t="s">
        <v>200</v>
      </c>
      <c r="H1607" t="s">
        <v>195</v>
      </c>
      <c r="I1607">
        <v>3</v>
      </c>
      <c r="J1607">
        <v>3213.59</v>
      </c>
      <c r="K1607">
        <v>0</v>
      </c>
      <c r="L1607" t="s">
        <v>193</v>
      </c>
      <c r="M1607">
        <v>1</v>
      </c>
    </row>
    <row r="1608" spans="1:13" x14ac:dyDescent="0.3">
      <c r="A1608" t="s">
        <v>1817</v>
      </c>
      <c r="B1608">
        <v>98</v>
      </c>
      <c r="C1608" s="1">
        <v>45454</v>
      </c>
      <c r="D1608">
        <v>2024</v>
      </c>
      <c r="E1608" t="s">
        <v>198</v>
      </c>
      <c r="F1608" t="s">
        <v>13</v>
      </c>
      <c r="G1608" t="s">
        <v>212</v>
      </c>
      <c r="H1608" t="s">
        <v>204</v>
      </c>
      <c r="I1608">
        <v>10</v>
      </c>
      <c r="J1608">
        <v>3582.69</v>
      </c>
      <c r="K1608">
        <v>1</v>
      </c>
      <c r="L1608" t="s">
        <v>193</v>
      </c>
      <c r="M1608">
        <v>1</v>
      </c>
    </row>
    <row r="1609" spans="1:13" x14ac:dyDescent="0.3">
      <c r="A1609" t="s">
        <v>1818</v>
      </c>
      <c r="B1609">
        <v>98</v>
      </c>
      <c r="C1609" s="1">
        <v>45461</v>
      </c>
      <c r="D1609">
        <v>2024</v>
      </c>
      <c r="E1609" t="s">
        <v>198</v>
      </c>
      <c r="F1609" t="s">
        <v>199</v>
      </c>
      <c r="G1609" t="s">
        <v>203</v>
      </c>
      <c r="H1609" t="s">
        <v>204</v>
      </c>
      <c r="I1609">
        <v>9</v>
      </c>
      <c r="J1609">
        <v>3696.49</v>
      </c>
      <c r="K1609">
        <v>1</v>
      </c>
      <c r="L1609" t="s">
        <v>193</v>
      </c>
      <c r="M1609">
        <v>0</v>
      </c>
    </row>
    <row r="1610" spans="1:13" x14ac:dyDescent="0.3">
      <c r="A1610" t="s">
        <v>1819</v>
      </c>
      <c r="B1610">
        <v>98</v>
      </c>
      <c r="C1610" s="1">
        <v>45801</v>
      </c>
      <c r="D1610">
        <v>2025</v>
      </c>
      <c r="E1610" t="s">
        <v>214</v>
      </c>
      <c r="F1610" t="s">
        <v>12</v>
      </c>
      <c r="G1610" t="s">
        <v>212</v>
      </c>
      <c r="H1610" t="s">
        <v>192</v>
      </c>
      <c r="I1610">
        <v>2</v>
      </c>
      <c r="J1610">
        <v>1288.99</v>
      </c>
      <c r="K1610">
        <v>0</v>
      </c>
      <c r="L1610" t="s">
        <v>210</v>
      </c>
      <c r="M1610">
        <v>1</v>
      </c>
    </row>
    <row r="1611" spans="1:13" x14ac:dyDescent="0.3">
      <c r="A1611" t="s">
        <v>1820</v>
      </c>
      <c r="B1611">
        <v>98</v>
      </c>
      <c r="C1611" s="1">
        <v>45953</v>
      </c>
      <c r="D1611">
        <v>2025</v>
      </c>
      <c r="E1611" t="s">
        <v>219</v>
      </c>
      <c r="F1611" t="s">
        <v>209</v>
      </c>
      <c r="G1611" t="s">
        <v>212</v>
      </c>
      <c r="H1611" t="s">
        <v>195</v>
      </c>
      <c r="I1611">
        <v>7</v>
      </c>
      <c r="J1611">
        <v>224.79</v>
      </c>
      <c r="K1611">
        <v>0</v>
      </c>
      <c r="L1611" t="s">
        <v>201</v>
      </c>
      <c r="M1611">
        <v>1</v>
      </c>
    </row>
    <row r="1612" spans="1:13" x14ac:dyDescent="0.3">
      <c r="A1612" t="s">
        <v>1821</v>
      </c>
      <c r="B1612">
        <v>99</v>
      </c>
      <c r="C1612" s="1">
        <v>44326</v>
      </c>
      <c r="D1612">
        <v>2021</v>
      </c>
      <c r="E1612" t="s">
        <v>214</v>
      </c>
      <c r="F1612" t="s">
        <v>12</v>
      </c>
      <c r="G1612" t="s">
        <v>212</v>
      </c>
      <c r="H1612" t="s">
        <v>206</v>
      </c>
      <c r="I1612">
        <v>4</v>
      </c>
      <c r="J1612">
        <v>1090.23</v>
      </c>
      <c r="K1612">
        <v>0</v>
      </c>
      <c r="L1612" t="s">
        <v>215</v>
      </c>
      <c r="M1612">
        <v>1</v>
      </c>
    </row>
    <row r="1613" spans="1:13" x14ac:dyDescent="0.3">
      <c r="A1613" t="s">
        <v>1822</v>
      </c>
      <c r="B1613">
        <v>99</v>
      </c>
      <c r="C1613" s="1">
        <v>44445</v>
      </c>
      <c r="D1613">
        <v>2021</v>
      </c>
      <c r="E1613" t="s">
        <v>219</v>
      </c>
      <c r="F1613" t="s">
        <v>12</v>
      </c>
      <c r="G1613" t="s">
        <v>203</v>
      </c>
      <c r="H1613" t="s">
        <v>204</v>
      </c>
      <c r="I1613">
        <v>4</v>
      </c>
      <c r="J1613">
        <v>670.43</v>
      </c>
      <c r="K1613">
        <v>0</v>
      </c>
      <c r="L1613" t="s">
        <v>210</v>
      </c>
      <c r="M1613">
        <v>0</v>
      </c>
    </row>
    <row r="1614" spans="1:13" x14ac:dyDescent="0.3">
      <c r="A1614" t="s">
        <v>1823</v>
      </c>
      <c r="B1614">
        <v>99</v>
      </c>
      <c r="C1614" s="1">
        <v>44360</v>
      </c>
      <c r="D1614">
        <v>2021</v>
      </c>
      <c r="E1614" t="s">
        <v>190</v>
      </c>
      <c r="F1614" t="s">
        <v>12</v>
      </c>
      <c r="G1614" t="s">
        <v>200</v>
      </c>
      <c r="H1614" t="s">
        <v>192</v>
      </c>
      <c r="I1614">
        <v>4</v>
      </c>
      <c r="J1614">
        <v>657.68</v>
      </c>
      <c r="K1614">
        <v>0</v>
      </c>
      <c r="L1614" t="s">
        <v>215</v>
      </c>
      <c r="M1614">
        <v>1</v>
      </c>
    </row>
    <row r="1615" spans="1:13" x14ac:dyDescent="0.3">
      <c r="A1615" t="s">
        <v>1824</v>
      </c>
      <c r="B1615">
        <v>99</v>
      </c>
      <c r="C1615" s="1">
        <v>44892</v>
      </c>
      <c r="D1615">
        <v>2022</v>
      </c>
      <c r="E1615" t="s">
        <v>225</v>
      </c>
      <c r="F1615" t="s">
        <v>199</v>
      </c>
      <c r="G1615" t="s">
        <v>203</v>
      </c>
      <c r="H1615" t="s">
        <v>195</v>
      </c>
      <c r="I1615">
        <v>7</v>
      </c>
      <c r="J1615">
        <v>5209.46</v>
      </c>
      <c r="K1615">
        <v>0</v>
      </c>
      <c r="L1615" t="s">
        <v>193</v>
      </c>
      <c r="M1615">
        <v>0</v>
      </c>
    </row>
    <row r="1616" spans="1:13" x14ac:dyDescent="0.3">
      <c r="A1616" t="s">
        <v>1825</v>
      </c>
      <c r="B1616">
        <v>99</v>
      </c>
      <c r="C1616" s="1">
        <v>44644</v>
      </c>
      <c r="D1616">
        <v>2022</v>
      </c>
      <c r="E1616" t="s">
        <v>227</v>
      </c>
      <c r="F1616" t="s">
        <v>13</v>
      </c>
      <c r="G1616" t="s">
        <v>191</v>
      </c>
      <c r="H1616" t="s">
        <v>195</v>
      </c>
      <c r="I1616">
        <v>16</v>
      </c>
      <c r="J1616">
        <v>1161.3</v>
      </c>
      <c r="K1616">
        <v>0</v>
      </c>
      <c r="L1616" t="s">
        <v>196</v>
      </c>
      <c r="M1616">
        <v>0</v>
      </c>
    </row>
    <row r="1617" spans="1:13" x14ac:dyDescent="0.3">
      <c r="A1617" t="s">
        <v>1826</v>
      </c>
      <c r="B1617">
        <v>99</v>
      </c>
      <c r="C1617" s="1">
        <v>44604</v>
      </c>
      <c r="D1617">
        <v>2022</v>
      </c>
      <c r="E1617" t="s">
        <v>214</v>
      </c>
      <c r="F1617" t="s">
        <v>13</v>
      </c>
      <c r="G1617" t="s">
        <v>212</v>
      </c>
      <c r="H1617" t="s">
        <v>195</v>
      </c>
      <c r="I1617">
        <v>16</v>
      </c>
      <c r="J1617">
        <v>2991.97</v>
      </c>
      <c r="K1617">
        <v>0</v>
      </c>
      <c r="L1617" t="s">
        <v>210</v>
      </c>
      <c r="M1617">
        <v>1</v>
      </c>
    </row>
    <row r="1618" spans="1:13" x14ac:dyDescent="0.3">
      <c r="A1618" t="s">
        <v>1827</v>
      </c>
      <c r="B1618">
        <v>99</v>
      </c>
      <c r="C1618" s="1">
        <v>44874</v>
      </c>
      <c r="D1618">
        <v>2022</v>
      </c>
      <c r="E1618" t="s">
        <v>219</v>
      </c>
      <c r="F1618" t="s">
        <v>199</v>
      </c>
      <c r="G1618" t="s">
        <v>191</v>
      </c>
      <c r="H1618" t="s">
        <v>204</v>
      </c>
      <c r="I1618">
        <v>14</v>
      </c>
      <c r="J1618">
        <v>3945.57</v>
      </c>
      <c r="K1618">
        <v>0</v>
      </c>
      <c r="L1618" t="s">
        <v>196</v>
      </c>
      <c r="M1618">
        <v>0</v>
      </c>
    </row>
    <row r="1619" spans="1:13" x14ac:dyDescent="0.3">
      <c r="A1619" t="s">
        <v>1828</v>
      </c>
      <c r="B1619">
        <v>99</v>
      </c>
      <c r="C1619" s="1">
        <v>44991</v>
      </c>
      <c r="D1619">
        <v>2023</v>
      </c>
      <c r="E1619" t="s">
        <v>225</v>
      </c>
      <c r="F1619" t="s">
        <v>199</v>
      </c>
      <c r="G1619" t="s">
        <v>203</v>
      </c>
      <c r="H1619" t="s">
        <v>192</v>
      </c>
      <c r="I1619">
        <v>11</v>
      </c>
      <c r="J1619">
        <v>3987</v>
      </c>
      <c r="K1619">
        <v>1</v>
      </c>
      <c r="L1619" t="s">
        <v>193</v>
      </c>
      <c r="M1619">
        <v>0</v>
      </c>
    </row>
    <row r="1620" spans="1:13" x14ac:dyDescent="0.3">
      <c r="A1620" t="s">
        <v>1829</v>
      </c>
      <c r="B1620">
        <v>99</v>
      </c>
      <c r="C1620" s="1">
        <v>45125</v>
      </c>
      <c r="D1620">
        <v>2023</v>
      </c>
      <c r="E1620" t="s">
        <v>190</v>
      </c>
      <c r="F1620" t="s">
        <v>13</v>
      </c>
      <c r="G1620" t="s">
        <v>203</v>
      </c>
      <c r="H1620" t="s">
        <v>195</v>
      </c>
      <c r="I1620">
        <v>7</v>
      </c>
      <c r="J1620">
        <v>1433.7</v>
      </c>
      <c r="K1620">
        <v>0</v>
      </c>
      <c r="L1620" t="s">
        <v>201</v>
      </c>
      <c r="M1620">
        <v>0</v>
      </c>
    </row>
    <row r="1621" spans="1:13" x14ac:dyDescent="0.3">
      <c r="A1621" t="s">
        <v>1830</v>
      </c>
      <c r="B1621">
        <v>99</v>
      </c>
      <c r="C1621" s="1">
        <v>45254</v>
      </c>
      <c r="D1621">
        <v>2023</v>
      </c>
      <c r="E1621" t="s">
        <v>287</v>
      </c>
      <c r="F1621" t="s">
        <v>12</v>
      </c>
      <c r="G1621" t="s">
        <v>203</v>
      </c>
      <c r="H1621" t="s">
        <v>195</v>
      </c>
      <c r="I1621">
        <v>7</v>
      </c>
      <c r="J1621">
        <v>1409.96</v>
      </c>
      <c r="K1621">
        <v>0</v>
      </c>
      <c r="L1621" t="s">
        <v>201</v>
      </c>
      <c r="M1621">
        <v>0</v>
      </c>
    </row>
    <row r="1622" spans="1:13" x14ac:dyDescent="0.3">
      <c r="A1622" t="s">
        <v>1831</v>
      </c>
      <c r="B1622">
        <v>99</v>
      </c>
      <c r="C1622" s="1">
        <v>45194</v>
      </c>
      <c r="D1622">
        <v>2023</v>
      </c>
      <c r="E1622" t="s">
        <v>190</v>
      </c>
      <c r="F1622" t="s">
        <v>13</v>
      </c>
      <c r="G1622" t="s">
        <v>191</v>
      </c>
      <c r="H1622" t="s">
        <v>195</v>
      </c>
      <c r="I1622">
        <v>1</v>
      </c>
      <c r="J1622">
        <v>3886.99</v>
      </c>
      <c r="K1622">
        <v>1</v>
      </c>
      <c r="L1622" t="s">
        <v>193</v>
      </c>
      <c r="M1622">
        <v>0</v>
      </c>
    </row>
    <row r="1623" spans="1:13" x14ac:dyDescent="0.3">
      <c r="A1623" t="s">
        <v>1832</v>
      </c>
      <c r="B1623">
        <v>99</v>
      </c>
      <c r="C1623" s="1">
        <v>44966</v>
      </c>
      <c r="D1623">
        <v>2023</v>
      </c>
      <c r="E1623" t="s">
        <v>219</v>
      </c>
      <c r="F1623" t="s">
        <v>199</v>
      </c>
      <c r="G1623" t="s">
        <v>200</v>
      </c>
      <c r="H1623" t="s">
        <v>206</v>
      </c>
      <c r="I1623">
        <v>12</v>
      </c>
      <c r="J1623">
        <v>5209.8500000000004</v>
      </c>
      <c r="K1623">
        <v>0</v>
      </c>
      <c r="L1623" t="s">
        <v>196</v>
      </c>
      <c r="M1623">
        <v>1</v>
      </c>
    </row>
    <row r="1624" spans="1:13" x14ac:dyDescent="0.3">
      <c r="A1624" t="s">
        <v>1833</v>
      </c>
      <c r="B1624">
        <v>99</v>
      </c>
      <c r="C1624" s="1">
        <v>45268</v>
      </c>
      <c r="D1624">
        <v>2023</v>
      </c>
      <c r="E1624" t="s">
        <v>214</v>
      </c>
      <c r="F1624" t="s">
        <v>13</v>
      </c>
      <c r="G1624" t="s">
        <v>212</v>
      </c>
      <c r="H1624" t="s">
        <v>195</v>
      </c>
      <c r="I1624">
        <v>13</v>
      </c>
      <c r="J1624">
        <v>3816.49</v>
      </c>
      <c r="K1624">
        <v>1</v>
      </c>
      <c r="L1624" t="s">
        <v>201</v>
      </c>
      <c r="M1624">
        <v>1</v>
      </c>
    </row>
    <row r="1625" spans="1:13" x14ac:dyDescent="0.3">
      <c r="A1625" t="s">
        <v>1834</v>
      </c>
      <c r="B1625">
        <v>99</v>
      </c>
      <c r="C1625" s="1">
        <v>45337</v>
      </c>
      <c r="D1625">
        <v>2024</v>
      </c>
      <c r="E1625" t="s">
        <v>227</v>
      </c>
      <c r="F1625" t="s">
        <v>13</v>
      </c>
      <c r="G1625" t="s">
        <v>203</v>
      </c>
      <c r="H1625" t="s">
        <v>204</v>
      </c>
      <c r="I1625">
        <v>2</v>
      </c>
      <c r="J1625">
        <v>2380.35</v>
      </c>
      <c r="K1625">
        <v>0</v>
      </c>
      <c r="L1625" t="s">
        <v>215</v>
      </c>
      <c r="M1625">
        <v>1</v>
      </c>
    </row>
    <row r="1626" spans="1:13" x14ac:dyDescent="0.3">
      <c r="A1626" t="s">
        <v>1835</v>
      </c>
      <c r="B1626">
        <v>99</v>
      </c>
      <c r="C1626" s="1">
        <v>45337</v>
      </c>
      <c r="D1626">
        <v>2024</v>
      </c>
      <c r="E1626" t="s">
        <v>190</v>
      </c>
      <c r="F1626" t="s">
        <v>199</v>
      </c>
      <c r="G1626" t="s">
        <v>203</v>
      </c>
      <c r="H1626" t="s">
        <v>195</v>
      </c>
      <c r="I1626">
        <v>12</v>
      </c>
      <c r="J1626">
        <v>3983.41</v>
      </c>
      <c r="K1626">
        <v>0</v>
      </c>
      <c r="L1626" t="s">
        <v>196</v>
      </c>
      <c r="M1626">
        <v>1</v>
      </c>
    </row>
    <row r="1627" spans="1:13" x14ac:dyDescent="0.3">
      <c r="A1627" t="s">
        <v>1836</v>
      </c>
      <c r="B1627">
        <v>99</v>
      </c>
      <c r="C1627" s="1">
        <v>45368</v>
      </c>
      <c r="D1627">
        <v>2024</v>
      </c>
      <c r="E1627" t="s">
        <v>225</v>
      </c>
      <c r="F1627" t="s">
        <v>13</v>
      </c>
      <c r="G1627" t="s">
        <v>203</v>
      </c>
      <c r="H1627" t="s">
        <v>204</v>
      </c>
      <c r="I1627">
        <v>13</v>
      </c>
      <c r="J1627">
        <v>1329.53</v>
      </c>
      <c r="K1627">
        <v>0</v>
      </c>
      <c r="L1627" t="s">
        <v>196</v>
      </c>
      <c r="M1627">
        <v>1</v>
      </c>
    </row>
    <row r="1628" spans="1:13" x14ac:dyDescent="0.3">
      <c r="A1628" t="s">
        <v>1837</v>
      </c>
      <c r="B1628">
        <v>99</v>
      </c>
      <c r="C1628" s="1">
        <v>45614</v>
      </c>
      <c r="D1628">
        <v>2024</v>
      </c>
      <c r="E1628" t="s">
        <v>190</v>
      </c>
      <c r="F1628" t="s">
        <v>199</v>
      </c>
      <c r="G1628" t="s">
        <v>203</v>
      </c>
      <c r="H1628" t="s">
        <v>192</v>
      </c>
      <c r="I1628">
        <v>17</v>
      </c>
      <c r="J1628">
        <v>3874.93</v>
      </c>
      <c r="K1628">
        <v>0</v>
      </c>
      <c r="L1628" t="s">
        <v>193</v>
      </c>
      <c r="M1628">
        <v>0</v>
      </c>
    </row>
    <row r="1629" spans="1:13" x14ac:dyDescent="0.3">
      <c r="A1629" t="s">
        <v>1838</v>
      </c>
      <c r="B1629">
        <v>99</v>
      </c>
      <c r="C1629" s="1">
        <v>45830</v>
      </c>
      <c r="D1629">
        <v>2025</v>
      </c>
      <c r="E1629" t="s">
        <v>190</v>
      </c>
      <c r="F1629" t="s">
        <v>13</v>
      </c>
      <c r="G1629" t="s">
        <v>212</v>
      </c>
      <c r="H1629" t="s">
        <v>195</v>
      </c>
      <c r="I1629">
        <v>8</v>
      </c>
      <c r="J1629">
        <v>1173.3800000000001</v>
      </c>
      <c r="K1629">
        <v>0</v>
      </c>
      <c r="L1629" t="s">
        <v>215</v>
      </c>
      <c r="M1629">
        <v>1</v>
      </c>
    </row>
    <row r="1630" spans="1:13" x14ac:dyDescent="0.3">
      <c r="A1630" t="s">
        <v>1839</v>
      </c>
      <c r="B1630">
        <v>99</v>
      </c>
      <c r="C1630" s="1">
        <v>45756</v>
      </c>
      <c r="D1630">
        <v>2025</v>
      </c>
      <c r="E1630" t="s">
        <v>190</v>
      </c>
      <c r="F1630" t="s">
        <v>199</v>
      </c>
      <c r="G1630" t="s">
        <v>203</v>
      </c>
      <c r="H1630" t="s">
        <v>195</v>
      </c>
      <c r="I1630">
        <v>1</v>
      </c>
      <c r="J1630">
        <v>3085.59</v>
      </c>
      <c r="K1630">
        <v>0</v>
      </c>
      <c r="L1630" t="s">
        <v>193</v>
      </c>
      <c r="M1630">
        <v>0</v>
      </c>
    </row>
    <row r="1631" spans="1:13" x14ac:dyDescent="0.3">
      <c r="A1631" t="s">
        <v>1840</v>
      </c>
      <c r="B1631">
        <v>99</v>
      </c>
      <c r="C1631" s="1">
        <v>45677</v>
      </c>
      <c r="D1631">
        <v>2025</v>
      </c>
      <c r="E1631" t="s">
        <v>219</v>
      </c>
      <c r="F1631" t="s">
        <v>199</v>
      </c>
      <c r="G1631" t="s">
        <v>200</v>
      </c>
      <c r="H1631" t="s">
        <v>195</v>
      </c>
      <c r="I1631">
        <v>7</v>
      </c>
      <c r="J1631">
        <v>7865.69</v>
      </c>
      <c r="K1631">
        <v>0</v>
      </c>
      <c r="L1631" t="s">
        <v>196</v>
      </c>
      <c r="M1631">
        <v>0</v>
      </c>
    </row>
    <row r="1632" spans="1:13" x14ac:dyDescent="0.3">
      <c r="A1632" t="s">
        <v>1841</v>
      </c>
      <c r="B1632">
        <v>99</v>
      </c>
      <c r="C1632" s="1">
        <v>45758</v>
      </c>
      <c r="D1632">
        <v>2025</v>
      </c>
      <c r="E1632" t="s">
        <v>219</v>
      </c>
      <c r="F1632" t="s">
        <v>13</v>
      </c>
      <c r="G1632" t="s">
        <v>212</v>
      </c>
      <c r="H1632" t="s">
        <v>195</v>
      </c>
      <c r="I1632">
        <v>10</v>
      </c>
      <c r="J1632">
        <v>3460.55</v>
      </c>
      <c r="K1632">
        <v>0</v>
      </c>
      <c r="L1632" t="s">
        <v>193</v>
      </c>
      <c r="M1632">
        <v>1</v>
      </c>
    </row>
    <row r="1633" spans="1:13" x14ac:dyDescent="0.3">
      <c r="A1633" t="s">
        <v>1842</v>
      </c>
      <c r="B1633">
        <v>100</v>
      </c>
      <c r="C1633" s="1">
        <v>44203</v>
      </c>
      <c r="D1633">
        <v>2021</v>
      </c>
      <c r="E1633" t="s">
        <v>219</v>
      </c>
      <c r="F1633" t="s">
        <v>13</v>
      </c>
      <c r="G1633" t="s">
        <v>191</v>
      </c>
      <c r="H1633" t="s">
        <v>206</v>
      </c>
      <c r="I1633">
        <v>8</v>
      </c>
      <c r="J1633">
        <v>1154.6500000000001</v>
      </c>
      <c r="K1633">
        <v>0</v>
      </c>
      <c r="L1633" t="s">
        <v>215</v>
      </c>
      <c r="M1633">
        <v>1</v>
      </c>
    </row>
    <row r="1634" spans="1:13" x14ac:dyDescent="0.3">
      <c r="A1634" t="s">
        <v>1843</v>
      </c>
      <c r="B1634">
        <v>100</v>
      </c>
      <c r="C1634" s="1">
        <v>44514</v>
      </c>
      <c r="D1634">
        <v>2021</v>
      </c>
      <c r="E1634" t="s">
        <v>190</v>
      </c>
      <c r="F1634" t="s">
        <v>12</v>
      </c>
      <c r="G1634" t="s">
        <v>203</v>
      </c>
      <c r="H1634" t="s">
        <v>192</v>
      </c>
      <c r="I1634">
        <v>4</v>
      </c>
      <c r="J1634">
        <v>892.08</v>
      </c>
      <c r="K1634">
        <v>0</v>
      </c>
      <c r="L1634" t="s">
        <v>210</v>
      </c>
      <c r="M1634">
        <v>1</v>
      </c>
    </row>
    <row r="1635" spans="1:13" x14ac:dyDescent="0.3">
      <c r="A1635" t="s">
        <v>1844</v>
      </c>
      <c r="B1635">
        <v>100</v>
      </c>
      <c r="C1635" s="1">
        <v>44514</v>
      </c>
      <c r="D1635">
        <v>2021</v>
      </c>
      <c r="E1635" t="s">
        <v>214</v>
      </c>
      <c r="F1635" t="s">
        <v>12</v>
      </c>
      <c r="G1635" t="s">
        <v>212</v>
      </c>
      <c r="H1635" t="s">
        <v>192</v>
      </c>
      <c r="I1635">
        <v>2</v>
      </c>
      <c r="J1635">
        <v>1134.43</v>
      </c>
      <c r="K1635">
        <v>0</v>
      </c>
      <c r="L1635" t="s">
        <v>210</v>
      </c>
      <c r="M1635">
        <v>1</v>
      </c>
    </row>
    <row r="1636" spans="1:13" x14ac:dyDescent="0.3">
      <c r="A1636" t="s">
        <v>1845</v>
      </c>
      <c r="B1636">
        <v>100</v>
      </c>
      <c r="C1636" s="1">
        <v>44761</v>
      </c>
      <c r="D1636">
        <v>2022</v>
      </c>
      <c r="E1636" t="s">
        <v>198</v>
      </c>
      <c r="F1636" t="s">
        <v>199</v>
      </c>
      <c r="G1636" t="s">
        <v>191</v>
      </c>
      <c r="H1636" t="s">
        <v>195</v>
      </c>
      <c r="I1636">
        <v>5</v>
      </c>
      <c r="J1636">
        <v>6882.2</v>
      </c>
      <c r="K1636">
        <v>1</v>
      </c>
      <c r="L1636" t="s">
        <v>210</v>
      </c>
      <c r="M1636">
        <v>0</v>
      </c>
    </row>
    <row r="1637" spans="1:13" x14ac:dyDescent="0.3">
      <c r="A1637" t="s">
        <v>1846</v>
      </c>
      <c r="B1637">
        <v>100</v>
      </c>
      <c r="C1637" s="1">
        <v>44740</v>
      </c>
      <c r="D1637">
        <v>2022</v>
      </c>
      <c r="E1637" t="s">
        <v>198</v>
      </c>
      <c r="F1637" t="s">
        <v>12</v>
      </c>
      <c r="G1637" t="s">
        <v>212</v>
      </c>
      <c r="H1637" t="s">
        <v>192</v>
      </c>
      <c r="I1637">
        <v>3</v>
      </c>
      <c r="J1637">
        <v>933.19</v>
      </c>
      <c r="K1637">
        <v>1</v>
      </c>
      <c r="L1637" t="s">
        <v>210</v>
      </c>
      <c r="M1637">
        <v>1</v>
      </c>
    </row>
    <row r="1638" spans="1:13" x14ac:dyDescent="0.3">
      <c r="A1638" t="s">
        <v>1847</v>
      </c>
      <c r="B1638">
        <v>100</v>
      </c>
      <c r="C1638" s="1">
        <v>44738</v>
      </c>
      <c r="D1638">
        <v>2022</v>
      </c>
      <c r="E1638" t="s">
        <v>225</v>
      </c>
      <c r="F1638" t="s">
        <v>199</v>
      </c>
      <c r="G1638" t="s">
        <v>203</v>
      </c>
      <c r="H1638" t="s">
        <v>195</v>
      </c>
      <c r="I1638">
        <v>7</v>
      </c>
      <c r="J1638">
        <v>5960.14</v>
      </c>
      <c r="K1638">
        <v>0</v>
      </c>
      <c r="L1638" t="s">
        <v>193</v>
      </c>
      <c r="M1638">
        <v>0</v>
      </c>
    </row>
    <row r="1639" spans="1:13" x14ac:dyDescent="0.3">
      <c r="A1639" t="s">
        <v>1848</v>
      </c>
      <c r="B1639">
        <v>100</v>
      </c>
      <c r="C1639" s="1">
        <v>44734</v>
      </c>
      <c r="D1639">
        <v>2022</v>
      </c>
      <c r="E1639" t="s">
        <v>214</v>
      </c>
      <c r="F1639" t="s">
        <v>199</v>
      </c>
      <c r="G1639" t="s">
        <v>200</v>
      </c>
      <c r="H1639" t="s">
        <v>192</v>
      </c>
      <c r="I1639">
        <v>15</v>
      </c>
      <c r="J1639">
        <v>5427.78</v>
      </c>
      <c r="K1639">
        <v>1</v>
      </c>
      <c r="L1639" t="s">
        <v>196</v>
      </c>
      <c r="M1639">
        <v>0</v>
      </c>
    </row>
    <row r="1640" spans="1:13" x14ac:dyDescent="0.3">
      <c r="A1640" t="s">
        <v>1849</v>
      </c>
      <c r="B1640">
        <v>100</v>
      </c>
      <c r="C1640" s="1">
        <v>44664</v>
      </c>
      <c r="D1640">
        <v>2022</v>
      </c>
      <c r="E1640" t="s">
        <v>214</v>
      </c>
      <c r="F1640" t="s">
        <v>199</v>
      </c>
      <c r="G1640" t="s">
        <v>200</v>
      </c>
      <c r="H1640" t="s">
        <v>204</v>
      </c>
      <c r="I1640">
        <v>3</v>
      </c>
      <c r="J1640">
        <v>7040.41</v>
      </c>
      <c r="K1640">
        <v>0</v>
      </c>
      <c r="L1640" t="s">
        <v>193</v>
      </c>
      <c r="M1640">
        <v>0</v>
      </c>
    </row>
    <row r="1641" spans="1:13" x14ac:dyDescent="0.3">
      <c r="A1641" t="s">
        <v>1850</v>
      </c>
      <c r="B1641">
        <v>100</v>
      </c>
      <c r="C1641" s="1">
        <v>44800</v>
      </c>
      <c r="D1641">
        <v>2022</v>
      </c>
      <c r="E1641" t="s">
        <v>225</v>
      </c>
      <c r="F1641" t="s">
        <v>12</v>
      </c>
      <c r="G1641" t="s">
        <v>203</v>
      </c>
      <c r="H1641" t="s">
        <v>195</v>
      </c>
      <c r="I1641">
        <v>3</v>
      </c>
      <c r="J1641">
        <v>350.34</v>
      </c>
      <c r="K1641">
        <v>1</v>
      </c>
      <c r="L1641" t="s">
        <v>201</v>
      </c>
      <c r="M1641">
        <v>0</v>
      </c>
    </row>
    <row r="1642" spans="1:13" x14ac:dyDescent="0.3">
      <c r="A1642" t="s">
        <v>1851</v>
      </c>
      <c r="B1642">
        <v>100</v>
      </c>
      <c r="C1642" s="1">
        <v>45068</v>
      </c>
      <c r="D1642">
        <v>2023</v>
      </c>
      <c r="E1642" t="s">
        <v>219</v>
      </c>
      <c r="F1642" t="s">
        <v>209</v>
      </c>
      <c r="G1642" t="s">
        <v>212</v>
      </c>
      <c r="H1642" t="s">
        <v>195</v>
      </c>
      <c r="I1642">
        <v>7</v>
      </c>
      <c r="J1642">
        <v>539.64</v>
      </c>
      <c r="K1642">
        <v>0</v>
      </c>
      <c r="L1642" t="s">
        <v>210</v>
      </c>
      <c r="M1642">
        <v>1</v>
      </c>
    </row>
    <row r="1643" spans="1:13" x14ac:dyDescent="0.3">
      <c r="A1643" t="s">
        <v>1852</v>
      </c>
      <c r="B1643">
        <v>100</v>
      </c>
      <c r="C1643" s="1">
        <v>45839</v>
      </c>
      <c r="D1643">
        <v>2025</v>
      </c>
      <c r="E1643" t="s">
        <v>214</v>
      </c>
      <c r="F1643" t="s">
        <v>13</v>
      </c>
      <c r="G1643" t="s">
        <v>191</v>
      </c>
      <c r="H1643" t="s">
        <v>192</v>
      </c>
      <c r="I1643">
        <v>2</v>
      </c>
      <c r="J1643">
        <v>1873.24</v>
      </c>
      <c r="K1643">
        <v>0</v>
      </c>
      <c r="L1643" t="s">
        <v>201</v>
      </c>
      <c r="M1643">
        <v>0</v>
      </c>
    </row>
    <row r="1644" spans="1:13" x14ac:dyDescent="0.3">
      <c r="A1644" t="s">
        <v>1853</v>
      </c>
      <c r="B1644">
        <v>100</v>
      </c>
      <c r="C1644" s="1">
        <v>45860</v>
      </c>
      <c r="D1644">
        <v>2025</v>
      </c>
      <c r="E1644" t="s">
        <v>190</v>
      </c>
      <c r="F1644" t="s">
        <v>12</v>
      </c>
      <c r="G1644" t="s">
        <v>191</v>
      </c>
      <c r="H1644" t="s">
        <v>195</v>
      </c>
      <c r="I1644">
        <v>13</v>
      </c>
      <c r="J1644">
        <v>831.29</v>
      </c>
      <c r="K1644">
        <v>0</v>
      </c>
      <c r="L1644" t="s">
        <v>215</v>
      </c>
      <c r="M1644">
        <v>0</v>
      </c>
    </row>
    <row r="1645" spans="1:13" x14ac:dyDescent="0.3">
      <c r="A1645" t="s">
        <v>1854</v>
      </c>
      <c r="B1645">
        <v>100</v>
      </c>
      <c r="C1645" s="1">
        <v>45859</v>
      </c>
      <c r="D1645">
        <v>2025</v>
      </c>
      <c r="E1645" t="s">
        <v>219</v>
      </c>
      <c r="F1645" t="s">
        <v>199</v>
      </c>
      <c r="G1645" t="s">
        <v>212</v>
      </c>
      <c r="H1645" t="s">
        <v>195</v>
      </c>
      <c r="I1645">
        <v>7</v>
      </c>
      <c r="J1645">
        <v>3015.95</v>
      </c>
      <c r="K1645">
        <v>0</v>
      </c>
      <c r="L1645" t="s">
        <v>201</v>
      </c>
      <c r="M1645">
        <v>1</v>
      </c>
    </row>
    <row r="1646" spans="1:13" x14ac:dyDescent="0.3">
      <c r="A1646" t="s">
        <v>1855</v>
      </c>
      <c r="B1646">
        <v>100</v>
      </c>
      <c r="C1646" s="1">
        <v>45928</v>
      </c>
      <c r="D1646">
        <v>2025</v>
      </c>
      <c r="E1646" t="s">
        <v>219</v>
      </c>
      <c r="F1646" t="s">
        <v>13</v>
      </c>
      <c r="G1646" t="s">
        <v>212</v>
      </c>
      <c r="H1646" t="s">
        <v>206</v>
      </c>
      <c r="I1646">
        <v>2</v>
      </c>
      <c r="J1646">
        <v>2169.79</v>
      </c>
      <c r="K1646">
        <v>0</v>
      </c>
      <c r="L1646" t="s">
        <v>201</v>
      </c>
      <c r="M1646">
        <v>1</v>
      </c>
    </row>
    <row r="1647" spans="1:13" x14ac:dyDescent="0.3">
      <c r="A1647" t="s">
        <v>1856</v>
      </c>
      <c r="B1647">
        <v>100</v>
      </c>
      <c r="C1647" s="1">
        <v>45967</v>
      </c>
      <c r="D1647">
        <v>2025</v>
      </c>
      <c r="E1647" t="s">
        <v>225</v>
      </c>
      <c r="F1647" t="s">
        <v>12</v>
      </c>
      <c r="G1647" t="s">
        <v>203</v>
      </c>
      <c r="H1647" t="s">
        <v>206</v>
      </c>
      <c r="I1647">
        <v>3</v>
      </c>
      <c r="J1647">
        <v>1018.45</v>
      </c>
      <c r="K1647">
        <v>0</v>
      </c>
      <c r="L1647" t="s">
        <v>201</v>
      </c>
      <c r="M1647">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33ECB-C307-4DF1-88C6-3D179E2B4449}">
  <dimension ref="A1:M1647"/>
  <sheetViews>
    <sheetView workbookViewId="0">
      <selection sqref="A1:M1647"/>
    </sheetView>
  </sheetViews>
  <sheetFormatPr defaultRowHeight="14.4" x14ac:dyDescent="0.3"/>
  <cols>
    <col min="1" max="1" width="13.5546875" bestFit="1" customWidth="1"/>
    <col min="2" max="2" width="10.5546875" bestFit="1" customWidth="1"/>
    <col min="3" max="3" width="15.77734375" bestFit="1" customWidth="1"/>
    <col min="4" max="4" width="15.5546875" bestFit="1" customWidth="1"/>
    <col min="5" max="5" width="24.21875" bestFit="1" customWidth="1"/>
    <col min="6" max="6" width="15.44140625" bestFit="1" customWidth="1"/>
    <col min="7" max="7" width="17.109375" bestFit="1" customWidth="1"/>
    <col min="8" max="8" width="17.88671875" bestFit="1" customWidth="1"/>
    <col min="9" max="9" width="22.5546875" bestFit="1" customWidth="1"/>
    <col min="10" max="10" width="17.5546875" bestFit="1" customWidth="1"/>
    <col min="11" max="11" width="19" bestFit="1" customWidth="1"/>
    <col min="12" max="12" width="14.77734375" bestFit="1" customWidth="1"/>
    <col min="13" max="13" width="15.109375" bestFit="1" customWidth="1"/>
  </cols>
  <sheetData>
    <row r="1" spans="1:13" x14ac:dyDescent="0.3">
      <c r="A1" t="s">
        <v>177</v>
      </c>
      <c r="B1" t="s">
        <v>14</v>
      </c>
      <c r="C1" t="s">
        <v>178</v>
      </c>
      <c r="D1" t="s">
        <v>179</v>
      </c>
      <c r="E1" t="s">
        <v>180</v>
      </c>
      <c r="F1" t="s">
        <v>181</v>
      </c>
      <c r="G1" t="s">
        <v>182</v>
      </c>
      <c r="H1" t="s">
        <v>183</v>
      </c>
      <c r="I1" t="s">
        <v>184</v>
      </c>
      <c r="J1" t="s">
        <v>185</v>
      </c>
      <c r="K1" t="s">
        <v>186</v>
      </c>
      <c r="L1" t="s">
        <v>187</v>
      </c>
      <c r="M1" t="s">
        <v>188</v>
      </c>
    </row>
    <row r="2" spans="1:13" x14ac:dyDescent="0.3">
      <c r="A2" t="s">
        <v>189</v>
      </c>
      <c r="B2">
        <v>1</v>
      </c>
      <c r="C2" s="1">
        <v>44458</v>
      </c>
      <c r="D2">
        <v>2021</v>
      </c>
      <c r="E2" t="s">
        <v>190</v>
      </c>
      <c r="F2" t="s">
        <v>13</v>
      </c>
      <c r="G2" t="s">
        <v>191</v>
      </c>
      <c r="H2" t="s">
        <v>192</v>
      </c>
      <c r="I2">
        <v>12</v>
      </c>
      <c r="J2">
        <v>1343.5</v>
      </c>
      <c r="K2">
        <v>1</v>
      </c>
      <c r="L2" t="s">
        <v>193</v>
      </c>
      <c r="M2">
        <v>0</v>
      </c>
    </row>
    <row r="3" spans="1:13" x14ac:dyDescent="0.3">
      <c r="A3" t="s">
        <v>194</v>
      </c>
      <c r="B3">
        <v>1</v>
      </c>
      <c r="C3" s="1">
        <v>44422</v>
      </c>
      <c r="D3">
        <v>2021</v>
      </c>
      <c r="E3" t="s">
        <v>190</v>
      </c>
      <c r="F3" t="s">
        <v>13</v>
      </c>
      <c r="G3" t="s">
        <v>191</v>
      </c>
      <c r="H3" t="s">
        <v>195</v>
      </c>
      <c r="I3">
        <v>9</v>
      </c>
      <c r="J3">
        <v>2522.6799999999998</v>
      </c>
      <c r="K3">
        <v>0</v>
      </c>
      <c r="L3" t="s">
        <v>196</v>
      </c>
      <c r="M3">
        <v>0</v>
      </c>
    </row>
    <row r="4" spans="1:13" x14ac:dyDescent="0.3">
      <c r="A4" t="s">
        <v>197</v>
      </c>
      <c r="B4">
        <v>1</v>
      </c>
      <c r="C4" s="1">
        <v>44873</v>
      </c>
      <c r="D4">
        <v>2022</v>
      </c>
      <c r="E4" t="s">
        <v>198</v>
      </c>
      <c r="F4" t="s">
        <v>199</v>
      </c>
      <c r="G4" t="s">
        <v>200</v>
      </c>
      <c r="H4" t="s">
        <v>192</v>
      </c>
      <c r="I4">
        <v>9</v>
      </c>
      <c r="J4">
        <v>6847.81</v>
      </c>
      <c r="K4">
        <v>1</v>
      </c>
      <c r="L4" t="s">
        <v>201</v>
      </c>
      <c r="M4">
        <v>1</v>
      </c>
    </row>
    <row r="5" spans="1:13" x14ac:dyDescent="0.3">
      <c r="A5" t="s">
        <v>202</v>
      </c>
      <c r="B5">
        <v>1</v>
      </c>
      <c r="C5" s="1">
        <v>44723</v>
      </c>
      <c r="D5">
        <v>2022</v>
      </c>
      <c r="E5" t="s">
        <v>198</v>
      </c>
      <c r="F5" t="s">
        <v>13</v>
      </c>
      <c r="G5" t="s">
        <v>203</v>
      </c>
      <c r="H5" t="s">
        <v>204</v>
      </c>
      <c r="I5">
        <v>7</v>
      </c>
      <c r="J5">
        <v>2174.09</v>
      </c>
      <c r="K5">
        <v>1</v>
      </c>
      <c r="L5" t="s">
        <v>193</v>
      </c>
      <c r="M5">
        <v>0</v>
      </c>
    </row>
    <row r="6" spans="1:13" x14ac:dyDescent="0.3">
      <c r="A6" t="s">
        <v>205</v>
      </c>
      <c r="B6">
        <v>1</v>
      </c>
      <c r="C6" s="1">
        <v>44848</v>
      </c>
      <c r="D6">
        <v>2022</v>
      </c>
      <c r="E6" t="s">
        <v>198</v>
      </c>
      <c r="F6" t="s">
        <v>13</v>
      </c>
      <c r="G6" t="s">
        <v>191</v>
      </c>
      <c r="H6" t="s">
        <v>206</v>
      </c>
      <c r="I6">
        <v>8</v>
      </c>
      <c r="J6">
        <v>3712.51</v>
      </c>
      <c r="K6">
        <v>1</v>
      </c>
      <c r="L6" t="s">
        <v>201</v>
      </c>
      <c r="M6">
        <v>0</v>
      </c>
    </row>
    <row r="7" spans="1:13" x14ac:dyDescent="0.3">
      <c r="A7" t="s">
        <v>207</v>
      </c>
      <c r="B7">
        <v>1</v>
      </c>
      <c r="C7" s="1">
        <v>44637</v>
      </c>
      <c r="D7">
        <v>2022</v>
      </c>
      <c r="E7" t="s">
        <v>198</v>
      </c>
      <c r="F7" t="s">
        <v>13</v>
      </c>
      <c r="G7" t="s">
        <v>203</v>
      </c>
      <c r="H7" t="s">
        <v>192</v>
      </c>
      <c r="I7">
        <v>4</v>
      </c>
      <c r="J7">
        <v>3750</v>
      </c>
      <c r="K7">
        <v>1</v>
      </c>
      <c r="L7" t="s">
        <v>196</v>
      </c>
      <c r="M7">
        <v>0</v>
      </c>
    </row>
    <row r="8" spans="1:13" x14ac:dyDescent="0.3">
      <c r="A8" t="s">
        <v>208</v>
      </c>
      <c r="B8">
        <v>1</v>
      </c>
      <c r="C8" s="1">
        <v>44595</v>
      </c>
      <c r="D8">
        <v>2022</v>
      </c>
      <c r="E8" t="s">
        <v>198</v>
      </c>
      <c r="F8" t="s">
        <v>209</v>
      </c>
      <c r="G8" t="s">
        <v>203</v>
      </c>
      <c r="H8" t="s">
        <v>192</v>
      </c>
      <c r="I8">
        <v>10</v>
      </c>
      <c r="J8">
        <v>326.2</v>
      </c>
      <c r="K8">
        <v>1</v>
      </c>
      <c r="L8" t="s">
        <v>210</v>
      </c>
      <c r="M8">
        <v>0</v>
      </c>
    </row>
    <row r="9" spans="1:13" x14ac:dyDescent="0.3">
      <c r="A9" t="s">
        <v>211</v>
      </c>
      <c r="B9">
        <v>1</v>
      </c>
      <c r="C9" s="1">
        <v>44900</v>
      </c>
      <c r="D9">
        <v>2022</v>
      </c>
      <c r="E9" t="s">
        <v>190</v>
      </c>
      <c r="F9" t="s">
        <v>13</v>
      </c>
      <c r="G9" t="s">
        <v>212</v>
      </c>
      <c r="H9" t="s">
        <v>192</v>
      </c>
      <c r="I9">
        <v>13</v>
      </c>
      <c r="J9">
        <v>1581.49</v>
      </c>
      <c r="K9">
        <v>1</v>
      </c>
      <c r="L9" t="s">
        <v>201</v>
      </c>
      <c r="M9">
        <v>1</v>
      </c>
    </row>
    <row r="10" spans="1:13" x14ac:dyDescent="0.3">
      <c r="A10" t="s">
        <v>213</v>
      </c>
      <c r="B10">
        <v>1</v>
      </c>
      <c r="C10" s="1">
        <v>45068</v>
      </c>
      <c r="D10">
        <v>2023</v>
      </c>
      <c r="E10" t="s">
        <v>214</v>
      </c>
      <c r="F10" t="s">
        <v>209</v>
      </c>
      <c r="G10" t="s">
        <v>203</v>
      </c>
      <c r="H10" t="s">
        <v>192</v>
      </c>
      <c r="I10">
        <v>2</v>
      </c>
      <c r="J10">
        <v>590.88</v>
      </c>
      <c r="K10">
        <v>0</v>
      </c>
      <c r="L10" t="s">
        <v>215</v>
      </c>
      <c r="M10">
        <v>1</v>
      </c>
    </row>
    <row r="11" spans="1:13" x14ac:dyDescent="0.3">
      <c r="A11" t="s">
        <v>216</v>
      </c>
      <c r="B11">
        <v>1</v>
      </c>
      <c r="C11" s="1">
        <v>44961</v>
      </c>
      <c r="D11">
        <v>2023</v>
      </c>
      <c r="E11" t="s">
        <v>214</v>
      </c>
      <c r="F11" t="s">
        <v>209</v>
      </c>
      <c r="G11" t="s">
        <v>203</v>
      </c>
      <c r="H11" t="s">
        <v>192</v>
      </c>
      <c r="I11">
        <v>3</v>
      </c>
      <c r="J11">
        <v>506.77</v>
      </c>
      <c r="K11">
        <v>0</v>
      </c>
      <c r="L11" t="s">
        <v>215</v>
      </c>
      <c r="M11">
        <v>0</v>
      </c>
    </row>
    <row r="12" spans="1:13" x14ac:dyDescent="0.3">
      <c r="A12" t="s">
        <v>217</v>
      </c>
      <c r="B12">
        <v>1</v>
      </c>
      <c r="C12" s="1">
        <v>45476</v>
      </c>
      <c r="D12">
        <v>2024</v>
      </c>
      <c r="E12" t="s">
        <v>214</v>
      </c>
      <c r="F12" t="s">
        <v>12</v>
      </c>
      <c r="G12" t="s">
        <v>203</v>
      </c>
      <c r="H12" t="s">
        <v>204</v>
      </c>
      <c r="I12">
        <v>5</v>
      </c>
      <c r="J12">
        <v>1362.14</v>
      </c>
      <c r="K12">
        <v>0</v>
      </c>
      <c r="L12" t="s">
        <v>201</v>
      </c>
      <c r="M12">
        <v>0</v>
      </c>
    </row>
    <row r="13" spans="1:13" x14ac:dyDescent="0.3">
      <c r="A13" t="s">
        <v>218</v>
      </c>
      <c r="B13">
        <v>1</v>
      </c>
      <c r="C13" s="1">
        <v>45663</v>
      </c>
      <c r="D13">
        <v>2025</v>
      </c>
      <c r="E13" t="s">
        <v>219</v>
      </c>
      <c r="F13" t="s">
        <v>199</v>
      </c>
      <c r="G13" t="s">
        <v>203</v>
      </c>
      <c r="H13" t="s">
        <v>206</v>
      </c>
      <c r="I13">
        <v>1</v>
      </c>
      <c r="J13">
        <v>7972.04</v>
      </c>
      <c r="K13">
        <v>1</v>
      </c>
      <c r="L13" t="s">
        <v>193</v>
      </c>
      <c r="M13">
        <v>0</v>
      </c>
    </row>
    <row r="14" spans="1:13" x14ac:dyDescent="0.3">
      <c r="A14" t="s">
        <v>220</v>
      </c>
      <c r="B14">
        <v>1</v>
      </c>
      <c r="C14" s="1">
        <v>45781</v>
      </c>
      <c r="D14">
        <v>2025</v>
      </c>
      <c r="E14" t="s">
        <v>198</v>
      </c>
      <c r="F14" t="s">
        <v>13</v>
      </c>
      <c r="G14" t="s">
        <v>203</v>
      </c>
      <c r="H14" t="s">
        <v>195</v>
      </c>
      <c r="I14">
        <v>3</v>
      </c>
      <c r="J14">
        <v>3695.72</v>
      </c>
      <c r="K14">
        <v>1</v>
      </c>
      <c r="L14" t="s">
        <v>201</v>
      </c>
      <c r="M14">
        <v>0</v>
      </c>
    </row>
    <row r="15" spans="1:13" x14ac:dyDescent="0.3">
      <c r="A15" t="s">
        <v>221</v>
      </c>
      <c r="B15">
        <v>1</v>
      </c>
      <c r="C15" s="1">
        <v>45996</v>
      </c>
      <c r="D15">
        <v>2025</v>
      </c>
      <c r="E15" t="s">
        <v>198</v>
      </c>
      <c r="F15" t="s">
        <v>13</v>
      </c>
      <c r="G15" t="s">
        <v>191</v>
      </c>
      <c r="H15" t="s">
        <v>195</v>
      </c>
      <c r="I15">
        <v>13</v>
      </c>
      <c r="J15">
        <v>2654.49</v>
      </c>
      <c r="K15">
        <v>1</v>
      </c>
      <c r="L15" t="s">
        <v>201</v>
      </c>
      <c r="M15">
        <v>0</v>
      </c>
    </row>
    <row r="16" spans="1:13" x14ac:dyDescent="0.3">
      <c r="A16" t="s">
        <v>222</v>
      </c>
      <c r="B16">
        <v>1</v>
      </c>
      <c r="C16" s="1">
        <v>45913</v>
      </c>
      <c r="D16">
        <v>2025</v>
      </c>
      <c r="E16" t="s">
        <v>214</v>
      </c>
      <c r="F16" t="s">
        <v>12</v>
      </c>
      <c r="G16" t="s">
        <v>212</v>
      </c>
      <c r="H16" t="s">
        <v>204</v>
      </c>
      <c r="I16">
        <v>10</v>
      </c>
      <c r="J16">
        <v>378.62</v>
      </c>
      <c r="K16">
        <v>0</v>
      </c>
      <c r="L16" t="s">
        <v>210</v>
      </c>
      <c r="M16">
        <v>1</v>
      </c>
    </row>
    <row r="17" spans="1:13" x14ac:dyDescent="0.3">
      <c r="A17" t="s">
        <v>223</v>
      </c>
      <c r="B17">
        <v>1</v>
      </c>
      <c r="C17" s="1">
        <v>45742</v>
      </c>
      <c r="D17">
        <v>2025</v>
      </c>
      <c r="E17" t="s">
        <v>198</v>
      </c>
      <c r="F17" t="s">
        <v>13</v>
      </c>
      <c r="G17" t="s">
        <v>203</v>
      </c>
      <c r="H17" t="s">
        <v>195</v>
      </c>
      <c r="I17">
        <v>6</v>
      </c>
      <c r="J17">
        <v>2788.99</v>
      </c>
      <c r="K17">
        <v>1</v>
      </c>
      <c r="L17" t="s">
        <v>193</v>
      </c>
      <c r="M17">
        <v>0</v>
      </c>
    </row>
    <row r="18" spans="1:13" x14ac:dyDescent="0.3">
      <c r="A18" t="s">
        <v>224</v>
      </c>
      <c r="B18">
        <v>2</v>
      </c>
      <c r="C18" s="1">
        <v>44384</v>
      </c>
      <c r="D18">
        <v>2021</v>
      </c>
      <c r="E18" t="s">
        <v>225</v>
      </c>
      <c r="F18" t="s">
        <v>13</v>
      </c>
      <c r="G18" t="s">
        <v>200</v>
      </c>
      <c r="H18" t="s">
        <v>206</v>
      </c>
      <c r="I18">
        <v>6</v>
      </c>
      <c r="J18">
        <v>2534.0700000000002</v>
      </c>
      <c r="K18">
        <v>1</v>
      </c>
      <c r="L18" t="s">
        <v>215</v>
      </c>
      <c r="M18">
        <v>1</v>
      </c>
    </row>
    <row r="19" spans="1:13" x14ac:dyDescent="0.3">
      <c r="A19" t="s">
        <v>226</v>
      </c>
      <c r="B19">
        <v>2</v>
      </c>
      <c r="C19" s="1">
        <v>44517</v>
      </c>
      <c r="D19">
        <v>2021</v>
      </c>
      <c r="E19" t="s">
        <v>227</v>
      </c>
      <c r="F19" t="s">
        <v>12</v>
      </c>
      <c r="G19" t="s">
        <v>212</v>
      </c>
      <c r="H19" t="s">
        <v>195</v>
      </c>
      <c r="I19">
        <v>15</v>
      </c>
      <c r="J19">
        <v>1071.19</v>
      </c>
      <c r="K19">
        <v>1</v>
      </c>
      <c r="L19" t="s">
        <v>215</v>
      </c>
      <c r="M19">
        <v>1</v>
      </c>
    </row>
    <row r="20" spans="1:13" x14ac:dyDescent="0.3">
      <c r="A20" t="s">
        <v>228</v>
      </c>
      <c r="B20">
        <v>2</v>
      </c>
      <c r="C20" s="1">
        <v>44228</v>
      </c>
      <c r="D20">
        <v>2021</v>
      </c>
      <c r="E20" t="s">
        <v>227</v>
      </c>
      <c r="F20" t="s">
        <v>12</v>
      </c>
      <c r="G20" t="s">
        <v>212</v>
      </c>
      <c r="H20" t="s">
        <v>195</v>
      </c>
      <c r="I20">
        <v>12</v>
      </c>
      <c r="J20">
        <v>952.05</v>
      </c>
      <c r="K20">
        <v>0</v>
      </c>
      <c r="L20" t="s">
        <v>210</v>
      </c>
      <c r="M20">
        <v>1</v>
      </c>
    </row>
    <row r="21" spans="1:13" x14ac:dyDescent="0.3">
      <c r="A21" t="s">
        <v>229</v>
      </c>
      <c r="B21">
        <v>2</v>
      </c>
      <c r="C21" s="1">
        <v>44446</v>
      </c>
      <c r="D21">
        <v>2021</v>
      </c>
      <c r="E21" t="s">
        <v>198</v>
      </c>
      <c r="F21" t="s">
        <v>13</v>
      </c>
      <c r="G21" t="s">
        <v>212</v>
      </c>
      <c r="H21" t="s">
        <v>195</v>
      </c>
      <c r="I21">
        <v>16</v>
      </c>
      <c r="J21">
        <v>3046.4</v>
      </c>
      <c r="K21">
        <v>1</v>
      </c>
      <c r="L21" t="s">
        <v>193</v>
      </c>
      <c r="M21">
        <v>1</v>
      </c>
    </row>
    <row r="22" spans="1:13" x14ac:dyDescent="0.3">
      <c r="A22" t="s">
        <v>230</v>
      </c>
      <c r="B22">
        <v>2</v>
      </c>
      <c r="C22" s="1">
        <v>44293</v>
      </c>
      <c r="D22">
        <v>2021</v>
      </c>
      <c r="E22" t="s">
        <v>198</v>
      </c>
      <c r="F22" t="s">
        <v>13</v>
      </c>
      <c r="G22" t="s">
        <v>200</v>
      </c>
      <c r="H22" t="s">
        <v>206</v>
      </c>
      <c r="I22">
        <v>12</v>
      </c>
      <c r="J22">
        <v>1357.78</v>
      </c>
      <c r="K22">
        <v>1</v>
      </c>
      <c r="L22" t="s">
        <v>201</v>
      </c>
      <c r="M22">
        <v>0</v>
      </c>
    </row>
    <row r="23" spans="1:13" x14ac:dyDescent="0.3">
      <c r="A23" t="s">
        <v>231</v>
      </c>
      <c r="B23">
        <v>2</v>
      </c>
      <c r="C23" s="1">
        <v>44305</v>
      </c>
      <c r="D23">
        <v>2021</v>
      </c>
      <c r="E23" t="s">
        <v>198</v>
      </c>
      <c r="F23" t="s">
        <v>209</v>
      </c>
      <c r="G23" t="s">
        <v>212</v>
      </c>
      <c r="H23" t="s">
        <v>195</v>
      </c>
      <c r="I23">
        <v>19</v>
      </c>
      <c r="J23">
        <v>277.06</v>
      </c>
      <c r="K23">
        <v>1</v>
      </c>
      <c r="L23" t="s">
        <v>215</v>
      </c>
      <c r="M23">
        <v>1</v>
      </c>
    </row>
    <row r="24" spans="1:13" x14ac:dyDescent="0.3">
      <c r="A24" t="s">
        <v>232</v>
      </c>
      <c r="B24">
        <v>2</v>
      </c>
      <c r="C24" s="1">
        <v>44821</v>
      </c>
      <c r="D24">
        <v>2022</v>
      </c>
      <c r="E24" t="s">
        <v>227</v>
      </c>
      <c r="F24" t="s">
        <v>13</v>
      </c>
      <c r="G24" t="s">
        <v>200</v>
      </c>
      <c r="H24" t="s">
        <v>204</v>
      </c>
      <c r="I24">
        <v>6</v>
      </c>
      <c r="J24">
        <v>3407.54</v>
      </c>
      <c r="K24">
        <v>0</v>
      </c>
      <c r="L24" t="s">
        <v>215</v>
      </c>
      <c r="M24">
        <v>1</v>
      </c>
    </row>
    <row r="25" spans="1:13" x14ac:dyDescent="0.3">
      <c r="A25" t="s">
        <v>233</v>
      </c>
      <c r="B25">
        <v>2</v>
      </c>
      <c r="C25" s="1">
        <v>44745</v>
      </c>
      <c r="D25">
        <v>2022</v>
      </c>
      <c r="E25" t="s">
        <v>219</v>
      </c>
      <c r="F25" t="s">
        <v>12</v>
      </c>
      <c r="G25" t="s">
        <v>212</v>
      </c>
      <c r="H25" t="s">
        <v>206</v>
      </c>
      <c r="I25">
        <v>16</v>
      </c>
      <c r="J25">
        <v>1120.57</v>
      </c>
      <c r="K25">
        <v>0</v>
      </c>
      <c r="L25" t="s">
        <v>201</v>
      </c>
      <c r="M25">
        <v>1</v>
      </c>
    </row>
    <row r="26" spans="1:13" x14ac:dyDescent="0.3">
      <c r="A26" t="s">
        <v>234</v>
      </c>
      <c r="B26">
        <v>2</v>
      </c>
      <c r="C26" s="1">
        <v>44619</v>
      </c>
      <c r="D26">
        <v>2022</v>
      </c>
      <c r="E26" t="s">
        <v>225</v>
      </c>
      <c r="F26" t="s">
        <v>13</v>
      </c>
      <c r="G26" t="s">
        <v>200</v>
      </c>
      <c r="H26" t="s">
        <v>195</v>
      </c>
      <c r="I26">
        <v>7</v>
      </c>
      <c r="J26">
        <v>1031.19</v>
      </c>
      <c r="K26">
        <v>0</v>
      </c>
      <c r="L26" t="s">
        <v>215</v>
      </c>
      <c r="M26">
        <v>0</v>
      </c>
    </row>
    <row r="27" spans="1:13" x14ac:dyDescent="0.3">
      <c r="A27" t="s">
        <v>235</v>
      </c>
      <c r="B27">
        <v>2</v>
      </c>
      <c r="C27" s="1">
        <v>45022</v>
      </c>
      <c r="D27">
        <v>2023</v>
      </c>
      <c r="E27" t="s">
        <v>198</v>
      </c>
      <c r="F27" t="s">
        <v>13</v>
      </c>
      <c r="G27" t="s">
        <v>191</v>
      </c>
      <c r="H27" t="s">
        <v>195</v>
      </c>
      <c r="I27">
        <v>13</v>
      </c>
      <c r="J27">
        <v>2612.6799999999998</v>
      </c>
      <c r="K27">
        <v>1</v>
      </c>
      <c r="L27" t="s">
        <v>196</v>
      </c>
      <c r="M27">
        <v>0</v>
      </c>
    </row>
    <row r="28" spans="1:13" x14ac:dyDescent="0.3">
      <c r="A28" t="s">
        <v>236</v>
      </c>
      <c r="B28">
        <v>2</v>
      </c>
      <c r="C28" s="1">
        <v>44930</v>
      </c>
      <c r="D28">
        <v>2023</v>
      </c>
      <c r="E28" t="s">
        <v>198</v>
      </c>
      <c r="F28" t="s">
        <v>199</v>
      </c>
      <c r="G28" t="s">
        <v>203</v>
      </c>
      <c r="H28" t="s">
        <v>206</v>
      </c>
      <c r="I28">
        <v>3</v>
      </c>
      <c r="J28">
        <v>3257.7</v>
      </c>
      <c r="K28">
        <v>1</v>
      </c>
      <c r="L28" t="s">
        <v>201</v>
      </c>
      <c r="M28">
        <v>1</v>
      </c>
    </row>
    <row r="29" spans="1:13" x14ac:dyDescent="0.3">
      <c r="A29" t="s">
        <v>237</v>
      </c>
      <c r="B29">
        <v>2</v>
      </c>
      <c r="C29" s="1">
        <v>45227</v>
      </c>
      <c r="D29">
        <v>2023</v>
      </c>
      <c r="E29" t="s">
        <v>225</v>
      </c>
      <c r="F29" t="s">
        <v>199</v>
      </c>
      <c r="G29" t="s">
        <v>191</v>
      </c>
      <c r="H29" t="s">
        <v>204</v>
      </c>
      <c r="I29">
        <v>5</v>
      </c>
      <c r="J29">
        <v>4270.51</v>
      </c>
      <c r="K29">
        <v>1</v>
      </c>
      <c r="L29" t="s">
        <v>210</v>
      </c>
      <c r="M29">
        <v>0</v>
      </c>
    </row>
    <row r="30" spans="1:13" x14ac:dyDescent="0.3">
      <c r="A30" t="s">
        <v>238</v>
      </c>
      <c r="B30">
        <v>2</v>
      </c>
      <c r="C30" s="1">
        <v>45069</v>
      </c>
      <c r="D30">
        <v>2023</v>
      </c>
      <c r="E30" t="s">
        <v>198</v>
      </c>
      <c r="F30" t="s">
        <v>13</v>
      </c>
      <c r="G30" t="s">
        <v>191</v>
      </c>
      <c r="H30" t="s">
        <v>195</v>
      </c>
      <c r="I30">
        <v>2</v>
      </c>
      <c r="J30">
        <v>3205.8</v>
      </c>
      <c r="K30">
        <v>1</v>
      </c>
      <c r="L30" t="s">
        <v>193</v>
      </c>
      <c r="M30">
        <v>1</v>
      </c>
    </row>
    <row r="31" spans="1:13" x14ac:dyDescent="0.3">
      <c r="A31" t="s">
        <v>239</v>
      </c>
      <c r="B31">
        <v>2</v>
      </c>
      <c r="C31" s="1">
        <v>44933</v>
      </c>
      <c r="D31">
        <v>2023</v>
      </c>
      <c r="E31" t="s">
        <v>198</v>
      </c>
      <c r="F31" t="s">
        <v>12</v>
      </c>
      <c r="G31" t="s">
        <v>203</v>
      </c>
      <c r="H31" t="s">
        <v>206</v>
      </c>
      <c r="I31">
        <v>10</v>
      </c>
      <c r="J31">
        <v>510.83</v>
      </c>
      <c r="K31">
        <v>1</v>
      </c>
      <c r="L31" t="s">
        <v>215</v>
      </c>
      <c r="M31">
        <v>1</v>
      </c>
    </row>
    <row r="32" spans="1:13" x14ac:dyDescent="0.3">
      <c r="A32" t="s">
        <v>240</v>
      </c>
      <c r="B32">
        <v>2</v>
      </c>
      <c r="C32" s="1">
        <v>45069</v>
      </c>
      <c r="D32">
        <v>2023</v>
      </c>
      <c r="E32" t="s">
        <v>214</v>
      </c>
      <c r="F32" t="s">
        <v>13</v>
      </c>
      <c r="G32" t="s">
        <v>203</v>
      </c>
      <c r="H32" t="s">
        <v>192</v>
      </c>
      <c r="I32">
        <v>10</v>
      </c>
      <c r="J32">
        <v>3925.19</v>
      </c>
      <c r="K32">
        <v>0</v>
      </c>
      <c r="L32" t="s">
        <v>201</v>
      </c>
      <c r="M32">
        <v>1</v>
      </c>
    </row>
    <row r="33" spans="1:13" x14ac:dyDescent="0.3">
      <c r="A33" t="s">
        <v>241</v>
      </c>
      <c r="B33">
        <v>2</v>
      </c>
      <c r="C33" s="1">
        <v>45331</v>
      </c>
      <c r="D33">
        <v>2024</v>
      </c>
      <c r="E33" t="s">
        <v>225</v>
      </c>
      <c r="F33" t="s">
        <v>13</v>
      </c>
      <c r="G33" t="s">
        <v>191</v>
      </c>
      <c r="H33" t="s">
        <v>206</v>
      </c>
      <c r="I33">
        <v>3</v>
      </c>
      <c r="J33">
        <v>1306.19</v>
      </c>
      <c r="K33">
        <v>0</v>
      </c>
      <c r="L33" t="s">
        <v>193</v>
      </c>
      <c r="M33">
        <v>0</v>
      </c>
    </row>
    <row r="34" spans="1:13" x14ac:dyDescent="0.3">
      <c r="A34" t="s">
        <v>242</v>
      </c>
      <c r="B34">
        <v>2</v>
      </c>
      <c r="C34" s="1">
        <v>45306</v>
      </c>
      <c r="D34">
        <v>2024</v>
      </c>
      <c r="E34" t="s">
        <v>214</v>
      </c>
      <c r="F34" t="s">
        <v>209</v>
      </c>
      <c r="G34" t="s">
        <v>212</v>
      </c>
      <c r="H34" t="s">
        <v>192</v>
      </c>
      <c r="I34">
        <v>2</v>
      </c>
      <c r="J34">
        <v>159.35</v>
      </c>
      <c r="K34">
        <v>0</v>
      </c>
      <c r="L34" t="s">
        <v>201</v>
      </c>
      <c r="M34">
        <v>1</v>
      </c>
    </row>
    <row r="35" spans="1:13" x14ac:dyDescent="0.3">
      <c r="A35" t="s">
        <v>243</v>
      </c>
      <c r="B35">
        <v>2</v>
      </c>
      <c r="C35" s="1">
        <v>45480</v>
      </c>
      <c r="D35">
        <v>2024</v>
      </c>
      <c r="E35" t="s">
        <v>214</v>
      </c>
      <c r="F35" t="s">
        <v>13</v>
      </c>
      <c r="G35" t="s">
        <v>212</v>
      </c>
      <c r="H35" t="s">
        <v>195</v>
      </c>
      <c r="I35">
        <v>12</v>
      </c>
      <c r="J35">
        <v>1817.77</v>
      </c>
      <c r="K35">
        <v>0</v>
      </c>
      <c r="L35" t="s">
        <v>215</v>
      </c>
      <c r="M35">
        <v>1</v>
      </c>
    </row>
    <row r="36" spans="1:13" x14ac:dyDescent="0.3">
      <c r="A36" t="s">
        <v>244</v>
      </c>
      <c r="B36">
        <v>2</v>
      </c>
      <c r="C36" s="1">
        <v>45640</v>
      </c>
      <c r="D36">
        <v>2024</v>
      </c>
      <c r="E36" t="s">
        <v>214</v>
      </c>
      <c r="F36" t="s">
        <v>12</v>
      </c>
      <c r="G36" t="s">
        <v>203</v>
      </c>
      <c r="H36" t="s">
        <v>206</v>
      </c>
      <c r="I36">
        <v>3</v>
      </c>
      <c r="J36">
        <v>1009.31</v>
      </c>
      <c r="K36">
        <v>0</v>
      </c>
      <c r="L36" t="s">
        <v>215</v>
      </c>
      <c r="M36">
        <v>0</v>
      </c>
    </row>
    <row r="37" spans="1:13" x14ac:dyDescent="0.3">
      <c r="A37" t="s">
        <v>245</v>
      </c>
      <c r="B37">
        <v>2</v>
      </c>
      <c r="C37" s="1">
        <v>45696</v>
      </c>
      <c r="D37">
        <v>2025</v>
      </c>
      <c r="E37" t="s">
        <v>214</v>
      </c>
      <c r="F37" t="s">
        <v>13</v>
      </c>
      <c r="G37" t="s">
        <v>212</v>
      </c>
      <c r="H37" t="s">
        <v>195</v>
      </c>
      <c r="I37">
        <v>11</v>
      </c>
      <c r="J37">
        <v>2596.4</v>
      </c>
      <c r="K37">
        <v>0</v>
      </c>
      <c r="L37" t="s">
        <v>201</v>
      </c>
      <c r="M37">
        <v>1</v>
      </c>
    </row>
    <row r="38" spans="1:13" x14ac:dyDescent="0.3">
      <c r="A38" t="s">
        <v>246</v>
      </c>
      <c r="B38">
        <v>3</v>
      </c>
      <c r="C38" s="1">
        <v>44390</v>
      </c>
      <c r="D38">
        <v>2021</v>
      </c>
      <c r="E38" t="s">
        <v>198</v>
      </c>
      <c r="F38" t="s">
        <v>13</v>
      </c>
      <c r="G38" t="s">
        <v>191</v>
      </c>
      <c r="H38" t="s">
        <v>204</v>
      </c>
      <c r="I38">
        <v>7</v>
      </c>
      <c r="J38">
        <v>1617.12</v>
      </c>
      <c r="K38">
        <v>1</v>
      </c>
      <c r="L38" t="s">
        <v>201</v>
      </c>
      <c r="M38">
        <v>0</v>
      </c>
    </row>
    <row r="39" spans="1:13" x14ac:dyDescent="0.3">
      <c r="A39" t="s">
        <v>247</v>
      </c>
      <c r="B39">
        <v>3</v>
      </c>
      <c r="C39" s="1">
        <v>44479</v>
      </c>
      <c r="D39">
        <v>2021</v>
      </c>
      <c r="E39" t="s">
        <v>227</v>
      </c>
      <c r="F39" t="s">
        <v>13</v>
      </c>
      <c r="G39" t="s">
        <v>212</v>
      </c>
      <c r="H39" t="s">
        <v>195</v>
      </c>
      <c r="I39">
        <v>6</v>
      </c>
      <c r="J39">
        <v>3720</v>
      </c>
      <c r="K39">
        <v>0</v>
      </c>
      <c r="L39" t="s">
        <v>201</v>
      </c>
      <c r="M39">
        <v>1</v>
      </c>
    </row>
    <row r="40" spans="1:13" x14ac:dyDescent="0.3">
      <c r="A40" t="s">
        <v>248</v>
      </c>
      <c r="B40">
        <v>3</v>
      </c>
      <c r="C40" s="1">
        <v>44233</v>
      </c>
      <c r="D40">
        <v>2021</v>
      </c>
      <c r="E40" t="s">
        <v>198</v>
      </c>
      <c r="F40" t="s">
        <v>199</v>
      </c>
      <c r="G40" t="s">
        <v>200</v>
      </c>
      <c r="H40" t="s">
        <v>195</v>
      </c>
      <c r="I40">
        <v>4</v>
      </c>
      <c r="J40">
        <v>5110.3</v>
      </c>
      <c r="K40">
        <v>1</v>
      </c>
      <c r="L40" t="s">
        <v>201</v>
      </c>
      <c r="M40">
        <v>0</v>
      </c>
    </row>
    <row r="41" spans="1:13" x14ac:dyDescent="0.3">
      <c r="A41" t="s">
        <v>249</v>
      </c>
      <c r="B41">
        <v>3</v>
      </c>
      <c r="C41" s="1">
        <v>44233</v>
      </c>
      <c r="D41">
        <v>2021</v>
      </c>
      <c r="E41" t="s">
        <v>198</v>
      </c>
      <c r="F41" t="s">
        <v>13</v>
      </c>
      <c r="G41" t="s">
        <v>191</v>
      </c>
      <c r="H41" t="s">
        <v>195</v>
      </c>
      <c r="I41">
        <v>3</v>
      </c>
      <c r="J41">
        <v>2464.92</v>
      </c>
      <c r="K41">
        <v>1</v>
      </c>
      <c r="L41" t="s">
        <v>193</v>
      </c>
      <c r="M41">
        <v>1</v>
      </c>
    </row>
    <row r="42" spans="1:13" x14ac:dyDescent="0.3">
      <c r="A42" t="s">
        <v>250</v>
      </c>
      <c r="B42">
        <v>3</v>
      </c>
      <c r="C42" s="1">
        <v>44491</v>
      </c>
      <c r="D42">
        <v>2021</v>
      </c>
      <c r="E42" t="s">
        <v>198</v>
      </c>
      <c r="F42" t="s">
        <v>13</v>
      </c>
      <c r="G42" t="s">
        <v>200</v>
      </c>
      <c r="H42" t="s">
        <v>195</v>
      </c>
      <c r="I42">
        <v>13</v>
      </c>
      <c r="J42">
        <v>1281.73</v>
      </c>
      <c r="K42">
        <v>1</v>
      </c>
      <c r="L42" t="s">
        <v>201</v>
      </c>
      <c r="M42">
        <v>0</v>
      </c>
    </row>
    <row r="43" spans="1:13" x14ac:dyDescent="0.3">
      <c r="A43" t="s">
        <v>251</v>
      </c>
      <c r="B43">
        <v>3</v>
      </c>
      <c r="C43" s="1">
        <v>44542</v>
      </c>
      <c r="D43">
        <v>2021</v>
      </c>
      <c r="E43" t="s">
        <v>214</v>
      </c>
      <c r="F43" t="s">
        <v>13</v>
      </c>
      <c r="G43" t="s">
        <v>200</v>
      </c>
      <c r="H43" t="s">
        <v>192</v>
      </c>
      <c r="I43">
        <v>14</v>
      </c>
      <c r="J43">
        <v>3130.47</v>
      </c>
      <c r="K43">
        <v>0</v>
      </c>
      <c r="L43" t="s">
        <v>201</v>
      </c>
      <c r="M43">
        <v>1</v>
      </c>
    </row>
    <row r="44" spans="1:13" x14ac:dyDescent="0.3">
      <c r="A44" t="s">
        <v>252</v>
      </c>
      <c r="B44">
        <v>3</v>
      </c>
      <c r="C44" s="1">
        <v>44601</v>
      </c>
      <c r="D44">
        <v>2022</v>
      </c>
      <c r="E44" t="s">
        <v>190</v>
      </c>
      <c r="F44" t="s">
        <v>209</v>
      </c>
      <c r="G44" t="s">
        <v>212</v>
      </c>
      <c r="H44" t="s">
        <v>206</v>
      </c>
      <c r="I44">
        <v>6</v>
      </c>
      <c r="J44">
        <v>84.98</v>
      </c>
      <c r="K44">
        <v>0</v>
      </c>
      <c r="L44" t="s">
        <v>210</v>
      </c>
      <c r="M44">
        <v>1</v>
      </c>
    </row>
    <row r="45" spans="1:13" x14ac:dyDescent="0.3">
      <c r="A45" t="s">
        <v>253</v>
      </c>
      <c r="B45">
        <v>3</v>
      </c>
      <c r="C45" s="1">
        <v>44918</v>
      </c>
      <c r="D45">
        <v>2022</v>
      </c>
      <c r="E45" t="s">
        <v>225</v>
      </c>
      <c r="F45" t="s">
        <v>13</v>
      </c>
      <c r="G45" t="s">
        <v>191</v>
      </c>
      <c r="H45" t="s">
        <v>192</v>
      </c>
      <c r="I45">
        <v>14</v>
      </c>
      <c r="J45">
        <v>3896.36</v>
      </c>
      <c r="K45">
        <v>1</v>
      </c>
      <c r="L45" t="s">
        <v>193</v>
      </c>
      <c r="M45">
        <v>1</v>
      </c>
    </row>
    <row r="46" spans="1:13" x14ac:dyDescent="0.3">
      <c r="A46" t="s">
        <v>254</v>
      </c>
      <c r="B46">
        <v>3</v>
      </c>
      <c r="C46" s="1">
        <v>44790</v>
      </c>
      <c r="D46">
        <v>2022</v>
      </c>
      <c r="E46" t="s">
        <v>198</v>
      </c>
      <c r="F46" t="s">
        <v>199</v>
      </c>
      <c r="G46" t="s">
        <v>203</v>
      </c>
      <c r="H46" t="s">
        <v>192</v>
      </c>
      <c r="I46">
        <v>6</v>
      </c>
      <c r="J46">
        <v>5740.31</v>
      </c>
      <c r="K46">
        <v>1</v>
      </c>
      <c r="L46" t="s">
        <v>193</v>
      </c>
      <c r="M46">
        <v>0</v>
      </c>
    </row>
    <row r="47" spans="1:13" x14ac:dyDescent="0.3">
      <c r="A47" t="s">
        <v>255</v>
      </c>
      <c r="B47">
        <v>3</v>
      </c>
      <c r="C47" s="1">
        <v>44851</v>
      </c>
      <c r="D47">
        <v>2022</v>
      </c>
      <c r="E47" t="s">
        <v>198</v>
      </c>
      <c r="F47" t="s">
        <v>12</v>
      </c>
      <c r="G47" t="s">
        <v>212</v>
      </c>
      <c r="H47" t="s">
        <v>195</v>
      </c>
      <c r="I47">
        <v>1</v>
      </c>
      <c r="J47">
        <v>683.75</v>
      </c>
      <c r="K47">
        <v>1</v>
      </c>
      <c r="L47" t="s">
        <v>210</v>
      </c>
      <c r="M47">
        <v>1</v>
      </c>
    </row>
    <row r="48" spans="1:13" x14ac:dyDescent="0.3">
      <c r="A48" t="s">
        <v>256</v>
      </c>
      <c r="B48">
        <v>3</v>
      </c>
      <c r="C48" s="1">
        <v>44870</v>
      </c>
      <c r="D48">
        <v>2022</v>
      </c>
      <c r="E48" t="s">
        <v>214</v>
      </c>
      <c r="F48" t="s">
        <v>199</v>
      </c>
      <c r="G48" t="s">
        <v>191</v>
      </c>
      <c r="H48" t="s">
        <v>204</v>
      </c>
      <c r="I48">
        <v>1</v>
      </c>
      <c r="J48">
        <v>4085.43</v>
      </c>
      <c r="K48">
        <v>0</v>
      </c>
      <c r="L48" t="s">
        <v>193</v>
      </c>
      <c r="M48">
        <v>0</v>
      </c>
    </row>
    <row r="49" spans="1:13" x14ac:dyDescent="0.3">
      <c r="A49" t="s">
        <v>257</v>
      </c>
      <c r="B49">
        <v>3</v>
      </c>
      <c r="C49" s="1">
        <v>44708</v>
      </c>
      <c r="D49">
        <v>2022</v>
      </c>
      <c r="E49" t="s">
        <v>227</v>
      </c>
      <c r="F49" t="s">
        <v>12</v>
      </c>
      <c r="G49" t="s">
        <v>212</v>
      </c>
      <c r="H49" t="s">
        <v>195</v>
      </c>
      <c r="I49">
        <v>6</v>
      </c>
      <c r="J49">
        <v>564.29</v>
      </c>
      <c r="K49">
        <v>0</v>
      </c>
      <c r="L49" t="s">
        <v>215</v>
      </c>
      <c r="M49">
        <v>1</v>
      </c>
    </row>
    <row r="50" spans="1:13" x14ac:dyDescent="0.3">
      <c r="A50" t="s">
        <v>258</v>
      </c>
      <c r="B50">
        <v>3</v>
      </c>
      <c r="C50" s="1">
        <v>44980</v>
      </c>
      <c r="D50">
        <v>2023</v>
      </c>
      <c r="E50" t="s">
        <v>198</v>
      </c>
      <c r="F50" t="s">
        <v>199</v>
      </c>
      <c r="G50" t="s">
        <v>200</v>
      </c>
      <c r="H50" t="s">
        <v>195</v>
      </c>
      <c r="I50">
        <v>9</v>
      </c>
      <c r="J50">
        <v>2943.95</v>
      </c>
      <c r="K50">
        <v>1</v>
      </c>
      <c r="L50" t="s">
        <v>196</v>
      </c>
      <c r="M50">
        <v>0</v>
      </c>
    </row>
    <row r="51" spans="1:13" x14ac:dyDescent="0.3">
      <c r="A51" t="s">
        <v>259</v>
      </c>
      <c r="B51">
        <v>3</v>
      </c>
      <c r="C51" s="1">
        <v>45251</v>
      </c>
      <c r="D51">
        <v>2023</v>
      </c>
      <c r="E51" t="s">
        <v>225</v>
      </c>
      <c r="F51" t="s">
        <v>199</v>
      </c>
      <c r="G51" t="s">
        <v>191</v>
      </c>
      <c r="H51" t="s">
        <v>195</v>
      </c>
      <c r="I51">
        <v>16</v>
      </c>
      <c r="J51">
        <v>3453.16</v>
      </c>
      <c r="K51">
        <v>0</v>
      </c>
      <c r="L51" t="s">
        <v>196</v>
      </c>
      <c r="M51">
        <v>1</v>
      </c>
    </row>
    <row r="52" spans="1:13" x14ac:dyDescent="0.3">
      <c r="A52" t="s">
        <v>260</v>
      </c>
      <c r="B52">
        <v>3</v>
      </c>
      <c r="C52" s="1">
        <v>45007</v>
      </c>
      <c r="D52">
        <v>2023</v>
      </c>
      <c r="E52" t="s">
        <v>214</v>
      </c>
      <c r="F52" t="s">
        <v>199</v>
      </c>
      <c r="G52" t="s">
        <v>212</v>
      </c>
      <c r="H52" t="s">
        <v>195</v>
      </c>
      <c r="I52">
        <v>16</v>
      </c>
      <c r="J52">
        <v>5502.07</v>
      </c>
      <c r="K52">
        <v>1</v>
      </c>
      <c r="L52" t="s">
        <v>196</v>
      </c>
      <c r="M52">
        <v>1</v>
      </c>
    </row>
    <row r="53" spans="1:13" x14ac:dyDescent="0.3">
      <c r="A53" t="s">
        <v>261</v>
      </c>
      <c r="B53">
        <v>3</v>
      </c>
      <c r="C53" s="1">
        <v>45111</v>
      </c>
      <c r="D53">
        <v>2023</v>
      </c>
      <c r="E53" t="s">
        <v>198</v>
      </c>
      <c r="F53" t="s">
        <v>199</v>
      </c>
      <c r="G53" t="s">
        <v>203</v>
      </c>
      <c r="H53" t="s">
        <v>195</v>
      </c>
      <c r="I53">
        <v>1</v>
      </c>
      <c r="J53">
        <v>4812.78</v>
      </c>
      <c r="K53">
        <v>1</v>
      </c>
      <c r="L53" t="s">
        <v>193</v>
      </c>
      <c r="M53">
        <v>0</v>
      </c>
    </row>
    <row r="54" spans="1:13" x14ac:dyDescent="0.3">
      <c r="A54" t="s">
        <v>262</v>
      </c>
      <c r="B54">
        <v>3</v>
      </c>
      <c r="C54" s="1">
        <v>45347</v>
      </c>
      <c r="D54">
        <v>2024</v>
      </c>
      <c r="E54" t="s">
        <v>198</v>
      </c>
      <c r="F54" t="s">
        <v>199</v>
      </c>
      <c r="G54" t="s">
        <v>191</v>
      </c>
      <c r="H54" t="s">
        <v>204</v>
      </c>
      <c r="I54">
        <v>17</v>
      </c>
      <c r="J54">
        <v>4552.1099999999997</v>
      </c>
      <c r="K54">
        <v>1</v>
      </c>
      <c r="L54" t="s">
        <v>196</v>
      </c>
      <c r="M54">
        <v>1</v>
      </c>
    </row>
    <row r="55" spans="1:13" x14ac:dyDescent="0.3">
      <c r="A55" t="s">
        <v>263</v>
      </c>
      <c r="B55">
        <v>3</v>
      </c>
      <c r="C55" s="1">
        <v>45316</v>
      </c>
      <c r="D55">
        <v>2024</v>
      </c>
      <c r="E55" t="s">
        <v>214</v>
      </c>
      <c r="F55" t="s">
        <v>13</v>
      </c>
      <c r="G55" t="s">
        <v>191</v>
      </c>
      <c r="H55" t="s">
        <v>195</v>
      </c>
      <c r="I55">
        <v>6</v>
      </c>
      <c r="J55">
        <v>3517.59</v>
      </c>
      <c r="K55">
        <v>0</v>
      </c>
      <c r="L55" t="s">
        <v>193</v>
      </c>
      <c r="M55">
        <v>1</v>
      </c>
    </row>
    <row r="56" spans="1:13" x14ac:dyDescent="0.3">
      <c r="A56" t="s">
        <v>264</v>
      </c>
      <c r="B56">
        <v>3</v>
      </c>
      <c r="C56" s="1">
        <v>45333</v>
      </c>
      <c r="D56">
        <v>2024</v>
      </c>
      <c r="E56" t="s">
        <v>198</v>
      </c>
      <c r="F56" t="s">
        <v>13</v>
      </c>
      <c r="G56" t="s">
        <v>212</v>
      </c>
      <c r="H56" t="s">
        <v>206</v>
      </c>
      <c r="I56">
        <v>10</v>
      </c>
      <c r="J56">
        <v>1364.33</v>
      </c>
      <c r="K56">
        <v>1</v>
      </c>
      <c r="L56" t="s">
        <v>196</v>
      </c>
      <c r="M56">
        <v>1</v>
      </c>
    </row>
    <row r="57" spans="1:13" x14ac:dyDescent="0.3">
      <c r="A57" t="s">
        <v>265</v>
      </c>
      <c r="B57">
        <v>3</v>
      </c>
      <c r="C57" s="1">
        <v>45628</v>
      </c>
      <c r="D57">
        <v>2024</v>
      </c>
      <c r="E57" t="s">
        <v>219</v>
      </c>
      <c r="F57" t="s">
        <v>13</v>
      </c>
      <c r="G57" t="s">
        <v>200</v>
      </c>
      <c r="H57" t="s">
        <v>195</v>
      </c>
      <c r="I57">
        <v>12</v>
      </c>
      <c r="J57">
        <v>2919</v>
      </c>
      <c r="K57">
        <v>0</v>
      </c>
      <c r="L57" t="s">
        <v>196</v>
      </c>
      <c r="M57">
        <v>1</v>
      </c>
    </row>
    <row r="58" spans="1:13" x14ac:dyDescent="0.3">
      <c r="A58" t="s">
        <v>266</v>
      </c>
      <c r="B58">
        <v>3</v>
      </c>
      <c r="C58" s="1">
        <v>45317</v>
      </c>
      <c r="D58">
        <v>2024</v>
      </c>
      <c r="E58" t="s">
        <v>190</v>
      </c>
      <c r="F58" t="s">
        <v>13</v>
      </c>
      <c r="G58" t="s">
        <v>212</v>
      </c>
      <c r="H58" t="s">
        <v>195</v>
      </c>
      <c r="I58">
        <v>10</v>
      </c>
      <c r="J58">
        <v>1310.82</v>
      </c>
      <c r="K58">
        <v>1</v>
      </c>
      <c r="L58" t="s">
        <v>201</v>
      </c>
      <c r="M58">
        <v>1</v>
      </c>
    </row>
    <row r="59" spans="1:13" x14ac:dyDescent="0.3">
      <c r="A59" t="s">
        <v>267</v>
      </c>
      <c r="B59">
        <v>3</v>
      </c>
      <c r="C59" s="1">
        <v>45475</v>
      </c>
      <c r="D59">
        <v>2024</v>
      </c>
      <c r="E59" t="s">
        <v>214</v>
      </c>
      <c r="F59" t="s">
        <v>13</v>
      </c>
      <c r="G59" t="s">
        <v>203</v>
      </c>
      <c r="H59" t="s">
        <v>204</v>
      </c>
      <c r="I59">
        <v>9</v>
      </c>
      <c r="J59">
        <v>1780.81</v>
      </c>
      <c r="K59">
        <v>1</v>
      </c>
      <c r="L59" t="s">
        <v>196</v>
      </c>
      <c r="M59">
        <v>0</v>
      </c>
    </row>
    <row r="60" spans="1:13" x14ac:dyDescent="0.3">
      <c r="A60" t="s">
        <v>268</v>
      </c>
      <c r="B60">
        <v>3</v>
      </c>
      <c r="C60" s="1">
        <v>45843</v>
      </c>
      <c r="D60">
        <v>2025</v>
      </c>
      <c r="E60" t="s">
        <v>214</v>
      </c>
      <c r="F60" t="s">
        <v>199</v>
      </c>
      <c r="G60" t="s">
        <v>200</v>
      </c>
      <c r="H60" t="s">
        <v>206</v>
      </c>
      <c r="I60">
        <v>7</v>
      </c>
      <c r="J60">
        <v>5506.75</v>
      </c>
      <c r="K60">
        <v>0</v>
      </c>
      <c r="L60" t="s">
        <v>196</v>
      </c>
      <c r="M60">
        <v>0</v>
      </c>
    </row>
    <row r="61" spans="1:13" x14ac:dyDescent="0.3">
      <c r="A61" t="s">
        <v>269</v>
      </c>
      <c r="B61">
        <v>3</v>
      </c>
      <c r="C61" s="1">
        <v>45946</v>
      </c>
      <c r="D61">
        <v>2025</v>
      </c>
      <c r="E61" t="s">
        <v>214</v>
      </c>
      <c r="F61" t="s">
        <v>12</v>
      </c>
      <c r="G61" t="s">
        <v>212</v>
      </c>
      <c r="H61" t="s">
        <v>195</v>
      </c>
      <c r="I61">
        <v>3</v>
      </c>
      <c r="J61">
        <v>435.21</v>
      </c>
      <c r="K61">
        <v>0</v>
      </c>
      <c r="L61" t="s">
        <v>210</v>
      </c>
      <c r="M61">
        <v>1</v>
      </c>
    </row>
    <row r="62" spans="1:13" x14ac:dyDescent="0.3">
      <c r="A62" t="s">
        <v>270</v>
      </c>
      <c r="B62">
        <v>3</v>
      </c>
      <c r="C62" s="1">
        <v>45839</v>
      </c>
      <c r="D62">
        <v>2025</v>
      </c>
      <c r="E62" t="s">
        <v>227</v>
      </c>
      <c r="F62" t="s">
        <v>13</v>
      </c>
      <c r="G62" t="s">
        <v>203</v>
      </c>
      <c r="H62" t="s">
        <v>195</v>
      </c>
      <c r="I62">
        <v>19</v>
      </c>
      <c r="J62">
        <v>2064.1799999999998</v>
      </c>
      <c r="K62">
        <v>0</v>
      </c>
      <c r="L62" t="s">
        <v>210</v>
      </c>
      <c r="M62">
        <v>0</v>
      </c>
    </row>
    <row r="63" spans="1:13" x14ac:dyDescent="0.3">
      <c r="A63" t="s">
        <v>271</v>
      </c>
      <c r="B63">
        <v>3</v>
      </c>
      <c r="C63" s="1">
        <v>45663</v>
      </c>
      <c r="D63">
        <v>2025</v>
      </c>
      <c r="E63" t="s">
        <v>198</v>
      </c>
      <c r="F63" t="s">
        <v>13</v>
      </c>
      <c r="G63" t="s">
        <v>203</v>
      </c>
      <c r="H63" t="s">
        <v>195</v>
      </c>
      <c r="I63">
        <v>14</v>
      </c>
      <c r="J63">
        <v>2171.87</v>
      </c>
      <c r="K63">
        <v>1</v>
      </c>
      <c r="L63" t="s">
        <v>196</v>
      </c>
      <c r="M63">
        <v>0</v>
      </c>
    </row>
    <row r="64" spans="1:13" x14ac:dyDescent="0.3">
      <c r="A64" t="s">
        <v>272</v>
      </c>
      <c r="B64">
        <v>4</v>
      </c>
      <c r="C64" s="1">
        <v>44431</v>
      </c>
      <c r="D64">
        <v>2021</v>
      </c>
      <c r="E64" t="s">
        <v>214</v>
      </c>
      <c r="F64" t="s">
        <v>13</v>
      </c>
      <c r="G64" t="s">
        <v>191</v>
      </c>
      <c r="H64" t="s">
        <v>206</v>
      </c>
      <c r="I64">
        <v>17</v>
      </c>
      <c r="J64">
        <v>3517.98</v>
      </c>
      <c r="K64">
        <v>0</v>
      </c>
      <c r="L64" t="s">
        <v>215</v>
      </c>
      <c r="M64">
        <v>0</v>
      </c>
    </row>
    <row r="65" spans="1:13" x14ac:dyDescent="0.3">
      <c r="A65" t="s">
        <v>273</v>
      </c>
      <c r="B65">
        <v>4</v>
      </c>
      <c r="C65" s="1">
        <v>44274</v>
      </c>
      <c r="D65">
        <v>2021</v>
      </c>
      <c r="E65" t="s">
        <v>219</v>
      </c>
      <c r="F65" t="s">
        <v>13</v>
      </c>
      <c r="G65" t="s">
        <v>212</v>
      </c>
      <c r="H65" t="s">
        <v>206</v>
      </c>
      <c r="I65">
        <v>15</v>
      </c>
      <c r="J65">
        <v>2742.17</v>
      </c>
      <c r="K65">
        <v>1</v>
      </c>
      <c r="L65" t="s">
        <v>193</v>
      </c>
      <c r="M65">
        <v>1</v>
      </c>
    </row>
    <row r="66" spans="1:13" x14ac:dyDescent="0.3">
      <c r="A66" t="s">
        <v>274</v>
      </c>
      <c r="B66">
        <v>4</v>
      </c>
      <c r="C66" s="1">
        <v>44229</v>
      </c>
      <c r="D66">
        <v>2021</v>
      </c>
      <c r="E66" t="s">
        <v>198</v>
      </c>
      <c r="F66" t="s">
        <v>13</v>
      </c>
      <c r="G66" t="s">
        <v>203</v>
      </c>
      <c r="H66" t="s">
        <v>204</v>
      </c>
      <c r="I66">
        <v>7</v>
      </c>
      <c r="J66">
        <v>2498.3000000000002</v>
      </c>
      <c r="K66">
        <v>1</v>
      </c>
      <c r="L66" t="s">
        <v>193</v>
      </c>
      <c r="M66">
        <v>0</v>
      </c>
    </row>
    <row r="67" spans="1:13" x14ac:dyDescent="0.3">
      <c r="A67" t="s">
        <v>275</v>
      </c>
      <c r="B67">
        <v>4</v>
      </c>
      <c r="C67" s="1">
        <v>44556</v>
      </c>
      <c r="D67">
        <v>2021</v>
      </c>
      <c r="E67" t="s">
        <v>198</v>
      </c>
      <c r="F67" t="s">
        <v>199</v>
      </c>
      <c r="G67" t="s">
        <v>200</v>
      </c>
      <c r="H67" t="s">
        <v>195</v>
      </c>
      <c r="I67">
        <v>2</v>
      </c>
      <c r="J67">
        <v>6656.98</v>
      </c>
      <c r="K67">
        <v>1</v>
      </c>
      <c r="L67" t="s">
        <v>196</v>
      </c>
      <c r="M67">
        <v>0</v>
      </c>
    </row>
    <row r="68" spans="1:13" x14ac:dyDescent="0.3">
      <c r="A68" t="s">
        <v>276</v>
      </c>
      <c r="B68">
        <v>4</v>
      </c>
      <c r="C68" s="1">
        <v>44229</v>
      </c>
      <c r="D68">
        <v>2021</v>
      </c>
      <c r="E68" t="s">
        <v>227</v>
      </c>
      <c r="F68" t="s">
        <v>13</v>
      </c>
      <c r="G68" t="s">
        <v>191</v>
      </c>
      <c r="H68" t="s">
        <v>204</v>
      </c>
      <c r="I68">
        <v>7</v>
      </c>
      <c r="J68">
        <v>1963.48</v>
      </c>
      <c r="K68">
        <v>0</v>
      </c>
      <c r="L68" t="s">
        <v>210</v>
      </c>
      <c r="M68">
        <v>1</v>
      </c>
    </row>
    <row r="69" spans="1:13" x14ac:dyDescent="0.3">
      <c r="A69" t="s">
        <v>277</v>
      </c>
      <c r="B69">
        <v>4</v>
      </c>
      <c r="C69" s="1">
        <v>44660</v>
      </c>
      <c r="D69">
        <v>2022</v>
      </c>
      <c r="E69" t="s">
        <v>219</v>
      </c>
      <c r="F69" t="s">
        <v>12</v>
      </c>
      <c r="G69" t="s">
        <v>212</v>
      </c>
      <c r="H69" t="s">
        <v>195</v>
      </c>
      <c r="I69">
        <v>1</v>
      </c>
      <c r="J69">
        <v>1237.51</v>
      </c>
      <c r="K69">
        <v>0</v>
      </c>
      <c r="L69" t="s">
        <v>201</v>
      </c>
      <c r="M69">
        <v>1</v>
      </c>
    </row>
    <row r="70" spans="1:13" x14ac:dyDescent="0.3">
      <c r="A70" t="s">
        <v>278</v>
      </c>
      <c r="B70">
        <v>4</v>
      </c>
      <c r="C70" s="1">
        <v>44869</v>
      </c>
      <c r="D70">
        <v>2022</v>
      </c>
      <c r="E70" t="s">
        <v>198</v>
      </c>
      <c r="F70" t="s">
        <v>199</v>
      </c>
      <c r="G70" t="s">
        <v>191</v>
      </c>
      <c r="H70" t="s">
        <v>206</v>
      </c>
      <c r="I70">
        <v>2</v>
      </c>
      <c r="J70">
        <v>4744.1499999999996</v>
      </c>
      <c r="K70">
        <v>1</v>
      </c>
      <c r="L70" t="s">
        <v>193</v>
      </c>
      <c r="M70">
        <v>0</v>
      </c>
    </row>
    <row r="71" spans="1:13" x14ac:dyDescent="0.3">
      <c r="A71" t="s">
        <v>279</v>
      </c>
      <c r="B71">
        <v>4</v>
      </c>
      <c r="C71" s="1">
        <v>44919</v>
      </c>
      <c r="D71">
        <v>2022</v>
      </c>
      <c r="E71" t="s">
        <v>214</v>
      </c>
      <c r="F71" t="s">
        <v>199</v>
      </c>
      <c r="G71" t="s">
        <v>203</v>
      </c>
      <c r="H71" t="s">
        <v>206</v>
      </c>
      <c r="I71">
        <v>3</v>
      </c>
      <c r="J71">
        <v>5901.63</v>
      </c>
      <c r="K71">
        <v>0</v>
      </c>
      <c r="L71" t="s">
        <v>193</v>
      </c>
      <c r="M71">
        <v>0</v>
      </c>
    </row>
    <row r="72" spans="1:13" x14ac:dyDescent="0.3">
      <c r="A72" t="s">
        <v>280</v>
      </c>
      <c r="B72">
        <v>4</v>
      </c>
      <c r="C72" s="1">
        <v>44763</v>
      </c>
      <c r="D72">
        <v>2022</v>
      </c>
      <c r="E72" t="s">
        <v>214</v>
      </c>
      <c r="F72" t="s">
        <v>209</v>
      </c>
      <c r="G72" t="s">
        <v>212</v>
      </c>
      <c r="H72" t="s">
        <v>204</v>
      </c>
      <c r="I72">
        <v>6</v>
      </c>
      <c r="J72">
        <v>138.34</v>
      </c>
      <c r="K72">
        <v>0</v>
      </c>
      <c r="L72" t="s">
        <v>215</v>
      </c>
      <c r="M72">
        <v>1</v>
      </c>
    </row>
    <row r="73" spans="1:13" x14ac:dyDescent="0.3">
      <c r="A73" t="s">
        <v>281</v>
      </c>
      <c r="B73">
        <v>4</v>
      </c>
      <c r="C73" s="1">
        <v>45073</v>
      </c>
      <c r="D73">
        <v>2023</v>
      </c>
      <c r="E73" t="s">
        <v>198</v>
      </c>
      <c r="F73" t="s">
        <v>13</v>
      </c>
      <c r="G73" t="s">
        <v>200</v>
      </c>
      <c r="H73" t="s">
        <v>195</v>
      </c>
      <c r="I73">
        <v>12</v>
      </c>
      <c r="J73">
        <v>3904.34</v>
      </c>
      <c r="K73">
        <v>1</v>
      </c>
      <c r="L73" t="s">
        <v>196</v>
      </c>
      <c r="M73">
        <v>1</v>
      </c>
    </row>
    <row r="74" spans="1:13" x14ac:dyDescent="0.3">
      <c r="A74" t="s">
        <v>282</v>
      </c>
      <c r="B74">
        <v>4</v>
      </c>
      <c r="C74" s="1">
        <v>45216</v>
      </c>
      <c r="D74">
        <v>2023</v>
      </c>
      <c r="E74" t="s">
        <v>219</v>
      </c>
      <c r="F74" t="s">
        <v>13</v>
      </c>
      <c r="G74" t="s">
        <v>212</v>
      </c>
      <c r="H74" t="s">
        <v>204</v>
      </c>
      <c r="I74">
        <v>2</v>
      </c>
      <c r="J74">
        <v>3954.8</v>
      </c>
      <c r="K74">
        <v>0</v>
      </c>
      <c r="L74" t="s">
        <v>210</v>
      </c>
      <c r="M74">
        <v>1</v>
      </c>
    </row>
    <row r="75" spans="1:13" x14ac:dyDescent="0.3">
      <c r="A75" t="s">
        <v>283</v>
      </c>
      <c r="B75">
        <v>4</v>
      </c>
      <c r="C75" s="1">
        <v>45116</v>
      </c>
      <c r="D75">
        <v>2023</v>
      </c>
      <c r="E75" t="s">
        <v>198</v>
      </c>
      <c r="F75" t="s">
        <v>199</v>
      </c>
      <c r="G75" t="s">
        <v>200</v>
      </c>
      <c r="H75" t="s">
        <v>195</v>
      </c>
      <c r="I75">
        <v>15</v>
      </c>
      <c r="J75">
        <v>6992.19</v>
      </c>
      <c r="K75">
        <v>1</v>
      </c>
      <c r="L75" t="s">
        <v>193</v>
      </c>
      <c r="M75">
        <v>1</v>
      </c>
    </row>
    <row r="76" spans="1:13" x14ac:dyDescent="0.3">
      <c r="A76" t="s">
        <v>284</v>
      </c>
      <c r="B76">
        <v>4</v>
      </c>
      <c r="C76" s="1">
        <v>44934</v>
      </c>
      <c r="D76">
        <v>2023</v>
      </c>
      <c r="E76" t="s">
        <v>198</v>
      </c>
      <c r="F76" t="s">
        <v>13</v>
      </c>
      <c r="G76" t="s">
        <v>212</v>
      </c>
      <c r="H76" t="s">
        <v>195</v>
      </c>
      <c r="I76">
        <v>2</v>
      </c>
      <c r="J76">
        <v>3422.46</v>
      </c>
      <c r="K76">
        <v>1</v>
      </c>
      <c r="L76" t="s">
        <v>196</v>
      </c>
      <c r="M76">
        <v>1</v>
      </c>
    </row>
    <row r="77" spans="1:13" x14ac:dyDescent="0.3">
      <c r="A77" t="s">
        <v>285</v>
      </c>
      <c r="B77">
        <v>4</v>
      </c>
      <c r="C77" s="1">
        <v>45589</v>
      </c>
      <c r="D77">
        <v>2024</v>
      </c>
      <c r="E77" t="s">
        <v>214</v>
      </c>
      <c r="F77" t="s">
        <v>12</v>
      </c>
      <c r="G77" t="s">
        <v>203</v>
      </c>
      <c r="H77" t="s">
        <v>204</v>
      </c>
      <c r="I77">
        <v>10</v>
      </c>
      <c r="J77">
        <v>294.5</v>
      </c>
      <c r="K77">
        <v>0</v>
      </c>
      <c r="L77" t="s">
        <v>215</v>
      </c>
      <c r="M77">
        <v>0</v>
      </c>
    </row>
    <row r="78" spans="1:13" x14ac:dyDescent="0.3">
      <c r="A78" t="s">
        <v>286</v>
      </c>
      <c r="B78">
        <v>4</v>
      </c>
      <c r="C78" s="1">
        <v>45438</v>
      </c>
      <c r="D78">
        <v>2024</v>
      </c>
      <c r="E78" t="s">
        <v>287</v>
      </c>
      <c r="F78" t="s">
        <v>209</v>
      </c>
      <c r="G78" t="s">
        <v>212</v>
      </c>
      <c r="H78" t="s">
        <v>204</v>
      </c>
      <c r="I78">
        <v>11</v>
      </c>
      <c r="J78">
        <v>516.17999999999995</v>
      </c>
      <c r="K78">
        <v>1</v>
      </c>
      <c r="L78" t="s">
        <v>201</v>
      </c>
      <c r="M78">
        <v>1</v>
      </c>
    </row>
    <row r="79" spans="1:13" x14ac:dyDescent="0.3">
      <c r="A79" t="s">
        <v>288</v>
      </c>
      <c r="B79">
        <v>4</v>
      </c>
      <c r="C79" s="1">
        <v>45670</v>
      </c>
      <c r="D79">
        <v>2025</v>
      </c>
      <c r="E79" t="s">
        <v>190</v>
      </c>
      <c r="F79" t="s">
        <v>12</v>
      </c>
      <c r="G79" t="s">
        <v>200</v>
      </c>
      <c r="H79" t="s">
        <v>192</v>
      </c>
      <c r="I79">
        <v>7</v>
      </c>
      <c r="J79">
        <v>1371.43</v>
      </c>
      <c r="K79">
        <v>0</v>
      </c>
      <c r="L79" t="s">
        <v>201</v>
      </c>
      <c r="M79">
        <v>0</v>
      </c>
    </row>
    <row r="80" spans="1:13" x14ac:dyDescent="0.3">
      <c r="A80" t="s">
        <v>289</v>
      </c>
      <c r="B80">
        <v>4</v>
      </c>
      <c r="C80" s="1">
        <v>45840</v>
      </c>
      <c r="D80">
        <v>2025</v>
      </c>
      <c r="E80" t="s">
        <v>198</v>
      </c>
      <c r="F80" t="s">
        <v>199</v>
      </c>
      <c r="G80" t="s">
        <v>191</v>
      </c>
      <c r="H80" t="s">
        <v>206</v>
      </c>
      <c r="I80">
        <v>18</v>
      </c>
      <c r="J80">
        <v>6862.49</v>
      </c>
      <c r="K80">
        <v>1</v>
      </c>
      <c r="L80" t="s">
        <v>196</v>
      </c>
      <c r="M80">
        <v>0</v>
      </c>
    </row>
    <row r="81" spans="1:13" x14ac:dyDescent="0.3">
      <c r="A81" t="s">
        <v>290</v>
      </c>
      <c r="B81">
        <v>4</v>
      </c>
      <c r="C81" s="1">
        <v>45999</v>
      </c>
      <c r="D81">
        <v>2025</v>
      </c>
      <c r="E81" t="s">
        <v>227</v>
      </c>
      <c r="F81" t="s">
        <v>199</v>
      </c>
      <c r="G81" t="s">
        <v>212</v>
      </c>
      <c r="H81" t="s">
        <v>195</v>
      </c>
      <c r="I81">
        <v>8</v>
      </c>
      <c r="J81">
        <v>7989.49</v>
      </c>
      <c r="K81">
        <v>1</v>
      </c>
      <c r="L81" t="s">
        <v>196</v>
      </c>
      <c r="M81">
        <v>1</v>
      </c>
    </row>
    <row r="82" spans="1:13" x14ac:dyDescent="0.3">
      <c r="A82" t="s">
        <v>291</v>
      </c>
      <c r="B82">
        <v>4</v>
      </c>
      <c r="C82" s="1">
        <v>45965</v>
      </c>
      <c r="D82">
        <v>2025</v>
      </c>
      <c r="E82" t="s">
        <v>227</v>
      </c>
      <c r="F82" t="s">
        <v>199</v>
      </c>
      <c r="G82" t="s">
        <v>191</v>
      </c>
      <c r="H82" t="s">
        <v>192</v>
      </c>
      <c r="I82">
        <v>9</v>
      </c>
      <c r="J82">
        <v>7437.02</v>
      </c>
      <c r="K82">
        <v>1</v>
      </c>
      <c r="L82" t="s">
        <v>196</v>
      </c>
      <c r="M82">
        <v>0</v>
      </c>
    </row>
    <row r="83" spans="1:13" x14ac:dyDescent="0.3">
      <c r="A83" t="s">
        <v>292</v>
      </c>
      <c r="B83">
        <v>4</v>
      </c>
      <c r="C83" s="1">
        <v>45833</v>
      </c>
      <c r="D83">
        <v>2025</v>
      </c>
      <c r="E83" t="s">
        <v>198</v>
      </c>
      <c r="F83" t="s">
        <v>12</v>
      </c>
      <c r="G83" t="s">
        <v>203</v>
      </c>
      <c r="H83" t="s">
        <v>195</v>
      </c>
      <c r="I83">
        <v>8</v>
      </c>
      <c r="J83">
        <v>380.47</v>
      </c>
      <c r="K83">
        <v>1</v>
      </c>
      <c r="L83" t="s">
        <v>201</v>
      </c>
      <c r="M83">
        <v>1</v>
      </c>
    </row>
    <row r="84" spans="1:13" x14ac:dyDescent="0.3">
      <c r="A84" t="s">
        <v>293</v>
      </c>
      <c r="B84">
        <v>4</v>
      </c>
      <c r="C84" s="1">
        <v>45878</v>
      </c>
      <c r="D84">
        <v>2025</v>
      </c>
      <c r="E84" t="s">
        <v>198</v>
      </c>
      <c r="F84" t="s">
        <v>199</v>
      </c>
      <c r="G84" t="s">
        <v>191</v>
      </c>
      <c r="H84" t="s">
        <v>206</v>
      </c>
      <c r="I84">
        <v>3</v>
      </c>
      <c r="J84">
        <v>4177.17</v>
      </c>
      <c r="K84">
        <v>1</v>
      </c>
      <c r="L84" t="s">
        <v>193</v>
      </c>
      <c r="M84">
        <v>1</v>
      </c>
    </row>
    <row r="85" spans="1:13" x14ac:dyDescent="0.3">
      <c r="A85" t="s">
        <v>294</v>
      </c>
      <c r="B85">
        <v>5</v>
      </c>
      <c r="C85" s="1">
        <v>44204</v>
      </c>
      <c r="D85">
        <v>2021</v>
      </c>
      <c r="E85" t="s">
        <v>190</v>
      </c>
      <c r="F85" t="s">
        <v>13</v>
      </c>
      <c r="G85" t="s">
        <v>212</v>
      </c>
      <c r="H85" t="s">
        <v>195</v>
      </c>
      <c r="I85">
        <v>17</v>
      </c>
      <c r="J85">
        <v>1833.9</v>
      </c>
      <c r="K85">
        <v>1</v>
      </c>
      <c r="L85" t="s">
        <v>215</v>
      </c>
      <c r="M85">
        <v>1</v>
      </c>
    </row>
    <row r="86" spans="1:13" x14ac:dyDescent="0.3">
      <c r="A86" t="s">
        <v>295</v>
      </c>
      <c r="B86">
        <v>5</v>
      </c>
      <c r="C86" s="1">
        <v>44229</v>
      </c>
      <c r="D86">
        <v>2021</v>
      </c>
      <c r="E86" t="s">
        <v>198</v>
      </c>
      <c r="F86" t="s">
        <v>13</v>
      </c>
      <c r="G86" t="s">
        <v>212</v>
      </c>
      <c r="H86" t="s">
        <v>195</v>
      </c>
      <c r="I86">
        <v>5</v>
      </c>
      <c r="J86">
        <v>2153.9899999999998</v>
      </c>
      <c r="K86">
        <v>1</v>
      </c>
      <c r="L86" t="s">
        <v>196</v>
      </c>
      <c r="M86">
        <v>1</v>
      </c>
    </row>
    <row r="87" spans="1:13" x14ac:dyDescent="0.3">
      <c r="A87" t="s">
        <v>296</v>
      </c>
      <c r="B87">
        <v>5</v>
      </c>
      <c r="C87" s="1">
        <v>44277</v>
      </c>
      <c r="D87">
        <v>2021</v>
      </c>
      <c r="E87" t="s">
        <v>227</v>
      </c>
      <c r="F87" t="s">
        <v>12</v>
      </c>
      <c r="G87" t="s">
        <v>203</v>
      </c>
      <c r="H87" t="s">
        <v>192</v>
      </c>
      <c r="I87">
        <v>18</v>
      </c>
      <c r="J87">
        <v>1010.92</v>
      </c>
      <c r="K87">
        <v>0</v>
      </c>
      <c r="L87" t="s">
        <v>215</v>
      </c>
      <c r="M87">
        <v>1</v>
      </c>
    </row>
    <row r="88" spans="1:13" x14ac:dyDescent="0.3">
      <c r="A88" t="s">
        <v>297</v>
      </c>
      <c r="B88">
        <v>5</v>
      </c>
      <c r="C88" s="1">
        <v>44476</v>
      </c>
      <c r="D88">
        <v>2021</v>
      </c>
      <c r="E88" t="s">
        <v>225</v>
      </c>
      <c r="F88" t="s">
        <v>199</v>
      </c>
      <c r="G88" t="s">
        <v>203</v>
      </c>
      <c r="H88" t="s">
        <v>195</v>
      </c>
      <c r="I88">
        <v>3</v>
      </c>
      <c r="J88">
        <v>6544.78</v>
      </c>
      <c r="K88">
        <v>0</v>
      </c>
      <c r="L88" t="s">
        <v>196</v>
      </c>
      <c r="M88">
        <v>0</v>
      </c>
    </row>
    <row r="89" spans="1:13" x14ac:dyDescent="0.3">
      <c r="A89" t="s">
        <v>298</v>
      </c>
      <c r="B89">
        <v>5</v>
      </c>
      <c r="C89" s="1">
        <v>44875</v>
      </c>
      <c r="D89">
        <v>2022</v>
      </c>
      <c r="E89" t="s">
        <v>190</v>
      </c>
      <c r="F89" t="s">
        <v>13</v>
      </c>
      <c r="G89" t="s">
        <v>212</v>
      </c>
      <c r="H89" t="s">
        <v>204</v>
      </c>
      <c r="I89">
        <v>3</v>
      </c>
      <c r="J89">
        <v>2704.91</v>
      </c>
      <c r="K89">
        <v>0</v>
      </c>
      <c r="L89" t="s">
        <v>193</v>
      </c>
      <c r="M89">
        <v>1</v>
      </c>
    </row>
    <row r="90" spans="1:13" x14ac:dyDescent="0.3">
      <c r="A90" t="s">
        <v>299</v>
      </c>
      <c r="B90">
        <v>5</v>
      </c>
      <c r="C90" s="1">
        <v>44757</v>
      </c>
      <c r="D90">
        <v>2022</v>
      </c>
      <c r="E90" t="s">
        <v>219</v>
      </c>
      <c r="F90" t="s">
        <v>13</v>
      </c>
      <c r="G90" t="s">
        <v>200</v>
      </c>
      <c r="H90" t="s">
        <v>192</v>
      </c>
      <c r="I90">
        <v>2</v>
      </c>
      <c r="J90">
        <v>3398.77</v>
      </c>
      <c r="K90">
        <v>0</v>
      </c>
      <c r="L90" t="s">
        <v>215</v>
      </c>
      <c r="M90">
        <v>0</v>
      </c>
    </row>
    <row r="91" spans="1:13" x14ac:dyDescent="0.3">
      <c r="A91" t="s">
        <v>300</v>
      </c>
      <c r="B91">
        <v>5</v>
      </c>
      <c r="C91" s="1">
        <v>44814</v>
      </c>
      <c r="D91">
        <v>2022</v>
      </c>
      <c r="E91" t="s">
        <v>214</v>
      </c>
      <c r="F91" t="s">
        <v>12</v>
      </c>
      <c r="G91" t="s">
        <v>212</v>
      </c>
      <c r="H91" t="s">
        <v>192</v>
      </c>
      <c r="I91">
        <v>12</v>
      </c>
      <c r="J91">
        <v>1074.04</v>
      </c>
      <c r="K91">
        <v>0</v>
      </c>
      <c r="L91" t="s">
        <v>201</v>
      </c>
      <c r="M91">
        <v>1</v>
      </c>
    </row>
    <row r="92" spans="1:13" x14ac:dyDescent="0.3">
      <c r="A92" t="s">
        <v>301</v>
      </c>
      <c r="B92">
        <v>5</v>
      </c>
      <c r="C92" s="1">
        <v>44967</v>
      </c>
      <c r="D92">
        <v>2023</v>
      </c>
      <c r="E92" t="s">
        <v>214</v>
      </c>
      <c r="F92" t="s">
        <v>199</v>
      </c>
      <c r="G92" t="s">
        <v>200</v>
      </c>
      <c r="H92" t="s">
        <v>204</v>
      </c>
      <c r="I92">
        <v>11</v>
      </c>
      <c r="J92">
        <v>4472.9799999999996</v>
      </c>
      <c r="K92">
        <v>1</v>
      </c>
      <c r="L92" t="s">
        <v>201</v>
      </c>
      <c r="M92">
        <v>0</v>
      </c>
    </row>
    <row r="93" spans="1:13" x14ac:dyDescent="0.3">
      <c r="A93" t="s">
        <v>302</v>
      </c>
      <c r="B93">
        <v>5</v>
      </c>
      <c r="C93" s="1">
        <v>45202</v>
      </c>
      <c r="D93">
        <v>2023</v>
      </c>
      <c r="E93" t="s">
        <v>198</v>
      </c>
      <c r="F93" t="s">
        <v>13</v>
      </c>
      <c r="G93" t="s">
        <v>203</v>
      </c>
      <c r="H93" t="s">
        <v>204</v>
      </c>
      <c r="I93">
        <v>6</v>
      </c>
      <c r="J93">
        <v>1539.41</v>
      </c>
      <c r="K93">
        <v>1</v>
      </c>
      <c r="L93" t="s">
        <v>215</v>
      </c>
      <c r="M93">
        <v>1</v>
      </c>
    </row>
    <row r="94" spans="1:13" x14ac:dyDescent="0.3">
      <c r="A94" t="s">
        <v>303</v>
      </c>
      <c r="B94">
        <v>5</v>
      </c>
      <c r="C94" s="1">
        <v>44993</v>
      </c>
      <c r="D94">
        <v>2023</v>
      </c>
      <c r="E94" t="s">
        <v>214</v>
      </c>
      <c r="F94" t="s">
        <v>13</v>
      </c>
      <c r="G94" t="s">
        <v>200</v>
      </c>
      <c r="H94" t="s">
        <v>192</v>
      </c>
      <c r="I94">
        <v>11</v>
      </c>
      <c r="J94">
        <v>3053.32</v>
      </c>
      <c r="K94">
        <v>1</v>
      </c>
      <c r="L94" t="s">
        <v>215</v>
      </c>
      <c r="M94">
        <v>0</v>
      </c>
    </row>
    <row r="95" spans="1:13" x14ac:dyDescent="0.3">
      <c r="A95" t="s">
        <v>304</v>
      </c>
      <c r="B95">
        <v>5</v>
      </c>
      <c r="C95" s="1">
        <v>45314</v>
      </c>
      <c r="D95">
        <v>2024</v>
      </c>
      <c r="E95" t="s">
        <v>287</v>
      </c>
      <c r="F95" t="s">
        <v>199</v>
      </c>
      <c r="G95" t="s">
        <v>200</v>
      </c>
      <c r="H95" t="s">
        <v>206</v>
      </c>
      <c r="I95">
        <v>2</v>
      </c>
      <c r="J95">
        <v>7171.74</v>
      </c>
      <c r="K95">
        <v>0</v>
      </c>
      <c r="L95" t="s">
        <v>196</v>
      </c>
      <c r="M95">
        <v>0</v>
      </c>
    </row>
    <row r="96" spans="1:13" x14ac:dyDescent="0.3">
      <c r="A96" t="s">
        <v>305</v>
      </c>
      <c r="B96">
        <v>5</v>
      </c>
      <c r="C96" s="1">
        <v>45325</v>
      </c>
      <c r="D96">
        <v>2024</v>
      </c>
      <c r="E96" t="s">
        <v>219</v>
      </c>
      <c r="F96" t="s">
        <v>12</v>
      </c>
      <c r="G96" t="s">
        <v>200</v>
      </c>
      <c r="H96" t="s">
        <v>192</v>
      </c>
      <c r="I96">
        <v>13</v>
      </c>
      <c r="J96">
        <v>962.96</v>
      </c>
      <c r="K96">
        <v>0</v>
      </c>
      <c r="L96" t="s">
        <v>215</v>
      </c>
      <c r="M96">
        <v>0</v>
      </c>
    </row>
    <row r="97" spans="1:13" x14ac:dyDescent="0.3">
      <c r="A97" t="s">
        <v>306</v>
      </c>
      <c r="B97">
        <v>5</v>
      </c>
      <c r="C97" s="1">
        <v>45483</v>
      </c>
      <c r="D97">
        <v>2024</v>
      </c>
      <c r="E97" t="s">
        <v>214</v>
      </c>
      <c r="F97" t="s">
        <v>12</v>
      </c>
      <c r="G97" t="s">
        <v>212</v>
      </c>
      <c r="H97" t="s">
        <v>204</v>
      </c>
      <c r="I97">
        <v>9</v>
      </c>
      <c r="J97">
        <v>760.17</v>
      </c>
      <c r="K97">
        <v>0</v>
      </c>
      <c r="L97" t="s">
        <v>215</v>
      </c>
      <c r="M97">
        <v>1</v>
      </c>
    </row>
    <row r="98" spans="1:13" x14ac:dyDescent="0.3">
      <c r="A98" t="s">
        <v>307</v>
      </c>
      <c r="B98">
        <v>5</v>
      </c>
      <c r="C98" s="1">
        <v>45432</v>
      </c>
      <c r="D98">
        <v>2024</v>
      </c>
      <c r="E98" t="s">
        <v>227</v>
      </c>
      <c r="F98" t="s">
        <v>12</v>
      </c>
      <c r="G98" t="s">
        <v>203</v>
      </c>
      <c r="H98" t="s">
        <v>195</v>
      </c>
      <c r="I98">
        <v>5</v>
      </c>
      <c r="J98">
        <v>989.03</v>
      </c>
      <c r="K98">
        <v>0</v>
      </c>
      <c r="L98" t="s">
        <v>215</v>
      </c>
      <c r="M98">
        <v>0</v>
      </c>
    </row>
    <row r="99" spans="1:13" x14ac:dyDescent="0.3">
      <c r="A99" t="s">
        <v>308</v>
      </c>
      <c r="B99">
        <v>5</v>
      </c>
      <c r="C99" s="1">
        <v>45760</v>
      </c>
      <c r="D99">
        <v>2025</v>
      </c>
      <c r="E99" t="s">
        <v>227</v>
      </c>
      <c r="F99" t="s">
        <v>13</v>
      </c>
      <c r="G99" t="s">
        <v>191</v>
      </c>
      <c r="H99" t="s">
        <v>192</v>
      </c>
      <c r="I99">
        <v>5</v>
      </c>
      <c r="J99">
        <v>1231.93</v>
      </c>
      <c r="K99">
        <v>0</v>
      </c>
      <c r="L99" t="s">
        <v>215</v>
      </c>
      <c r="M99">
        <v>0</v>
      </c>
    </row>
    <row r="100" spans="1:13" x14ac:dyDescent="0.3">
      <c r="A100" t="s">
        <v>309</v>
      </c>
      <c r="B100">
        <v>5</v>
      </c>
      <c r="C100" s="1">
        <v>45951</v>
      </c>
      <c r="D100">
        <v>2025</v>
      </c>
      <c r="E100" t="s">
        <v>225</v>
      </c>
      <c r="F100" t="s">
        <v>13</v>
      </c>
      <c r="G100" t="s">
        <v>212</v>
      </c>
      <c r="H100" t="s">
        <v>206</v>
      </c>
      <c r="I100">
        <v>9</v>
      </c>
      <c r="J100">
        <v>2416.9899999999998</v>
      </c>
      <c r="K100">
        <v>0</v>
      </c>
      <c r="L100" t="s">
        <v>215</v>
      </c>
      <c r="M100">
        <v>1</v>
      </c>
    </row>
    <row r="101" spans="1:13" x14ac:dyDescent="0.3">
      <c r="A101" t="s">
        <v>310</v>
      </c>
      <c r="B101">
        <v>5</v>
      </c>
      <c r="C101" s="1">
        <v>45784</v>
      </c>
      <c r="D101">
        <v>2025</v>
      </c>
      <c r="E101" t="s">
        <v>214</v>
      </c>
      <c r="F101" t="s">
        <v>12</v>
      </c>
      <c r="G101" t="s">
        <v>212</v>
      </c>
      <c r="H101" t="s">
        <v>195</v>
      </c>
      <c r="I101">
        <v>5</v>
      </c>
      <c r="J101">
        <v>1185.24</v>
      </c>
      <c r="K101">
        <v>1</v>
      </c>
      <c r="L101" t="s">
        <v>201</v>
      </c>
      <c r="M101">
        <v>1</v>
      </c>
    </row>
    <row r="102" spans="1:13" x14ac:dyDescent="0.3">
      <c r="A102" t="s">
        <v>311</v>
      </c>
      <c r="B102">
        <v>5</v>
      </c>
      <c r="C102" s="1">
        <v>46005</v>
      </c>
      <c r="D102">
        <v>2025</v>
      </c>
      <c r="E102" t="s">
        <v>225</v>
      </c>
      <c r="F102" t="s">
        <v>13</v>
      </c>
      <c r="G102" t="s">
        <v>212</v>
      </c>
      <c r="H102" t="s">
        <v>195</v>
      </c>
      <c r="I102">
        <v>12</v>
      </c>
      <c r="J102">
        <v>2346.9</v>
      </c>
      <c r="K102">
        <v>0</v>
      </c>
      <c r="L102" t="s">
        <v>193</v>
      </c>
      <c r="M102">
        <v>1</v>
      </c>
    </row>
    <row r="103" spans="1:13" x14ac:dyDescent="0.3">
      <c r="A103" t="s">
        <v>312</v>
      </c>
      <c r="B103">
        <v>5</v>
      </c>
      <c r="C103" s="1">
        <v>45734</v>
      </c>
      <c r="D103">
        <v>2025</v>
      </c>
      <c r="E103" t="s">
        <v>198</v>
      </c>
      <c r="F103" t="s">
        <v>199</v>
      </c>
      <c r="G103" t="s">
        <v>191</v>
      </c>
      <c r="H103" t="s">
        <v>204</v>
      </c>
      <c r="I103">
        <v>7</v>
      </c>
      <c r="J103">
        <v>5830.5</v>
      </c>
      <c r="K103">
        <v>1</v>
      </c>
      <c r="L103" t="s">
        <v>196</v>
      </c>
      <c r="M103">
        <v>0</v>
      </c>
    </row>
    <row r="104" spans="1:13" x14ac:dyDescent="0.3">
      <c r="A104" t="s">
        <v>313</v>
      </c>
      <c r="B104">
        <v>6</v>
      </c>
      <c r="C104" s="1">
        <v>44394</v>
      </c>
      <c r="D104">
        <v>2021</v>
      </c>
      <c r="E104" t="s">
        <v>287</v>
      </c>
      <c r="F104" t="s">
        <v>12</v>
      </c>
      <c r="G104" t="s">
        <v>212</v>
      </c>
      <c r="H104" t="s">
        <v>192</v>
      </c>
      <c r="I104">
        <v>1</v>
      </c>
      <c r="J104">
        <v>1374.84</v>
      </c>
      <c r="K104">
        <v>0</v>
      </c>
      <c r="L104" t="s">
        <v>210</v>
      </c>
      <c r="M104">
        <v>1</v>
      </c>
    </row>
    <row r="105" spans="1:13" x14ac:dyDescent="0.3">
      <c r="A105" t="s">
        <v>314</v>
      </c>
      <c r="B105">
        <v>6</v>
      </c>
      <c r="C105" s="1">
        <v>44241</v>
      </c>
      <c r="D105">
        <v>2021</v>
      </c>
      <c r="E105" t="s">
        <v>214</v>
      </c>
      <c r="F105" t="s">
        <v>12</v>
      </c>
      <c r="G105" t="s">
        <v>191</v>
      </c>
      <c r="H105" t="s">
        <v>195</v>
      </c>
      <c r="I105">
        <v>6</v>
      </c>
      <c r="J105">
        <v>408</v>
      </c>
      <c r="K105">
        <v>0</v>
      </c>
      <c r="L105" t="s">
        <v>210</v>
      </c>
      <c r="M105">
        <v>0</v>
      </c>
    </row>
    <row r="106" spans="1:13" x14ac:dyDescent="0.3">
      <c r="A106" t="s">
        <v>315</v>
      </c>
      <c r="B106">
        <v>6</v>
      </c>
      <c r="C106" s="1">
        <v>44637</v>
      </c>
      <c r="D106">
        <v>2022</v>
      </c>
      <c r="E106" t="s">
        <v>198</v>
      </c>
      <c r="F106" t="s">
        <v>199</v>
      </c>
      <c r="G106" t="s">
        <v>203</v>
      </c>
      <c r="H106" t="s">
        <v>204</v>
      </c>
      <c r="I106">
        <v>3</v>
      </c>
      <c r="J106">
        <v>5563.17</v>
      </c>
      <c r="K106">
        <v>1</v>
      </c>
      <c r="L106" t="s">
        <v>193</v>
      </c>
      <c r="M106">
        <v>1</v>
      </c>
    </row>
    <row r="107" spans="1:13" x14ac:dyDescent="0.3">
      <c r="A107" t="s">
        <v>316</v>
      </c>
      <c r="B107">
        <v>6</v>
      </c>
      <c r="C107" s="1">
        <v>44731</v>
      </c>
      <c r="D107">
        <v>2022</v>
      </c>
      <c r="E107" t="s">
        <v>227</v>
      </c>
      <c r="F107" t="s">
        <v>13</v>
      </c>
      <c r="G107" t="s">
        <v>191</v>
      </c>
      <c r="H107" t="s">
        <v>204</v>
      </c>
      <c r="I107">
        <v>14</v>
      </c>
      <c r="J107">
        <v>3732.02</v>
      </c>
      <c r="K107">
        <v>1</v>
      </c>
      <c r="L107" t="s">
        <v>210</v>
      </c>
      <c r="M107">
        <v>0</v>
      </c>
    </row>
    <row r="108" spans="1:13" x14ac:dyDescent="0.3">
      <c r="A108" t="s">
        <v>317</v>
      </c>
      <c r="B108">
        <v>6</v>
      </c>
      <c r="C108" s="1">
        <v>44796</v>
      </c>
      <c r="D108">
        <v>2022</v>
      </c>
      <c r="E108" t="s">
        <v>198</v>
      </c>
      <c r="F108" t="s">
        <v>12</v>
      </c>
      <c r="G108" t="s">
        <v>191</v>
      </c>
      <c r="H108" t="s">
        <v>192</v>
      </c>
      <c r="I108">
        <v>11</v>
      </c>
      <c r="J108">
        <v>354.74</v>
      </c>
      <c r="K108">
        <v>1</v>
      </c>
      <c r="L108" t="s">
        <v>210</v>
      </c>
      <c r="M108">
        <v>0</v>
      </c>
    </row>
    <row r="109" spans="1:13" x14ac:dyDescent="0.3">
      <c r="A109" t="s">
        <v>318</v>
      </c>
      <c r="B109">
        <v>6</v>
      </c>
      <c r="C109" s="1">
        <v>45118</v>
      </c>
      <c r="D109">
        <v>2023</v>
      </c>
      <c r="E109" t="s">
        <v>219</v>
      </c>
      <c r="F109" t="s">
        <v>13</v>
      </c>
      <c r="G109" t="s">
        <v>200</v>
      </c>
      <c r="H109" t="s">
        <v>206</v>
      </c>
      <c r="I109">
        <v>16</v>
      </c>
      <c r="J109">
        <v>2023.35</v>
      </c>
      <c r="K109">
        <v>0</v>
      </c>
      <c r="L109" t="s">
        <v>201</v>
      </c>
      <c r="M109">
        <v>0</v>
      </c>
    </row>
    <row r="110" spans="1:13" x14ac:dyDescent="0.3">
      <c r="A110" t="s">
        <v>319</v>
      </c>
      <c r="B110">
        <v>6</v>
      </c>
      <c r="C110" s="1">
        <v>45117</v>
      </c>
      <c r="D110">
        <v>2023</v>
      </c>
      <c r="E110" t="s">
        <v>214</v>
      </c>
      <c r="F110" t="s">
        <v>12</v>
      </c>
      <c r="G110" t="s">
        <v>212</v>
      </c>
      <c r="H110" t="s">
        <v>206</v>
      </c>
      <c r="I110">
        <v>10</v>
      </c>
      <c r="J110">
        <v>513.35</v>
      </c>
      <c r="K110">
        <v>1</v>
      </c>
      <c r="L110" t="s">
        <v>210</v>
      </c>
      <c r="M110">
        <v>1</v>
      </c>
    </row>
    <row r="111" spans="1:13" x14ac:dyDescent="0.3">
      <c r="A111" t="s">
        <v>320</v>
      </c>
      <c r="B111">
        <v>6</v>
      </c>
      <c r="C111" s="1">
        <v>45210</v>
      </c>
      <c r="D111">
        <v>2023</v>
      </c>
      <c r="E111" t="s">
        <v>198</v>
      </c>
      <c r="F111" t="s">
        <v>199</v>
      </c>
      <c r="G111" t="s">
        <v>203</v>
      </c>
      <c r="H111" t="s">
        <v>192</v>
      </c>
      <c r="I111">
        <v>5</v>
      </c>
      <c r="J111">
        <v>3431.26</v>
      </c>
      <c r="K111">
        <v>1</v>
      </c>
      <c r="L111" t="s">
        <v>193</v>
      </c>
      <c r="M111">
        <v>0</v>
      </c>
    </row>
    <row r="112" spans="1:13" x14ac:dyDescent="0.3">
      <c r="A112" t="s">
        <v>321</v>
      </c>
      <c r="B112">
        <v>6</v>
      </c>
      <c r="C112" s="1">
        <v>44965</v>
      </c>
      <c r="D112">
        <v>2023</v>
      </c>
      <c r="E112" t="s">
        <v>214</v>
      </c>
      <c r="F112" t="s">
        <v>12</v>
      </c>
      <c r="G112" t="s">
        <v>212</v>
      </c>
      <c r="H112" t="s">
        <v>192</v>
      </c>
      <c r="I112">
        <v>10</v>
      </c>
      <c r="J112">
        <v>1378.18</v>
      </c>
      <c r="K112">
        <v>0</v>
      </c>
      <c r="L112" t="s">
        <v>215</v>
      </c>
      <c r="M112">
        <v>1</v>
      </c>
    </row>
    <row r="113" spans="1:13" x14ac:dyDescent="0.3">
      <c r="A113" t="s">
        <v>322</v>
      </c>
      <c r="B113">
        <v>6</v>
      </c>
      <c r="C113" s="1">
        <v>45017</v>
      </c>
      <c r="D113">
        <v>2023</v>
      </c>
      <c r="E113" t="s">
        <v>190</v>
      </c>
      <c r="F113" t="s">
        <v>12</v>
      </c>
      <c r="G113" t="s">
        <v>212</v>
      </c>
      <c r="H113" t="s">
        <v>206</v>
      </c>
      <c r="I113">
        <v>16</v>
      </c>
      <c r="J113">
        <v>407.72</v>
      </c>
      <c r="K113">
        <v>1</v>
      </c>
      <c r="L113" t="s">
        <v>201</v>
      </c>
      <c r="M113">
        <v>1</v>
      </c>
    </row>
    <row r="114" spans="1:13" x14ac:dyDescent="0.3">
      <c r="A114" t="s">
        <v>323</v>
      </c>
      <c r="B114">
        <v>6</v>
      </c>
      <c r="C114" s="1">
        <v>45283</v>
      </c>
      <c r="D114">
        <v>2023</v>
      </c>
      <c r="E114" t="s">
        <v>214</v>
      </c>
      <c r="F114" t="s">
        <v>199</v>
      </c>
      <c r="G114" t="s">
        <v>200</v>
      </c>
      <c r="H114" t="s">
        <v>204</v>
      </c>
      <c r="I114">
        <v>17</v>
      </c>
      <c r="J114">
        <v>4031.49</v>
      </c>
      <c r="K114">
        <v>0</v>
      </c>
      <c r="L114" t="s">
        <v>201</v>
      </c>
      <c r="M114">
        <v>1</v>
      </c>
    </row>
    <row r="115" spans="1:13" x14ac:dyDescent="0.3">
      <c r="A115" t="s">
        <v>324</v>
      </c>
      <c r="B115">
        <v>6</v>
      </c>
      <c r="C115" s="1">
        <v>45406</v>
      </c>
      <c r="D115">
        <v>2024</v>
      </c>
      <c r="E115" t="s">
        <v>214</v>
      </c>
      <c r="F115" t="s">
        <v>209</v>
      </c>
      <c r="G115" t="s">
        <v>212</v>
      </c>
      <c r="H115" t="s">
        <v>204</v>
      </c>
      <c r="I115">
        <v>2</v>
      </c>
      <c r="J115">
        <v>441.31</v>
      </c>
      <c r="K115">
        <v>0</v>
      </c>
      <c r="L115" t="s">
        <v>201</v>
      </c>
      <c r="M115">
        <v>1</v>
      </c>
    </row>
    <row r="116" spans="1:13" x14ac:dyDescent="0.3">
      <c r="A116" t="s">
        <v>325</v>
      </c>
      <c r="B116">
        <v>6</v>
      </c>
      <c r="C116" s="1">
        <v>45637</v>
      </c>
      <c r="D116">
        <v>2024</v>
      </c>
      <c r="E116" t="s">
        <v>190</v>
      </c>
      <c r="F116" t="s">
        <v>209</v>
      </c>
      <c r="G116" t="s">
        <v>203</v>
      </c>
      <c r="H116" t="s">
        <v>195</v>
      </c>
      <c r="I116">
        <v>6</v>
      </c>
      <c r="J116">
        <v>312.77999999999997</v>
      </c>
      <c r="K116">
        <v>0</v>
      </c>
      <c r="L116" t="s">
        <v>210</v>
      </c>
      <c r="M116">
        <v>1</v>
      </c>
    </row>
    <row r="117" spans="1:13" x14ac:dyDescent="0.3">
      <c r="A117" t="s">
        <v>326</v>
      </c>
      <c r="B117">
        <v>6</v>
      </c>
      <c r="C117" s="1">
        <v>45598</v>
      </c>
      <c r="D117">
        <v>2024</v>
      </c>
      <c r="E117" t="s">
        <v>190</v>
      </c>
      <c r="F117" t="s">
        <v>12</v>
      </c>
      <c r="G117" t="s">
        <v>203</v>
      </c>
      <c r="H117" t="s">
        <v>195</v>
      </c>
      <c r="I117">
        <v>3</v>
      </c>
      <c r="J117">
        <v>1340.14</v>
      </c>
      <c r="K117">
        <v>0</v>
      </c>
      <c r="L117" t="s">
        <v>193</v>
      </c>
      <c r="M117">
        <v>0</v>
      </c>
    </row>
    <row r="118" spans="1:13" x14ac:dyDescent="0.3">
      <c r="A118" t="s">
        <v>327</v>
      </c>
      <c r="B118">
        <v>6</v>
      </c>
      <c r="C118" s="1">
        <v>45740</v>
      </c>
      <c r="D118">
        <v>2025</v>
      </c>
      <c r="E118" t="s">
        <v>214</v>
      </c>
      <c r="F118" t="s">
        <v>13</v>
      </c>
      <c r="G118" t="s">
        <v>212</v>
      </c>
      <c r="H118" t="s">
        <v>195</v>
      </c>
      <c r="I118">
        <v>8</v>
      </c>
      <c r="J118">
        <v>1642.57</v>
      </c>
      <c r="K118">
        <v>1</v>
      </c>
      <c r="L118" t="s">
        <v>196</v>
      </c>
      <c r="M118">
        <v>1</v>
      </c>
    </row>
    <row r="119" spans="1:13" x14ac:dyDescent="0.3">
      <c r="A119" t="s">
        <v>328</v>
      </c>
      <c r="B119">
        <v>6</v>
      </c>
      <c r="C119" s="1">
        <v>45937</v>
      </c>
      <c r="D119">
        <v>2025</v>
      </c>
      <c r="E119" t="s">
        <v>227</v>
      </c>
      <c r="F119" t="s">
        <v>13</v>
      </c>
      <c r="G119" t="s">
        <v>212</v>
      </c>
      <c r="H119" t="s">
        <v>206</v>
      </c>
      <c r="I119">
        <v>15</v>
      </c>
      <c r="J119">
        <v>2046.11</v>
      </c>
      <c r="K119">
        <v>0</v>
      </c>
      <c r="L119" t="s">
        <v>201</v>
      </c>
      <c r="M119">
        <v>1</v>
      </c>
    </row>
    <row r="120" spans="1:13" x14ac:dyDescent="0.3">
      <c r="A120" t="s">
        <v>329</v>
      </c>
      <c r="B120">
        <v>6</v>
      </c>
      <c r="C120" s="1">
        <v>45804</v>
      </c>
      <c r="D120">
        <v>2025</v>
      </c>
      <c r="E120" t="s">
        <v>198</v>
      </c>
      <c r="F120" t="s">
        <v>199</v>
      </c>
      <c r="G120" t="s">
        <v>212</v>
      </c>
      <c r="H120" t="s">
        <v>195</v>
      </c>
      <c r="I120">
        <v>16</v>
      </c>
      <c r="J120">
        <v>4124.79</v>
      </c>
      <c r="K120">
        <v>1</v>
      </c>
      <c r="L120" t="s">
        <v>193</v>
      </c>
      <c r="M120">
        <v>1</v>
      </c>
    </row>
    <row r="121" spans="1:13" x14ac:dyDescent="0.3">
      <c r="A121" t="s">
        <v>330</v>
      </c>
      <c r="B121">
        <v>6</v>
      </c>
      <c r="C121" s="1">
        <v>45791</v>
      </c>
      <c r="D121">
        <v>2025</v>
      </c>
      <c r="E121" t="s">
        <v>225</v>
      </c>
      <c r="F121" t="s">
        <v>13</v>
      </c>
      <c r="G121" t="s">
        <v>212</v>
      </c>
      <c r="H121" t="s">
        <v>204</v>
      </c>
      <c r="I121">
        <v>12</v>
      </c>
      <c r="J121">
        <v>1340.61</v>
      </c>
      <c r="K121">
        <v>1</v>
      </c>
      <c r="L121" t="s">
        <v>201</v>
      </c>
      <c r="M121">
        <v>1</v>
      </c>
    </row>
    <row r="122" spans="1:13" x14ac:dyDescent="0.3">
      <c r="A122" t="s">
        <v>331</v>
      </c>
      <c r="B122">
        <v>6</v>
      </c>
      <c r="C122" s="1">
        <v>45896</v>
      </c>
      <c r="D122">
        <v>2025</v>
      </c>
      <c r="E122" t="s">
        <v>219</v>
      </c>
      <c r="F122" t="s">
        <v>13</v>
      </c>
      <c r="G122" t="s">
        <v>191</v>
      </c>
      <c r="H122" t="s">
        <v>204</v>
      </c>
      <c r="I122">
        <v>5</v>
      </c>
      <c r="J122">
        <v>1182.4100000000001</v>
      </c>
      <c r="K122">
        <v>1</v>
      </c>
      <c r="L122" t="s">
        <v>196</v>
      </c>
      <c r="M122">
        <v>0</v>
      </c>
    </row>
    <row r="123" spans="1:13" x14ac:dyDescent="0.3">
      <c r="A123" t="s">
        <v>332</v>
      </c>
      <c r="B123">
        <v>6</v>
      </c>
      <c r="C123" s="1">
        <v>45864</v>
      </c>
      <c r="D123">
        <v>2025</v>
      </c>
      <c r="E123" t="s">
        <v>225</v>
      </c>
      <c r="F123" t="s">
        <v>199</v>
      </c>
      <c r="G123" t="s">
        <v>191</v>
      </c>
      <c r="H123" t="s">
        <v>195</v>
      </c>
      <c r="I123">
        <v>7</v>
      </c>
      <c r="J123">
        <v>7001.89</v>
      </c>
      <c r="K123">
        <v>1</v>
      </c>
      <c r="L123" t="s">
        <v>193</v>
      </c>
      <c r="M123">
        <v>0</v>
      </c>
    </row>
    <row r="124" spans="1:13" x14ac:dyDescent="0.3">
      <c r="A124" t="s">
        <v>333</v>
      </c>
      <c r="B124">
        <v>7</v>
      </c>
      <c r="C124" s="1">
        <v>44446</v>
      </c>
      <c r="D124">
        <v>2021</v>
      </c>
      <c r="E124" t="s">
        <v>227</v>
      </c>
      <c r="F124" t="s">
        <v>199</v>
      </c>
      <c r="G124" t="s">
        <v>200</v>
      </c>
      <c r="H124" t="s">
        <v>195</v>
      </c>
      <c r="I124">
        <v>8</v>
      </c>
      <c r="J124">
        <v>7726.53</v>
      </c>
      <c r="K124">
        <v>0</v>
      </c>
      <c r="L124" t="s">
        <v>193</v>
      </c>
      <c r="M124">
        <v>1</v>
      </c>
    </row>
    <row r="125" spans="1:13" x14ac:dyDescent="0.3">
      <c r="A125" t="s">
        <v>334</v>
      </c>
      <c r="B125">
        <v>7</v>
      </c>
      <c r="C125" s="1">
        <v>44359</v>
      </c>
      <c r="D125">
        <v>2021</v>
      </c>
      <c r="E125" t="s">
        <v>219</v>
      </c>
      <c r="F125" t="s">
        <v>13</v>
      </c>
      <c r="G125" t="s">
        <v>203</v>
      </c>
      <c r="H125" t="s">
        <v>206</v>
      </c>
      <c r="I125">
        <v>16</v>
      </c>
      <c r="J125">
        <v>1470.98</v>
      </c>
      <c r="K125">
        <v>0</v>
      </c>
      <c r="L125" t="s">
        <v>201</v>
      </c>
      <c r="M125">
        <v>0</v>
      </c>
    </row>
    <row r="126" spans="1:13" x14ac:dyDescent="0.3">
      <c r="A126" t="s">
        <v>335</v>
      </c>
      <c r="B126">
        <v>7</v>
      </c>
      <c r="C126" s="1">
        <v>44267</v>
      </c>
      <c r="D126">
        <v>2021</v>
      </c>
      <c r="E126" t="s">
        <v>214</v>
      </c>
      <c r="F126" t="s">
        <v>13</v>
      </c>
      <c r="G126" t="s">
        <v>200</v>
      </c>
      <c r="H126" t="s">
        <v>195</v>
      </c>
      <c r="I126">
        <v>8</v>
      </c>
      <c r="J126">
        <v>3821.07</v>
      </c>
      <c r="K126">
        <v>0</v>
      </c>
      <c r="L126" t="s">
        <v>215</v>
      </c>
      <c r="M126">
        <v>0</v>
      </c>
    </row>
    <row r="127" spans="1:13" x14ac:dyDescent="0.3">
      <c r="A127" t="s">
        <v>336</v>
      </c>
      <c r="B127">
        <v>7</v>
      </c>
      <c r="C127" s="1">
        <v>44265</v>
      </c>
      <c r="D127">
        <v>2021</v>
      </c>
      <c r="E127" t="s">
        <v>214</v>
      </c>
      <c r="F127" t="s">
        <v>13</v>
      </c>
      <c r="G127" t="s">
        <v>203</v>
      </c>
      <c r="H127" t="s">
        <v>204</v>
      </c>
      <c r="I127">
        <v>3</v>
      </c>
      <c r="J127">
        <v>3352.16</v>
      </c>
      <c r="K127">
        <v>1</v>
      </c>
      <c r="L127" t="s">
        <v>201</v>
      </c>
      <c r="M127">
        <v>1</v>
      </c>
    </row>
    <row r="128" spans="1:13" x14ac:dyDescent="0.3">
      <c r="A128" t="s">
        <v>337</v>
      </c>
      <c r="B128">
        <v>7</v>
      </c>
      <c r="C128" s="1">
        <v>44595</v>
      </c>
      <c r="D128">
        <v>2022</v>
      </c>
      <c r="E128" t="s">
        <v>198</v>
      </c>
      <c r="F128" t="s">
        <v>13</v>
      </c>
      <c r="G128" t="s">
        <v>191</v>
      </c>
      <c r="H128" t="s">
        <v>192</v>
      </c>
      <c r="I128">
        <v>10</v>
      </c>
      <c r="J128">
        <v>1044.23</v>
      </c>
      <c r="K128">
        <v>1</v>
      </c>
      <c r="L128" t="s">
        <v>193</v>
      </c>
      <c r="M128">
        <v>0</v>
      </c>
    </row>
    <row r="129" spans="1:13" x14ac:dyDescent="0.3">
      <c r="A129" t="s">
        <v>338</v>
      </c>
      <c r="B129">
        <v>7</v>
      </c>
      <c r="C129" s="1">
        <v>44914</v>
      </c>
      <c r="D129">
        <v>2022</v>
      </c>
      <c r="E129" t="s">
        <v>214</v>
      </c>
      <c r="F129" t="s">
        <v>13</v>
      </c>
      <c r="G129" t="s">
        <v>203</v>
      </c>
      <c r="H129" t="s">
        <v>195</v>
      </c>
      <c r="I129">
        <v>4</v>
      </c>
      <c r="J129">
        <v>1070.3</v>
      </c>
      <c r="K129">
        <v>1</v>
      </c>
      <c r="L129" t="s">
        <v>193</v>
      </c>
      <c r="M129">
        <v>0</v>
      </c>
    </row>
    <row r="130" spans="1:13" x14ac:dyDescent="0.3">
      <c r="A130" t="s">
        <v>339</v>
      </c>
      <c r="B130">
        <v>7</v>
      </c>
      <c r="C130" s="1">
        <v>44884</v>
      </c>
      <c r="D130">
        <v>2022</v>
      </c>
      <c r="E130" t="s">
        <v>214</v>
      </c>
      <c r="F130" t="s">
        <v>209</v>
      </c>
      <c r="G130" t="s">
        <v>212</v>
      </c>
      <c r="H130" t="s">
        <v>206</v>
      </c>
      <c r="I130">
        <v>5</v>
      </c>
      <c r="J130">
        <v>544.6</v>
      </c>
      <c r="K130">
        <v>0</v>
      </c>
      <c r="L130" t="s">
        <v>201</v>
      </c>
      <c r="M130">
        <v>1</v>
      </c>
    </row>
    <row r="131" spans="1:13" x14ac:dyDescent="0.3">
      <c r="A131" t="s">
        <v>340</v>
      </c>
      <c r="B131">
        <v>7</v>
      </c>
      <c r="C131" s="1">
        <v>44577</v>
      </c>
      <c r="D131">
        <v>2022</v>
      </c>
      <c r="E131" t="s">
        <v>287</v>
      </c>
      <c r="F131" t="s">
        <v>13</v>
      </c>
      <c r="G131" t="s">
        <v>212</v>
      </c>
      <c r="H131" t="s">
        <v>204</v>
      </c>
      <c r="I131">
        <v>8</v>
      </c>
      <c r="J131">
        <v>1074.68</v>
      </c>
      <c r="K131">
        <v>0</v>
      </c>
      <c r="L131" t="s">
        <v>193</v>
      </c>
      <c r="M131">
        <v>1</v>
      </c>
    </row>
    <row r="132" spans="1:13" x14ac:dyDescent="0.3">
      <c r="A132" t="s">
        <v>341</v>
      </c>
      <c r="B132">
        <v>7</v>
      </c>
      <c r="C132" s="1">
        <v>44792</v>
      </c>
      <c r="D132">
        <v>2022</v>
      </c>
      <c r="E132" t="s">
        <v>198</v>
      </c>
      <c r="F132" t="s">
        <v>13</v>
      </c>
      <c r="G132" t="s">
        <v>200</v>
      </c>
      <c r="H132" t="s">
        <v>206</v>
      </c>
      <c r="I132">
        <v>5</v>
      </c>
      <c r="J132">
        <v>3594.48</v>
      </c>
      <c r="K132">
        <v>1</v>
      </c>
      <c r="L132" t="s">
        <v>201</v>
      </c>
      <c r="M132">
        <v>0</v>
      </c>
    </row>
    <row r="133" spans="1:13" x14ac:dyDescent="0.3">
      <c r="A133" t="s">
        <v>342</v>
      </c>
      <c r="B133">
        <v>7</v>
      </c>
      <c r="C133" s="1">
        <v>45193</v>
      </c>
      <c r="D133">
        <v>2023</v>
      </c>
      <c r="E133" t="s">
        <v>190</v>
      </c>
      <c r="F133" t="s">
        <v>209</v>
      </c>
      <c r="G133" t="s">
        <v>212</v>
      </c>
      <c r="H133" t="s">
        <v>195</v>
      </c>
      <c r="I133">
        <v>13</v>
      </c>
      <c r="J133">
        <v>500.59</v>
      </c>
      <c r="K133">
        <v>0</v>
      </c>
      <c r="L133" t="s">
        <v>210</v>
      </c>
      <c r="M133">
        <v>1</v>
      </c>
    </row>
    <row r="134" spans="1:13" x14ac:dyDescent="0.3">
      <c r="A134" t="s">
        <v>343</v>
      </c>
      <c r="B134">
        <v>7</v>
      </c>
      <c r="C134" s="1">
        <v>45213</v>
      </c>
      <c r="D134">
        <v>2023</v>
      </c>
      <c r="E134" t="s">
        <v>214</v>
      </c>
      <c r="F134" t="s">
        <v>12</v>
      </c>
      <c r="G134" t="s">
        <v>212</v>
      </c>
      <c r="H134" t="s">
        <v>195</v>
      </c>
      <c r="I134">
        <v>9</v>
      </c>
      <c r="J134">
        <v>1449.34</v>
      </c>
      <c r="K134">
        <v>0</v>
      </c>
      <c r="L134" t="s">
        <v>201</v>
      </c>
      <c r="M134">
        <v>1</v>
      </c>
    </row>
    <row r="135" spans="1:13" x14ac:dyDescent="0.3">
      <c r="A135" t="s">
        <v>344</v>
      </c>
      <c r="B135">
        <v>7</v>
      </c>
      <c r="C135" s="1">
        <v>45155</v>
      </c>
      <c r="D135">
        <v>2023</v>
      </c>
      <c r="E135" t="s">
        <v>190</v>
      </c>
      <c r="F135" t="s">
        <v>13</v>
      </c>
      <c r="G135" t="s">
        <v>203</v>
      </c>
      <c r="H135" t="s">
        <v>195</v>
      </c>
      <c r="I135">
        <v>10</v>
      </c>
      <c r="J135">
        <v>1381.85</v>
      </c>
      <c r="K135">
        <v>0</v>
      </c>
      <c r="L135" t="s">
        <v>215</v>
      </c>
      <c r="M135">
        <v>0</v>
      </c>
    </row>
    <row r="136" spans="1:13" x14ac:dyDescent="0.3">
      <c r="A136" t="s">
        <v>345</v>
      </c>
      <c r="B136">
        <v>7</v>
      </c>
      <c r="C136" s="1">
        <v>45031</v>
      </c>
      <c r="D136">
        <v>2023</v>
      </c>
      <c r="E136" t="s">
        <v>227</v>
      </c>
      <c r="F136" t="s">
        <v>199</v>
      </c>
      <c r="G136" t="s">
        <v>212</v>
      </c>
      <c r="H136" t="s">
        <v>192</v>
      </c>
      <c r="I136">
        <v>8</v>
      </c>
      <c r="J136">
        <v>3269.26</v>
      </c>
      <c r="K136">
        <v>0</v>
      </c>
      <c r="L136" t="s">
        <v>193</v>
      </c>
      <c r="M136">
        <v>1</v>
      </c>
    </row>
    <row r="137" spans="1:13" x14ac:dyDescent="0.3">
      <c r="A137" t="s">
        <v>346</v>
      </c>
      <c r="B137">
        <v>7</v>
      </c>
      <c r="C137" s="1">
        <v>44936</v>
      </c>
      <c r="D137">
        <v>2023</v>
      </c>
      <c r="E137" t="s">
        <v>198</v>
      </c>
      <c r="F137" t="s">
        <v>199</v>
      </c>
      <c r="G137" t="s">
        <v>191</v>
      </c>
      <c r="H137" t="s">
        <v>195</v>
      </c>
      <c r="I137">
        <v>17</v>
      </c>
      <c r="J137">
        <v>3991.09</v>
      </c>
      <c r="K137">
        <v>1</v>
      </c>
      <c r="L137" t="s">
        <v>196</v>
      </c>
      <c r="M137">
        <v>0</v>
      </c>
    </row>
    <row r="138" spans="1:13" x14ac:dyDescent="0.3">
      <c r="A138" t="s">
        <v>347</v>
      </c>
      <c r="B138">
        <v>7</v>
      </c>
      <c r="C138" s="1">
        <v>44990</v>
      </c>
      <c r="D138">
        <v>2023</v>
      </c>
      <c r="E138" t="s">
        <v>190</v>
      </c>
      <c r="F138" t="s">
        <v>199</v>
      </c>
      <c r="G138" t="s">
        <v>203</v>
      </c>
      <c r="H138" t="s">
        <v>195</v>
      </c>
      <c r="I138">
        <v>7</v>
      </c>
      <c r="J138">
        <v>5096.6099999999997</v>
      </c>
      <c r="K138">
        <v>0</v>
      </c>
      <c r="L138" t="s">
        <v>196</v>
      </c>
      <c r="M138">
        <v>1</v>
      </c>
    </row>
    <row r="139" spans="1:13" x14ac:dyDescent="0.3">
      <c r="A139" t="s">
        <v>348</v>
      </c>
      <c r="B139">
        <v>7</v>
      </c>
      <c r="C139" s="1">
        <v>45368</v>
      </c>
      <c r="D139">
        <v>2024</v>
      </c>
      <c r="E139" t="s">
        <v>219</v>
      </c>
      <c r="F139" t="s">
        <v>12</v>
      </c>
      <c r="G139" t="s">
        <v>203</v>
      </c>
      <c r="H139" t="s">
        <v>192</v>
      </c>
      <c r="I139">
        <v>1</v>
      </c>
      <c r="J139">
        <v>838.12</v>
      </c>
      <c r="K139">
        <v>0</v>
      </c>
      <c r="L139" t="s">
        <v>215</v>
      </c>
      <c r="M139">
        <v>1</v>
      </c>
    </row>
    <row r="140" spans="1:13" x14ac:dyDescent="0.3">
      <c r="A140" t="s">
        <v>349</v>
      </c>
      <c r="B140">
        <v>7</v>
      </c>
      <c r="C140" s="1">
        <v>45995</v>
      </c>
      <c r="D140">
        <v>2025</v>
      </c>
      <c r="E140" t="s">
        <v>225</v>
      </c>
      <c r="F140" t="s">
        <v>209</v>
      </c>
      <c r="G140" t="s">
        <v>203</v>
      </c>
      <c r="H140" t="s">
        <v>195</v>
      </c>
      <c r="I140">
        <v>9</v>
      </c>
      <c r="J140">
        <v>335.49</v>
      </c>
      <c r="K140">
        <v>0</v>
      </c>
      <c r="L140" t="s">
        <v>215</v>
      </c>
      <c r="M140">
        <v>1</v>
      </c>
    </row>
    <row r="141" spans="1:13" x14ac:dyDescent="0.3">
      <c r="A141" t="s">
        <v>350</v>
      </c>
      <c r="B141">
        <v>8</v>
      </c>
      <c r="C141" s="1">
        <v>44343</v>
      </c>
      <c r="D141">
        <v>2021</v>
      </c>
      <c r="E141" t="s">
        <v>225</v>
      </c>
      <c r="F141" t="s">
        <v>13</v>
      </c>
      <c r="G141" t="s">
        <v>191</v>
      </c>
      <c r="H141" t="s">
        <v>204</v>
      </c>
      <c r="I141">
        <v>4</v>
      </c>
      <c r="J141">
        <v>2683.34</v>
      </c>
      <c r="K141">
        <v>0</v>
      </c>
      <c r="L141" t="s">
        <v>210</v>
      </c>
      <c r="M141">
        <v>0</v>
      </c>
    </row>
    <row r="142" spans="1:13" x14ac:dyDescent="0.3">
      <c r="A142" t="s">
        <v>351</v>
      </c>
      <c r="B142">
        <v>8</v>
      </c>
      <c r="C142" s="1">
        <v>44251</v>
      </c>
      <c r="D142">
        <v>2021</v>
      </c>
      <c r="E142" t="s">
        <v>198</v>
      </c>
      <c r="F142" t="s">
        <v>13</v>
      </c>
      <c r="G142" t="s">
        <v>191</v>
      </c>
      <c r="H142" t="s">
        <v>195</v>
      </c>
      <c r="I142">
        <v>13</v>
      </c>
      <c r="J142">
        <v>3298.16</v>
      </c>
      <c r="K142">
        <v>1</v>
      </c>
      <c r="L142" t="s">
        <v>193</v>
      </c>
      <c r="M142">
        <v>0</v>
      </c>
    </row>
    <row r="143" spans="1:13" x14ac:dyDescent="0.3">
      <c r="A143" t="s">
        <v>352</v>
      </c>
      <c r="B143">
        <v>8</v>
      </c>
      <c r="C143" s="1">
        <v>44342</v>
      </c>
      <c r="D143">
        <v>2021</v>
      </c>
      <c r="E143" t="s">
        <v>219</v>
      </c>
      <c r="F143" t="s">
        <v>199</v>
      </c>
      <c r="G143" t="s">
        <v>200</v>
      </c>
      <c r="H143" t="s">
        <v>192</v>
      </c>
      <c r="I143">
        <v>10</v>
      </c>
      <c r="J143">
        <v>3690.44</v>
      </c>
      <c r="K143">
        <v>1</v>
      </c>
      <c r="L143" t="s">
        <v>193</v>
      </c>
      <c r="M143">
        <v>0</v>
      </c>
    </row>
    <row r="144" spans="1:13" x14ac:dyDescent="0.3">
      <c r="A144" t="s">
        <v>353</v>
      </c>
      <c r="B144">
        <v>8</v>
      </c>
      <c r="C144" s="1">
        <v>44436</v>
      </c>
      <c r="D144">
        <v>2021</v>
      </c>
      <c r="E144" t="s">
        <v>198</v>
      </c>
      <c r="F144" t="s">
        <v>209</v>
      </c>
      <c r="G144" t="s">
        <v>203</v>
      </c>
      <c r="H144" t="s">
        <v>206</v>
      </c>
      <c r="I144">
        <v>6</v>
      </c>
      <c r="J144">
        <v>255.24</v>
      </c>
      <c r="K144">
        <v>1</v>
      </c>
      <c r="L144" t="s">
        <v>210</v>
      </c>
      <c r="M144">
        <v>1</v>
      </c>
    </row>
    <row r="145" spans="1:13" x14ac:dyDescent="0.3">
      <c r="A145" t="s">
        <v>354</v>
      </c>
      <c r="B145">
        <v>8</v>
      </c>
      <c r="C145" s="1">
        <v>44304</v>
      </c>
      <c r="D145">
        <v>2021</v>
      </c>
      <c r="E145" t="s">
        <v>190</v>
      </c>
      <c r="F145" t="s">
        <v>13</v>
      </c>
      <c r="G145" t="s">
        <v>191</v>
      </c>
      <c r="H145" t="s">
        <v>204</v>
      </c>
      <c r="I145">
        <v>4</v>
      </c>
      <c r="J145">
        <v>1234.5999999999999</v>
      </c>
      <c r="K145">
        <v>0</v>
      </c>
      <c r="L145" t="s">
        <v>201</v>
      </c>
      <c r="M145">
        <v>0</v>
      </c>
    </row>
    <row r="146" spans="1:13" x14ac:dyDescent="0.3">
      <c r="A146" t="s">
        <v>355</v>
      </c>
      <c r="B146">
        <v>8</v>
      </c>
      <c r="C146" s="1">
        <v>44704</v>
      </c>
      <c r="D146">
        <v>2022</v>
      </c>
      <c r="E146" t="s">
        <v>214</v>
      </c>
      <c r="F146" t="s">
        <v>12</v>
      </c>
      <c r="G146" t="s">
        <v>212</v>
      </c>
      <c r="H146" t="s">
        <v>195</v>
      </c>
      <c r="I146">
        <v>10</v>
      </c>
      <c r="J146">
        <v>563.16999999999996</v>
      </c>
      <c r="K146">
        <v>0</v>
      </c>
      <c r="L146" t="s">
        <v>196</v>
      </c>
      <c r="M146">
        <v>1</v>
      </c>
    </row>
    <row r="147" spans="1:13" x14ac:dyDescent="0.3">
      <c r="A147" t="s">
        <v>356</v>
      </c>
      <c r="B147">
        <v>8</v>
      </c>
      <c r="C147" s="1">
        <v>44877</v>
      </c>
      <c r="D147">
        <v>2022</v>
      </c>
      <c r="E147" t="s">
        <v>214</v>
      </c>
      <c r="F147" t="s">
        <v>13</v>
      </c>
      <c r="G147" t="s">
        <v>191</v>
      </c>
      <c r="H147" t="s">
        <v>206</v>
      </c>
      <c r="I147">
        <v>7</v>
      </c>
      <c r="J147">
        <v>2037.97</v>
      </c>
      <c r="K147">
        <v>0</v>
      </c>
      <c r="L147" t="s">
        <v>196</v>
      </c>
      <c r="M147">
        <v>1</v>
      </c>
    </row>
    <row r="148" spans="1:13" x14ac:dyDescent="0.3">
      <c r="A148" t="s">
        <v>357</v>
      </c>
      <c r="B148">
        <v>8</v>
      </c>
      <c r="C148" s="1">
        <v>44664</v>
      </c>
      <c r="D148">
        <v>2022</v>
      </c>
      <c r="E148" t="s">
        <v>214</v>
      </c>
      <c r="F148" t="s">
        <v>13</v>
      </c>
      <c r="G148" t="s">
        <v>191</v>
      </c>
      <c r="H148" t="s">
        <v>195</v>
      </c>
      <c r="I148">
        <v>7</v>
      </c>
      <c r="J148">
        <v>2082.9699999999998</v>
      </c>
      <c r="K148">
        <v>0</v>
      </c>
      <c r="L148" t="s">
        <v>201</v>
      </c>
      <c r="M148">
        <v>0</v>
      </c>
    </row>
    <row r="149" spans="1:13" x14ac:dyDescent="0.3">
      <c r="A149" t="s">
        <v>358</v>
      </c>
      <c r="B149">
        <v>8</v>
      </c>
      <c r="C149" s="1">
        <v>45063</v>
      </c>
      <c r="D149">
        <v>2023</v>
      </c>
      <c r="E149" t="s">
        <v>219</v>
      </c>
      <c r="F149" t="s">
        <v>13</v>
      </c>
      <c r="G149" t="s">
        <v>191</v>
      </c>
      <c r="H149" t="s">
        <v>195</v>
      </c>
      <c r="I149">
        <v>10</v>
      </c>
      <c r="J149">
        <v>1822.52</v>
      </c>
      <c r="K149">
        <v>1</v>
      </c>
      <c r="L149" t="s">
        <v>196</v>
      </c>
      <c r="M149">
        <v>0</v>
      </c>
    </row>
    <row r="150" spans="1:13" x14ac:dyDescent="0.3">
      <c r="A150" t="s">
        <v>359</v>
      </c>
      <c r="B150">
        <v>8</v>
      </c>
      <c r="C150" s="1">
        <v>45276</v>
      </c>
      <c r="D150">
        <v>2023</v>
      </c>
      <c r="E150" t="s">
        <v>219</v>
      </c>
      <c r="F150" t="s">
        <v>13</v>
      </c>
      <c r="G150" t="s">
        <v>191</v>
      </c>
      <c r="H150" t="s">
        <v>195</v>
      </c>
      <c r="I150">
        <v>1</v>
      </c>
      <c r="J150">
        <v>3422.29</v>
      </c>
      <c r="K150">
        <v>0</v>
      </c>
      <c r="L150" t="s">
        <v>196</v>
      </c>
      <c r="M150">
        <v>1</v>
      </c>
    </row>
    <row r="151" spans="1:13" x14ac:dyDescent="0.3">
      <c r="A151" t="s">
        <v>360</v>
      </c>
      <c r="B151">
        <v>8</v>
      </c>
      <c r="C151" s="1">
        <v>45008</v>
      </c>
      <c r="D151">
        <v>2023</v>
      </c>
      <c r="E151" t="s">
        <v>190</v>
      </c>
      <c r="F151" t="s">
        <v>12</v>
      </c>
      <c r="G151" t="s">
        <v>212</v>
      </c>
      <c r="H151" t="s">
        <v>195</v>
      </c>
      <c r="I151">
        <v>3</v>
      </c>
      <c r="J151">
        <v>1046.8499999999999</v>
      </c>
      <c r="K151">
        <v>0</v>
      </c>
      <c r="L151" t="s">
        <v>215</v>
      </c>
      <c r="M151">
        <v>1</v>
      </c>
    </row>
    <row r="152" spans="1:13" x14ac:dyDescent="0.3">
      <c r="A152" t="s">
        <v>361</v>
      </c>
      <c r="B152">
        <v>8</v>
      </c>
      <c r="C152" s="1">
        <v>45178</v>
      </c>
      <c r="D152">
        <v>2023</v>
      </c>
      <c r="E152" t="s">
        <v>214</v>
      </c>
      <c r="F152" t="s">
        <v>13</v>
      </c>
      <c r="G152" t="s">
        <v>191</v>
      </c>
      <c r="H152" t="s">
        <v>204</v>
      </c>
      <c r="I152">
        <v>16</v>
      </c>
      <c r="J152">
        <v>1949.44</v>
      </c>
      <c r="K152">
        <v>1</v>
      </c>
      <c r="L152" t="s">
        <v>196</v>
      </c>
      <c r="M152">
        <v>0</v>
      </c>
    </row>
    <row r="153" spans="1:13" x14ac:dyDescent="0.3">
      <c r="A153" t="s">
        <v>362</v>
      </c>
      <c r="B153">
        <v>8</v>
      </c>
      <c r="C153" s="1">
        <v>45094</v>
      </c>
      <c r="D153">
        <v>2023</v>
      </c>
      <c r="E153" t="s">
        <v>198</v>
      </c>
      <c r="F153" t="s">
        <v>13</v>
      </c>
      <c r="G153" t="s">
        <v>203</v>
      </c>
      <c r="H153" t="s">
        <v>195</v>
      </c>
      <c r="I153">
        <v>13</v>
      </c>
      <c r="J153">
        <v>1184.45</v>
      </c>
      <c r="K153">
        <v>1</v>
      </c>
      <c r="L153" t="s">
        <v>193</v>
      </c>
      <c r="M153">
        <v>0</v>
      </c>
    </row>
    <row r="154" spans="1:13" x14ac:dyDescent="0.3">
      <c r="A154" t="s">
        <v>363</v>
      </c>
      <c r="B154">
        <v>8</v>
      </c>
      <c r="C154" s="1">
        <v>45328</v>
      </c>
      <c r="D154">
        <v>2024</v>
      </c>
      <c r="E154" t="s">
        <v>214</v>
      </c>
      <c r="F154" t="s">
        <v>12</v>
      </c>
      <c r="G154" t="s">
        <v>203</v>
      </c>
      <c r="H154" t="s">
        <v>195</v>
      </c>
      <c r="I154">
        <v>6</v>
      </c>
      <c r="J154">
        <v>1297.32</v>
      </c>
      <c r="K154">
        <v>0</v>
      </c>
      <c r="L154" t="s">
        <v>210</v>
      </c>
      <c r="M154">
        <v>0</v>
      </c>
    </row>
    <row r="155" spans="1:13" x14ac:dyDescent="0.3">
      <c r="A155" t="s">
        <v>364</v>
      </c>
      <c r="B155">
        <v>8</v>
      </c>
      <c r="C155" s="1">
        <v>45458</v>
      </c>
      <c r="D155">
        <v>2024</v>
      </c>
      <c r="E155" t="s">
        <v>190</v>
      </c>
      <c r="F155" t="s">
        <v>13</v>
      </c>
      <c r="G155" t="s">
        <v>200</v>
      </c>
      <c r="H155" t="s">
        <v>195</v>
      </c>
      <c r="I155">
        <v>11</v>
      </c>
      <c r="J155">
        <v>3188.65</v>
      </c>
      <c r="K155">
        <v>0</v>
      </c>
      <c r="L155" t="s">
        <v>215</v>
      </c>
      <c r="M155">
        <v>1</v>
      </c>
    </row>
    <row r="156" spans="1:13" x14ac:dyDescent="0.3">
      <c r="A156" t="s">
        <v>365</v>
      </c>
      <c r="B156">
        <v>8</v>
      </c>
      <c r="C156" s="1">
        <v>45377</v>
      </c>
      <c r="D156">
        <v>2024</v>
      </c>
      <c r="E156" t="s">
        <v>198</v>
      </c>
      <c r="F156" t="s">
        <v>13</v>
      </c>
      <c r="G156" t="s">
        <v>212</v>
      </c>
      <c r="H156" t="s">
        <v>195</v>
      </c>
      <c r="I156">
        <v>13</v>
      </c>
      <c r="J156">
        <v>3829.71</v>
      </c>
      <c r="K156">
        <v>1</v>
      </c>
      <c r="L156" t="s">
        <v>196</v>
      </c>
      <c r="M156">
        <v>1</v>
      </c>
    </row>
    <row r="157" spans="1:13" x14ac:dyDescent="0.3">
      <c r="A157" t="s">
        <v>366</v>
      </c>
      <c r="B157">
        <v>8</v>
      </c>
      <c r="C157" s="1">
        <v>45406</v>
      </c>
      <c r="D157">
        <v>2024</v>
      </c>
      <c r="E157" t="s">
        <v>214</v>
      </c>
      <c r="F157" t="s">
        <v>209</v>
      </c>
      <c r="G157" t="s">
        <v>203</v>
      </c>
      <c r="H157" t="s">
        <v>195</v>
      </c>
      <c r="I157">
        <v>4</v>
      </c>
      <c r="J157">
        <v>189.32</v>
      </c>
      <c r="K157">
        <v>0</v>
      </c>
      <c r="L157" t="s">
        <v>215</v>
      </c>
      <c r="M157">
        <v>1</v>
      </c>
    </row>
    <row r="158" spans="1:13" x14ac:dyDescent="0.3">
      <c r="A158" t="s">
        <v>367</v>
      </c>
      <c r="B158">
        <v>8</v>
      </c>
      <c r="C158" s="1">
        <v>45361</v>
      </c>
      <c r="D158">
        <v>2024</v>
      </c>
      <c r="E158" t="s">
        <v>198</v>
      </c>
      <c r="F158" t="s">
        <v>199</v>
      </c>
      <c r="G158" t="s">
        <v>212</v>
      </c>
      <c r="H158" t="s">
        <v>195</v>
      </c>
      <c r="I158">
        <v>12</v>
      </c>
      <c r="J158">
        <v>6030.04</v>
      </c>
      <c r="K158">
        <v>1</v>
      </c>
      <c r="L158" t="s">
        <v>193</v>
      </c>
      <c r="M158">
        <v>1</v>
      </c>
    </row>
    <row r="159" spans="1:13" x14ac:dyDescent="0.3">
      <c r="A159" t="s">
        <v>368</v>
      </c>
      <c r="B159">
        <v>9</v>
      </c>
      <c r="C159" s="1">
        <v>44223</v>
      </c>
      <c r="D159">
        <v>2021</v>
      </c>
      <c r="E159" t="s">
        <v>214</v>
      </c>
      <c r="F159" t="s">
        <v>12</v>
      </c>
      <c r="G159" t="s">
        <v>212</v>
      </c>
      <c r="H159" t="s">
        <v>195</v>
      </c>
      <c r="I159">
        <v>5</v>
      </c>
      <c r="J159">
        <v>1102.52</v>
      </c>
      <c r="K159">
        <v>0</v>
      </c>
      <c r="L159" t="s">
        <v>193</v>
      </c>
      <c r="M159">
        <v>1</v>
      </c>
    </row>
    <row r="160" spans="1:13" x14ac:dyDescent="0.3">
      <c r="A160" t="s">
        <v>369</v>
      </c>
      <c r="B160">
        <v>9</v>
      </c>
      <c r="C160" s="1">
        <v>44609</v>
      </c>
      <c r="D160">
        <v>2022</v>
      </c>
      <c r="E160" t="s">
        <v>214</v>
      </c>
      <c r="F160" t="s">
        <v>13</v>
      </c>
      <c r="G160" t="s">
        <v>200</v>
      </c>
      <c r="H160" t="s">
        <v>195</v>
      </c>
      <c r="I160">
        <v>11</v>
      </c>
      <c r="J160">
        <v>1559.28</v>
      </c>
      <c r="K160">
        <v>1</v>
      </c>
      <c r="L160" t="s">
        <v>193</v>
      </c>
      <c r="M160">
        <v>0</v>
      </c>
    </row>
    <row r="161" spans="1:13" x14ac:dyDescent="0.3">
      <c r="A161" t="s">
        <v>370</v>
      </c>
      <c r="B161">
        <v>9</v>
      </c>
      <c r="C161" s="1">
        <v>44764</v>
      </c>
      <c r="D161">
        <v>2022</v>
      </c>
      <c r="E161" t="s">
        <v>227</v>
      </c>
      <c r="F161" t="s">
        <v>13</v>
      </c>
      <c r="G161" t="s">
        <v>191</v>
      </c>
      <c r="H161" t="s">
        <v>195</v>
      </c>
      <c r="I161">
        <v>12</v>
      </c>
      <c r="J161">
        <v>2264.2199999999998</v>
      </c>
      <c r="K161">
        <v>0</v>
      </c>
      <c r="L161" t="s">
        <v>215</v>
      </c>
      <c r="M161">
        <v>0</v>
      </c>
    </row>
    <row r="162" spans="1:13" x14ac:dyDescent="0.3">
      <c r="A162" t="s">
        <v>371</v>
      </c>
      <c r="B162">
        <v>9</v>
      </c>
      <c r="C162" s="1">
        <v>44722</v>
      </c>
      <c r="D162">
        <v>2022</v>
      </c>
      <c r="E162" t="s">
        <v>198</v>
      </c>
      <c r="F162" t="s">
        <v>13</v>
      </c>
      <c r="G162" t="s">
        <v>191</v>
      </c>
      <c r="H162" t="s">
        <v>206</v>
      </c>
      <c r="I162">
        <v>13</v>
      </c>
      <c r="J162">
        <v>2849.84</v>
      </c>
      <c r="K162">
        <v>1</v>
      </c>
      <c r="L162" t="s">
        <v>193</v>
      </c>
      <c r="M162">
        <v>1</v>
      </c>
    </row>
    <row r="163" spans="1:13" x14ac:dyDescent="0.3">
      <c r="A163" t="s">
        <v>372</v>
      </c>
      <c r="B163">
        <v>9</v>
      </c>
      <c r="C163" s="1">
        <v>44800</v>
      </c>
      <c r="D163">
        <v>2022</v>
      </c>
      <c r="E163" t="s">
        <v>198</v>
      </c>
      <c r="F163" t="s">
        <v>13</v>
      </c>
      <c r="G163" t="s">
        <v>212</v>
      </c>
      <c r="H163" t="s">
        <v>195</v>
      </c>
      <c r="I163">
        <v>17</v>
      </c>
      <c r="J163">
        <v>2203.46</v>
      </c>
      <c r="K163">
        <v>1</v>
      </c>
      <c r="L163" t="s">
        <v>193</v>
      </c>
      <c r="M163">
        <v>1</v>
      </c>
    </row>
    <row r="164" spans="1:13" x14ac:dyDescent="0.3">
      <c r="A164" t="s">
        <v>373</v>
      </c>
      <c r="B164">
        <v>9</v>
      </c>
      <c r="C164" s="1">
        <v>44676</v>
      </c>
      <c r="D164">
        <v>2022</v>
      </c>
      <c r="E164" t="s">
        <v>287</v>
      </c>
      <c r="F164" t="s">
        <v>12</v>
      </c>
      <c r="G164" t="s">
        <v>203</v>
      </c>
      <c r="H164" t="s">
        <v>195</v>
      </c>
      <c r="I164">
        <v>4</v>
      </c>
      <c r="J164">
        <v>991.35</v>
      </c>
      <c r="K164">
        <v>0</v>
      </c>
      <c r="L164" t="s">
        <v>193</v>
      </c>
      <c r="M164">
        <v>0</v>
      </c>
    </row>
    <row r="165" spans="1:13" x14ac:dyDescent="0.3">
      <c r="A165" t="s">
        <v>374</v>
      </c>
      <c r="B165">
        <v>9</v>
      </c>
      <c r="C165" s="1">
        <v>45224</v>
      </c>
      <c r="D165">
        <v>2023</v>
      </c>
      <c r="E165" t="s">
        <v>214</v>
      </c>
      <c r="F165" t="s">
        <v>13</v>
      </c>
      <c r="G165" t="s">
        <v>191</v>
      </c>
      <c r="H165" t="s">
        <v>204</v>
      </c>
      <c r="I165">
        <v>3</v>
      </c>
      <c r="J165">
        <v>1271.2</v>
      </c>
      <c r="K165">
        <v>0</v>
      </c>
      <c r="L165" t="s">
        <v>215</v>
      </c>
      <c r="M165">
        <v>0</v>
      </c>
    </row>
    <row r="166" spans="1:13" x14ac:dyDescent="0.3">
      <c r="A166" t="s">
        <v>375</v>
      </c>
      <c r="B166">
        <v>9</v>
      </c>
      <c r="C166" s="1">
        <v>45113</v>
      </c>
      <c r="D166">
        <v>2023</v>
      </c>
      <c r="E166" t="s">
        <v>219</v>
      </c>
      <c r="F166" t="s">
        <v>13</v>
      </c>
      <c r="G166" t="s">
        <v>203</v>
      </c>
      <c r="H166" t="s">
        <v>195</v>
      </c>
      <c r="I166">
        <v>15</v>
      </c>
      <c r="J166">
        <v>1922.58</v>
      </c>
      <c r="K166">
        <v>0</v>
      </c>
      <c r="L166" t="s">
        <v>201</v>
      </c>
      <c r="M166">
        <v>0</v>
      </c>
    </row>
    <row r="167" spans="1:13" x14ac:dyDescent="0.3">
      <c r="A167" t="s">
        <v>376</v>
      </c>
      <c r="B167">
        <v>9</v>
      </c>
      <c r="C167" s="1">
        <v>45268</v>
      </c>
      <c r="D167">
        <v>2023</v>
      </c>
      <c r="E167" t="s">
        <v>214</v>
      </c>
      <c r="F167" t="s">
        <v>13</v>
      </c>
      <c r="G167" t="s">
        <v>191</v>
      </c>
      <c r="H167" t="s">
        <v>195</v>
      </c>
      <c r="I167">
        <v>10</v>
      </c>
      <c r="J167">
        <v>1477.99</v>
      </c>
      <c r="K167">
        <v>0</v>
      </c>
      <c r="L167" t="s">
        <v>215</v>
      </c>
      <c r="M167">
        <v>0</v>
      </c>
    </row>
    <row r="168" spans="1:13" x14ac:dyDescent="0.3">
      <c r="A168" t="s">
        <v>377</v>
      </c>
      <c r="B168">
        <v>9</v>
      </c>
      <c r="C168" s="1">
        <v>45032</v>
      </c>
      <c r="D168">
        <v>2023</v>
      </c>
      <c r="E168" t="s">
        <v>190</v>
      </c>
      <c r="F168" t="s">
        <v>199</v>
      </c>
      <c r="G168" t="s">
        <v>191</v>
      </c>
      <c r="H168" t="s">
        <v>195</v>
      </c>
      <c r="I168">
        <v>14</v>
      </c>
      <c r="J168">
        <v>3027.04</v>
      </c>
      <c r="K168">
        <v>0</v>
      </c>
      <c r="L168" t="s">
        <v>196</v>
      </c>
      <c r="M168">
        <v>0</v>
      </c>
    </row>
    <row r="169" spans="1:13" x14ac:dyDescent="0.3">
      <c r="A169" t="s">
        <v>378</v>
      </c>
      <c r="B169">
        <v>9</v>
      </c>
      <c r="C169" s="1">
        <v>45439</v>
      </c>
      <c r="D169">
        <v>2024</v>
      </c>
      <c r="E169" t="s">
        <v>190</v>
      </c>
      <c r="F169" t="s">
        <v>13</v>
      </c>
      <c r="G169" t="s">
        <v>212</v>
      </c>
      <c r="H169" t="s">
        <v>204</v>
      </c>
      <c r="I169">
        <v>14</v>
      </c>
      <c r="J169">
        <v>2040.6</v>
      </c>
      <c r="K169">
        <v>0</v>
      </c>
      <c r="L169" t="s">
        <v>193</v>
      </c>
      <c r="M169">
        <v>1</v>
      </c>
    </row>
    <row r="170" spans="1:13" x14ac:dyDescent="0.3">
      <c r="A170" t="s">
        <v>379</v>
      </c>
      <c r="B170">
        <v>9</v>
      </c>
      <c r="C170" s="1">
        <v>45299</v>
      </c>
      <c r="D170">
        <v>2024</v>
      </c>
      <c r="E170" t="s">
        <v>287</v>
      </c>
      <c r="F170" t="s">
        <v>209</v>
      </c>
      <c r="G170" t="s">
        <v>212</v>
      </c>
      <c r="H170" t="s">
        <v>195</v>
      </c>
      <c r="I170">
        <v>9</v>
      </c>
      <c r="J170">
        <v>300.87</v>
      </c>
      <c r="K170">
        <v>0</v>
      </c>
      <c r="L170" t="s">
        <v>215</v>
      </c>
      <c r="M170">
        <v>1</v>
      </c>
    </row>
    <row r="171" spans="1:13" x14ac:dyDescent="0.3">
      <c r="A171" t="s">
        <v>380</v>
      </c>
      <c r="B171">
        <v>9</v>
      </c>
      <c r="C171" s="1">
        <v>45709</v>
      </c>
      <c r="D171">
        <v>2025</v>
      </c>
      <c r="E171" t="s">
        <v>198</v>
      </c>
      <c r="F171" t="s">
        <v>13</v>
      </c>
      <c r="G171" t="s">
        <v>200</v>
      </c>
      <c r="H171" t="s">
        <v>195</v>
      </c>
      <c r="I171">
        <v>4</v>
      </c>
      <c r="J171">
        <v>1278.55</v>
      </c>
      <c r="K171">
        <v>1</v>
      </c>
      <c r="L171" t="s">
        <v>201</v>
      </c>
      <c r="M171">
        <v>0</v>
      </c>
    </row>
    <row r="172" spans="1:13" x14ac:dyDescent="0.3">
      <c r="A172" t="s">
        <v>381</v>
      </c>
      <c r="B172">
        <v>9</v>
      </c>
      <c r="C172" s="1">
        <v>45790</v>
      </c>
      <c r="D172">
        <v>2025</v>
      </c>
      <c r="E172" t="s">
        <v>219</v>
      </c>
      <c r="F172" t="s">
        <v>12</v>
      </c>
      <c r="G172" t="s">
        <v>203</v>
      </c>
      <c r="H172" t="s">
        <v>195</v>
      </c>
      <c r="I172">
        <v>15</v>
      </c>
      <c r="J172">
        <v>896.69</v>
      </c>
      <c r="K172">
        <v>0</v>
      </c>
      <c r="L172" t="s">
        <v>201</v>
      </c>
      <c r="M172">
        <v>0</v>
      </c>
    </row>
    <row r="173" spans="1:13" x14ac:dyDescent="0.3">
      <c r="A173" t="s">
        <v>382</v>
      </c>
      <c r="B173">
        <v>9</v>
      </c>
      <c r="C173" s="1">
        <v>45995</v>
      </c>
      <c r="D173">
        <v>2025</v>
      </c>
      <c r="E173" t="s">
        <v>225</v>
      </c>
      <c r="F173" t="s">
        <v>199</v>
      </c>
      <c r="G173" t="s">
        <v>200</v>
      </c>
      <c r="H173" t="s">
        <v>195</v>
      </c>
      <c r="I173">
        <v>13</v>
      </c>
      <c r="J173">
        <v>6274.64</v>
      </c>
      <c r="K173">
        <v>1</v>
      </c>
      <c r="L173" t="s">
        <v>193</v>
      </c>
      <c r="M173">
        <v>0</v>
      </c>
    </row>
    <row r="174" spans="1:13" x14ac:dyDescent="0.3">
      <c r="A174" t="s">
        <v>383</v>
      </c>
      <c r="B174">
        <v>9</v>
      </c>
      <c r="C174" s="1">
        <v>45863</v>
      </c>
      <c r="D174">
        <v>2025</v>
      </c>
      <c r="E174" t="s">
        <v>198</v>
      </c>
      <c r="F174" t="s">
        <v>12</v>
      </c>
      <c r="G174" t="s">
        <v>200</v>
      </c>
      <c r="H174" t="s">
        <v>206</v>
      </c>
      <c r="I174">
        <v>15</v>
      </c>
      <c r="J174">
        <v>1385.26</v>
      </c>
      <c r="K174">
        <v>1</v>
      </c>
      <c r="L174" t="s">
        <v>210</v>
      </c>
      <c r="M174">
        <v>1</v>
      </c>
    </row>
    <row r="175" spans="1:13" x14ac:dyDescent="0.3">
      <c r="A175" t="s">
        <v>384</v>
      </c>
      <c r="B175">
        <v>9</v>
      </c>
      <c r="C175" s="1">
        <v>45912</v>
      </c>
      <c r="D175">
        <v>2025</v>
      </c>
      <c r="E175" t="s">
        <v>198</v>
      </c>
      <c r="F175" t="s">
        <v>199</v>
      </c>
      <c r="G175" t="s">
        <v>191</v>
      </c>
      <c r="H175" t="s">
        <v>192</v>
      </c>
      <c r="I175">
        <v>14</v>
      </c>
      <c r="J175">
        <v>2538.2600000000002</v>
      </c>
      <c r="K175">
        <v>1</v>
      </c>
      <c r="L175" t="s">
        <v>201</v>
      </c>
      <c r="M175">
        <v>0</v>
      </c>
    </row>
    <row r="176" spans="1:13" x14ac:dyDescent="0.3">
      <c r="A176" t="s">
        <v>385</v>
      </c>
      <c r="B176">
        <v>9</v>
      </c>
      <c r="C176" s="1">
        <v>45927</v>
      </c>
      <c r="D176">
        <v>2025</v>
      </c>
      <c r="E176" t="s">
        <v>198</v>
      </c>
      <c r="F176" t="s">
        <v>13</v>
      </c>
      <c r="G176" t="s">
        <v>200</v>
      </c>
      <c r="H176" t="s">
        <v>192</v>
      </c>
      <c r="I176">
        <v>13</v>
      </c>
      <c r="J176">
        <v>2101.31</v>
      </c>
      <c r="K176">
        <v>1</v>
      </c>
      <c r="L176" t="s">
        <v>193</v>
      </c>
      <c r="M176">
        <v>0</v>
      </c>
    </row>
    <row r="177" spans="1:13" x14ac:dyDescent="0.3">
      <c r="A177" t="s">
        <v>386</v>
      </c>
      <c r="B177">
        <v>10</v>
      </c>
      <c r="C177" s="1">
        <v>44510</v>
      </c>
      <c r="D177">
        <v>2021</v>
      </c>
      <c r="E177" t="s">
        <v>190</v>
      </c>
      <c r="F177" t="s">
        <v>209</v>
      </c>
      <c r="G177" t="s">
        <v>212</v>
      </c>
      <c r="H177" t="s">
        <v>206</v>
      </c>
      <c r="I177">
        <v>5</v>
      </c>
      <c r="J177">
        <v>250.24</v>
      </c>
      <c r="K177">
        <v>0</v>
      </c>
      <c r="L177" t="s">
        <v>215</v>
      </c>
      <c r="M177">
        <v>1</v>
      </c>
    </row>
    <row r="178" spans="1:13" x14ac:dyDescent="0.3">
      <c r="A178" t="s">
        <v>387</v>
      </c>
      <c r="B178">
        <v>10</v>
      </c>
      <c r="C178" s="1">
        <v>44216</v>
      </c>
      <c r="D178">
        <v>2021</v>
      </c>
      <c r="E178" t="s">
        <v>214</v>
      </c>
      <c r="F178" t="s">
        <v>12</v>
      </c>
      <c r="G178" t="s">
        <v>212</v>
      </c>
      <c r="H178" t="s">
        <v>204</v>
      </c>
      <c r="I178">
        <v>3</v>
      </c>
      <c r="J178">
        <v>469.04</v>
      </c>
      <c r="K178">
        <v>0</v>
      </c>
      <c r="L178" t="s">
        <v>201</v>
      </c>
      <c r="M178">
        <v>1</v>
      </c>
    </row>
    <row r="179" spans="1:13" x14ac:dyDescent="0.3">
      <c r="A179" t="s">
        <v>388</v>
      </c>
      <c r="B179">
        <v>10</v>
      </c>
      <c r="C179" s="1">
        <v>44881</v>
      </c>
      <c r="D179">
        <v>2022</v>
      </c>
      <c r="E179" t="s">
        <v>214</v>
      </c>
      <c r="F179" t="s">
        <v>199</v>
      </c>
      <c r="G179" t="s">
        <v>203</v>
      </c>
      <c r="H179" t="s">
        <v>204</v>
      </c>
      <c r="I179">
        <v>11</v>
      </c>
      <c r="J179">
        <v>7092.05</v>
      </c>
      <c r="K179">
        <v>0</v>
      </c>
      <c r="L179" t="s">
        <v>196</v>
      </c>
      <c r="M179">
        <v>0</v>
      </c>
    </row>
    <row r="180" spans="1:13" x14ac:dyDescent="0.3">
      <c r="A180" t="s">
        <v>389</v>
      </c>
      <c r="B180">
        <v>10</v>
      </c>
      <c r="C180" s="1">
        <v>44603</v>
      </c>
      <c r="D180">
        <v>2022</v>
      </c>
      <c r="E180" t="s">
        <v>214</v>
      </c>
      <c r="F180" t="s">
        <v>199</v>
      </c>
      <c r="G180" t="s">
        <v>191</v>
      </c>
      <c r="H180" t="s">
        <v>195</v>
      </c>
      <c r="I180">
        <v>19</v>
      </c>
      <c r="J180">
        <v>7891.47</v>
      </c>
      <c r="K180">
        <v>0</v>
      </c>
      <c r="L180" t="s">
        <v>193</v>
      </c>
      <c r="M180">
        <v>1</v>
      </c>
    </row>
    <row r="181" spans="1:13" x14ac:dyDescent="0.3">
      <c r="A181" t="s">
        <v>390</v>
      </c>
      <c r="B181">
        <v>10</v>
      </c>
      <c r="C181" s="1">
        <v>44755</v>
      </c>
      <c r="D181">
        <v>2022</v>
      </c>
      <c r="E181" t="s">
        <v>198</v>
      </c>
      <c r="F181" t="s">
        <v>199</v>
      </c>
      <c r="G181" t="s">
        <v>203</v>
      </c>
      <c r="H181" t="s">
        <v>192</v>
      </c>
      <c r="I181">
        <v>9</v>
      </c>
      <c r="J181">
        <v>7356.09</v>
      </c>
      <c r="K181">
        <v>1</v>
      </c>
      <c r="L181" t="s">
        <v>196</v>
      </c>
      <c r="M181">
        <v>0</v>
      </c>
    </row>
    <row r="182" spans="1:13" x14ac:dyDescent="0.3">
      <c r="A182" t="s">
        <v>391</v>
      </c>
      <c r="B182">
        <v>10</v>
      </c>
      <c r="C182" s="1">
        <v>44670</v>
      </c>
      <c r="D182">
        <v>2022</v>
      </c>
      <c r="E182" t="s">
        <v>198</v>
      </c>
      <c r="F182" t="s">
        <v>13</v>
      </c>
      <c r="G182" t="s">
        <v>212</v>
      </c>
      <c r="H182" t="s">
        <v>195</v>
      </c>
      <c r="I182">
        <v>19</v>
      </c>
      <c r="J182">
        <v>2720.01</v>
      </c>
      <c r="K182">
        <v>1</v>
      </c>
      <c r="L182" t="s">
        <v>215</v>
      </c>
      <c r="M182">
        <v>1</v>
      </c>
    </row>
    <row r="183" spans="1:13" x14ac:dyDescent="0.3">
      <c r="A183" t="s">
        <v>392</v>
      </c>
      <c r="B183">
        <v>10</v>
      </c>
      <c r="C183" s="1">
        <v>44705</v>
      </c>
      <c r="D183">
        <v>2022</v>
      </c>
      <c r="E183" t="s">
        <v>214</v>
      </c>
      <c r="F183" t="s">
        <v>13</v>
      </c>
      <c r="G183" t="s">
        <v>203</v>
      </c>
      <c r="H183" t="s">
        <v>195</v>
      </c>
      <c r="I183">
        <v>5</v>
      </c>
      <c r="J183">
        <v>1854.74</v>
      </c>
      <c r="K183">
        <v>1</v>
      </c>
      <c r="L183" t="s">
        <v>201</v>
      </c>
      <c r="M183">
        <v>1</v>
      </c>
    </row>
    <row r="184" spans="1:13" x14ac:dyDescent="0.3">
      <c r="A184" t="s">
        <v>393</v>
      </c>
      <c r="B184">
        <v>10</v>
      </c>
      <c r="C184" s="1">
        <v>44994</v>
      </c>
      <c r="D184">
        <v>2023</v>
      </c>
      <c r="E184" t="s">
        <v>214</v>
      </c>
      <c r="F184" t="s">
        <v>12</v>
      </c>
      <c r="G184" t="s">
        <v>191</v>
      </c>
      <c r="H184" t="s">
        <v>195</v>
      </c>
      <c r="I184">
        <v>5</v>
      </c>
      <c r="J184">
        <v>526.65</v>
      </c>
      <c r="K184">
        <v>0</v>
      </c>
      <c r="L184" t="s">
        <v>215</v>
      </c>
      <c r="M184">
        <v>0</v>
      </c>
    </row>
    <row r="185" spans="1:13" x14ac:dyDescent="0.3">
      <c r="A185" t="s">
        <v>394</v>
      </c>
      <c r="B185">
        <v>10</v>
      </c>
      <c r="C185" s="1">
        <v>45070</v>
      </c>
      <c r="D185">
        <v>2023</v>
      </c>
      <c r="E185" t="s">
        <v>219</v>
      </c>
      <c r="F185" t="s">
        <v>13</v>
      </c>
      <c r="G185" t="s">
        <v>212</v>
      </c>
      <c r="H185" t="s">
        <v>206</v>
      </c>
      <c r="I185">
        <v>13</v>
      </c>
      <c r="J185">
        <v>1986.26</v>
      </c>
      <c r="K185">
        <v>0</v>
      </c>
      <c r="L185" t="s">
        <v>193</v>
      </c>
      <c r="M185">
        <v>1</v>
      </c>
    </row>
    <row r="186" spans="1:13" x14ac:dyDescent="0.3">
      <c r="A186" t="s">
        <v>395</v>
      </c>
      <c r="B186">
        <v>10</v>
      </c>
      <c r="C186" s="1">
        <v>44937</v>
      </c>
      <c r="D186">
        <v>2023</v>
      </c>
      <c r="E186" t="s">
        <v>214</v>
      </c>
      <c r="F186" t="s">
        <v>12</v>
      </c>
      <c r="G186" t="s">
        <v>212</v>
      </c>
      <c r="H186" t="s">
        <v>195</v>
      </c>
      <c r="I186">
        <v>10</v>
      </c>
      <c r="J186">
        <v>1178.21</v>
      </c>
      <c r="K186">
        <v>0</v>
      </c>
      <c r="L186" t="s">
        <v>201</v>
      </c>
      <c r="M186">
        <v>1</v>
      </c>
    </row>
    <row r="187" spans="1:13" x14ac:dyDescent="0.3">
      <c r="A187" t="s">
        <v>396</v>
      </c>
      <c r="B187">
        <v>10</v>
      </c>
      <c r="C187" s="1">
        <v>45425</v>
      </c>
      <c r="D187">
        <v>2024</v>
      </c>
      <c r="E187" t="s">
        <v>198</v>
      </c>
      <c r="F187" t="s">
        <v>199</v>
      </c>
      <c r="G187" t="s">
        <v>191</v>
      </c>
      <c r="H187" t="s">
        <v>195</v>
      </c>
      <c r="I187">
        <v>5</v>
      </c>
      <c r="J187">
        <v>5587.29</v>
      </c>
      <c r="K187">
        <v>1</v>
      </c>
      <c r="L187" t="s">
        <v>196</v>
      </c>
      <c r="M187">
        <v>1</v>
      </c>
    </row>
    <row r="188" spans="1:13" x14ac:dyDescent="0.3">
      <c r="A188" t="s">
        <v>397</v>
      </c>
      <c r="B188">
        <v>10</v>
      </c>
      <c r="C188" s="1">
        <v>45453</v>
      </c>
      <c r="D188">
        <v>2024</v>
      </c>
      <c r="E188" t="s">
        <v>225</v>
      </c>
      <c r="F188" t="s">
        <v>13</v>
      </c>
      <c r="G188" t="s">
        <v>212</v>
      </c>
      <c r="H188" t="s">
        <v>195</v>
      </c>
      <c r="I188">
        <v>19</v>
      </c>
      <c r="J188">
        <v>2054.88</v>
      </c>
      <c r="K188">
        <v>1</v>
      </c>
      <c r="L188" t="s">
        <v>201</v>
      </c>
      <c r="M188">
        <v>1</v>
      </c>
    </row>
    <row r="189" spans="1:13" x14ac:dyDescent="0.3">
      <c r="A189" t="s">
        <v>398</v>
      </c>
      <c r="B189">
        <v>10</v>
      </c>
      <c r="C189" s="1">
        <v>45316</v>
      </c>
      <c r="D189">
        <v>2024</v>
      </c>
      <c r="E189" t="s">
        <v>219</v>
      </c>
      <c r="F189" t="s">
        <v>13</v>
      </c>
      <c r="G189" t="s">
        <v>191</v>
      </c>
      <c r="H189" t="s">
        <v>192</v>
      </c>
      <c r="I189">
        <v>3</v>
      </c>
      <c r="J189">
        <v>2821.37</v>
      </c>
      <c r="K189">
        <v>1</v>
      </c>
      <c r="L189" t="s">
        <v>201</v>
      </c>
      <c r="M189">
        <v>0</v>
      </c>
    </row>
    <row r="190" spans="1:13" x14ac:dyDescent="0.3">
      <c r="A190" t="s">
        <v>399</v>
      </c>
      <c r="B190">
        <v>10</v>
      </c>
      <c r="C190" s="1">
        <v>45341</v>
      </c>
      <c r="D190">
        <v>2024</v>
      </c>
      <c r="E190" t="s">
        <v>198</v>
      </c>
      <c r="F190" t="s">
        <v>13</v>
      </c>
      <c r="G190" t="s">
        <v>191</v>
      </c>
      <c r="H190" t="s">
        <v>195</v>
      </c>
      <c r="I190">
        <v>5</v>
      </c>
      <c r="J190">
        <v>2650.21</v>
      </c>
      <c r="K190">
        <v>1</v>
      </c>
      <c r="L190" t="s">
        <v>210</v>
      </c>
      <c r="M190">
        <v>1</v>
      </c>
    </row>
    <row r="191" spans="1:13" x14ac:dyDescent="0.3">
      <c r="A191" t="s">
        <v>400</v>
      </c>
      <c r="B191">
        <v>10</v>
      </c>
      <c r="C191" s="1">
        <v>45423</v>
      </c>
      <c r="D191">
        <v>2024</v>
      </c>
      <c r="E191" t="s">
        <v>190</v>
      </c>
      <c r="F191" t="s">
        <v>13</v>
      </c>
      <c r="G191" t="s">
        <v>212</v>
      </c>
      <c r="H191" t="s">
        <v>206</v>
      </c>
      <c r="I191">
        <v>5</v>
      </c>
      <c r="J191">
        <v>2506.91</v>
      </c>
      <c r="K191">
        <v>0</v>
      </c>
      <c r="L191" t="s">
        <v>193</v>
      </c>
      <c r="M191">
        <v>1</v>
      </c>
    </row>
    <row r="192" spans="1:13" x14ac:dyDescent="0.3">
      <c r="A192" t="s">
        <v>401</v>
      </c>
      <c r="B192">
        <v>10</v>
      </c>
      <c r="C192" s="1">
        <v>45489</v>
      </c>
      <c r="D192">
        <v>2024</v>
      </c>
      <c r="E192" t="s">
        <v>214</v>
      </c>
      <c r="F192" t="s">
        <v>199</v>
      </c>
      <c r="G192" t="s">
        <v>191</v>
      </c>
      <c r="H192" t="s">
        <v>192</v>
      </c>
      <c r="I192">
        <v>15</v>
      </c>
      <c r="J192">
        <v>2518.36</v>
      </c>
      <c r="K192">
        <v>1</v>
      </c>
      <c r="L192" t="s">
        <v>193</v>
      </c>
      <c r="M192">
        <v>0</v>
      </c>
    </row>
    <row r="193" spans="1:13" x14ac:dyDescent="0.3">
      <c r="A193" t="s">
        <v>402</v>
      </c>
      <c r="B193">
        <v>10</v>
      </c>
      <c r="C193" s="1">
        <v>45857</v>
      </c>
      <c r="D193">
        <v>2025</v>
      </c>
      <c r="E193" t="s">
        <v>190</v>
      </c>
      <c r="F193" t="s">
        <v>199</v>
      </c>
      <c r="G193" t="s">
        <v>203</v>
      </c>
      <c r="H193" t="s">
        <v>195</v>
      </c>
      <c r="I193">
        <v>14</v>
      </c>
      <c r="J193">
        <v>5903.82</v>
      </c>
      <c r="K193">
        <v>0</v>
      </c>
      <c r="L193" t="s">
        <v>196</v>
      </c>
      <c r="M193">
        <v>1</v>
      </c>
    </row>
    <row r="194" spans="1:13" x14ac:dyDescent="0.3">
      <c r="A194" t="s">
        <v>403</v>
      </c>
      <c r="B194">
        <v>10</v>
      </c>
      <c r="C194" s="1">
        <v>45949</v>
      </c>
      <c r="D194">
        <v>2025</v>
      </c>
      <c r="E194" t="s">
        <v>190</v>
      </c>
      <c r="F194" t="s">
        <v>199</v>
      </c>
      <c r="G194" t="s">
        <v>203</v>
      </c>
      <c r="H194" t="s">
        <v>206</v>
      </c>
      <c r="I194">
        <v>3</v>
      </c>
      <c r="J194">
        <v>5631.18</v>
      </c>
      <c r="K194">
        <v>0</v>
      </c>
      <c r="L194" t="s">
        <v>193</v>
      </c>
      <c r="M194">
        <v>0</v>
      </c>
    </row>
    <row r="195" spans="1:13" x14ac:dyDescent="0.3">
      <c r="A195" t="s">
        <v>404</v>
      </c>
      <c r="B195">
        <v>10</v>
      </c>
      <c r="C195" s="1">
        <v>46011</v>
      </c>
      <c r="D195">
        <v>2025</v>
      </c>
      <c r="E195" t="s">
        <v>198</v>
      </c>
      <c r="F195" t="s">
        <v>13</v>
      </c>
      <c r="G195" t="s">
        <v>212</v>
      </c>
      <c r="H195" t="s">
        <v>195</v>
      </c>
      <c r="I195">
        <v>9</v>
      </c>
      <c r="J195">
        <v>3550.93</v>
      </c>
      <c r="K195">
        <v>1</v>
      </c>
      <c r="L195" t="s">
        <v>196</v>
      </c>
      <c r="M195">
        <v>1</v>
      </c>
    </row>
    <row r="196" spans="1:13" x14ac:dyDescent="0.3">
      <c r="A196" t="s">
        <v>405</v>
      </c>
      <c r="B196">
        <v>10</v>
      </c>
      <c r="C196" s="1">
        <v>45753</v>
      </c>
      <c r="D196">
        <v>2025</v>
      </c>
      <c r="E196" t="s">
        <v>219</v>
      </c>
      <c r="F196" t="s">
        <v>13</v>
      </c>
      <c r="G196" t="s">
        <v>200</v>
      </c>
      <c r="H196" t="s">
        <v>195</v>
      </c>
      <c r="I196">
        <v>13</v>
      </c>
      <c r="J196">
        <v>1194.44</v>
      </c>
      <c r="K196">
        <v>0</v>
      </c>
      <c r="L196" t="s">
        <v>201</v>
      </c>
      <c r="M196">
        <v>0</v>
      </c>
    </row>
    <row r="197" spans="1:13" x14ac:dyDescent="0.3">
      <c r="A197" t="s">
        <v>406</v>
      </c>
      <c r="B197">
        <v>11</v>
      </c>
      <c r="C197" s="1">
        <v>44849</v>
      </c>
      <c r="D197">
        <v>2022</v>
      </c>
      <c r="E197" t="s">
        <v>190</v>
      </c>
      <c r="F197" t="s">
        <v>199</v>
      </c>
      <c r="G197" t="s">
        <v>200</v>
      </c>
      <c r="H197" t="s">
        <v>192</v>
      </c>
      <c r="I197">
        <v>3</v>
      </c>
      <c r="J197">
        <v>4321.93</v>
      </c>
      <c r="K197">
        <v>0</v>
      </c>
      <c r="L197" t="s">
        <v>196</v>
      </c>
      <c r="M197">
        <v>0</v>
      </c>
    </row>
    <row r="198" spans="1:13" x14ac:dyDescent="0.3">
      <c r="A198" t="s">
        <v>407</v>
      </c>
      <c r="B198">
        <v>11</v>
      </c>
      <c r="C198" s="1">
        <v>44593</v>
      </c>
      <c r="D198">
        <v>2022</v>
      </c>
      <c r="E198" t="s">
        <v>190</v>
      </c>
      <c r="F198" t="s">
        <v>12</v>
      </c>
      <c r="G198" t="s">
        <v>212</v>
      </c>
      <c r="H198" t="s">
        <v>192</v>
      </c>
      <c r="I198">
        <v>12</v>
      </c>
      <c r="J198">
        <v>1228.8</v>
      </c>
      <c r="K198">
        <v>0</v>
      </c>
      <c r="L198" t="s">
        <v>201</v>
      </c>
      <c r="M198">
        <v>1</v>
      </c>
    </row>
    <row r="199" spans="1:13" x14ac:dyDescent="0.3">
      <c r="A199" t="s">
        <v>408</v>
      </c>
      <c r="B199">
        <v>11</v>
      </c>
      <c r="C199" s="1">
        <v>44808</v>
      </c>
      <c r="D199">
        <v>2022</v>
      </c>
      <c r="E199" t="s">
        <v>219</v>
      </c>
      <c r="F199" t="s">
        <v>199</v>
      </c>
      <c r="G199" t="s">
        <v>203</v>
      </c>
      <c r="H199" t="s">
        <v>192</v>
      </c>
      <c r="I199">
        <v>11</v>
      </c>
      <c r="J199">
        <v>2828.82</v>
      </c>
      <c r="K199">
        <v>0</v>
      </c>
      <c r="L199" t="s">
        <v>196</v>
      </c>
      <c r="M199">
        <v>1</v>
      </c>
    </row>
    <row r="200" spans="1:13" x14ac:dyDescent="0.3">
      <c r="A200" t="s">
        <v>409</v>
      </c>
      <c r="B200">
        <v>11</v>
      </c>
      <c r="C200" s="1">
        <v>45090</v>
      </c>
      <c r="D200">
        <v>2023</v>
      </c>
      <c r="E200" t="s">
        <v>190</v>
      </c>
      <c r="F200" t="s">
        <v>13</v>
      </c>
      <c r="G200" t="s">
        <v>212</v>
      </c>
      <c r="H200" t="s">
        <v>195</v>
      </c>
      <c r="I200">
        <v>5</v>
      </c>
      <c r="J200">
        <v>1372.17</v>
      </c>
      <c r="K200">
        <v>0</v>
      </c>
      <c r="L200" t="s">
        <v>193</v>
      </c>
      <c r="M200">
        <v>1</v>
      </c>
    </row>
    <row r="201" spans="1:13" x14ac:dyDescent="0.3">
      <c r="A201" t="s">
        <v>410</v>
      </c>
      <c r="B201">
        <v>11</v>
      </c>
      <c r="C201" s="1">
        <v>45224</v>
      </c>
      <c r="D201">
        <v>2023</v>
      </c>
      <c r="E201" t="s">
        <v>190</v>
      </c>
      <c r="F201" t="s">
        <v>13</v>
      </c>
      <c r="G201" t="s">
        <v>203</v>
      </c>
      <c r="H201" t="s">
        <v>195</v>
      </c>
      <c r="I201">
        <v>9</v>
      </c>
      <c r="J201">
        <v>1425.85</v>
      </c>
      <c r="K201">
        <v>0</v>
      </c>
      <c r="L201" t="s">
        <v>193</v>
      </c>
      <c r="M201">
        <v>0</v>
      </c>
    </row>
    <row r="202" spans="1:13" x14ac:dyDescent="0.3">
      <c r="A202" t="s">
        <v>411</v>
      </c>
      <c r="B202">
        <v>11</v>
      </c>
      <c r="C202" s="1">
        <v>45098</v>
      </c>
      <c r="D202">
        <v>2023</v>
      </c>
      <c r="E202" t="s">
        <v>190</v>
      </c>
      <c r="F202" t="s">
        <v>13</v>
      </c>
      <c r="G202" t="s">
        <v>191</v>
      </c>
      <c r="H202" t="s">
        <v>195</v>
      </c>
      <c r="I202">
        <v>12</v>
      </c>
      <c r="J202">
        <v>3270.94</v>
      </c>
      <c r="K202">
        <v>0</v>
      </c>
      <c r="L202" t="s">
        <v>196</v>
      </c>
      <c r="M202">
        <v>0</v>
      </c>
    </row>
    <row r="203" spans="1:13" x14ac:dyDescent="0.3">
      <c r="A203" t="s">
        <v>412</v>
      </c>
      <c r="B203">
        <v>11</v>
      </c>
      <c r="C203" s="1">
        <v>45635</v>
      </c>
      <c r="D203">
        <v>2024</v>
      </c>
      <c r="E203" t="s">
        <v>219</v>
      </c>
      <c r="F203" t="s">
        <v>12</v>
      </c>
      <c r="G203" t="s">
        <v>212</v>
      </c>
      <c r="H203" t="s">
        <v>195</v>
      </c>
      <c r="I203">
        <v>6</v>
      </c>
      <c r="J203">
        <v>610.54</v>
      </c>
      <c r="K203">
        <v>0</v>
      </c>
      <c r="L203" t="s">
        <v>215</v>
      </c>
      <c r="M203">
        <v>1</v>
      </c>
    </row>
    <row r="204" spans="1:13" x14ac:dyDescent="0.3">
      <c r="A204" t="s">
        <v>413</v>
      </c>
      <c r="B204">
        <v>11</v>
      </c>
      <c r="C204" s="1">
        <v>45466</v>
      </c>
      <c r="D204">
        <v>2024</v>
      </c>
      <c r="E204" t="s">
        <v>214</v>
      </c>
      <c r="F204" t="s">
        <v>13</v>
      </c>
      <c r="G204" t="s">
        <v>200</v>
      </c>
      <c r="H204" t="s">
        <v>206</v>
      </c>
      <c r="I204">
        <v>5</v>
      </c>
      <c r="J204">
        <v>2425.85</v>
      </c>
      <c r="K204">
        <v>0</v>
      </c>
      <c r="L204" t="s">
        <v>193</v>
      </c>
      <c r="M204">
        <v>1</v>
      </c>
    </row>
    <row r="205" spans="1:13" x14ac:dyDescent="0.3">
      <c r="A205" t="s">
        <v>414</v>
      </c>
      <c r="B205">
        <v>11</v>
      </c>
      <c r="C205" s="1">
        <v>45736</v>
      </c>
      <c r="D205">
        <v>2025</v>
      </c>
      <c r="E205" t="s">
        <v>225</v>
      </c>
      <c r="F205" t="s">
        <v>13</v>
      </c>
      <c r="G205" t="s">
        <v>203</v>
      </c>
      <c r="H205" t="s">
        <v>195</v>
      </c>
      <c r="I205">
        <v>12</v>
      </c>
      <c r="J205">
        <v>2752.7</v>
      </c>
      <c r="K205">
        <v>1</v>
      </c>
      <c r="L205" t="s">
        <v>201</v>
      </c>
      <c r="M205">
        <v>1</v>
      </c>
    </row>
    <row r="206" spans="1:13" x14ac:dyDescent="0.3">
      <c r="A206" t="s">
        <v>415</v>
      </c>
      <c r="B206">
        <v>11</v>
      </c>
      <c r="C206" s="1">
        <v>45913</v>
      </c>
      <c r="D206">
        <v>2025</v>
      </c>
      <c r="E206" t="s">
        <v>198</v>
      </c>
      <c r="F206" t="s">
        <v>199</v>
      </c>
      <c r="G206" t="s">
        <v>212</v>
      </c>
      <c r="H206" t="s">
        <v>206</v>
      </c>
      <c r="I206">
        <v>7</v>
      </c>
      <c r="J206">
        <v>5256.02</v>
      </c>
      <c r="K206">
        <v>1</v>
      </c>
      <c r="L206" t="s">
        <v>196</v>
      </c>
      <c r="M206">
        <v>1</v>
      </c>
    </row>
    <row r="207" spans="1:13" x14ac:dyDescent="0.3">
      <c r="A207" t="s">
        <v>416</v>
      </c>
      <c r="B207">
        <v>11</v>
      </c>
      <c r="C207" s="1">
        <v>45890</v>
      </c>
      <c r="D207">
        <v>2025</v>
      </c>
      <c r="E207" t="s">
        <v>198</v>
      </c>
      <c r="F207" t="s">
        <v>13</v>
      </c>
      <c r="G207" t="s">
        <v>200</v>
      </c>
      <c r="H207" t="s">
        <v>192</v>
      </c>
      <c r="I207">
        <v>6</v>
      </c>
      <c r="J207">
        <v>1042.7</v>
      </c>
      <c r="K207">
        <v>1</v>
      </c>
      <c r="L207" t="s">
        <v>196</v>
      </c>
      <c r="M207">
        <v>0</v>
      </c>
    </row>
    <row r="208" spans="1:13" x14ac:dyDescent="0.3">
      <c r="A208" t="s">
        <v>417</v>
      </c>
      <c r="B208">
        <v>11</v>
      </c>
      <c r="C208" s="1">
        <v>45752</v>
      </c>
      <c r="D208">
        <v>2025</v>
      </c>
      <c r="E208" t="s">
        <v>198</v>
      </c>
      <c r="F208" t="s">
        <v>13</v>
      </c>
      <c r="G208" t="s">
        <v>191</v>
      </c>
      <c r="H208" t="s">
        <v>206</v>
      </c>
      <c r="I208">
        <v>15</v>
      </c>
      <c r="J208">
        <v>2069.5</v>
      </c>
      <c r="K208">
        <v>1</v>
      </c>
      <c r="L208" t="s">
        <v>193</v>
      </c>
      <c r="M208">
        <v>1</v>
      </c>
    </row>
    <row r="209" spans="1:13" x14ac:dyDescent="0.3">
      <c r="A209" t="s">
        <v>418</v>
      </c>
      <c r="B209">
        <v>12</v>
      </c>
      <c r="C209" s="1">
        <v>44537</v>
      </c>
      <c r="D209">
        <v>2021</v>
      </c>
      <c r="E209" t="s">
        <v>227</v>
      </c>
      <c r="F209" t="s">
        <v>13</v>
      </c>
      <c r="G209" t="s">
        <v>212</v>
      </c>
      <c r="H209" t="s">
        <v>192</v>
      </c>
      <c r="I209">
        <v>11</v>
      </c>
      <c r="J209">
        <v>3884.97</v>
      </c>
      <c r="K209">
        <v>0</v>
      </c>
      <c r="L209" t="s">
        <v>201</v>
      </c>
      <c r="M209">
        <v>1</v>
      </c>
    </row>
    <row r="210" spans="1:13" x14ac:dyDescent="0.3">
      <c r="A210" t="s">
        <v>419</v>
      </c>
      <c r="B210">
        <v>12</v>
      </c>
      <c r="C210" s="1">
        <v>44253</v>
      </c>
      <c r="D210">
        <v>2021</v>
      </c>
      <c r="E210" t="s">
        <v>198</v>
      </c>
      <c r="F210" t="s">
        <v>13</v>
      </c>
      <c r="G210" t="s">
        <v>203</v>
      </c>
      <c r="H210" t="s">
        <v>204</v>
      </c>
      <c r="I210">
        <v>13</v>
      </c>
      <c r="J210">
        <v>3218.31</v>
      </c>
      <c r="K210">
        <v>1</v>
      </c>
      <c r="L210" t="s">
        <v>201</v>
      </c>
      <c r="M210">
        <v>0</v>
      </c>
    </row>
    <row r="211" spans="1:13" x14ac:dyDescent="0.3">
      <c r="A211" t="s">
        <v>420</v>
      </c>
      <c r="B211">
        <v>12</v>
      </c>
      <c r="C211" s="1">
        <v>44553</v>
      </c>
      <c r="D211">
        <v>2021</v>
      </c>
      <c r="E211" t="s">
        <v>227</v>
      </c>
      <c r="F211" t="s">
        <v>13</v>
      </c>
      <c r="G211" t="s">
        <v>200</v>
      </c>
      <c r="H211" t="s">
        <v>195</v>
      </c>
      <c r="I211">
        <v>18</v>
      </c>
      <c r="J211">
        <v>3492.08</v>
      </c>
      <c r="K211">
        <v>0</v>
      </c>
      <c r="L211" t="s">
        <v>201</v>
      </c>
      <c r="M211">
        <v>0</v>
      </c>
    </row>
    <row r="212" spans="1:13" x14ac:dyDescent="0.3">
      <c r="A212" t="s">
        <v>421</v>
      </c>
      <c r="B212">
        <v>12</v>
      </c>
      <c r="C212" s="1">
        <v>44203</v>
      </c>
      <c r="D212">
        <v>2021</v>
      </c>
      <c r="E212" t="s">
        <v>198</v>
      </c>
      <c r="F212" t="s">
        <v>13</v>
      </c>
      <c r="G212" t="s">
        <v>212</v>
      </c>
      <c r="H212" t="s">
        <v>204</v>
      </c>
      <c r="I212">
        <v>7</v>
      </c>
      <c r="J212">
        <v>2610.8000000000002</v>
      </c>
      <c r="K212">
        <v>1</v>
      </c>
      <c r="L212" t="s">
        <v>193</v>
      </c>
      <c r="M212">
        <v>1</v>
      </c>
    </row>
    <row r="213" spans="1:13" x14ac:dyDescent="0.3">
      <c r="A213" t="s">
        <v>422</v>
      </c>
      <c r="B213">
        <v>12</v>
      </c>
      <c r="C213" s="1">
        <v>44503</v>
      </c>
      <c r="D213">
        <v>2021</v>
      </c>
      <c r="E213" t="s">
        <v>198</v>
      </c>
      <c r="F213" t="s">
        <v>13</v>
      </c>
      <c r="G213" t="s">
        <v>200</v>
      </c>
      <c r="H213" t="s">
        <v>195</v>
      </c>
      <c r="I213">
        <v>1</v>
      </c>
      <c r="J213">
        <v>2794.88</v>
      </c>
      <c r="K213">
        <v>1</v>
      </c>
      <c r="L213" t="s">
        <v>193</v>
      </c>
      <c r="M213">
        <v>0</v>
      </c>
    </row>
    <row r="214" spans="1:13" x14ac:dyDescent="0.3">
      <c r="A214" t="s">
        <v>423</v>
      </c>
      <c r="B214">
        <v>12</v>
      </c>
      <c r="C214" s="1">
        <v>44910</v>
      </c>
      <c r="D214">
        <v>2022</v>
      </c>
      <c r="E214" t="s">
        <v>190</v>
      </c>
      <c r="F214" t="s">
        <v>209</v>
      </c>
      <c r="G214" t="s">
        <v>212</v>
      </c>
      <c r="H214" t="s">
        <v>195</v>
      </c>
      <c r="I214">
        <v>9</v>
      </c>
      <c r="J214">
        <v>273.75</v>
      </c>
      <c r="K214">
        <v>0</v>
      </c>
      <c r="L214" t="s">
        <v>210</v>
      </c>
      <c r="M214">
        <v>1</v>
      </c>
    </row>
    <row r="215" spans="1:13" x14ac:dyDescent="0.3">
      <c r="A215" t="s">
        <v>424</v>
      </c>
      <c r="B215">
        <v>12</v>
      </c>
      <c r="C215" s="1">
        <v>45159</v>
      </c>
      <c r="D215">
        <v>2023</v>
      </c>
      <c r="E215" t="s">
        <v>198</v>
      </c>
      <c r="F215" t="s">
        <v>13</v>
      </c>
      <c r="G215" t="s">
        <v>212</v>
      </c>
      <c r="H215" t="s">
        <v>192</v>
      </c>
      <c r="I215">
        <v>6</v>
      </c>
      <c r="J215">
        <v>1898.91</v>
      </c>
      <c r="K215">
        <v>1</v>
      </c>
      <c r="L215" t="s">
        <v>210</v>
      </c>
      <c r="M215">
        <v>1</v>
      </c>
    </row>
    <row r="216" spans="1:13" x14ac:dyDescent="0.3">
      <c r="A216" t="s">
        <v>425</v>
      </c>
      <c r="B216">
        <v>12</v>
      </c>
      <c r="C216" s="1">
        <v>45068</v>
      </c>
      <c r="D216">
        <v>2023</v>
      </c>
      <c r="E216" t="s">
        <v>225</v>
      </c>
      <c r="F216" t="s">
        <v>12</v>
      </c>
      <c r="G216" t="s">
        <v>191</v>
      </c>
      <c r="H216" t="s">
        <v>192</v>
      </c>
      <c r="I216">
        <v>10</v>
      </c>
      <c r="J216">
        <v>649.01</v>
      </c>
      <c r="K216">
        <v>0</v>
      </c>
      <c r="L216" t="s">
        <v>201</v>
      </c>
      <c r="M216">
        <v>0</v>
      </c>
    </row>
    <row r="217" spans="1:13" x14ac:dyDescent="0.3">
      <c r="A217" t="s">
        <v>426</v>
      </c>
      <c r="B217">
        <v>12</v>
      </c>
      <c r="C217" s="1">
        <v>44982</v>
      </c>
      <c r="D217">
        <v>2023</v>
      </c>
      <c r="E217" t="s">
        <v>225</v>
      </c>
      <c r="F217" t="s">
        <v>199</v>
      </c>
      <c r="G217" t="s">
        <v>212</v>
      </c>
      <c r="H217" t="s">
        <v>204</v>
      </c>
      <c r="I217">
        <v>15</v>
      </c>
      <c r="J217">
        <v>3504.61</v>
      </c>
      <c r="K217">
        <v>0</v>
      </c>
      <c r="L217" t="s">
        <v>193</v>
      </c>
      <c r="M217">
        <v>1</v>
      </c>
    </row>
    <row r="218" spans="1:13" x14ac:dyDescent="0.3">
      <c r="A218" t="s">
        <v>427</v>
      </c>
      <c r="B218">
        <v>12</v>
      </c>
      <c r="C218" s="1">
        <v>45026</v>
      </c>
      <c r="D218">
        <v>2023</v>
      </c>
      <c r="E218" t="s">
        <v>225</v>
      </c>
      <c r="F218" t="s">
        <v>13</v>
      </c>
      <c r="G218" t="s">
        <v>203</v>
      </c>
      <c r="H218" t="s">
        <v>195</v>
      </c>
      <c r="I218">
        <v>4</v>
      </c>
      <c r="J218">
        <v>2713.03</v>
      </c>
      <c r="K218">
        <v>1</v>
      </c>
      <c r="L218" t="s">
        <v>193</v>
      </c>
      <c r="M218">
        <v>1</v>
      </c>
    </row>
    <row r="219" spans="1:13" x14ac:dyDescent="0.3">
      <c r="A219" t="s">
        <v>428</v>
      </c>
      <c r="B219">
        <v>12</v>
      </c>
      <c r="C219" s="1">
        <v>45013</v>
      </c>
      <c r="D219">
        <v>2023</v>
      </c>
      <c r="E219" t="s">
        <v>198</v>
      </c>
      <c r="F219" t="s">
        <v>13</v>
      </c>
      <c r="G219" t="s">
        <v>203</v>
      </c>
      <c r="H219" t="s">
        <v>206</v>
      </c>
      <c r="I219">
        <v>9</v>
      </c>
      <c r="J219">
        <v>2421.33</v>
      </c>
      <c r="K219">
        <v>1</v>
      </c>
      <c r="L219" t="s">
        <v>193</v>
      </c>
      <c r="M219">
        <v>1</v>
      </c>
    </row>
    <row r="220" spans="1:13" x14ac:dyDescent="0.3">
      <c r="A220" t="s">
        <v>429</v>
      </c>
      <c r="B220">
        <v>12</v>
      </c>
      <c r="C220" s="1">
        <v>45793</v>
      </c>
      <c r="D220">
        <v>2025</v>
      </c>
      <c r="E220" t="s">
        <v>198</v>
      </c>
      <c r="F220" t="s">
        <v>199</v>
      </c>
      <c r="G220" t="s">
        <v>191</v>
      </c>
      <c r="H220" t="s">
        <v>206</v>
      </c>
      <c r="I220">
        <v>15</v>
      </c>
      <c r="J220">
        <v>4194.09</v>
      </c>
      <c r="K220">
        <v>1</v>
      </c>
      <c r="L220" t="s">
        <v>193</v>
      </c>
      <c r="M220">
        <v>0</v>
      </c>
    </row>
    <row r="221" spans="1:13" x14ac:dyDescent="0.3">
      <c r="A221" t="s">
        <v>430</v>
      </c>
      <c r="B221">
        <v>12</v>
      </c>
      <c r="C221" s="1">
        <v>45840</v>
      </c>
      <c r="D221">
        <v>2025</v>
      </c>
      <c r="E221" t="s">
        <v>225</v>
      </c>
      <c r="F221" t="s">
        <v>199</v>
      </c>
      <c r="G221" t="s">
        <v>191</v>
      </c>
      <c r="H221" t="s">
        <v>195</v>
      </c>
      <c r="I221">
        <v>14</v>
      </c>
      <c r="J221">
        <v>6373.86</v>
      </c>
      <c r="K221">
        <v>0</v>
      </c>
      <c r="L221" t="s">
        <v>201</v>
      </c>
      <c r="M221">
        <v>0</v>
      </c>
    </row>
    <row r="222" spans="1:13" x14ac:dyDescent="0.3">
      <c r="A222" t="s">
        <v>431</v>
      </c>
      <c r="B222">
        <v>12</v>
      </c>
      <c r="C222" s="1">
        <v>45809</v>
      </c>
      <c r="D222">
        <v>2025</v>
      </c>
      <c r="E222" t="s">
        <v>190</v>
      </c>
      <c r="F222" t="s">
        <v>12</v>
      </c>
      <c r="G222" t="s">
        <v>203</v>
      </c>
      <c r="H222" t="s">
        <v>192</v>
      </c>
      <c r="I222">
        <v>3</v>
      </c>
      <c r="J222">
        <v>878.68</v>
      </c>
      <c r="K222">
        <v>0</v>
      </c>
      <c r="L222" t="s">
        <v>215</v>
      </c>
      <c r="M222">
        <v>0</v>
      </c>
    </row>
    <row r="223" spans="1:13" x14ac:dyDescent="0.3">
      <c r="A223" t="s">
        <v>432</v>
      </c>
      <c r="B223">
        <v>12</v>
      </c>
      <c r="C223" s="1">
        <v>45832</v>
      </c>
      <c r="D223">
        <v>2025</v>
      </c>
      <c r="E223" t="s">
        <v>190</v>
      </c>
      <c r="F223" t="s">
        <v>13</v>
      </c>
      <c r="G223" t="s">
        <v>200</v>
      </c>
      <c r="H223" t="s">
        <v>192</v>
      </c>
      <c r="I223">
        <v>10</v>
      </c>
      <c r="J223">
        <v>3063.4</v>
      </c>
      <c r="K223">
        <v>0</v>
      </c>
      <c r="L223" t="s">
        <v>193</v>
      </c>
      <c r="M223">
        <v>0</v>
      </c>
    </row>
    <row r="224" spans="1:13" x14ac:dyDescent="0.3">
      <c r="A224" t="s">
        <v>433</v>
      </c>
      <c r="B224">
        <v>13</v>
      </c>
      <c r="C224" s="1">
        <v>44200</v>
      </c>
      <c r="D224">
        <v>2021</v>
      </c>
      <c r="E224" t="s">
        <v>227</v>
      </c>
      <c r="F224" t="s">
        <v>12</v>
      </c>
      <c r="G224" t="s">
        <v>212</v>
      </c>
      <c r="H224" t="s">
        <v>206</v>
      </c>
      <c r="I224">
        <v>17</v>
      </c>
      <c r="J224">
        <v>605.29</v>
      </c>
      <c r="K224">
        <v>0</v>
      </c>
      <c r="L224" t="s">
        <v>201</v>
      </c>
      <c r="M224">
        <v>1</v>
      </c>
    </row>
    <row r="225" spans="1:13" x14ac:dyDescent="0.3">
      <c r="A225" t="s">
        <v>434</v>
      </c>
      <c r="B225">
        <v>13</v>
      </c>
      <c r="C225" s="1">
        <v>44238</v>
      </c>
      <c r="D225">
        <v>2021</v>
      </c>
      <c r="E225" t="s">
        <v>287</v>
      </c>
      <c r="F225" t="s">
        <v>13</v>
      </c>
      <c r="G225" t="s">
        <v>191</v>
      </c>
      <c r="H225" t="s">
        <v>206</v>
      </c>
      <c r="I225">
        <v>11</v>
      </c>
      <c r="J225">
        <v>2769.42</v>
      </c>
      <c r="K225">
        <v>0</v>
      </c>
      <c r="L225" t="s">
        <v>196</v>
      </c>
      <c r="M225">
        <v>0</v>
      </c>
    </row>
    <row r="226" spans="1:13" x14ac:dyDescent="0.3">
      <c r="A226" t="s">
        <v>435</v>
      </c>
      <c r="B226">
        <v>13</v>
      </c>
      <c r="C226" s="1">
        <v>44366</v>
      </c>
      <c r="D226">
        <v>2021</v>
      </c>
      <c r="E226" t="s">
        <v>219</v>
      </c>
      <c r="F226" t="s">
        <v>13</v>
      </c>
      <c r="G226" t="s">
        <v>212</v>
      </c>
      <c r="H226" t="s">
        <v>195</v>
      </c>
      <c r="I226">
        <v>15</v>
      </c>
      <c r="J226">
        <v>3068.71</v>
      </c>
      <c r="K226">
        <v>0</v>
      </c>
      <c r="L226" t="s">
        <v>196</v>
      </c>
      <c r="M226">
        <v>1</v>
      </c>
    </row>
    <row r="227" spans="1:13" x14ac:dyDescent="0.3">
      <c r="A227" t="s">
        <v>436</v>
      </c>
      <c r="B227">
        <v>13</v>
      </c>
      <c r="C227" s="1">
        <v>44553</v>
      </c>
      <c r="D227">
        <v>2021</v>
      </c>
      <c r="E227" t="s">
        <v>190</v>
      </c>
      <c r="F227" t="s">
        <v>199</v>
      </c>
      <c r="G227" t="s">
        <v>203</v>
      </c>
      <c r="H227" t="s">
        <v>195</v>
      </c>
      <c r="I227">
        <v>7</v>
      </c>
      <c r="J227">
        <v>6610</v>
      </c>
      <c r="K227">
        <v>0</v>
      </c>
      <c r="L227" t="s">
        <v>196</v>
      </c>
      <c r="M227">
        <v>0</v>
      </c>
    </row>
    <row r="228" spans="1:13" x14ac:dyDescent="0.3">
      <c r="A228" t="s">
        <v>437</v>
      </c>
      <c r="B228">
        <v>13</v>
      </c>
      <c r="C228" s="1">
        <v>44358</v>
      </c>
      <c r="D228">
        <v>2021</v>
      </c>
      <c r="E228" t="s">
        <v>214</v>
      </c>
      <c r="F228" t="s">
        <v>199</v>
      </c>
      <c r="G228" t="s">
        <v>203</v>
      </c>
      <c r="H228" t="s">
        <v>195</v>
      </c>
      <c r="I228">
        <v>13</v>
      </c>
      <c r="J228">
        <v>7629.75</v>
      </c>
      <c r="K228">
        <v>0</v>
      </c>
      <c r="L228" t="s">
        <v>196</v>
      </c>
      <c r="M228">
        <v>0</v>
      </c>
    </row>
    <row r="229" spans="1:13" x14ac:dyDescent="0.3">
      <c r="A229" t="s">
        <v>438</v>
      </c>
      <c r="B229">
        <v>13</v>
      </c>
      <c r="C229" s="1">
        <v>44434</v>
      </c>
      <c r="D229">
        <v>2021</v>
      </c>
      <c r="E229" t="s">
        <v>227</v>
      </c>
      <c r="F229" t="s">
        <v>13</v>
      </c>
      <c r="G229" t="s">
        <v>191</v>
      </c>
      <c r="H229" t="s">
        <v>195</v>
      </c>
      <c r="I229">
        <v>2</v>
      </c>
      <c r="J229">
        <v>1048.5999999999999</v>
      </c>
      <c r="K229">
        <v>0</v>
      </c>
      <c r="L229" t="s">
        <v>193</v>
      </c>
      <c r="M229">
        <v>0</v>
      </c>
    </row>
    <row r="230" spans="1:13" x14ac:dyDescent="0.3">
      <c r="A230" t="s">
        <v>439</v>
      </c>
      <c r="B230">
        <v>13</v>
      </c>
      <c r="C230" s="1">
        <v>44820</v>
      </c>
      <c r="D230">
        <v>2022</v>
      </c>
      <c r="E230" t="s">
        <v>214</v>
      </c>
      <c r="F230" t="s">
        <v>12</v>
      </c>
      <c r="G230" t="s">
        <v>200</v>
      </c>
      <c r="H230" t="s">
        <v>206</v>
      </c>
      <c r="I230">
        <v>3</v>
      </c>
      <c r="J230">
        <v>365.18</v>
      </c>
      <c r="K230">
        <v>0</v>
      </c>
      <c r="L230" t="s">
        <v>215</v>
      </c>
      <c r="M230">
        <v>0</v>
      </c>
    </row>
    <row r="231" spans="1:13" x14ac:dyDescent="0.3">
      <c r="A231" t="s">
        <v>440</v>
      </c>
      <c r="B231">
        <v>13</v>
      </c>
      <c r="C231" s="1">
        <v>44832</v>
      </c>
      <c r="D231">
        <v>2022</v>
      </c>
      <c r="E231" t="s">
        <v>190</v>
      </c>
      <c r="F231" t="s">
        <v>13</v>
      </c>
      <c r="G231" t="s">
        <v>212</v>
      </c>
      <c r="H231" t="s">
        <v>195</v>
      </c>
      <c r="I231">
        <v>11</v>
      </c>
      <c r="J231">
        <v>1572.66</v>
      </c>
      <c r="K231">
        <v>0</v>
      </c>
      <c r="L231" t="s">
        <v>193</v>
      </c>
      <c r="M231">
        <v>1</v>
      </c>
    </row>
    <row r="232" spans="1:13" x14ac:dyDescent="0.3">
      <c r="A232" t="s">
        <v>441</v>
      </c>
      <c r="B232">
        <v>13</v>
      </c>
      <c r="C232" s="1">
        <v>44696</v>
      </c>
      <c r="D232">
        <v>2022</v>
      </c>
      <c r="E232" t="s">
        <v>214</v>
      </c>
      <c r="F232" t="s">
        <v>199</v>
      </c>
      <c r="G232" t="s">
        <v>191</v>
      </c>
      <c r="H232" t="s">
        <v>204</v>
      </c>
      <c r="I232">
        <v>6</v>
      </c>
      <c r="J232">
        <v>2901.64</v>
      </c>
      <c r="K232">
        <v>0</v>
      </c>
      <c r="L232" t="s">
        <v>196</v>
      </c>
      <c r="M232">
        <v>0</v>
      </c>
    </row>
    <row r="233" spans="1:13" x14ac:dyDescent="0.3">
      <c r="A233" t="s">
        <v>442</v>
      </c>
      <c r="B233">
        <v>13</v>
      </c>
      <c r="C233" s="1">
        <v>44919</v>
      </c>
      <c r="D233">
        <v>2022</v>
      </c>
      <c r="E233" t="s">
        <v>190</v>
      </c>
      <c r="F233" t="s">
        <v>12</v>
      </c>
      <c r="G233" t="s">
        <v>200</v>
      </c>
      <c r="H233" t="s">
        <v>192</v>
      </c>
      <c r="I233">
        <v>1</v>
      </c>
      <c r="J233">
        <v>257.94</v>
      </c>
      <c r="K233">
        <v>0</v>
      </c>
      <c r="L233" t="s">
        <v>193</v>
      </c>
      <c r="M233">
        <v>0</v>
      </c>
    </row>
    <row r="234" spans="1:13" x14ac:dyDescent="0.3">
      <c r="A234" t="s">
        <v>443</v>
      </c>
      <c r="B234">
        <v>13</v>
      </c>
      <c r="C234" s="1">
        <v>44747</v>
      </c>
      <c r="D234">
        <v>2022</v>
      </c>
      <c r="E234" t="s">
        <v>214</v>
      </c>
      <c r="F234" t="s">
        <v>12</v>
      </c>
      <c r="G234" t="s">
        <v>212</v>
      </c>
      <c r="H234" t="s">
        <v>204</v>
      </c>
      <c r="I234">
        <v>13</v>
      </c>
      <c r="J234">
        <v>822.19</v>
      </c>
      <c r="K234">
        <v>0</v>
      </c>
      <c r="L234" t="s">
        <v>215</v>
      </c>
      <c r="M234">
        <v>1</v>
      </c>
    </row>
    <row r="235" spans="1:13" x14ac:dyDescent="0.3">
      <c r="A235" t="s">
        <v>444</v>
      </c>
      <c r="B235">
        <v>13</v>
      </c>
      <c r="C235" s="1">
        <v>45100</v>
      </c>
      <c r="D235">
        <v>2023</v>
      </c>
      <c r="E235" t="s">
        <v>198</v>
      </c>
      <c r="F235" t="s">
        <v>209</v>
      </c>
      <c r="G235" t="s">
        <v>212</v>
      </c>
      <c r="H235" t="s">
        <v>204</v>
      </c>
      <c r="I235">
        <v>12</v>
      </c>
      <c r="J235">
        <v>15.73</v>
      </c>
      <c r="K235">
        <v>1</v>
      </c>
      <c r="L235" t="s">
        <v>215</v>
      </c>
      <c r="M235">
        <v>1</v>
      </c>
    </row>
    <row r="236" spans="1:13" x14ac:dyDescent="0.3">
      <c r="A236" t="s">
        <v>445</v>
      </c>
      <c r="B236">
        <v>13</v>
      </c>
      <c r="C236" s="1">
        <v>45003</v>
      </c>
      <c r="D236">
        <v>2023</v>
      </c>
      <c r="E236" t="s">
        <v>225</v>
      </c>
      <c r="F236" t="s">
        <v>209</v>
      </c>
      <c r="G236" t="s">
        <v>212</v>
      </c>
      <c r="H236" t="s">
        <v>195</v>
      </c>
      <c r="I236">
        <v>3</v>
      </c>
      <c r="J236">
        <v>394.9</v>
      </c>
      <c r="K236">
        <v>0</v>
      </c>
      <c r="L236" t="s">
        <v>210</v>
      </c>
      <c r="M236">
        <v>1</v>
      </c>
    </row>
    <row r="237" spans="1:13" x14ac:dyDescent="0.3">
      <c r="A237" t="s">
        <v>446</v>
      </c>
      <c r="B237">
        <v>13</v>
      </c>
      <c r="C237" s="1">
        <v>45054</v>
      </c>
      <c r="D237">
        <v>2023</v>
      </c>
      <c r="E237" t="s">
        <v>287</v>
      </c>
      <c r="F237" t="s">
        <v>209</v>
      </c>
      <c r="G237" t="s">
        <v>212</v>
      </c>
      <c r="H237" t="s">
        <v>206</v>
      </c>
      <c r="I237">
        <v>12</v>
      </c>
      <c r="J237">
        <v>539.33000000000004</v>
      </c>
      <c r="K237">
        <v>0</v>
      </c>
      <c r="L237" t="s">
        <v>215</v>
      </c>
      <c r="M237">
        <v>1</v>
      </c>
    </row>
    <row r="238" spans="1:13" x14ac:dyDescent="0.3">
      <c r="A238" t="s">
        <v>447</v>
      </c>
      <c r="B238">
        <v>13</v>
      </c>
      <c r="C238" s="1">
        <v>45306</v>
      </c>
      <c r="D238">
        <v>2024</v>
      </c>
      <c r="E238" t="s">
        <v>198</v>
      </c>
      <c r="F238" t="s">
        <v>199</v>
      </c>
      <c r="G238" t="s">
        <v>203</v>
      </c>
      <c r="H238" t="s">
        <v>195</v>
      </c>
      <c r="I238">
        <v>16</v>
      </c>
      <c r="J238">
        <v>4912.01</v>
      </c>
      <c r="K238">
        <v>1</v>
      </c>
      <c r="L238" t="s">
        <v>201</v>
      </c>
      <c r="M238">
        <v>0</v>
      </c>
    </row>
    <row r="239" spans="1:13" x14ac:dyDescent="0.3">
      <c r="A239" t="s">
        <v>448</v>
      </c>
      <c r="B239">
        <v>13</v>
      </c>
      <c r="C239" s="1">
        <v>45325</v>
      </c>
      <c r="D239">
        <v>2024</v>
      </c>
      <c r="E239" t="s">
        <v>287</v>
      </c>
      <c r="F239" t="s">
        <v>13</v>
      </c>
      <c r="G239" t="s">
        <v>212</v>
      </c>
      <c r="H239" t="s">
        <v>195</v>
      </c>
      <c r="I239">
        <v>20</v>
      </c>
      <c r="J239">
        <v>1488.65</v>
      </c>
      <c r="K239">
        <v>0</v>
      </c>
      <c r="L239" t="s">
        <v>193</v>
      </c>
      <c r="M239">
        <v>1</v>
      </c>
    </row>
    <row r="240" spans="1:13" x14ac:dyDescent="0.3">
      <c r="A240" t="s">
        <v>449</v>
      </c>
      <c r="B240">
        <v>13</v>
      </c>
      <c r="C240" s="1">
        <v>45646</v>
      </c>
      <c r="D240">
        <v>2024</v>
      </c>
      <c r="E240" t="s">
        <v>225</v>
      </c>
      <c r="F240" t="s">
        <v>199</v>
      </c>
      <c r="G240" t="s">
        <v>203</v>
      </c>
      <c r="H240" t="s">
        <v>206</v>
      </c>
      <c r="I240">
        <v>10</v>
      </c>
      <c r="J240">
        <v>2999.35</v>
      </c>
      <c r="K240">
        <v>0</v>
      </c>
      <c r="L240" t="s">
        <v>193</v>
      </c>
      <c r="M240">
        <v>0</v>
      </c>
    </row>
    <row r="241" spans="1:13" x14ac:dyDescent="0.3">
      <c r="A241" t="s">
        <v>450</v>
      </c>
      <c r="B241">
        <v>13</v>
      </c>
      <c r="C241" s="1">
        <v>45505</v>
      </c>
      <c r="D241">
        <v>2024</v>
      </c>
      <c r="E241" t="s">
        <v>227</v>
      </c>
      <c r="F241" t="s">
        <v>199</v>
      </c>
      <c r="G241" t="s">
        <v>203</v>
      </c>
      <c r="H241" t="s">
        <v>192</v>
      </c>
      <c r="I241">
        <v>18</v>
      </c>
      <c r="J241">
        <v>4450.75</v>
      </c>
      <c r="K241">
        <v>0</v>
      </c>
      <c r="L241" t="s">
        <v>196</v>
      </c>
      <c r="M241">
        <v>0</v>
      </c>
    </row>
    <row r="242" spans="1:13" x14ac:dyDescent="0.3">
      <c r="A242" t="s">
        <v>451</v>
      </c>
      <c r="B242">
        <v>13</v>
      </c>
      <c r="C242" s="1">
        <v>45606</v>
      </c>
      <c r="D242">
        <v>2024</v>
      </c>
      <c r="E242" t="s">
        <v>214</v>
      </c>
      <c r="F242" t="s">
        <v>13</v>
      </c>
      <c r="G242" t="s">
        <v>212</v>
      </c>
      <c r="H242" t="s">
        <v>195</v>
      </c>
      <c r="I242">
        <v>20</v>
      </c>
      <c r="J242">
        <v>3627.83</v>
      </c>
      <c r="K242">
        <v>0</v>
      </c>
      <c r="L242" t="s">
        <v>196</v>
      </c>
      <c r="M242">
        <v>1</v>
      </c>
    </row>
    <row r="243" spans="1:13" x14ac:dyDescent="0.3">
      <c r="A243" t="s">
        <v>452</v>
      </c>
      <c r="B243">
        <v>13</v>
      </c>
      <c r="C243" s="1">
        <v>45647</v>
      </c>
      <c r="D243">
        <v>2024</v>
      </c>
      <c r="E243" t="s">
        <v>198</v>
      </c>
      <c r="F243" t="s">
        <v>209</v>
      </c>
      <c r="G243" t="s">
        <v>203</v>
      </c>
      <c r="H243" t="s">
        <v>195</v>
      </c>
      <c r="I243">
        <v>10</v>
      </c>
      <c r="J243">
        <v>311.17</v>
      </c>
      <c r="K243">
        <v>1</v>
      </c>
      <c r="L243" t="s">
        <v>215</v>
      </c>
      <c r="M243">
        <v>0</v>
      </c>
    </row>
    <row r="244" spans="1:13" x14ac:dyDescent="0.3">
      <c r="A244" t="s">
        <v>453</v>
      </c>
      <c r="B244">
        <v>13</v>
      </c>
      <c r="C244" s="1">
        <v>46013</v>
      </c>
      <c r="D244">
        <v>2025</v>
      </c>
      <c r="E244" t="s">
        <v>219</v>
      </c>
      <c r="F244" t="s">
        <v>199</v>
      </c>
      <c r="G244" t="s">
        <v>200</v>
      </c>
      <c r="H244" t="s">
        <v>192</v>
      </c>
      <c r="I244">
        <v>12</v>
      </c>
      <c r="J244">
        <v>3332.59</v>
      </c>
      <c r="K244">
        <v>0</v>
      </c>
      <c r="L244" t="s">
        <v>193</v>
      </c>
      <c r="M244">
        <v>0</v>
      </c>
    </row>
    <row r="245" spans="1:13" x14ac:dyDescent="0.3">
      <c r="A245" t="s">
        <v>454</v>
      </c>
      <c r="B245">
        <v>13</v>
      </c>
      <c r="C245" s="1">
        <v>45714</v>
      </c>
      <c r="D245">
        <v>2025</v>
      </c>
      <c r="E245" t="s">
        <v>198</v>
      </c>
      <c r="F245" t="s">
        <v>13</v>
      </c>
      <c r="G245" t="s">
        <v>203</v>
      </c>
      <c r="H245" t="s">
        <v>195</v>
      </c>
      <c r="I245">
        <v>6</v>
      </c>
      <c r="J245">
        <v>3726.94</v>
      </c>
      <c r="K245">
        <v>1</v>
      </c>
      <c r="L245" t="s">
        <v>193</v>
      </c>
      <c r="M245">
        <v>1</v>
      </c>
    </row>
    <row r="246" spans="1:13" x14ac:dyDescent="0.3">
      <c r="A246" t="s">
        <v>455</v>
      </c>
      <c r="B246">
        <v>13</v>
      </c>
      <c r="C246" s="1">
        <v>45809</v>
      </c>
      <c r="D246">
        <v>2025</v>
      </c>
      <c r="E246" t="s">
        <v>227</v>
      </c>
      <c r="F246" t="s">
        <v>199</v>
      </c>
      <c r="G246" t="s">
        <v>200</v>
      </c>
      <c r="H246" t="s">
        <v>206</v>
      </c>
      <c r="I246">
        <v>4</v>
      </c>
      <c r="J246">
        <v>5791.79</v>
      </c>
      <c r="K246">
        <v>0</v>
      </c>
      <c r="L246" t="s">
        <v>193</v>
      </c>
      <c r="M246">
        <v>0</v>
      </c>
    </row>
    <row r="247" spans="1:13" x14ac:dyDescent="0.3">
      <c r="A247" t="s">
        <v>456</v>
      </c>
      <c r="B247">
        <v>13</v>
      </c>
      <c r="C247" s="1">
        <v>45750</v>
      </c>
      <c r="D247">
        <v>2025</v>
      </c>
      <c r="E247" t="s">
        <v>227</v>
      </c>
      <c r="F247" t="s">
        <v>199</v>
      </c>
      <c r="G247" t="s">
        <v>203</v>
      </c>
      <c r="H247" t="s">
        <v>192</v>
      </c>
      <c r="I247">
        <v>15</v>
      </c>
      <c r="J247">
        <v>4922.29</v>
      </c>
      <c r="K247">
        <v>0</v>
      </c>
      <c r="L247" t="s">
        <v>196</v>
      </c>
      <c r="M247">
        <v>0</v>
      </c>
    </row>
    <row r="248" spans="1:13" x14ac:dyDescent="0.3">
      <c r="A248" t="s">
        <v>457</v>
      </c>
      <c r="B248">
        <v>14</v>
      </c>
      <c r="C248" s="1">
        <v>44417</v>
      </c>
      <c r="D248">
        <v>2021</v>
      </c>
      <c r="E248" t="s">
        <v>198</v>
      </c>
      <c r="F248" t="s">
        <v>13</v>
      </c>
      <c r="G248" t="s">
        <v>203</v>
      </c>
      <c r="H248" t="s">
        <v>206</v>
      </c>
      <c r="I248">
        <v>12</v>
      </c>
      <c r="J248">
        <v>3148.95</v>
      </c>
      <c r="K248">
        <v>1</v>
      </c>
      <c r="L248" t="s">
        <v>193</v>
      </c>
      <c r="M248">
        <v>1</v>
      </c>
    </row>
    <row r="249" spans="1:13" x14ac:dyDescent="0.3">
      <c r="A249" t="s">
        <v>458</v>
      </c>
      <c r="B249">
        <v>14</v>
      </c>
      <c r="C249" s="1">
        <v>44291</v>
      </c>
      <c r="D249">
        <v>2021</v>
      </c>
      <c r="E249" t="s">
        <v>198</v>
      </c>
      <c r="F249" t="s">
        <v>12</v>
      </c>
      <c r="G249" t="s">
        <v>203</v>
      </c>
      <c r="H249" t="s">
        <v>195</v>
      </c>
      <c r="I249">
        <v>14</v>
      </c>
      <c r="J249">
        <v>368.49</v>
      </c>
      <c r="K249">
        <v>1</v>
      </c>
      <c r="L249" t="s">
        <v>215</v>
      </c>
      <c r="M249">
        <v>0</v>
      </c>
    </row>
    <row r="250" spans="1:13" x14ac:dyDescent="0.3">
      <c r="A250" t="s">
        <v>459</v>
      </c>
      <c r="B250">
        <v>14</v>
      </c>
      <c r="C250" s="1">
        <v>44295</v>
      </c>
      <c r="D250">
        <v>2021</v>
      </c>
      <c r="E250" t="s">
        <v>198</v>
      </c>
      <c r="F250" t="s">
        <v>13</v>
      </c>
      <c r="G250" t="s">
        <v>203</v>
      </c>
      <c r="H250" t="s">
        <v>206</v>
      </c>
      <c r="I250">
        <v>9</v>
      </c>
      <c r="J250">
        <v>3005.07</v>
      </c>
      <c r="K250">
        <v>1</v>
      </c>
      <c r="L250" t="s">
        <v>210</v>
      </c>
      <c r="M250">
        <v>1</v>
      </c>
    </row>
    <row r="251" spans="1:13" x14ac:dyDescent="0.3">
      <c r="A251" t="s">
        <v>460</v>
      </c>
      <c r="B251">
        <v>14</v>
      </c>
      <c r="C251" s="1">
        <v>44266</v>
      </c>
      <c r="D251">
        <v>2021</v>
      </c>
      <c r="E251" t="s">
        <v>219</v>
      </c>
      <c r="F251" t="s">
        <v>13</v>
      </c>
      <c r="G251" t="s">
        <v>200</v>
      </c>
      <c r="H251" t="s">
        <v>195</v>
      </c>
      <c r="I251">
        <v>4</v>
      </c>
      <c r="J251">
        <v>2155.09</v>
      </c>
      <c r="K251">
        <v>0</v>
      </c>
      <c r="L251" t="s">
        <v>210</v>
      </c>
      <c r="M251">
        <v>0</v>
      </c>
    </row>
    <row r="252" spans="1:13" x14ac:dyDescent="0.3">
      <c r="A252" t="s">
        <v>461</v>
      </c>
      <c r="B252">
        <v>14</v>
      </c>
      <c r="C252" s="1">
        <v>44276</v>
      </c>
      <c r="D252">
        <v>2021</v>
      </c>
      <c r="E252" t="s">
        <v>198</v>
      </c>
      <c r="F252" t="s">
        <v>13</v>
      </c>
      <c r="G252" t="s">
        <v>200</v>
      </c>
      <c r="H252" t="s">
        <v>206</v>
      </c>
      <c r="I252">
        <v>6</v>
      </c>
      <c r="J252">
        <v>2716.26</v>
      </c>
      <c r="K252">
        <v>1</v>
      </c>
      <c r="L252" t="s">
        <v>201</v>
      </c>
      <c r="M252">
        <v>0</v>
      </c>
    </row>
    <row r="253" spans="1:13" x14ac:dyDescent="0.3">
      <c r="A253" t="s">
        <v>462</v>
      </c>
      <c r="B253">
        <v>14</v>
      </c>
      <c r="C253" s="1">
        <v>44482</v>
      </c>
      <c r="D253">
        <v>2021</v>
      </c>
      <c r="E253" t="s">
        <v>214</v>
      </c>
      <c r="F253" t="s">
        <v>13</v>
      </c>
      <c r="G253" t="s">
        <v>200</v>
      </c>
      <c r="H253" t="s">
        <v>192</v>
      </c>
      <c r="I253">
        <v>6</v>
      </c>
      <c r="J253">
        <v>3305.53</v>
      </c>
      <c r="K253">
        <v>0</v>
      </c>
      <c r="L253" t="s">
        <v>201</v>
      </c>
      <c r="M253">
        <v>1</v>
      </c>
    </row>
    <row r="254" spans="1:13" x14ac:dyDescent="0.3">
      <c r="A254" t="s">
        <v>463</v>
      </c>
      <c r="B254">
        <v>14</v>
      </c>
      <c r="C254" s="1">
        <v>44738</v>
      </c>
      <c r="D254">
        <v>2022</v>
      </c>
      <c r="E254" t="s">
        <v>190</v>
      </c>
      <c r="F254" t="s">
        <v>13</v>
      </c>
      <c r="G254" t="s">
        <v>191</v>
      </c>
      <c r="H254" t="s">
        <v>204</v>
      </c>
      <c r="I254">
        <v>9</v>
      </c>
      <c r="J254">
        <v>1788.59</v>
      </c>
      <c r="K254">
        <v>1</v>
      </c>
      <c r="L254" t="s">
        <v>196</v>
      </c>
      <c r="M254">
        <v>0</v>
      </c>
    </row>
    <row r="255" spans="1:13" x14ac:dyDescent="0.3">
      <c r="A255" t="s">
        <v>464</v>
      </c>
      <c r="B255">
        <v>14</v>
      </c>
      <c r="C255" s="1">
        <v>44809</v>
      </c>
      <c r="D255">
        <v>2022</v>
      </c>
      <c r="E255" t="s">
        <v>198</v>
      </c>
      <c r="F255" t="s">
        <v>199</v>
      </c>
      <c r="G255" t="s">
        <v>191</v>
      </c>
      <c r="H255" t="s">
        <v>195</v>
      </c>
      <c r="I255">
        <v>7</v>
      </c>
      <c r="J255">
        <v>6419.82</v>
      </c>
      <c r="K255">
        <v>1</v>
      </c>
      <c r="L255" t="s">
        <v>201</v>
      </c>
      <c r="M255">
        <v>0</v>
      </c>
    </row>
    <row r="256" spans="1:13" x14ac:dyDescent="0.3">
      <c r="A256" t="s">
        <v>465</v>
      </c>
      <c r="B256">
        <v>14</v>
      </c>
      <c r="C256" s="1">
        <v>44807</v>
      </c>
      <c r="D256">
        <v>2022</v>
      </c>
      <c r="E256" t="s">
        <v>287</v>
      </c>
      <c r="F256" t="s">
        <v>12</v>
      </c>
      <c r="G256" t="s">
        <v>191</v>
      </c>
      <c r="H256" t="s">
        <v>204</v>
      </c>
      <c r="I256">
        <v>15</v>
      </c>
      <c r="J256">
        <v>427.14</v>
      </c>
      <c r="K256">
        <v>0</v>
      </c>
      <c r="L256" t="s">
        <v>201</v>
      </c>
      <c r="M256">
        <v>0</v>
      </c>
    </row>
    <row r="257" spans="1:13" x14ac:dyDescent="0.3">
      <c r="A257" t="s">
        <v>466</v>
      </c>
      <c r="B257">
        <v>14</v>
      </c>
      <c r="C257" s="1">
        <v>44907</v>
      </c>
      <c r="D257">
        <v>2022</v>
      </c>
      <c r="E257" t="s">
        <v>190</v>
      </c>
      <c r="F257" t="s">
        <v>13</v>
      </c>
      <c r="G257" t="s">
        <v>200</v>
      </c>
      <c r="H257" t="s">
        <v>204</v>
      </c>
      <c r="I257">
        <v>19</v>
      </c>
      <c r="J257">
        <v>2618.37</v>
      </c>
      <c r="K257">
        <v>0</v>
      </c>
      <c r="L257" t="s">
        <v>193</v>
      </c>
      <c r="M257">
        <v>0</v>
      </c>
    </row>
    <row r="258" spans="1:13" x14ac:dyDescent="0.3">
      <c r="A258" t="s">
        <v>467</v>
      </c>
      <c r="B258">
        <v>14</v>
      </c>
      <c r="C258" s="1">
        <v>44624</v>
      </c>
      <c r="D258">
        <v>2022</v>
      </c>
      <c r="E258" t="s">
        <v>190</v>
      </c>
      <c r="F258" t="s">
        <v>199</v>
      </c>
      <c r="G258" t="s">
        <v>191</v>
      </c>
      <c r="H258" t="s">
        <v>192</v>
      </c>
      <c r="I258">
        <v>9</v>
      </c>
      <c r="J258">
        <v>5474.52</v>
      </c>
      <c r="K258">
        <v>1</v>
      </c>
      <c r="L258" t="s">
        <v>196</v>
      </c>
      <c r="M258">
        <v>0</v>
      </c>
    </row>
    <row r="259" spans="1:13" x14ac:dyDescent="0.3">
      <c r="A259" t="s">
        <v>468</v>
      </c>
      <c r="B259">
        <v>14</v>
      </c>
      <c r="C259" s="1">
        <v>45117</v>
      </c>
      <c r="D259">
        <v>2023</v>
      </c>
      <c r="E259" t="s">
        <v>214</v>
      </c>
      <c r="F259" t="s">
        <v>12</v>
      </c>
      <c r="G259" t="s">
        <v>212</v>
      </c>
      <c r="H259" t="s">
        <v>192</v>
      </c>
      <c r="I259">
        <v>4</v>
      </c>
      <c r="J259">
        <v>652.4</v>
      </c>
      <c r="K259">
        <v>0</v>
      </c>
      <c r="L259" t="s">
        <v>201</v>
      </c>
      <c r="M259">
        <v>1</v>
      </c>
    </row>
    <row r="260" spans="1:13" x14ac:dyDescent="0.3">
      <c r="A260" t="s">
        <v>469</v>
      </c>
      <c r="B260">
        <v>14</v>
      </c>
      <c r="C260" s="1">
        <v>45435</v>
      </c>
      <c r="D260">
        <v>2024</v>
      </c>
      <c r="E260" t="s">
        <v>219</v>
      </c>
      <c r="F260" t="s">
        <v>12</v>
      </c>
      <c r="G260" t="s">
        <v>191</v>
      </c>
      <c r="H260" t="s">
        <v>195</v>
      </c>
      <c r="I260">
        <v>5</v>
      </c>
      <c r="J260">
        <v>1449.09</v>
      </c>
      <c r="K260">
        <v>0</v>
      </c>
      <c r="L260" t="s">
        <v>193</v>
      </c>
      <c r="M260">
        <v>0</v>
      </c>
    </row>
    <row r="261" spans="1:13" x14ac:dyDescent="0.3">
      <c r="A261" t="s">
        <v>470</v>
      </c>
      <c r="B261">
        <v>14</v>
      </c>
      <c r="C261" s="1">
        <v>45760</v>
      </c>
      <c r="D261">
        <v>2025</v>
      </c>
      <c r="E261" t="s">
        <v>190</v>
      </c>
      <c r="F261" t="s">
        <v>12</v>
      </c>
      <c r="G261" t="s">
        <v>212</v>
      </c>
      <c r="H261" t="s">
        <v>195</v>
      </c>
      <c r="I261">
        <v>13</v>
      </c>
      <c r="J261">
        <v>1292.9100000000001</v>
      </c>
      <c r="K261">
        <v>0</v>
      </c>
      <c r="L261" t="s">
        <v>215</v>
      </c>
      <c r="M261">
        <v>1</v>
      </c>
    </row>
    <row r="262" spans="1:13" x14ac:dyDescent="0.3">
      <c r="A262" t="s">
        <v>471</v>
      </c>
      <c r="B262">
        <v>15</v>
      </c>
      <c r="C262" s="1">
        <v>44268</v>
      </c>
      <c r="D262">
        <v>2021</v>
      </c>
      <c r="E262" t="s">
        <v>214</v>
      </c>
      <c r="F262" t="s">
        <v>12</v>
      </c>
      <c r="G262" t="s">
        <v>191</v>
      </c>
      <c r="H262" t="s">
        <v>204</v>
      </c>
      <c r="I262">
        <v>10</v>
      </c>
      <c r="J262">
        <v>804.23</v>
      </c>
      <c r="K262">
        <v>0</v>
      </c>
      <c r="L262" t="s">
        <v>215</v>
      </c>
      <c r="M262">
        <v>0</v>
      </c>
    </row>
    <row r="263" spans="1:13" x14ac:dyDescent="0.3">
      <c r="A263" t="s">
        <v>472</v>
      </c>
      <c r="B263">
        <v>15</v>
      </c>
      <c r="C263" s="1">
        <v>44244</v>
      </c>
      <c r="D263">
        <v>2021</v>
      </c>
      <c r="E263" t="s">
        <v>214</v>
      </c>
      <c r="F263" t="s">
        <v>209</v>
      </c>
      <c r="G263" t="s">
        <v>212</v>
      </c>
      <c r="H263" t="s">
        <v>195</v>
      </c>
      <c r="I263">
        <v>3</v>
      </c>
      <c r="J263">
        <v>396.25</v>
      </c>
      <c r="K263">
        <v>0</v>
      </c>
      <c r="L263" t="s">
        <v>201</v>
      </c>
      <c r="M263">
        <v>1</v>
      </c>
    </row>
    <row r="264" spans="1:13" x14ac:dyDescent="0.3">
      <c r="A264" t="s">
        <v>473</v>
      </c>
      <c r="B264">
        <v>15</v>
      </c>
      <c r="C264" s="1">
        <v>44623</v>
      </c>
      <c r="D264">
        <v>2022</v>
      </c>
      <c r="E264" t="s">
        <v>198</v>
      </c>
      <c r="F264" t="s">
        <v>13</v>
      </c>
      <c r="G264" t="s">
        <v>191</v>
      </c>
      <c r="H264" t="s">
        <v>195</v>
      </c>
      <c r="I264">
        <v>14</v>
      </c>
      <c r="J264">
        <v>3848.46</v>
      </c>
      <c r="K264">
        <v>1</v>
      </c>
      <c r="L264" t="s">
        <v>196</v>
      </c>
      <c r="M264">
        <v>0</v>
      </c>
    </row>
    <row r="265" spans="1:13" x14ac:dyDescent="0.3">
      <c r="A265" t="s">
        <v>474</v>
      </c>
      <c r="B265">
        <v>15</v>
      </c>
      <c r="C265" s="1">
        <v>44880</v>
      </c>
      <c r="D265">
        <v>2022</v>
      </c>
      <c r="E265" t="s">
        <v>225</v>
      </c>
      <c r="F265" t="s">
        <v>12</v>
      </c>
      <c r="G265" t="s">
        <v>212</v>
      </c>
      <c r="H265" t="s">
        <v>195</v>
      </c>
      <c r="I265">
        <v>9</v>
      </c>
      <c r="J265">
        <v>859.13</v>
      </c>
      <c r="K265">
        <v>0</v>
      </c>
      <c r="L265" t="s">
        <v>210</v>
      </c>
      <c r="M265">
        <v>1</v>
      </c>
    </row>
    <row r="266" spans="1:13" x14ac:dyDescent="0.3">
      <c r="A266" t="s">
        <v>475</v>
      </c>
      <c r="B266">
        <v>15</v>
      </c>
      <c r="C266" s="1">
        <v>44616</v>
      </c>
      <c r="D266">
        <v>2022</v>
      </c>
      <c r="E266" t="s">
        <v>219</v>
      </c>
      <c r="F266" t="s">
        <v>13</v>
      </c>
      <c r="G266" t="s">
        <v>203</v>
      </c>
      <c r="H266" t="s">
        <v>192</v>
      </c>
      <c r="I266">
        <v>16</v>
      </c>
      <c r="J266">
        <v>2994.73</v>
      </c>
      <c r="K266">
        <v>0</v>
      </c>
      <c r="L266" t="s">
        <v>196</v>
      </c>
      <c r="M266">
        <v>0</v>
      </c>
    </row>
    <row r="267" spans="1:13" x14ac:dyDescent="0.3">
      <c r="A267" t="s">
        <v>476</v>
      </c>
      <c r="B267">
        <v>15</v>
      </c>
      <c r="C267" s="1">
        <v>44869</v>
      </c>
      <c r="D267">
        <v>2022</v>
      </c>
      <c r="E267" t="s">
        <v>198</v>
      </c>
      <c r="F267" t="s">
        <v>12</v>
      </c>
      <c r="G267" t="s">
        <v>203</v>
      </c>
      <c r="H267" t="s">
        <v>195</v>
      </c>
      <c r="I267">
        <v>14</v>
      </c>
      <c r="J267">
        <v>884.78</v>
      </c>
      <c r="K267">
        <v>1</v>
      </c>
      <c r="L267" t="s">
        <v>215</v>
      </c>
      <c r="M267">
        <v>1</v>
      </c>
    </row>
    <row r="268" spans="1:13" x14ac:dyDescent="0.3">
      <c r="A268" t="s">
        <v>477</v>
      </c>
      <c r="B268">
        <v>15</v>
      </c>
      <c r="C268" s="1">
        <v>44593</v>
      </c>
      <c r="D268">
        <v>2022</v>
      </c>
      <c r="E268" t="s">
        <v>227</v>
      </c>
      <c r="F268" t="s">
        <v>199</v>
      </c>
      <c r="G268" t="s">
        <v>203</v>
      </c>
      <c r="H268" t="s">
        <v>204</v>
      </c>
      <c r="I268">
        <v>3</v>
      </c>
      <c r="J268">
        <v>5750.96</v>
      </c>
      <c r="K268">
        <v>0</v>
      </c>
      <c r="L268" t="s">
        <v>193</v>
      </c>
      <c r="M268">
        <v>1</v>
      </c>
    </row>
    <row r="269" spans="1:13" x14ac:dyDescent="0.3">
      <c r="A269" t="s">
        <v>478</v>
      </c>
      <c r="B269">
        <v>15</v>
      </c>
      <c r="C269" s="1">
        <v>44911</v>
      </c>
      <c r="D269">
        <v>2022</v>
      </c>
      <c r="E269" t="s">
        <v>219</v>
      </c>
      <c r="F269" t="s">
        <v>199</v>
      </c>
      <c r="G269" t="s">
        <v>203</v>
      </c>
      <c r="H269" t="s">
        <v>195</v>
      </c>
      <c r="I269">
        <v>10</v>
      </c>
      <c r="J269">
        <v>7588.84</v>
      </c>
      <c r="K269">
        <v>0</v>
      </c>
      <c r="L269" t="s">
        <v>193</v>
      </c>
      <c r="M269">
        <v>0</v>
      </c>
    </row>
    <row r="270" spans="1:13" x14ac:dyDescent="0.3">
      <c r="A270" t="s">
        <v>479</v>
      </c>
      <c r="B270">
        <v>15</v>
      </c>
      <c r="C270" s="1">
        <v>44976</v>
      </c>
      <c r="D270">
        <v>2023</v>
      </c>
      <c r="E270" t="s">
        <v>198</v>
      </c>
      <c r="F270" t="s">
        <v>199</v>
      </c>
      <c r="G270" t="s">
        <v>203</v>
      </c>
      <c r="H270" t="s">
        <v>204</v>
      </c>
      <c r="I270">
        <v>12</v>
      </c>
      <c r="J270">
        <v>6401.18</v>
      </c>
      <c r="K270">
        <v>1</v>
      </c>
      <c r="L270" t="s">
        <v>196</v>
      </c>
      <c r="M270">
        <v>1</v>
      </c>
    </row>
    <row r="271" spans="1:13" x14ac:dyDescent="0.3">
      <c r="A271" t="s">
        <v>480</v>
      </c>
      <c r="B271">
        <v>15</v>
      </c>
      <c r="C271" s="1">
        <v>44938</v>
      </c>
      <c r="D271">
        <v>2023</v>
      </c>
      <c r="E271" t="s">
        <v>214</v>
      </c>
      <c r="F271" t="s">
        <v>12</v>
      </c>
      <c r="G271" t="s">
        <v>200</v>
      </c>
      <c r="H271" t="s">
        <v>192</v>
      </c>
      <c r="I271">
        <v>7</v>
      </c>
      <c r="J271">
        <v>1256.53</v>
      </c>
      <c r="K271">
        <v>0</v>
      </c>
      <c r="L271" t="s">
        <v>201</v>
      </c>
      <c r="M271">
        <v>1</v>
      </c>
    </row>
    <row r="272" spans="1:13" x14ac:dyDescent="0.3">
      <c r="A272" t="s">
        <v>481</v>
      </c>
      <c r="B272">
        <v>15</v>
      </c>
      <c r="C272" s="1">
        <v>45035</v>
      </c>
      <c r="D272">
        <v>2023</v>
      </c>
      <c r="E272" t="s">
        <v>198</v>
      </c>
      <c r="F272" t="s">
        <v>199</v>
      </c>
      <c r="G272" t="s">
        <v>191</v>
      </c>
      <c r="H272" t="s">
        <v>192</v>
      </c>
      <c r="I272">
        <v>4</v>
      </c>
      <c r="J272">
        <v>6509.82</v>
      </c>
      <c r="K272">
        <v>1</v>
      </c>
      <c r="L272" t="s">
        <v>196</v>
      </c>
      <c r="M272">
        <v>1</v>
      </c>
    </row>
    <row r="273" spans="1:13" x14ac:dyDescent="0.3">
      <c r="A273" t="s">
        <v>482</v>
      </c>
      <c r="B273">
        <v>15</v>
      </c>
      <c r="C273" s="1">
        <v>45451</v>
      </c>
      <c r="D273">
        <v>2024</v>
      </c>
      <c r="E273" t="s">
        <v>214</v>
      </c>
      <c r="F273" t="s">
        <v>13</v>
      </c>
      <c r="G273" t="s">
        <v>203</v>
      </c>
      <c r="H273" t="s">
        <v>204</v>
      </c>
      <c r="I273">
        <v>4</v>
      </c>
      <c r="J273">
        <v>2904.42</v>
      </c>
      <c r="K273">
        <v>0</v>
      </c>
      <c r="L273" t="s">
        <v>193</v>
      </c>
      <c r="M273">
        <v>0</v>
      </c>
    </row>
    <row r="274" spans="1:13" x14ac:dyDescent="0.3">
      <c r="A274" t="s">
        <v>483</v>
      </c>
      <c r="B274">
        <v>15</v>
      </c>
      <c r="C274" s="1">
        <v>45556</v>
      </c>
      <c r="D274">
        <v>2024</v>
      </c>
      <c r="E274" t="s">
        <v>225</v>
      </c>
      <c r="F274" t="s">
        <v>12</v>
      </c>
      <c r="G274" t="s">
        <v>203</v>
      </c>
      <c r="H274" t="s">
        <v>192</v>
      </c>
      <c r="I274">
        <v>7</v>
      </c>
      <c r="J274">
        <v>1305.9000000000001</v>
      </c>
      <c r="K274">
        <v>0</v>
      </c>
      <c r="L274" t="s">
        <v>210</v>
      </c>
      <c r="M274">
        <v>0</v>
      </c>
    </row>
    <row r="275" spans="1:13" x14ac:dyDescent="0.3">
      <c r="A275" t="s">
        <v>484</v>
      </c>
      <c r="B275">
        <v>15</v>
      </c>
      <c r="C275" s="1">
        <v>45652</v>
      </c>
      <c r="D275">
        <v>2024</v>
      </c>
      <c r="E275" t="s">
        <v>198</v>
      </c>
      <c r="F275" t="s">
        <v>12</v>
      </c>
      <c r="G275" t="s">
        <v>200</v>
      </c>
      <c r="H275" t="s">
        <v>195</v>
      </c>
      <c r="I275">
        <v>10</v>
      </c>
      <c r="J275">
        <v>1049.31</v>
      </c>
      <c r="K275">
        <v>1</v>
      </c>
      <c r="L275" t="s">
        <v>210</v>
      </c>
      <c r="M275">
        <v>0</v>
      </c>
    </row>
    <row r="276" spans="1:13" x14ac:dyDescent="0.3">
      <c r="A276" t="s">
        <v>485</v>
      </c>
      <c r="B276">
        <v>15</v>
      </c>
      <c r="C276" s="1">
        <v>45480</v>
      </c>
      <c r="D276">
        <v>2024</v>
      </c>
      <c r="E276" t="s">
        <v>214</v>
      </c>
      <c r="F276" t="s">
        <v>13</v>
      </c>
      <c r="G276" t="s">
        <v>203</v>
      </c>
      <c r="H276" t="s">
        <v>204</v>
      </c>
      <c r="I276">
        <v>18</v>
      </c>
      <c r="J276">
        <v>3687.34</v>
      </c>
      <c r="K276">
        <v>0</v>
      </c>
      <c r="L276" t="s">
        <v>196</v>
      </c>
      <c r="M276">
        <v>0</v>
      </c>
    </row>
    <row r="277" spans="1:13" x14ac:dyDescent="0.3">
      <c r="A277" t="s">
        <v>486</v>
      </c>
      <c r="B277">
        <v>15</v>
      </c>
      <c r="C277" s="1">
        <v>45329</v>
      </c>
      <c r="D277">
        <v>2024</v>
      </c>
      <c r="E277" t="s">
        <v>219</v>
      </c>
      <c r="F277" t="s">
        <v>199</v>
      </c>
      <c r="G277" t="s">
        <v>191</v>
      </c>
      <c r="H277" t="s">
        <v>206</v>
      </c>
      <c r="I277">
        <v>8</v>
      </c>
      <c r="J277">
        <v>6662.24</v>
      </c>
      <c r="K277">
        <v>0</v>
      </c>
      <c r="L277" t="s">
        <v>196</v>
      </c>
      <c r="M277">
        <v>0</v>
      </c>
    </row>
    <row r="278" spans="1:13" x14ac:dyDescent="0.3">
      <c r="A278" t="s">
        <v>487</v>
      </c>
      <c r="B278">
        <v>15</v>
      </c>
      <c r="C278" s="1">
        <v>45691</v>
      </c>
      <c r="D278">
        <v>2025</v>
      </c>
      <c r="E278" t="s">
        <v>198</v>
      </c>
      <c r="F278" t="s">
        <v>13</v>
      </c>
      <c r="G278" t="s">
        <v>191</v>
      </c>
      <c r="H278" t="s">
        <v>195</v>
      </c>
      <c r="I278">
        <v>4</v>
      </c>
      <c r="J278">
        <v>2020.49</v>
      </c>
      <c r="K278">
        <v>1</v>
      </c>
      <c r="L278" t="s">
        <v>201</v>
      </c>
      <c r="M278">
        <v>0</v>
      </c>
    </row>
    <row r="279" spans="1:13" x14ac:dyDescent="0.3">
      <c r="A279" t="s">
        <v>488</v>
      </c>
      <c r="B279">
        <v>15</v>
      </c>
      <c r="C279" s="1">
        <v>46018</v>
      </c>
      <c r="D279">
        <v>2025</v>
      </c>
      <c r="E279" t="s">
        <v>190</v>
      </c>
      <c r="F279" t="s">
        <v>13</v>
      </c>
      <c r="G279" t="s">
        <v>203</v>
      </c>
      <c r="H279" t="s">
        <v>195</v>
      </c>
      <c r="I279">
        <v>4</v>
      </c>
      <c r="J279">
        <v>3478.4</v>
      </c>
      <c r="K279">
        <v>0</v>
      </c>
      <c r="L279" t="s">
        <v>201</v>
      </c>
      <c r="M279">
        <v>1</v>
      </c>
    </row>
    <row r="280" spans="1:13" x14ac:dyDescent="0.3">
      <c r="A280" t="s">
        <v>489</v>
      </c>
      <c r="B280">
        <v>15</v>
      </c>
      <c r="C280" s="1">
        <v>45673</v>
      </c>
      <c r="D280">
        <v>2025</v>
      </c>
      <c r="E280" t="s">
        <v>198</v>
      </c>
      <c r="F280" t="s">
        <v>13</v>
      </c>
      <c r="G280" t="s">
        <v>203</v>
      </c>
      <c r="H280" t="s">
        <v>192</v>
      </c>
      <c r="I280">
        <v>4</v>
      </c>
      <c r="J280">
        <v>2321.0700000000002</v>
      </c>
      <c r="K280">
        <v>1</v>
      </c>
      <c r="L280" t="s">
        <v>196</v>
      </c>
      <c r="M280">
        <v>0</v>
      </c>
    </row>
    <row r="281" spans="1:13" x14ac:dyDescent="0.3">
      <c r="A281" t="s">
        <v>490</v>
      </c>
      <c r="B281">
        <v>15</v>
      </c>
      <c r="C281" s="1">
        <v>45685</v>
      </c>
      <c r="D281">
        <v>2025</v>
      </c>
      <c r="E281" t="s">
        <v>198</v>
      </c>
      <c r="F281" t="s">
        <v>13</v>
      </c>
      <c r="G281" t="s">
        <v>203</v>
      </c>
      <c r="H281" t="s">
        <v>204</v>
      </c>
      <c r="I281">
        <v>19</v>
      </c>
      <c r="J281">
        <v>2742.69</v>
      </c>
      <c r="K281">
        <v>1</v>
      </c>
      <c r="L281" t="s">
        <v>196</v>
      </c>
      <c r="M281">
        <v>1</v>
      </c>
    </row>
    <row r="282" spans="1:13" x14ac:dyDescent="0.3">
      <c r="A282" t="s">
        <v>491</v>
      </c>
      <c r="B282">
        <v>15</v>
      </c>
      <c r="C282" s="1">
        <v>46000</v>
      </c>
      <c r="D282">
        <v>2025</v>
      </c>
      <c r="E282" t="s">
        <v>287</v>
      </c>
      <c r="F282" t="s">
        <v>199</v>
      </c>
      <c r="G282" t="s">
        <v>203</v>
      </c>
      <c r="H282" t="s">
        <v>195</v>
      </c>
      <c r="I282">
        <v>8</v>
      </c>
      <c r="J282">
        <v>7653.07</v>
      </c>
      <c r="K282">
        <v>1</v>
      </c>
      <c r="L282" t="s">
        <v>196</v>
      </c>
      <c r="M282">
        <v>1</v>
      </c>
    </row>
    <row r="283" spans="1:13" x14ac:dyDescent="0.3">
      <c r="A283" t="s">
        <v>492</v>
      </c>
      <c r="B283">
        <v>16</v>
      </c>
      <c r="C283" s="1">
        <v>44375</v>
      </c>
      <c r="D283">
        <v>2021</v>
      </c>
      <c r="E283" t="s">
        <v>190</v>
      </c>
      <c r="F283" t="s">
        <v>13</v>
      </c>
      <c r="G283" t="s">
        <v>200</v>
      </c>
      <c r="H283" t="s">
        <v>204</v>
      </c>
      <c r="I283">
        <v>10</v>
      </c>
      <c r="J283">
        <v>3956.51</v>
      </c>
      <c r="K283">
        <v>0</v>
      </c>
      <c r="L283" t="s">
        <v>210</v>
      </c>
      <c r="M283">
        <v>0</v>
      </c>
    </row>
    <row r="284" spans="1:13" x14ac:dyDescent="0.3">
      <c r="A284" t="s">
        <v>493</v>
      </c>
      <c r="B284">
        <v>16</v>
      </c>
      <c r="C284" s="1">
        <v>44477</v>
      </c>
      <c r="D284">
        <v>2021</v>
      </c>
      <c r="E284" t="s">
        <v>190</v>
      </c>
      <c r="F284" t="s">
        <v>13</v>
      </c>
      <c r="G284" t="s">
        <v>191</v>
      </c>
      <c r="H284" t="s">
        <v>195</v>
      </c>
      <c r="I284">
        <v>12</v>
      </c>
      <c r="J284">
        <v>2722.78</v>
      </c>
      <c r="K284">
        <v>0</v>
      </c>
      <c r="L284" t="s">
        <v>193</v>
      </c>
      <c r="M284">
        <v>0</v>
      </c>
    </row>
    <row r="285" spans="1:13" x14ac:dyDescent="0.3">
      <c r="A285" t="s">
        <v>494</v>
      </c>
      <c r="B285">
        <v>16</v>
      </c>
      <c r="C285" s="1">
        <v>44380</v>
      </c>
      <c r="D285">
        <v>2021</v>
      </c>
      <c r="E285" t="s">
        <v>214</v>
      </c>
      <c r="F285" t="s">
        <v>13</v>
      </c>
      <c r="G285" t="s">
        <v>200</v>
      </c>
      <c r="H285" t="s">
        <v>195</v>
      </c>
      <c r="I285">
        <v>13</v>
      </c>
      <c r="J285">
        <v>3602.73</v>
      </c>
      <c r="K285">
        <v>0</v>
      </c>
      <c r="L285" t="s">
        <v>201</v>
      </c>
      <c r="M285">
        <v>0</v>
      </c>
    </row>
    <row r="286" spans="1:13" x14ac:dyDescent="0.3">
      <c r="A286" t="s">
        <v>495</v>
      </c>
      <c r="B286">
        <v>16</v>
      </c>
      <c r="C286" s="1">
        <v>44539</v>
      </c>
      <c r="D286">
        <v>2021</v>
      </c>
      <c r="E286" t="s">
        <v>287</v>
      </c>
      <c r="F286" t="s">
        <v>13</v>
      </c>
      <c r="G286" t="s">
        <v>212</v>
      </c>
      <c r="H286" t="s">
        <v>192</v>
      </c>
      <c r="I286">
        <v>5</v>
      </c>
      <c r="J286">
        <v>3828.24</v>
      </c>
      <c r="K286">
        <v>0</v>
      </c>
      <c r="L286" t="s">
        <v>196</v>
      </c>
      <c r="M286">
        <v>1</v>
      </c>
    </row>
    <row r="287" spans="1:13" x14ac:dyDescent="0.3">
      <c r="A287" t="s">
        <v>496</v>
      </c>
      <c r="B287">
        <v>16</v>
      </c>
      <c r="C287" s="1">
        <v>44699</v>
      </c>
      <c r="D287">
        <v>2022</v>
      </c>
      <c r="E287" t="s">
        <v>219</v>
      </c>
      <c r="F287" t="s">
        <v>12</v>
      </c>
      <c r="G287" t="s">
        <v>203</v>
      </c>
      <c r="H287" t="s">
        <v>206</v>
      </c>
      <c r="I287">
        <v>10</v>
      </c>
      <c r="J287">
        <v>884.94</v>
      </c>
      <c r="K287">
        <v>0</v>
      </c>
      <c r="L287" t="s">
        <v>210</v>
      </c>
      <c r="M287">
        <v>1</v>
      </c>
    </row>
    <row r="288" spans="1:13" x14ac:dyDescent="0.3">
      <c r="A288" t="s">
        <v>497</v>
      </c>
      <c r="B288">
        <v>16</v>
      </c>
      <c r="C288" s="1">
        <v>44845</v>
      </c>
      <c r="D288">
        <v>2022</v>
      </c>
      <c r="E288" t="s">
        <v>190</v>
      </c>
      <c r="F288" t="s">
        <v>199</v>
      </c>
      <c r="G288" t="s">
        <v>200</v>
      </c>
      <c r="H288" t="s">
        <v>192</v>
      </c>
      <c r="I288">
        <v>2</v>
      </c>
      <c r="J288">
        <v>5730.96</v>
      </c>
      <c r="K288">
        <v>0</v>
      </c>
      <c r="L288" t="s">
        <v>196</v>
      </c>
      <c r="M288">
        <v>0</v>
      </c>
    </row>
    <row r="289" spans="1:13" x14ac:dyDescent="0.3">
      <c r="A289" t="s">
        <v>498</v>
      </c>
      <c r="B289">
        <v>16</v>
      </c>
      <c r="C289" s="1">
        <v>45266</v>
      </c>
      <c r="D289">
        <v>2023</v>
      </c>
      <c r="E289" t="s">
        <v>214</v>
      </c>
      <c r="F289" t="s">
        <v>13</v>
      </c>
      <c r="G289" t="s">
        <v>200</v>
      </c>
      <c r="H289" t="s">
        <v>206</v>
      </c>
      <c r="I289">
        <v>3</v>
      </c>
      <c r="J289">
        <v>2948.22</v>
      </c>
      <c r="K289">
        <v>0</v>
      </c>
      <c r="L289" t="s">
        <v>201</v>
      </c>
      <c r="M289">
        <v>0</v>
      </c>
    </row>
    <row r="290" spans="1:13" x14ac:dyDescent="0.3">
      <c r="A290" t="s">
        <v>499</v>
      </c>
      <c r="B290">
        <v>16</v>
      </c>
      <c r="C290" s="1">
        <v>45126</v>
      </c>
      <c r="D290">
        <v>2023</v>
      </c>
      <c r="E290" t="s">
        <v>190</v>
      </c>
      <c r="F290" t="s">
        <v>199</v>
      </c>
      <c r="G290" t="s">
        <v>203</v>
      </c>
      <c r="H290" t="s">
        <v>195</v>
      </c>
      <c r="I290">
        <v>4</v>
      </c>
      <c r="J290">
        <v>3506.44</v>
      </c>
      <c r="K290">
        <v>0</v>
      </c>
      <c r="L290" t="s">
        <v>196</v>
      </c>
      <c r="M290">
        <v>0</v>
      </c>
    </row>
    <row r="291" spans="1:13" x14ac:dyDescent="0.3">
      <c r="A291" t="s">
        <v>500</v>
      </c>
      <c r="B291">
        <v>16</v>
      </c>
      <c r="C291" s="1">
        <v>45062</v>
      </c>
      <c r="D291">
        <v>2023</v>
      </c>
      <c r="E291" t="s">
        <v>198</v>
      </c>
      <c r="F291" t="s">
        <v>199</v>
      </c>
      <c r="G291" t="s">
        <v>191</v>
      </c>
      <c r="H291" t="s">
        <v>204</v>
      </c>
      <c r="I291">
        <v>10</v>
      </c>
      <c r="J291">
        <v>4368.46</v>
      </c>
      <c r="K291">
        <v>1</v>
      </c>
      <c r="L291" t="s">
        <v>196</v>
      </c>
      <c r="M291">
        <v>0</v>
      </c>
    </row>
    <row r="292" spans="1:13" x14ac:dyDescent="0.3">
      <c r="A292" t="s">
        <v>501</v>
      </c>
      <c r="B292">
        <v>16</v>
      </c>
      <c r="C292" s="1">
        <v>45201</v>
      </c>
      <c r="D292">
        <v>2023</v>
      </c>
      <c r="E292" t="s">
        <v>227</v>
      </c>
      <c r="F292" t="s">
        <v>12</v>
      </c>
      <c r="G292" t="s">
        <v>212</v>
      </c>
      <c r="H292" t="s">
        <v>195</v>
      </c>
      <c r="I292">
        <v>16</v>
      </c>
      <c r="J292">
        <v>730.94</v>
      </c>
      <c r="K292">
        <v>1</v>
      </c>
      <c r="L292" t="s">
        <v>215</v>
      </c>
      <c r="M292">
        <v>1</v>
      </c>
    </row>
    <row r="293" spans="1:13" x14ac:dyDescent="0.3">
      <c r="A293" t="s">
        <v>502</v>
      </c>
      <c r="B293">
        <v>16</v>
      </c>
      <c r="C293" s="1">
        <v>45211</v>
      </c>
      <c r="D293">
        <v>2023</v>
      </c>
      <c r="E293" t="s">
        <v>287</v>
      </c>
      <c r="F293" t="s">
        <v>12</v>
      </c>
      <c r="G293" t="s">
        <v>203</v>
      </c>
      <c r="H293" t="s">
        <v>192</v>
      </c>
      <c r="I293">
        <v>16</v>
      </c>
      <c r="J293">
        <v>681.56</v>
      </c>
      <c r="K293">
        <v>0</v>
      </c>
      <c r="L293" t="s">
        <v>215</v>
      </c>
      <c r="M293">
        <v>0</v>
      </c>
    </row>
    <row r="294" spans="1:13" x14ac:dyDescent="0.3">
      <c r="A294" t="s">
        <v>503</v>
      </c>
      <c r="B294">
        <v>16</v>
      </c>
      <c r="C294" s="1">
        <v>45205</v>
      </c>
      <c r="D294">
        <v>2023</v>
      </c>
      <c r="E294" t="s">
        <v>190</v>
      </c>
      <c r="F294" t="s">
        <v>199</v>
      </c>
      <c r="G294" t="s">
        <v>200</v>
      </c>
      <c r="H294" t="s">
        <v>195</v>
      </c>
      <c r="I294">
        <v>10</v>
      </c>
      <c r="J294">
        <v>2666.88</v>
      </c>
      <c r="K294">
        <v>1</v>
      </c>
      <c r="L294" t="s">
        <v>196</v>
      </c>
      <c r="M294">
        <v>1</v>
      </c>
    </row>
    <row r="295" spans="1:13" x14ac:dyDescent="0.3">
      <c r="A295" t="s">
        <v>504</v>
      </c>
      <c r="B295">
        <v>16</v>
      </c>
      <c r="C295" s="1">
        <v>45422</v>
      </c>
      <c r="D295">
        <v>2024</v>
      </c>
      <c r="E295" t="s">
        <v>227</v>
      </c>
      <c r="F295" t="s">
        <v>13</v>
      </c>
      <c r="G295" t="s">
        <v>212</v>
      </c>
      <c r="H295" t="s">
        <v>195</v>
      </c>
      <c r="I295">
        <v>4</v>
      </c>
      <c r="J295">
        <v>1299.1600000000001</v>
      </c>
      <c r="K295">
        <v>0</v>
      </c>
      <c r="L295" t="s">
        <v>201</v>
      </c>
      <c r="M295">
        <v>1</v>
      </c>
    </row>
    <row r="296" spans="1:13" x14ac:dyDescent="0.3">
      <c r="A296" t="s">
        <v>505</v>
      </c>
      <c r="B296">
        <v>16</v>
      </c>
      <c r="C296" s="1">
        <v>45576</v>
      </c>
      <c r="D296">
        <v>2024</v>
      </c>
      <c r="E296" t="s">
        <v>287</v>
      </c>
      <c r="F296" t="s">
        <v>199</v>
      </c>
      <c r="G296" t="s">
        <v>203</v>
      </c>
      <c r="H296" t="s">
        <v>195</v>
      </c>
      <c r="I296">
        <v>11</v>
      </c>
      <c r="J296">
        <v>4963.6499999999996</v>
      </c>
      <c r="K296">
        <v>0</v>
      </c>
      <c r="L296" t="s">
        <v>193</v>
      </c>
      <c r="M296">
        <v>0</v>
      </c>
    </row>
    <row r="297" spans="1:13" x14ac:dyDescent="0.3">
      <c r="A297" t="s">
        <v>506</v>
      </c>
      <c r="B297">
        <v>16</v>
      </c>
      <c r="C297" s="1">
        <v>45448</v>
      </c>
      <c r="D297">
        <v>2024</v>
      </c>
      <c r="E297" t="s">
        <v>214</v>
      </c>
      <c r="F297" t="s">
        <v>199</v>
      </c>
      <c r="G297" t="s">
        <v>200</v>
      </c>
      <c r="H297" t="s">
        <v>192</v>
      </c>
      <c r="I297">
        <v>18</v>
      </c>
      <c r="J297">
        <v>4470.7700000000004</v>
      </c>
      <c r="K297">
        <v>0</v>
      </c>
      <c r="L297" t="s">
        <v>193</v>
      </c>
      <c r="M297">
        <v>1</v>
      </c>
    </row>
    <row r="298" spans="1:13" x14ac:dyDescent="0.3">
      <c r="A298" t="s">
        <v>507</v>
      </c>
      <c r="B298">
        <v>16</v>
      </c>
      <c r="C298" s="1">
        <v>46016</v>
      </c>
      <c r="D298">
        <v>2025</v>
      </c>
      <c r="E298" t="s">
        <v>190</v>
      </c>
      <c r="F298" t="s">
        <v>209</v>
      </c>
      <c r="G298" t="s">
        <v>212</v>
      </c>
      <c r="H298" t="s">
        <v>204</v>
      </c>
      <c r="I298">
        <v>8</v>
      </c>
      <c r="J298">
        <v>192.33</v>
      </c>
      <c r="K298">
        <v>0</v>
      </c>
      <c r="L298" t="s">
        <v>210</v>
      </c>
      <c r="M298">
        <v>1</v>
      </c>
    </row>
    <row r="299" spans="1:13" x14ac:dyDescent="0.3">
      <c r="A299" t="s">
        <v>508</v>
      </c>
      <c r="B299">
        <v>16</v>
      </c>
      <c r="C299" s="1">
        <v>45917</v>
      </c>
      <c r="D299">
        <v>2025</v>
      </c>
      <c r="E299" t="s">
        <v>214</v>
      </c>
      <c r="F299" t="s">
        <v>12</v>
      </c>
      <c r="G299" t="s">
        <v>203</v>
      </c>
      <c r="H299" t="s">
        <v>195</v>
      </c>
      <c r="I299">
        <v>13</v>
      </c>
      <c r="J299">
        <v>809.88</v>
      </c>
      <c r="K299">
        <v>0</v>
      </c>
      <c r="L299" t="s">
        <v>215</v>
      </c>
      <c r="M299">
        <v>0</v>
      </c>
    </row>
    <row r="300" spans="1:13" x14ac:dyDescent="0.3">
      <c r="A300" t="s">
        <v>509</v>
      </c>
      <c r="B300">
        <v>16</v>
      </c>
      <c r="C300" s="1">
        <v>45851</v>
      </c>
      <c r="D300">
        <v>2025</v>
      </c>
      <c r="E300" t="s">
        <v>214</v>
      </c>
      <c r="F300" t="s">
        <v>209</v>
      </c>
      <c r="G300" t="s">
        <v>203</v>
      </c>
      <c r="H300" t="s">
        <v>195</v>
      </c>
      <c r="I300">
        <v>13</v>
      </c>
      <c r="J300">
        <v>365.8</v>
      </c>
      <c r="K300">
        <v>0</v>
      </c>
      <c r="L300" t="s">
        <v>193</v>
      </c>
      <c r="M300">
        <v>1</v>
      </c>
    </row>
    <row r="301" spans="1:13" x14ac:dyDescent="0.3">
      <c r="A301" t="s">
        <v>510</v>
      </c>
      <c r="B301">
        <v>17</v>
      </c>
      <c r="C301" s="1">
        <v>44466</v>
      </c>
      <c r="D301">
        <v>2021</v>
      </c>
      <c r="E301" t="s">
        <v>198</v>
      </c>
      <c r="F301" t="s">
        <v>199</v>
      </c>
      <c r="G301" t="s">
        <v>203</v>
      </c>
      <c r="H301" t="s">
        <v>206</v>
      </c>
      <c r="I301">
        <v>12</v>
      </c>
      <c r="J301">
        <v>7451.52</v>
      </c>
      <c r="K301">
        <v>1</v>
      </c>
      <c r="L301" t="s">
        <v>196</v>
      </c>
      <c r="M301">
        <v>1</v>
      </c>
    </row>
    <row r="302" spans="1:13" x14ac:dyDescent="0.3">
      <c r="A302" t="s">
        <v>511</v>
      </c>
      <c r="B302">
        <v>17</v>
      </c>
      <c r="C302" s="1">
        <v>44440</v>
      </c>
      <c r="D302">
        <v>2021</v>
      </c>
      <c r="E302" t="s">
        <v>198</v>
      </c>
      <c r="F302" t="s">
        <v>13</v>
      </c>
      <c r="G302" t="s">
        <v>191</v>
      </c>
      <c r="H302" t="s">
        <v>206</v>
      </c>
      <c r="I302">
        <v>15</v>
      </c>
      <c r="J302">
        <v>2301.41</v>
      </c>
      <c r="K302">
        <v>1</v>
      </c>
      <c r="L302" t="s">
        <v>193</v>
      </c>
      <c r="M302">
        <v>0</v>
      </c>
    </row>
    <row r="303" spans="1:13" x14ac:dyDescent="0.3">
      <c r="A303" t="s">
        <v>512</v>
      </c>
      <c r="B303">
        <v>17</v>
      </c>
      <c r="C303" s="1">
        <v>44523</v>
      </c>
      <c r="D303">
        <v>2021</v>
      </c>
      <c r="E303" t="s">
        <v>198</v>
      </c>
      <c r="F303" t="s">
        <v>13</v>
      </c>
      <c r="G303" t="s">
        <v>191</v>
      </c>
      <c r="H303" t="s">
        <v>195</v>
      </c>
      <c r="I303">
        <v>5</v>
      </c>
      <c r="J303">
        <v>1218.8900000000001</v>
      </c>
      <c r="K303">
        <v>1</v>
      </c>
      <c r="L303" t="s">
        <v>196</v>
      </c>
      <c r="M303">
        <v>0</v>
      </c>
    </row>
    <row r="304" spans="1:13" x14ac:dyDescent="0.3">
      <c r="A304" t="s">
        <v>513</v>
      </c>
      <c r="B304">
        <v>17</v>
      </c>
      <c r="C304" s="1">
        <v>44574</v>
      </c>
      <c r="D304">
        <v>2022</v>
      </c>
      <c r="E304" t="s">
        <v>198</v>
      </c>
      <c r="F304" t="s">
        <v>13</v>
      </c>
      <c r="G304" t="s">
        <v>191</v>
      </c>
      <c r="H304" t="s">
        <v>192</v>
      </c>
      <c r="I304">
        <v>12</v>
      </c>
      <c r="J304">
        <v>1721.16</v>
      </c>
      <c r="K304">
        <v>1</v>
      </c>
      <c r="L304" t="s">
        <v>215</v>
      </c>
      <c r="M304">
        <v>1</v>
      </c>
    </row>
    <row r="305" spans="1:13" x14ac:dyDescent="0.3">
      <c r="A305" t="s">
        <v>514</v>
      </c>
      <c r="B305">
        <v>17</v>
      </c>
      <c r="C305" s="1">
        <v>44769</v>
      </c>
      <c r="D305">
        <v>2022</v>
      </c>
      <c r="E305" t="s">
        <v>198</v>
      </c>
      <c r="F305" t="s">
        <v>199</v>
      </c>
      <c r="G305" t="s">
        <v>203</v>
      </c>
      <c r="H305" t="s">
        <v>204</v>
      </c>
      <c r="I305">
        <v>4</v>
      </c>
      <c r="J305">
        <v>5793.13</v>
      </c>
      <c r="K305">
        <v>1</v>
      </c>
      <c r="L305" t="s">
        <v>201</v>
      </c>
      <c r="M305">
        <v>1</v>
      </c>
    </row>
    <row r="306" spans="1:13" x14ac:dyDescent="0.3">
      <c r="A306" t="s">
        <v>515</v>
      </c>
      <c r="B306">
        <v>17</v>
      </c>
      <c r="C306" s="1">
        <v>44884</v>
      </c>
      <c r="D306">
        <v>2022</v>
      </c>
      <c r="E306" t="s">
        <v>190</v>
      </c>
      <c r="F306" t="s">
        <v>12</v>
      </c>
      <c r="G306" t="s">
        <v>212</v>
      </c>
      <c r="H306" t="s">
        <v>195</v>
      </c>
      <c r="I306">
        <v>12</v>
      </c>
      <c r="J306">
        <v>761.5</v>
      </c>
      <c r="K306">
        <v>0</v>
      </c>
      <c r="L306" t="s">
        <v>210</v>
      </c>
      <c r="M306">
        <v>1</v>
      </c>
    </row>
    <row r="307" spans="1:13" x14ac:dyDescent="0.3">
      <c r="A307" t="s">
        <v>516</v>
      </c>
      <c r="B307">
        <v>17</v>
      </c>
      <c r="C307" s="1">
        <v>45073</v>
      </c>
      <c r="D307">
        <v>2023</v>
      </c>
      <c r="E307" t="s">
        <v>198</v>
      </c>
      <c r="F307" t="s">
        <v>199</v>
      </c>
      <c r="G307" t="s">
        <v>203</v>
      </c>
      <c r="H307" t="s">
        <v>195</v>
      </c>
      <c r="I307">
        <v>12</v>
      </c>
      <c r="J307">
        <v>5945.95</v>
      </c>
      <c r="K307">
        <v>1</v>
      </c>
      <c r="L307" t="s">
        <v>196</v>
      </c>
      <c r="M307">
        <v>0</v>
      </c>
    </row>
    <row r="308" spans="1:13" x14ac:dyDescent="0.3">
      <c r="A308" t="s">
        <v>517</v>
      </c>
      <c r="B308">
        <v>17</v>
      </c>
      <c r="C308" s="1">
        <v>45253</v>
      </c>
      <c r="D308">
        <v>2023</v>
      </c>
      <c r="E308" t="s">
        <v>214</v>
      </c>
      <c r="F308" t="s">
        <v>13</v>
      </c>
      <c r="G308" t="s">
        <v>200</v>
      </c>
      <c r="H308" t="s">
        <v>195</v>
      </c>
      <c r="I308">
        <v>6</v>
      </c>
      <c r="J308">
        <v>2465.61</v>
      </c>
      <c r="K308">
        <v>0</v>
      </c>
      <c r="L308" t="s">
        <v>210</v>
      </c>
      <c r="M308">
        <v>1</v>
      </c>
    </row>
    <row r="309" spans="1:13" x14ac:dyDescent="0.3">
      <c r="A309" t="s">
        <v>518</v>
      </c>
      <c r="B309">
        <v>17</v>
      </c>
      <c r="C309" s="1">
        <v>45068</v>
      </c>
      <c r="D309">
        <v>2023</v>
      </c>
      <c r="E309" t="s">
        <v>190</v>
      </c>
      <c r="F309" t="s">
        <v>13</v>
      </c>
      <c r="G309" t="s">
        <v>203</v>
      </c>
      <c r="H309" t="s">
        <v>195</v>
      </c>
      <c r="I309">
        <v>13</v>
      </c>
      <c r="J309">
        <v>3566.52</v>
      </c>
      <c r="K309">
        <v>0</v>
      </c>
      <c r="L309" t="s">
        <v>201</v>
      </c>
      <c r="M309">
        <v>0</v>
      </c>
    </row>
    <row r="310" spans="1:13" x14ac:dyDescent="0.3">
      <c r="A310" t="s">
        <v>519</v>
      </c>
      <c r="B310">
        <v>17</v>
      </c>
      <c r="C310" s="1">
        <v>45019</v>
      </c>
      <c r="D310">
        <v>2023</v>
      </c>
      <c r="E310" t="s">
        <v>219</v>
      </c>
      <c r="F310" t="s">
        <v>13</v>
      </c>
      <c r="G310" t="s">
        <v>200</v>
      </c>
      <c r="H310" t="s">
        <v>195</v>
      </c>
      <c r="I310">
        <v>5</v>
      </c>
      <c r="J310">
        <v>2406.87</v>
      </c>
      <c r="K310">
        <v>0</v>
      </c>
      <c r="L310" t="s">
        <v>210</v>
      </c>
      <c r="M310">
        <v>1</v>
      </c>
    </row>
    <row r="311" spans="1:13" x14ac:dyDescent="0.3">
      <c r="A311" t="s">
        <v>520</v>
      </c>
      <c r="B311">
        <v>17</v>
      </c>
      <c r="C311" s="1">
        <v>44988</v>
      </c>
      <c r="D311">
        <v>2023</v>
      </c>
      <c r="E311" t="s">
        <v>190</v>
      </c>
      <c r="F311" t="s">
        <v>199</v>
      </c>
      <c r="G311" t="s">
        <v>203</v>
      </c>
      <c r="H311" t="s">
        <v>195</v>
      </c>
      <c r="I311">
        <v>11</v>
      </c>
      <c r="J311">
        <v>4909.6000000000004</v>
      </c>
      <c r="K311">
        <v>0</v>
      </c>
      <c r="L311" t="s">
        <v>196</v>
      </c>
      <c r="M311">
        <v>0</v>
      </c>
    </row>
    <row r="312" spans="1:13" x14ac:dyDescent="0.3">
      <c r="A312" t="s">
        <v>521</v>
      </c>
      <c r="B312">
        <v>17</v>
      </c>
      <c r="C312" s="1">
        <v>45194</v>
      </c>
      <c r="D312">
        <v>2023</v>
      </c>
      <c r="E312" t="s">
        <v>287</v>
      </c>
      <c r="F312" t="s">
        <v>13</v>
      </c>
      <c r="G312" t="s">
        <v>191</v>
      </c>
      <c r="H312" t="s">
        <v>195</v>
      </c>
      <c r="I312">
        <v>15</v>
      </c>
      <c r="J312">
        <v>1042.6300000000001</v>
      </c>
      <c r="K312">
        <v>0</v>
      </c>
      <c r="L312" t="s">
        <v>215</v>
      </c>
      <c r="M312">
        <v>0</v>
      </c>
    </row>
    <row r="313" spans="1:13" x14ac:dyDescent="0.3">
      <c r="A313" t="s">
        <v>522</v>
      </c>
      <c r="B313">
        <v>17</v>
      </c>
      <c r="C313" s="1">
        <v>45458</v>
      </c>
      <c r="D313">
        <v>2024</v>
      </c>
      <c r="E313" t="s">
        <v>214</v>
      </c>
      <c r="F313" t="s">
        <v>13</v>
      </c>
      <c r="G313" t="s">
        <v>203</v>
      </c>
      <c r="H313" t="s">
        <v>195</v>
      </c>
      <c r="I313">
        <v>4</v>
      </c>
      <c r="J313">
        <v>1875.42</v>
      </c>
      <c r="K313">
        <v>0</v>
      </c>
      <c r="L313" t="s">
        <v>201</v>
      </c>
      <c r="M313">
        <v>0</v>
      </c>
    </row>
    <row r="314" spans="1:13" x14ac:dyDescent="0.3">
      <c r="A314" t="s">
        <v>523</v>
      </c>
      <c r="B314">
        <v>17</v>
      </c>
      <c r="C314" s="1">
        <v>45620</v>
      </c>
      <c r="D314">
        <v>2024</v>
      </c>
      <c r="E314" t="s">
        <v>214</v>
      </c>
      <c r="F314" t="s">
        <v>199</v>
      </c>
      <c r="G314" t="s">
        <v>200</v>
      </c>
      <c r="H314" t="s">
        <v>206</v>
      </c>
      <c r="I314">
        <v>3</v>
      </c>
      <c r="J314">
        <v>5407.06</v>
      </c>
      <c r="K314">
        <v>0</v>
      </c>
      <c r="L314" t="s">
        <v>193</v>
      </c>
      <c r="M314">
        <v>1</v>
      </c>
    </row>
    <row r="315" spans="1:13" x14ac:dyDescent="0.3">
      <c r="A315" t="s">
        <v>524</v>
      </c>
      <c r="B315">
        <v>17</v>
      </c>
      <c r="C315" s="1">
        <v>45295</v>
      </c>
      <c r="D315">
        <v>2024</v>
      </c>
      <c r="E315" t="s">
        <v>219</v>
      </c>
      <c r="F315" t="s">
        <v>12</v>
      </c>
      <c r="G315" t="s">
        <v>212</v>
      </c>
      <c r="H315" t="s">
        <v>192</v>
      </c>
      <c r="I315">
        <v>7</v>
      </c>
      <c r="J315">
        <v>462.39</v>
      </c>
      <c r="K315">
        <v>0</v>
      </c>
      <c r="L315" t="s">
        <v>193</v>
      </c>
      <c r="M315">
        <v>1</v>
      </c>
    </row>
    <row r="316" spans="1:13" x14ac:dyDescent="0.3">
      <c r="A316" t="s">
        <v>525</v>
      </c>
      <c r="B316">
        <v>17</v>
      </c>
      <c r="C316" s="1">
        <v>45355</v>
      </c>
      <c r="D316">
        <v>2024</v>
      </c>
      <c r="E316" t="s">
        <v>219</v>
      </c>
      <c r="F316" t="s">
        <v>209</v>
      </c>
      <c r="G316" t="s">
        <v>200</v>
      </c>
      <c r="H316" t="s">
        <v>206</v>
      </c>
      <c r="I316">
        <v>15</v>
      </c>
      <c r="J316">
        <v>232.52</v>
      </c>
      <c r="K316">
        <v>0</v>
      </c>
      <c r="L316" t="s">
        <v>215</v>
      </c>
      <c r="M316">
        <v>1</v>
      </c>
    </row>
    <row r="317" spans="1:13" x14ac:dyDescent="0.3">
      <c r="A317" t="s">
        <v>526</v>
      </c>
      <c r="B317">
        <v>17</v>
      </c>
      <c r="C317" s="1">
        <v>45948</v>
      </c>
      <c r="D317">
        <v>2025</v>
      </c>
      <c r="E317" t="s">
        <v>198</v>
      </c>
      <c r="F317" t="s">
        <v>13</v>
      </c>
      <c r="G317" t="s">
        <v>191</v>
      </c>
      <c r="H317" t="s">
        <v>195</v>
      </c>
      <c r="I317">
        <v>11</v>
      </c>
      <c r="J317">
        <v>2934.37</v>
      </c>
      <c r="K317">
        <v>1</v>
      </c>
      <c r="L317" t="s">
        <v>210</v>
      </c>
      <c r="M317">
        <v>0</v>
      </c>
    </row>
    <row r="318" spans="1:13" x14ac:dyDescent="0.3">
      <c r="A318" t="s">
        <v>527</v>
      </c>
      <c r="B318">
        <v>17</v>
      </c>
      <c r="C318" s="1">
        <v>45999</v>
      </c>
      <c r="D318">
        <v>2025</v>
      </c>
      <c r="E318" t="s">
        <v>219</v>
      </c>
      <c r="F318" t="s">
        <v>12</v>
      </c>
      <c r="G318" t="s">
        <v>212</v>
      </c>
      <c r="H318" t="s">
        <v>206</v>
      </c>
      <c r="I318">
        <v>7</v>
      </c>
      <c r="J318">
        <v>441.42</v>
      </c>
      <c r="K318">
        <v>0</v>
      </c>
      <c r="L318" t="s">
        <v>210</v>
      </c>
      <c r="M318">
        <v>1</v>
      </c>
    </row>
    <row r="319" spans="1:13" x14ac:dyDescent="0.3">
      <c r="A319" t="s">
        <v>528</v>
      </c>
      <c r="B319">
        <v>17</v>
      </c>
      <c r="C319" s="1">
        <v>45726</v>
      </c>
      <c r="D319">
        <v>2025</v>
      </c>
      <c r="E319" t="s">
        <v>214</v>
      </c>
      <c r="F319" t="s">
        <v>199</v>
      </c>
      <c r="G319" t="s">
        <v>191</v>
      </c>
      <c r="H319" t="s">
        <v>192</v>
      </c>
      <c r="I319">
        <v>3</v>
      </c>
      <c r="J319">
        <v>2615.15</v>
      </c>
      <c r="K319">
        <v>0</v>
      </c>
      <c r="L319" t="s">
        <v>193</v>
      </c>
      <c r="M319">
        <v>0</v>
      </c>
    </row>
    <row r="320" spans="1:13" x14ac:dyDescent="0.3">
      <c r="A320" t="s">
        <v>529</v>
      </c>
      <c r="B320">
        <v>18</v>
      </c>
      <c r="C320" s="1">
        <v>44382</v>
      </c>
      <c r="D320">
        <v>2021</v>
      </c>
      <c r="E320" t="s">
        <v>225</v>
      </c>
      <c r="F320" t="s">
        <v>199</v>
      </c>
      <c r="G320" t="s">
        <v>203</v>
      </c>
      <c r="H320" t="s">
        <v>195</v>
      </c>
      <c r="I320">
        <v>7</v>
      </c>
      <c r="J320">
        <v>4941.41</v>
      </c>
      <c r="K320">
        <v>0</v>
      </c>
      <c r="L320" t="s">
        <v>196</v>
      </c>
      <c r="M320">
        <v>0</v>
      </c>
    </row>
    <row r="321" spans="1:13" x14ac:dyDescent="0.3">
      <c r="A321" t="s">
        <v>530</v>
      </c>
      <c r="B321">
        <v>18</v>
      </c>
      <c r="C321" s="1">
        <v>44382</v>
      </c>
      <c r="D321">
        <v>2021</v>
      </c>
      <c r="E321" t="s">
        <v>214</v>
      </c>
      <c r="F321" t="s">
        <v>199</v>
      </c>
      <c r="G321" t="s">
        <v>191</v>
      </c>
      <c r="H321" t="s">
        <v>195</v>
      </c>
      <c r="I321">
        <v>11</v>
      </c>
      <c r="J321">
        <v>6701.87</v>
      </c>
      <c r="K321">
        <v>1</v>
      </c>
      <c r="L321" t="s">
        <v>193</v>
      </c>
      <c r="M321">
        <v>0</v>
      </c>
    </row>
    <row r="322" spans="1:13" x14ac:dyDescent="0.3">
      <c r="A322" t="s">
        <v>531</v>
      </c>
      <c r="B322">
        <v>18</v>
      </c>
      <c r="C322" s="1">
        <v>44271</v>
      </c>
      <c r="D322">
        <v>2021</v>
      </c>
      <c r="E322" t="s">
        <v>198</v>
      </c>
      <c r="F322" t="s">
        <v>13</v>
      </c>
      <c r="G322" t="s">
        <v>203</v>
      </c>
      <c r="H322" t="s">
        <v>204</v>
      </c>
      <c r="I322">
        <v>2</v>
      </c>
      <c r="J322">
        <v>3323.73</v>
      </c>
      <c r="K322">
        <v>1</v>
      </c>
      <c r="L322" t="s">
        <v>196</v>
      </c>
      <c r="M322">
        <v>0</v>
      </c>
    </row>
    <row r="323" spans="1:13" x14ac:dyDescent="0.3">
      <c r="A323" t="s">
        <v>532</v>
      </c>
      <c r="B323">
        <v>18</v>
      </c>
      <c r="C323" s="1">
        <v>44445</v>
      </c>
      <c r="D323">
        <v>2021</v>
      </c>
      <c r="E323" t="s">
        <v>287</v>
      </c>
      <c r="F323" t="s">
        <v>12</v>
      </c>
      <c r="G323" t="s">
        <v>200</v>
      </c>
      <c r="H323" t="s">
        <v>195</v>
      </c>
      <c r="I323">
        <v>17</v>
      </c>
      <c r="J323">
        <v>959.24</v>
      </c>
      <c r="K323">
        <v>0</v>
      </c>
      <c r="L323" t="s">
        <v>215</v>
      </c>
      <c r="M323">
        <v>0</v>
      </c>
    </row>
    <row r="324" spans="1:13" x14ac:dyDescent="0.3">
      <c r="A324" t="s">
        <v>533</v>
      </c>
      <c r="B324">
        <v>18</v>
      </c>
      <c r="C324" s="1">
        <v>44878</v>
      </c>
      <c r="D324">
        <v>2022</v>
      </c>
      <c r="E324" t="s">
        <v>219</v>
      </c>
      <c r="F324" t="s">
        <v>13</v>
      </c>
      <c r="G324" t="s">
        <v>200</v>
      </c>
      <c r="H324" t="s">
        <v>192</v>
      </c>
      <c r="I324">
        <v>9</v>
      </c>
      <c r="J324">
        <v>1737.1</v>
      </c>
      <c r="K324">
        <v>0</v>
      </c>
      <c r="L324" t="s">
        <v>201</v>
      </c>
      <c r="M324">
        <v>0</v>
      </c>
    </row>
    <row r="325" spans="1:13" x14ac:dyDescent="0.3">
      <c r="A325" t="s">
        <v>534</v>
      </c>
      <c r="B325">
        <v>18</v>
      </c>
      <c r="C325" s="1">
        <v>45582</v>
      </c>
      <c r="D325">
        <v>2024</v>
      </c>
      <c r="E325" t="s">
        <v>219</v>
      </c>
      <c r="F325" t="s">
        <v>13</v>
      </c>
      <c r="G325" t="s">
        <v>212</v>
      </c>
      <c r="H325" t="s">
        <v>195</v>
      </c>
      <c r="I325">
        <v>11</v>
      </c>
      <c r="J325">
        <v>1257.25</v>
      </c>
      <c r="K325">
        <v>0</v>
      </c>
      <c r="L325" t="s">
        <v>196</v>
      </c>
      <c r="M325">
        <v>1</v>
      </c>
    </row>
    <row r="326" spans="1:13" x14ac:dyDescent="0.3">
      <c r="A326" t="s">
        <v>535</v>
      </c>
      <c r="B326">
        <v>18</v>
      </c>
      <c r="C326" s="1">
        <v>45302</v>
      </c>
      <c r="D326">
        <v>2024</v>
      </c>
      <c r="E326" t="s">
        <v>190</v>
      </c>
      <c r="F326" t="s">
        <v>12</v>
      </c>
      <c r="G326" t="s">
        <v>191</v>
      </c>
      <c r="H326" t="s">
        <v>195</v>
      </c>
      <c r="I326">
        <v>10</v>
      </c>
      <c r="J326">
        <v>438.25</v>
      </c>
      <c r="K326">
        <v>0</v>
      </c>
      <c r="L326" t="s">
        <v>215</v>
      </c>
      <c r="M326">
        <v>0</v>
      </c>
    </row>
    <row r="327" spans="1:13" x14ac:dyDescent="0.3">
      <c r="A327" t="s">
        <v>536</v>
      </c>
      <c r="B327">
        <v>18</v>
      </c>
      <c r="C327" s="1">
        <v>45462</v>
      </c>
      <c r="D327">
        <v>2024</v>
      </c>
      <c r="E327" t="s">
        <v>190</v>
      </c>
      <c r="F327" t="s">
        <v>12</v>
      </c>
      <c r="G327" t="s">
        <v>203</v>
      </c>
      <c r="H327" t="s">
        <v>192</v>
      </c>
      <c r="I327">
        <v>3</v>
      </c>
      <c r="J327">
        <v>629.04999999999995</v>
      </c>
      <c r="K327">
        <v>0</v>
      </c>
      <c r="L327" t="s">
        <v>215</v>
      </c>
      <c r="M327">
        <v>1</v>
      </c>
    </row>
    <row r="328" spans="1:13" x14ac:dyDescent="0.3">
      <c r="A328" t="s">
        <v>537</v>
      </c>
      <c r="B328">
        <v>18</v>
      </c>
      <c r="C328" s="1">
        <v>45842</v>
      </c>
      <c r="D328">
        <v>2025</v>
      </c>
      <c r="E328" t="s">
        <v>219</v>
      </c>
      <c r="F328" t="s">
        <v>12</v>
      </c>
      <c r="G328" t="s">
        <v>212</v>
      </c>
      <c r="H328" t="s">
        <v>192</v>
      </c>
      <c r="I328">
        <v>16</v>
      </c>
      <c r="J328">
        <v>1112.45</v>
      </c>
      <c r="K328">
        <v>0</v>
      </c>
      <c r="L328" t="s">
        <v>210</v>
      </c>
      <c r="M328">
        <v>1</v>
      </c>
    </row>
    <row r="329" spans="1:13" x14ac:dyDescent="0.3">
      <c r="A329" t="s">
        <v>538</v>
      </c>
      <c r="B329">
        <v>18</v>
      </c>
      <c r="C329" s="1">
        <v>45966</v>
      </c>
      <c r="D329">
        <v>2025</v>
      </c>
      <c r="E329" t="s">
        <v>227</v>
      </c>
      <c r="F329" t="s">
        <v>209</v>
      </c>
      <c r="G329" t="s">
        <v>212</v>
      </c>
      <c r="H329" t="s">
        <v>206</v>
      </c>
      <c r="I329">
        <v>16</v>
      </c>
      <c r="J329">
        <v>460.28</v>
      </c>
      <c r="K329">
        <v>0</v>
      </c>
      <c r="L329" t="s">
        <v>201</v>
      </c>
      <c r="M329">
        <v>1</v>
      </c>
    </row>
    <row r="330" spans="1:13" x14ac:dyDescent="0.3">
      <c r="A330" t="s">
        <v>539</v>
      </c>
      <c r="B330">
        <v>18</v>
      </c>
      <c r="C330" s="1">
        <v>45823</v>
      </c>
      <c r="D330">
        <v>2025</v>
      </c>
      <c r="E330" t="s">
        <v>214</v>
      </c>
      <c r="F330" t="s">
        <v>199</v>
      </c>
      <c r="G330" t="s">
        <v>191</v>
      </c>
      <c r="H330" t="s">
        <v>192</v>
      </c>
      <c r="I330">
        <v>15</v>
      </c>
      <c r="J330">
        <v>7370.82</v>
      </c>
      <c r="K330">
        <v>0</v>
      </c>
      <c r="L330" t="s">
        <v>196</v>
      </c>
      <c r="M330">
        <v>0</v>
      </c>
    </row>
    <row r="331" spans="1:13" x14ac:dyDescent="0.3">
      <c r="A331" t="s">
        <v>540</v>
      </c>
      <c r="B331">
        <v>18</v>
      </c>
      <c r="C331" s="1">
        <v>45736</v>
      </c>
      <c r="D331">
        <v>2025</v>
      </c>
      <c r="E331" t="s">
        <v>225</v>
      </c>
      <c r="F331" t="s">
        <v>12</v>
      </c>
      <c r="G331" t="s">
        <v>212</v>
      </c>
      <c r="H331" t="s">
        <v>195</v>
      </c>
      <c r="I331">
        <v>12</v>
      </c>
      <c r="J331">
        <v>1451.97</v>
      </c>
      <c r="K331">
        <v>0</v>
      </c>
      <c r="L331" t="s">
        <v>196</v>
      </c>
      <c r="M331">
        <v>1</v>
      </c>
    </row>
    <row r="332" spans="1:13" x14ac:dyDescent="0.3">
      <c r="A332" t="s">
        <v>541</v>
      </c>
      <c r="B332">
        <v>19</v>
      </c>
      <c r="C332" s="1">
        <v>44367</v>
      </c>
      <c r="D332">
        <v>2021</v>
      </c>
      <c r="E332" t="s">
        <v>214</v>
      </c>
      <c r="F332" t="s">
        <v>12</v>
      </c>
      <c r="G332" t="s">
        <v>191</v>
      </c>
      <c r="H332" t="s">
        <v>204</v>
      </c>
      <c r="I332">
        <v>14</v>
      </c>
      <c r="J332">
        <v>565.89</v>
      </c>
      <c r="K332">
        <v>0</v>
      </c>
      <c r="L332" t="s">
        <v>201</v>
      </c>
      <c r="M332">
        <v>1</v>
      </c>
    </row>
    <row r="333" spans="1:13" x14ac:dyDescent="0.3">
      <c r="A333" t="s">
        <v>542</v>
      </c>
      <c r="B333">
        <v>19</v>
      </c>
      <c r="C333" s="1">
        <v>44784</v>
      </c>
      <c r="D333">
        <v>2022</v>
      </c>
      <c r="E333" t="s">
        <v>214</v>
      </c>
      <c r="F333" t="s">
        <v>199</v>
      </c>
      <c r="G333" t="s">
        <v>203</v>
      </c>
      <c r="H333" t="s">
        <v>204</v>
      </c>
      <c r="I333">
        <v>14</v>
      </c>
      <c r="J333">
        <v>7973.03</v>
      </c>
      <c r="K333">
        <v>1</v>
      </c>
      <c r="L333" t="s">
        <v>193</v>
      </c>
      <c r="M333">
        <v>0</v>
      </c>
    </row>
    <row r="334" spans="1:13" x14ac:dyDescent="0.3">
      <c r="A334" t="s">
        <v>543</v>
      </c>
      <c r="B334">
        <v>19</v>
      </c>
      <c r="C334" s="1">
        <v>44566</v>
      </c>
      <c r="D334">
        <v>2022</v>
      </c>
      <c r="E334" t="s">
        <v>190</v>
      </c>
      <c r="F334" t="s">
        <v>209</v>
      </c>
      <c r="G334" t="s">
        <v>212</v>
      </c>
      <c r="H334" t="s">
        <v>195</v>
      </c>
      <c r="I334">
        <v>15</v>
      </c>
      <c r="J334">
        <v>282.07</v>
      </c>
      <c r="K334">
        <v>0</v>
      </c>
      <c r="L334" t="s">
        <v>215</v>
      </c>
      <c r="M334">
        <v>1</v>
      </c>
    </row>
    <row r="335" spans="1:13" x14ac:dyDescent="0.3">
      <c r="A335" t="s">
        <v>544</v>
      </c>
      <c r="B335">
        <v>19</v>
      </c>
      <c r="C335" s="1">
        <v>44704</v>
      </c>
      <c r="D335">
        <v>2022</v>
      </c>
      <c r="E335" t="s">
        <v>214</v>
      </c>
      <c r="F335" t="s">
        <v>13</v>
      </c>
      <c r="G335" t="s">
        <v>203</v>
      </c>
      <c r="H335" t="s">
        <v>195</v>
      </c>
      <c r="I335">
        <v>6</v>
      </c>
      <c r="J335">
        <v>1397.02</v>
      </c>
      <c r="K335">
        <v>0</v>
      </c>
      <c r="L335" t="s">
        <v>196</v>
      </c>
      <c r="M335">
        <v>0</v>
      </c>
    </row>
    <row r="336" spans="1:13" x14ac:dyDescent="0.3">
      <c r="A336" t="s">
        <v>545</v>
      </c>
      <c r="B336">
        <v>19</v>
      </c>
      <c r="C336" s="1">
        <v>44690</v>
      </c>
      <c r="D336">
        <v>2022</v>
      </c>
      <c r="E336" t="s">
        <v>198</v>
      </c>
      <c r="F336" t="s">
        <v>12</v>
      </c>
      <c r="G336" t="s">
        <v>212</v>
      </c>
      <c r="H336" t="s">
        <v>192</v>
      </c>
      <c r="I336">
        <v>1</v>
      </c>
      <c r="J336">
        <v>1326.85</v>
      </c>
      <c r="K336">
        <v>1</v>
      </c>
      <c r="L336" t="s">
        <v>210</v>
      </c>
      <c r="M336">
        <v>1</v>
      </c>
    </row>
    <row r="337" spans="1:13" x14ac:dyDescent="0.3">
      <c r="A337" t="s">
        <v>546</v>
      </c>
      <c r="B337">
        <v>19</v>
      </c>
      <c r="C337" s="1">
        <v>44965</v>
      </c>
      <c r="D337">
        <v>2023</v>
      </c>
      <c r="E337" t="s">
        <v>214</v>
      </c>
      <c r="F337" t="s">
        <v>12</v>
      </c>
      <c r="G337" t="s">
        <v>203</v>
      </c>
      <c r="H337" t="s">
        <v>192</v>
      </c>
      <c r="I337">
        <v>1</v>
      </c>
      <c r="J337">
        <v>1223.5999999999999</v>
      </c>
      <c r="K337">
        <v>0</v>
      </c>
      <c r="L337" t="s">
        <v>210</v>
      </c>
      <c r="M337">
        <v>0</v>
      </c>
    </row>
    <row r="338" spans="1:13" x14ac:dyDescent="0.3">
      <c r="A338" t="s">
        <v>547</v>
      </c>
      <c r="B338">
        <v>19</v>
      </c>
      <c r="C338" s="1">
        <v>45568</v>
      </c>
      <c r="D338">
        <v>2024</v>
      </c>
      <c r="E338" t="s">
        <v>214</v>
      </c>
      <c r="F338" t="s">
        <v>13</v>
      </c>
      <c r="G338" t="s">
        <v>191</v>
      </c>
      <c r="H338" t="s">
        <v>204</v>
      </c>
      <c r="I338">
        <v>3</v>
      </c>
      <c r="J338">
        <v>3620.2</v>
      </c>
      <c r="K338">
        <v>0</v>
      </c>
      <c r="L338" t="s">
        <v>193</v>
      </c>
      <c r="M338">
        <v>0</v>
      </c>
    </row>
    <row r="339" spans="1:13" x14ac:dyDescent="0.3">
      <c r="A339" t="s">
        <v>548</v>
      </c>
      <c r="B339">
        <v>19</v>
      </c>
      <c r="C339" s="1">
        <v>45631</v>
      </c>
      <c r="D339">
        <v>2024</v>
      </c>
      <c r="E339" t="s">
        <v>214</v>
      </c>
      <c r="F339" t="s">
        <v>13</v>
      </c>
      <c r="G339" t="s">
        <v>200</v>
      </c>
      <c r="H339" t="s">
        <v>195</v>
      </c>
      <c r="I339">
        <v>17</v>
      </c>
      <c r="J339">
        <v>3854.18</v>
      </c>
      <c r="K339">
        <v>0</v>
      </c>
      <c r="L339" t="s">
        <v>215</v>
      </c>
      <c r="M339">
        <v>0</v>
      </c>
    </row>
    <row r="340" spans="1:13" x14ac:dyDescent="0.3">
      <c r="A340" t="s">
        <v>549</v>
      </c>
      <c r="B340">
        <v>19</v>
      </c>
      <c r="C340" s="1">
        <v>45314</v>
      </c>
      <c r="D340">
        <v>2024</v>
      </c>
      <c r="E340" t="s">
        <v>227</v>
      </c>
      <c r="F340" t="s">
        <v>12</v>
      </c>
      <c r="G340" t="s">
        <v>212</v>
      </c>
      <c r="H340" t="s">
        <v>192</v>
      </c>
      <c r="I340">
        <v>13</v>
      </c>
      <c r="J340">
        <v>496.62</v>
      </c>
      <c r="K340">
        <v>0</v>
      </c>
      <c r="L340" t="s">
        <v>201</v>
      </c>
      <c r="M340">
        <v>1</v>
      </c>
    </row>
    <row r="341" spans="1:13" x14ac:dyDescent="0.3">
      <c r="A341" t="s">
        <v>550</v>
      </c>
      <c r="B341">
        <v>19</v>
      </c>
      <c r="C341" s="1">
        <v>45367</v>
      </c>
      <c r="D341">
        <v>2024</v>
      </c>
      <c r="E341" t="s">
        <v>214</v>
      </c>
      <c r="F341" t="s">
        <v>13</v>
      </c>
      <c r="G341" t="s">
        <v>191</v>
      </c>
      <c r="H341" t="s">
        <v>195</v>
      </c>
      <c r="I341">
        <v>5</v>
      </c>
      <c r="J341">
        <v>1554.78</v>
      </c>
      <c r="K341">
        <v>0</v>
      </c>
      <c r="L341" t="s">
        <v>215</v>
      </c>
      <c r="M341">
        <v>0</v>
      </c>
    </row>
    <row r="342" spans="1:13" x14ac:dyDescent="0.3">
      <c r="A342" t="s">
        <v>551</v>
      </c>
      <c r="B342">
        <v>19</v>
      </c>
      <c r="C342" s="1">
        <v>45369</v>
      </c>
      <c r="D342">
        <v>2024</v>
      </c>
      <c r="E342" t="s">
        <v>219</v>
      </c>
      <c r="F342" t="s">
        <v>12</v>
      </c>
      <c r="G342" t="s">
        <v>200</v>
      </c>
      <c r="H342" t="s">
        <v>192</v>
      </c>
      <c r="I342">
        <v>17</v>
      </c>
      <c r="J342">
        <v>485.25</v>
      </c>
      <c r="K342">
        <v>0</v>
      </c>
      <c r="L342" t="s">
        <v>210</v>
      </c>
      <c r="M342">
        <v>0</v>
      </c>
    </row>
    <row r="343" spans="1:13" x14ac:dyDescent="0.3">
      <c r="A343" t="s">
        <v>552</v>
      </c>
      <c r="B343">
        <v>19</v>
      </c>
      <c r="C343" s="1">
        <v>45494</v>
      </c>
      <c r="D343">
        <v>2024</v>
      </c>
      <c r="E343" t="s">
        <v>198</v>
      </c>
      <c r="F343" t="s">
        <v>199</v>
      </c>
      <c r="G343" t="s">
        <v>203</v>
      </c>
      <c r="H343" t="s">
        <v>195</v>
      </c>
      <c r="I343">
        <v>1</v>
      </c>
      <c r="J343">
        <v>4396.17</v>
      </c>
      <c r="K343">
        <v>1</v>
      </c>
      <c r="L343" t="s">
        <v>193</v>
      </c>
      <c r="M343">
        <v>1</v>
      </c>
    </row>
    <row r="344" spans="1:13" x14ac:dyDescent="0.3">
      <c r="A344" t="s">
        <v>553</v>
      </c>
      <c r="B344">
        <v>19</v>
      </c>
      <c r="C344" s="1">
        <v>45802</v>
      </c>
      <c r="D344">
        <v>2025</v>
      </c>
      <c r="E344" t="s">
        <v>198</v>
      </c>
      <c r="F344" t="s">
        <v>13</v>
      </c>
      <c r="G344" t="s">
        <v>212</v>
      </c>
      <c r="H344" t="s">
        <v>204</v>
      </c>
      <c r="I344">
        <v>13</v>
      </c>
      <c r="J344">
        <v>1239.8499999999999</v>
      </c>
      <c r="K344">
        <v>1</v>
      </c>
      <c r="L344" t="s">
        <v>196</v>
      </c>
      <c r="M344">
        <v>1</v>
      </c>
    </row>
    <row r="345" spans="1:13" x14ac:dyDescent="0.3">
      <c r="A345" t="s">
        <v>554</v>
      </c>
      <c r="B345">
        <v>19</v>
      </c>
      <c r="C345" s="1">
        <v>45681</v>
      </c>
      <c r="D345">
        <v>2025</v>
      </c>
      <c r="E345" t="s">
        <v>214</v>
      </c>
      <c r="F345" t="s">
        <v>13</v>
      </c>
      <c r="G345" t="s">
        <v>212</v>
      </c>
      <c r="H345" t="s">
        <v>206</v>
      </c>
      <c r="I345">
        <v>13</v>
      </c>
      <c r="J345">
        <v>3877.89</v>
      </c>
      <c r="K345">
        <v>0</v>
      </c>
      <c r="L345" t="s">
        <v>193</v>
      </c>
      <c r="M345">
        <v>1</v>
      </c>
    </row>
    <row r="346" spans="1:13" x14ac:dyDescent="0.3">
      <c r="A346" t="s">
        <v>555</v>
      </c>
      <c r="B346">
        <v>19</v>
      </c>
      <c r="C346" s="1">
        <v>45823</v>
      </c>
      <c r="D346">
        <v>2025</v>
      </c>
      <c r="E346" t="s">
        <v>190</v>
      </c>
      <c r="F346" t="s">
        <v>13</v>
      </c>
      <c r="G346" t="s">
        <v>203</v>
      </c>
      <c r="H346" t="s">
        <v>195</v>
      </c>
      <c r="I346">
        <v>16</v>
      </c>
      <c r="J346">
        <v>3072.59</v>
      </c>
      <c r="K346">
        <v>1</v>
      </c>
      <c r="L346" t="s">
        <v>201</v>
      </c>
      <c r="M346">
        <v>0</v>
      </c>
    </row>
    <row r="347" spans="1:13" x14ac:dyDescent="0.3">
      <c r="A347" t="s">
        <v>556</v>
      </c>
      <c r="B347">
        <v>19</v>
      </c>
      <c r="C347" s="1">
        <v>45853</v>
      </c>
      <c r="D347">
        <v>2025</v>
      </c>
      <c r="E347" t="s">
        <v>214</v>
      </c>
      <c r="F347" t="s">
        <v>12</v>
      </c>
      <c r="G347" t="s">
        <v>212</v>
      </c>
      <c r="H347" t="s">
        <v>204</v>
      </c>
      <c r="I347">
        <v>7</v>
      </c>
      <c r="J347">
        <v>1341.7</v>
      </c>
      <c r="K347">
        <v>0</v>
      </c>
      <c r="L347" t="s">
        <v>210</v>
      </c>
      <c r="M347">
        <v>1</v>
      </c>
    </row>
    <row r="348" spans="1:13" x14ac:dyDescent="0.3">
      <c r="A348" t="s">
        <v>557</v>
      </c>
      <c r="B348">
        <v>19</v>
      </c>
      <c r="C348" s="1">
        <v>45966</v>
      </c>
      <c r="D348">
        <v>2025</v>
      </c>
      <c r="E348" t="s">
        <v>214</v>
      </c>
      <c r="F348" t="s">
        <v>13</v>
      </c>
      <c r="G348" t="s">
        <v>200</v>
      </c>
      <c r="H348" t="s">
        <v>195</v>
      </c>
      <c r="I348">
        <v>7</v>
      </c>
      <c r="J348">
        <v>1551.73</v>
      </c>
      <c r="K348">
        <v>0</v>
      </c>
      <c r="L348" t="s">
        <v>193</v>
      </c>
      <c r="M348">
        <v>0</v>
      </c>
    </row>
    <row r="349" spans="1:13" x14ac:dyDescent="0.3">
      <c r="A349" t="s">
        <v>558</v>
      </c>
      <c r="B349">
        <v>20</v>
      </c>
      <c r="C349" s="1">
        <v>44287</v>
      </c>
      <c r="D349">
        <v>2021</v>
      </c>
      <c r="E349" t="s">
        <v>219</v>
      </c>
      <c r="F349" t="s">
        <v>209</v>
      </c>
      <c r="G349" t="s">
        <v>212</v>
      </c>
      <c r="H349" t="s">
        <v>195</v>
      </c>
      <c r="I349">
        <v>9</v>
      </c>
      <c r="J349">
        <v>166.6</v>
      </c>
      <c r="K349">
        <v>0</v>
      </c>
      <c r="L349" t="s">
        <v>210</v>
      </c>
      <c r="M349">
        <v>1</v>
      </c>
    </row>
    <row r="350" spans="1:13" x14ac:dyDescent="0.3">
      <c r="A350" t="s">
        <v>559</v>
      </c>
      <c r="B350">
        <v>20</v>
      </c>
      <c r="C350" s="1">
        <v>44422</v>
      </c>
      <c r="D350">
        <v>2021</v>
      </c>
      <c r="E350" t="s">
        <v>219</v>
      </c>
      <c r="F350" t="s">
        <v>13</v>
      </c>
      <c r="G350" t="s">
        <v>212</v>
      </c>
      <c r="H350" t="s">
        <v>195</v>
      </c>
      <c r="I350">
        <v>13</v>
      </c>
      <c r="J350">
        <v>2060.11</v>
      </c>
      <c r="K350">
        <v>0</v>
      </c>
      <c r="L350" t="s">
        <v>193</v>
      </c>
      <c r="M350">
        <v>1</v>
      </c>
    </row>
    <row r="351" spans="1:13" x14ac:dyDescent="0.3">
      <c r="A351" t="s">
        <v>560</v>
      </c>
      <c r="B351">
        <v>20</v>
      </c>
      <c r="C351" s="1">
        <v>44793</v>
      </c>
      <c r="D351">
        <v>2022</v>
      </c>
      <c r="E351" t="s">
        <v>214</v>
      </c>
      <c r="F351" t="s">
        <v>209</v>
      </c>
      <c r="G351" t="s">
        <v>191</v>
      </c>
      <c r="H351" t="s">
        <v>195</v>
      </c>
      <c r="I351">
        <v>4</v>
      </c>
      <c r="J351">
        <v>249.81</v>
      </c>
      <c r="K351">
        <v>0</v>
      </c>
      <c r="L351" t="s">
        <v>210</v>
      </c>
      <c r="M351">
        <v>0</v>
      </c>
    </row>
    <row r="352" spans="1:13" x14ac:dyDescent="0.3">
      <c r="A352" t="s">
        <v>561</v>
      </c>
      <c r="B352">
        <v>20</v>
      </c>
      <c r="C352" s="1">
        <v>44875</v>
      </c>
      <c r="D352">
        <v>2022</v>
      </c>
      <c r="E352" t="s">
        <v>219</v>
      </c>
      <c r="F352" t="s">
        <v>12</v>
      </c>
      <c r="G352" t="s">
        <v>200</v>
      </c>
      <c r="H352" t="s">
        <v>192</v>
      </c>
      <c r="I352">
        <v>10</v>
      </c>
      <c r="J352">
        <v>602.37</v>
      </c>
      <c r="K352">
        <v>0</v>
      </c>
      <c r="L352" t="s">
        <v>215</v>
      </c>
      <c r="M352">
        <v>1</v>
      </c>
    </row>
    <row r="353" spans="1:13" x14ac:dyDescent="0.3">
      <c r="A353" t="s">
        <v>562</v>
      </c>
      <c r="B353">
        <v>20</v>
      </c>
      <c r="C353" s="1">
        <v>44731</v>
      </c>
      <c r="D353">
        <v>2022</v>
      </c>
      <c r="E353" t="s">
        <v>190</v>
      </c>
      <c r="F353" t="s">
        <v>209</v>
      </c>
      <c r="G353" t="s">
        <v>212</v>
      </c>
      <c r="H353" t="s">
        <v>195</v>
      </c>
      <c r="I353">
        <v>4</v>
      </c>
      <c r="J353">
        <v>125.67</v>
      </c>
      <c r="K353">
        <v>0</v>
      </c>
      <c r="L353" t="s">
        <v>215</v>
      </c>
      <c r="M353">
        <v>1</v>
      </c>
    </row>
    <row r="354" spans="1:13" x14ac:dyDescent="0.3">
      <c r="A354" t="s">
        <v>563</v>
      </c>
      <c r="B354">
        <v>20</v>
      </c>
      <c r="C354" s="1">
        <v>45246</v>
      </c>
      <c r="D354">
        <v>2023</v>
      </c>
      <c r="E354" t="s">
        <v>219</v>
      </c>
      <c r="F354" t="s">
        <v>13</v>
      </c>
      <c r="G354" t="s">
        <v>200</v>
      </c>
      <c r="H354" t="s">
        <v>204</v>
      </c>
      <c r="I354">
        <v>17</v>
      </c>
      <c r="J354">
        <v>1965.5</v>
      </c>
      <c r="K354">
        <v>1</v>
      </c>
      <c r="L354" t="s">
        <v>201</v>
      </c>
      <c r="M354">
        <v>0</v>
      </c>
    </row>
    <row r="355" spans="1:13" x14ac:dyDescent="0.3">
      <c r="A355" t="s">
        <v>564</v>
      </c>
      <c r="B355">
        <v>20</v>
      </c>
      <c r="C355" s="1">
        <v>45219</v>
      </c>
      <c r="D355">
        <v>2023</v>
      </c>
      <c r="E355" t="s">
        <v>198</v>
      </c>
      <c r="F355" t="s">
        <v>199</v>
      </c>
      <c r="G355" t="s">
        <v>203</v>
      </c>
      <c r="H355" t="s">
        <v>206</v>
      </c>
      <c r="I355">
        <v>3</v>
      </c>
      <c r="J355">
        <v>2606.69</v>
      </c>
      <c r="K355">
        <v>1</v>
      </c>
      <c r="L355" t="s">
        <v>193</v>
      </c>
      <c r="M355">
        <v>1</v>
      </c>
    </row>
    <row r="356" spans="1:13" x14ac:dyDescent="0.3">
      <c r="A356" t="s">
        <v>565</v>
      </c>
      <c r="B356">
        <v>20</v>
      </c>
      <c r="C356" s="1">
        <v>45210</v>
      </c>
      <c r="D356">
        <v>2023</v>
      </c>
      <c r="E356" t="s">
        <v>198</v>
      </c>
      <c r="F356" t="s">
        <v>13</v>
      </c>
      <c r="G356" t="s">
        <v>212</v>
      </c>
      <c r="H356" t="s">
        <v>195</v>
      </c>
      <c r="I356">
        <v>8</v>
      </c>
      <c r="J356">
        <v>3874.82</v>
      </c>
      <c r="K356">
        <v>1</v>
      </c>
      <c r="L356" t="s">
        <v>196</v>
      </c>
      <c r="M356">
        <v>1</v>
      </c>
    </row>
    <row r="357" spans="1:13" x14ac:dyDescent="0.3">
      <c r="A357" t="s">
        <v>566</v>
      </c>
      <c r="B357">
        <v>20</v>
      </c>
      <c r="C357" s="1">
        <v>45042</v>
      </c>
      <c r="D357">
        <v>2023</v>
      </c>
      <c r="E357" t="s">
        <v>190</v>
      </c>
      <c r="F357" t="s">
        <v>12</v>
      </c>
      <c r="G357" t="s">
        <v>212</v>
      </c>
      <c r="H357" t="s">
        <v>195</v>
      </c>
      <c r="I357">
        <v>11</v>
      </c>
      <c r="J357">
        <v>253.82</v>
      </c>
      <c r="K357">
        <v>0</v>
      </c>
      <c r="L357" t="s">
        <v>215</v>
      </c>
      <c r="M357">
        <v>1</v>
      </c>
    </row>
    <row r="358" spans="1:13" x14ac:dyDescent="0.3">
      <c r="A358" t="s">
        <v>567</v>
      </c>
      <c r="B358">
        <v>20</v>
      </c>
      <c r="C358" s="1">
        <v>45174</v>
      </c>
      <c r="D358">
        <v>2023</v>
      </c>
      <c r="E358" t="s">
        <v>287</v>
      </c>
      <c r="F358" t="s">
        <v>13</v>
      </c>
      <c r="G358" t="s">
        <v>191</v>
      </c>
      <c r="H358" t="s">
        <v>195</v>
      </c>
      <c r="I358">
        <v>16</v>
      </c>
      <c r="J358">
        <v>3432.19</v>
      </c>
      <c r="K358">
        <v>1</v>
      </c>
      <c r="L358" t="s">
        <v>201</v>
      </c>
      <c r="M358">
        <v>0</v>
      </c>
    </row>
    <row r="359" spans="1:13" x14ac:dyDescent="0.3">
      <c r="A359" t="s">
        <v>568</v>
      </c>
      <c r="B359">
        <v>20</v>
      </c>
      <c r="C359" s="1">
        <v>45628</v>
      </c>
      <c r="D359">
        <v>2024</v>
      </c>
      <c r="E359" t="s">
        <v>190</v>
      </c>
      <c r="F359" t="s">
        <v>12</v>
      </c>
      <c r="G359" t="s">
        <v>212</v>
      </c>
      <c r="H359" t="s">
        <v>195</v>
      </c>
      <c r="I359">
        <v>14</v>
      </c>
      <c r="J359">
        <v>1238.3900000000001</v>
      </c>
      <c r="K359">
        <v>0</v>
      </c>
      <c r="L359" t="s">
        <v>215</v>
      </c>
      <c r="M359">
        <v>1</v>
      </c>
    </row>
    <row r="360" spans="1:13" x14ac:dyDescent="0.3">
      <c r="A360" t="s">
        <v>569</v>
      </c>
      <c r="B360">
        <v>20</v>
      </c>
      <c r="C360" s="1">
        <v>45301</v>
      </c>
      <c r="D360">
        <v>2024</v>
      </c>
      <c r="E360" t="s">
        <v>214</v>
      </c>
      <c r="F360" t="s">
        <v>12</v>
      </c>
      <c r="G360" t="s">
        <v>200</v>
      </c>
      <c r="H360" t="s">
        <v>195</v>
      </c>
      <c r="I360">
        <v>9</v>
      </c>
      <c r="J360">
        <v>1202.97</v>
      </c>
      <c r="K360">
        <v>0</v>
      </c>
      <c r="L360" t="s">
        <v>196</v>
      </c>
      <c r="M360">
        <v>1</v>
      </c>
    </row>
    <row r="361" spans="1:13" x14ac:dyDescent="0.3">
      <c r="A361" t="s">
        <v>570</v>
      </c>
      <c r="B361">
        <v>20</v>
      </c>
      <c r="C361" s="1">
        <v>45366</v>
      </c>
      <c r="D361">
        <v>2024</v>
      </c>
      <c r="E361" t="s">
        <v>190</v>
      </c>
      <c r="F361" t="s">
        <v>13</v>
      </c>
      <c r="G361" t="s">
        <v>212</v>
      </c>
      <c r="H361" t="s">
        <v>195</v>
      </c>
      <c r="I361">
        <v>6</v>
      </c>
      <c r="J361">
        <v>1323.23</v>
      </c>
      <c r="K361">
        <v>0</v>
      </c>
      <c r="L361" t="s">
        <v>196</v>
      </c>
      <c r="M361">
        <v>1</v>
      </c>
    </row>
    <row r="362" spans="1:13" x14ac:dyDescent="0.3">
      <c r="A362" t="s">
        <v>571</v>
      </c>
      <c r="B362">
        <v>20</v>
      </c>
      <c r="C362" s="1">
        <v>45646</v>
      </c>
      <c r="D362">
        <v>2024</v>
      </c>
      <c r="E362" t="s">
        <v>225</v>
      </c>
      <c r="F362" t="s">
        <v>12</v>
      </c>
      <c r="G362" t="s">
        <v>200</v>
      </c>
      <c r="H362" t="s">
        <v>192</v>
      </c>
      <c r="I362">
        <v>10</v>
      </c>
      <c r="J362">
        <v>404.89</v>
      </c>
      <c r="K362">
        <v>0</v>
      </c>
      <c r="L362" t="s">
        <v>210</v>
      </c>
      <c r="M362">
        <v>0</v>
      </c>
    </row>
    <row r="363" spans="1:13" x14ac:dyDescent="0.3">
      <c r="A363" t="s">
        <v>572</v>
      </c>
      <c r="B363">
        <v>20</v>
      </c>
      <c r="C363" s="1">
        <v>45470</v>
      </c>
      <c r="D363">
        <v>2024</v>
      </c>
      <c r="E363" t="s">
        <v>190</v>
      </c>
      <c r="F363" t="s">
        <v>13</v>
      </c>
      <c r="G363" t="s">
        <v>212</v>
      </c>
      <c r="H363" t="s">
        <v>195</v>
      </c>
      <c r="I363">
        <v>15</v>
      </c>
      <c r="J363">
        <v>2186.61</v>
      </c>
      <c r="K363">
        <v>0</v>
      </c>
      <c r="L363" t="s">
        <v>193</v>
      </c>
      <c r="M363">
        <v>1</v>
      </c>
    </row>
    <row r="364" spans="1:13" x14ac:dyDescent="0.3">
      <c r="A364" t="s">
        <v>573</v>
      </c>
      <c r="B364">
        <v>21</v>
      </c>
      <c r="C364" s="1">
        <v>44510</v>
      </c>
      <c r="D364">
        <v>2021</v>
      </c>
      <c r="E364" t="s">
        <v>190</v>
      </c>
      <c r="F364" t="s">
        <v>209</v>
      </c>
      <c r="G364" t="s">
        <v>212</v>
      </c>
      <c r="H364" t="s">
        <v>192</v>
      </c>
      <c r="I364">
        <v>3</v>
      </c>
      <c r="J364">
        <v>298.01</v>
      </c>
      <c r="K364">
        <v>0</v>
      </c>
      <c r="L364" t="s">
        <v>210</v>
      </c>
      <c r="M364">
        <v>1</v>
      </c>
    </row>
    <row r="365" spans="1:13" x14ac:dyDescent="0.3">
      <c r="A365" t="s">
        <v>574</v>
      </c>
      <c r="B365">
        <v>21</v>
      </c>
      <c r="C365" s="1">
        <v>44244</v>
      </c>
      <c r="D365">
        <v>2021</v>
      </c>
      <c r="E365" t="s">
        <v>198</v>
      </c>
      <c r="F365" t="s">
        <v>13</v>
      </c>
      <c r="G365" t="s">
        <v>200</v>
      </c>
      <c r="H365" t="s">
        <v>195</v>
      </c>
      <c r="I365">
        <v>7</v>
      </c>
      <c r="J365">
        <v>2071.2399999999998</v>
      </c>
      <c r="K365">
        <v>1</v>
      </c>
      <c r="L365" t="s">
        <v>201</v>
      </c>
      <c r="M365">
        <v>0</v>
      </c>
    </row>
    <row r="366" spans="1:13" x14ac:dyDescent="0.3">
      <c r="A366" t="s">
        <v>575</v>
      </c>
      <c r="B366">
        <v>21</v>
      </c>
      <c r="C366" s="1">
        <v>44395</v>
      </c>
      <c r="D366">
        <v>2021</v>
      </c>
      <c r="E366" t="s">
        <v>198</v>
      </c>
      <c r="F366" t="s">
        <v>12</v>
      </c>
      <c r="G366" t="s">
        <v>212</v>
      </c>
      <c r="H366" t="s">
        <v>195</v>
      </c>
      <c r="I366">
        <v>4</v>
      </c>
      <c r="J366">
        <v>361.84</v>
      </c>
      <c r="K366">
        <v>1</v>
      </c>
      <c r="L366" t="s">
        <v>201</v>
      </c>
      <c r="M366">
        <v>1</v>
      </c>
    </row>
    <row r="367" spans="1:13" x14ac:dyDescent="0.3">
      <c r="A367" t="s">
        <v>576</v>
      </c>
      <c r="B367">
        <v>21</v>
      </c>
      <c r="C367" s="1">
        <v>44659</v>
      </c>
      <c r="D367">
        <v>2022</v>
      </c>
      <c r="E367" t="s">
        <v>214</v>
      </c>
      <c r="F367" t="s">
        <v>12</v>
      </c>
      <c r="G367" t="s">
        <v>200</v>
      </c>
      <c r="H367" t="s">
        <v>206</v>
      </c>
      <c r="I367">
        <v>2</v>
      </c>
      <c r="J367">
        <v>1121.6099999999999</v>
      </c>
      <c r="K367">
        <v>0</v>
      </c>
      <c r="L367" t="s">
        <v>193</v>
      </c>
      <c r="M367">
        <v>1</v>
      </c>
    </row>
    <row r="368" spans="1:13" x14ac:dyDescent="0.3">
      <c r="A368" t="s">
        <v>577</v>
      </c>
      <c r="B368">
        <v>21</v>
      </c>
      <c r="C368" s="1">
        <v>44648</v>
      </c>
      <c r="D368">
        <v>2022</v>
      </c>
      <c r="E368" t="s">
        <v>214</v>
      </c>
      <c r="F368" t="s">
        <v>12</v>
      </c>
      <c r="G368" t="s">
        <v>212</v>
      </c>
      <c r="H368" t="s">
        <v>204</v>
      </c>
      <c r="I368">
        <v>5</v>
      </c>
      <c r="J368">
        <v>744.76</v>
      </c>
      <c r="K368">
        <v>0</v>
      </c>
      <c r="L368" t="s">
        <v>193</v>
      </c>
      <c r="M368">
        <v>1</v>
      </c>
    </row>
    <row r="369" spans="1:13" x14ac:dyDescent="0.3">
      <c r="A369" t="s">
        <v>578</v>
      </c>
      <c r="B369">
        <v>21</v>
      </c>
      <c r="C369" s="1">
        <v>45253</v>
      </c>
      <c r="D369">
        <v>2023</v>
      </c>
      <c r="E369" t="s">
        <v>190</v>
      </c>
      <c r="F369" t="s">
        <v>12</v>
      </c>
      <c r="G369" t="s">
        <v>200</v>
      </c>
      <c r="H369" t="s">
        <v>204</v>
      </c>
      <c r="I369">
        <v>1</v>
      </c>
      <c r="J369">
        <v>511.05</v>
      </c>
      <c r="K369">
        <v>0</v>
      </c>
      <c r="L369" t="s">
        <v>193</v>
      </c>
      <c r="M369">
        <v>1</v>
      </c>
    </row>
    <row r="370" spans="1:13" x14ac:dyDescent="0.3">
      <c r="A370" t="s">
        <v>579</v>
      </c>
      <c r="B370">
        <v>21</v>
      </c>
      <c r="C370" s="1">
        <v>45562</v>
      </c>
      <c r="D370">
        <v>2024</v>
      </c>
      <c r="E370" t="s">
        <v>198</v>
      </c>
      <c r="F370" t="s">
        <v>199</v>
      </c>
      <c r="G370" t="s">
        <v>203</v>
      </c>
      <c r="H370" t="s">
        <v>192</v>
      </c>
      <c r="I370">
        <v>15</v>
      </c>
      <c r="J370">
        <v>4636.3100000000004</v>
      </c>
      <c r="K370">
        <v>1</v>
      </c>
      <c r="L370" t="s">
        <v>193</v>
      </c>
      <c r="M370">
        <v>0</v>
      </c>
    </row>
    <row r="371" spans="1:13" x14ac:dyDescent="0.3">
      <c r="A371" t="s">
        <v>580</v>
      </c>
      <c r="B371">
        <v>21</v>
      </c>
      <c r="C371" s="1">
        <v>45393</v>
      </c>
      <c r="D371">
        <v>2024</v>
      </c>
      <c r="E371" t="s">
        <v>225</v>
      </c>
      <c r="F371" t="s">
        <v>13</v>
      </c>
      <c r="G371" t="s">
        <v>203</v>
      </c>
      <c r="H371" t="s">
        <v>204</v>
      </c>
      <c r="I371">
        <v>5</v>
      </c>
      <c r="J371">
        <v>3015.54</v>
      </c>
      <c r="K371">
        <v>0</v>
      </c>
      <c r="L371" t="s">
        <v>210</v>
      </c>
      <c r="M371">
        <v>0</v>
      </c>
    </row>
    <row r="372" spans="1:13" x14ac:dyDescent="0.3">
      <c r="A372" t="s">
        <v>581</v>
      </c>
      <c r="B372">
        <v>21</v>
      </c>
      <c r="C372" s="1">
        <v>45499</v>
      </c>
      <c r="D372">
        <v>2024</v>
      </c>
      <c r="E372" t="s">
        <v>198</v>
      </c>
      <c r="F372" t="s">
        <v>199</v>
      </c>
      <c r="G372" t="s">
        <v>203</v>
      </c>
      <c r="H372" t="s">
        <v>195</v>
      </c>
      <c r="I372">
        <v>14</v>
      </c>
      <c r="J372">
        <v>6546.36</v>
      </c>
      <c r="K372">
        <v>1</v>
      </c>
      <c r="L372" t="s">
        <v>196</v>
      </c>
      <c r="M372">
        <v>0</v>
      </c>
    </row>
    <row r="373" spans="1:13" x14ac:dyDescent="0.3">
      <c r="A373" t="s">
        <v>582</v>
      </c>
      <c r="B373">
        <v>21</v>
      </c>
      <c r="C373" s="1">
        <v>45592</v>
      </c>
      <c r="D373">
        <v>2024</v>
      </c>
      <c r="E373" t="s">
        <v>219</v>
      </c>
      <c r="F373" t="s">
        <v>13</v>
      </c>
      <c r="G373" t="s">
        <v>191</v>
      </c>
      <c r="H373" t="s">
        <v>195</v>
      </c>
      <c r="I373">
        <v>1</v>
      </c>
      <c r="J373">
        <v>1650.42</v>
      </c>
      <c r="K373">
        <v>1</v>
      </c>
      <c r="L373" t="s">
        <v>196</v>
      </c>
      <c r="M373">
        <v>1</v>
      </c>
    </row>
    <row r="374" spans="1:13" x14ac:dyDescent="0.3">
      <c r="A374" t="s">
        <v>583</v>
      </c>
      <c r="B374">
        <v>21</v>
      </c>
      <c r="C374" s="1">
        <v>45450</v>
      </c>
      <c r="D374">
        <v>2024</v>
      </c>
      <c r="E374" t="s">
        <v>190</v>
      </c>
      <c r="F374" t="s">
        <v>13</v>
      </c>
      <c r="G374" t="s">
        <v>203</v>
      </c>
      <c r="H374" t="s">
        <v>206</v>
      </c>
      <c r="I374">
        <v>12</v>
      </c>
      <c r="J374">
        <v>3762.46</v>
      </c>
      <c r="K374">
        <v>0</v>
      </c>
      <c r="L374" t="s">
        <v>196</v>
      </c>
      <c r="M374">
        <v>1</v>
      </c>
    </row>
    <row r="375" spans="1:13" x14ac:dyDescent="0.3">
      <c r="A375" t="s">
        <v>584</v>
      </c>
      <c r="B375">
        <v>21</v>
      </c>
      <c r="C375" s="1">
        <v>45624</v>
      </c>
      <c r="D375">
        <v>2024</v>
      </c>
      <c r="E375" t="s">
        <v>227</v>
      </c>
      <c r="F375" t="s">
        <v>13</v>
      </c>
      <c r="G375" t="s">
        <v>191</v>
      </c>
      <c r="H375" t="s">
        <v>195</v>
      </c>
      <c r="I375">
        <v>8</v>
      </c>
      <c r="J375">
        <v>3790.48</v>
      </c>
      <c r="K375">
        <v>1</v>
      </c>
      <c r="L375" t="s">
        <v>210</v>
      </c>
      <c r="M375">
        <v>0</v>
      </c>
    </row>
    <row r="376" spans="1:13" x14ac:dyDescent="0.3">
      <c r="A376" t="s">
        <v>585</v>
      </c>
      <c r="B376">
        <v>21</v>
      </c>
      <c r="C376" s="1">
        <v>45690</v>
      </c>
      <c r="D376">
        <v>2025</v>
      </c>
      <c r="E376" t="s">
        <v>225</v>
      </c>
      <c r="F376" t="s">
        <v>13</v>
      </c>
      <c r="G376" t="s">
        <v>191</v>
      </c>
      <c r="H376" t="s">
        <v>195</v>
      </c>
      <c r="I376">
        <v>13</v>
      </c>
      <c r="J376">
        <v>2118.46</v>
      </c>
      <c r="K376">
        <v>0</v>
      </c>
      <c r="L376" t="s">
        <v>196</v>
      </c>
      <c r="M376">
        <v>0</v>
      </c>
    </row>
    <row r="377" spans="1:13" x14ac:dyDescent="0.3">
      <c r="A377" t="s">
        <v>586</v>
      </c>
      <c r="B377">
        <v>21</v>
      </c>
      <c r="C377" s="1">
        <v>45661</v>
      </c>
      <c r="D377">
        <v>2025</v>
      </c>
      <c r="E377" t="s">
        <v>225</v>
      </c>
      <c r="F377" t="s">
        <v>12</v>
      </c>
      <c r="G377" t="s">
        <v>191</v>
      </c>
      <c r="H377" t="s">
        <v>195</v>
      </c>
      <c r="I377">
        <v>18</v>
      </c>
      <c r="J377">
        <v>1250.7</v>
      </c>
      <c r="K377">
        <v>0</v>
      </c>
      <c r="L377" t="s">
        <v>210</v>
      </c>
      <c r="M377">
        <v>1</v>
      </c>
    </row>
    <row r="378" spans="1:13" x14ac:dyDescent="0.3">
      <c r="A378" t="s">
        <v>587</v>
      </c>
      <c r="B378">
        <v>21</v>
      </c>
      <c r="C378" s="1">
        <v>45987</v>
      </c>
      <c r="D378">
        <v>2025</v>
      </c>
      <c r="E378" t="s">
        <v>227</v>
      </c>
      <c r="F378" t="s">
        <v>199</v>
      </c>
      <c r="G378" t="s">
        <v>203</v>
      </c>
      <c r="H378" t="s">
        <v>195</v>
      </c>
      <c r="I378">
        <v>17</v>
      </c>
      <c r="J378">
        <v>2973.52</v>
      </c>
      <c r="K378">
        <v>0</v>
      </c>
      <c r="L378" t="s">
        <v>201</v>
      </c>
      <c r="M378">
        <v>0</v>
      </c>
    </row>
    <row r="379" spans="1:13" x14ac:dyDescent="0.3">
      <c r="A379" t="s">
        <v>588</v>
      </c>
      <c r="B379">
        <v>21</v>
      </c>
      <c r="C379" s="1">
        <v>45909</v>
      </c>
      <c r="D379">
        <v>2025</v>
      </c>
      <c r="E379" t="s">
        <v>214</v>
      </c>
      <c r="F379" t="s">
        <v>13</v>
      </c>
      <c r="G379" t="s">
        <v>212</v>
      </c>
      <c r="H379" t="s">
        <v>195</v>
      </c>
      <c r="I379">
        <v>13</v>
      </c>
      <c r="J379">
        <v>1459.88</v>
      </c>
      <c r="K379">
        <v>0</v>
      </c>
      <c r="L379" t="s">
        <v>196</v>
      </c>
      <c r="M379">
        <v>1</v>
      </c>
    </row>
    <row r="380" spans="1:13" x14ac:dyDescent="0.3">
      <c r="A380" t="s">
        <v>589</v>
      </c>
      <c r="B380">
        <v>22</v>
      </c>
      <c r="C380" s="1">
        <v>44212</v>
      </c>
      <c r="D380">
        <v>2021</v>
      </c>
      <c r="E380" t="s">
        <v>214</v>
      </c>
      <c r="F380" t="s">
        <v>12</v>
      </c>
      <c r="G380" t="s">
        <v>203</v>
      </c>
      <c r="H380" t="s">
        <v>204</v>
      </c>
      <c r="I380">
        <v>13</v>
      </c>
      <c r="J380">
        <v>1371.76</v>
      </c>
      <c r="K380">
        <v>0</v>
      </c>
      <c r="L380" t="s">
        <v>215</v>
      </c>
      <c r="M380">
        <v>1</v>
      </c>
    </row>
    <row r="381" spans="1:13" x14ac:dyDescent="0.3">
      <c r="A381" t="s">
        <v>590</v>
      </c>
      <c r="B381">
        <v>22</v>
      </c>
      <c r="C381" s="1">
        <v>44911</v>
      </c>
      <c r="D381">
        <v>2022</v>
      </c>
      <c r="E381" t="s">
        <v>198</v>
      </c>
      <c r="F381" t="s">
        <v>12</v>
      </c>
      <c r="G381" t="s">
        <v>191</v>
      </c>
      <c r="H381" t="s">
        <v>192</v>
      </c>
      <c r="I381">
        <v>19</v>
      </c>
      <c r="J381">
        <v>1112.0899999999999</v>
      </c>
      <c r="K381">
        <v>1</v>
      </c>
      <c r="L381" t="s">
        <v>215</v>
      </c>
      <c r="M381">
        <v>0</v>
      </c>
    </row>
    <row r="382" spans="1:13" x14ac:dyDescent="0.3">
      <c r="A382" t="s">
        <v>591</v>
      </c>
      <c r="B382">
        <v>22</v>
      </c>
      <c r="C382" s="1">
        <v>44861</v>
      </c>
      <c r="D382">
        <v>2022</v>
      </c>
      <c r="E382" t="s">
        <v>219</v>
      </c>
      <c r="F382" t="s">
        <v>13</v>
      </c>
      <c r="G382" t="s">
        <v>191</v>
      </c>
      <c r="H382" t="s">
        <v>195</v>
      </c>
      <c r="I382">
        <v>8</v>
      </c>
      <c r="J382">
        <v>1859.55</v>
      </c>
      <c r="K382">
        <v>0</v>
      </c>
      <c r="L382" t="s">
        <v>196</v>
      </c>
      <c r="M382">
        <v>1</v>
      </c>
    </row>
    <row r="383" spans="1:13" x14ac:dyDescent="0.3">
      <c r="A383" t="s">
        <v>592</v>
      </c>
      <c r="B383">
        <v>22</v>
      </c>
      <c r="C383" s="1">
        <v>44810</v>
      </c>
      <c r="D383">
        <v>2022</v>
      </c>
      <c r="E383" t="s">
        <v>198</v>
      </c>
      <c r="F383" t="s">
        <v>13</v>
      </c>
      <c r="G383" t="s">
        <v>212</v>
      </c>
      <c r="H383" t="s">
        <v>195</v>
      </c>
      <c r="I383">
        <v>12</v>
      </c>
      <c r="J383">
        <v>2917.94</v>
      </c>
      <c r="K383">
        <v>1</v>
      </c>
      <c r="L383" t="s">
        <v>201</v>
      </c>
      <c r="M383">
        <v>1</v>
      </c>
    </row>
    <row r="384" spans="1:13" x14ac:dyDescent="0.3">
      <c r="A384" t="s">
        <v>593</v>
      </c>
      <c r="B384">
        <v>22</v>
      </c>
      <c r="C384" s="1">
        <v>44727</v>
      </c>
      <c r="D384">
        <v>2022</v>
      </c>
      <c r="E384" t="s">
        <v>190</v>
      </c>
      <c r="F384" t="s">
        <v>12</v>
      </c>
      <c r="G384" t="s">
        <v>191</v>
      </c>
      <c r="H384" t="s">
        <v>192</v>
      </c>
      <c r="I384">
        <v>3</v>
      </c>
      <c r="J384">
        <v>759.78</v>
      </c>
      <c r="K384">
        <v>0</v>
      </c>
      <c r="L384" t="s">
        <v>196</v>
      </c>
      <c r="M384">
        <v>0</v>
      </c>
    </row>
    <row r="385" spans="1:13" x14ac:dyDescent="0.3">
      <c r="A385" t="s">
        <v>594</v>
      </c>
      <c r="B385">
        <v>22</v>
      </c>
      <c r="C385" s="1">
        <v>44631</v>
      </c>
      <c r="D385">
        <v>2022</v>
      </c>
      <c r="E385" t="s">
        <v>190</v>
      </c>
      <c r="F385" t="s">
        <v>13</v>
      </c>
      <c r="G385" t="s">
        <v>212</v>
      </c>
      <c r="H385" t="s">
        <v>192</v>
      </c>
      <c r="I385">
        <v>19</v>
      </c>
      <c r="J385">
        <v>2030.36</v>
      </c>
      <c r="K385">
        <v>0</v>
      </c>
      <c r="L385" t="s">
        <v>196</v>
      </c>
      <c r="M385">
        <v>1</v>
      </c>
    </row>
    <row r="386" spans="1:13" x14ac:dyDescent="0.3">
      <c r="A386" t="s">
        <v>595</v>
      </c>
      <c r="B386">
        <v>22</v>
      </c>
      <c r="C386" s="1">
        <v>44640</v>
      </c>
      <c r="D386">
        <v>2022</v>
      </c>
      <c r="E386" t="s">
        <v>190</v>
      </c>
      <c r="F386" t="s">
        <v>13</v>
      </c>
      <c r="G386" t="s">
        <v>212</v>
      </c>
      <c r="H386" t="s">
        <v>192</v>
      </c>
      <c r="I386">
        <v>8</v>
      </c>
      <c r="J386">
        <v>3376.83</v>
      </c>
      <c r="K386">
        <v>0</v>
      </c>
      <c r="L386" t="s">
        <v>210</v>
      </c>
      <c r="M386">
        <v>1</v>
      </c>
    </row>
    <row r="387" spans="1:13" x14ac:dyDescent="0.3">
      <c r="A387" t="s">
        <v>596</v>
      </c>
      <c r="B387">
        <v>22</v>
      </c>
      <c r="C387" s="1">
        <v>44974</v>
      </c>
      <c r="D387">
        <v>2023</v>
      </c>
      <c r="E387" t="s">
        <v>219</v>
      </c>
      <c r="F387" t="s">
        <v>12</v>
      </c>
      <c r="G387" t="s">
        <v>212</v>
      </c>
      <c r="H387" t="s">
        <v>192</v>
      </c>
      <c r="I387">
        <v>9</v>
      </c>
      <c r="J387">
        <v>938.06</v>
      </c>
      <c r="K387">
        <v>0</v>
      </c>
      <c r="L387" t="s">
        <v>215</v>
      </c>
      <c r="M387">
        <v>1</v>
      </c>
    </row>
    <row r="388" spans="1:13" x14ac:dyDescent="0.3">
      <c r="A388" t="s">
        <v>597</v>
      </c>
      <c r="B388">
        <v>22</v>
      </c>
      <c r="C388" s="1">
        <v>45253</v>
      </c>
      <c r="D388">
        <v>2023</v>
      </c>
      <c r="E388" t="s">
        <v>190</v>
      </c>
      <c r="F388" t="s">
        <v>12</v>
      </c>
      <c r="G388" t="s">
        <v>203</v>
      </c>
      <c r="H388" t="s">
        <v>192</v>
      </c>
      <c r="I388">
        <v>7</v>
      </c>
      <c r="J388">
        <v>716.65</v>
      </c>
      <c r="K388">
        <v>0</v>
      </c>
      <c r="L388" t="s">
        <v>210</v>
      </c>
      <c r="M388">
        <v>1</v>
      </c>
    </row>
    <row r="389" spans="1:13" x14ac:dyDescent="0.3">
      <c r="A389" t="s">
        <v>598</v>
      </c>
      <c r="B389">
        <v>22</v>
      </c>
      <c r="C389" s="1">
        <v>45577</v>
      </c>
      <c r="D389">
        <v>2024</v>
      </c>
      <c r="E389" t="s">
        <v>190</v>
      </c>
      <c r="F389" t="s">
        <v>199</v>
      </c>
      <c r="G389" t="s">
        <v>212</v>
      </c>
      <c r="H389" t="s">
        <v>192</v>
      </c>
      <c r="I389">
        <v>9</v>
      </c>
      <c r="J389">
        <v>6316.69</v>
      </c>
      <c r="K389">
        <v>1</v>
      </c>
      <c r="L389" t="s">
        <v>201</v>
      </c>
      <c r="M389">
        <v>1</v>
      </c>
    </row>
    <row r="390" spans="1:13" x14ac:dyDescent="0.3">
      <c r="A390" t="s">
        <v>599</v>
      </c>
      <c r="B390">
        <v>22</v>
      </c>
      <c r="C390" s="1">
        <v>45874</v>
      </c>
      <c r="D390">
        <v>2025</v>
      </c>
      <c r="E390" t="s">
        <v>190</v>
      </c>
      <c r="F390" t="s">
        <v>12</v>
      </c>
      <c r="G390" t="s">
        <v>203</v>
      </c>
      <c r="H390" t="s">
        <v>192</v>
      </c>
      <c r="I390">
        <v>4</v>
      </c>
      <c r="J390">
        <v>1047.81</v>
      </c>
      <c r="K390">
        <v>0</v>
      </c>
      <c r="L390" t="s">
        <v>215</v>
      </c>
      <c r="M390">
        <v>0</v>
      </c>
    </row>
    <row r="391" spans="1:13" x14ac:dyDescent="0.3">
      <c r="A391" t="s">
        <v>600</v>
      </c>
      <c r="B391">
        <v>22</v>
      </c>
      <c r="C391" s="1">
        <v>45781</v>
      </c>
      <c r="D391">
        <v>2025</v>
      </c>
      <c r="E391" t="s">
        <v>198</v>
      </c>
      <c r="F391" t="s">
        <v>199</v>
      </c>
      <c r="G391" t="s">
        <v>191</v>
      </c>
      <c r="H391" t="s">
        <v>195</v>
      </c>
      <c r="I391">
        <v>18</v>
      </c>
      <c r="J391">
        <v>4989.3</v>
      </c>
      <c r="K391">
        <v>1</v>
      </c>
      <c r="L391" t="s">
        <v>201</v>
      </c>
      <c r="M391">
        <v>0</v>
      </c>
    </row>
    <row r="392" spans="1:13" x14ac:dyDescent="0.3">
      <c r="A392" t="s">
        <v>601</v>
      </c>
      <c r="B392">
        <v>22</v>
      </c>
      <c r="C392" s="1">
        <v>45680</v>
      </c>
      <c r="D392">
        <v>2025</v>
      </c>
      <c r="E392" t="s">
        <v>225</v>
      </c>
      <c r="F392" t="s">
        <v>199</v>
      </c>
      <c r="G392" t="s">
        <v>212</v>
      </c>
      <c r="H392" t="s">
        <v>192</v>
      </c>
      <c r="I392">
        <v>10</v>
      </c>
      <c r="J392">
        <v>6235.15</v>
      </c>
      <c r="K392">
        <v>1</v>
      </c>
      <c r="L392" t="s">
        <v>196</v>
      </c>
      <c r="M392">
        <v>1</v>
      </c>
    </row>
    <row r="393" spans="1:13" x14ac:dyDescent="0.3">
      <c r="A393" t="s">
        <v>602</v>
      </c>
      <c r="B393">
        <v>23</v>
      </c>
      <c r="C393" s="1">
        <v>44205</v>
      </c>
      <c r="D393">
        <v>2021</v>
      </c>
      <c r="E393" t="s">
        <v>190</v>
      </c>
      <c r="F393" t="s">
        <v>13</v>
      </c>
      <c r="G393" t="s">
        <v>203</v>
      </c>
      <c r="H393" t="s">
        <v>204</v>
      </c>
      <c r="I393">
        <v>10</v>
      </c>
      <c r="J393">
        <v>1294.02</v>
      </c>
      <c r="K393">
        <v>0</v>
      </c>
      <c r="L393" t="s">
        <v>193</v>
      </c>
      <c r="M393">
        <v>0</v>
      </c>
    </row>
    <row r="394" spans="1:13" x14ac:dyDescent="0.3">
      <c r="A394" t="s">
        <v>603</v>
      </c>
      <c r="B394">
        <v>23</v>
      </c>
      <c r="C394" s="1">
        <v>44516</v>
      </c>
      <c r="D394">
        <v>2021</v>
      </c>
      <c r="E394" t="s">
        <v>287</v>
      </c>
      <c r="F394" t="s">
        <v>12</v>
      </c>
      <c r="G394" t="s">
        <v>191</v>
      </c>
      <c r="H394" t="s">
        <v>195</v>
      </c>
      <c r="I394">
        <v>2</v>
      </c>
      <c r="J394">
        <v>358.54</v>
      </c>
      <c r="K394">
        <v>0</v>
      </c>
      <c r="L394" t="s">
        <v>210</v>
      </c>
      <c r="M394">
        <v>0</v>
      </c>
    </row>
    <row r="395" spans="1:13" x14ac:dyDescent="0.3">
      <c r="A395" t="s">
        <v>604</v>
      </c>
      <c r="B395">
        <v>23</v>
      </c>
      <c r="C395" s="1">
        <v>44786</v>
      </c>
      <c r="D395">
        <v>2022</v>
      </c>
      <c r="E395" t="s">
        <v>214</v>
      </c>
      <c r="F395" t="s">
        <v>199</v>
      </c>
      <c r="G395" t="s">
        <v>203</v>
      </c>
      <c r="H395" t="s">
        <v>195</v>
      </c>
      <c r="I395">
        <v>8</v>
      </c>
      <c r="J395">
        <v>7200.53</v>
      </c>
      <c r="K395">
        <v>1</v>
      </c>
      <c r="L395" t="s">
        <v>196</v>
      </c>
      <c r="M395">
        <v>0</v>
      </c>
    </row>
    <row r="396" spans="1:13" x14ac:dyDescent="0.3">
      <c r="A396" t="s">
        <v>605</v>
      </c>
      <c r="B396">
        <v>23</v>
      </c>
      <c r="C396" s="1">
        <v>44639</v>
      </c>
      <c r="D396">
        <v>2022</v>
      </c>
      <c r="E396" t="s">
        <v>190</v>
      </c>
      <c r="F396" t="s">
        <v>199</v>
      </c>
      <c r="G396" t="s">
        <v>203</v>
      </c>
      <c r="H396" t="s">
        <v>195</v>
      </c>
      <c r="I396">
        <v>17</v>
      </c>
      <c r="J396">
        <v>6334.22</v>
      </c>
      <c r="K396">
        <v>0</v>
      </c>
      <c r="L396" t="s">
        <v>193</v>
      </c>
      <c r="M396">
        <v>0</v>
      </c>
    </row>
    <row r="397" spans="1:13" x14ac:dyDescent="0.3">
      <c r="A397" t="s">
        <v>606</v>
      </c>
      <c r="B397">
        <v>23</v>
      </c>
      <c r="C397" s="1">
        <v>44570</v>
      </c>
      <c r="D397">
        <v>2022</v>
      </c>
      <c r="E397" t="s">
        <v>190</v>
      </c>
      <c r="F397" t="s">
        <v>13</v>
      </c>
      <c r="G397" t="s">
        <v>203</v>
      </c>
      <c r="H397" t="s">
        <v>195</v>
      </c>
      <c r="I397">
        <v>3</v>
      </c>
      <c r="J397">
        <v>1870.86</v>
      </c>
      <c r="K397">
        <v>0</v>
      </c>
      <c r="L397" t="s">
        <v>201</v>
      </c>
      <c r="M397">
        <v>0</v>
      </c>
    </row>
    <row r="398" spans="1:13" x14ac:dyDescent="0.3">
      <c r="A398" t="s">
        <v>607</v>
      </c>
      <c r="B398">
        <v>23</v>
      </c>
      <c r="C398" s="1">
        <v>45032</v>
      </c>
      <c r="D398">
        <v>2023</v>
      </c>
      <c r="E398" t="s">
        <v>214</v>
      </c>
      <c r="F398" t="s">
        <v>209</v>
      </c>
      <c r="G398" t="s">
        <v>212</v>
      </c>
      <c r="H398" t="s">
        <v>192</v>
      </c>
      <c r="I398">
        <v>2</v>
      </c>
      <c r="J398">
        <v>543.25</v>
      </c>
      <c r="K398">
        <v>0</v>
      </c>
      <c r="L398" t="s">
        <v>210</v>
      </c>
      <c r="M398">
        <v>1</v>
      </c>
    </row>
    <row r="399" spans="1:13" x14ac:dyDescent="0.3">
      <c r="A399" t="s">
        <v>608</v>
      </c>
      <c r="B399">
        <v>23</v>
      </c>
      <c r="C399" s="1">
        <v>45393</v>
      </c>
      <c r="D399">
        <v>2024</v>
      </c>
      <c r="E399" t="s">
        <v>198</v>
      </c>
      <c r="F399" t="s">
        <v>199</v>
      </c>
      <c r="G399" t="s">
        <v>191</v>
      </c>
      <c r="H399" t="s">
        <v>195</v>
      </c>
      <c r="I399">
        <v>3</v>
      </c>
      <c r="J399">
        <v>3138.49</v>
      </c>
      <c r="K399">
        <v>1</v>
      </c>
      <c r="L399" t="s">
        <v>196</v>
      </c>
      <c r="M399">
        <v>1</v>
      </c>
    </row>
    <row r="400" spans="1:13" x14ac:dyDescent="0.3">
      <c r="A400" t="s">
        <v>609</v>
      </c>
      <c r="B400">
        <v>23</v>
      </c>
      <c r="C400" s="1">
        <v>45931</v>
      </c>
      <c r="D400">
        <v>2025</v>
      </c>
      <c r="E400" t="s">
        <v>219</v>
      </c>
      <c r="F400" t="s">
        <v>12</v>
      </c>
      <c r="G400" t="s">
        <v>212</v>
      </c>
      <c r="H400" t="s">
        <v>204</v>
      </c>
      <c r="I400">
        <v>10</v>
      </c>
      <c r="J400">
        <v>906.47</v>
      </c>
      <c r="K400">
        <v>0</v>
      </c>
      <c r="L400" t="s">
        <v>215</v>
      </c>
      <c r="M400">
        <v>1</v>
      </c>
    </row>
    <row r="401" spans="1:13" x14ac:dyDescent="0.3">
      <c r="A401" t="s">
        <v>610</v>
      </c>
      <c r="B401">
        <v>23</v>
      </c>
      <c r="C401" s="1">
        <v>45702</v>
      </c>
      <c r="D401">
        <v>2025</v>
      </c>
      <c r="E401" t="s">
        <v>219</v>
      </c>
      <c r="F401" t="s">
        <v>209</v>
      </c>
      <c r="G401" t="s">
        <v>212</v>
      </c>
      <c r="H401" t="s">
        <v>195</v>
      </c>
      <c r="I401">
        <v>14</v>
      </c>
      <c r="J401">
        <v>39.11</v>
      </c>
      <c r="K401">
        <v>0</v>
      </c>
      <c r="L401" t="s">
        <v>215</v>
      </c>
      <c r="M401">
        <v>1</v>
      </c>
    </row>
    <row r="402" spans="1:13" x14ac:dyDescent="0.3">
      <c r="A402" t="s">
        <v>611</v>
      </c>
      <c r="B402">
        <v>23</v>
      </c>
      <c r="C402" s="1">
        <v>45824</v>
      </c>
      <c r="D402">
        <v>2025</v>
      </c>
      <c r="E402" t="s">
        <v>225</v>
      </c>
      <c r="F402" t="s">
        <v>13</v>
      </c>
      <c r="G402" t="s">
        <v>191</v>
      </c>
      <c r="H402" t="s">
        <v>195</v>
      </c>
      <c r="I402">
        <v>9</v>
      </c>
      <c r="J402">
        <v>1363.03</v>
      </c>
      <c r="K402">
        <v>0</v>
      </c>
      <c r="L402" t="s">
        <v>196</v>
      </c>
      <c r="M402">
        <v>0</v>
      </c>
    </row>
    <row r="403" spans="1:13" x14ac:dyDescent="0.3">
      <c r="A403" t="s">
        <v>612</v>
      </c>
      <c r="B403">
        <v>24</v>
      </c>
      <c r="C403" s="1">
        <v>44518</v>
      </c>
      <c r="D403">
        <v>2021</v>
      </c>
      <c r="E403" t="s">
        <v>214</v>
      </c>
      <c r="F403" t="s">
        <v>209</v>
      </c>
      <c r="G403" t="s">
        <v>203</v>
      </c>
      <c r="H403" t="s">
        <v>195</v>
      </c>
      <c r="I403">
        <v>3</v>
      </c>
      <c r="J403">
        <v>335.8</v>
      </c>
      <c r="K403">
        <v>0</v>
      </c>
      <c r="L403" t="s">
        <v>215</v>
      </c>
      <c r="M403">
        <v>0</v>
      </c>
    </row>
    <row r="404" spans="1:13" x14ac:dyDescent="0.3">
      <c r="A404" t="s">
        <v>613</v>
      </c>
      <c r="B404">
        <v>24</v>
      </c>
      <c r="C404" s="1">
        <v>44543</v>
      </c>
      <c r="D404">
        <v>2021</v>
      </c>
      <c r="E404" t="s">
        <v>198</v>
      </c>
      <c r="F404" t="s">
        <v>209</v>
      </c>
      <c r="G404" t="s">
        <v>203</v>
      </c>
      <c r="H404" t="s">
        <v>195</v>
      </c>
      <c r="I404">
        <v>15</v>
      </c>
      <c r="J404">
        <v>351.34</v>
      </c>
      <c r="K404">
        <v>1</v>
      </c>
      <c r="L404" t="s">
        <v>210</v>
      </c>
      <c r="M404">
        <v>0</v>
      </c>
    </row>
    <row r="405" spans="1:13" x14ac:dyDescent="0.3">
      <c r="A405" t="s">
        <v>614</v>
      </c>
      <c r="B405">
        <v>24</v>
      </c>
      <c r="C405" s="1">
        <v>44314</v>
      </c>
      <c r="D405">
        <v>2021</v>
      </c>
      <c r="E405" t="s">
        <v>214</v>
      </c>
      <c r="F405" t="s">
        <v>13</v>
      </c>
      <c r="G405" t="s">
        <v>203</v>
      </c>
      <c r="H405" t="s">
        <v>204</v>
      </c>
      <c r="I405">
        <v>15</v>
      </c>
      <c r="J405">
        <v>2659.1</v>
      </c>
      <c r="K405">
        <v>0</v>
      </c>
      <c r="L405" t="s">
        <v>201</v>
      </c>
      <c r="M405">
        <v>0</v>
      </c>
    </row>
    <row r="406" spans="1:13" x14ac:dyDescent="0.3">
      <c r="A406" t="s">
        <v>615</v>
      </c>
      <c r="B406">
        <v>24</v>
      </c>
      <c r="C406" s="1">
        <v>44505</v>
      </c>
      <c r="D406">
        <v>2021</v>
      </c>
      <c r="E406" t="s">
        <v>214</v>
      </c>
      <c r="F406" t="s">
        <v>13</v>
      </c>
      <c r="G406" t="s">
        <v>191</v>
      </c>
      <c r="H406" t="s">
        <v>204</v>
      </c>
      <c r="I406">
        <v>8</v>
      </c>
      <c r="J406">
        <v>1494.2</v>
      </c>
      <c r="K406">
        <v>0</v>
      </c>
      <c r="L406" t="s">
        <v>215</v>
      </c>
      <c r="M406">
        <v>0</v>
      </c>
    </row>
    <row r="407" spans="1:13" x14ac:dyDescent="0.3">
      <c r="A407" t="s">
        <v>616</v>
      </c>
      <c r="B407">
        <v>24</v>
      </c>
      <c r="C407" s="1">
        <v>44313</v>
      </c>
      <c r="D407">
        <v>2021</v>
      </c>
      <c r="E407" t="s">
        <v>198</v>
      </c>
      <c r="F407" t="s">
        <v>199</v>
      </c>
      <c r="G407" t="s">
        <v>191</v>
      </c>
      <c r="H407" t="s">
        <v>192</v>
      </c>
      <c r="I407">
        <v>7</v>
      </c>
      <c r="J407">
        <v>6194.11</v>
      </c>
      <c r="K407">
        <v>1</v>
      </c>
      <c r="L407" t="s">
        <v>201</v>
      </c>
      <c r="M407">
        <v>0</v>
      </c>
    </row>
    <row r="408" spans="1:13" x14ac:dyDescent="0.3">
      <c r="A408" t="s">
        <v>617</v>
      </c>
      <c r="B408">
        <v>24</v>
      </c>
      <c r="C408" s="1">
        <v>44310</v>
      </c>
      <c r="D408">
        <v>2021</v>
      </c>
      <c r="E408" t="s">
        <v>214</v>
      </c>
      <c r="F408" t="s">
        <v>199</v>
      </c>
      <c r="G408" t="s">
        <v>203</v>
      </c>
      <c r="H408" t="s">
        <v>195</v>
      </c>
      <c r="I408">
        <v>9</v>
      </c>
      <c r="J408">
        <v>5994.39</v>
      </c>
      <c r="K408">
        <v>0</v>
      </c>
      <c r="L408" t="s">
        <v>196</v>
      </c>
      <c r="M408">
        <v>0</v>
      </c>
    </row>
    <row r="409" spans="1:13" x14ac:dyDescent="0.3">
      <c r="A409" t="s">
        <v>618</v>
      </c>
      <c r="B409">
        <v>24</v>
      </c>
      <c r="C409" s="1">
        <v>44762</v>
      </c>
      <c r="D409">
        <v>2022</v>
      </c>
      <c r="E409" t="s">
        <v>227</v>
      </c>
      <c r="F409" t="s">
        <v>209</v>
      </c>
      <c r="G409" t="s">
        <v>200</v>
      </c>
      <c r="H409" t="s">
        <v>204</v>
      </c>
      <c r="I409">
        <v>5</v>
      </c>
      <c r="J409">
        <v>87.34</v>
      </c>
      <c r="K409">
        <v>0</v>
      </c>
      <c r="L409" t="s">
        <v>210</v>
      </c>
      <c r="M409">
        <v>0</v>
      </c>
    </row>
    <row r="410" spans="1:13" x14ac:dyDescent="0.3">
      <c r="A410" t="s">
        <v>619</v>
      </c>
      <c r="B410">
        <v>24</v>
      </c>
      <c r="C410" s="1">
        <v>45256</v>
      </c>
      <c r="D410">
        <v>2023</v>
      </c>
      <c r="E410" t="s">
        <v>225</v>
      </c>
      <c r="F410" t="s">
        <v>13</v>
      </c>
      <c r="G410" t="s">
        <v>191</v>
      </c>
      <c r="H410" t="s">
        <v>206</v>
      </c>
      <c r="I410">
        <v>11</v>
      </c>
      <c r="J410">
        <v>2409.7399999999998</v>
      </c>
      <c r="K410">
        <v>0</v>
      </c>
      <c r="L410" t="s">
        <v>196</v>
      </c>
      <c r="M410">
        <v>1</v>
      </c>
    </row>
    <row r="411" spans="1:13" x14ac:dyDescent="0.3">
      <c r="A411" t="s">
        <v>620</v>
      </c>
      <c r="B411">
        <v>24</v>
      </c>
      <c r="C411" s="1">
        <v>45222</v>
      </c>
      <c r="D411">
        <v>2023</v>
      </c>
      <c r="E411" t="s">
        <v>190</v>
      </c>
      <c r="F411" t="s">
        <v>12</v>
      </c>
      <c r="G411" t="s">
        <v>200</v>
      </c>
      <c r="H411" t="s">
        <v>192</v>
      </c>
      <c r="I411">
        <v>8</v>
      </c>
      <c r="J411">
        <v>1114.28</v>
      </c>
      <c r="K411">
        <v>0</v>
      </c>
      <c r="L411" t="s">
        <v>215</v>
      </c>
      <c r="M411">
        <v>0</v>
      </c>
    </row>
    <row r="412" spans="1:13" x14ac:dyDescent="0.3">
      <c r="A412" t="s">
        <v>621</v>
      </c>
      <c r="B412">
        <v>24</v>
      </c>
      <c r="C412" s="1">
        <v>45433</v>
      </c>
      <c r="D412">
        <v>2024</v>
      </c>
      <c r="E412" t="s">
        <v>214</v>
      </c>
      <c r="F412" t="s">
        <v>209</v>
      </c>
      <c r="G412" t="s">
        <v>212</v>
      </c>
      <c r="H412" t="s">
        <v>192</v>
      </c>
      <c r="I412">
        <v>12</v>
      </c>
      <c r="J412">
        <v>187.83</v>
      </c>
      <c r="K412">
        <v>0</v>
      </c>
      <c r="L412" t="s">
        <v>201</v>
      </c>
      <c r="M412">
        <v>1</v>
      </c>
    </row>
    <row r="413" spans="1:13" x14ac:dyDescent="0.3">
      <c r="A413" t="s">
        <v>622</v>
      </c>
      <c r="B413">
        <v>24</v>
      </c>
      <c r="C413" s="1">
        <v>45759</v>
      </c>
      <c r="D413">
        <v>2025</v>
      </c>
      <c r="E413" t="s">
        <v>214</v>
      </c>
      <c r="F413" t="s">
        <v>12</v>
      </c>
      <c r="G413" t="s">
        <v>203</v>
      </c>
      <c r="H413" t="s">
        <v>195</v>
      </c>
      <c r="I413">
        <v>9</v>
      </c>
      <c r="J413">
        <v>1087.1099999999999</v>
      </c>
      <c r="K413">
        <v>0</v>
      </c>
      <c r="L413" t="s">
        <v>193</v>
      </c>
      <c r="M413">
        <v>1</v>
      </c>
    </row>
    <row r="414" spans="1:13" x14ac:dyDescent="0.3">
      <c r="A414" t="s">
        <v>623</v>
      </c>
      <c r="B414">
        <v>24</v>
      </c>
      <c r="C414" s="1">
        <v>46001</v>
      </c>
      <c r="D414">
        <v>2025</v>
      </c>
      <c r="E414" t="s">
        <v>198</v>
      </c>
      <c r="F414" t="s">
        <v>12</v>
      </c>
      <c r="G414" t="s">
        <v>212</v>
      </c>
      <c r="H414" t="s">
        <v>204</v>
      </c>
      <c r="I414">
        <v>2</v>
      </c>
      <c r="J414">
        <v>828.36</v>
      </c>
      <c r="K414">
        <v>1</v>
      </c>
      <c r="L414" t="s">
        <v>215</v>
      </c>
      <c r="M414">
        <v>1</v>
      </c>
    </row>
    <row r="415" spans="1:13" x14ac:dyDescent="0.3">
      <c r="A415" t="s">
        <v>624</v>
      </c>
      <c r="B415">
        <v>24</v>
      </c>
      <c r="C415" s="1">
        <v>46001</v>
      </c>
      <c r="D415">
        <v>2025</v>
      </c>
      <c r="E415" t="s">
        <v>214</v>
      </c>
      <c r="F415" t="s">
        <v>13</v>
      </c>
      <c r="G415" t="s">
        <v>200</v>
      </c>
      <c r="H415" t="s">
        <v>195</v>
      </c>
      <c r="I415">
        <v>7</v>
      </c>
      <c r="J415">
        <v>2490.87</v>
      </c>
      <c r="K415">
        <v>0</v>
      </c>
      <c r="L415" t="s">
        <v>193</v>
      </c>
      <c r="M415">
        <v>0</v>
      </c>
    </row>
    <row r="416" spans="1:13" x14ac:dyDescent="0.3">
      <c r="A416" t="s">
        <v>625</v>
      </c>
      <c r="B416">
        <v>25</v>
      </c>
      <c r="C416" s="1">
        <v>44426</v>
      </c>
      <c r="D416">
        <v>2021</v>
      </c>
      <c r="E416" t="s">
        <v>225</v>
      </c>
      <c r="F416" t="s">
        <v>209</v>
      </c>
      <c r="G416" t="s">
        <v>200</v>
      </c>
      <c r="H416" t="s">
        <v>204</v>
      </c>
      <c r="I416">
        <v>5</v>
      </c>
      <c r="J416">
        <v>225.94</v>
      </c>
      <c r="K416">
        <v>0</v>
      </c>
      <c r="L416" t="s">
        <v>215</v>
      </c>
      <c r="M416">
        <v>0</v>
      </c>
    </row>
    <row r="417" spans="1:13" x14ac:dyDescent="0.3">
      <c r="A417" t="s">
        <v>626</v>
      </c>
      <c r="B417">
        <v>25</v>
      </c>
      <c r="C417" s="1">
        <v>44332</v>
      </c>
      <c r="D417">
        <v>2021</v>
      </c>
      <c r="E417" t="s">
        <v>219</v>
      </c>
      <c r="F417" t="s">
        <v>199</v>
      </c>
      <c r="G417" t="s">
        <v>212</v>
      </c>
      <c r="H417" t="s">
        <v>195</v>
      </c>
      <c r="I417">
        <v>1</v>
      </c>
      <c r="J417">
        <v>5621</v>
      </c>
      <c r="K417">
        <v>0</v>
      </c>
      <c r="L417" t="s">
        <v>193</v>
      </c>
      <c r="M417">
        <v>1</v>
      </c>
    </row>
    <row r="418" spans="1:13" x14ac:dyDescent="0.3">
      <c r="A418" t="s">
        <v>627</v>
      </c>
      <c r="B418">
        <v>25</v>
      </c>
      <c r="C418" s="1">
        <v>44398</v>
      </c>
      <c r="D418">
        <v>2021</v>
      </c>
      <c r="E418" t="s">
        <v>287</v>
      </c>
      <c r="F418" t="s">
        <v>12</v>
      </c>
      <c r="G418" t="s">
        <v>212</v>
      </c>
      <c r="H418" t="s">
        <v>195</v>
      </c>
      <c r="I418">
        <v>4</v>
      </c>
      <c r="J418">
        <v>399.31</v>
      </c>
      <c r="K418">
        <v>0</v>
      </c>
      <c r="L418" t="s">
        <v>201</v>
      </c>
      <c r="M418">
        <v>1</v>
      </c>
    </row>
    <row r="419" spans="1:13" x14ac:dyDescent="0.3">
      <c r="A419" t="s">
        <v>628</v>
      </c>
      <c r="B419">
        <v>25</v>
      </c>
      <c r="C419" s="1">
        <v>44589</v>
      </c>
      <c r="D419">
        <v>2022</v>
      </c>
      <c r="E419" t="s">
        <v>214</v>
      </c>
      <c r="F419" t="s">
        <v>209</v>
      </c>
      <c r="G419" t="s">
        <v>212</v>
      </c>
      <c r="H419" t="s">
        <v>192</v>
      </c>
      <c r="I419">
        <v>7</v>
      </c>
      <c r="J419">
        <v>57.53</v>
      </c>
      <c r="K419">
        <v>0</v>
      </c>
      <c r="L419" t="s">
        <v>215</v>
      </c>
      <c r="M419">
        <v>1</v>
      </c>
    </row>
    <row r="420" spans="1:13" x14ac:dyDescent="0.3">
      <c r="A420" t="s">
        <v>629</v>
      </c>
      <c r="B420">
        <v>25</v>
      </c>
      <c r="C420" s="1">
        <v>45249</v>
      </c>
      <c r="D420">
        <v>2023</v>
      </c>
      <c r="E420" t="s">
        <v>214</v>
      </c>
      <c r="F420" t="s">
        <v>209</v>
      </c>
      <c r="G420" t="s">
        <v>191</v>
      </c>
      <c r="H420" t="s">
        <v>195</v>
      </c>
      <c r="I420">
        <v>4</v>
      </c>
      <c r="J420">
        <v>170.51</v>
      </c>
      <c r="K420">
        <v>0</v>
      </c>
      <c r="L420" t="s">
        <v>210</v>
      </c>
      <c r="M420">
        <v>0</v>
      </c>
    </row>
    <row r="421" spans="1:13" x14ac:dyDescent="0.3">
      <c r="A421" t="s">
        <v>630</v>
      </c>
      <c r="B421">
        <v>25</v>
      </c>
      <c r="C421" s="1">
        <v>45547</v>
      </c>
      <c r="D421">
        <v>2024</v>
      </c>
      <c r="E421" t="s">
        <v>198</v>
      </c>
      <c r="F421" t="s">
        <v>199</v>
      </c>
      <c r="G421" t="s">
        <v>191</v>
      </c>
      <c r="H421" t="s">
        <v>206</v>
      </c>
      <c r="I421">
        <v>8</v>
      </c>
      <c r="J421">
        <v>7815.2</v>
      </c>
      <c r="K421">
        <v>1</v>
      </c>
      <c r="L421" t="s">
        <v>201</v>
      </c>
      <c r="M421">
        <v>0</v>
      </c>
    </row>
    <row r="422" spans="1:13" x14ac:dyDescent="0.3">
      <c r="A422" t="s">
        <v>631</v>
      </c>
      <c r="B422">
        <v>25</v>
      </c>
      <c r="C422" s="1">
        <v>45354</v>
      </c>
      <c r="D422">
        <v>2024</v>
      </c>
      <c r="E422" t="s">
        <v>219</v>
      </c>
      <c r="F422" t="s">
        <v>12</v>
      </c>
      <c r="G422" t="s">
        <v>191</v>
      </c>
      <c r="H422" t="s">
        <v>195</v>
      </c>
      <c r="I422">
        <v>6</v>
      </c>
      <c r="J422">
        <v>405.7</v>
      </c>
      <c r="K422">
        <v>0</v>
      </c>
      <c r="L422" t="s">
        <v>210</v>
      </c>
      <c r="M422">
        <v>0</v>
      </c>
    </row>
    <row r="423" spans="1:13" x14ac:dyDescent="0.3">
      <c r="A423" t="s">
        <v>632</v>
      </c>
      <c r="B423">
        <v>25</v>
      </c>
      <c r="C423" s="1">
        <v>45724</v>
      </c>
      <c r="D423">
        <v>2025</v>
      </c>
      <c r="E423" t="s">
        <v>198</v>
      </c>
      <c r="F423" t="s">
        <v>209</v>
      </c>
      <c r="G423" t="s">
        <v>212</v>
      </c>
      <c r="H423" t="s">
        <v>195</v>
      </c>
      <c r="I423">
        <v>5</v>
      </c>
      <c r="J423">
        <v>509.75</v>
      </c>
      <c r="K423">
        <v>1</v>
      </c>
      <c r="L423" t="s">
        <v>210</v>
      </c>
      <c r="M423">
        <v>1</v>
      </c>
    </row>
    <row r="424" spans="1:13" x14ac:dyDescent="0.3">
      <c r="A424" t="s">
        <v>633</v>
      </c>
      <c r="B424">
        <v>25</v>
      </c>
      <c r="C424" s="1">
        <v>45702</v>
      </c>
      <c r="D424">
        <v>2025</v>
      </c>
      <c r="E424" t="s">
        <v>225</v>
      </c>
      <c r="F424" t="s">
        <v>13</v>
      </c>
      <c r="G424" t="s">
        <v>212</v>
      </c>
      <c r="H424" t="s">
        <v>195</v>
      </c>
      <c r="I424">
        <v>16</v>
      </c>
      <c r="J424">
        <v>2623.79</v>
      </c>
      <c r="K424">
        <v>0</v>
      </c>
      <c r="L424" t="s">
        <v>201</v>
      </c>
      <c r="M424">
        <v>1</v>
      </c>
    </row>
    <row r="425" spans="1:13" x14ac:dyDescent="0.3">
      <c r="A425" t="s">
        <v>634</v>
      </c>
      <c r="B425">
        <v>25</v>
      </c>
      <c r="C425" s="1">
        <v>45883</v>
      </c>
      <c r="D425">
        <v>2025</v>
      </c>
      <c r="E425" t="s">
        <v>219</v>
      </c>
      <c r="F425" t="s">
        <v>12</v>
      </c>
      <c r="G425" t="s">
        <v>212</v>
      </c>
      <c r="H425" t="s">
        <v>195</v>
      </c>
      <c r="I425">
        <v>13</v>
      </c>
      <c r="J425">
        <v>1008.19</v>
      </c>
      <c r="K425">
        <v>0</v>
      </c>
      <c r="L425" t="s">
        <v>210</v>
      </c>
      <c r="M425">
        <v>1</v>
      </c>
    </row>
    <row r="426" spans="1:13" x14ac:dyDescent="0.3">
      <c r="A426" t="s">
        <v>635</v>
      </c>
      <c r="B426">
        <v>25</v>
      </c>
      <c r="C426" s="1">
        <v>45957</v>
      </c>
      <c r="D426">
        <v>2025</v>
      </c>
      <c r="E426" t="s">
        <v>225</v>
      </c>
      <c r="F426" t="s">
        <v>13</v>
      </c>
      <c r="G426" t="s">
        <v>203</v>
      </c>
      <c r="H426" t="s">
        <v>195</v>
      </c>
      <c r="I426">
        <v>5</v>
      </c>
      <c r="J426">
        <v>1746.3</v>
      </c>
      <c r="K426">
        <v>1</v>
      </c>
      <c r="L426" t="s">
        <v>193</v>
      </c>
      <c r="M426">
        <v>0</v>
      </c>
    </row>
    <row r="427" spans="1:13" x14ac:dyDescent="0.3">
      <c r="A427" t="s">
        <v>636</v>
      </c>
      <c r="B427">
        <v>26</v>
      </c>
      <c r="C427" s="1">
        <v>44218</v>
      </c>
      <c r="D427">
        <v>2021</v>
      </c>
      <c r="E427" t="s">
        <v>214</v>
      </c>
      <c r="F427" t="s">
        <v>13</v>
      </c>
      <c r="G427" t="s">
        <v>191</v>
      </c>
      <c r="H427" t="s">
        <v>195</v>
      </c>
      <c r="I427">
        <v>10</v>
      </c>
      <c r="J427">
        <v>2035.55</v>
      </c>
      <c r="K427">
        <v>0</v>
      </c>
      <c r="L427" t="s">
        <v>201</v>
      </c>
      <c r="M427">
        <v>1</v>
      </c>
    </row>
    <row r="428" spans="1:13" x14ac:dyDescent="0.3">
      <c r="A428" t="s">
        <v>637</v>
      </c>
      <c r="B428">
        <v>26</v>
      </c>
      <c r="C428" s="1">
        <v>44380</v>
      </c>
      <c r="D428">
        <v>2021</v>
      </c>
      <c r="E428" t="s">
        <v>214</v>
      </c>
      <c r="F428" t="s">
        <v>12</v>
      </c>
      <c r="G428" t="s">
        <v>203</v>
      </c>
      <c r="H428" t="s">
        <v>206</v>
      </c>
      <c r="I428">
        <v>10</v>
      </c>
      <c r="J428">
        <v>523.91999999999996</v>
      </c>
      <c r="K428">
        <v>0</v>
      </c>
      <c r="L428" t="s">
        <v>215</v>
      </c>
      <c r="M428">
        <v>0</v>
      </c>
    </row>
    <row r="429" spans="1:13" x14ac:dyDescent="0.3">
      <c r="A429" t="s">
        <v>638</v>
      </c>
      <c r="B429">
        <v>26</v>
      </c>
      <c r="C429" s="1">
        <v>44314</v>
      </c>
      <c r="D429">
        <v>2021</v>
      </c>
      <c r="E429" t="s">
        <v>198</v>
      </c>
      <c r="F429" t="s">
        <v>13</v>
      </c>
      <c r="G429" t="s">
        <v>200</v>
      </c>
      <c r="H429" t="s">
        <v>204</v>
      </c>
      <c r="I429">
        <v>2</v>
      </c>
      <c r="J429">
        <v>1277.1300000000001</v>
      </c>
      <c r="K429">
        <v>1</v>
      </c>
      <c r="L429" t="s">
        <v>210</v>
      </c>
      <c r="M429">
        <v>0</v>
      </c>
    </row>
    <row r="430" spans="1:13" x14ac:dyDescent="0.3">
      <c r="A430" t="s">
        <v>639</v>
      </c>
      <c r="B430">
        <v>26</v>
      </c>
      <c r="C430" s="1">
        <v>44331</v>
      </c>
      <c r="D430">
        <v>2021</v>
      </c>
      <c r="E430" t="s">
        <v>198</v>
      </c>
      <c r="F430" t="s">
        <v>13</v>
      </c>
      <c r="G430" t="s">
        <v>203</v>
      </c>
      <c r="H430" t="s">
        <v>195</v>
      </c>
      <c r="I430">
        <v>3</v>
      </c>
      <c r="J430">
        <v>2561.52</v>
      </c>
      <c r="K430">
        <v>1</v>
      </c>
      <c r="L430" t="s">
        <v>201</v>
      </c>
      <c r="M430">
        <v>0</v>
      </c>
    </row>
    <row r="431" spans="1:13" x14ac:dyDescent="0.3">
      <c r="A431" t="s">
        <v>640</v>
      </c>
      <c r="B431">
        <v>26</v>
      </c>
      <c r="C431" s="1">
        <v>44526</v>
      </c>
      <c r="D431">
        <v>2021</v>
      </c>
      <c r="E431" t="s">
        <v>190</v>
      </c>
      <c r="F431" t="s">
        <v>199</v>
      </c>
      <c r="G431" t="s">
        <v>203</v>
      </c>
      <c r="H431" t="s">
        <v>195</v>
      </c>
      <c r="I431">
        <v>16</v>
      </c>
      <c r="J431">
        <v>7422.07</v>
      </c>
      <c r="K431">
        <v>1</v>
      </c>
      <c r="L431" t="s">
        <v>196</v>
      </c>
      <c r="M431">
        <v>0</v>
      </c>
    </row>
    <row r="432" spans="1:13" x14ac:dyDescent="0.3">
      <c r="A432" t="s">
        <v>641</v>
      </c>
      <c r="B432">
        <v>26</v>
      </c>
      <c r="C432" s="1">
        <v>44533</v>
      </c>
      <c r="D432">
        <v>2021</v>
      </c>
      <c r="E432" t="s">
        <v>198</v>
      </c>
      <c r="F432" t="s">
        <v>12</v>
      </c>
      <c r="G432" t="s">
        <v>203</v>
      </c>
      <c r="H432" t="s">
        <v>204</v>
      </c>
      <c r="I432">
        <v>14</v>
      </c>
      <c r="J432">
        <v>828.17</v>
      </c>
      <c r="K432">
        <v>1</v>
      </c>
      <c r="L432" t="s">
        <v>215</v>
      </c>
      <c r="M432">
        <v>0</v>
      </c>
    </row>
    <row r="433" spans="1:13" x14ac:dyDescent="0.3">
      <c r="A433" t="s">
        <v>642</v>
      </c>
      <c r="B433">
        <v>26</v>
      </c>
      <c r="C433" s="1">
        <v>44677</v>
      </c>
      <c r="D433">
        <v>2022</v>
      </c>
      <c r="E433" t="s">
        <v>227</v>
      </c>
      <c r="F433" t="s">
        <v>199</v>
      </c>
      <c r="G433" t="s">
        <v>191</v>
      </c>
      <c r="H433" t="s">
        <v>206</v>
      </c>
      <c r="I433">
        <v>2</v>
      </c>
      <c r="J433">
        <v>2613.9499999999998</v>
      </c>
      <c r="K433">
        <v>0</v>
      </c>
      <c r="L433" t="s">
        <v>193</v>
      </c>
      <c r="M433">
        <v>0</v>
      </c>
    </row>
    <row r="434" spans="1:13" x14ac:dyDescent="0.3">
      <c r="A434" t="s">
        <v>643</v>
      </c>
      <c r="B434">
        <v>26</v>
      </c>
      <c r="C434" s="1">
        <v>44577</v>
      </c>
      <c r="D434">
        <v>2022</v>
      </c>
      <c r="E434" t="s">
        <v>214</v>
      </c>
      <c r="F434" t="s">
        <v>12</v>
      </c>
      <c r="G434" t="s">
        <v>191</v>
      </c>
      <c r="H434" t="s">
        <v>195</v>
      </c>
      <c r="I434">
        <v>5</v>
      </c>
      <c r="J434">
        <v>967.33</v>
      </c>
      <c r="K434">
        <v>0</v>
      </c>
      <c r="L434" t="s">
        <v>210</v>
      </c>
      <c r="M434">
        <v>0</v>
      </c>
    </row>
    <row r="435" spans="1:13" x14ac:dyDescent="0.3">
      <c r="A435" t="s">
        <v>644</v>
      </c>
      <c r="B435">
        <v>26</v>
      </c>
      <c r="C435" s="1">
        <v>44615</v>
      </c>
      <c r="D435">
        <v>2022</v>
      </c>
      <c r="E435" t="s">
        <v>214</v>
      </c>
      <c r="F435" t="s">
        <v>13</v>
      </c>
      <c r="G435" t="s">
        <v>191</v>
      </c>
      <c r="H435" t="s">
        <v>195</v>
      </c>
      <c r="I435">
        <v>9</v>
      </c>
      <c r="J435">
        <v>2132.2800000000002</v>
      </c>
      <c r="K435">
        <v>0</v>
      </c>
      <c r="L435" t="s">
        <v>215</v>
      </c>
      <c r="M435">
        <v>1</v>
      </c>
    </row>
    <row r="436" spans="1:13" x14ac:dyDescent="0.3">
      <c r="A436" t="s">
        <v>645</v>
      </c>
      <c r="B436">
        <v>26</v>
      </c>
      <c r="C436" s="1">
        <v>44890</v>
      </c>
      <c r="D436">
        <v>2022</v>
      </c>
      <c r="E436" t="s">
        <v>225</v>
      </c>
      <c r="F436" t="s">
        <v>13</v>
      </c>
      <c r="G436" t="s">
        <v>203</v>
      </c>
      <c r="H436" t="s">
        <v>192</v>
      </c>
      <c r="I436">
        <v>7</v>
      </c>
      <c r="J436">
        <v>3886.31</v>
      </c>
      <c r="K436">
        <v>0</v>
      </c>
      <c r="L436" t="s">
        <v>193</v>
      </c>
      <c r="M436">
        <v>0</v>
      </c>
    </row>
    <row r="437" spans="1:13" x14ac:dyDescent="0.3">
      <c r="A437" t="s">
        <v>646</v>
      </c>
      <c r="B437">
        <v>26</v>
      </c>
      <c r="C437" s="1">
        <v>45063</v>
      </c>
      <c r="D437">
        <v>2023</v>
      </c>
      <c r="E437" t="s">
        <v>287</v>
      </c>
      <c r="F437" t="s">
        <v>12</v>
      </c>
      <c r="G437" t="s">
        <v>191</v>
      </c>
      <c r="H437" t="s">
        <v>195</v>
      </c>
      <c r="I437">
        <v>19</v>
      </c>
      <c r="J437">
        <v>295.52</v>
      </c>
      <c r="K437">
        <v>0</v>
      </c>
      <c r="L437" t="s">
        <v>215</v>
      </c>
      <c r="M437">
        <v>1</v>
      </c>
    </row>
    <row r="438" spans="1:13" x14ac:dyDescent="0.3">
      <c r="A438" t="s">
        <v>647</v>
      </c>
      <c r="B438">
        <v>26</v>
      </c>
      <c r="C438" s="1">
        <v>44977</v>
      </c>
      <c r="D438">
        <v>2023</v>
      </c>
      <c r="E438" t="s">
        <v>198</v>
      </c>
      <c r="F438" t="s">
        <v>13</v>
      </c>
      <c r="G438" t="s">
        <v>203</v>
      </c>
      <c r="H438" t="s">
        <v>195</v>
      </c>
      <c r="I438">
        <v>13</v>
      </c>
      <c r="J438">
        <v>1048.1199999999999</v>
      </c>
      <c r="K438">
        <v>1</v>
      </c>
      <c r="L438" t="s">
        <v>201</v>
      </c>
      <c r="M438">
        <v>0</v>
      </c>
    </row>
    <row r="439" spans="1:13" x14ac:dyDescent="0.3">
      <c r="A439" t="s">
        <v>648</v>
      </c>
      <c r="B439">
        <v>26</v>
      </c>
      <c r="C439" s="1">
        <v>45225</v>
      </c>
      <c r="D439">
        <v>2023</v>
      </c>
      <c r="E439" t="s">
        <v>190</v>
      </c>
      <c r="F439" t="s">
        <v>12</v>
      </c>
      <c r="G439" t="s">
        <v>212</v>
      </c>
      <c r="H439" t="s">
        <v>192</v>
      </c>
      <c r="I439">
        <v>17</v>
      </c>
      <c r="J439">
        <v>427.89</v>
      </c>
      <c r="K439">
        <v>0</v>
      </c>
      <c r="L439" t="s">
        <v>201</v>
      </c>
      <c r="M439">
        <v>1</v>
      </c>
    </row>
    <row r="440" spans="1:13" x14ac:dyDescent="0.3">
      <c r="A440" t="s">
        <v>649</v>
      </c>
      <c r="B440">
        <v>26</v>
      </c>
      <c r="C440" s="1">
        <v>45062</v>
      </c>
      <c r="D440">
        <v>2023</v>
      </c>
      <c r="E440" t="s">
        <v>225</v>
      </c>
      <c r="F440" t="s">
        <v>13</v>
      </c>
      <c r="G440" t="s">
        <v>203</v>
      </c>
      <c r="H440" t="s">
        <v>192</v>
      </c>
      <c r="I440">
        <v>5</v>
      </c>
      <c r="J440">
        <v>1391.24</v>
      </c>
      <c r="K440">
        <v>0</v>
      </c>
      <c r="L440" t="s">
        <v>201</v>
      </c>
      <c r="M440">
        <v>0</v>
      </c>
    </row>
    <row r="441" spans="1:13" x14ac:dyDescent="0.3">
      <c r="A441" t="s">
        <v>650</v>
      </c>
      <c r="B441">
        <v>26</v>
      </c>
      <c r="C441" s="1">
        <v>45234</v>
      </c>
      <c r="D441">
        <v>2023</v>
      </c>
      <c r="E441" t="s">
        <v>214</v>
      </c>
      <c r="F441" t="s">
        <v>209</v>
      </c>
      <c r="G441" t="s">
        <v>212</v>
      </c>
      <c r="H441" t="s">
        <v>195</v>
      </c>
      <c r="I441">
        <v>12</v>
      </c>
      <c r="J441">
        <v>392.06</v>
      </c>
      <c r="K441">
        <v>0</v>
      </c>
      <c r="L441" t="s">
        <v>215</v>
      </c>
      <c r="M441">
        <v>1</v>
      </c>
    </row>
    <row r="442" spans="1:13" x14ac:dyDescent="0.3">
      <c r="A442" t="s">
        <v>651</v>
      </c>
      <c r="B442">
        <v>26</v>
      </c>
      <c r="C442" s="1">
        <v>45104</v>
      </c>
      <c r="D442">
        <v>2023</v>
      </c>
      <c r="E442" t="s">
        <v>219</v>
      </c>
      <c r="F442" t="s">
        <v>13</v>
      </c>
      <c r="G442" t="s">
        <v>191</v>
      </c>
      <c r="H442" t="s">
        <v>195</v>
      </c>
      <c r="I442">
        <v>5</v>
      </c>
      <c r="J442">
        <v>2438.38</v>
      </c>
      <c r="K442">
        <v>0</v>
      </c>
      <c r="L442" t="s">
        <v>196</v>
      </c>
      <c r="M442">
        <v>1</v>
      </c>
    </row>
    <row r="443" spans="1:13" x14ac:dyDescent="0.3">
      <c r="A443" t="s">
        <v>652</v>
      </c>
      <c r="B443">
        <v>26</v>
      </c>
      <c r="C443" s="1">
        <v>45295</v>
      </c>
      <c r="D443">
        <v>2024</v>
      </c>
      <c r="E443" t="s">
        <v>214</v>
      </c>
      <c r="F443" t="s">
        <v>13</v>
      </c>
      <c r="G443" t="s">
        <v>203</v>
      </c>
      <c r="H443" t="s">
        <v>206</v>
      </c>
      <c r="I443">
        <v>1</v>
      </c>
      <c r="J443">
        <v>1656.08</v>
      </c>
      <c r="K443">
        <v>0</v>
      </c>
      <c r="L443" t="s">
        <v>215</v>
      </c>
      <c r="M443">
        <v>0</v>
      </c>
    </row>
    <row r="444" spans="1:13" x14ac:dyDescent="0.3">
      <c r="A444" t="s">
        <v>653</v>
      </c>
      <c r="B444">
        <v>26</v>
      </c>
      <c r="C444" s="1">
        <v>45580</v>
      </c>
      <c r="D444">
        <v>2024</v>
      </c>
      <c r="E444" t="s">
        <v>225</v>
      </c>
      <c r="F444" t="s">
        <v>12</v>
      </c>
      <c r="G444" t="s">
        <v>212</v>
      </c>
      <c r="H444" t="s">
        <v>192</v>
      </c>
      <c r="I444">
        <v>15</v>
      </c>
      <c r="J444">
        <v>982.03</v>
      </c>
      <c r="K444">
        <v>0</v>
      </c>
      <c r="L444" t="s">
        <v>210</v>
      </c>
      <c r="M444">
        <v>1</v>
      </c>
    </row>
    <row r="445" spans="1:13" x14ac:dyDescent="0.3">
      <c r="A445" t="s">
        <v>654</v>
      </c>
      <c r="B445">
        <v>26</v>
      </c>
      <c r="C445" s="1">
        <v>45498</v>
      </c>
      <c r="D445">
        <v>2024</v>
      </c>
      <c r="E445" t="s">
        <v>219</v>
      </c>
      <c r="F445" t="s">
        <v>13</v>
      </c>
      <c r="G445" t="s">
        <v>212</v>
      </c>
      <c r="H445" t="s">
        <v>192</v>
      </c>
      <c r="I445">
        <v>4</v>
      </c>
      <c r="J445">
        <v>2517.84</v>
      </c>
      <c r="K445">
        <v>0</v>
      </c>
      <c r="L445" t="s">
        <v>196</v>
      </c>
      <c r="M445">
        <v>1</v>
      </c>
    </row>
    <row r="446" spans="1:13" x14ac:dyDescent="0.3">
      <c r="A446" t="s">
        <v>655</v>
      </c>
      <c r="B446">
        <v>26</v>
      </c>
      <c r="C446" s="1">
        <v>45484</v>
      </c>
      <c r="D446">
        <v>2024</v>
      </c>
      <c r="E446" t="s">
        <v>190</v>
      </c>
      <c r="F446" t="s">
        <v>12</v>
      </c>
      <c r="G446" t="s">
        <v>212</v>
      </c>
      <c r="H446" t="s">
        <v>192</v>
      </c>
      <c r="I446">
        <v>3</v>
      </c>
      <c r="J446">
        <v>427.76</v>
      </c>
      <c r="K446">
        <v>0</v>
      </c>
      <c r="L446" t="s">
        <v>215</v>
      </c>
      <c r="M446">
        <v>1</v>
      </c>
    </row>
    <row r="447" spans="1:13" x14ac:dyDescent="0.3">
      <c r="A447" t="s">
        <v>656</v>
      </c>
      <c r="B447">
        <v>26</v>
      </c>
      <c r="C447" s="1">
        <v>45790</v>
      </c>
      <c r="D447">
        <v>2025</v>
      </c>
      <c r="E447" t="s">
        <v>198</v>
      </c>
      <c r="F447" t="s">
        <v>13</v>
      </c>
      <c r="G447" t="s">
        <v>200</v>
      </c>
      <c r="H447" t="s">
        <v>192</v>
      </c>
      <c r="I447">
        <v>4</v>
      </c>
      <c r="J447">
        <v>2252.77</v>
      </c>
      <c r="K447">
        <v>1</v>
      </c>
      <c r="L447" t="s">
        <v>193</v>
      </c>
      <c r="M447">
        <v>0</v>
      </c>
    </row>
    <row r="448" spans="1:13" x14ac:dyDescent="0.3">
      <c r="A448" t="s">
        <v>657</v>
      </c>
      <c r="B448">
        <v>26</v>
      </c>
      <c r="C448" s="1">
        <v>45784</v>
      </c>
      <c r="D448">
        <v>2025</v>
      </c>
      <c r="E448" t="s">
        <v>198</v>
      </c>
      <c r="F448" t="s">
        <v>209</v>
      </c>
      <c r="G448" t="s">
        <v>212</v>
      </c>
      <c r="H448" t="s">
        <v>206</v>
      </c>
      <c r="I448">
        <v>18</v>
      </c>
      <c r="J448">
        <v>39.65</v>
      </c>
      <c r="K448">
        <v>1</v>
      </c>
      <c r="L448" t="s">
        <v>201</v>
      </c>
      <c r="M448">
        <v>1</v>
      </c>
    </row>
    <row r="449" spans="1:13" x14ac:dyDescent="0.3">
      <c r="A449" t="s">
        <v>658</v>
      </c>
      <c r="B449">
        <v>26</v>
      </c>
      <c r="C449" s="1">
        <v>45977</v>
      </c>
      <c r="D449">
        <v>2025</v>
      </c>
      <c r="E449" t="s">
        <v>198</v>
      </c>
      <c r="F449" t="s">
        <v>13</v>
      </c>
      <c r="G449" t="s">
        <v>191</v>
      </c>
      <c r="H449" t="s">
        <v>195</v>
      </c>
      <c r="I449">
        <v>9</v>
      </c>
      <c r="J449">
        <v>3183.77</v>
      </c>
      <c r="K449">
        <v>1</v>
      </c>
      <c r="L449" t="s">
        <v>201</v>
      </c>
      <c r="M449">
        <v>1</v>
      </c>
    </row>
    <row r="450" spans="1:13" x14ac:dyDescent="0.3">
      <c r="A450" t="s">
        <v>659</v>
      </c>
      <c r="B450">
        <v>26</v>
      </c>
      <c r="C450" s="1">
        <v>45948</v>
      </c>
      <c r="D450">
        <v>2025</v>
      </c>
      <c r="E450" t="s">
        <v>198</v>
      </c>
      <c r="F450" t="s">
        <v>13</v>
      </c>
      <c r="G450" t="s">
        <v>212</v>
      </c>
      <c r="H450" t="s">
        <v>204</v>
      </c>
      <c r="I450">
        <v>14</v>
      </c>
      <c r="J450">
        <v>1466.79</v>
      </c>
      <c r="K450">
        <v>1</v>
      </c>
      <c r="L450" t="s">
        <v>201</v>
      </c>
      <c r="M450">
        <v>1</v>
      </c>
    </row>
    <row r="451" spans="1:13" x14ac:dyDescent="0.3">
      <c r="A451" t="s">
        <v>660</v>
      </c>
      <c r="B451">
        <v>26</v>
      </c>
      <c r="C451" s="1">
        <v>45922</v>
      </c>
      <c r="D451">
        <v>2025</v>
      </c>
      <c r="E451" t="s">
        <v>198</v>
      </c>
      <c r="F451" t="s">
        <v>13</v>
      </c>
      <c r="G451" t="s">
        <v>191</v>
      </c>
      <c r="H451" t="s">
        <v>206</v>
      </c>
      <c r="I451">
        <v>7</v>
      </c>
      <c r="J451">
        <v>1066.68</v>
      </c>
      <c r="K451">
        <v>1</v>
      </c>
      <c r="L451" t="s">
        <v>201</v>
      </c>
      <c r="M451">
        <v>0</v>
      </c>
    </row>
    <row r="452" spans="1:13" x14ac:dyDescent="0.3">
      <c r="A452" t="s">
        <v>661</v>
      </c>
      <c r="B452">
        <v>26</v>
      </c>
      <c r="C452" s="1">
        <v>45893</v>
      </c>
      <c r="D452">
        <v>2025</v>
      </c>
      <c r="E452" t="s">
        <v>227</v>
      </c>
      <c r="F452" t="s">
        <v>13</v>
      </c>
      <c r="G452" t="s">
        <v>203</v>
      </c>
      <c r="H452" t="s">
        <v>192</v>
      </c>
      <c r="I452">
        <v>5</v>
      </c>
      <c r="J452">
        <v>2665.04</v>
      </c>
      <c r="K452">
        <v>0</v>
      </c>
      <c r="L452" t="s">
        <v>196</v>
      </c>
      <c r="M452">
        <v>1</v>
      </c>
    </row>
    <row r="453" spans="1:13" x14ac:dyDescent="0.3">
      <c r="A453" t="s">
        <v>662</v>
      </c>
      <c r="B453">
        <v>27</v>
      </c>
      <c r="C453" s="1">
        <v>44259</v>
      </c>
      <c r="D453">
        <v>2021</v>
      </c>
      <c r="E453" t="s">
        <v>219</v>
      </c>
      <c r="F453" t="s">
        <v>12</v>
      </c>
      <c r="G453" t="s">
        <v>212</v>
      </c>
      <c r="H453" t="s">
        <v>195</v>
      </c>
      <c r="I453">
        <v>4</v>
      </c>
      <c r="J453">
        <v>958.22</v>
      </c>
      <c r="K453">
        <v>0</v>
      </c>
      <c r="L453" t="s">
        <v>201</v>
      </c>
      <c r="M453">
        <v>1</v>
      </c>
    </row>
    <row r="454" spans="1:13" x14ac:dyDescent="0.3">
      <c r="A454" t="s">
        <v>663</v>
      </c>
      <c r="B454">
        <v>27</v>
      </c>
      <c r="C454" s="1">
        <v>44485</v>
      </c>
      <c r="D454">
        <v>2021</v>
      </c>
      <c r="E454" t="s">
        <v>190</v>
      </c>
      <c r="F454" t="s">
        <v>12</v>
      </c>
      <c r="G454" t="s">
        <v>212</v>
      </c>
      <c r="H454" t="s">
        <v>206</v>
      </c>
      <c r="I454">
        <v>6</v>
      </c>
      <c r="J454">
        <v>321.13</v>
      </c>
      <c r="K454">
        <v>0</v>
      </c>
      <c r="L454" t="s">
        <v>210</v>
      </c>
      <c r="M454">
        <v>1</v>
      </c>
    </row>
    <row r="455" spans="1:13" x14ac:dyDescent="0.3">
      <c r="A455" t="s">
        <v>664</v>
      </c>
      <c r="B455">
        <v>27</v>
      </c>
      <c r="C455" s="1">
        <v>44774</v>
      </c>
      <c r="D455">
        <v>2022</v>
      </c>
      <c r="E455" t="s">
        <v>225</v>
      </c>
      <c r="F455" t="s">
        <v>12</v>
      </c>
      <c r="G455" t="s">
        <v>203</v>
      </c>
      <c r="H455" t="s">
        <v>192</v>
      </c>
      <c r="I455">
        <v>6</v>
      </c>
      <c r="J455">
        <v>1497.25</v>
      </c>
      <c r="K455">
        <v>0</v>
      </c>
      <c r="L455" t="s">
        <v>201</v>
      </c>
      <c r="M455">
        <v>0</v>
      </c>
    </row>
    <row r="456" spans="1:13" x14ac:dyDescent="0.3">
      <c r="A456" t="s">
        <v>665</v>
      </c>
      <c r="B456">
        <v>27</v>
      </c>
      <c r="C456" s="1">
        <v>44770</v>
      </c>
      <c r="D456">
        <v>2022</v>
      </c>
      <c r="E456" t="s">
        <v>214</v>
      </c>
      <c r="F456" t="s">
        <v>209</v>
      </c>
      <c r="G456" t="s">
        <v>212</v>
      </c>
      <c r="H456" t="s">
        <v>204</v>
      </c>
      <c r="I456">
        <v>12</v>
      </c>
      <c r="J456">
        <v>358.79</v>
      </c>
      <c r="K456">
        <v>0</v>
      </c>
      <c r="L456" t="s">
        <v>215</v>
      </c>
      <c r="M456">
        <v>1</v>
      </c>
    </row>
    <row r="457" spans="1:13" x14ac:dyDescent="0.3">
      <c r="A457" t="s">
        <v>666</v>
      </c>
      <c r="B457">
        <v>27</v>
      </c>
      <c r="C457" s="1">
        <v>44960</v>
      </c>
      <c r="D457">
        <v>2023</v>
      </c>
      <c r="E457" t="s">
        <v>190</v>
      </c>
      <c r="F457" t="s">
        <v>209</v>
      </c>
      <c r="G457" t="s">
        <v>212</v>
      </c>
      <c r="H457" t="s">
        <v>192</v>
      </c>
      <c r="I457">
        <v>16</v>
      </c>
      <c r="J457">
        <v>55.39</v>
      </c>
      <c r="K457">
        <v>0</v>
      </c>
      <c r="L457" t="s">
        <v>201</v>
      </c>
      <c r="M457">
        <v>1</v>
      </c>
    </row>
    <row r="458" spans="1:13" x14ac:dyDescent="0.3">
      <c r="A458" t="s">
        <v>667</v>
      </c>
      <c r="B458">
        <v>27</v>
      </c>
      <c r="C458" s="1">
        <v>45235</v>
      </c>
      <c r="D458">
        <v>2023</v>
      </c>
      <c r="E458" t="s">
        <v>287</v>
      </c>
      <c r="F458" t="s">
        <v>209</v>
      </c>
      <c r="G458" t="s">
        <v>203</v>
      </c>
      <c r="H458" t="s">
        <v>195</v>
      </c>
      <c r="I458">
        <v>14</v>
      </c>
      <c r="J458">
        <v>590.22</v>
      </c>
      <c r="K458">
        <v>0</v>
      </c>
      <c r="L458" t="s">
        <v>215</v>
      </c>
      <c r="M458">
        <v>1</v>
      </c>
    </row>
    <row r="459" spans="1:13" x14ac:dyDescent="0.3">
      <c r="A459" t="s">
        <v>668</v>
      </c>
      <c r="B459">
        <v>27</v>
      </c>
      <c r="C459" s="1">
        <v>45099</v>
      </c>
      <c r="D459">
        <v>2023</v>
      </c>
      <c r="E459" t="s">
        <v>219</v>
      </c>
      <c r="F459" t="s">
        <v>209</v>
      </c>
      <c r="G459" t="s">
        <v>212</v>
      </c>
      <c r="H459" t="s">
        <v>206</v>
      </c>
      <c r="I459">
        <v>19</v>
      </c>
      <c r="J459">
        <v>23.37</v>
      </c>
      <c r="K459">
        <v>0</v>
      </c>
      <c r="L459" t="s">
        <v>215</v>
      </c>
      <c r="M459">
        <v>1</v>
      </c>
    </row>
    <row r="460" spans="1:13" x14ac:dyDescent="0.3">
      <c r="A460" t="s">
        <v>669</v>
      </c>
      <c r="B460">
        <v>27</v>
      </c>
      <c r="C460" s="1">
        <v>45408</v>
      </c>
      <c r="D460">
        <v>2024</v>
      </c>
      <c r="E460" t="s">
        <v>198</v>
      </c>
      <c r="F460" t="s">
        <v>12</v>
      </c>
      <c r="G460" t="s">
        <v>200</v>
      </c>
      <c r="H460" t="s">
        <v>206</v>
      </c>
      <c r="I460">
        <v>16</v>
      </c>
      <c r="J460">
        <v>1019.29</v>
      </c>
      <c r="K460">
        <v>1</v>
      </c>
      <c r="L460" t="s">
        <v>193</v>
      </c>
      <c r="M460">
        <v>0</v>
      </c>
    </row>
    <row r="461" spans="1:13" x14ac:dyDescent="0.3">
      <c r="A461" t="s">
        <v>670</v>
      </c>
      <c r="B461">
        <v>27</v>
      </c>
      <c r="C461" s="1">
        <v>45337</v>
      </c>
      <c r="D461">
        <v>2024</v>
      </c>
      <c r="E461" t="s">
        <v>214</v>
      </c>
      <c r="F461" t="s">
        <v>13</v>
      </c>
      <c r="G461" t="s">
        <v>200</v>
      </c>
      <c r="H461" t="s">
        <v>195</v>
      </c>
      <c r="I461">
        <v>16</v>
      </c>
      <c r="J461">
        <v>3067.1</v>
      </c>
      <c r="K461">
        <v>0</v>
      </c>
      <c r="L461" t="s">
        <v>193</v>
      </c>
      <c r="M461">
        <v>0</v>
      </c>
    </row>
    <row r="462" spans="1:13" x14ac:dyDescent="0.3">
      <c r="A462" t="s">
        <v>671</v>
      </c>
      <c r="B462">
        <v>27</v>
      </c>
      <c r="C462" s="1">
        <v>45642</v>
      </c>
      <c r="D462">
        <v>2024</v>
      </c>
      <c r="E462" t="s">
        <v>225</v>
      </c>
      <c r="F462" t="s">
        <v>13</v>
      </c>
      <c r="G462" t="s">
        <v>191</v>
      </c>
      <c r="H462" t="s">
        <v>195</v>
      </c>
      <c r="I462">
        <v>19</v>
      </c>
      <c r="J462">
        <v>3420.9</v>
      </c>
      <c r="K462">
        <v>1</v>
      </c>
      <c r="L462" t="s">
        <v>193</v>
      </c>
      <c r="M462">
        <v>0</v>
      </c>
    </row>
    <row r="463" spans="1:13" x14ac:dyDescent="0.3">
      <c r="A463" t="s">
        <v>672</v>
      </c>
      <c r="B463">
        <v>27</v>
      </c>
      <c r="C463" s="1">
        <v>45755</v>
      </c>
      <c r="D463">
        <v>2025</v>
      </c>
      <c r="E463" t="s">
        <v>219</v>
      </c>
      <c r="F463" t="s">
        <v>12</v>
      </c>
      <c r="G463" t="s">
        <v>200</v>
      </c>
      <c r="H463" t="s">
        <v>195</v>
      </c>
      <c r="I463">
        <v>15</v>
      </c>
      <c r="J463">
        <v>1343.93</v>
      </c>
      <c r="K463">
        <v>0</v>
      </c>
      <c r="L463" t="s">
        <v>215</v>
      </c>
      <c r="M463">
        <v>0</v>
      </c>
    </row>
    <row r="464" spans="1:13" x14ac:dyDescent="0.3">
      <c r="A464" t="s">
        <v>673</v>
      </c>
      <c r="B464">
        <v>27</v>
      </c>
      <c r="C464" s="1">
        <v>45994</v>
      </c>
      <c r="D464">
        <v>2025</v>
      </c>
      <c r="E464" t="s">
        <v>214</v>
      </c>
      <c r="F464" t="s">
        <v>12</v>
      </c>
      <c r="G464" t="s">
        <v>203</v>
      </c>
      <c r="H464" t="s">
        <v>206</v>
      </c>
      <c r="I464">
        <v>14</v>
      </c>
      <c r="J464">
        <v>852</v>
      </c>
      <c r="K464">
        <v>0</v>
      </c>
      <c r="L464" t="s">
        <v>215</v>
      </c>
      <c r="M464">
        <v>0</v>
      </c>
    </row>
    <row r="465" spans="1:13" x14ac:dyDescent="0.3">
      <c r="A465" t="s">
        <v>674</v>
      </c>
      <c r="B465">
        <v>28</v>
      </c>
      <c r="C465" s="1">
        <v>44463</v>
      </c>
      <c r="D465">
        <v>2021</v>
      </c>
      <c r="E465" t="s">
        <v>219</v>
      </c>
      <c r="F465" t="s">
        <v>13</v>
      </c>
      <c r="G465" t="s">
        <v>203</v>
      </c>
      <c r="H465" t="s">
        <v>195</v>
      </c>
      <c r="I465">
        <v>3</v>
      </c>
      <c r="J465">
        <v>1101.51</v>
      </c>
      <c r="K465">
        <v>0</v>
      </c>
      <c r="L465" t="s">
        <v>193</v>
      </c>
      <c r="M465">
        <v>0</v>
      </c>
    </row>
    <row r="466" spans="1:13" x14ac:dyDescent="0.3">
      <c r="A466" t="s">
        <v>675</v>
      </c>
      <c r="B466">
        <v>28</v>
      </c>
      <c r="C466" s="1">
        <v>44223</v>
      </c>
      <c r="D466">
        <v>2021</v>
      </c>
      <c r="E466" t="s">
        <v>190</v>
      </c>
      <c r="F466" t="s">
        <v>209</v>
      </c>
      <c r="G466" t="s">
        <v>203</v>
      </c>
      <c r="H466" t="s">
        <v>206</v>
      </c>
      <c r="I466">
        <v>10</v>
      </c>
      <c r="J466">
        <v>395</v>
      </c>
      <c r="K466">
        <v>0</v>
      </c>
      <c r="L466" t="s">
        <v>201</v>
      </c>
      <c r="M466">
        <v>0</v>
      </c>
    </row>
    <row r="467" spans="1:13" x14ac:dyDescent="0.3">
      <c r="A467" t="s">
        <v>676</v>
      </c>
      <c r="B467">
        <v>28</v>
      </c>
      <c r="C467" s="1">
        <v>44282</v>
      </c>
      <c r="D467">
        <v>2021</v>
      </c>
      <c r="E467" t="s">
        <v>214</v>
      </c>
      <c r="F467" t="s">
        <v>199</v>
      </c>
      <c r="G467" t="s">
        <v>203</v>
      </c>
      <c r="H467" t="s">
        <v>204</v>
      </c>
      <c r="I467">
        <v>10</v>
      </c>
      <c r="J467">
        <v>7535.21</v>
      </c>
      <c r="K467">
        <v>0</v>
      </c>
      <c r="L467" t="s">
        <v>193</v>
      </c>
      <c r="M467">
        <v>0</v>
      </c>
    </row>
    <row r="468" spans="1:13" x14ac:dyDescent="0.3">
      <c r="A468" t="s">
        <v>677</v>
      </c>
      <c r="B468">
        <v>28</v>
      </c>
      <c r="C468" s="1">
        <v>44695</v>
      </c>
      <c r="D468">
        <v>2022</v>
      </c>
      <c r="E468" t="s">
        <v>214</v>
      </c>
      <c r="F468" t="s">
        <v>13</v>
      </c>
      <c r="G468" t="s">
        <v>203</v>
      </c>
      <c r="H468" t="s">
        <v>204</v>
      </c>
      <c r="I468">
        <v>7</v>
      </c>
      <c r="J468">
        <v>1421.02</v>
      </c>
      <c r="K468">
        <v>0</v>
      </c>
      <c r="L468" t="s">
        <v>215</v>
      </c>
      <c r="M468">
        <v>0</v>
      </c>
    </row>
    <row r="469" spans="1:13" x14ac:dyDescent="0.3">
      <c r="A469" t="s">
        <v>678</v>
      </c>
      <c r="B469">
        <v>28</v>
      </c>
      <c r="C469" s="1">
        <v>45266</v>
      </c>
      <c r="D469">
        <v>2023</v>
      </c>
      <c r="E469" t="s">
        <v>190</v>
      </c>
      <c r="F469" t="s">
        <v>12</v>
      </c>
      <c r="G469" t="s">
        <v>212</v>
      </c>
      <c r="H469" t="s">
        <v>206</v>
      </c>
      <c r="I469">
        <v>11</v>
      </c>
      <c r="J469">
        <v>253.42</v>
      </c>
      <c r="K469">
        <v>0</v>
      </c>
      <c r="L469" t="s">
        <v>201</v>
      </c>
      <c r="M469">
        <v>1</v>
      </c>
    </row>
    <row r="470" spans="1:13" x14ac:dyDescent="0.3">
      <c r="A470" t="s">
        <v>679</v>
      </c>
      <c r="B470">
        <v>28</v>
      </c>
      <c r="C470" s="1">
        <v>45752</v>
      </c>
      <c r="D470">
        <v>2025</v>
      </c>
      <c r="E470" t="s">
        <v>219</v>
      </c>
      <c r="F470" t="s">
        <v>13</v>
      </c>
      <c r="G470" t="s">
        <v>212</v>
      </c>
      <c r="H470" t="s">
        <v>204</v>
      </c>
      <c r="I470">
        <v>11</v>
      </c>
      <c r="J470">
        <v>3980.89</v>
      </c>
      <c r="K470">
        <v>0</v>
      </c>
      <c r="L470" t="s">
        <v>196</v>
      </c>
      <c r="M470">
        <v>1</v>
      </c>
    </row>
    <row r="471" spans="1:13" x14ac:dyDescent="0.3">
      <c r="A471" t="s">
        <v>680</v>
      </c>
      <c r="B471">
        <v>28</v>
      </c>
      <c r="C471" s="1">
        <v>45863</v>
      </c>
      <c r="D471">
        <v>2025</v>
      </c>
      <c r="E471" t="s">
        <v>190</v>
      </c>
      <c r="F471" t="s">
        <v>13</v>
      </c>
      <c r="G471" t="s">
        <v>212</v>
      </c>
      <c r="H471" t="s">
        <v>195</v>
      </c>
      <c r="I471">
        <v>6</v>
      </c>
      <c r="J471">
        <v>3267.32</v>
      </c>
      <c r="K471">
        <v>0</v>
      </c>
      <c r="L471" t="s">
        <v>193</v>
      </c>
      <c r="M471">
        <v>1</v>
      </c>
    </row>
    <row r="472" spans="1:13" x14ac:dyDescent="0.3">
      <c r="A472" t="s">
        <v>681</v>
      </c>
      <c r="B472">
        <v>28</v>
      </c>
      <c r="C472" s="1">
        <v>45857</v>
      </c>
      <c r="D472">
        <v>2025</v>
      </c>
      <c r="E472" t="s">
        <v>190</v>
      </c>
      <c r="F472" t="s">
        <v>13</v>
      </c>
      <c r="G472" t="s">
        <v>191</v>
      </c>
      <c r="H472" t="s">
        <v>195</v>
      </c>
      <c r="I472">
        <v>6</v>
      </c>
      <c r="J472">
        <v>2826.28</v>
      </c>
      <c r="K472">
        <v>0</v>
      </c>
      <c r="L472" t="s">
        <v>210</v>
      </c>
      <c r="M472">
        <v>0</v>
      </c>
    </row>
    <row r="473" spans="1:13" x14ac:dyDescent="0.3">
      <c r="A473" t="s">
        <v>682</v>
      </c>
      <c r="B473">
        <v>28</v>
      </c>
      <c r="C473" s="1">
        <v>45878</v>
      </c>
      <c r="D473">
        <v>2025</v>
      </c>
      <c r="E473" t="s">
        <v>219</v>
      </c>
      <c r="F473" t="s">
        <v>209</v>
      </c>
      <c r="G473" t="s">
        <v>212</v>
      </c>
      <c r="H473" t="s">
        <v>195</v>
      </c>
      <c r="I473">
        <v>16</v>
      </c>
      <c r="J473">
        <v>318.45</v>
      </c>
      <c r="K473">
        <v>1</v>
      </c>
      <c r="L473" t="s">
        <v>215</v>
      </c>
      <c r="M473">
        <v>1</v>
      </c>
    </row>
    <row r="474" spans="1:13" x14ac:dyDescent="0.3">
      <c r="A474" t="s">
        <v>683</v>
      </c>
      <c r="B474">
        <v>29</v>
      </c>
      <c r="C474" s="1">
        <v>44299</v>
      </c>
      <c r="D474">
        <v>2021</v>
      </c>
      <c r="E474" t="s">
        <v>227</v>
      </c>
      <c r="F474" t="s">
        <v>209</v>
      </c>
      <c r="G474" t="s">
        <v>200</v>
      </c>
      <c r="H474" t="s">
        <v>192</v>
      </c>
      <c r="I474">
        <v>12</v>
      </c>
      <c r="J474">
        <v>321.14999999999998</v>
      </c>
      <c r="K474">
        <v>0</v>
      </c>
      <c r="L474" t="s">
        <v>210</v>
      </c>
      <c r="M474">
        <v>0</v>
      </c>
    </row>
    <row r="475" spans="1:13" x14ac:dyDescent="0.3">
      <c r="A475" t="s">
        <v>684</v>
      </c>
      <c r="B475">
        <v>29</v>
      </c>
      <c r="C475" s="1">
        <v>44556</v>
      </c>
      <c r="D475">
        <v>2021</v>
      </c>
      <c r="E475" t="s">
        <v>190</v>
      </c>
      <c r="F475" t="s">
        <v>13</v>
      </c>
      <c r="G475" t="s">
        <v>191</v>
      </c>
      <c r="H475" t="s">
        <v>204</v>
      </c>
      <c r="I475">
        <v>7</v>
      </c>
      <c r="J475">
        <v>2489.91</v>
      </c>
      <c r="K475">
        <v>0</v>
      </c>
      <c r="L475" t="s">
        <v>193</v>
      </c>
      <c r="M475">
        <v>0</v>
      </c>
    </row>
    <row r="476" spans="1:13" x14ac:dyDescent="0.3">
      <c r="A476" t="s">
        <v>685</v>
      </c>
      <c r="B476">
        <v>29</v>
      </c>
      <c r="C476" s="1">
        <v>44664</v>
      </c>
      <c r="D476">
        <v>2022</v>
      </c>
      <c r="E476" t="s">
        <v>219</v>
      </c>
      <c r="F476" t="s">
        <v>12</v>
      </c>
      <c r="G476" t="s">
        <v>212</v>
      </c>
      <c r="H476" t="s">
        <v>195</v>
      </c>
      <c r="I476">
        <v>12</v>
      </c>
      <c r="J476">
        <v>1106.3599999999999</v>
      </c>
      <c r="K476">
        <v>0</v>
      </c>
      <c r="L476" t="s">
        <v>215</v>
      </c>
      <c r="M476">
        <v>1</v>
      </c>
    </row>
    <row r="477" spans="1:13" x14ac:dyDescent="0.3">
      <c r="A477" t="s">
        <v>686</v>
      </c>
      <c r="B477">
        <v>29</v>
      </c>
      <c r="C477" s="1">
        <v>44774</v>
      </c>
      <c r="D477">
        <v>2022</v>
      </c>
      <c r="E477" t="s">
        <v>227</v>
      </c>
      <c r="F477" t="s">
        <v>199</v>
      </c>
      <c r="G477" t="s">
        <v>191</v>
      </c>
      <c r="H477" t="s">
        <v>195</v>
      </c>
      <c r="I477">
        <v>4</v>
      </c>
      <c r="J477">
        <v>4107.74</v>
      </c>
      <c r="K477">
        <v>0</v>
      </c>
      <c r="L477" t="s">
        <v>201</v>
      </c>
      <c r="M477">
        <v>0</v>
      </c>
    </row>
    <row r="478" spans="1:13" x14ac:dyDescent="0.3">
      <c r="A478" t="s">
        <v>687</v>
      </c>
      <c r="B478">
        <v>29</v>
      </c>
      <c r="C478" s="1">
        <v>44901</v>
      </c>
      <c r="D478">
        <v>2022</v>
      </c>
      <c r="E478" t="s">
        <v>225</v>
      </c>
      <c r="F478" t="s">
        <v>13</v>
      </c>
      <c r="G478" t="s">
        <v>203</v>
      </c>
      <c r="H478" t="s">
        <v>204</v>
      </c>
      <c r="I478">
        <v>2</v>
      </c>
      <c r="J478">
        <v>3074.67</v>
      </c>
      <c r="K478">
        <v>0</v>
      </c>
      <c r="L478" t="s">
        <v>210</v>
      </c>
      <c r="M478">
        <v>0</v>
      </c>
    </row>
    <row r="479" spans="1:13" x14ac:dyDescent="0.3">
      <c r="A479" t="s">
        <v>688</v>
      </c>
      <c r="B479">
        <v>29</v>
      </c>
      <c r="C479" s="1">
        <v>44934</v>
      </c>
      <c r="D479">
        <v>2023</v>
      </c>
      <c r="E479" t="s">
        <v>214</v>
      </c>
      <c r="F479" t="s">
        <v>13</v>
      </c>
      <c r="G479" t="s">
        <v>191</v>
      </c>
      <c r="H479" t="s">
        <v>192</v>
      </c>
      <c r="I479">
        <v>6</v>
      </c>
      <c r="J479">
        <v>1536.91</v>
      </c>
      <c r="K479">
        <v>0</v>
      </c>
      <c r="L479" t="s">
        <v>201</v>
      </c>
      <c r="M479">
        <v>0</v>
      </c>
    </row>
    <row r="480" spans="1:13" x14ac:dyDescent="0.3">
      <c r="A480" t="s">
        <v>689</v>
      </c>
      <c r="B480">
        <v>29</v>
      </c>
      <c r="C480" s="1">
        <v>45521</v>
      </c>
      <c r="D480">
        <v>2024</v>
      </c>
      <c r="E480" t="s">
        <v>214</v>
      </c>
      <c r="F480" t="s">
        <v>12</v>
      </c>
      <c r="G480" t="s">
        <v>203</v>
      </c>
      <c r="H480" t="s">
        <v>206</v>
      </c>
      <c r="I480">
        <v>5</v>
      </c>
      <c r="J480">
        <v>1236.25</v>
      </c>
      <c r="K480">
        <v>0</v>
      </c>
      <c r="L480" t="s">
        <v>215</v>
      </c>
      <c r="M480">
        <v>0</v>
      </c>
    </row>
    <row r="481" spans="1:13" x14ac:dyDescent="0.3">
      <c r="A481" t="s">
        <v>690</v>
      </c>
      <c r="B481">
        <v>29</v>
      </c>
      <c r="C481" s="1">
        <v>45436</v>
      </c>
      <c r="D481">
        <v>2024</v>
      </c>
      <c r="E481" t="s">
        <v>214</v>
      </c>
      <c r="F481" t="s">
        <v>13</v>
      </c>
      <c r="G481" t="s">
        <v>191</v>
      </c>
      <c r="H481" t="s">
        <v>195</v>
      </c>
      <c r="I481">
        <v>3</v>
      </c>
      <c r="J481">
        <v>1259.27</v>
      </c>
      <c r="K481">
        <v>0</v>
      </c>
      <c r="L481" t="s">
        <v>196</v>
      </c>
      <c r="M481">
        <v>0</v>
      </c>
    </row>
    <row r="482" spans="1:13" x14ac:dyDescent="0.3">
      <c r="A482" t="s">
        <v>691</v>
      </c>
      <c r="B482">
        <v>29</v>
      </c>
      <c r="C482" s="1">
        <v>45644</v>
      </c>
      <c r="D482">
        <v>2024</v>
      </c>
      <c r="E482" t="s">
        <v>214</v>
      </c>
      <c r="F482" t="s">
        <v>199</v>
      </c>
      <c r="G482" t="s">
        <v>191</v>
      </c>
      <c r="H482" t="s">
        <v>206</v>
      </c>
      <c r="I482">
        <v>9</v>
      </c>
      <c r="J482">
        <v>4370.99</v>
      </c>
      <c r="K482">
        <v>0</v>
      </c>
      <c r="L482" t="s">
        <v>193</v>
      </c>
      <c r="M482">
        <v>0</v>
      </c>
    </row>
    <row r="483" spans="1:13" x14ac:dyDescent="0.3">
      <c r="A483" t="s">
        <v>692</v>
      </c>
      <c r="B483">
        <v>29</v>
      </c>
      <c r="C483" s="1">
        <v>45845</v>
      </c>
      <c r="D483">
        <v>2025</v>
      </c>
      <c r="E483" t="s">
        <v>214</v>
      </c>
      <c r="F483" t="s">
        <v>12</v>
      </c>
      <c r="G483" t="s">
        <v>212</v>
      </c>
      <c r="H483" t="s">
        <v>192</v>
      </c>
      <c r="I483">
        <v>11</v>
      </c>
      <c r="J483">
        <v>1121.69</v>
      </c>
      <c r="K483">
        <v>0</v>
      </c>
      <c r="L483" t="s">
        <v>193</v>
      </c>
      <c r="M483">
        <v>1</v>
      </c>
    </row>
    <row r="484" spans="1:13" x14ac:dyDescent="0.3">
      <c r="A484" t="s">
        <v>693</v>
      </c>
      <c r="B484">
        <v>29</v>
      </c>
      <c r="C484" s="1">
        <v>45986</v>
      </c>
      <c r="D484">
        <v>2025</v>
      </c>
      <c r="E484" t="s">
        <v>219</v>
      </c>
      <c r="F484" t="s">
        <v>13</v>
      </c>
      <c r="G484" t="s">
        <v>203</v>
      </c>
      <c r="H484" t="s">
        <v>195</v>
      </c>
      <c r="I484">
        <v>7</v>
      </c>
      <c r="J484">
        <v>1597.34</v>
      </c>
      <c r="K484">
        <v>0</v>
      </c>
      <c r="L484" t="s">
        <v>193</v>
      </c>
      <c r="M484">
        <v>0</v>
      </c>
    </row>
    <row r="485" spans="1:13" x14ac:dyDescent="0.3">
      <c r="A485" t="s">
        <v>694</v>
      </c>
      <c r="B485">
        <v>29</v>
      </c>
      <c r="C485" s="1">
        <v>45809</v>
      </c>
      <c r="D485">
        <v>2025</v>
      </c>
      <c r="E485" t="s">
        <v>287</v>
      </c>
      <c r="F485" t="s">
        <v>13</v>
      </c>
      <c r="G485" t="s">
        <v>212</v>
      </c>
      <c r="H485" t="s">
        <v>192</v>
      </c>
      <c r="I485">
        <v>12</v>
      </c>
      <c r="J485">
        <v>3512.56</v>
      </c>
      <c r="K485">
        <v>0</v>
      </c>
      <c r="L485" t="s">
        <v>193</v>
      </c>
      <c r="M485">
        <v>1</v>
      </c>
    </row>
    <row r="486" spans="1:13" x14ac:dyDescent="0.3">
      <c r="A486" t="s">
        <v>695</v>
      </c>
      <c r="B486">
        <v>30</v>
      </c>
      <c r="C486" s="1">
        <v>44282</v>
      </c>
      <c r="D486">
        <v>2021</v>
      </c>
      <c r="E486" t="s">
        <v>227</v>
      </c>
      <c r="F486" t="s">
        <v>13</v>
      </c>
      <c r="G486" t="s">
        <v>191</v>
      </c>
      <c r="H486" t="s">
        <v>206</v>
      </c>
      <c r="I486">
        <v>10</v>
      </c>
      <c r="J486">
        <v>2420.29</v>
      </c>
      <c r="K486">
        <v>0</v>
      </c>
      <c r="L486" t="s">
        <v>193</v>
      </c>
      <c r="M486">
        <v>1</v>
      </c>
    </row>
    <row r="487" spans="1:13" x14ac:dyDescent="0.3">
      <c r="A487" t="s">
        <v>696</v>
      </c>
      <c r="B487">
        <v>30</v>
      </c>
      <c r="C487" s="1">
        <v>44247</v>
      </c>
      <c r="D487">
        <v>2021</v>
      </c>
      <c r="E487" t="s">
        <v>198</v>
      </c>
      <c r="F487" t="s">
        <v>13</v>
      </c>
      <c r="G487" t="s">
        <v>212</v>
      </c>
      <c r="H487" t="s">
        <v>195</v>
      </c>
      <c r="I487">
        <v>2</v>
      </c>
      <c r="J487">
        <v>2611.2399999999998</v>
      </c>
      <c r="K487">
        <v>1</v>
      </c>
      <c r="L487" t="s">
        <v>201</v>
      </c>
      <c r="M487">
        <v>1</v>
      </c>
    </row>
    <row r="488" spans="1:13" x14ac:dyDescent="0.3">
      <c r="A488" t="s">
        <v>697</v>
      </c>
      <c r="B488">
        <v>30</v>
      </c>
      <c r="C488" s="1">
        <v>44229</v>
      </c>
      <c r="D488">
        <v>2021</v>
      </c>
      <c r="E488" t="s">
        <v>287</v>
      </c>
      <c r="F488" t="s">
        <v>13</v>
      </c>
      <c r="G488" t="s">
        <v>191</v>
      </c>
      <c r="H488" t="s">
        <v>192</v>
      </c>
      <c r="I488">
        <v>5</v>
      </c>
      <c r="J488">
        <v>3447.08</v>
      </c>
      <c r="K488">
        <v>0</v>
      </c>
      <c r="L488" t="s">
        <v>193</v>
      </c>
      <c r="M488">
        <v>1</v>
      </c>
    </row>
    <row r="489" spans="1:13" x14ac:dyDescent="0.3">
      <c r="A489" t="s">
        <v>698</v>
      </c>
      <c r="B489">
        <v>30</v>
      </c>
      <c r="C489" s="1">
        <v>44816</v>
      </c>
      <c r="D489">
        <v>2022</v>
      </c>
      <c r="E489" t="s">
        <v>198</v>
      </c>
      <c r="F489" t="s">
        <v>13</v>
      </c>
      <c r="G489" t="s">
        <v>200</v>
      </c>
      <c r="H489" t="s">
        <v>195</v>
      </c>
      <c r="I489">
        <v>3</v>
      </c>
      <c r="J489">
        <v>1554.33</v>
      </c>
      <c r="K489">
        <v>1</v>
      </c>
      <c r="L489" t="s">
        <v>201</v>
      </c>
      <c r="M489">
        <v>0</v>
      </c>
    </row>
    <row r="490" spans="1:13" x14ac:dyDescent="0.3">
      <c r="A490" t="s">
        <v>699</v>
      </c>
      <c r="B490">
        <v>30</v>
      </c>
      <c r="C490" s="1">
        <v>44969</v>
      </c>
      <c r="D490">
        <v>2023</v>
      </c>
      <c r="E490" t="s">
        <v>198</v>
      </c>
      <c r="F490" t="s">
        <v>199</v>
      </c>
      <c r="G490" t="s">
        <v>191</v>
      </c>
      <c r="H490" t="s">
        <v>204</v>
      </c>
      <c r="I490">
        <v>8</v>
      </c>
      <c r="J490">
        <v>3180.5</v>
      </c>
      <c r="K490">
        <v>1</v>
      </c>
      <c r="L490" t="s">
        <v>193</v>
      </c>
      <c r="M490">
        <v>0</v>
      </c>
    </row>
    <row r="491" spans="1:13" x14ac:dyDescent="0.3">
      <c r="A491" t="s">
        <v>700</v>
      </c>
      <c r="B491">
        <v>30</v>
      </c>
      <c r="C491" s="1">
        <v>44935</v>
      </c>
      <c r="D491">
        <v>2023</v>
      </c>
      <c r="E491" t="s">
        <v>190</v>
      </c>
      <c r="F491" t="s">
        <v>13</v>
      </c>
      <c r="G491" t="s">
        <v>200</v>
      </c>
      <c r="H491" t="s">
        <v>192</v>
      </c>
      <c r="I491">
        <v>7</v>
      </c>
      <c r="J491">
        <v>3805.63</v>
      </c>
      <c r="K491">
        <v>0</v>
      </c>
      <c r="L491" t="s">
        <v>196</v>
      </c>
      <c r="M491">
        <v>1</v>
      </c>
    </row>
    <row r="492" spans="1:13" x14ac:dyDescent="0.3">
      <c r="A492" t="s">
        <v>701</v>
      </c>
      <c r="B492">
        <v>30</v>
      </c>
      <c r="C492" s="1">
        <v>45240</v>
      </c>
      <c r="D492">
        <v>2023</v>
      </c>
      <c r="E492" t="s">
        <v>198</v>
      </c>
      <c r="F492" t="s">
        <v>12</v>
      </c>
      <c r="G492" t="s">
        <v>203</v>
      </c>
      <c r="H492" t="s">
        <v>195</v>
      </c>
      <c r="I492">
        <v>10</v>
      </c>
      <c r="J492">
        <v>366.21</v>
      </c>
      <c r="K492">
        <v>1</v>
      </c>
      <c r="L492" t="s">
        <v>210</v>
      </c>
      <c r="M492">
        <v>0</v>
      </c>
    </row>
    <row r="493" spans="1:13" x14ac:dyDescent="0.3">
      <c r="A493" t="s">
        <v>702</v>
      </c>
      <c r="B493">
        <v>30</v>
      </c>
      <c r="C493" s="1">
        <v>45566</v>
      </c>
      <c r="D493">
        <v>2024</v>
      </c>
      <c r="E493" t="s">
        <v>214</v>
      </c>
      <c r="F493" t="s">
        <v>12</v>
      </c>
      <c r="G493" t="s">
        <v>212</v>
      </c>
      <c r="H493" t="s">
        <v>195</v>
      </c>
      <c r="I493">
        <v>7</v>
      </c>
      <c r="J493">
        <v>927.46</v>
      </c>
      <c r="K493">
        <v>0</v>
      </c>
      <c r="L493" t="s">
        <v>201</v>
      </c>
      <c r="M493">
        <v>1</v>
      </c>
    </row>
    <row r="494" spans="1:13" x14ac:dyDescent="0.3">
      <c r="A494" t="s">
        <v>703</v>
      </c>
      <c r="B494">
        <v>30</v>
      </c>
      <c r="C494" s="1">
        <v>45750</v>
      </c>
      <c r="D494">
        <v>2025</v>
      </c>
      <c r="E494" t="s">
        <v>225</v>
      </c>
      <c r="F494" t="s">
        <v>209</v>
      </c>
      <c r="G494" t="s">
        <v>191</v>
      </c>
      <c r="H494" t="s">
        <v>192</v>
      </c>
      <c r="I494">
        <v>6</v>
      </c>
      <c r="J494">
        <v>62.32</v>
      </c>
      <c r="K494">
        <v>0</v>
      </c>
      <c r="L494" t="s">
        <v>210</v>
      </c>
      <c r="M494">
        <v>1</v>
      </c>
    </row>
    <row r="495" spans="1:13" x14ac:dyDescent="0.3">
      <c r="A495" t="s">
        <v>704</v>
      </c>
      <c r="B495">
        <v>30</v>
      </c>
      <c r="C495" s="1">
        <v>45722</v>
      </c>
      <c r="D495">
        <v>2025</v>
      </c>
      <c r="E495" t="s">
        <v>190</v>
      </c>
      <c r="F495" t="s">
        <v>13</v>
      </c>
      <c r="G495" t="s">
        <v>212</v>
      </c>
      <c r="H495" t="s">
        <v>204</v>
      </c>
      <c r="I495">
        <v>11</v>
      </c>
      <c r="J495">
        <v>2223.73</v>
      </c>
      <c r="K495">
        <v>0</v>
      </c>
      <c r="L495" t="s">
        <v>201</v>
      </c>
      <c r="M495">
        <v>1</v>
      </c>
    </row>
    <row r="496" spans="1:13" x14ac:dyDescent="0.3">
      <c r="A496" t="s">
        <v>705</v>
      </c>
      <c r="B496">
        <v>30</v>
      </c>
      <c r="C496" s="1">
        <v>45956</v>
      </c>
      <c r="D496">
        <v>2025</v>
      </c>
      <c r="E496" t="s">
        <v>190</v>
      </c>
      <c r="F496" t="s">
        <v>13</v>
      </c>
      <c r="G496" t="s">
        <v>212</v>
      </c>
      <c r="H496" t="s">
        <v>204</v>
      </c>
      <c r="I496">
        <v>5</v>
      </c>
      <c r="J496">
        <v>2289.17</v>
      </c>
      <c r="K496">
        <v>0</v>
      </c>
      <c r="L496" t="s">
        <v>201</v>
      </c>
      <c r="M496">
        <v>1</v>
      </c>
    </row>
    <row r="497" spans="1:13" x14ac:dyDescent="0.3">
      <c r="A497" t="s">
        <v>706</v>
      </c>
      <c r="B497">
        <v>31</v>
      </c>
      <c r="C497" s="1">
        <v>44328</v>
      </c>
      <c r="D497">
        <v>2021</v>
      </c>
      <c r="E497" t="s">
        <v>214</v>
      </c>
      <c r="F497" t="s">
        <v>199</v>
      </c>
      <c r="G497" t="s">
        <v>203</v>
      </c>
      <c r="H497" t="s">
        <v>204</v>
      </c>
      <c r="I497">
        <v>13</v>
      </c>
      <c r="J497">
        <v>3981.48</v>
      </c>
      <c r="K497">
        <v>0</v>
      </c>
      <c r="L497" t="s">
        <v>196</v>
      </c>
      <c r="M497">
        <v>1</v>
      </c>
    </row>
    <row r="498" spans="1:13" x14ac:dyDescent="0.3">
      <c r="A498" t="s">
        <v>707</v>
      </c>
      <c r="B498">
        <v>31</v>
      </c>
      <c r="C498" s="1">
        <v>44337</v>
      </c>
      <c r="D498">
        <v>2021</v>
      </c>
      <c r="E498" t="s">
        <v>219</v>
      </c>
      <c r="F498" t="s">
        <v>209</v>
      </c>
      <c r="G498" t="s">
        <v>203</v>
      </c>
      <c r="H498" t="s">
        <v>204</v>
      </c>
      <c r="I498">
        <v>9</v>
      </c>
      <c r="J498">
        <v>448.07</v>
      </c>
      <c r="K498">
        <v>0</v>
      </c>
      <c r="L498" t="s">
        <v>193</v>
      </c>
      <c r="M498">
        <v>1</v>
      </c>
    </row>
    <row r="499" spans="1:13" x14ac:dyDescent="0.3">
      <c r="A499" t="s">
        <v>708</v>
      </c>
      <c r="B499">
        <v>31</v>
      </c>
      <c r="C499" s="1">
        <v>44473</v>
      </c>
      <c r="D499">
        <v>2021</v>
      </c>
      <c r="E499" t="s">
        <v>287</v>
      </c>
      <c r="F499" t="s">
        <v>209</v>
      </c>
      <c r="G499" t="s">
        <v>212</v>
      </c>
      <c r="H499" t="s">
        <v>195</v>
      </c>
      <c r="I499">
        <v>2</v>
      </c>
      <c r="J499">
        <v>150</v>
      </c>
      <c r="K499">
        <v>0</v>
      </c>
      <c r="L499" t="s">
        <v>215</v>
      </c>
      <c r="M499">
        <v>1</v>
      </c>
    </row>
    <row r="500" spans="1:13" x14ac:dyDescent="0.3">
      <c r="A500" t="s">
        <v>709</v>
      </c>
      <c r="B500">
        <v>31</v>
      </c>
      <c r="C500" s="1">
        <v>44627</v>
      </c>
      <c r="D500">
        <v>2022</v>
      </c>
      <c r="E500" t="s">
        <v>198</v>
      </c>
      <c r="F500" t="s">
        <v>13</v>
      </c>
      <c r="G500" t="s">
        <v>191</v>
      </c>
      <c r="H500" t="s">
        <v>195</v>
      </c>
      <c r="I500">
        <v>5</v>
      </c>
      <c r="J500">
        <v>1041.28</v>
      </c>
      <c r="K500">
        <v>1</v>
      </c>
      <c r="L500" t="s">
        <v>196</v>
      </c>
      <c r="M500">
        <v>0</v>
      </c>
    </row>
    <row r="501" spans="1:13" x14ac:dyDescent="0.3">
      <c r="A501" t="s">
        <v>710</v>
      </c>
      <c r="B501">
        <v>31</v>
      </c>
      <c r="C501" s="1">
        <v>44916</v>
      </c>
      <c r="D501">
        <v>2022</v>
      </c>
      <c r="E501" t="s">
        <v>198</v>
      </c>
      <c r="F501" t="s">
        <v>199</v>
      </c>
      <c r="G501" t="s">
        <v>203</v>
      </c>
      <c r="H501" t="s">
        <v>195</v>
      </c>
      <c r="I501">
        <v>7</v>
      </c>
      <c r="J501">
        <v>5992.78</v>
      </c>
      <c r="K501">
        <v>1</v>
      </c>
      <c r="L501" t="s">
        <v>193</v>
      </c>
      <c r="M501">
        <v>1</v>
      </c>
    </row>
    <row r="502" spans="1:13" x14ac:dyDescent="0.3">
      <c r="A502" t="s">
        <v>711</v>
      </c>
      <c r="B502">
        <v>31</v>
      </c>
      <c r="C502" s="1">
        <v>44873</v>
      </c>
      <c r="D502">
        <v>2022</v>
      </c>
      <c r="E502" t="s">
        <v>287</v>
      </c>
      <c r="F502" t="s">
        <v>13</v>
      </c>
      <c r="G502" t="s">
        <v>200</v>
      </c>
      <c r="H502" t="s">
        <v>206</v>
      </c>
      <c r="I502">
        <v>6</v>
      </c>
      <c r="J502">
        <v>1178.78</v>
      </c>
      <c r="K502">
        <v>1</v>
      </c>
      <c r="L502" t="s">
        <v>196</v>
      </c>
      <c r="M502">
        <v>0</v>
      </c>
    </row>
    <row r="503" spans="1:13" x14ac:dyDescent="0.3">
      <c r="A503" t="s">
        <v>712</v>
      </c>
      <c r="B503">
        <v>31</v>
      </c>
      <c r="C503" s="1">
        <v>44686</v>
      </c>
      <c r="D503">
        <v>2022</v>
      </c>
      <c r="E503" t="s">
        <v>214</v>
      </c>
      <c r="F503" t="s">
        <v>13</v>
      </c>
      <c r="G503" t="s">
        <v>191</v>
      </c>
      <c r="H503" t="s">
        <v>195</v>
      </c>
      <c r="I503">
        <v>5</v>
      </c>
      <c r="J503">
        <v>2363.29</v>
      </c>
      <c r="K503">
        <v>0</v>
      </c>
      <c r="L503" t="s">
        <v>215</v>
      </c>
      <c r="M503">
        <v>0</v>
      </c>
    </row>
    <row r="504" spans="1:13" x14ac:dyDescent="0.3">
      <c r="A504" t="s">
        <v>713</v>
      </c>
      <c r="B504">
        <v>31</v>
      </c>
      <c r="C504" s="1">
        <v>44708</v>
      </c>
      <c r="D504">
        <v>2022</v>
      </c>
      <c r="E504" t="s">
        <v>225</v>
      </c>
      <c r="F504" t="s">
        <v>12</v>
      </c>
      <c r="G504" t="s">
        <v>200</v>
      </c>
      <c r="H504" t="s">
        <v>195</v>
      </c>
      <c r="I504">
        <v>17</v>
      </c>
      <c r="J504">
        <v>857.38</v>
      </c>
      <c r="K504">
        <v>1</v>
      </c>
      <c r="L504" t="s">
        <v>215</v>
      </c>
      <c r="M504">
        <v>0</v>
      </c>
    </row>
    <row r="505" spans="1:13" x14ac:dyDescent="0.3">
      <c r="A505" t="s">
        <v>714</v>
      </c>
      <c r="B505">
        <v>31</v>
      </c>
      <c r="C505" s="1">
        <v>44624</v>
      </c>
      <c r="D505">
        <v>2022</v>
      </c>
      <c r="E505" t="s">
        <v>198</v>
      </c>
      <c r="F505" t="s">
        <v>13</v>
      </c>
      <c r="G505" t="s">
        <v>203</v>
      </c>
      <c r="H505" t="s">
        <v>204</v>
      </c>
      <c r="I505">
        <v>1</v>
      </c>
      <c r="J505">
        <v>3398.38</v>
      </c>
      <c r="K505">
        <v>1</v>
      </c>
      <c r="L505" t="s">
        <v>193</v>
      </c>
      <c r="M505">
        <v>0</v>
      </c>
    </row>
    <row r="506" spans="1:13" x14ac:dyDescent="0.3">
      <c r="A506" t="s">
        <v>715</v>
      </c>
      <c r="B506">
        <v>31</v>
      </c>
      <c r="C506" s="1">
        <v>45026</v>
      </c>
      <c r="D506">
        <v>2023</v>
      </c>
      <c r="E506" t="s">
        <v>198</v>
      </c>
      <c r="F506" t="s">
        <v>12</v>
      </c>
      <c r="G506" t="s">
        <v>191</v>
      </c>
      <c r="H506" t="s">
        <v>192</v>
      </c>
      <c r="I506">
        <v>17</v>
      </c>
      <c r="J506">
        <v>968.02</v>
      </c>
      <c r="K506">
        <v>1</v>
      </c>
      <c r="L506" t="s">
        <v>210</v>
      </c>
      <c r="M506">
        <v>0</v>
      </c>
    </row>
    <row r="507" spans="1:13" x14ac:dyDescent="0.3">
      <c r="A507" t="s">
        <v>716</v>
      </c>
      <c r="B507">
        <v>31</v>
      </c>
      <c r="C507" s="1">
        <v>45170</v>
      </c>
      <c r="D507">
        <v>2023</v>
      </c>
      <c r="E507" t="s">
        <v>198</v>
      </c>
      <c r="F507" t="s">
        <v>209</v>
      </c>
      <c r="G507" t="s">
        <v>212</v>
      </c>
      <c r="H507" t="s">
        <v>206</v>
      </c>
      <c r="I507">
        <v>4</v>
      </c>
      <c r="J507">
        <v>204.78</v>
      </c>
      <c r="K507">
        <v>1</v>
      </c>
      <c r="L507" t="s">
        <v>215</v>
      </c>
      <c r="M507">
        <v>1</v>
      </c>
    </row>
    <row r="508" spans="1:13" x14ac:dyDescent="0.3">
      <c r="A508" t="s">
        <v>717</v>
      </c>
      <c r="B508">
        <v>31</v>
      </c>
      <c r="C508" s="1">
        <v>45270</v>
      </c>
      <c r="D508">
        <v>2023</v>
      </c>
      <c r="E508" t="s">
        <v>225</v>
      </c>
      <c r="F508" t="s">
        <v>13</v>
      </c>
      <c r="G508" t="s">
        <v>200</v>
      </c>
      <c r="H508" t="s">
        <v>204</v>
      </c>
      <c r="I508">
        <v>11</v>
      </c>
      <c r="J508">
        <v>3525.73</v>
      </c>
      <c r="K508">
        <v>1</v>
      </c>
      <c r="L508" t="s">
        <v>193</v>
      </c>
      <c r="M508">
        <v>0</v>
      </c>
    </row>
    <row r="509" spans="1:13" x14ac:dyDescent="0.3">
      <c r="A509" t="s">
        <v>718</v>
      </c>
      <c r="B509">
        <v>31</v>
      </c>
      <c r="C509" s="1">
        <v>45572</v>
      </c>
      <c r="D509">
        <v>2024</v>
      </c>
      <c r="E509" t="s">
        <v>190</v>
      </c>
      <c r="F509" t="s">
        <v>12</v>
      </c>
      <c r="G509" t="s">
        <v>191</v>
      </c>
      <c r="H509" t="s">
        <v>204</v>
      </c>
      <c r="I509">
        <v>7</v>
      </c>
      <c r="J509">
        <v>1198.6600000000001</v>
      </c>
      <c r="K509">
        <v>0</v>
      </c>
      <c r="L509" t="s">
        <v>201</v>
      </c>
      <c r="M509">
        <v>0</v>
      </c>
    </row>
    <row r="510" spans="1:13" x14ac:dyDescent="0.3">
      <c r="A510" t="s">
        <v>719</v>
      </c>
      <c r="B510">
        <v>31</v>
      </c>
      <c r="C510" s="1">
        <v>45536</v>
      </c>
      <c r="D510">
        <v>2024</v>
      </c>
      <c r="E510" t="s">
        <v>219</v>
      </c>
      <c r="F510" t="s">
        <v>209</v>
      </c>
      <c r="G510" t="s">
        <v>212</v>
      </c>
      <c r="H510" t="s">
        <v>195</v>
      </c>
      <c r="I510">
        <v>6</v>
      </c>
      <c r="J510">
        <v>519.92999999999995</v>
      </c>
      <c r="K510">
        <v>0</v>
      </c>
      <c r="L510" t="s">
        <v>215</v>
      </c>
      <c r="M510">
        <v>1</v>
      </c>
    </row>
    <row r="511" spans="1:13" x14ac:dyDescent="0.3">
      <c r="A511" t="s">
        <v>720</v>
      </c>
      <c r="B511">
        <v>32</v>
      </c>
      <c r="C511" s="1">
        <v>44231</v>
      </c>
      <c r="D511">
        <v>2021</v>
      </c>
      <c r="E511" t="s">
        <v>219</v>
      </c>
      <c r="F511" t="s">
        <v>199</v>
      </c>
      <c r="G511" t="s">
        <v>203</v>
      </c>
      <c r="H511" t="s">
        <v>195</v>
      </c>
      <c r="I511">
        <v>2</v>
      </c>
      <c r="J511">
        <v>6559.13</v>
      </c>
      <c r="K511">
        <v>0</v>
      </c>
      <c r="L511" t="s">
        <v>201</v>
      </c>
      <c r="M511">
        <v>0</v>
      </c>
    </row>
    <row r="512" spans="1:13" x14ac:dyDescent="0.3">
      <c r="A512" t="s">
        <v>721</v>
      </c>
      <c r="B512">
        <v>32</v>
      </c>
      <c r="C512" s="1">
        <v>44483</v>
      </c>
      <c r="D512">
        <v>2021</v>
      </c>
      <c r="E512" t="s">
        <v>214</v>
      </c>
      <c r="F512" t="s">
        <v>209</v>
      </c>
      <c r="G512" t="s">
        <v>212</v>
      </c>
      <c r="H512" t="s">
        <v>195</v>
      </c>
      <c r="I512">
        <v>4</v>
      </c>
      <c r="J512">
        <v>125.45</v>
      </c>
      <c r="K512">
        <v>0</v>
      </c>
      <c r="L512" t="s">
        <v>215</v>
      </c>
      <c r="M512">
        <v>1</v>
      </c>
    </row>
    <row r="513" spans="1:13" x14ac:dyDescent="0.3">
      <c r="A513" t="s">
        <v>722</v>
      </c>
      <c r="B513">
        <v>32</v>
      </c>
      <c r="C513" s="1">
        <v>44230</v>
      </c>
      <c r="D513">
        <v>2021</v>
      </c>
      <c r="E513" t="s">
        <v>190</v>
      </c>
      <c r="F513" t="s">
        <v>13</v>
      </c>
      <c r="G513" t="s">
        <v>212</v>
      </c>
      <c r="H513" t="s">
        <v>195</v>
      </c>
      <c r="I513">
        <v>9</v>
      </c>
      <c r="J513">
        <v>3282.73</v>
      </c>
      <c r="K513">
        <v>0</v>
      </c>
      <c r="L513" t="s">
        <v>193</v>
      </c>
      <c r="M513">
        <v>1</v>
      </c>
    </row>
    <row r="514" spans="1:13" x14ac:dyDescent="0.3">
      <c r="A514" t="s">
        <v>723</v>
      </c>
      <c r="B514">
        <v>32</v>
      </c>
      <c r="C514" s="1">
        <v>44890</v>
      </c>
      <c r="D514">
        <v>2022</v>
      </c>
      <c r="E514" t="s">
        <v>190</v>
      </c>
      <c r="F514" t="s">
        <v>209</v>
      </c>
      <c r="G514" t="s">
        <v>212</v>
      </c>
      <c r="H514" t="s">
        <v>195</v>
      </c>
      <c r="I514">
        <v>7</v>
      </c>
      <c r="J514">
        <v>129.82</v>
      </c>
      <c r="K514">
        <v>0</v>
      </c>
      <c r="L514" t="s">
        <v>210</v>
      </c>
      <c r="M514">
        <v>1</v>
      </c>
    </row>
    <row r="515" spans="1:13" x14ac:dyDescent="0.3">
      <c r="A515" t="s">
        <v>724</v>
      </c>
      <c r="B515">
        <v>32</v>
      </c>
      <c r="C515" s="1">
        <v>44609</v>
      </c>
      <c r="D515">
        <v>2022</v>
      </c>
      <c r="E515" t="s">
        <v>219</v>
      </c>
      <c r="F515" t="s">
        <v>199</v>
      </c>
      <c r="G515" t="s">
        <v>203</v>
      </c>
      <c r="H515" t="s">
        <v>195</v>
      </c>
      <c r="I515">
        <v>9</v>
      </c>
      <c r="J515">
        <v>4419.2700000000004</v>
      </c>
      <c r="K515">
        <v>0</v>
      </c>
      <c r="L515" t="s">
        <v>193</v>
      </c>
      <c r="M515">
        <v>0</v>
      </c>
    </row>
    <row r="516" spans="1:13" x14ac:dyDescent="0.3">
      <c r="A516" t="s">
        <v>725</v>
      </c>
      <c r="B516">
        <v>32</v>
      </c>
      <c r="C516" s="1">
        <v>44585</v>
      </c>
      <c r="D516">
        <v>2022</v>
      </c>
      <c r="E516" t="s">
        <v>227</v>
      </c>
      <c r="F516" t="s">
        <v>13</v>
      </c>
      <c r="G516" t="s">
        <v>200</v>
      </c>
      <c r="H516" t="s">
        <v>195</v>
      </c>
      <c r="I516">
        <v>14</v>
      </c>
      <c r="J516">
        <v>1516.2</v>
      </c>
      <c r="K516">
        <v>0</v>
      </c>
      <c r="L516" t="s">
        <v>201</v>
      </c>
      <c r="M516">
        <v>1</v>
      </c>
    </row>
    <row r="517" spans="1:13" x14ac:dyDescent="0.3">
      <c r="A517" t="s">
        <v>726</v>
      </c>
      <c r="B517">
        <v>32</v>
      </c>
      <c r="C517" s="1">
        <v>44678</v>
      </c>
      <c r="D517">
        <v>2022</v>
      </c>
      <c r="E517" t="s">
        <v>214</v>
      </c>
      <c r="F517" t="s">
        <v>12</v>
      </c>
      <c r="G517" t="s">
        <v>212</v>
      </c>
      <c r="H517" t="s">
        <v>195</v>
      </c>
      <c r="I517">
        <v>3</v>
      </c>
      <c r="J517">
        <v>532.03</v>
      </c>
      <c r="K517">
        <v>0</v>
      </c>
      <c r="L517" t="s">
        <v>196</v>
      </c>
      <c r="M517">
        <v>1</v>
      </c>
    </row>
    <row r="518" spans="1:13" x14ac:dyDescent="0.3">
      <c r="A518" t="s">
        <v>727</v>
      </c>
      <c r="B518">
        <v>32</v>
      </c>
      <c r="C518" s="1">
        <v>45028</v>
      </c>
      <c r="D518">
        <v>2023</v>
      </c>
      <c r="E518" t="s">
        <v>190</v>
      </c>
      <c r="F518" t="s">
        <v>13</v>
      </c>
      <c r="G518" t="s">
        <v>203</v>
      </c>
      <c r="H518" t="s">
        <v>195</v>
      </c>
      <c r="I518">
        <v>11</v>
      </c>
      <c r="J518">
        <v>1461.79</v>
      </c>
      <c r="K518">
        <v>0</v>
      </c>
      <c r="L518" t="s">
        <v>193</v>
      </c>
      <c r="M518">
        <v>0</v>
      </c>
    </row>
    <row r="519" spans="1:13" x14ac:dyDescent="0.3">
      <c r="A519" t="s">
        <v>728</v>
      </c>
      <c r="B519">
        <v>32</v>
      </c>
      <c r="C519" s="1">
        <v>44932</v>
      </c>
      <c r="D519">
        <v>2023</v>
      </c>
      <c r="E519" t="s">
        <v>225</v>
      </c>
      <c r="F519" t="s">
        <v>12</v>
      </c>
      <c r="G519" t="s">
        <v>212</v>
      </c>
      <c r="H519" t="s">
        <v>192</v>
      </c>
      <c r="I519">
        <v>3</v>
      </c>
      <c r="J519">
        <v>385.66</v>
      </c>
      <c r="K519">
        <v>0</v>
      </c>
      <c r="L519" t="s">
        <v>210</v>
      </c>
      <c r="M519">
        <v>1</v>
      </c>
    </row>
    <row r="520" spans="1:13" x14ac:dyDescent="0.3">
      <c r="A520" t="s">
        <v>729</v>
      </c>
      <c r="B520">
        <v>32</v>
      </c>
      <c r="C520" s="1">
        <v>44999</v>
      </c>
      <c r="D520">
        <v>2023</v>
      </c>
      <c r="E520" t="s">
        <v>214</v>
      </c>
      <c r="F520" t="s">
        <v>209</v>
      </c>
      <c r="G520" t="s">
        <v>212</v>
      </c>
      <c r="H520" t="s">
        <v>204</v>
      </c>
      <c r="I520">
        <v>9</v>
      </c>
      <c r="J520">
        <v>312.16000000000003</v>
      </c>
      <c r="K520">
        <v>0</v>
      </c>
      <c r="L520" t="s">
        <v>215</v>
      </c>
      <c r="M520">
        <v>1</v>
      </c>
    </row>
    <row r="521" spans="1:13" x14ac:dyDescent="0.3">
      <c r="A521" t="s">
        <v>730</v>
      </c>
      <c r="B521">
        <v>32</v>
      </c>
      <c r="C521" s="1">
        <v>45576</v>
      </c>
      <c r="D521">
        <v>2024</v>
      </c>
      <c r="E521" t="s">
        <v>190</v>
      </c>
      <c r="F521" t="s">
        <v>209</v>
      </c>
      <c r="G521" t="s">
        <v>191</v>
      </c>
      <c r="H521" t="s">
        <v>192</v>
      </c>
      <c r="I521">
        <v>6</v>
      </c>
      <c r="J521">
        <v>340.38</v>
      </c>
      <c r="K521">
        <v>0</v>
      </c>
      <c r="L521" t="s">
        <v>201</v>
      </c>
      <c r="M521">
        <v>0</v>
      </c>
    </row>
    <row r="522" spans="1:13" x14ac:dyDescent="0.3">
      <c r="A522" t="s">
        <v>731</v>
      </c>
      <c r="B522">
        <v>32</v>
      </c>
      <c r="C522" s="1">
        <v>45513</v>
      </c>
      <c r="D522">
        <v>2024</v>
      </c>
      <c r="E522" t="s">
        <v>214</v>
      </c>
      <c r="F522" t="s">
        <v>12</v>
      </c>
      <c r="G522" t="s">
        <v>191</v>
      </c>
      <c r="H522" t="s">
        <v>195</v>
      </c>
      <c r="I522">
        <v>5</v>
      </c>
      <c r="J522">
        <v>1294.53</v>
      </c>
      <c r="K522">
        <v>0</v>
      </c>
      <c r="L522" t="s">
        <v>210</v>
      </c>
      <c r="M522">
        <v>1</v>
      </c>
    </row>
    <row r="523" spans="1:13" x14ac:dyDescent="0.3">
      <c r="A523" t="s">
        <v>732</v>
      </c>
      <c r="B523">
        <v>32</v>
      </c>
      <c r="C523" s="1">
        <v>45507</v>
      </c>
      <c r="D523">
        <v>2024</v>
      </c>
      <c r="E523" t="s">
        <v>190</v>
      </c>
      <c r="F523" t="s">
        <v>209</v>
      </c>
      <c r="G523" t="s">
        <v>212</v>
      </c>
      <c r="H523" t="s">
        <v>192</v>
      </c>
      <c r="I523">
        <v>12</v>
      </c>
      <c r="J523">
        <v>137.84</v>
      </c>
      <c r="K523">
        <v>0</v>
      </c>
      <c r="L523" t="s">
        <v>210</v>
      </c>
      <c r="M523">
        <v>1</v>
      </c>
    </row>
    <row r="524" spans="1:13" x14ac:dyDescent="0.3">
      <c r="A524" t="s">
        <v>733</v>
      </c>
      <c r="B524">
        <v>32</v>
      </c>
      <c r="C524" s="1">
        <v>45916</v>
      </c>
      <c r="D524">
        <v>2025</v>
      </c>
      <c r="E524" t="s">
        <v>190</v>
      </c>
      <c r="F524" t="s">
        <v>13</v>
      </c>
      <c r="G524" t="s">
        <v>200</v>
      </c>
      <c r="H524" t="s">
        <v>204</v>
      </c>
      <c r="I524">
        <v>5</v>
      </c>
      <c r="J524">
        <v>3627.4</v>
      </c>
      <c r="K524">
        <v>0</v>
      </c>
      <c r="L524" t="s">
        <v>201</v>
      </c>
      <c r="M524">
        <v>0</v>
      </c>
    </row>
    <row r="525" spans="1:13" x14ac:dyDescent="0.3">
      <c r="A525" t="s">
        <v>734</v>
      </c>
      <c r="B525">
        <v>32</v>
      </c>
      <c r="C525" s="1">
        <v>45948</v>
      </c>
      <c r="D525">
        <v>2025</v>
      </c>
      <c r="E525" t="s">
        <v>214</v>
      </c>
      <c r="F525" t="s">
        <v>13</v>
      </c>
      <c r="G525" t="s">
        <v>212</v>
      </c>
      <c r="H525" t="s">
        <v>195</v>
      </c>
      <c r="I525">
        <v>4</v>
      </c>
      <c r="J525">
        <v>1996.23</v>
      </c>
      <c r="K525">
        <v>1</v>
      </c>
      <c r="L525" t="s">
        <v>201</v>
      </c>
      <c r="M525">
        <v>1</v>
      </c>
    </row>
    <row r="526" spans="1:13" x14ac:dyDescent="0.3">
      <c r="A526" t="s">
        <v>735</v>
      </c>
      <c r="B526">
        <v>32</v>
      </c>
      <c r="C526" s="1">
        <v>45854</v>
      </c>
      <c r="D526">
        <v>2025</v>
      </c>
      <c r="E526" t="s">
        <v>214</v>
      </c>
      <c r="F526" t="s">
        <v>199</v>
      </c>
      <c r="G526" t="s">
        <v>212</v>
      </c>
      <c r="H526" t="s">
        <v>195</v>
      </c>
      <c r="I526">
        <v>14</v>
      </c>
      <c r="J526">
        <v>5936.62</v>
      </c>
      <c r="K526">
        <v>1</v>
      </c>
      <c r="L526" t="s">
        <v>193</v>
      </c>
      <c r="M526">
        <v>1</v>
      </c>
    </row>
    <row r="527" spans="1:13" x14ac:dyDescent="0.3">
      <c r="A527" t="s">
        <v>736</v>
      </c>
      <c r="B527">
        <v>33</v>
      </c>
      <c r="C527" s="1">
        <v>44555</v>
      </c>
      <c r="D527">
        <v>2021</v>
      </c>
      <c r="E527" t="s">
        <v>214</v>
      </c>
      <c r="F527" t="s">
        <v>12</v>
      </c>
      <c r="G527" t="s">
        <v>200</v>
      </c>
      <c r="H527" t="s">
        <v>204</v>
      </c>
      <c r="I527">
        <v>14</v>
      </c>
      <c r="J527">
        <v>1225.06</v>
      </c>
      <c r="K527">
        <v>0</v>
      </c>
      <c r="L527" t="s">
        <v>210</v>
      </c>
      <c r="M527">
        <v>1</v>
      </c>
    </row>
    <row r="528" spans="1:13" x14ac:dyDescent="0.3">
      <c r="A528" t="s">
        <v>737</v>
      </c>
      <c r="B528">
        <v>33</v>
      </c>
      <c r="C528" s="1">
        <v>44531</v>
      </c>
      <c r="D528">
        <v>2021</v>
      </c>
      <c r="E528" t="s">
        <v>198</v>
      </c>
      <c r="F528" t="s">
        <v>12</v>
      </c>
      <c r="G528" t="s">
        <v>212</v>
      </c>
      <c r="H528" t="s">
        <v>206</v>
      </c>
      <c r="I528">
        <v>17</v>
      </c>
      <c r="J528">
        <v>1109.95</v>
      </c>
      <c r="K528">
        <v>1</v>
      </c>
      <c r="L528" t="s">
        <v>215</v>
      </c>
      <c r="M528">
        <v>1</v>
      </c>
    </row>
    <row r="529" spans="1:13" x14ac:dyDescent="0.3">
      <c r="A529" t="s">
        <v>738</v>
      </c>
      <c r="B529">
        <v>33</v>
      </c>
      <c r="C529" s="1">
        <v>44434</v>
      </c>
      <c r="D529">
        <v>2021</v>
      </c>
      <c r="E529" t="s">
        <v>190</v>
      </c>
      <c r="F529" t="s">
        <v>209</v>
      </c>
      <c r="G529" t="s">
        <v>191</v>
      </c>
      <c r="H529" t="s">
        <v>195</v>
      </c>
      <c r="I529">
        <v>8</v>
      </c>
      <c r="J529">
        <v>89.87</v>
      </c>
      <c r="K529">
        <v>0</v>
      </c>
      <c r="L529" t="s">
        <v>215</v>
      </c>
      <c r="M529">
        <v>0</v>
      </c>
    </row>
    <row r="530" spans="1:13" x14ac:dyDescent="0.3">
      <c r="A530" t="s">
        <v>739</v>
      </c>
      <c r="B530">
        <v>33</v>
      </c>
      <c r="C530" s="1">
        <v>44460</v>
      </c>
      <c r="D530">
        <v>2021</v>
      </c>
      <c r="E530" t="s">
        <v>214</v>
      </c>
      <c r="F530" t="s">
        <v>12</v>
      </c>
      <c r="G530" t="s">
        <v>200</v>
      </c>
      <c r="H530" t="s">
        <v>195</v>
      </c>
      <c r="I530">
        <v>11</v>
      </c>
      <c r="J530">
        <v>925.02</v>
      </c>
      <c r="K530">
        <v>0</v>
      </c>
      <c r="L530" t="s">
        <v>196</v>
      </c>
      <c r="M530">
        <v>1</v>
      </c>
    </row>
    <row r="531" spans="1:13" x14ac:dyDescent="0.3">
      <c r="A531" t="s">
        <v>740</v>
      </c>
      <c r="B531">
        <v>33</v>
      </c>
      <c r="C531" s="1">
        <v>44647</v>
      </c>
      <c r="D531">
        <v>2022</v>
      </c>
      <c r="E531" t="s">
        <v>190</v>
      </c>
      <c r="F531" t="s">
        <v>12</v>
      </c>
      <c r="G531" t="s">
        <v>212</v>
      </c>
      <c r="H531" t="s">
        <v>204</v>
      </c>
      <c r="I531">
        <v>7</v>
      </c>
      <c r="J531">
        <v>836.09</v>
      </c>
      <c r="K531">
        <v>0</v>
      </c>
      <c r="L531" t="s">
        <v>215</v>
      </c>
      <c r="M531">
        <v>1</v>
      </c>
    </row>
    <row r="532" spans="1:13" x14ac:dyDescent="0.3">
      <c r="A532" t="s">
        <v>741</v>
      </c>
      <c r="B532">
        <v>33</v>
      </c>
      <c r="C532" s="1">
        <v>45201</v>
      </c>
      <c r="D532">
        <v>2023</v>
      </c>
      <c r="E532" t="s">
        <v>198</v>
      </c>
      <c r="F532" t="s">
        <v>199</v>
      </c>
      <c r="G532" t="s">
        <v>212</v>
      </c>
      <c r="H532" t="s">
        <v>195</v>
      </c>
      <c r="I532">
        <v>4</v>
      </c>
      <c r="J532">
        <v>6481.45</v>
      </c>
      <c r="K532">
        <v>1</v>
      </c>
      <c r="L532" t="s">
        <v>201</v>
      </c>
      <c r="M532">
        <v>1</v>
      </c>
    </row>
    <row r="533" spans="1:13" x14ac:dyDescent="0.3">
      <c r="A533" t="s">
        <v>742</v>
      </c>
      <c r="B533">
        <v>33</v>
      </c>
      <c r="C533" s="1">
        <v>45126</v>
      </c>
      <c r="D533">
        <v>2023</v>
      </c>
      <c r="E533" t="s">
        <v>198</v>
      </c>
      <c r="F533" t="s">
        <v>12</v>
      </c>
      <c r="G533" t="s">
        <v>212</v>
      </c>
      <c r="H533" t="s">
        <v>195</v>
      </c>
      <c r="I533">
        <v>7</v>
      </c>
      <c r="J533">
        <v>711.96</v>
      </c>
      <c r="K533">
        <v>1</v>
      </c>
      <c r="L533" t="s">
        <v>210</v>
      </c>
      <c r="M533">
        <v>1</v>
      </c>
    </row>
    <row r="534" spans="1:13" x14ac:dyDescent="0.3">
      <c r="A534" t="s">
        <v>743</v>
      </c>
      <c r="B534">
        <v>33</v>
      </c>
      <c r="C534" s="1">
        <v>45011</v>
      </c>
      <c r="D534">
        <v>2023</v>
      </c>
      <c r="E534" t="s">
        <v>190</v>
      </c>
      <c r="F534" t="s">
        <v>13</v>
      </c>
      <c r="G534" t="s">
        <v>212</v>
      </c>
      <c r="H534" t="s">
        <v>204</v>
      </c>
      <c r="I534">
        <v>12</v>
      </c>
      <c r="J534">
        <v>1721.17</v>
      </c>
      <c r="K534">
        <v>1</v>
      </c>
      <c r="L534" t="s">
        <v>193</v>
      </c>
      <c r="M534">
        <v>1</v>
      </c>
    </row>
    <row r="535" spans="1:13" x14ac:dyDescent="0.3">
      <c r="A535" t="s">
        <v>744</v>
      </c>
      <c r="B535">
        <v>33</v>
      </c>
      <c r="C535" s="1">
        <v>45577</v>
      </c>
      <c r="D535">
        <v>2024</v>
      </c>
      <c r="E535" t="s">
        <v>190</v>
      </c>
      <c r="F535" t="s">
        <v>209</v>
      </c>
      <c r="G535" t="s">
        <v>212</v>
      </c>
      <c r="H535" t="s">
        <v>192</v>
      </c>
      <c r="I535">
        <v>3</v>
      </c>
      <c r="J535">
        <v>563.16</v>
      </c>
      <c r="K535">
        <v>0</v>
      </c>
      <c r="L535" t="s">
        <v>210</v>
      </c>
      <c r="M535">
        <v>1</v>
      </c>
    </row>
    <row r="536" spans="1:13" x14ac:dyDescent="0.3">
      <c r="A536" t="s">
        <v>745</v>
      </c>
      <c r="B536">
        <v>33</v>
      </c>
      <c r="C536" s="1">
        <v>45324</v>
      </c>
      <c r="D536">
        <v>2024</v>
      </c>
      <c r="E536" t="s">
        <v>214</v>
      </c>
      <c r="F536" t="s">
        <v>209</v>
      </c>
      <c r="G536" t="s">
        <v>203</v>
      </c>
      <c r="H536" t="s">
        <v>195</v>
      </c>
      <c r="I536">
        <v>7</v>
      </c>
      <c r="J536">
        <v>500.94</v>
      </c>
      <c r="K536">
        <v>0</v>
      </c>
      <c r="L536" t="s">
        <v>215</v>
      </c>
      <c r="M536">
        <v>0</v>
      </c>
    </row>
    <row r="537" spans="1:13" x14ac:dyDescent="0.3">
      <c r="A537" t="s">
        <v>746</v>
      </c>
      <c r="B537">
        <v>33</v>
      </c>
      <c r="C537" s="1">
        <v>45798</v>
      </c>
      <c r="D537">
        <v>2025</v>
      </c>
      <c r="E537" t="s">
        <v>287</v>
      </c>
      <c r="F537" t="s">
        <v>13</v>
      </c>
      <c r="G537" t="s">
        <v>212</v>
      </c>
      <c r="H537" t="s">
        <v>195</v>
      </c>
      <c r="I537">
        <v>14</v>
      </c>
      <c r="J537">
        <v>1747.05</v>
      </c>
      <c r="K537">
        <v>0</v>
      </c>
      <c r="L537" t="s">
        <v>196</v>
      </c>
      <c r="M537">
        <v>1</v>
      </c>
    </row>
    <row r="538" spans="1:13" x14ac:dyDescent="0.3">
      <c r="A538" t="s">
        <v>747</v>
      </c>
      <c r="B538">
        <v>33</v>
      </c>
      <c r="C538" s="1">
        <v>45764</v>
      </c>
      <c r="D538">
        <v>2025</v>
      </c>
      <c r="E538" t="s">
        <v>225</v>
      </c>
      <c r="F538" t="s">
        <v>12</v>
      </c>
      <c r="G538" t="s">
        <v>200</v>
      </c>
      <c r="H538" t="s">
        <v>204</v>
      </c>
      <c r="I538">
        <v>10</v>
      </c>
      <c r="J538">
        <v>1097.3800000000001</v>
      </c>
      <c r="K538">
        <v>0</v>
      </c>
      <c r="L538" t="s">
        <v>201</v>
      </c>
      <c r="M538">
        <v>0</v>
      </c>
    </row>
    <row r="539" spans="1:13" x14ac:dyDescent="0.3">
      <c r="A539" t="s">
        <v>748</v>
      </c>
      <c r="B539">
        <v>33</v>
      </c>
      <c r="C539" s="1">
        <v>45985</v>
      </c>
      <c r="D539">
        <v>2025</v>
      </c>
      <c r="E539" t="s">
        <v>214</v>
      </c>
      <c r="F539" t="s">
        <v>209</v>
      </c>
      <c r="G539" t="s">
        <v>212</v>
      </c>
      <c r="H539" t="s">
        <v>192</v>
      </c>
      <c r="I539">
        <v>9</v>
      </c>
      <c r="J539">
        <v>433.35</v>
      </c>
      <c r="K539">
        <v>0</v>
      </c>
      <c r="L539" t="s">
        <v>215</v>
      </c>
      <c r="M539">
        <v>1</v>
      </c>
    </row>
    <row r="540" spans="1:13" x14ac:dyDescent="0.3">
      <c r="A540" t="s">
        <v>749</v>
      </c>
      <c r="B540">
        <v>34</v>
      </c>
      <c r="C540" s="1">
        <v>44341</v>
      </c>
      <c r="D540">
        <v>2021</v>
      </c>
      <c r="E540" t="s">
        <v>214</v>
      </c>
      <c r="F540" t="s">
        <v>13</v>
      </c>
      <c r="G540" t="s">
        <v>200</v>
      </c>
      <c r="H540" t="s">
        <v>204</v>
      </c>
      <c r="I540">
        <v>4</v>
      </c>
      <c r="J540">
        <v>3836.36</v>
      </c>
      <c r="K540">
        <v>0</v>
      </c>
      <c r="L540" t="s">
        <v>201</v>
      </c>
      <c r="M540">
        <v>1</v>
      </c>
    </row>
    <row r="541" spans="1:13" x14ac:dyDescent="0.3">
      <c r="A541" t="s">
        <v>750</v>
      </c>
      <c r="B541">
        <v>34</v>
      </c>
      <c r="C541" s="1">
        <v>44372</v>
      </c>
      <c r="D541">
        <v>2021</v>
      </c>
      <c r="E541" t="s">
        <v>214</v>
      </c>
      <c r="F541" t="s">
        <v>199</v>
      </c>
      <c r="G541" t="s">
        <v>200</v>
      </c>
      <c r="H541" t="s">
        <v>195</v>
      </c>
      <c r="I541">
        <v>10</v>
      </c>
      <c r="J541">
        <v>6466.18</v>
      </c>
      <c r="K541">
        <v>0</v>
      </c>
      <c r="L541" t="s">
        <v>196</v>
      </c>
      <c r="M541">
        <v>0</v>
      </c>
    </row>
    <row r="542" spans="1:13" x14ac:dyDescent="0.3">
      <c r="A542" t="s">
        <v>751</v>
      </c>
      <c r="B542">
        <v>34</v>
      </c>
      <c r="C542" s="1">
        <v>44314</v>
      </c>
      <c r="D542">
        <v>2021</v>
      </c>
      <c r="E542" t="s">
        <v>198</v>
      </c>
      <c r="F542" t="s">
        <v>199</v>
      </c>
      <c r="G542" t="s">
        <v>203</v>
      </c>
      <c r="H542" t="s">
        <v>206</v>
      </c>
      <c r="I542">
        <v>18</v>
      </c>
      <c r="J542">
        <v>7246.96</v>
      </c>
      <c r="K542">
        <v>1</v>
      </c>
      <c r="L542" t="s">
        <v>196</v>
      </c>
      <c r="M542">
        <v>0</v>
      </c>
    </row>
    <row r="543" spans="1:13" x14ac:dyDescent="0.3">
      <c r="A543" t="s">
        <v>752</v>
      </c>
      <c r="B543">
        <v>34</v>
      </c>
      <c r="C543" s="1">
        <v>44675</v>
      </c>
      <c r="D543">
        <v>2022</v>
      </c>
      <c r="E543" t="s">
        <v>227</v>
      </c>
      <c r="F543" t="s">
        <v>12</v>
      </c>
      <c r="G543" t="s">
        <v>212</v>
      </c>
      <c r="H543" t="s">
        <v>195</v>
      </c>
      <c r="I543">
        <v>14</v>
      </c>
      <c r="J543">
        <v>1288.02</v>
      </c>
      <c r="K543">
        <v>0</v>
      </c>
      <c r="L543" t="s">
        <v>201</v>
      </c>
      <c r="M543">
        <v>1</v>
      </c>
    </row>
    <row r="544" spans="1:13" x14ac:dyDescent="0.3">
      <c r="A544" t="s">
        <v>753</v>
      </c>
      <c r="B544">
        <v>34</v>
      </c>
      <c r="C544" s="1">
        <v>44635</v>
      </c>
      <c r="D544">
        <v>2022</v>
      </c>
      <c r="E544" t="s">
        <v>219</v>
      </c>
      <c r="F544" t="s">
        <v>13</v>
      </c>
      <c r="G544" t="s">
        <v>212</v>
      </c>
      <c r="H544" t="s">
        <v>204</v>
      </c>
      <c r="I544">
        <v>19</v>
      </c>
      <c r="J544">
        <v>1869.09</v>
      </c>
      <c r="K544">
        <v>0</v>
      </c>
      <c r="L544" t="s">
        <v>201</v>
      </c>
      <c r="M544">
        <v>1</v>
      </c>
    </row>
    <row r="545" spans="1:13" x14ac:dyDescent="0.3">
      <c r="A545" t="s">
        <v>754</v>
      </c>
      <c r="B545">
        <v>34</v>
      </c>
      <c r="C545" s="1">
        <v>44689</v>
      </c>
      <c r="D545">
        <v>2022</v>
      </c>
      <c r="E545" t="s">
        <v>214</v>
      </c>
      <c r="F545" t="s">
        <v>12</v>
      </c>
      <c r="G545" t="s">
        <v>191</v>
      </c>
      <c r="H545" t="s">
        <v>206</v>
      </c>
      <c r="I545">
        <v>11</v>
      </c>
      <c r="J545">
        <v>492.91</v>
      </c>
      <c r="K545">
        <v>0</v>
      </c>
      <c r="L545" t="s">
        <v>210</v>
      </c>
      <c r="M545">
        <v>1</v>
      </c>
    </row>
    <row r="546" spans="1:13" x14ac:dyDescent="0.3">
      <c r="A546" t="s">
        <v>755</v>
      </c>
      <c r="B546">
        <v>34</v>
      </c>
      <c r="C546" s="1">
        <v>45497</v>
      </c>
      <c r="D546">
        <v>2024</v>
      </c>
      <c r="E546" t="s">
        <v>198</v>
      </c>
      <c r="F546" t="s">
        <v>13</v>
      </c>
      <c r="G546" t="s">
        <v>191</v>
      </c>
      <c r="H546" t="s">
        <v>192</v>
      </c>
      <c r="I546">
        <v>3</v>
      </c>
      <c r="J546">
        <v>2399.35</v>
      </c>
      <c r="K546">
        <v>1</v>
      </c>
      <c r="L546" t="s">
        <v>193</v>
      </c>
      <c r="M546">
        <v>0</v>
      </c>
    </row>
    <row r="547" spans="1:13" x14ac:dyDescent="0.3">
      <c r="A547" t="s">
        <v>756</v>
      </c>
      <c r="B547">
        <v>34</v>
      </c>
      <c r="C547" s="1">
        <v>45390</v>
      </c>
      <c r="D547">
        <v>2024</v>
      </c>
      <c r="E547" t="s">
        <v>190</v>
      </c>
      <c r="F547" t="s">
        <v>199</v>
      </c>
      <c r="G547" t="s">
        <v>191</v>
      </c>
      <c r="H547" t="s">
        <v>195</v>
      </c>
      <c r="I547">
        <v>2</v>
      </c>
      <c r="J547">
        <v>4736.5600000000004</v>
      </c>
      <c r="K547">
        <v>1</v>
      </c>
      <c r="L547" t="s">
        <v>201</v>
      </c>
      <c r="M547">
        <v>0</v>
      </c>
    </row>
    <row r="548" spans="1:13" x14ac:dyDescent="0.3">
      <c r="A548" t="s">
        <v>757</v>
      </c>
      <c r="B548">
        <v>34</v>
      </c>
      <c r="C548" s="1">
        <v>45590</v>
      </c>
      <c r="D548">
        <v>2024</v>
      </c>
      <c r="E548" t="s">
        <v>190</v>
      </c>
      <c r="F548" t="s">
        <v>12</v>
      </c>
      <c r="G548" t="s">
        <v>212</v>
      </c>
      <c r="H548" t="s">
        <v>206</v>
      </c>
      <c r="I548">
        <v>18</v>
      </c>
      <c r="J548">
        <v>759</v>
      </c>
      <c r="K548">
        <v>0</v>
      </c>
      <c r="L548" t="s">
        <v>201</v>
      </c>
      <c r="M548">
        <v>1</v>
      </c>
    </row>
    <row r="549" spans="1:13" x14ac:dyDescent="0.3">
      <c r="A549" t="s">
        <v>758</v>
      </c>
      <c r="B549">
        <v>34</v>
      </c>
      <c r="C549" s="1">
        <v>45663</v>
      </c>
      <c r="D549">
        <v>2025</v>
      </c>
      <c r="E549" t="s">
        <v>198</v>
      </c>
      <c r="F549" t="s">
        <v>209</v>
      </c>
      <c r="G549" t="s">
        <v>212</v>
      </c>
      <c r="H549" t="s">
        <v>206</v>
      </c>
      <c r="I549">
        <v>15</v>
      </c>
      <c r="J549">
        <v>249.01</v>
      </c>
      <c r="K549">
        <v>1</v>
      </c>
      <c r="L549" t="s">
        <v>215</v>
      </c>
      <c r="M549">
        <v>1</v>
      </c>
    </row>
    <row r="550" spans="1:13" x14ac:dyDescent="0.3">
      <c r="A550" t="s">
        <v>759</v>
      </c>
      <c r="B550">
        <v>34</v>
      </c>
      <c r="C550" s="1">
        <v>45901</v>
      </c>
      <c r="D550">
        <v>2025</v>
      </c>
      <c r="E550" t="s">
        <v>198</v>
      </c>
      <c r="F550" t="s">
        <v>199</v>
      </c>
      <c r="G550" t="s">
        <v>203</v>
      </c>
      <c r="H550" t="s">
        <v>195</v>
      </c>
      <c r="I550">
        <v>13</v>
      </c>
      <c r="J550">
        <v>7884.51</v>
      </c>
      <c r="K550">
        <v>1</v>
      </c>
      <c r="L550" t="s">
        <v>193</v>
      </c>
      <c r="M550">
        <v>0</v>
      </c>
    </row>
    <row r="551" spans="1:13" x14ac:dyDescent="0.3">
      <c r="A551" t="s">
        <v>760</v>
      </c>
      <c r="B551">
        <v>34</v>
      </c>
      <c r="C551" s="1">
        <v>45677</v>
      </c>
      <c r="D551">
        <v>2025</v>
      </c>
      <c r="E551" t="s">
        <v>225</v>
      </c>
      <c r="F551" t="s">
        <v>13</v>
      </c>
      <c r="G551" t="s">
        <v>191</v>
      </c>
      <c r="H551" t="s">
        <v>192</v>
      </c>
      <c r="I551">
        <v>15</v>
      </c>
      <c r="J551">
        <v>2811.07</v>
      </c>
      <c r="K551">
        <v>1</v>
      </c>
      <c r="L551" t="s">
        <v>215</v>
      </c>
      <c r="M551">
        <v>0</v>
      </c>
    </row>
    <row r="552" spans="1:13" x14ac:dyDescent="0.3">
      <c r="A552" t="s">
        <v>761</v>
      </c>
      <c r="B552">
        <v>35</v>
      </c>
      <c r="C552" s="1">
        <v>44245</v>
      </c>
      <c r="D552">
        <v>2021</v>
      </c>
      <c r="E552" t="s">
        <v>214</v>
      </c>
      <c r="F552" t="s">
        <v>13</v>
      </c>
      <c r="G552" t="s">
        <v>200</v>
      </c>
      <c r="H552" t="s">
        <v>195</v>
      </c>
      <c r="I552">
        <v>17</v>
      </c>
      <c r="J552">
        <v>3990.8</v>
      </c>
      <c r="K552">
        <v>1</v>
      </c>
      <c r="L552" t="s">
        <v>201</v>
      </c>
      <c r="M552">
        <v>0</v>
      </c>
    </row>
    <row r="553" spans="1:13" x14ac:dyDescent="0.3">
      <c r="A553" t="s">
        <v>762</v>
      </c>
      <c r="B553">
        <v>35</v>
      </c>
      <c r="C553" s="1">
        <v>44306</v>
      </c>
      <c r="D553">
        <v>2021</v>
      </c>
      <c r="E553" t="s">
        <v>214</v>
      </c>
      <c r="F553" t="s">
        <v>13</v>
      </c>
      <c r="G553" t="s">
        <v>200</v>
      </c>
      <c r="H553" t="s">
        <v>192</v>
      </c>
      <c r="I553">
        <v>7</v>
      </c>
      <c r="J553">
        <v>3086.25</v>
      </c>
      <c r="K553">
        <v>1</v>
      </c>
      <c r="L553" t="s">
        <v>210</v>
      </c>
      <c r="M553">
        <v>0</v>
      </c>
    </row>
    <row r="554" spans="1:13" x14ac:dyDescent="0.3">
      <c r="A554" t="s">
        <v>763</v>
      </c>
      <c r="B554">
        <v>35</v>
      </c>
      <c r="C554" s="1">
        <v>44401</v>
      </c>
      <c r="D554">
        <v>2021</v>
      </c>
      <c r="E554" t="s">
        <v>198</v>
      </c>
      <c r="F554" t="s">
        <v>199</v>
      </c>
      <c r="G554" t="s">
        <v>203</v>
      </c>
      <c r="H554" t="s">
        <v>192</v>
      </c>
      <c r="I554">
        <v>16</v>
      </c>
      <c r="J554">
        <v>4857.68</v>
      </c>
      <c r="K554">
        <v>1</v>
      </c>
      <c r="L554" t="s">
        <v>196</v>
      </c>
      <c r="M554">
        <v>0</v>
      </c>
    </row>
    <row r="555" spans="1:13" x14ac:dyDescent="0.3">
      <c r="A555" t="s">
        <v>764</v>
      </c>
      <c r="B555">
        <v>35</v>
      </c>
      <c r="C555" s="1">
        <v>44231</v>
      </c>
      <c r="D555">
        <v>2021</v>
      </c>
      <c r="E555" t="s">
        <v>225</v>
      </c>
      <c r="F555" t="s">
        <v>199</v>
      </c>
      <c r="G555" t="s">
        <v>191</v>
      </c>
      <c r="H555" t="s">
        <v>192</v>
      </c>
      <c r="I555">
        <v>8</v>
      </c>
      <c r="J555">
        <v>2804.63</v>
      </c>
      <c r="K555">
        <v>0</v>
      </c>
      <c r="L555" t="s">
        <v>196</v>
      </c>
      <c r="M555">
        <v>0</v>
      </c>
    </row>
    <row r="556" spans="1:13" x14ac:dyDescent="0.3">
      <c r="A556" t="s">
        <v>765</v>
      </c>
      <c r="B556">
        <v>35</v>
      </c>
      <c r="C556" s="1">
        <v>44472</v>
      </c>
      <c r="D556">
        <v>2021</v>
      </c>
      <c r="E556" t="s">
        <v>190</v>
      </c>
      <c r="F556" t="s">
        <v>12</v>
      </c>
      <c r="G556" t="s">
        <v>200</v>
      </c>
      <c r="H556" t="s">
        <v>192</v>
      </c>
      <c r="I556">
        <v>16</v>
      </c>
      <c r="J556">
        <v>516.07000000000005</v>
      </c>
      <c r="K556">
        <v>0</v>
      </c>
      <c r="L556" t="s">
        <v>210</v>
      </c>
      <c r="M556">
        <v>0</v>
      </c>
    </row>
    <row r="557" spans="1:13" x14ac:dyDescent="0.3">
      <c r="A557" t="s">
        <v>766</v>
      </c>
      <c r="B557">
        <v>35</v>
      </c>
      <c r="C557" s="1">
        <v>44359</v>
      </c>
      <c r="D557">
        <v>2021</v>
      </c>
      <c r="E557" t="s">
        <v>198</v>
      </c>
      <c r="F557" t="s">
        <v>199</v>
      </c>
      <c r="G557" t="s">
        <v>212</v>
      </c>
      <c r="H557" t="s">
        <v>195</v>
      </c>
      <c r="I557">
        <v>12</v>
      </c>
      <c r="J557">
        <v>7160.87</v>
      </c>
      <c r="K557">
        <v>1</v>
      </c>
      <c r="L557" t="s">
        <v>193</v>
      </c>
      <c r="M557">
        <v>1</v>
      </c>
    </row>
    <row r="558" spans="1:13" x14ac:dyDescent="0.3">
      <c r="A558" t="s">
        <v>767</v>
      </c>
      <c r="B558">
        <v>35</v>
      </c>
      <c r="C558" s="1">
        <v>45206</v>
      </c>
      <c r="D558">
        <v>2023</v>
      </c>
      <c r="E558" t="s">
        <v>198</v>
      </c>
      <c r="F558" t="s">
        <v>12</v>
      </c>
      <c r="G558" t="s">
        <v>200</v>
      </c>
      <c r="H558" t="s">
        <v>204</v>
      </c>
      <c r="I558">
        <v>15</v>
      </c>
      <c r="J558">
        <v>943.16</v>
      </c>
      <c r="K558">
        <v>1</v>
      </c>
      <c r="L558" t="s">
        <v>215</v>
      </c>
      <c r="M558">
        <v>1</v>
      </c>
    </row>
    <row r="559" spans="1:13" x14ac:dyDescent="0.3">
      <c r="A559" t="s">
        <v>768</v>
      </c>
      <c r="B559">
        <v>35</v>
      </c>
      <c r="C559" s="1">
        <v>45087</v>
      </c>
      <c r="D559">
        <v>2023</v>
      </c>
      <c r="E559" t="s">
        <v>198</v>
      </c>
      <c r="F559" t="s">
        <v>199</v>
      </c>
      <c r="G559" t="s">
        <v>191</v>
      </c>
      <c r="H559" t="s">
        <v>195</v>
      </c>
      <c r="I559">
        <v>4</v>
      </c>
      <c r="J559">
        <v>5407.34</v>
      </c>
      <c r="K559">
        <v>1</v>
      </c>
      <c r="L559" t="s">
        <v>196</v>
      </c>
      <c r="M559">
        <v>0</v>
      </c>
    </row>
    <row r="560" spans="1:13" x14ac:dyDescent="0.3">
      <c r="A560" t="s">
        <v>769</v>
      </c>
      <c r="B560">
        <v>35</v>
      </c>
      <c r="C560" s="1">
        <v>45223</v>
      </c>
      <c r="D560">
        <v>2023</v>
      </c>
      <c r="E560" t="s">
        <v>198</v>
      </c>
      <c r="F560" t="s">
        <v>13</v>
      </c>
      <c r="G560" t="s">
        <v>212</v>
      </c>
      <c r="H560" t="s">
        <v>206</v>
      </c>
      <c r="I560">
        <v>11</v>
      </c>
      <c r="J560">
        <v>2104.73</v>
      </c>
      <c r="K560">
        <v>1</v>
      </c>
      <c r="L560" t="s">
        <v>215</v>
      </c>
      <c r="M560">
        <v>1</v>
      </c>
    </row>
    <row r="561" spans="1:13" x14ac:dyDescent="0.3">
      <c r="A561" t="s">
        <v>770</v>
      </c>
      <c r="B561">
        <v>35</v>
      </c>
      <c r="C561" s="1">
        <v>45056</v>
      </c>
      <c r="D561">
        <v>2023</v>
      </c>
      <c r="E561" t="s">
        <v>287</v>
      </c>
      <c r="F561" t="s">
        <v>13</v>
      </c>
      <c r="G561" t="s">
        <v>203</v>
      </c>
      <c r="H561" t="s">
        <v>206</v>
      </c>
      <c r="I561">
        <v>9</v>
      </c>
      <c r="J561">
        <v>2208.5700000000002</v>
      </c>
      <c r="K561">
        <v>0</v>
      </c>
      <c r="L561" t="s">
        <v>196</v>
      </c>
      <c r="M561">
        <v>1</v>
      </c>
    </row>
    <row r="562" spans="1:13" x14ac:dyDescent="0.3">
      <c r="A562" t="s">
        <v>771</v>
      </c>
      <c r="B562">
        <v>35</v>
      </c>
      <c r="C562" s="1">
        <v>45584</v>
      </c>
      <c r="D562">
        <v>2024</v>
      </c>
      <c r="E562" t="s">
        <v>198</v>
      </c>
      <c r="F562" t="s">
        <v>199</v>
      </c>
      <c r="G562" t="s">
        <v>191</v>
      </c>
      <c r="H562" t="s">
        <v>204</v>
      </c>
      <c r="I562">
        <v>15</v>
      </c>
      <c r="J562">
        <v>6029.62</v>
      </c>
      <c r="K562">
        <v>1</v>
      </c>
      <c r="L562" t="s">
        <v>196</v>
      </c>
      <c r="M562">
        <v>0</v>
      </c>
    </row>
    <row r="563" spans="1:13" x14ac:dyDescent="0.3">
      <c r="A563" t="s">
        <v>772</v>
      </c>
      <c r="B563">
        <v>35</v>
      </c>
      <c r="C563" s="1">
        <v>45507</v>
      </c>
      <c r="D563">
        <v>2024</v>
      </c>
      <c r="E563" t="s">
        <v>198</v>
      </c>
      <c r="F563" t="s">
        <v>199</v>
      </c>
      <c r="G563" t="s">
        <v>212</v>
      </c>
      <c r="H563" t="s">
        <v>195</v>
      </c>
      <c r="I563">
        <v>11</v>
      </c>
      <c r="J563">
        <v>5628.19</v>
      </c>
      <c r="K563">
        <v>1</v>
      </c>
      <c r="L563" t="s">
        <v>196</v>
      </c>
      <c r="M563">
        <v>1</v>
      </c>
    </row>
    <row r="564" spans="1:13" x14ac:dyDescent="0.3">
      <c r="A564" t="s">
        <v>773</v>
      </c>
      <c r="B564">
        <v>35</v>
      </c>
      <c r="C564" s="1">
        <v>45413</v>
      </c>
      <c r="D564">
        <v>2024</v>
      </c>
      <c r="E564" t="s">
        <v>190</v>
      </c>
      <c r="F564" t="s">
        <v>199</v>
      </c>
      <c r="G564" t="s">
        <v>212</v>
      </c>
      <c r="H564" t="s">
        <v>192</v>
      </c>
      <c r="I564">
        <v>17</v>
      </c>
      <c r="J564">
        <v>7212.59</v>
      </c>
      <c r="K564">
        <v>0</v>
      </c>
      <c r="L564" t="s">
        <v>196</v>
      </c>
      <c r="M564">
        <v>1</v>
      </c>
    </row>
    <row r="565" spans="1:13" x14ac:dyDescent="0.3">
      <c r="A565" t="s">
        <v>774</v>
      </c>
      <c r="B565">
        <v>35</v>
      </c>
      <c r="C565" s="1">
        <v>45328</v>
      </c>
      <c r="D565">
        <v>2024</v>
      </c>
      <c r="E565" t="s">
        <v>198</v>
      </c>
      <c r="F565" t="s">
        <v>199</v>
      </c>
      <c r="G565" t="s">
        <v>203</v>
      </c>
      <c r="H565" t="s">
        <v>195</v>
      </c>
      <c r="I565">
        <v>11</v>
      </c>
      <c r="J565">
        <v>6769.48</v>
      </c>
      <c r="K565">
        <v>1</v>
      </c>
      <c r="L565" t="s">
        <v>196</v>
      </c>
      <c r="M565">
        <v>1</v>
      </c>
    </row>
    <row r="566" spans="1:13" x14ac:dyDescent="0.3">
      <c r="A566" t="s">
        <v>775</v>
      </c>
      <c r="B566">
        <v>35</v>
      </c>
      <c r="C566" s="1">
        <v>45305</v>
      </c>
      <c r="D566">
        <v>2024</v>
      </c>
      <c r="E566" t="s">
        <v>190</v>
      </c>
      <c r="F566" t="s">
        <v>209</v>
      </c>
      <c r="G566" t="s">
        <v>212</v>
      </c>
      <c r="H566" t="s">
        <v>206</v>
      </c>
      <c r="I566">
        <v>9</v>
      </c>
      <c r="J566">
        <v>384.14</v>
      </c>
      <c r="K566">
        <v>0</v>
      </c>
      <c r="L566" t="s">
        <v>215</v>
      </c>
      <c r="M566">
        <v>1</v>
      </c>
    </row>
    <row r="567" spans="1:13" x14ac:dyDescent="0.3">
      <c r="A567" t="s">
        <v>776</v>
      </c>
      <c r="B567">
        <v>35</v>
      </c>
      <c r="C567" s="1">
        <v>45312</v>
      </c>
      <c r="D567">
        <v>2024</v>
      </c>
      <c r="E567" t="s">
        <v>225</v>
      </c>
      <c r="F567" t="s">
        <v>13</v>
      </c>
      <c r="G567" t="s">
        <v>203</v>
      </c>
      <c r="H567" t="s">
        <v>206</v>
      </c>
      <c r="I567">
        <v>5</v>
      </c>
      <c r="J567">
        <v>3173.2</v>
      </c>
      <c r="K567">
        <v>0</v>
      </c>
      <c r="L567" t="s">
        <v>210</v>
      </c>
      <c r="M567">
        <v>0</v>
      </c>
    </row>
    <row r="568" spans="1:13" x14ac:dyDescent="0.3">
      <c r="A568" t="s">
        <v>777</v>
      </c>
      <c r="B568">
        <v>35</v>
      </c>
      <c r="C568" s="1">
        <v>45829</v>
      </c>
      <c r="D568">
        <v>2025</v>
      </c>
      <c r="E568" t="s">
        <v>214</v>
      </c>
      <c r="F568" t="s">
        <v>199</v>
      </c>
      <c r="G568" t="s">
        <v>200</v>
      </c>
      <c r="H568" t="s">
        <v>192</v>
      </c>
      <c r="I568">
        <v>12</v>
      </c>
      <c r="J568">
        <v>6663.57</v>
      </c>
      <c r="K568">
        <v>0</v>
      </c>
      <c r="L568" t="s">
        <v>196</v>
      </c>
      <c r="M568">
        <v>1</v>
      </c>
    </row>
    <row r="569" spans="1:13" x14ac:dyDescent="0.3">
      <c r="A569" t="s">
        <v>778</v>
      </c>
      <c r="B569">
        <v>35</v>
      </c>
      <c r="C569" s="1">
        <v>45822</v>
      </c>
      <c r="D569">
        <v>2025</v>
      </c>
      <c r="E569" t="s">
        <v>190</v>
      </c>
      <c r="F569" t="s">
        <v>209</v>
      </c>
      <c r="G569" t="s">
        <v>203</v>
      </c>
      <c r="H569" t="s">
        <v>195</v>
      </c>
      <c r="I569">
        <v>7</v>
      </c>
      <c r="J569">
        <v>366</v>
      </c>
      <c r="K569">
        <v>0</v>
      </c>
      <c r="L569" t="s">
        <v>210</v>
      </c>
      <c r="M569">
        <v>1</v>
      </c>
    </row>
    <row r="570" spans="1:13" x14ac:dyDescent="0.3">
      <c r="A570" t="s">
        <v>779</v>
      </c>
      <c r="B570">
        <v>35</v>
      </c>
      <c r="C570" s="1">
        <v>45729</v>
      </c>
      <c r="D570">
        <v>2025</v>
      </c>
      <c r="E570" t="s">
        <v>219</v>
      </c>
      <c r="F570" t="s">
        <v>12</v>
      </c>
      <c r="G570" t="s">
        <v>212</v>
      </c>
      <c r="H570" t="s">
        <v>192</v>
      </c>
      <c r="I570">
        <v>5</v>
      </c>
      <c r="J570">
        <v>582.54999999999995</v>
      </c>
      <c r="K570">
        <v>0</v>
      </c>
      <c r="L570" t="s">
        <v>201</v>
      </c>
      <c r="M570">
        <v>1</v>
      </c>
    </row>
    <row r="571" spans="1:13" x14ac:dyDescent="0.3">
      <c r="A571" t="s">
        <v>780</v>
      </c>
      <c r="B571">
        <v>36</v>
      </c>
      <c r="C571" s="1">
        <v>44361</v>
      </c>
      <c r="D571">
        <v>2021</v>
      </c>
      <c r="E571" t="s">
        <v>287</v>
      </c>
      <c r="F571" t="s">
        <v>12</v>
      </c>
      <c r="G571" t="s">
        <v>212</v>
      </c>
      <c r="H571" t="s">
        <v>192</v>
      </c>
      <c r="I571">
        <v>15</v>
      </c>
      <c r="J571">
        <v>1288.27</v>
      </c>
      <c r="K571">
        <v>0</v>
      </c>
      <c r="L571" t="s">
        <v>215</v>
      </c>
      <c r="M571">
        <v>1</v>
      </c>
    </row>
    <row r="572" spans="1:13" x14ac:dyDescent="0.3">
      <c r="A572" t="s">
        <v>781</v>
      </c>
      <c r="B572">
        <v>36</v>
      </c>
      <c r="C572" s="1">
        <v>44450</v>
      </c>
      <c r="D572">
        <v>2021</v>
      </c>
      <c r="E572" t="s">
        <v>287</v>
      </c>
      <c r="F572" t="s">
        <v>13</v>
      </c>
      <c r="G572" t="s">
        <v>200</v>
      </c>
      <c r="H572" t="s">
        <v>195</v>
      </c>
      <c r="I572">
        <v>16</v>
      </c>
      <c r="J572">
        <v>2624.4</v>
      </c>
      <c r="K572">
        <v>1</v>
      </c>
      <c r="L572" t="s">
        <v>201</v>
      </c>
      <c r="M572">
        <v>0</v>
      </c>
    </row>
    <row r="573" spans="1:13" x14ac:dyDescent="0.3">
      <c r="A573" t="s">
        <v>782</v>
      </c>
      <c r="B573">
        <v>36</v>
      </c>
      <c r="C573" s="1">
        <v>44448</v>
      </c>
      <c r="D573">
        <v>2021</v>
      </c>
      <c r="E573" t="s">
        <v>227</v>
      </c>
      <c r="F573" t="s">
        <v>209</v>
      </c>
      <c r="G573" t="s">
        <v>212</v>
      </c>
      <c r="H573" t="s">
        <v>192</v>
      </c>
      <c r="I573">
        <v>9</v>
      </c>
      <c r="J573">
        <v>3.91</v>
      </c>
      <c r="K573">
        <v>0</v>
      </c>
      <c r="L573" t="s">
        <v>215</v>
      </c>
      <c r="M573">
        <v>1</v>
      </c>
    </row>
    <row r="574" spans="1:13" x14ac:dyDescent="0.3">
      <c r="A574" t="s">
        <v>783</v>
      </c>
      <c r="B574">
        <v>36</v>
      </c>
      <c r="C574" s="1">
        <v>44390</v>
      </c>
      <c r="D574">
        <v>2021</v>
      </c>
      <c r="E574" t="s">
        <v>198</v>
      </c>
      <c r="F574" t="s">
        <v>209</v>
      </c>
      <c r="G574" t="s">
        <v>212</v>
      </c>
      <c r="H574" t="s">
        <v>204</v>
      </c>
      <c r="I574">
        <v>16</v>
      </c>
      <c r="J574">
        <v>45.03</v>
      </c>
      <c r="K574">
        <v>1</v>
      </c>
      <c r="L574" t="s">
        <v>201</v>
      </c>
      <c r="M574">
        <v>1</v>
      </c>
    </row>
    <row r="575" spans="1:13" x14ac:dyDescent="0.3">
      <c r="A575" t="s">
        <v>784</v>
      </c>
      <c r="B575">
        <v>36</v>
      </c>
      <c r="C575" s="1">
        <v>44374</v>
      </c>
      <c r="D575">
        <v>2021</v>
      </c>
      <c r="E575" t="s">
        <v>198</v>
      </c>
      <c r="F575" t="s">
        <v>13</v>
      </c>
      <c r="G575" t="s">
        <v>212</v>
      </c>
      <c r="H575" t="s">
        <v>204</v>
      </c>
      <c r="I575">
        <v>17</v>
      </c>
      <c r="J575">
        <v>1879.1</v>
      </c>
      <c r="K575">
        <v>1</v>
      </c>
      <c r="L575" t="s">
        <v>201</v>
      </c>
      <c r="M575">
        <v>1</v>
      </c>
    </row>
    <row r="576" spans="1:13" x14ac:dyDescent="0.3">
      <c r="A576" t="s">
        <v>785</v>
      </c>
      <c r="B576">
        <v>36</v>
      </c>
      <c r="C576" s="1">
        <v>44349</v>
      </c>
      <c r="D576">
        <v>2021</v>
      </c>
      <c r="E576" t="s">
        <v>190</v>
      </c>
      <c r="F576" t="s">
        <v>199</v>
      </c>
      <c r="G576" t="s">
        <v>191</v>
      </c>
      <c r="H576" t="s">
        <v>204</v>
      </c>
      <c r="I576">
        <v>2</v>
      </c>
      <c r="J576">
        <v>6031.4</v>
      </c>
      <c r="K576">
        <v>0</v>
      </c>
      <c r="L576" t="s">
        <v>196</v>
      </c>
      <c r="M576">
        <v>0</v>
      </c>
    </row>
    <row r="577" spans="1:13" x14ac:dyDescent="0.3">
      <c r="A577" t="s">
        <v>786</v>
      </c>
      <c r="B577">
        <v>36</v>
      </c>
      <c r="C577" s="1">
        <v>44690</v>
      </c>
      <c r="D577">
        <v>2022</v>
      </c>
      <c r="E577" t="s">
        <v>214</v>
      </c>
      <c r="F577" t="s">
        <v>12</v>
      </c>
      <c r="G577" t="s">
        <v>212</v>
      </c>
      <c r="H577" t="s">
        <v>192</v>
      </c>
      <c r="I577">
        <v>7</v>
      </c>
      <c r="J577">
        <v>452.89</v>
      </c>
      <c r="K577">
        <v>0</v>
      </c>
      <c r="L577" t="s">
        <v>215</v>
      </c>
      <c r="M577">
        <v>1</v>
      </c>
    </row>
    <row r="578" spans="1:13" x14ac:dyDescent="0.3">
      <c r="A578" t="s">
        <v>787</v>
      </c>
      <c r="B578">
        <v>36</v>
      </c>
      <c r="C578" s="1">
        <v>44644</v>
      </c>
      <c r="D578">
        <v>2022</v>
      </c>
      <c r="E578" t="s">
        <v>214</v>
      </c>
      <c r="F578" t="s">
        <v>13</v>
      </c>
      <c r="G578" t="s">
        <v>212</v>
      </c>
      <c r="H578" t="s">
        <v>204</v>
      </c>
      <c r="I578">
        <v>2</v>
      </c>
      <c r="J578">
        <v>2033.65</v>
      </c>
      <c r="K578">
        <v>0</v>
      </c>
      <c r="L578" t="s">
        <v>193</v>
      </c>
      <c r="M578">
        <v>1</v>
      </c>
    </row>
    <row r="579" spans="1:13" x14ac:dyDescent="0.3">
      <c r="A579" t="s">
        <v>788</v>
      </c>
      <c r="B579">
        <v>36</v>
      </c>
      <c r="C579" s="1">
        <v>44797</v>
      </c>
      <c r="D579">
        <v>2022</v>
      </c>
      <c r="E579" t="s">
        <v>219</v>
      </c>
      <c r="F579" t="s">
        <v>12</v>
      </c>
      <c r="G579" t="s">
        <v>212</v>
      </c>
      <c r="H579" t="s">
        <v>204</v>
      </c>
      <c r="I579">
        <v>9</v>
      </c>
      <c r="J579">
        <v>451.21</v>
      </c>
      <c r="K579">
        <v>0</v>
      </c>
      <c r="L579" t="s">
        <v>215</v>
      </c>
      <c r="M579">
        <v>1</v>
      </c>
    </row>
    <row r="580" spans="1:13" x14ac:dyDescent="0.3">
      <c r="A580" t="s">
        <v>789</v>
      </c>
      <c r="B580">
        <v>36</v>
      </c>
      <c r="C580" s="1">
        <v>44939</v>
      </c>
      <c r="D580">
        <v>2023</v>
      </c>
      <c r="E580" t="s">
        <v>287</v>
      </c>
      <c r="F580" t="s">
        <v>12</v>
      </c>
      <c r="G580" t="s">
        <v>203</v>
      </c>
      <c r="H580" t="s">
        <v>206</v>
      </c>
      <c r="I580">
        <v>2</v>
      </c>
      <c r="J580">
        <v>498.05</v>
      </c>
      <c r="K580">
        <v>0</v>
      </c>
      <c r="L580" t="s">
        <v>210</v>
      </c>
      <c r="M580">
        <v>0</v>
      </c>
    </row>
    <row r="581" spans="1:13" x14ac:dyDescent="0.3">
      <c r="A581" t="s">
        <v>790</v>
      </c>
      <c r="B581">
        <v>36</v>
      </c>
      <c r="C581" s="1">
        <v>45089</v>
      </c>
      <c r="D581">
        <v>2023</v>
      </c>
      <c r="E581" t="s">
        <v>190</v>
      </c>
      <c r="F581" t="s">
        <v>209</v>
      </c>
      <c r="G581" t="s">
        <v>212</v>
      </c>
      <c r="H581" t="s">
        <v>204</v>
      </c>
      <c r="I581">
        <v>2</v>
      </c>
      <c r="J581">
        <v>65.23</v>
      </c>
      <c r="K581">
        <v>0</v>
      </c>
      <c r="L581" t="s">
        <v>210</v>
      </c>
      <c r="M581">
        <v>1</v>
      </c>
    </row>
    <row r="582" spans="1:13" x14ac:dyDescent="0.3">
      <c r="A582" t="s">
        <v>791</v>
      </c>
      <c r="B582">
        <v>36</v>
      </c>
      <c r="C582" s="1">
        <v>45410</v>
      </c>
      <c r="D582">
        <v>2024</v>
      </c>
      <c r="E582" t="s">
        <v>287</v>
      </c>
      <c r="F582" t="s">
        <v>199</v>
      </c>
      <c r="G582" t="s">
        <v>200</v>
      </c>
      <c r="H582" t="s">
        <v>204</v>
      </c>
      <c r="I582">
        <v>10</v>
      </c>
      <c r="J582">
        <v>3808.85</v>
      </c>
      <c r="K582">
        <v>1</v>
      </c>
      <c r="L582" t="s">
        <v>196</v>
      </c>
      <c r="M582">
        <v>0</v>
      </c>
    </row>
    <row r="583" spans="1:13" x14ac:dyDescent="0.3">
      <c r="A583" t="s">
        <v>792</v>
      </c>
      <c r="B583">
        <v>36</v>
      </c>
      <c r="C583" s="1">
        <v>45919</v>
      </c>
      <c r="D583">
        <v>2025</v>
      </c>
      <c r="E583" t="s">
        <v>287</v>
      </c>
      <c r="F583" t="s">
        <v>12</v>
      </c>
      <c r="G583" t="s">
        <v>203</v>
      </c>
      <c r="H583" t="s">
        <v>204</v>
      </c>
      <c r="I583">
        <v>5</v>
      </c>
      <c r="J583">
        <v>1364.25</v>
      </c>
      <c r="K583">
        <v>0</v>
      </c>
      <c r="L583" t="s">
        <v>201</v>
      </c>
      <c r="M583">
        <v>0</v>
      </c>
    </row>
    <row r="584" spans="1:13" x14ac:dyDescent="0.3">
      <c r="A584" t="s">
        <v>793</v>
      </c>
      <c r="B584">
        <v>36</v>
      </c>
      <c r="C584" s="1">
        <v>45997</v>
      </c>
      <c r="D584">
        <v>2025</v>
      </c>
      <c r="E584" t="s">
        <v>198</v>
      </c>
      <c r="F584" t="s">
        <v>199</v>
      </c>
      <c r="G584" t="s">
        <v>203</v>
      </c>
      <c r="H584" t="s">
        <v>206</v>
      </c>
      <c r="I584">
        <v>5</v>
      </c>
      <c r="J584">
        <v>6996.04</v>
      </c>
      <c r="K584">
        <v>1</v>
      </c>
      <c r="L584" t="s">
        <v>201</v>
      </c>
      <c r="M584">
        <v>0</v>
      </c>
    </row>
    <row r="585" spans="1:13" x14ac:dyDescent="0.3">
      <c r="A585" t="s">
        <v>794</v>
      </c>
      <c r="B585">
        <v>37</v>
      </c>
      <c r="C585" s="1">
        <v>44308</v>
      </c>
      <c r="D585">
        <v>2021</v>
      </c>
      <c r="E585" t="s">
        <v>214</v>
      </c>
      <c r="F585" t="s">
        <v>209</v>
      </c>
      <c r="G585" t="s">
        <v>212</v>
      </c>
      <c r="H585" t="s">
        <v>206</v>
      </c>
      <c r="I585">
        <v>10</v>
      </c>
      <c r="J585">
        <v>85.06</v>
      </c>
      <c r="K585">
        <v>0</v>
      </c>
      <c r="L585" t="s">
        <v>215</v>
      </c>
      <c r="M585">
        <v>1</v>
      </c>
    </row>
    <row r="586" spans="1:13" x14ac:dyDescent="0.3">
      <c r="A586" t="s">
        <v>795</v>
      </c>
      <c r="B586">
        <v>37</v>
      </c>
      <c r="C586" s="1">
        <v>44517</v>
      </c>
      <c r="D586">
        <v>2021</v>
      </c>
      <c r="E586" t="s">
        <v>214</v>
      </c>
      <c r="F586" t="s">
        <v>209</v>
      </c>
      <c r="G586" t="s">
        <v>200</v>
      </c>
      <c r="H586" t="s">
        <v>206</v>
      </c>
      <c r="I586">
        <v>11</v>
      </c>
      <c r="J586">
        <v>55.36</v>
      </c>
      <c r="K586">
        <v>0</v>
      </c>
      <c r="L586" t="s">
        <v>215</v>
      </c>
      <c r="M586">
        <v>0</v>
      </c>
    </row>
    <row r="587" spans="1:13" x14ac:dyDescent="0.3">
      <c r="A587" t="s">
        <v>796</v>
      </c>
      <c r="B587">
        <v>37</v>
      </c>
      <c r="C587" s="1">
        <v>44613</v>
      </c>
      <c r="D587">
        <v>2022</v>
      </c>
      <c r="E587" t="s">
        <v>214</v>
      </c>
      <c r="F587" t="s">
        <v>12</v>
      </c>
      <c r="G587" t="s">
        <v>191</v>
      </c>
      <c r="H587" t="s">
        <v>192</v>
      </c>
      <c r="I587">
        <v>7</v>
      </c>
      <c r="J587">
        <v>932.66</v>
      </c>
      <c r="K587">
        <v>0</v>
      </c>
      <c r="L587" t="s">
        <v>215</v>
      </c>
      <c r="M587">
        <v>1</v>
      </c>
    </row>
    <row r="588" spans="1:13" x14ac:dyDescent="0.3">
      <c r="A588" t="s">
        <v>797</v>
      </c>
      <c r="B588">
        <v>37</v>
      </c>
      <c r="C588" s="1">
        <v>45041</v>
      </c>
      <c r="D588">
        <v>2023</v>
      </c>
      <c r="E588" t="s">
        <v>214</v>
      </c>
      <c r="F588" t="s">
        <v>199</v>
      </c>
      <c r="G588" t="s">
        <v>191</v>
      </c>
      <c r="H588" t="s">
        <v>192</v>
      </c>
      <c r="I588">
        <v>4</v>
      </c>
      <c r="J588">
        <v>7321.54</v>
      </c>
      <c r="K588">
        <v>0</v>
      </c>
      <c r="L588" t="s">
        <v>193</v>
      </c>
      <c r="M588">
        <v>0</v>
      </c>
    </row>
    <row r="589" spans="1:13" x14ac:dyDescent="0.3">
      <c r="A589" t="s">
        <v>798</v>
      </c>
      <c r="B589">
        <v>37</v>
      </c>
      <c r="C589" s="1">
        <v>45091</v>
      </c>
      <c r="D589">
        <v>2023</v>
      </c>
      <c r="E589" t="s">
        <v>214</v>
      </c>
      <c r="F589" t="s">
        <v>12</v>
      </c>
      <c r="G589" t="s">
        <v>212</v>
      </c>
      <c r="H589" t="s">
        <v>204</v>
      </c>
      <c r="I589">
        <v>12</v>
      </c>
      <c r="J589">
        <v>278.64999999999998</v>
      </c>
      <c r="K589">
        <v>0</v>
      </c>
      <c r="L589" t="s">
        <v>210</v>
      </c>
      <c r="M589">
        <v>1</v>
      </c>
    </row>
    <row r="590" spans="1:13" x14ac:dyDescent="0.3">
      <c r="A590" t="s">
        <v>799</v>
      </c>
      <c r="B590">
        <v>37</v>
      </c>
      <c r="C590" s="1">
        <v>45281</v>
      </c>
      <c r="D590">
        <v>2023</v>
      </c>
      <c r="E590" t="s">
        <v>214</v>
      </c>
      <c r="F590" t="s">
        <v>13</v>
      </c>
      <c r="G590" t="s">
        <v>191</v>
      </c>
      <c r="H590" t="s">
        <v>195</v>
      </c>
      <c r="I590">
        <v>19</v>
      </c>
      <c r="J590">
        <v>3100.33</v>
      </c>
      <c r="K590">
        <v>0</v>
      </c>
      <c r="L590" t="s">
        <v>193</v>
      </c>
      <c r="M590">
        <v>0</v>
      </c>
    </row>
    <row r="591" spans="1:13" x14ac:dyDescent="0.3">
      <c r="A591" t="s">
        <v>800</v>
      </c>
      <c r="B591">
        <v>37</v>
      </c>
      <c r="C591" s="1">
        <v>45124</v>
      </c>
      <c r="D591">
        <v>2023</v>
      </c>
      <c r="E591" t="s">
        <v>190</v>
      </c>
      <c r="F591" t="s">
        <v>12</v>
      </c>
      <c r="G591" t="s">
        <v>212</v>
      </c>
      <c r="H591" t="s">
        <v>206</v>
      </c>
      <c r="I591">
        <v>3</v>
      </c>
      <c r="J591">
        <v>252.81</v>
      </c>
      <c r="K591">
        <v>0</v>
      </c>
      <c r="L591" t="s">
        <v>201</v>
      </c>
      <c r="M591">
        <v>1</v>
      </c>
    </row>
    <row r="592" spans="1:13" x14ac:dyDescent="0.3">
      <c r="A592" t="s">
        <v>801</v>
      </c>
      <c r="B592">
        <v>37</v>
      </c>
      <c r="C592" s="1">
        <v>44991</v>
      </c>
      <c r="D592">
        <v>2023</v>
      </c>
      <c r="E592" t="s">
        <v>214</v>
      </c>
      <c r="F592" t="s">
        <v>12</v>
      </c>
      <c r="G592" t="s">
        <v>212</v>
      </c>
      <c r="H592" t="s">
        <v>192</v>
      </c>
      <c r="I592">
        <v>8</v>
      </c>
      <c r="J592">
        <v>741.7</v>
      </c>
      <c r="K592">
        <v>0</v>
      </c>
      <c r="L592" t="s">
        <v>215</v>
      </c>
      <c r="M592">
        <v>1</v>
      </c>
    </row>
    <row r="593" spans="1:13" x14ac:dyDescent="0.3">
      <c r="A593" t="s">
        <v>802</v>
      </c>
      <c r="B593">
        <v>37</v>
      </c>
      <c r="C593" s="1">
        <v>45095</v>
      </c>
      <c r="D593">
        <v>2023</v>
      </c>
      <c r="E593" t="s">
        <v>190</v>
      </c>
      <c r="F593" t="s">
        <v>199</v>
      </c>
      <c r="G593" t="s">
        <v>191</v>
      </c>
      <c r="H593" t="s">
        <v>195</v>
      </c>
      <c r="I593">
        <v>14</v>
      </c>
      <c r="J593">
        <v>3326.87</v>
      </c>
      <c r="K593">
        <v>0</v>
      </c>
      <c r="L593" t="s">
        <v>193</v>
      </c>
      <c r="M593">
        <v>1</v>
      </c>
    </row>
    <row r="594" spans="1:13" x14ac:dyDescent="0.3">
      <c r="A594" t="s">
        <v>803</v>
      </c>
      <c r="B594">
        <v>37</v>
      </c>
      <c r="C594" s="1">
        <v>45570</v>
      </c>
      <c r="D594">
        <v>2024</v>
      </c>
      <c r="E594" t="s">
        <v>225</v>
      </c>
      <c r="F594" t="s">
        <v>12</v>
      </c>
      <c r="G594" t="s">
        <v>212</v>
      </c>
      <c r="H594" t="s">
        <v>204</v>
      </c>
      <c r="I594">
        <v>10</v>
      </c>
      <c r="J594">
        <v>299.29000000000002</v>
      </c>
      <c r="K594">
        <v>0</v>
      </c>
      <c r="L594" t="s">
        <v>193</v>
      </c>
      <c r="M594">
        <v>1</v>
      </c>
    </row>
    <row r="595" spans="1:13" x14ac:dyDescent="0.3">
      <c r="A595" t="s">
        <v>804</v>
      </c>
      <c r="B595">
        <v>37</v>
      </c>
      <c r="C595" s="1">
        <v>45761</v>
      </c>
      <c r="D595">
        <v>2025</v>
      </c>
      <c r="E595" t="s">
        <v>219</v>
      </c>
      <c r="F595" t="s">
        <v>13</v>
      </c>
      <c r="G595" t="s">
        <v>191</v>
      </c>
      <c r="H595" t="s">
        <v>192</v>
      </c>
      <c r="I595">
        <v>16</v>
      </c>
      <c r="J595">
        <v>3755.76</v>
      </c>
      <c r="K595">
        <v>0</v>
      </c>
      <c r="L595" t="s">
        <v>201</v>
      </c>
      <c r="M595">
        <v>1</v>
      </c>
    </row>
    <row r="596" spans="1:13" x14ac:dyDescent="0.3">
      <c r="A596" t="s">
        <v>805</v>
      </c>
      <c r="B596">
        <v>37</v>
      </c>
      <c r="C596" s="1">
        <v>46015</v>
      </c>
      <c r="D596">
        <v>2025</v>
      </c>
      <c r="E596" t="s">
        <v>198</v>
      </c>
      <c r="F596" t="s">
        <v>199</v>
      </c>
      <c r="G596" t="s">
        <v>203</v>
      </c>
      <c r="H596" t="s">
        <v>195</v>
      </c>
      <c r="I596">
        <v>20</v>
      </c>
      <c r="J596">
        <v>6442.13</v>
      </c>
      <c r="K596">
        <v>1</v>
      </c>
      <c r="L596" t="s">
        <v>196</v>
      </c>
      <c r="M596">
        <v>0</v>
      </c>
    </row>
    <row r="597" spans="1:13" x14ac:dyDescent="0.3">
      <c r="A597" t="s">
        <v>806</v>
      </c>
      <c r="B597">
        <v>37</v>
      </c>
      <c r="C597" s="1">
        <v>45797</v>
      </c>
      <c r="D597">
        <v>2025</v>
      </c>
      <c r="E597" t="s">
        <v>190</v>
      </c>
      <c r="F597" t="s">
        <v>13</v>
      </c>
      <c r="G597" t="s">
        <v>212</v>
      </c>
      <c r="H597" t="s">
        <v>206</v>
      </c>
      <c r="I597">
        <v>10</v>
      </c>
      <c r="J597">
        <v>2355.59</v>
      </c>
      <c r="K597">
        <v>0</v>
      </c>
      <c r="L597" t="s">
        <v>201</v>
      </c>
      <c r="M597">
        <v>1</v>
      </c>
    </row>
    <row r="598" spans="1:13" x14ac:dyDescent="0.3">
      <c r="A598" t="s">
        <v>807</v>
      </c>
      <c r="B598">
        <v>37</v>
      </c>
      <c r="C598" s="1">
        <v>45680</v>
      </c>
      <c r="D598">
        <v>2025</v>
      </c>
      <c r="E598" t="s">
        <v>227</v>
      </c>
      <c r="F598" t="s">
        <v>199</v>
      </c>
      <c r="G598" t="s">
        <v>203</v>
      </c>
      <c r="H598" t="s">
        <v>206</v>
      </c>
      <c r="I598">
        <v>20</v>
      </c>
      <c r="J598">
        <v>5126.8100000000004</v>
      </c>
      <c r="K598">
        <v>1</v>
      </c>
      <c r="L598" t="s">
        <v>193</v>
      </c>
      <c r="M598">
        <v>0</v>
      </c>
    </row>
    <row r="599" spans="1:13" x14ac:dyDescent="0.3">
      <c r="A599" t="s">
        <v>808</v>
      </c>
      <c r="B599">
        <v>37</v>
      </c>
      <c r="C599" s="1">
        <v>45945</v>
      </c>
      <c r="D599">
        <v>2025</v>
      </c>
      <c r="E599" t="s">
        <v>198</v>
      </c>
      <c r="F599" t="s">
        <v>13</v>
      </c>
      <c r="G599" t="s">
        <v>191</v>
      </c>
      <c r="H599" t="s">
        <v>192</v>
      </c>
      <c r="I599">
        <v>11</v>
      </c>
      <c r="J599">
        <v>2883.46</v>
      </c>
      <c r="K599">
        <v>1</v>
      </c>
      <c r="L599" t="s">
        <v>215</v>
      </c>
      <c r="M599">
        <v>0</v>
      </c>
    </row>
    <row r="600" spans="1:13" x14ac:dyDescent="0.3">
      <c r="A600" t="s">
        <v>809</v>
      </c>
      <c r="B600">
        <v>38</v>
      </c>
      <c r="C600" s="1">
        <v>44444</v>
      </c>
      <c r="D600">
        <v>2021</v>
      </c>
      <c r="E600" t="s">
        <v>219</v>
      </c>
      <c r="F600" t="s">
        <v>12</v>
      </c>
      <c r="G600" t="s">
        <v>212</v>
      </c>
      <c r="H600" t="s">
        <v>206</v>
      </c>
      <c r="I600">
        <v>5</v>
      </c>
      <c r="J600">
        <v>411.86</v>
      </c>
      <c r="K600">
        <v>0</v>
      </c>
      <c r="L600" t="s">
        <v>210</v>
      </c>
      <c r="M600">
        <v>1</v>
      </c>
    </row>
    <row r="601" spans="1:13" x14ac:dyDescent="0.3">
      <c r="A601" t="s">
        <v>810</v>
      </c>
      <c r="B601">
        <v>38</v>
      </c>
      <c r="C601" s="1">
        <v>44532</v>
      </c>
      <c r="D601">
        <v>2021</v>
      </c>
      <c r="E601" t="s">
        <v>219</v>
      </c>
      <c r="F601" t="s">
        <v>13</v>
      </c>
      <c r="G601" t="s">
        <v>212</v>
      </c>
      <c r="H601" t="s">
        <v>195</v>
      </c>
      <c r="I601">
        <v>13</v>
      </c>
      <c r="J601">
        <v>3377.22</v>
      </c>
      <c r="K601">
        <v>1</v>
      </c>
      <c r="L601" t="s">
        <v>193</v>
      </c>
      <c r="M601">
        <v>1</v>
      </c>
    </row>
    <row r="602" spans="1:13" x14ac:dyDescent="0.3">
      <c r="A602" t="s">
        <v>811</v>
      </c>
      <c r="B602">
        <v>38</v>
      </c>
      <c r="C602" s="1">
        <v>44218</v>
      </c>
      <c r="D602">
        <v>2021</v>
      </c>
      <c r="E602" t="s">
        <v>225</v>
      </c>
      <c r="F602" t="s">
        <v>199</v>
      </c>
      <c r="G602" t="s">
        <v>212</v>
      </c>
      <c r="H602" t="s">
        <v>195</v>
      </c>
      <c r="I602">
        <v>3</v>
      </c>
      <c r="J602">
        <v>5630.56</v>
      </c>
      <c r="K602">
        <v>0</v>
      </c>
      <c r="L602" t="s">
        <v>196</v>
      </c>
      <c r="M602">
        <v>1</v>
      </c>
    </row>
    <row r="603" spans="1:13" x14ac:dyDescent="0.3">
      <c r="A603" t="s">
        <v>812</v>
      </c>
      <c r="B603">
        <v>38</v>
      </c>
      <c r="C603" s="1">
        <v>44334</v>
      </c>
      <c r="D603">
        <v>2021</v>
      </c>
      <c r="E603" t="s">
        <v>198</v>
      </c>
      <c r="F603" t="s">
        <v>13</v>
      </c>
      <c r="G603" t="s">
        <v>191</v>
      </c>
      <c r="H603" t="s">
        <v>206</v>
      </c>
      <c r="I603">
        <v>9</v>
      </c>
      <c r="J603">
        <v>1547.67</v>
      </c>
      <c r="K603">
        <v>1</v>
      </c>
      <c r="L603" t="s">
        <v>201</v>
      </c>
      <c r="M603">
        <v>0</v>
      </c>
    </row>
    <row r="604" spans="1:13" x14ac:dyDescent="0.3">
      <c r="A604" t="s">
        <v>813</v>
      </c>
      <c r="B604">
        <v>38</v>
      </c>
      <c r="C604" s="1">
        <v>44267</v>
      </c>
      <c r="D604">
        <v>2021</v>
      </c>
      <c r="E604" t="s">
        <v>219</v>
      </c>
      <c r="F604" t="s">
        <v>12</v>
      </c>
      <c r="G604" t="s">
        <v>212</v>
      </c>
      <c r="H604" t="s">
        <v>204</v>
      </c>
      <c r="I604">
        <v>16</v>
      </c>
      <c r="J604">
        <v>1308.43</v>
      </c>
      <c r="K604">
        <v>1</v>
      </c>
      <c r="L604" t="s">
        <v>210</v>
      </c>
      <c r="M604">
        <v>1</v>
      </c>
    </row>
    <row r="605" spans="1:13" x14ac:dyDescent="0.3">
      <c r="A605" t="s">
        <v>814</v>
      </c>
      <c r="B605">
        <v>38</v>
      </c>
      <c r="C605" s="1">
        <v>44314</v>
      </c>
      <c r="D605">
        <v>2021</v>
      </c>
      <c r="E605" t="s">
        <v>219</v>
      </c>
      <c r="F605" t="s">
        <v>199</v>
      </c>
      <c r="G605" t="s">
        <v>200</v>
      </c>
      <c r="H605" t="s">
        <v>204</v>
      </c>
      <c r="I605">
        <v>17</v>
      </c>
      <c r="J605">
        <v>3934.01</v>
      </c>
      <c r="K605">
        <v>0</v>
      </c>
      <c r="L605" t="s">
        <v>193</v>
      </c>
      <c r="M605">
        <v>0</v>
      </c>
    </row>
    <row r="606" spans="1:13" x14ac:dyDescent="0.3">
      <c r="A606" t="s">
        <v>815</v>
      </c>
      <c r="B606">
        <v>38</v>
      </c>
      <c r="C606" s="1">
        <v>44911</v>
      </c>
      <c r="D606">
        <v>2022</v>
      </c>
      <c r="E606" t="s">
        <v>198</v>
      </c>
      <c r="F606" t="s">
        <v>199</v>
      </c>
      <c r="G606" t="s">
        <v>203</v>
      </c>
      <c r="H606" t="s">
        <v>192</v>
      </c>
      <c r="I606">
        <v>4</v>
      </c>
      <c r="J606">
        <v>3445.21</v>
      </c>
      <c r="K606">
        <v>1</v>
      </c>
      <c r="L606" t="s">
        <v>210</v>
      </c>
      <c r="M606">
        <v>0</v>
      </c>
    </row>
    <row r="607" spans="1:13" x14ac:dyDescent="0.3">
      <c r="A607" t="s">
        <v>816</v>
      </c>
      <c r="B607">
        <v>38</v>
      </c>
      <c r="C607" s="1">
        <v>44729</v>
      </c>
      <c r="D607">
        <v>2022</v>
      </c>
      <c r="E607" t="s">
        <v>190</v>
      </c>
      <c r="F607" t="s">
        <v>12</v>
      </c>
      <c r="G607" t="s">
        <v>191</v>
      </c>
      <c r="H607" t="s">
        <v>195</v>
      </c>
      <c r="I607">
        <v>1</v>
      </c>
      <c r="J607">
        <v>1138.27</v>
      </c>
      <c r="K607">
        <v>0</v>
      </c>
      <c r="L607" t="s">
        <v>215</v>
      </c>
      <c r="M607">
        <v>0</v>
      </c>
    </row>
    <row r="608" spans="1:13" x14ac:dyDescent="0.3">
      <c r="A608" t="s">
        <v>817</v>
      </c>
      <c r="B608">
        <v>38</v>
      </c>
      <c r="C608" s="1">
        <v>44813</v>
      </c>
      <c r="D608">
        <v>2022</v>
      </c>
      <c r="E608" t="s">
        <v>287</v>
      </c>
      <c r="F608" t="s">
        <v>13</v>
      </c>
      <c r="G608" t="s">
        <v>203</v>
      </c>
      <c r="H608" t="s">
        <v>192</v>
      </c>
      <c r="I608">
        <v>4</v>
      </c>
      <c r="J608">
        <v>3040.31</v>
      </c>
      <c r="K608">
        <v>1</v>
      </c>
      <c r="L608" t="s">
        <v>193</v>
      </c>
      <c r="M608">
        <v>0</v>
      </c>
    </row>
    <row r="609" spans="1:13" x14ac:dyDescent="0.3">
      <c r="A609" t="s">
        <v>818</v>
      </c>
      <c r="B609">
        <v>38</v>
      </c>
      <c r="C609" s="1">
        <v>44885</v>
      </c>
      <c r="D609">
        <v>2022</v>
      </c>
      <c r="E609" t="s">
        <v>198</v>
      </c>
      <c r="F609" t="s">
        <v>13</v>
      </c>
      <c r="G609" t="s">
        <v>212</v>
      </c>
      <c r="H609" t="s">
        <v>195</v>
      </c>
      <c r="I609">
        <v>8</v>
      </c>
      <c r="J609">
        <v>3778.96</v>
      </c>
      <c r="K609">
        <v>1</v>
      </c>
      <c r="L609" t="s">
        <v>193</v>
      </c>
      <c r="M609">
        <v>1</v>
      </c>
    </row>
    <row r="610" spans="1:13" x14ac:dyDescent="0.3">
      <c r="A610" t="s">
        <v>819</v>
      </c>
      <c r="B610">
        <v>38</v>
      </c>
      <c r="C610" s="1">
        <v>44779</v>
      </c>
      <c r="D610">
        <v>2022</v>
      </c>
      <c r="E610" t="s">
        <v>198</v>
      </c>
      <c r="F610" t="s">
        <v>13</v>
      </c>
      <c r="G610" t="s">
        <v>191</v>
      </c>
      <c r="H610" t="s">
        <v>195</v>
      </c>
      <c r="I610">
        <v>14</v>
      </c>
      <c r="J610">
        <v>1807.4</v>
      </c>
      <c r="K610">
        <v>1</v>
      </c>
      <c r="L610" t="s">
        <v>193</v>
      </c>
      <c r="M610">
        <v>0</v>
      </c>
    </row>
    <row r="611" spans="1:13" x14ac:dyDescent="0.3">
      <c r="A611" t="s">
        <v>820</v>
      </c>
      <c r="B611">
        <v>38</v>
      </c>
      <c r="C611" s="1">
        <v>44968</v>
      </c>
      <c r="D611">
        <v>2023</v>
      </c>
      <c r="E611" t="s">
        <v>227</v>
      </c>
      <c r="F611" t="s">
        <v>199</v>
      </c>
      <c r="G611" t="s">
        <v>203</v>
      </c>
      <c r="H611" t="s">
        <v>195</v>
      </c>
      <c r="I611">
        <v>8</v>
      </c>
      <c r="J611">
        <v>5906.59</v>
      </c>
      <c r="K611">
        <v>1</v>
      </c>
      <c r="L611" t="s">
        <v>201</v>
      </c>
      <c r="M611">
        <v>1</v>
      </c>
    </row>
    <row r="612" spans="1:13" x14ac:dyDescent="0.3">
      <c r="A612" t="s">
        <v>821</v>
      </c>
      <c r="B612">
        <v>38</v>
      </c>
      <c r="C612" s="1">
        <v>45173</v>
      </c>
      <c r="D612">
        <v>2023</v>
      </c>
      <c r="E612" t="s">
        <v>198</v>
      </c>
      <c r="F612" t="s">
        <v>12</v>
      </c>
      <c r="G612" t="s">
        <v>200</v>
      </c>
      <c r="H612" t="s">
        <v>192</v>
      </c>
      <c r="I612">
        <v>13</v>
      </c>
      <c r="J612">
        <v>582.19000000000005</v>
      </c>
      <c r="K612">
        <v>1</v>
      </c>
      <c r="L612" t="s">
        <v>210</v>
      </c>
      <c r="M612">
        <v>0</v>
      </c>
    </row>
    <row r="613" spans="1:13" x14ac:dyDescent="0.3">
      <c r="A613" t="s">
        <v>822</v>
      </c>
      <c r="B613">
        <v>38</v>
      </c>
      <c r="C613" s="1">
        <v>44967</v>
      </c>
      <c r="D613">
        <v>2023</v>
      </c>
      <c r="E613" t="s">
        <v>190</v>
      </c>
      <c r="F613" t="s">
        <v>209</v>
      </c>
      <c r="G613" t="s">
        <v>212</v>
      </c>
      <c r="H613" t="s">
        <v>195</v>
      </c>
      <c r="I613">
        <v>11</v>
      </c>
      <c r="J613">
        <v>568.79</v>
      </c>
      <c r="K613">
        <v>0</v>
      </c>
      <c r="L613" t="s">
        <v>210</v>
      </c>
      <c r="M613">
        <v>1</v>
      </c>
    </row>
    <row r="614" spans="1:13" x14ac:dyDescent="0.3">
      <c r="A614" t="s">
        <v>823</v>
      </c>
      <c r="B614">
        <v>38</v>
      </c>
      <c r="C614" s="1">
        <v>45156</v>
      </c>
      <c r="D614">
        <v>2023</v>
      </c>
      <c r="E614" t="s">
        <v>198</v>
      </c>
      <c r="F614" t="s">
        <v>13</v>
      </c>
      <c r="G614" t="s">
        <v>200</v>
      </c>
      <c r="H614" t="s">
        <v>195</v>
      </c>
      <c r="I614">
        <v>16</v>
      </c>
      <c r="J614">
        <v>1815.05</v>
      </c>
      <c r="K614">
        <v>1</v>
      </c>
      <c r="L614" t="s">
        <v>193</v>
      </c>
      <c r="M614">
        <v>0</v>
      </c>
    </row>
    <row r="615" spans="1:13" x14ac:dyDescent="0.3">
      <c r="A615" t="s">
        <v>824</v>
      </c>
      <c r="B615">
        <v>38</v>
      </c>
      <c r="C615" s="1">
        <v>45090</v>
      </c>
      <c r="D615">
        <v>2023</v>
      </c>
      <c r="E615" t="s">
        <v>198</v>
      </c>
      <c r="F615" t="s">
        <v>199</v>
      </c>
      <c r="G615" t="s">
        <v>203</v>
      </c>
      <c r="H615" t="s">
        <v>206</v>
      </c>
      <c r="I615">
        <v>8</v>
      </c>
      <c r="J615">
        <v>7252.19</v>
      </c>
      <c r="K615">
        <v>1</v>
      </c>
      <c r="L615" t="s">
        <v>210</v>
      </c>
      <c r="M615">
        <v>1</v>
      </c>
    </row>
    <row r="616" spans="1:13" x14ac:dyDescent="0.3">
      <c r="A616" t="s">
        <v>825</v>
      </c>
      <c r="B616">
        <v>38</v>
      </c>
      <c r="C616" s="1">
        <v>45513</v>
      </c>
      <c r="D616">
        <v>2024</v>
      </c>
      <c r="E616" t="s">
        <v>214</v>
      </c>
      <c r="F616" t="s">
        <v>209</v>
      </c>
      <c r="G616" t="s">
        <v>212</v>
      </c>
      <c r="H616" t="s">
        <v>192</v>
      </c>
      <c r="I616">
        <v>9</v>
      </c>
      <c r="J616">
        <v>202.37</v>
      </c>
      <c r="K616">
        <v>0</v>
      </c>
      <c r="L616" t="s">
        <v>215</v>
      </c>
      <c r="M616">
        <v>1</v>
      </c>
    </row>
    <row r="617" spans="1:13" x14ac:dyDescent="0.3">
      <c r="A617" t="s">
        <v>826</v>
      </c>
      <c r="B617">
        <v>38</v>
      </c>
      <c r="C617" s="1">
        <v>45556</v>
      </c>
      <c r="D617">
        <v>2024</v>
      </c>
      <c r="E617" t="s">
        <v>214</v>
      </c>
      <c r="F617" t="s">
        <v>12</v>
      </c>
      <c r="G617" t="s">
        <v>191</v>
      </c>
      <c r="H617" t="s">
        <v>192</v>
      </c>
      <c r="I617">
        <v>8</v>
      </c>
      <c r="J617">
        <v>646.66</v>
      </c>
      <c r="K617">
        <v>0</v>
      </c>
      <c r="L617" t="s">
        <v>210</v>
      </c>
      <c r="M617">
        <v>0</v>
      </c>
    </row>
    <row r="618" spans="1:13" x14ac:dyDescent="0.3">
      <c r="A618" t="s">
        <v>827</v>
      </c>
      <c r="B618">
        <v>38</v>
      </c>
      <c r="C618" s="1">
        <v>45361</v>
      </c>
      <c r="D618">
        <v>2024</v>
      </c>
      <c r="E618" t="s">
        <v>190</v>
      </c>
      <c r="F618" t="s">
        <v>13</v>
      </c>
      <c r="G618" t="s">
        <v>191</v>
      </c>
      <c r="H618" t="s">
        <v>195</v>
      </c>
      <c r="I618">
        <v>3</v>
      </c>
      <c r="J618">
        <v>2284.3200000000002</v>
      </c>
      <c r="K618">
        <v>0</v>
      </c>
      <c r="L618" t="s">
        <v>196</v>
      </c>
      <c r="M618">
        <v>1</v>
      </c>
    </row>
    <row r="619" spans="1:13" x14ac:dyDescent="0.3">
      <c r="A619" t="s">
        <v>828</v>
      </c>
      <c r="B619">
        <v>38</v>
      </c>
      <c r="C619" s="1">
        <v>45662</v>
      </c>
      <c r="D619">
        <v>2025</v>
      </c>
      <c r="E619" t="s">
        <v>190</v>
      </c>
      <c r="F619" t="s">
        <v>12</v>
      </c>
      <c r="G619" t="s">
        <v>203</v>
      </c>
      <c r="H619" t="s">
        <v>192</v>
      </c>
      <c r="I619">
        <v>3</v>
      </c>
      <c r="J619">
        <v>540.11</v>
      </c>
      <c r="K619">
        <v>0</v>
      </c>
      <c r="L619" t="s">
        <v>193</v>
      </c>
      <c r="M619">
        <v>1</v>
      </c>
    </row>
    <row r="620" spans="1:13" x14ac:dyDescent="0.3">
      <c r="A620" t="s">
        <v>829</v>
      </c>
      <c r="B620">
        <v>39</v>
      </c>
      <c r="C620" s="1">
        <v>44375</v>
      </c>
      <c r="D620">
        <v>2021</v>
      </c>
      <c r="E620" t="s">
        <v>225</v>
      </c>
      <c r="F620" t="s">
        <v>12</v>
      </c>
      <c r="G620" t="s">
        <v>203</v>
      </c>
      <c r="H620" t="s">
        <v>204</v>
      </c>
      <c r="I620">
        <v>8</v>
      </c>
      <c r="J620">
        <v>902.23</v>
      </c>
      <c r="K620">
        <v>0</v>
      </c>
      <c r="L620" t="s">
        <v>201</v>
      </c>
      <c r="M620">
        <v>1</v>
      </c>
    </row>
    <row r="621" spans="1:13" x14ac:dyDescent="0.3">
      <c r="A621" t="s">
        <v>830</v>
      </c>
      <c r="B621">
        <v>39</v>
      </c>
      <c r="C621" s="1">
        <v>44504</v>
      </c>
      <c r="D621">
        <v>2021</v>
      </c>
      <c r="E621" t="s">
        <v>214</v>
      </c>
      <c r="F621" t="s">
        <v>12</v>
      </c>
      <c r="G621" t="s">
        <v>212</v>
      </c>
      <c r="H621" t="s">
        <v>204</v>
      </c>
      <c r="I621">
        <v>13</v>
      </c>
      <c r="J621">
        <v>732.28</v>
      </c>
      <c r="K621">
        <v>0</v>
      </c>
      <c r="L621" t="s">
        <v>193</v>
      </c>
      <c r="M621">
        <v>1</v>
      </c>
    </row>
    <row r="622" spans="1:13" x14ac:dyDescent="0.3">
      <c r="A622" t="s">
        <v>831</v>
      </c>
      <c r="B622">
        <v>39</v>
      </c>
      <c r="C622" s="1">
        <v>44271</v>
      </c>
      <c r="D622">
        <v>2021</v>
      </c>
      <c r="E622" t="s">
        <v>287</v>
      </c>
      <c r="F622" t="s">
        <v>13</v>
      </c>
      <c r="G622" t="s">
        <v>191</v>
      </c>
      <c r="H622" t="s">
        <v>204</v>
      </c>
      <c r="I622">
        <v>13</v>
      </c>
      <c r="J622">
        <v>3696.61</v>
      </c>
      <c r="K622">
        <v>0</v>
      </c>
      <c r="L622" t="s">
        <v>193</v>
      </c>
      <c r="M622">
        <v>0</v>
      </c>
    </row>
    <row r="623" spans="1:13" x14ac:dyDescent="0.3">
      <c r="A623" t="s">
        <v>832</v>
      </c>
      <c r="B623">
        <v>39</v>
      </c>
      <c r="C623" s="1">
        <v>44644</v>
      </c>
      <c r="D623">
        <v>2022</v>
      </c>
      <c r="E623" t="s">
        <v>198</v>
      </c>
      <c r="F623" t="s">
        <v>13</v>
      </c>
      <c r="G623" t="s">
        <v>191</v>
      </c>
      <c r="H623" t="s">
        <v>195</v>
      </c>
      <c r="I623">
        <v>5</v>
      </c>
      <c r="J623">
        <v>3849.11</v>
      </c>
      <c r="K623">
        <v>1</v>
      </c>
      <c r="L623" t="s">
        <v>201</v>
      </c>
      <c r="M623">
        <v>1</v>
      </c>
    </row>
    <row r="624" spans="1:13" x14ac:dyDescent="0.3">
      <c r="A624" t="s">
        <v>833</v>
      </c>
      <c r="B624">
        <v>39</v>
      </c>
      <c r="C624" s="1">
        <v>44913</v>
      </c>
      <c r="D624">
        <v>2022</v>
      </c>
      <c r="E624" t="s">
        <v>227</v>
      </c>
      <c r="F624" t="s">
        <v>12</v>
      </c>
      <c r="G624" t="s">
        <v>200</v>
      </c>
      <c r="H624" t="s">
        <v>204</v>
      </c>
      <c r="I624">
        <v>11</v>
      </c>
      <c r="J624">
        <v>1348.33</v>
      </c>
      <c r="K624">
        <v>0</v>
      </c>
      <c r="L624" t="s">
        <v>193</v>
      </c>
      <c r="M624">
        <v>0</v>
      </c>
    </row>
    <row r="625" spans="1:13" x14ac:dyDescent="0.3">
      <c r="A625" t="s">
        <v>834</v>
      </c>
      <c r="B625">
        <v>39</v>
      </c>
      <c r="C625" s="1">
        <v>44574</v>
      </c>
      <c r="D625">
        <v>2022</v>
      </c>
      <c r="E625" t="s">
        <v>198</v>
      </c>
      <c r="F625" t="s">
        <v>13</v>
      </c>
      <c r="G625" t="s">
        <v>203</v>
      </c>
      <c r="H625" t="s">
        <v>206</v>
      </c>
      <c r="I625">
        <v>7</v>
      </c>
      <c r="J625">
        <v>1611.87</v>
      </c>
      <c r="K625">
        <v>1</v>
      </c>
      <c r="L625" t="s">
        <v>193</v>
      </c>
      <c r="M625">
        <v>0</v>
      </c>
    </row>
    <row r="626" spans="1:13" x14ac:dyDescent="0.3">
      <c r="A626" t="s">
        <v>835</v>
      </c>
      <c r="B626">
        <v>39</v>
      </c>
      <c r="C626" s="1">
        <v>44786</v>
      </c>
      <c r="D626">
        <v>2022</v>
      </c>
      <c r="E626" t="s">
        <v>227</v>
      </c>
      <c r="F626" t="s">
        <v>13</v>
      </c>
      <c r="G626" t="s">
        <v>191</v>
      </c>
      <c r="H626" t="s">
        <v>204</v>
      </c>
      <c r="I626">
        <v>7</v>
      </c>
      <c r="J626">
        <v>1962.55</v>
      </c>
      <c r="K626">
        <v>0</v>
      </c>
      <c r="L626" t="s">
        <v>193</v>
      </c>
      <c r="M626">
        <v>0</v>
      </c>
    </row>
    <row r="627" spans="1:13" x14ac:dyDescent="0.3">
      <c r="A627" t="s">
        <v>836</v>
      </c>
      <c r="B627">
        <v>39</v>
      </c>
      <c r="C627" s="1">
        <v>44778</v>
      </c>
      <c r="D627">
        <v>2022</v>
      </c>
      <c r="E627" t="s">
        <v>198</v>
      </c>
      <c r="F627" t="s">
        <v>199</v>
      </c>
      <c r="G627" t="s">
        <v>203</v>
      </c>
      <c r="H627" t="s">
        <v>204</v>
      </c>
      <c r="I627">
        <v>12</v>
      </c>
      <c r="J627">
        <v>5310.1</v>
      </c>
      <c r="K627">
        <v>1</v>
      </c>
      <c r="L627" t="s">
        <v>196</v>
      </c>
      <c r="M627">
        <v>0</v>
      </c>
    </row>
    <row r="628" spans="1:13" x14ac:dyDescent="0.3">
      <c r="A628" t="s">
        <v>837</v>
      </c>
      <c r="B628">
        <v>39</v>
      </c>
      <c r="C628" s="1">
        <v>44883</v>
      </c>
      <c r="D628">
        <v>2022</v>
      </c>
      <c r="E628" t="s">
        <v>198</v>
      </c>
      <c r="F628" t="s">
        <v>13</v>
      </c>
      <c r="G628" t="s">
        <v>191</v>
      </c>
      <c r="H628" t="s">
        <v>195</v>
      </c>
      <c r="I628">
        <v>8</v>
      </c>
      <c r="J628">
        <v>2936.26</v>
      </c>
      <c r="K628">
        <v>1</v>
      </c>
      <c r="L628" t="s">
        <v>210</v>
      </c>
      <c r="M628">
        <v>0</v>
      </c>
    </row>
    <row r="629" spans="1:13" x14ac:dyDescent="0.3">
      <c r="A629" t="s">
        <v>838</v>
      </c>
      <c r="B629">
        <v>39</v>
      </c>
      <c r="C629" s="1">
        <v>45650</v>
      </c>
      <c r="D629">
        <v>2024</v>
      </c>
      <c r="E629" t="s">
        <v>198</v>
      </c>
      <c r="F629" t="s">
        <v>13</v>
      </c>
      <c r="G629" t="s">
        <v>212</v>
      </c>
      <c r="H629" t="s">
        <v>195</v>
      </c>
      <c r="I629">
        <v>4</v>
      </c>
      <c r="J629">
        <v>3513.58</v>
      </c>
      <c r="K629">
        <v>1</v>
      </c>
      <c r="L629" t="s">
        <v>201</v>
      </c>
      <c r="M629">
        <v>1</v>
      </c>
    </row>
    <row r="630" spans="1:13" x14ac:dyDescent="0.3">
      <c r="A630" t="s">
        <v>839</v>
      </c>
      <c r="B630">
        <v>39</v>
      </c>
      <c r="C630" s="1">
        <v>45370</v>
      </c>
      <c r="D630">
        <v>2024</v>
      </c>
      <c r="E630" t="s">
        <v>198</v>
      </c>
      <c r="F630" t="s">
        <v>13</v>
      </c>
      <c r="G630" t="s">
        <v>191</v>
      </c>
      <c r="H630" t="s">
        <v>204</v>
      </c>
      <c r="I630">
        <v>11</v>
      </c>
      <c r="J630">
        <v>3398.21</v>
      </c>
      <c r="K630">
        <v>1</v>
      </c>
      <c r="L630" t="s">
        <v>196</v>
      </c>
      <c r="M630">
        <v>0</v>
      </c>
    </row>
    <row r="631" spans="1:13" x14ac:dyDescent="0.3">
      <c r="A631" t="s">
        <v>840</v>
      </c>
      <c r="B631">
        <v>39</v>
      </c>
      <c r="C631" s="1">
        <v>45400</v>
      </c>
      <c r="D631">
        <v>2024</v>
      </c>
      <c r="E631" t="s">
        <v>214</v>
      </c>
      <c r="F631" t="s">
        <v>12</v>
      </c>
      <c r="G631" t="s">
        <v>212</v>
      </c>
      <c r="H631" t="s">
        <v>192</v>
      </c>
      <c r="I631">
        <v>5</v>
      </c>
      <c r="J631">
        <v>972.01</v>
      </c>
      <c r="K631">
        <v>0</v>
      </c>
      <c r="L631" t="s">
        <v>215</v>
      </c>
      <c r="M631">
        <v>1</v>
      </c>
    </row>
    <row r="632" spans="1:13" x14ac:dyDescent="0.3">
      <c r="A632" t="s">
        <v>841</v>
      </c>
      <c r="B632">
        <v>39</v>
      </c>
      <c r="C632" s="1">
        <v>45545</v>
      </c>
      <c r="D632">
        <v>2024</v>
      </c>
      <c r="E632" t="s">
        <v>198</v>
      </c>
      <c r="F632" t="s">
        <v>12</v>
      </c>
      <c r="G632" t="s">
        <v>212</v>
      </c>
      <c r="H632" t="s">
        <v>195</v>
      </c>
      <c r="I632">
        <v>8</v>
      </c>
      <c r="J632">
        <v>866.38</v>
      </c>
      <c r="K632">
        <v>1</v>
      </c>
      <c r="L632" t="s">
        <v>210</v>
      </c>
      <c r="M632">
        <v>1</v>
      </c>
    </row>
    <row r="633" spans="1:13" x14ac:dyDescent="0.3">
      <c r="A633" t="s">
        <v>842</v>
      </c>
      <c r="B633">
        <v>39</v>
      </c>
      <c r="C633" s="1">
        <v>45383</v>
      </c>
      <c r="D633">
        <v>2024</v>
      </c>
      <c r="E633" t="s">
        <v>214</v>
      </c>
      <c r="F633" t="s">
        <v>12</v>
      </c>
      <c r="G633" t="s">
        <v>212</v>
      </c>
      <c r="H633" t="s">
        <v>195</v>
      </c>
      <c r="I633">
        <v>9</v>
      </c>
      <c r="J633">
        <v>1156.29</v>
      </c>
      <c r="K633">
        <v>0</v>
      </c>
      <c r="L633" t="s">
        <v>193</v>
      </c>
      <c r="M633">
        <v>1</v>
      </c>
    </row>
    <row r="634" spans="1:13" x14ac:dyDescent="0.3">
      <c r="A634" t="s">
        <v>843</v>
      </c>
      <c r="B634">
        <v>39</v>
      </c>
      <c r="C634" s="1">
        <v>45580</v>
      </c>
      <c r="D634">
        <v>2024</v>
      </c>
      <c r="E634" t="s">
        <v>198</v>
      </c>
      <c r="F634" t="s">
        <v>13</v>
      </c>
      <c r="G634" t="s">
        <v>203</v>
      </c>
      <c r="H634" t="s">
        <v>204</v>
      </c>
      <c r="I634">
        <v>11</v>
      </c>
      <c r="J634">
        <v>1993.33</v>
      </c>
      <c r="K634">
        <v>1</v>
      </c>
      <c r="L634" t="s">
        <v>201</v>
      </c>
      <c r="M634">
        <v>1</v>
      </c>
    </row>
    <row r="635" spans="1:13" x14ac:dyDescent="0.3">
      <c r="A635" t="s">
        <v>844</v>
      </c>
      <c r="B635">
        <v>39</v>
      </c>
      <c r="C635" s="1">
        <v>45995</v>
      </c>
      <c r="D635">
        <v>2025</v>
      </c>
      <c r="E635" t="s">
        <v>198</v>
      </c>
      <c r="F635" t="s">
        <v>13</v>
      </c>
      <c r="G635" t="s">
        <v>191</v>
      </c>
      <c r="H635" t="s">
        <v>192</v>
      </c>
      <c r="I635">
        <v>11</v>
      </c>
      <c r="J635">
        <v>3853.71</v>
      </c>
      <c r="K635">
        <v>1</v>
      </c>
      <c r="L635" t="s">
        <v>201</v>
      </c>
      <c r="M635">
        <v>0</v>
      </c>
    </row>
    <row r="636" spans="1:13" x14ac:dyDescent="0.3">
      <c r="A636" t="s">
        <v>845</v>
      </c>
      <c r="B636">
        <v>39</v>
      </c>
      <c r="C636" s="1">
        <v>45683</v>
      </c>
      <c r="D636">
        <v>2025</v>
      </c>
      <c r="E636" t="s">
        <v>287</v>
      </c>
      <c r="F636" t="s">
        <v>12</v>
      </c>
      <c r="G636" t="s">
        <v>212</v>
      </c>
      <c r="H636" t="s">
        <v>195</v>
      </c>
      <c r="I636">
        <v>2</v>
      </c>
      <c r="J636">
        <v>317.86</v>
      </c>
      <c r="K636">
        <v>0</v>
      </c>
      <c r="L636" t="s">
        <v>210</v>
      </c>
      <c r="M636">
        <v>1</v>
      </c>
    </row>
    <row r="637" spans="1:13" x14ac:dyDescent="0.3">
      <c r="A637" t="s">
        <v>846</v>
      </c>
      <c r="B637">
        <v>39</v>
      </c>
      <c r="C637" s="1">
        <v>45666</v>
      </c>
      <c r="D637">
        <v>2025</v>
      </c>
      <c r="E637" t="s">
        <v>219</v>
      </c>
      <c r="F637" t="s">
        <v>199</v>
      </c>
      <c r="G637" t="s">
        <v>203</v>
      </c>
      <c r="H637" t="s">
        <v>195</v>
      </c>
      <c r="I637">
        <v>14</v>
      </c>
      <c r="J637">
        <v>7249.93</v>
      </c>
      <c r="K637">
        <v>0</v>
      </c>
      <c r="L637" t="s">
        <v>193</v>
      </c>
      <c r="M637">
        <v>0</v>
      </c>
    </row>
    <row r="638" spans="1:13" x14ac:dyDescent="0.3">
      <c r="A638" t="s">
        <v>847</v>
      </c>
      <c r="B638">
        <v>39</v>
      </c>
      <c r="C638" s="1">
        <v>46014</v>
      </c>
      <c r="D638">
        <v>2025</v>
      </c>
      <c r="E638" t="s">
        <v>190</v>
      </c>
      <c r="F638" t="s">
        <v>13</v>
      </c>
      <c r="G638" t="s">
        <v>191</v>
      </c>
      <c r="H638" t="s">
        <v>192</v>
      </c>
      <c r="I638">
        <v>2</v>
      </c>
      <c r="J638">
        <v>3371.01</v>
      </c>
      <c r="K638">
        <v>1</v>
      </c>
      <c r="L638" t="s">
        <v>210</v>
      </c>
      <c r="M638">
        <v>0</v>
      </c>
    </row>
    <row r="639" spans="1:13" x14ac:dyDescent="0.3">
      <c r="A639" t="s">
        <v>848</v>
      </c>
      <c r="B639">
        <v>39</v>
      </c>
      <c r="C639" s="1">
        <v>45785</v>
      </c>
      <c r="D639">
        <v>2025</v>
      </c>
      <c r="E639" t="s">
        <v>190</v>
      </c>
      <c r="F639" t="s">
        <v>199</v>
      </c>
      <c r="G639" t="s">
        <v>212</v>
      </c>
      <c r="H639" t="s">
        <v>192</v>
      </c>
      <c r="I639">
        <v>4</v>
      </c>
      <c r="J639">
        <v>2865.25</v>
      </c>
      <c r="K639">
        <v>0</v>
      </c>
      <c r="L639" t="s">
        <v>201</v>
      </c>
      <c r="M639">
        <v>1</v>
      </c>
    </row>
    <row r="640" spans="1:13" x14ac:dyDescent="0.3">
      <c r="A640" t="s">
        <v>849</v>
      </c>
      <c r="B640">
        <v>39</v>
      </c>
      <c r="C640" s="1">
        <v>45775</v>
      </c>
      <c r="D640">
        <v>2025</v>
      </c>
      <c r="E640" t="s">
        <v>198</v>
      </c>
      <c r="F640" t="s">
        <v>199</v>
      </c>
      <c r="G640" t="s">
        <v>200</v>
      </c>
      <c r="H640" t="s">
        <v>204</v>
      </c>
      <c r="I640">
        <v>15</v>
      </c>
      <c r="J640">
        <v>5674.54</v>
      </c>
      <c r="K640">
        <v>1</v>
      </c>
      <c r="L640" t="s">
        <v>201</v>
      </c>
      <c r="M640">
        <v>0</v>
      </c>
    </row>
    <row r="641" spans="1:13" x14ac:dyDescent="0.3">
      <c r="A641" t="s">
        <v>850</v>
      </c>
      <c r="B641">
        <v>40</v>
      </c>
      <c r="C641" s="1">
        <v>44501</v>
      </c>
      <c r="D641">
        <v>2021</v>
      </c>
      <c r="E641" t="s">
        <v>198</v>
      </c>
      <c r="F641" t="s">
        <v>13</v>
      </c>
      <c r="G641" t="s">
        <v>200</v>
      </c>
      <c r="H641" t="s">
        <v>206</v>
      </c>
      <c r="I641">
        <v>21</v>
      </c>
      <c r="J641">
        <v>3734.96</v>
      </c>
      <c r="K641">
        <v>1</v>
      </c>
      <c r="L641" t="s">
        <v>196</v>
      </c>
      <c r="M641">
        <v>0</v>
      </c>
    </row>
    <row r="642" spans="1:13" x14ac:dyDescent="0.3">
      <c r="A642" t="s">
        <v>851</v>
      </c>
      <c r="B642">
        <v>40</v>
      </c>
      <c r="C642" s="1">
        <v>44519</v>
      </c>
      <c r="D642">
        <v>2021</v>
      </c>
      <c r="E642" t="s">
        <v>219</v>
      </c>
      <c r="F642" t="s">
        <v>12</v>
      </c>
      <c r="G642" t="s">
        <v>212</v>
      </c>
      <c r="H642" t="s">
        <v>195</v>
      </c>
      <c r="I642">
        <v>18</v>
      </c>
      <c r="J642">
        <v>394.45</v>
      </c>
      <c r="K642">
        <v>0</v>
      </c>
      <c r="L642" t="s">
        <v>210</v>
      </c>
      <c r="M642">
        <v>1</v>
      </c>
    </row>
    <row r="643" spans="1:13" x14ac:dyDescent="0.3">
      <c r="A643" t="s">
        <v>852</v>
      </c>
      <c r="B643">
        <v>40</v>
      </c>
      <c r="C643" s="1">
        <v>44545</v>
      </c>
      <c r="D643">
        <v>2021</v>
      </c>
      <c r="E643" t="s">
        <v>190</v>
      </c>
      <c r="F643" t="s">
        <v>12</v>
      </c>
      <c r="G643" t="s">
        <v>212</v>
      </c>
      <c r="H643" t="s">
        <v>195</v>
      </c>
      <c r="I643">
        <v>19</v>
      </c>
      <c r="J643">
        <v>728.23</v>
      </c>
      <c r="K643">
        <v>1</v>
      </c>
      <c r="L643" t="s">
        <v>215</v>
      </c>
      <c r="M643">
        <v>1</v>
      </c>
    </row>
    <row r="644" spans="1:13" x14ac:dyDescent="0.3">
      <c r="A644" t="s">
        <v>853</v>
      </c>
      <c r="B644">
        <v>40</v>
      </c>
      <c r="C644" s="1">
        <v>44200</v>
      </c>
      <c r="D644">
        <v>2021</v>
      </c>
      <c r="E644" t="s">
        <v>227</v>
      </c>
      <c r="F644" t="s">
        <v>12</v>
      </c>
      <c r="G644" t="s">
        <v>212</v>
      </c>
      <c r="H644" t="s">
        <v>192</v>
      </c>
      <c r="I644">
        <v>16</v>
      </c>
      <c r="J644">
        <v>560.84</v>
      </c>
      <c r="K644">
        <v>1</v>
      </c>
      <c r="L644" t="s">
        <v>201</v>
      </c>
      <c r="M644">
        <v>1</v>
      </c>
    </row>
    <row r="645" spans="1:13" x14ac:dyDescent="0.3">
      <c r="A645" t="s">
        <v>854</v>
      </c>
      <c r="B645">
        <v>40</v>
      </c>
      <c r="C645" s="1">
        <v>44288</v>
      </c>
      <c r="D645">
        <v>2021</v>
      </c>
      <c r="E645" t="s">
        <v>214</v>
      </c>
      <c r="F645" t="s">
        <v>13</v>
      </c>
      <c r="G645" t="s">
        <v>212</v>
      </c>
      <c r="H645" t="s">
        <v>204</v>
      </c>
      <c r="I645">
        <v>3</v>
      </c>
      <c r="J645">
        <v>3433.78</v>
      </c>
      <c r="K645">
        <v>1</v>
      </c>
      <c r="L645" t="s">
        <v>196</v>
      </c>
      <c r="M645">
        <v>1</v>
      </c>
    </row>
    <row r="646" spans="1:13" x14ac:dyDescent="0.3">
      <c r="A646" t="s">
        <v>855</v>
      </c>
      <c r="B646">
        <v>40</v>
      </c>
      <c r="C646" s="1">
        <v>44322</v>
      </c>
      <c r="D646">
        <v>2021</v>
      </c>
      <c r="E646" t="s">
        <v>198</v>
      </c>
      <c r="F646" t="s">
        <v>12</v>
      </c>
      <c r="G646" t="s">
        <v>212</v>
      </c>
      <c r="H646" t="s">
        <v>195</v>
      </c>
      <c r="I646">
        <v>1</v>
      </c>
      <c r="J646">
        <v>425.76</v>
      </c>
      <c r="K646">
        <v>1</v>
      </c>
      <c r="L646" t="s">
        <v>193</v>
      </c>
      <c r="M646">
        <v>1</v>
      </c>
    </row>
    <row r="647" spans="1:13" x14ac:dyDescent="0.3">
      <c r="A647" t="s">
        <v>856</v>
      </c>
      <c r="B647">
        <v>40</v>
      </c>
      <c r="C647" s="1">
        <v>44625</v>
      </c>
      <c r="D647">
        <v>2022</v>
      </c>
      <c r="E647" t="s">
        <v>225</v>
      </c>
      <c r="F647" t="s">
        <v>209</v>
      </c>
      <c r="G647" t="s">
        <v>203</v>
      </c>
      <c r="H647" t="s">
        <v>195</v>
      </c>
      <c r="I647">
        <v>8</v>
      </c>
      <c r="J647">
        <v>596.74</v>
      </c>
      <c r="K647">
        <v>0</v>
      </c>
      <c r="L647" t="s">
        <v>210</v>
      </c>
      <c r="M647">
        <v>1</v>
      </c>
    </row>
    <row r="648" spans="1:13" x14ac:dyDescent="0.3">
      <c r="A648" t="s">
        <v>857</v>
      </c>
      <c r="B648">
        <v>40</v>
      </c>
      <c r="C648" s="1">
        <v>44919</v>
      </c>
      <c r="D648">
        <v>2022</v>
      </c>
      <c r="E648" t="s">
        <v>198</v>
      </c>
      <c r="F648" t="s">
        <v>12</v>
      </c>
      <c r="G648" t="s">
        <v>212</v>
      </c>
      <c r="H648" t="s">
        <v>206</v>
      </c>
      <c r="I648">
        <v>1</v>
      </c>
      <c r="J648">
        <v>1118.2</v>
      </c>
      <c r="K648">
        <v>1</v>
      </c>
      <c r="L648" t="s">
        <v>215</v>
      </c>
      <c r="M648">
        <v>1</v>
      </c>
    </row>
    <row r="649" spans="1:13" x14ac:dyDescent="0.3">
      <c r="A649" t="s">
        <v>858</v>
      </c>
      <c r="B649">
        <v>40</v>
      </c>
      <c r="C649" s="1">
        <v>44600</v>
      </c>
      <c r="D649">
        <v>2022</v>
      </c>
      <c r="E649" t="s">
        <v>227</v>
      </c>
      <c r="F649" t="s">
        <v>12</v>
      </c>
      <c r="G649" t="s">
        <v>212</v>
      </c>
      <c r="H649" t="s">
        <v>195</v>
      </c>
      <c r="I649">
        <v>17</v>
      </c>
      <c r="J649">
        <v>708.36</v>
      </c>
      <c r="K649">
        <v>0</v>
      </c>
      <c r="L649" t="s">
        <v>215</v>
      </c>
      <c r="M649">
        <v>1</v>
      </c>
    </row>
    <row r="650" spans="1:13" x14ac:dyDescent="0.3">
      <c r="A650" t="s">
        <v>859</v>
      </c>
      <c r="B650">
        <v>40</v>
      </c>
      <c r="C650" s="1">
        <v>44679</v>
      </c>
      <c r="D650">
        <v>2022</v>
      </c>
      <c r="E650" t="s">
        <v>198</v>
      </c>
      <c r="F650" t="s">
        <v>199</v>
      </c>
      <c r="G650" t="s">
        <v>191</v>
      </c>
      <c r="H650" t="s">
        <v>192</v>
      </c>
      <c r="I650">
        <v>17</v>
      </c>
      <c r="J650">
        <v>2641.05</v>
      </c>
      <c r="K650">
        <v>1</v>
      </c>
      <c r="L650" t="s">
        <v>196</v>
      </c>
      <c r="M650">
        <v>0</v>
      </c>
    </row>
    <row r="651" spans="1:13" x14ac:dyDescent="0.3">
      <c r="A651" t="s">
        <v>860</v>
      </c>
      <c r="B651">
        <v>40</v>
      </c>
      <c r="C651" s="1">
        <v>44732</v>
      </c>
      <c r="D651">
        <v>2022</v>
      </c>
      <c r="E651" t="s">
        <v>198</v>
      </c>
      <c r="F651" t="s">
        <v>13</v>
      </c>
      <c r="G651" t="s">
        <v>200</v>
      </c>
      <c r="H651" t="s">
        <v>204</v>
      </c>
      <c r="I651">
        <v>2</v>
      </c>
      <c r="J651">
        <v>2329.34</v>
      </c>
      <c r="K651">
        <v>1</v>
      </c>
      <c r="L651" t="s">
        <v>193</v>
      </c>
      <c r="M651">
        <v>0</v>
      </c>
    </row>
    <row r="652" spans="1:13" x14ac:dyDescent="0.3">
      <c r="A652" t="s">
        <v>861</v>
      </c>
      <c r="B652">
        <v>40</v>
      </c>
      <c r="C652" s="1">
        <v>45115</v>
      </c>
      <c r="D652">
        <v>2023</v>
      </c>
      <c r="E652" t="s">
        <v>198</v>
      </c>
      <c r="F652" t="s">
        <v>199</v>
      </c>
      <c r="G652" t="s">
        <v>203</v>
      </c>
      <c r="H652" t="s">
        <v>195</v>
      </c>
      <c r="I652">
        <v>16</v>
      </c>
      <c r="J652">
        <v>3088.72</v>
      </c>
      <c r="K652">
        <v>1</v>
      </c>
      <c r="L652" t="s">
        <v>196</v>
      </c>
      <c r="M652">
        <v>0</v>
      </c>
    </row>
    <row r="653" spans="1:13" x14ac:dyDescent="0.3">
      <c r="A653" t="s">
        <v>862</v>
      </c>
      <c r="B653">
        <v>40</v>
      </c>
      <c r="C653" s="1">
        <v>45251</v>
      </c>
      <c r="D653">
        <v>2023</v>
      </c>
      <c r="E653" t="s">
        <v>214</v>
      </c>
      <c r="F653" t="s">
        <v>13</v>
      </c>
      <c r="G653" t="s">
        <v>203</v>
      </c>
      <c r="H653" t="s">
        <v>192</v>
      </c>
      <c r="I653">
        <v>8</v>
      </c>
      <c r="J653">
        <v>2848.41</v>
      </c>
      <c r="K653">
        <v>1</v>
      </c>
      <c r="L653" t="s">
        <v>201</v>
      </c>
      <c r="M653">
        <v>0</v>
      </c>
    </row>
    <row r="654" spans="1:13" x14ac:dyDescent="0.3">
      <c r="A654" t="s">
        <v>863</v>
      </c>
      <c r="B654">
        <v>40</v>
      </c>
      <c r="C654" s="1">
        <v>45245</v>
      </c>
      <c r="D654">
        <v>2023</v>
      </c>
      <c r="E654" t="s">
        <v>198</v>
      </c>
      <c r="F654" t="s">
        <v>199</v>
      </c>
      <c r="G654" t="s">
        <v>212</v>
      </c>
      <c r="H654" t="s">
        <v>195</v>
      </c>
      <c r="I654">
        <v>15</v>
      </c>
      <c r="J654">
        <v>4414.18</v>
      </c>
      <c r="K654">
        <v>1</v>
      </c>
      <c r="L654" t="s">
        <v>196</v>
      </c>
      <c r="M654">
        <v>1</v>
      </c>
    </row>
    <row r="655" spans="1:13" x14ac:dyDescent="0.3">
      <c r="A655" t="s">
        <v>864</v>
      </c>
      <c r="B655">
        <v>40</v>
      </c>
      <c r="C655" s="1">
        <v>45428</v>
      </c>
      <c r="D655">
        <v>2024</v>
      </c>
      <c r="E655" t="s">
        <v>198</v>
      </c>
      <c r="F655" t="s">
        <v>209</v>
      </c>
      <c r="G655" t="s">
        <v>212</v>
      </c>
      <c r="H655" t="s">
        <v>195</v>
      </c>
      <c r="I655">
        <v>3</v>
      </c>
      <c r="J655">
        <v>26.47</v>
      </c>
      <c r="K655">
        <v>1</v>
      </c>
      <c r="L655" t="s">
        <v>215</v>
      </c>
      <c r="M655">
        <v>1</v>
      </c>
    </row>
    <row r="656" spans="1:13" x14ac:dyDescent="0.3">
      <c r="A656" t="s">
        <v>865</v>
      </c>
      <c r="B656">
        <v>40</v>
      </c>
      <c r="C656" s="1">
        <v>45664</v>
      </c>
      <c r="D656">
        <v>2025</v>
      </c>
      <c r="E656" t="s">
        <v>198</v>
      </c>
      <c r="F656" t="s">
        <v>199</v>
      </c>
      <c r="G656" t="s">
        <v>191</v>
      </c>
      <c r="H656" t="s">
        <v>195</v>
      </c>
      <c r="I656">
        <v>15</v>
      </c>
      <c r="J656">
        <v>3052.07</v>
      </c>
      <c r="K656">
        <v>1</v>
      </c>
      <c r="L656" t="s">
        <v>196</v>
      </c>
      <c r="M656">
        <v>0</v>
      </c>
    </row>
    <row r="657" spans="1:13" x14ac:dyDescent="0.3">
      <c r="A657" t="s">
        <v>866</v>
      </c>
      <c r="B657">
        <v>40</v>
      </c>
      <c r="C657" s="1">
        <v>45730</v>
      </c>
      <c r="D657">
        <v>2025</v>
      </c>
      <c r="E657" t="s">
        <v>219</v>
      </c>
      <c r="F657" t="s">
        <v>13</v>
      </c>
      <c r="G657" t="s">
        <v>212</v>
      </c>
      <c r="H657" t="s">
        <v>195</v>
      </c>
      <c r="I657">
        <v>14</v>
      </c>
      <c r="J657">
        <v>1444.4</v>
      </c>
      <c r="K657">
        <v>0</v>
      </c>
      <c r="L657" t="s">
        <v>193</v>
      </c>
      <c r="M657">
        <v>1</v>
      </c>
    </row>
    <row r="658" spans="1:13" x14ac:dyDescent="0.3">
      <c r="A658" t="s">
        <v>867</v>
      </c>
      <c r="B658">
        <v>40</v>
      </c>
      <c r="C658" s="1">
        <v>45831</v>
      </c>
      <c r="D658">
        <v>2025</v>
      </c>
      <c r="E658" t="s">
        <v>198</v>
      </c>
      <c r="F658" t="s">
        <v>199</v>
      </c>
      <c r="G658" t="s">
        <v>203</v>
      </c>
      <c r="H658" t="s">
        <v>195</v>
      </c>
      <c r="I658">
        <v>2</v>
      </c>
      <c r="J658">
        <v>5040.7</v>
      </c>
      <c r="K658">
        <v>1</v>
      </c>
      <c r="L658" t="s">
        <v>193</v>
      </c>
      <c r="M658">
        <v>0</v>
      </c>
    </row>
    <row r="659" spans="1:13" x14ac:dyDescent="0.3">
      <c r="A659" t="s">
        <v>868</v>
      </c>
      <c r="B659">
        <v>41</v>
      </c>
      <c r="C659" s="1">
        <v>44364</v>
      </c>
      <c r="D659">
        <v>2021</v>
      </c>
      <c r="E659" t="s">
        <v>214</v>
      </c>
      <c r="F659" t="s">
        <v>12</v>
      </c>
      <c r="G659" t="s">
        <v>200</v>
      </c>
      <c r="H659" t="s">
        <v>195</v>
      </c>
      <c r="I659">
        <v>7</v>
      </c>
      <c r="J659">
        <v>271.79000000000002</v>
      </c>
      <c r="K659">
        <v>0</v>
      </c>
      <c r="L659" t="s">
        <v>215</v>
      </c>
      <c r="M659">
        <v>1</v>
      </c>
    </row>
    <row r="660" spans="1:13" x14ac:dyDescent="0.3">
      <c r="A660" t="s">
        <v>869</v>
      </c>
      <c r="B660">
        <v>41</v>
      </c>
      <c r="C660" s="1">
        <v>44512</v>
      </c>
      <c r="D660">
        <v>2021</v>
      </c>
      <c r="E660" t="s">
        <v>219</v>
      </c>
      <c r="F660" t="s">
        <v>13</v>
      </c>
      <c r="G660" t="s">
        <v>203</v>
      </c>
      <c r="H660" t="s">
        <v>192</v>
      </c>
      <c r="I660">
        <v>14</v>
      </c>
      <c r="J660">
        <v>2001.29</v>
      </c>
      <c r="K660">
        <v>0</v>
      </c>
      <c r="L660" t="s">
        <v>193</v>
      </c>
      <c r="M660">
        <v>1</v>
      </c>
    </row>
    <row r="661" spans="1:13" x14ac:dyDescent="0.3">
      <c r="A661" t="s">
        <v>870</v>
      </c>
      <c r="B661">
        <v>41</v>
      </c>
      <c r="C661" s="1">
        <v>44482</v>
      </c>
      <c r="D661">
        <v>2021</v>
      </c>
      <c r="E661" t="s">
        <v>198</v>
      </c>
      <c r="F661" t="s">
        <v>199</v>
      </c>
      <c r="G661" t="s">
        <v>191</v>
      </c>
      <c r="H661" t="s">
        <v>192</v>
      </c>
      <c r="I661">
        <v>8</v>
      </c>
      <c r="J661">
        <v>7110.82</v>
      </c>
      <c r="K661">
        <v>1</v>
      </c>
      <c r="L661" t="s">
        <v>196</v>
      </c>
      <c r="M661">
        <v>0</v>
      </c>
    </row>
    <row r="662" spans="1:13" x14ac:dyDescent="0.3">
      <c r="A662" t="s">
        <v>871</v>
      </c>
      <c r="B662">
        <v>41</v>
      </c>
      <c r="C662" s="1">
        <v>44366</v>
      </c>
      <c r="D662">
        <v>2021</v>
      </c>
      <c r="E662" t="s">
        <v>198</v>
      </c>
      <c r="F662" t="s">
        <v>199</v>
      </c>
      <c r="G662" t="s">
        <v>200</v>
      </c>
      <c r="H662" t="s">
        <v>195</v>
      </c>
      <c r="I662">
        <v>3</v>
      </c>
      <c r="J662">
        <v>3963.02</v>
      </c>
      <c r="K662">
        <v>1</v>
      </c>
      <c r="L662" t="s">
        <v>201</v>
      </c>
      <c r="M662">
        <v>1</v>
      </c>
    </row>
    <row r="663" spans="1:13" x14ac:dyDescent="0.3">
      <c r="A663" t="s">
        <v>872</v>
      </c>
      <c r="B663">
        <v>41</v>
      </c>
      <c r="C663" s="1">
        <v>44519</v>
      </c>
      <c r="D663">
        <v>2021</v>
      </c>
      <c r="E663" t="s">
        <v>198</v>
      </c>
      <c r="F663" t="s">
        <v>199</v>
      </c>
      <c r="G663" t="s">
        <v>212</v>
      </c>
      <c r="H663" t="s">
        <v>195</v>
      </c>
      <c r="I663">
        <v>1</v>
      </c>
      <c r="J663">
        <v>3183.78</v>
      </c>
      <c r="K663">
        <v>1</v>
      </c>
      <c r="L663" t="s">
        <v>196</v>
      </c>
      <c r="M663">
        <v>1</v>
      </c>
    </row>
    <row r="664" spans="1:13" x14ac:dyDescent="0.3">
      <c r="A664" t="s">
        <v>873</v>
      </c>
      <c r="B664">
        <v>41</v>
      </c>
      <c r="C664" s="1">
        <v>44842</v>
      </c>
      <c r="D664">
        <v>2022</v>
      </c>
      <c r="E664" t="s">
        <v>190</v>
      </c>
      <c r="F664" t="s">
        <v>209</v>
      </c>
      <c r="G664" t="s">
        <v>212</v>
      </c>
      <c r="H664" t="s">
        <v>195</v>
      </c>
      <c r="I664">
        <v>1</v>
      </c>
      <c r="J664">
        <v>378.64</v>
      </c>
      <c r="K664">
        <v>0</v>
      </c>
      <c r="L664" t="s">
        <v>210</v>
      </c>
      <c r="M664">
        <v>1</v>
      </c>
    </row>
    <row r="665" spans="1:13" x14ac:dyDescent="0.3">
      <c r="A665" t="s">
        <v>874</v>
      </c>
      <c r="B665">
        <v>41</v>
      </c>
      <c r="C665" s="1">
        <v>44673</v>
      </c>
      <c r="D665">
        <v>2022</v>
      </c>
      <c r="E665" t="s">
        <v>214</v>
      </c>
      <c r="F665" t="s">
        <v>13</v>
      </c>
      <c r="G665" t="s">
        <v>212</v>
      </c>
      <c r="H665" t="s">
        <v>195</v>
      </c>
      <c r="I665">
        <v>14</v>
      </c>
      <c r="J665">
        <v>3423.5</v>
      </c>
      <c r="K665">
        <v>1</v>
      </c>
      <c r="L665" t="s">
        <v>193</v>
      </c>
      <c r="M665">
        <v>1</v>
      </c>
    </row>
    <row r="666" spans="1:13" x14ac:dyDescent="0.3">
      <c r="A666" t="s">
        <v>875</v>
      </c>
      <c r="B666">
        <v>41</v>
      </c>
      <c r="C666" s="1">
        <v>44786</v>
      </c>
      <c r="D666">
        <v>2022</v>
      </c>
      <c r="E666" t="s">
        <v>219</v>
      </c>
      <c r="F666" t="s">
        <v>13</v>
      </c>
      <c r="G666" t="s">
        <v>200</v>
      </c>
      <c r="H666" t="s">
        <v>195</v>
      </c>
      <c r="I666">
        <v>8</v>
      </c>
      <c r="J666">
        <v>2317.0500000000002</v>
      </c>
      <c r="K666">
        <v>1</v>
      </c>
      <c r="L666" t="s">
        <v>193</v>
      </c>
      <c r="M666">
        <v>0</v>
      </c>
    </row>
    <row r="667" spans="1:13" x14ac:dyDescent="0.3">
      <c r="A667" t="s">
        <v>876</v>
      </c>
      <c r="B667">
        <v>41</v>
      </c>
      <c r="C667" s="1">
        <v>44905</v>
      </c>
      <c r="D667">
        <v>2022</v>
      </c>
      <c r="E667" t="s">
        <v>198</v>
      </c>
      <c r="F667" t="s">
        <v>199</v>
      </c>
      <c r="G667" t="s">
        <v>191</v>
      </c>
      <c r="H667" t="s">
        <v>192</v>
      </c>
      <c r="I667">
        <v>9</v>
      </c>
      <c r="J667">
        <v>5167.25</v>
      </c>
      <c r="K667">
        <v>1</v>
      </c>
      <c r="L667" t="s">
        <v>201</v>
      </c>
      <c r="M667">
        <v>0</v>
      </c>
    </row>
    <row r="668" spans="1:13" x14ac:dyDescent="0.3">
      <c r="A668" t="s">
        <v>877</v>
      </c>
      <c r="B668">
        <v>41</v>
      </c>
      <c r="C668" s="1">
        <v>44659</v>
      </c>
      <c r="D668">
        <v>2022</v>
      </c>
      <c r="E668" t="s">
        <v>190</v>
      </c>
      <c r="F668" t="s">
        <v>12</v>
      </c>
      <c r="G668" t="s">
        <v>212</v>
      </c>
      <c r="H668" t="s">
        <v>206</v>
      </c>
      <c r="I668">
        <v>3</v>
      </c>
      <c r="J668">
        <v>611.38</v>
      </c>
      <c r="K668">
        <v>1</v>
      </c>
      <c r="L668" t="s">
        <v>193</v>
      </c>
      <c r="M668">
        <v>1</v>
      </c>
    </row>
    <row r="669" spans="1:13" x14ac:dyDescent="0.3">
      <c r="A669" t="s">
        <v>878</v>
      </c>
      <c r="B669">
        <v>41</v>
      </c>
      <c r="C669" s="1">
        <v>45164</v>
      </c>
      <c r="D669">
        <v>2023</v>
      </c>
      <c r="E669" t="s">
        <v>227</v>
      </c>
      <c r="F669" t="s">
        <v>12</v>
      </c>
      <c r="G669" t="s">
        <v>191</v>
      </c>
      <c r="H669" t="s">
        <v>192</v>
      </c>
      <c r="I669">
        <v>9</v>
      </c>
      <c r="J669">
        <v>788.48</v>
      </c>
      <c r="K669">
        <v>0</v>
      </c>
      <c r="L669" t="s">
        <v>215</v>
      </c>
      <c r="M669">
        <v>0</v>
      </c>
    </row>
    <row r="670" spans="1:13" x14ac:dyDescent="0.3">
      <c r="A670" t="s">
        <v>879</v>
      </c>
      <c r="B670">
        <v>41</v>
      </c>
      <c r="C670" s="1">
        <v>45140</v>
      </c>
      <c r="D670">
        <v>2023</v>
      </c>
      <c r="E670" t="s">
        <v>219</v>
      </c>
      <c r="F670" t="s">
        <v>13</v>
      </c>
      <c r="G670" t="s">
        <v>212</v>
      </c>
      <c r="H670" t="s">
        <v>195</v>
      </c>
      <c r="I670">
        <v>3</v>
      </c>
      <c r="J670">
        <v>1267.07</v>
      </c>
      <c r="K670">
        <v>0</v>
      </c>
      <c r="L670" t="s">
        <v>201</v>
      </c>
      <c r="M670">
        <v>1</v>
      </c>
    </row>
    <row r="671" spans="1:13" x14ac:dyDescent="0.3">
      <c r="A671" t="s">
        <v>880</v>
      </c>
      <c r="B671">
        <v>41</v>
      </c>
      <c r="C671" s="1">
        <v>45252</v>
      </c>
      <c r="D671">
        <v>2023</v>
      </c>
      <c r="E671" t="s">
        <v>227</v>
      </c>
      <c r="F671" t="s">
        <v>13</v>
      </c>
      <c r="G671" t="s">
        <v>212</v>
      </c>
      <c r="H671" t="s">
        <v>192</v>
      </c>
      <c r="I671">
        <v>12</v>
      </c>
      <c r="J671">
        <v>3792.67</v>
      </c>
      <c r="K671">
        <v>0</v>
      </c>
      <c r="L671" t="s">
        <v>215</v>
      </c>
      <c r="M671">
        <v>1</v>
      </c>
    </row>
    <row r="672" spans="1:13" x14ac:dyDescent="0.3">
      <c r="A672" t="s">
        <v>881</v>
      </c>
      <c r="B672">
        <v>41</v>
      </c>
      <c r="C672" s="1">
        <v>45394</v>
      </c>
      <c r="D672">
        <v>2024</v>
      </c>
      <c r="E672" t="s">
        <v>219</v>
      </c>
      <c r="F672" t="s">
        <v>13</v>
      </c>
      <c r="G672" t="s">
        <v>212</v>
      </c>
      <c r="H672" t="s">
        <v>192</v>
      </c>
      <c r="I672">
        <v>8</v>
      </c>
      <c r="J672">
        <v>3654.85</v>
      </c>
      <c r="K672">
        <v>0</v>
      </c>
      <c r="L672" t="s">
        <v>193</v>
      </c>
      <c r="M672">
        <v>1</v>
      </c>
    </row>
    <row r="673" spans="1:13" x14ac:dyDescent="0.3">
      <c r="A673" t="s">
        <v>882</v>
      </c>
      <c r="B673">
        <v>41</v>
      </c>
      <c r="C673" s="1">
        <v>45691</v>
      </c>
      <c r="D673">
        <v>2025</v>
      </c>
      <c r="E673" t="s">
        <v>287</v>
      </c>
      <c r="F673" t="s">
        <v>199</v>
      </c>
      <c r="G673" t="s">
        <v>191</v>
      </c>
      <c r="H673" t="s">
        <v>192</v>
      </c>
      <c r="I673">
        <v>19</v>
      </c>
      <c r="J673">
        <v>5942.78</v>
      </c>
      <c r="K673">
        <v>0</v>
      </c>
      <c r="L673" t="s">
        <v>193</v>
      </c>
      <c r="M673">
        <v>0</v>
      </c>
    </row>
    <row r="674" spans="1:13" x14ac:dyDescent="0.3">
      <c r="A674" t="s">
        <v>883</v>
      </c>
      <c r="B674">
        <v>41</v>
      </c>
      <c r="C674" s="1">
        <v>45706</v>
      </c>
      <c r="D674">
        <v>2025</v>
      </c>
      <c r="E674" t="s">
        <v>287</v>
      </c>
      <c r="F674" t="s">
        <v>199</v>
      </c>
      <c r="G674" t="s">
        <v>203</v>
      </c>
      <c r="H674" t="s">
        <v>206</v>
      </c>
      <c r="I674">
        <v>18</v>
      </c>
      <c r="J674">
        <v>6668.08</v>
      </c>
      <c r="K674">
        <v>0</v>
      </c>
      <c r="L674" t="s">
        <v>201</v>
      </c>
      <c r="M674">
        <v>0</v>
      </c>
    </row>
    <row r="675" spans="1:13" x14ac:dyDescent="0.3">
      <c r="A675" t="s">
        <v>884</v>
      </c>
      <c r="B675">
        <v>41</v>
      </c>
      <c r="C675" s="1">
        <v>45924</v>
      </c>
      <c r="D675">
        <v>2025</v>
      </c>
      <c r="E675" t="s">
        <v>287</v>
      </c>
      <c r="F675" t="s">
        <v>13</v>
      </c>
      <c r="G675" t="s">
        <v>203</v>
      </c>
      <c r="H675" t="s">
        <v>195</v>
      </c>
      <c r="I675">
        <v>4</v>
      </c>
      <c r="J675">
        <v>2313</v>
      </c>
      <c r="K675">
        <v>0</v>
      </c>
      <c r="L675" t="s">
        <v>193</v>
      </c>
      <c r="M675">
        <v>1</v>
      </c>
    </row>
    <row r="676" spans="1:13" x14ac:dyDescent="0.3">
      <c r="A676" t="s">
        <v>885</v>
      </c>
      <c r="B676">
        <v>41</v>
      </c>
      <c r="C676" s="1">
        <v>45795</v>
      </c>
      <c r="D676">
        <v>2025</v>
      </c>
      <c r="E676" t="s">
        <v>227</v>
      </c>
      <c r="F676" t="s">
        <v>13</v>
      </c>
      <c r="G676" t="s">
        <v>212</v>
      </c>
      <c r="H676" t="s">
        <v>192</v>
      </c>
      <c r="I676">
        <v>8</v>
      </c>
      <c r="J676">
        <v>3527.78</v>
      </c>
      <c r="K676">
        <v>0</v>
      </c>
      <c r="L676" t="s">
        <v>215</v>
      </c>
      <c r="M676">
        <v>1</v>
      </c>
    </row>
    <row r="677" spans="1:13" x14ac:dyDescent="0.3">
      <c r="A677" t="s">
        <v>886</v>
      </c>
      <c r="B677">
        <v>42</v>
      </c>
      <c r="C677" s="1">
        <v>44336</v>
      </c>
      <c r="D677">
        <v>2021</v>
      </c>
      <c r="E677" t="s">
        <v>190</v>
      </c>
      <c r="F677" t="s">
        <v>13</v>
      </c>
      <c r="G677" t="s">
        <v>212</v>
      </c>
      <c r="H677" t="s">
        <v>195</v>
      </c>
      <c r="I677">
        <v>4</v>
      </c>
      <c r="J677">
        <v>3451.43</v>
      </c>
      <c r="K677">
        <v>0</v>
      </c>
      <c r="L677" t="s">
        <v>193</v>
      </c>
      <c r="M677">
        <v>1</v>
      </c>
    </row>
    <row r="678" spans="1:13" x14ac:dyDescent="0.3">
      <c r="A678" t="s">
        <v>887</v>
      </c>
      <c r="B678">
        <v>42</v>
      </c>
      <c r="C678" s="1">
        <v>44514</v>
      </c>
      <c r="D678">
        <v>2021</v>
      </c>
      <c r="E678" t="s">
        <v>219</v>
      </c>
      <c r="F678" t="s">
        <v>13</v>
      </c>
      <c r="G678" t="s">
        <v>212</v>
      </c>
      <c r="H678" t="s">
        <v>206</v>
      </c>
      <c r="I678">
        <v>11</v>
      </c>
      <c r="J678">
        <v>3790.64</v>
      </c>
      <c r="K678">
        <v>0</v>
      </c>
      <c r="L678" t="s">
        <v>210</v>
      </c>
      <c r="M678">
        <v>1</v>
      </c>
    </row>
    <row r="679" spans="1:13" x14ac:dyDescent="0.3">
      <c r="A679" t="s">
        <v>888</v>
      </c>
      <c r="B679">
        <v>42</v>
      </c>
      <c r="C679" s="1">
        <v>44318</v>
      </c>
      <c r="D679">
        <v>2021</v>
      </c>
      <c r="E679" t="s">
        <v>214</v>
      </c>
      <c r="F679" t="s">
        <v>12</v>
      </c>
      <c r="G679" t="s">
        <v>200</v>
      </c>
      <c r="H679" t="s">
        <v>195</v>
      </c>
      <c r="I679">
        <v>9</v>
      </c>
      <c r="J679">
        <v>390.62</v>
      </c>
      <c r="K679">
        <v>0</v>
      </c>
      <c r="L679" t="s">
        <v>193</v>
      </c>
      <c r="M679">
        <v>0</v>
      </c>
    </row>
    <row r="680" spans="1:13" x14ac:dyDescent="0.3">
      <c r="A680" t="s">
        <v>889</v>
      </c>
      <c r="B680">
        <v>42</v>
      </c>
      <c r="C680" s="1">
        <v>44636</v>
      </c>
      <c r="D680">
        <v>2022</v>
      </c>
      <c r="E680" t="s">
        <v>214</v>
      </c>
      <c r="F680" t="s">
        <v>13</v>
      </c>
      <c r="G680" t="s">
        <v>212</v>
      </c>
      <c r="H680" t="s">
        <v>206</v>
      </c>
      <c r="I680">
        <v>2</v>
      </c>
      <c r="J680">
        <v>1999.92</v>
      </c>
      <c r="K680">
        <v>0</v>
      </c>
      <c r="L680" t="s">
        <v>193</v>
      </c>
      <c r="M680">
        <v>1</v>
      </c>
    </row>
    <row r="681" spans="1:13" x14ac:dyDescent="0.3">
      <c r="A681" t="s">
        <v>890</v>
      </c>
      <c r="B681">
        <v>42</v>
      </c>
      <c r="C681" s="1">
        <v>45225</v>
      </c>
      <c r="D681">
        <v>2023</v>
      </c>
      <c r="E681" t="s">
        <v>190</v>
      </c>
      <c r="F681" t="s">
        <v>13</v>
      </c>
      <c r="G681" t="s">
        <v>212</v>
      </c>
      <c r="H681" t="s">
        <v>204</v>
      </c>
      <c r="I681">
        <v>5</v>
      </c>
      <c r="J681">
        <v>3778.68</v>
      </c>
      <c r="K681">
        <v>1</v>
      </c>
      <c r="L681" t="s">
        <v>196</v>
      </c>
      <c r="M681">
        <v>1</v>
      </c>
    </row>
    <row r="682" spans="1:13" x14ac:dyDescent="0.3">
      <c r="A682" t="s">
        <v>891</v>
      </c>
      <c r="B682">
        <v>42</v>
      </c>
      <c r="C682" s="1">
        <v>45212</v>
      </c>
      <c r="D682">
        <v>2023</v>
      </c>
      <c r="E682" t="s">
        <v>214</v>
      </c>
      <c r="F682" t="s">
        <v>12</v>
      </c>
      <c r="G682" t="s">
        <v>200</v>
      </c>
      <c r="H682" t="s">
        <v>195</v>
      </c>
      <c r="I682">
        <v>1</v>
      </c>
      <c r="J682">
        <v>640.49</v>
      </c>
      <c r="K682">
        <v>0</v>
      </c>
      <c r="L682" t="s">
        <v>201</v>
      </c>
      <c r="M682">
        <v>0</v>
      </c>
    </row>
    <row r="683" spans="1:13" x14ac:dyDescent="0.3">
      <c r="A683" t="s">
        <v>892</v>
      </c>
      <c r="B683">
        <v>42</v>
      </c>
      <c r="C683" s="1">
        <v>44970</v>
      </c>
      <c r="D683">
        <v>2023</v>
      </c>
      <c r="E683" t="s">
        <v>198</v>
      </c>
      <c r="F683" t="s">
        <v>199</v>
      </c>
      <c r="G683" t="s">
        <v>203</v>
      </c>
      <c r="H683" t="s">
        <v>195</v>
      </c>
      <c r="I683">
        <v>10</v>
      </c>
      <c r="J683">
        <v>7040.36</v>
      </c>
      <c r="K683">
        <v>1</v>
      </c>
      <c r="L683" t="s">
        <v>196</v>
      </c>
      <c r="M683">
        <v>0</v>
      </c>
    </row>
    <row r="684" spans="1:13" x14ac:dyDescent="0.3">
      <c r="A684" t="s">
        <v>893</v>
      </c>
      <c r="B684">
        <v>42</v>
      </c>
      <c r="C684" s="1">
        <v>45188</v>
      </c>
      <c r="D684">
        <v>2023</v>
      </c>
      <c r="E684" t="s">
        <v>190</v>
      </c>
      <c r="F684" t="s">
        <v>12</v>
      </c>
      <c r="G684" t="s">
        <v>212</v>
      </c>
      <c r="H684" t="s">
        <v>195</v>
      </c>
      <c r="I684">
        <v>16</v>
      </c>
      <c r="J684">
        <v>301.36</v>
      </c>
      <c r="K684">
        <v>0</v>
      </c>
      <c r="L684" t="s">
        <v>215</v>
      </c>
      <c r="M684">
        <v>1</v>
      </c>
    </row>
    <row r="685" spans="1:13" x14ac:dyDescent="0.3">
      <c r="A685" t="s">
        <v>894</v>
      </c>
      <c r="B685">
        <v>42</v>
      </c>
      <c r="C685" s="1">
        <v>45123</v>
      </c>
      <c r="D685">
        <v>2023</v>
      </c>
      <c r="E685" t="s">
        <v>198</v>
      </c>
      <c r="F685" t="s">
        <v>199</v>
      </c>
      <c r="G685" t="s">
        <v>203</v>
      </c>
      <c r="H685" t="s">
        <v>195</v>
      </c>
      <c r="I685">
        <v>14</v>
      </c>
      <c r="J685">
        <v>2874.82</v>
      </c>
      <c r="K685">
        <v>1</v>
      </c>
      <c r="L685" t="s">
        <v>196</v>
      </c>
      <c r="M685">
        <v>0</v>
      </c>
    </row>
    <row r="686" spans="1:13" x14ac:dyDescent="0.3">
      <c r="A686" t="s">
        <v>895</v>
      </c>
      <c r="B686">
        <v>42</v>
      </c>
      <c r="C686" s="1">
        <v>44964</v>
      </c>
      <c r="D686">
        <v>2023</v>
      </c>
      <c r="E686" t="s">
        <v>227</v>
      </c>
      <c r="F686" t="s">
        <v>199</v>
      </c>
      <c r="G686" t="s">
        <v>203</v>
      </c>
      <c r="H686" t="s">
        <v>204</v>
      </c>
      <c r="I686">
        <v>4</v>
      </c>
      <c r="J686">
        <v>7929.25</v>
      </c>
      <c r="K686">
        <v>0</v>
      </c>
      <c r="L686" t="s">
        <v>196</v>
      </c>
      <c r="M686">
        <v>1</v>
      </c>
    </row>
    <row r="687" spans="1:13" x14ac:dyDescent="0.3">
      <c r="A687" t="s">
        <v>896</v>
      </c>
      <c r="B687">
        <v>42</v>
      </c>
      <c r="C687" s="1">
        <v>45640</v>
      </c>
      <c r="D687">
        <v>2024</v>
      </c>
      <c r="E687" t="s">
        <v>198</v>
      </c>
      <c r="F687" t="s">
        <v>12</v>
      </c>
      <c r="G687" t="s">
        <v>191</v>
      </c>
      <c r="H687" t="s">
        <v>195</v>
      </c>
      <c r="I687">
        <v>5</v>
      </c>
      <c r="J687">
        <v>1476.27</v>
      </c>
      <c r="K687">
        <v>1</v>
      </c>
      <c r="L687" t="s">
        <v>215</v>
      </c>
      <c r="M687">
        <v>0</v>
      </c>
    </row>
    <row r="688" spans="1:13" x14ac:dyDescent="0.3">
      <c r="A688" t="s">
        <v>897</v>
      </c>
      <c r="B688">
        <v>42</v>
      </c>
      <c r="C688" s="1">
        <v>45335</v>
      </c>
      <c r="D688">
        <v>2024</v>
      </c>
      <c r="E688" t="s">
        <v>190</v>
      </c>
      <c r="F688" t="s">
        <v>209</v>
      </c>
      <c r="G688" t="s">
        <v>212</v>
      </c>
      <c r="H688" t="s">
        <v>195</v>
      </c>
      <c r="I688">
        <v>3</v>
      </c>
      <c r="J688">
        <v>86.79</v>
      </c>
      <c r="K688">
        <v>1</v>
      </c>
      <c r="L688" t="s">
        <v>215</v>
      </c>
      <c r="M688">
        <v>1</v>
      </c>
    </row>
    <row r="689" spans="1:13" x14ac:dyDescent="0.3">
      <c r="A689" t="s">
        <v>898</v>
      </c>
      <c r="B689">
        <v>42</v>
      </c>
      <c r="C689" s="1">
        <v>45464</v>
      </c>
      <c r="D689">
        <v>2024</v>
      </c>
      <c r="E689" t="s">
        <v>198</v>
      </c>
      <c r="F689" t="s">
        <v>13</v>
      </c>
      <c r="G689" t="s">
        <v>191</v>
      </c>
      <c r="H689" t="s">
        <v>206</v>
      </c>
      <c r="I689">
        <v>13</v>
      </c>
      <c r="J689">
        <v>3535.38</v>
      </c>
      <c r="K689">
        <v>1</v>
      </c>
      <c r="L689" t="s">
        <v>193</v>
      </c>
      <c r="M689">
        <v>1</v>
      </c>
    </row>
    <row r="690" spans="1:13" x14ac:dyDescent="0.3">
      <c r="A690" t="s">
        <v>899</v>
      </c>
      <c r="B690">
        <v>42</v>
      </c>
      <c r="C690" s="1">
        <v>45629</v>
      </c>
      <c r="D690">
        <v>2024</v>
      </c>
      <c r="E690" t="s">
        <v>214</v>
      </c>
      <c r="F690" t="s">
        <v>12</v>
      </c>
      <c r="G690" t="s">
        <v>212</v>
      </c>
      <c r="H690" t="s">
        <v>192</v>
      </c>
      <c r="I690">
        <v>13</v>
      </c>
      <c r="J690">
        <v>933.38</v>
      </c>
      <c r="K690">
        <v>0</v>
      </c>
      <c r="L690" t="s">
        <v>193</v>
      </c>
      <c r="M690">
        <v>1</v>
      </c>
    </row>
    <row r="691" spans="1:13" x14ac:dyDescent="0.3">
      <c r="A691" t="s">
        <v>900</v>
      </c>
      <c r="B691">
        <v>42</v>
      </c>
      <c r="C691" s="1">
        <v>45896</v>
      </c>
      <c r="D691">
        <v>2025</v>
      </c>
      <c r="E691" t="s">
        <v>214</v>
      </c>
      <c r="F691" t="s">
        <v>13</v>
      </c>
      <c r="G691" t="s">
        <v>191</v>
      </c>
      <c r="H691" t="s">
        <v>192</v>
      </c>
      <c r="I691">
        <v>9</v>
      </c>
      <c r="J691">
        <v>2867.64</v>
      </c>
      <c r="K691">
        <v>1</v>
      </c>
      <c r="L691" t="s">
        <v>196</v>
      </c>
      <c r="M691">
        <v>1</v>
      </c>
    </row>
    <row r="692" spans="1:13" x14ac:dyDescent="0.3">
      <c r="A692" t="s">
        <v>901</v>
      </c>
      <c r="B692">
        <v>42</v>
      </c>
      <c r="C692" s="1">
        <v>45914</v>
      </c>
      <c r="D692">
        <v>2025</v>
      </c>
      <c r="E692" t="s">
        <v>219</v>
      </c>
      <c r="F692" t="s">
        <v>13</v>
      </c>
      <c r="G692" t="s">
        <v>191</v>
      </c>
      <c r="H692" t="s">
        <v>206</v>
      </c>
      <c r="I692">
        <v>13</v>
      </c>
      <c r="J692">
        <v>2855.64</v>
      </c>
      <c r="K692">
        <v>1</v>
      </c>
      <c r="L692" t="s">
        <v>201</v>
      </c>
      <c r="M692">
        <v>0</v>
      </c>
    </row>
    <row r="693" spans="1:13" x14ac:dyDescent="0.3">
      <c r="A693" t="s">
        <v>902</v>
      </c>
      <c r="B693">
        <v>43</v>
      </c>
      <c r="C693" s="1">
        <v>44558</v>
      </c>
      <c r="D693">
        <v>2021</v>
      </c>
      <c r="E693" t="s">
        <v>214</v>
      </c>
      <c r="F693" t="s">
        <v>12</v>
      </c>
      <c r="G693" t="s">
        <v>203</v>
      </c>
      <c r="H693" t="s">
        <v>195</v>
      </c>
      <c r="I693">
        <v>9</v>
      </c>
      <c r="J693">
        <v>1074.8800000000001</v>
      </c>
      <c r="K693">
        <v>0</v>
      </c>
      <c r="L693" t="s">
        <v>215</v>
      </c>
      <c r="M693">
        <v>1</v>
      </c>
    </row>
    <row r="694" spans="1:13" x14ac:dyDescent="0.3">
      <c r="A694" t="s">
        <v>903</v>
      </c>
      <c r="B694">
        <v>43</v>
      </c>
      <c r="C694" s="1">
        <v>44506</v>
      </c>
      <c r="D694">
        <v>2021</v>
      </c>
      <c r="E694" t="s">
        <v>214</v>
      </c>
      <c r="F694" t="s">
        <v>12</v>
      </c>
      <c r="G694" t="s">
        <v>212</v>
      </c>
      <c r="H694" t="s">
        <v>206</v>
      </c>
      <c r="I694">
        <v>10</v>
      </c>
      <c r="J694">
        <v>1121.24</v>
      </c>
      <c r="K694">
        <v>0</v>
      </c>
      <c r="L694" t="s">
        <v>201</v>
      </c>
      <c r="M694">
        <v>1</v>
      </c>
    </row>
    <row r="695" spans="1:13" x14ac:dyDescent="0.3">
      <c r="A695" t="s">
        <v>904</v>
      </c>
      <c r="B695">
        <v>43</v>
      </c>
      <c r="C695" s="1">
        <v>44595</v>
      </c>
      <c r="D695">
        <v>2022</v>
      </c>
      <c r="E695" t="s">
        <v>214</v>
      </c>
      <c r="F695" t="s">
        <v>12</v>
      </c>
      <c r="G695" t="s">
        <v>212</v>
      </c>
      <c r="H695" t="s">
        <v>192</v>
      </c>
      <c r="I695">
        <v>7</v>
      </c>
      <c r="J695">
        <v>995.01</v>
      </c>
      <c r="K695">
        <v>0</v>
      </c>
      <c r="L695" t="s">
        <v>215</v>
      </c>
      <c r="M695">
        <v>1</v>
      </c>
    </row>
    <row r="696" spans="1:13" x14ac:dyDescent="0.3">
      <c r="A696" t="s">
        <v>905</v>
      </c>
      <c r="B696">
        <v>43</v>
      </c>
      <c r="C696" s="1">
        <v>44749</v>
      </c>
      <c r="D696">
        <v>2022</v>
      </c>
      <c r="E696" t="s">
        <v>214</v>
      </c>
      <c r="F696" t="s">
        <v>209</v>
      </c>
      <c r="G696" t="s">
        <v>191</v>
      </c>
      <c r="H696" t="s">
        <v>204</v>
      </c>
      <c r="I696">
        <v>5</v>
      </c>
      <c r="J696">
        <v>60</v>
      </c>
      <c r="K696">
        <v>0</v>
      </c>
      <c r="L696" t="s">
        <v>210</v>
      </c>
      <c r="M696">
        <v>0</v>
      </c>
    </row>
    <row r="697" spans="1:13" x14ac:dyDescent="0.3">
      <c r="A697" t="s">
        <v>906</v>
      </c>
      <c r="B697">
        <v>43</v>
      </c>
      <c r="C697" s="1">
        <v>45139</v>
      </c>
      <c r="D697">
        <v>2023</v>
      </c>
      <c r="E697" t="s">
        <v>198</v>
      </c>
      <c r="F697" t="s">
        <v>12</v>
      </c>
      <c r="G697" t="s">
        <v>203</v>
      </c>
      <c r="H697" t="s">
        <v>204</v>
      </c>
      <c r="I697">
        <v>3</v>
      </c>
      <c r="J697">
        <v>912.94</v>
      </c>
      <c r="K697">
        <v>1</v>
      </c>
      <c r="L697" t="s">
        <v>215</v>
      </c>
      <c r="M697">
        <v>0</v>
      </c>
    </row>
    <row r="698" spans="1:13" x14ac:dyDescent="0.3">
      <c r="A698" t="s">
        <v>907</v>
      </c>
      <c r="B698">
        <v>43</v>
      </c>
      <c r="C698" s="1">
        <v>45120</v>
      </c>
      <c r="D698">
        <v>2023</v>
      </c>
      <c r="E698" t="s">
        <v>214</v>
      </c>
      <c r="F698" t="s">
        <v>13</v>
      </c>
      <c r="G698" t="s">
        <v>212</v>
      </c>
      <c r="H698" t="s">
        <v>195</v>
      </c>
      <c r="I698">
        <v>6</v>
      </c>
      <c r="J698">
        <v>2231.38</v>
      </c>
      <c r="K698">
        <v>0</v>
      </c>
      <c r="L698" t="s">
        <v>193</v>
      </c>
      <c r="M698">
        <v>1</v>
      </c>
    </row>
    <row r="699" spans="1:13" x14ac:dyDescent="0.3">
      <c r="A699" t="s">
        <v>908</v>
      </c>
      <c r="B699">
        <v>43</v>
      </c>
      <c r="C699" s="1">
        <v>45318</v>
      </c>
      <c r="D699">
        <v>2024</v>
      </c>
      <c r="E699" t="s">
        <v>190</v>
      </c>
      <c r="F699" t="s">
        <v>12</v>
      </c>
      <c r="G699" t="s">
        <v>212</v>
      </c>
      <c r="H699" t="s">
        <v>195</v>
      </c>
      <c r="I699">
        <v>16</v>
      </c>
      <c r="J699">
        <v>1195.33</v>
      </c>
      <c r="K699">
        <v>0</v>
      </c>
      <c r="L699" t="s">
        <v>201</v>
      </c>
      <c r="M699">
        <v>1</v>
      </c>
    </row>
    <row r="700" spans="1:13" x14ac:dyDescent="0.3">
      <c r="A700" t="s">
        <v>909</v>
      </c>
      <c r="B700">
        <v>43</v>
      </c>
      <c r="C700" s="1">
        <v>45580</v>
      </c>
      <c r="D700">
        <v>2024</v>
      </c>
      <c r="E700" t="s">
        <v>190</v>
      </c>
      <c r="F700" t="s">
        <v>12</v>
      </c>
      <c r="G700" t="s">
        <v>203</v>
      </c>
      <c r="H700" t="s">
        <v>192</v>
      </c>
      <c r="I700">
        <v>1</v>
      </c>
      <c r="J700">
        <v>1226.57</v>
      </c>
      <c r="K700">
        <v>0</v>
      </c>
      <c r="L700" t="s">
        <v>215</v>
      </c>
      <c r="M700">
        <v>0</v>
      </c>
    </row>
    <row r="701" spans="1:13" x14ac:dyDescent="0.3">
      <c r="A701" t="s">
        <v>910</v>
      </c>
      <c r="B701">
        <v>43</v>
      </c>
      <c r="C701" s="1">
        <v>45452</v>
      </c>
      <c r="D701">
        <v>2024</v>
      </c>
      <c r="E701" t="s">
        <v>190</v>
      </c>
      <c r="F701" t="s">
        <v>199</v>
      </c>
      <c r="G701" t="s">
        <v>191</v>
      </c>
      <c r="H701" t="s">
        <v>195</v>
      </c>
      <c r="I701">
        <v>12</v>
      </c>
      <c r="J701">
        <v>3513.79</v>
      </c>
      <c r="K701">
        <v>0</v>
      </c>
      <c r="L701" t="s">
        <v>196</v>
      </c>
      <c r="M701">
        <v>0</v>
      </c>
    </row>
    <row r="702" spans="1:13" x14ac:dyDescent="0.3">
      <c r="A702" t="s">
        <v>911</v>
      </c>
      <c r="B702">
        <v>43</v>
      </c>
      <c r="C702" s="1">
        <v>45494</v>
      </c>
      <c r="D702">
        <v>2024</v>
      </c>
      <c r="E702" t="s">
        <v>225</v>
      </c>
      <c r="F702" t="s">
        <v>13</v>
      </c>
      <c r="G702" t="s">
        <v>203</v>
      </c>
      <c r="H702" t="s">
        <v>204</v>
      </c>
      <c r="I702">
        <v>4</v>
      </c>
      <c r="J702">
        <v>3084.38</v>
      </c>
      <c r="K702">
        <v>0</v>
      </c>
      <c r="L702" t="s">
        <v>215</v>
      </c>
      <c r="M702">
        <v>0</v>
      </c>
    </row>
    <row r="703" spans="1:13" x14ac:dyDescent="0.3">
      <c r="A703" t="s">
        <v>912</v>
      </c>
      <c r="B703">
        <v>43</v>
      </c>
      <c r="C703" s="1">
        <v>45726</v>
      </c>
      <c r="D703">
        <v>2025</v>
      </c>
      <c r="E703" t="s">
        <v>214</v>
      </c>
      <c r="F703" t="s">
        <v>13</v>
      </c>
      <c r="G703" t="s">
        <v>212</v>
      </c>
      <c r="H703" t="s">
        <v>204</v>
      </c>
      <c r="I703">
        <v>6</v>
      </c>
      <c r="J703">
        <v>2435.09</v>
      </c>
      <c r="K703">
        <v>0</v>
      </c>
      <c r="L703" t="s">
        <v>210</v>
      </c>
      <c r="M703">
        <v>1</v>
      </c>
    </row>
    <row r="704" spans="1:13" x14ac:dyDescent="0.3">
      <c r="A704" t="s">
        <v>913</v>
      </c>
      <c r="B704">
        <v>43</v>
      </c>
      <c r="C704" s="1">
        <v>45741</v>
      </c>
      <c r="D704">
        <v>2025</v>
      </c>
      <c r="E704" t="s">
        <v>225</v>
      </c>
      <c r="F704" t="s">
        <v>209</v>
      </c>
      <c r="G704" t="s">
        <v>200</v>
      </c>
      <c r="H704" t="s">
        <v>192</v>
      </c>
      <c r="I704">
        <v>2</v>
      </c>
      <c r="J704">
        <v>168.56</v>
      </c>
      <c r="K704">
        <v>0</v>
      </c>
      <c r="L704" t="s">
        <v>215</v>
      </c>
      <c r="M704">
        <v>1</v>
      </c>
    </row>
    <row r="705" spans="1:13" x14ac:dyDescent="0.3">
      <c r="A705" t="s">
        <v>914</v>
      </c>
      <c r="B705">
        <v>43</v>
      </c>
      <c r="C705" s="1">
        <v>45927</v>
      </c>
      <c r="D705">
        <v>2025</v>
      </c>
      <c r="E705" t="s">
        <v>287</v>
      </c>
      <c r="F705" t="s">
        <v>13</v>
      </c>
      <c r="G705" t="s">
        <v>212</v>
      </c>
      <c r="H705" t="s">
        <v>204</v>
      </c>
      <c r="I705">
        <v>16</v>
      </c>
      <c r="J705">
        <v>1179.9100000000001</v>
      </c>
      <c r="K705">
        <v>0</v>
      </c>
      <c r="L705" t="s">
        <v>201</v>
      </c>
      <c r="M705">
        <v>1</v>
      </c>
    </row>
    <row r="706" spans="1:13" x14ac:dyDescent="0.3">
      <c r="A706" t="s">
        <v>915</v>
      </c>
      <c r="B706">
        <v>43</v>
      </c>
      <c r="C706" s="1">
        <v>45661</v>
      </c>
      <c r="D706">
        <v>2025</v>
      </c>
      <c r="E706" t="s">
        <v>219</v>
      </c>
      <c r="F706" t="s">
        <v>13</v>
      </c>
      <c r="G706" t="s">
        <v>203</v>
      </c>
      <c r="H706" t="s">
        <v>195</v>
      </c>
      <c r="I706">
        <v>14</v>
      </c>
      <c r="J706">
        <v>3974.91</v>
      </c>
      <c r="K706">
        <v>0</v>
      </c>
      <c r="L706" t="s">
        <v>196</v>
      </c>
      <c r="M706">
        <v>0</v>
      </c>
    </row>
    <row r="707" spans="1:13" x14ac:dyDescent="0.3">
      <c r="A707" t="s">
        <v>916</v>
      </c>
      <c r="B707">
        <v>44</v>
      </c>
      <c r="C707" s="1">
        <v>44362</v>
      </c>
      <c r="D707">
        <v>2021</v>
      </c>
      <c r="E707" t="s">
        <v>190</v>
      </c>
      <c r="F707" t="s">
        <v>13</v>
      </c>
      <c r="G707" t="s">
        <v>191</v>
      </c>
      <c r="H707" t="s">
        <v>192</v>
      </c>
      <c r="I707">
        <v>10</v>
      </c>
      <c r="J707">
        <v>1404.73</v>
      </c>
      <c r="K707">
        <v>0</v>
      </c>
      <c r="L707" t="s">
        <v>201</v>
      </c>
      <c r="M707">
        <v>1</v>
      </c>
    </row>
    <row r="708" spans="1:13" x14ac:dyDescent="0.3">
      <c r="A708" t="s">
        <v>917</v>
      </c>
      <c r="B708">
        <v>44</v>
      </c>
      <c r="C708" s="1">
        <v>44526</v>
      </c>
      <c r="D708">
        <v>2021</v>
      </c>
      <c r="E708" t="s">
        <v>214</v>
      </c>
      <c r="F708" t="s">
        <v>209</v>
      </c>
      <c r="G708" t="s">
        <v>203</v>
      </c>
      <c r="H708" t="s">
        <v>195</v>
      </c>
      <c r="I708">
        <v>9</v>
      </c>
      <c r="J708">
        <v>122.33</v>
      </c>
      <c r="K708">
        <v>0</v>
      </c>
      <c r="L708" t="s">
        <v>215</v>
      </c>
      <c r="M708">
        <v>1</v>
      </c>
    </row>
    <row r="709" spans="1:13" x14ac:dyDescent="0.3">
      <c r="A709" t="s">
        <v>918</v>
      </c>
      <c r="B709">
        <v>44</v>
      </c>
      <c r="C709" s="1">
        <v>44355</v>
      </c>
      <c r="D709">
        <v>2021</v>
      </c>
      <c r="E709" t="s">
        <v>214</v>
      </c>
      <c r="F709" t="s">
        <v>12</v>
      </c>
      <c r="G709" t="s">
        <v>212</v>
      </c>
      <c r="H709" t="s">
        <v>206</v>
      </c>
      <c r="I709">
        <v>5</v>
      </c>
      <c r="J709">
        <v>915.36</v>
      </c>
      <c r="K709">
        <v>0</v>
      </c>
      <c r="L709" t="s">
        <v>210</v>
      </c>
      <c r="M709">
        <v>1</v>
      </c>
    </row>
    <row r="710" spans="1:13" x14ac:dyDescent="0.3">
      <c r="A710" t="s">
        <v>919</v>
      </c>
      <c r="B710">
        <v>44</v>
      </c>
      <c r="C710" s="1">
        <v>44721</v>
      </c>
      <c r="D710">
        <v>2022</v>
      </c>
      <c r="E710" t="s">
        <v>287</v>
      </c>
      <c r="F710" t="s">
        <v>12</v>
      </c>
      <c r="G710" t="s">
        <v>200</v>
      </c>
      <c r="H710" t="s">
        <v>195</v>
      </c>
      <c r="I710">
        <v>7</v>
      </c>
      <c r="J710">
        <v>1118.4000000000001</v>
      </c>
      <c r="K710">
        <v>0</v>
      </c>
      <c r="L710" t="s">
        <v>196</v>
      </c>
      <c r="M710">
        <v>0</v>
      </c>
    </row>
    <row r="711" spans="1:13" x14ac:dyDescent="0.3">
      <c r="A711" t="s">
        <v>920</v>
      </c>
      <c r="B711">
        <v>44</v>
      </c>
      <c r="C711" s="1">
        <v>44683</v>
      </c>
      <c r="D711">
        <v>2022</v>
      </c>
      <c r="E711" t="s">
        <v>227</v>
      </c>
      <c r="F711" t="s">
        <v>199</v>
      </c>
      <c r="G711" t="s">
        <v>203</v>
      </c>
      <c r="H711" t="s">
        <v>206</v>
      </c>
      <c r="I711">
        <v>15</v>
      </c>
      <c r="J711">
        <v>4068.64</v>
      </c>
      <c r="K711">
        <v>0</v>
      </c>
      <c r="L711" t="s">
        <v>196</v>
      </c>
      <c r="M711">
        <v>1</v>
      </c>
    </row>
    <row r="712" spans="1:13" x14ac:dyDescent="0.3">
      <c r="A712" t="s">
        <v>921</v>
      </c>
      <c r="B712">
        <v>44</v>
      </c>
      <c r="C712" s="1">
        <v>44596</v>
      </c>
      <c r="D712">
        <v>2022</v>
      </c>
      <c r="E712" t="s">
        <v>214</v>
      </c>
      <c r="F712" t="s">
        <v>12</v>
      </c>
      <c r="G712" t="s">
        <v>191</v>
      </c>
      <c r="H712" t="s">
        <v>206</v>
      </c>
      <c r="I712">
        <v>15</v>
      </c>
      <c r="J712">
        <v>606.83000000000004</v>
      </c>
      <c r="K712">
        <v>0</v>
      </c>
      <c r="L712" t="s">
        <v>210</v>
      </c>
      <c r="M712">
        <v>1</v>
      </c>
    </row>
    <row r="713" spans="1:13" x14ac:dyDescent="0.3">
      <c r="A713" t="s">
        <v>922</v>
      </c>
      <c r="B713">
        <v>44</v>
      </c>
      <c r="C713" s="1">
        <v>44795</v>
      </c>
      <c r="D713">
        <v>2022</v>
      </c>
      <c r="E713" t="s">
        <v>287</v>
      </c>
      <c r="F713" t="s">
        <v>13</v>
      </c>
      <c r="G713" t="s">
        <v>191</v>
      </c>
      <c r="H713" t="s">
        <v>195</v>
      </c>
      <c r="I713">
        <v>5</v>
      </c>
      <c r="J713">
        <v>3703.51</v>
      </c>
      <c r="K713">
        <v>0</v>
      </c>
      <c r="L713" t="s">
        <v>193</v>
      </c>
      <c r="M713">
        <v>0</v>
      </c>
    </row>
    <row r="714" spans="1:13" x14ac:dyDescent="0.3">
      <c r="A714" t="s">
        <v>923</v>
      </c>
      <c r="B714">
        <v>44</v>
      </c>
      <c r="C714" s="1">
        <v>45252</v>
      </c>
      <c r="D714">
        <v>2023</v>
      </c>
      <c r="E714" t="s">
        <v>190</v>
      </c>
      <c r="F714" t="s">
        <v>12</v>
      </c>
      <c r="G714" t="s">
        <v>200</v>
      </c>
      <c r="H714" t="s">
        <v>206</v>
      </c>
      <c r="I714">
        <v>3</v>
      </c>
      <c r="J714">
        <v>943.86</v>
      </c>
      <c r="K714">
        <v>0</v>
      </c>
      <c r="L714" t="s">
        <v>210</v>
      </c>
      <c r="M714">
        <v>0</v>
      </c>
    </row>
    <row r="715" spans="1:13" x14ac:dyDescent="0.3">
      <c r="A715" t="s">
        <v>924</v>
      </c>
      <c r="B715">
        <v>44</v>
      </c>
      <c r="C715" s="1">
        <v>45150</v>
      </c>
      <c r="D715">
        <v>2023</v>
      </c>
      <c r="E715" t="s">
        <v>190</v>
      </c>
      <c r="F715" t="s">
        <v>12</v>
      </c>
      <c r="G715" t="s">
        <v>200</v>
      </c>
      <c r="H715" t="s">
        <v>206</v>
      </c>
      <c r="I715">
        <v>3</v>
      </c>
      <c r="J715">
        <v>1008.43</v>
      </c>
      <c r="K715">
        <v>0</v>
      </c>
      <c r="L715" t="s">
        <v>210</v>
      </c>
      <c r="M715">
        <v>0</v>
      </c>
    </row>
    <row r="716" spans="1:13" x14ac:dyDescent="0.3">
      <c r="A716" t="s">
        <v>925</v>
      </c>
      <c r="B716">
        <v>44</v>
      </c>
      <c r="C716" s="1">
        <v>45100</v>
      </c>
      <c r="D716">
        <v>2023</v>
      </c>
      <c r="E716" t="s">
        <v>190</v>
      </c>
      <c r="F716" t="s">
        <v>209</v>
      </c>
      <c r="G716" t="s">
        <v>212</v>
      </c>
      <c r="H716" t="s">
        <v>192</v>
      </c>
      <c r="I716">
        <v>6</v>
      </c>
      <c r="J716">
        <v>137.72999999999999</v>
      </c>
      <c r="K716">
        <v>0</v>
      </c>
      <c r="L716" t="s">
        <v>210</v>
      </c>
      <c r="M716">
        <v>1</v>
      </c>
    </row>
    <row r="717" spans="1:13" x14ac:dyDescent="0.3">
      <c r="A717" t="s">
        <v>926</v>
      </c>
      <c r="B717">
        <v>44</v>
      </c>
      <c r="C717" s="1">
        <v>45432</v>
      </c>
      <c r="D717">
        <v>2024</v>
      </c>
      <c r="E717" t="s">
        <v>198</v>
      </c>
      <c r="F717" t="s">
        <v>199</v>
      </c>
      <c r="G717" t="s">
        <v>200</v>
      </c>
      <c r="H717" t="s">
        <v>204</v>
      </c>
      <c r="I717">
        <v>14</v>
      </c>
      <c r="J717">
        <v>7247.73</v>
      </c>
      <c r="K717">
        <v>1</v>
      </c>
      <c r="L717" t="s">
        <v>196</v>
      </c>
      <c r="M717">
        <v>0</v>
      </c>
    </row>
    <row r="718" spans="1:13" x14ac:dyDescent="0.3">
      <c r="A718" t="s">
        <v>927</v>
      </c>
      <c r="B718">
        <v>44</v>
      </c>
      <c r="C718" s="1">
        <v>45654</v>
      </c>
      <c r="D718">
        <v>2024</v>
      </c>
      <c r="E718" t="s">
        <v>225</v>
      </c>
      <c r="F718" t="s">
        <v>13</v>
      </c>
      <c r="G718" t="s">
        <v>203</v>
      </c>
      <c r="H718" t="s">
        <v>195</v>
      </c>
      <c r="I718">
        <v>4</v>
      </c>
      <c r="J718">
        <v>3527.68</v>
      </c>
      <c r="K718">
        <v>0</v>
      </c>
      <c r="L718" t="s">
        <v>210</v>
      </c>
      <c r="M718">
        <v>0</v>
      </c>
    </row>
    <row r="719" spans="1:13" x14ac:dyDescent="0.3">
      <c r="A719" t="s">
        <v>928</v>
      </c>
      <c r="B719">
        <v>44</v>
      </c>
      <c r="C719" s="1">
        <v>45608</v>
      </c>
      <c r="D719">
        <v>2024</v>
      </c>
      <c r="E719" t="s">
        <v>214</v>
      </c>
      <c r="F719" t="s">
        <v>12</v>
      </c>
      <c r="G719" t="s">
        <v>212</v>
      </c>
      <c r="H719" t="s">
        <v>195</v>
      </c>
      <c r="I719">
        <v>2</v>
      </c>
      <c r="J719">
        <v>918.85</v>
      </c>
      <c r="K719">
        <v>0</v>
      </c>
      <c r="L719" t="s">
        <v>215</v>
      </c>
      <c r="M719">
        <v>1</v>
      </c>
    </row>
    <row r="720" spans="1:13" x14ac:dyDescent="0.3">
      <c r="A720" t="s">
        <v>929</v>
      </c>
      <c r="B720">
        <v>44</v>
      </c>
      <c r="C720" s="1">
        <v>45585</v>
      </c>
      <c r="D720">
        <v>2024</v>
      </c>
      <c r="E720" t="s">
        <v>214</v>
      </c>
      <c r="F720" t="s">
        <v>13</v>
      </c>
      <c r="G720" t="s">
        <v>212</v>
      </c>
      <c r="H720" t="s">
        <v>204</v>
      </c>
      <c r="I720">
        <v>15</v>
      </c>
      <c r="J720">
        <v>3058.72</v>
      </c>
      <c r="K720">
        <v>0</v>
      </c>
      <c r="L720" t="s">
        <v>215</v>
      </c>
      <c r="M720">
        <v>1</v>
      </c>
    </row>
    <row r="721" spans="1:13" x14ac:dyDescent="0.3">
      <c r="A721" t="s">
        <v>930</v>
      </c>
      <c r="B721">
        <v>44</v>
      </c>
      <c r="C721" s="1">
        <v>45768</v>
      </c>
      <c r="D721">
        <v>2025</v>
      </c>
      <c r="E721" t="s">
        <v>219</v>
      </c>
      <c r="F721" t="s">
        <v>12</v>
      </c>
      <c r="G721" t="s">
        <v>212</v>
      </c>
      <c r="H721" t="s">
        <v>192</v>
      </c>
      <c r="I721">
        <v>13</v>
      </c>
      <c r="J721">
        <v>1076.3399999999999</v>
      </c>
      <c r="K721">
        <v>0</v>
      </c>
      <c r="L721" t="s">
        <v>201</v>
      </c>
      <c r="M721">
        <v>1</v>
      </c>
    </row>
    <row r="722" spans="1:13" x14ac:dyDescent="0.3">
      <c r="A722" t="s">
        <v>931</v>
      </c>
      <c r="B722">
        <v>44</v>
      </c>
      <c r="C722" s="1">
        <v>45949</v>
      </c>
      <c r="D722">
        <v>2025</v>
      </c>
      <c r="E722" t="s">
        <v>219</v>
      </c>
      <c r="F722" t="s">
        <v>199</v>
      </c>
      <c r="G722" t="s">
        <v>203</v>
      </c>
      <c r="H722" t="s">
        <v>204</v>
      </c>
      <c r="I722">
        <v>10</v>
      </c>
      <c r="J722">
        <v>7366.4</v>
      </c>
      <c r="K722">
        <v>0</v>
      </c>
      <c r="L722" t="s">
        <v>196</v>
      </c>
      <c r="M722">
        <v>0</v>
      </c>
    </row>
    <row r="723" spans="1:13" x14ac:dyDescent="0.3">
      <c r="A723" t="s">
        <v>932</v>
      </c>
      <c r="B723">
        <v>44</v>
      </c>
      <c r="C723" s="1">
        <v>45824</v>
      </c>
      <c r="D723">
        <v>2025</v>
      </c>
      <c r="E723" t="s">
        <v>219</v>
      </c>
      <c r="F723" t="s">
        <v>12</v>
      </c>
      <c r="G723" t="s">
        <v>212</v>
      </c>
      <c r="H723" t="s">
        <v>195</v>
      </c>
      <c r="I723">
        <v>7</v>
      </c>
      <c r="J723">
        <v>811.77</v>
      </c>
      <c r="K723">
        <v>0</v>
      </c>
      <c r="L723" t="s">
        <v>215</v>
      </c>
      <c r="M723">
        <v>1</v>
      </c>
    </row>
    <row r="724" spans="1:13" x14ac:dyDescent="0.3">
      <c r="A724" t="s">
        <v>933</v>
      </c>
      <c r="B724">
        <v>44</v>
      </c>
      <c r="C724" s="1">
        <v>45683</v>
      </c>
      <c r="D724">
        <v>2025</v>
      </c>
      <c r="E724" t="s">
        <v>227</v>
      </c>
      <c r="F724" t="s">
        <v>13</v>
      </c>
      <c r="G724" t="s">
        <v>212</v>
      </c>
      <c r="H724" t="s">
        <v>195</v>
      </c>
      <c r="I724">
        <v>5</v>
      </c>
      <c r="J724">
        <v>2144.02</v>
      </c>
      <c r="K724">
        <v>0</v>
      </c>
      <c r="L724" t="s">
        <v>196</v>
      </c>
      <c r="M724">
        <v>1</v>
      </c>
    </row>
    <row r="725" spans="1:13" x14ac:dyDescent="0.3">
      <c r="A725" t="s">
        <v>934</v>
      </c>
      <c r="B725">
        <v>44</v>
      </c>
      <c r="C725" s="1">
        <v>45774</v>
      </c>
      <c r="D725">
        <v>2025</v>
      </c>
      <c r="E725" t="s">
        <v>219</v>
      </c>
      <c r="F725" t="s">
        <v>12</v>
      </c>
      <c r="G725" t="s">
        <v>212</v>
      </c>
      <c r="H725" t="s">
        <v>204</v>
      </c>
      <c r="I725">
        <v>3</v>
      </c>
      <c r="J725">
        <v>547.83000000000004</v>
      </c>
      <c r="K725">
        <v>0</v>
      </c>
      <c r="L725" t="s">
        <v>201</v>
      </c>
      <c r="M725">
        <v>1</v>
      </c>
    </row>
    <row r="726" spans="1:13" x14ac:dyDescent="0.3">
      <c r="A726" t="s">
        <v>935</v>
      </c>
      <c r="B726">
        <v>45</v>
      </c>
      <c r="C726" s="1">
        <v>44522</v>
      </c>
      <c r="D726">
        <v>2021</v>
      </c>
      <c r="E726" t="s">
        <v>219</v>
      </c>
      <c r="F726" t="s">
        <v>209</v>
      </c>
      <c r="G726" t="s">
        <v>191</v>
      </c>
      <c r="H726" t="s">
        <v>195</v>
      </c>
      <c r="I726">
        <v>3</v>
      </c>
      <c r="J726">
        <v>528.94000000000005</v>
      </c>
      <c r="K726">
        <v>0</v>
      </c>
      <c r="L726" t="s">
        <v>215</v>
      </c>
      <c r="M726">
        <v>1</v>
      </c>
    </row>
    <row r="727" spans="1:13" x14ac:dyDescent="0.3">
      <c r="A727" t="s">
        <v>936</v>
      </c>
      <c r="B727">
        <v>45</v>
      </c>
      <c r="C727" s="1">
        <v>44914</v>
      </c>
      <c r="D727">
        <v>2022</v>
      </c>
      <c r="E727" t="s">
        <v>219</v>
      </c>
      <c r="F727" t="s">
        <v>209</v>
      </c>
      <c r="G727" t="s">
        <v>203</v>
      </c>
      <c r="H727" t="s">
        <v>195</v>
      </c>
      <c r="I727">
        <v>4</v>
      </c>
      <c r="J727">
        <v>70.180000000000007</v>
      </c>
      <c r="K727">
        <v>0</v>
      </c>
      <c r="L727" t="s">
        <v>215</v>
      </c>
      <c r="M727">
        <v>0</v>
      </c>
    </row>
    <row r="728" spans="1:13" x14ac:dyDescent="0.3">
      <c r="A728" t="s">
        <v>937</v>
      </c>
      <c r="B728">
        <v>45</v>
      </c>
      <c r="C728" s="1">
        <v>45277</v>
      </c>
      <c r="D728">
        <v>2023</v>
      </c>
      <c r="E728" t="s">
        <v>214</v>
      </c>
      <c r="F728" t="s">
        <v>12</v>
      </c>
      <c r="G728" t="s">
        <v>200</v>
      </c>
      <c r="H728" t="s">
        <v>204</v>
      </c>
      <c r="I728">
        <v>9</v>
      </c>
      <c r="J728">
        <v>884.9</v>
      </c>
      <c r="K728">
        <v>0</v>
      </c>
      <c r="L728" t="s">
        <v>210</v>
      </c>
      <c r="M728">
        <v>0</v>
      </c>
    </row>
    <row r="729" spans="1:13" x14ac:dyDescent="0.3">
      <c r="A729" t="s">
        <v>938</v>
      </c>
      <c r="B729">
        <v>45</v>
      </c>
      <c r="C729" s="1">
        <v>45527</v>
      </c>
      <c r="D729">
        <v>2024</v>
      </c>
      <c r="E729" t="s">
        <v>214</v>
      </c>
      <c r="F729" t="s">
        <v>13</v>
      </c>
      <c r="G729" t="s">
        <v>203</v>
      </c>
      <c r="H729" t="s">
        <v>204</v>
      </c>
      <c r="I729">
        <v>11</v>
      </c>
      <c r="J729">
        <v>1705.7</v>
      </c>
      <c r="K729">
        <v>1</v>
      </c>
      <c r="L729" t="s">
        <v>210</v>
      </c>
      <c r="M729">
        <v>0</v>
      </c>
    </row>
    <row r="730" spans="1:13" x14ac:dyDescent="0.3">
      <c r="A730" t="s">
        <v>939</v>
      </c>
      <c r="B730">
        <v>45</v>
      </c>
      <c r="C730" s="1">
        <v>45599</v>
      </c>
      <c r="D730">
        <v>2024</v>
      </c>
      <c r="E730" t="s">
        <v>190</v>
      </c>
      <c r="F730" t="s">
        <v>13</v>
      </c>
      <c r="G730" t="s">
        <v>191</v>
      </c>
      <c r="H730" t="s">
        <v>195</v>
      </c>
      <c r="I730">
        <v>5</v>
      </c>
      <c r="J730">
        <v>2650.99</v>
      </c>
      <c r="K730">
        <v>1</v>
      </c>
      <c r="L730" t="s">
        <v>196</v>
      </c>
      <c r="M730">
        <v>0</v>
      </c>
    </row>
    <row r="731" spans="1:13" x14ac:dyDescent="0.3">
      <c r="A731" t="s">
        <v>940</v>
      </c>
      <c r="B731">
        <v>45</v>
      </c>
      <c r="C731" s="1">
        <v>45576</v>
      </c>
      <c r="D731">
        <v>2024</v>
      </c>
      <c r="E731" t="s">
        <v>190</v>
      </c>
      <c r="F731" t="s">
        <v>209</v>
      </c>
      <c r="G731" t="s">
        <v>200</v>
      </c>
      <c r="H731" t="s">
        <v>195</v>
      </c>
      <c r="I731">
        <v>5</v>
      </c>
      <c r="J731">
        <v>242.57</v>
      </c>
      <c r="K731">
        <v>1</v>
      </c>
      <c r="L731" t="s">
        <v>210</v>
      </c>
      <c r="M731">
        <v>1</v>
      </c>
    </row>
    <row r="732" spans="1:13" x14ac:dyDescent="0.3">
      <c r="A732" t="s">
        <v>941</v>
      </c>
      <c r="B732">
        <v>45</v>
      </c>
      <c r="C732" s="1">
        <v>46010</v>
      </c>
      <c r="D732">
        <v>2025</v>
      </c>
      <c r="E732" t="s">
        <v>198</v>
      </c>
      <c r="F732" t="s">
        <v>12</v>
      </c>
      <c r="G732" t="s">
        <v>200</v>
      </c>
      <c r="H732" t="s">
        <v>206</v>
      </c>
      <c r="I732">
        <v>4</v>
      </c>
      <c r="J732">
        <v>1371.11</v>
      </c>
      <c r="K732">
        <v>1</v>
      </c>
      <c r="L732" t="s">
        <v>201</v>
      </c>
      <c r="M732">
        <v>0</v>
      </c>
    </row>
    <row r="733" spans="1:13" x14ac:dyDescent="0.3">
      <c r="A733" t="s">
        <v>942</v>
      </c>
      <c r="B733">
        <v>45</v>
      </c>
      <c r="C733" s="1">
        <v>45974</v>
      </c>
      <c r="D733">
        <v>2025</v>
      </c>
      <c r="E733" t="s">
        <v>214</v>
      </c>
      <c r="F733" t="s">
        <v>209</v>
      </c>
      <c r="G733" t="s">
        <v>191</v>
      </c>
      <c r="H733" t="s">
        <v>192</v>
      </c>
      <c r="I733">
        <v>7</v>
      </c>
      <c r="J733">
        <v>169.32</v>
      </c>
      <c r="K733">
        <v>1</v>
      </c>
      <c r="L733" t="s">
        <v>215</v>
      </c>
      <c r="M733">
        <v>0</v>
      </c>
    </row>
    <row r="734" spans="1:13" x14ac:dyDescent="0.3">
      <c r="A734" t="s">
        <v>943</v>
      </c>
      <c r="B734">
        <v>46</v>
      </c>
      <c r="C734" s="1">
        <v>44485</v>
      </c>
      <c r="D734">
        <v>2021</v>
      </c>
      <c r="E734" t="s">
        <v>198</v>
      </c>
      <c r="F734" t="s">
        <v>13</v>
      </c>
      <c r="G734" t="s">
        <v>203</v>
      </c>
      <c r="H734" t="s">
        <v>195</v>
      </c>
      <c r="I734">
        <v>5</v>
      </c>
      <c r="J734">
        <v>1583.94</v>
      </c>
      <c r="K734">
        <v>1</v>
      </c>
      <c r="L734" t="s">
        <v>193</v>
      </c>
      <c r="M734">
        <v>0</v>
      </c>
    </row>
    <row r="735" spans="1:13" x14ac:dyDescent="0.3">
      <c r="A735" t="s">
        <v>944</v>
      </c>
      <c r="B735">
        <v>46</v>
      </c>
      <c r="C735" s="1">
        <v>44395</v>
      </c>
      <c r="D735">
        <v>2021</v>
      </c>
      <c r="E735" t="s">
        <v>219</v>
      </c>
      <c r="F735" t="s">
        <v>12</v>
      </c>
      <c r="G735" t="s">
        <v>212</v>
      </c>
      <c r="H735" t="s">
        <v>195</v>
      </c>
      <c r="I735">
        <v>12</v>
      </c>
      <c r="J735">
        <v>542.6</v>
      </c>
      <c r="K735">
        <v>0</v>
      </c>
      <c r="L735" t="s">
        <v>215</v>
      </c>
      <c r="M735">
        <v>1</v>
      </c>
    </row>
    <row r="736" spans="1:13" x14ac:dyDescent="0.3">
      <c r="A736" t="s">
        <v>945</v>
      </c>
      <c r="B736">
        <v>46</v>
      </c>
      <c r="C736" s="1">
        <v>44519</v>
      </c>
      <c r="D736">
        <v>2021</v>
      </c>
      <c r="E736" t="s">
        <v>198</v>
      </c>
      <c r="F736" t="s">
        <v>13</v>
      </c>
      <c r="G736" t="s">
        <v>212</v>
      </c>
      <c r="H736" t="s">
        <v>195</v>
      </c>
      <c r="I736">
        <v>2</v>
      </c>
      <c r="J736">
        <v>3344.77</v>
      </c>
      <c r="K736">
        <v>1</v>
      </c>
      <c r="L736" t="s">
        <v>193</v>
      </c>
      <c r="M736">
        <v>1</v>
      </c>
    </row>
    <row r="737" spans="1:13" x14ac:dyDescent="0.3">
      <c r="A737" t="s">
        <v>946</v>
      </c>
      <c r="B737">
        <v>46</v>
      </c>
      <c r="C737" s="1">
        <v>44483</v>
      </c>
      <c r="D737">
        <v>2021</v>
      </c>
      <c r="E737" t="s">
        <v>198</v>
      </c>
      <c r="F737" t="s">
        <v>13</v>
      </c>
      <c r="G737" t="s">
        <v>200</v>
      </c>
      <c r="H737" t="s">
        <v>204</v>
      </c>
      <c r="I737">
        <v>6</v>
      </c>
      <c r="J737">
        <v>2131.16</v>
      </c>
      <c r="K737">
        <v>1</v>
      </c>
      <c r="L737" t="s">
        <v>193</v>
      </c>
      <c r="M737">
        <v>0</v>
      </c>
    </row>
    <row r="738" spans="1:13" x14ac:dyDescent="0.3">
      <c r="A738" t="s">
        <v>947</v>
      </c>
      <c r="B738">
        <v>46</v>
      </c>
      <c r="C738" s="1">
        <v>44232</v>
      </c>
      <c r="D738">
        <v>2021</v>
      </c>
      <c r="E738" t="s">
        <v>190</v>
      </c>
      <c r="F738" t="s">
        <v>199</v>
      </c>
      <c r="G738" t="s">
        <v>191</v>
      </c>
      <c r="H738" t="s">
        <v>192</v>
      </c>
      <c r="I738">
        <v>8</v>
      </c>
      <c r="J738">
        <v>5574.87</v>
      </c>
      <c r="K738">
        <v>0</v>
      </c>
      <c r="L738" t="s">
        <v>193</v>
      </c>
      <c r="M738">
        <v>0</v>
      </c>
    </row>
    <row r="739" spans="1:13" x14ac:dyDescent="0.3">
      <c r="A739" t="s">
        <v>948</v>
      </c>
      <c r="B739">
        <v>46</v>
      </c>
      <c r="C739" s="1">
        <v>44245</v>
      </c>
      <c r="D739">
        <v>2021</v>
      </c>
      <c r="E739" t="s">
        <v>190</v>
      </c>
      <c r="F739" t="s">
        <v>199</v>
      </c>
      <c r="G739" t="s">
        <v>191</v>
      </c>
      <c r="H739" t="s">
        <v>195</v>
      </c>
      <c r="I739">
        <v>11</v>
      </c>
      <c r="J739">
        <v>6811.81</v>
      </c>
      <c r="K739">
        <v>0</v>
      </c>
      <c r="L739" t="s">
        <v>196</v>
      </c>
      <c r="M739">
        <v>1</v>
      </c>
    </row>
    <row r="740" spans="1:13" x14ac:dyDescent="0.3">
      <c r="A740" t="s">
        <v>949</v>
      </c>
      <c r="B740">
        <v>46</v>
      </c>
      <c r="C740" s="1">
        <v>44789</v>
      </c>
      <c r="D740">
        <v>2022</v>
      </c>
      <c r="E740" t="s">
        <v>190</v>
      </c>
      <c r="F740" t="s">
        <v>13</v>
      </c>
      <c r="G740" t="s">
        <v>203</v>
      </c>
      <c r="H740" t="s">
        <v>195</v>
      </c>
      <c r="I740">
        <v>12</v>
      </c>
      <c r="J740">
        <v>3352.18</v>
      </c>
      <c r="K740">
        <v>1</v>
      </c>
      <c r="L740" t="s">
        <v>193</v>
      </c>
      <c r="M740">
        <v>1</v>
      </c>
    </row>
    <row r="741" spans="1:13" x14ac:dyDescent="0.3">
      <c r="A741" t="s">
        <v>950</v>
      </c>
      <c r="B741">
        <v>46</v>
      </c>
      <c r="C741" s="1">
        <v>44809</v>
      </c>
      <c r="D741">
        <v>2022</v>
      </c>
      <c r="E741" t="s">
        <v>219</v>
      </c>
      <c r="F741" t="s">
        <v>13</v>
      </c>
      <c r="G741" t="s">
        <v>203</v>
      </c>
      <c r="H741" t="s">
        <v>192</v>
      </c>
      <c r="I741">
        <v>7</v>
      </c>
      <c r="J741">
        <v>1422.74</v>
      </c>
      <c r="K741">
        <v>0</v>
      </c>
      <c r="L741" t="s">
        <v>201</v>
      </c>
      <c r="M741">
        <v>0</v>
      </c>
    </row>
    <row r="742" spans="1:13" x14ac:dyDescent="0.3">
      <c r="A742" t="s">
        <v>951</v>
      </c>
      <c r="B742">
        <v>46</v>
      </c>
      <c r="C742" s="1">
        <v>44775</v>
      </c>
      <c r="D742">
        <v>2022</v>
      </c>
      <c r="E742" t="s">
        <v>198</v>
      </c>
      <c r="F742" t="s">
        <v>199</v>
      </c>
      <c r="G742" t="s">
        <v>203</v>
      </c>
      <c r="H742" t="s">
        <v>195</v>
      </c>
      <c r="I742">
        <v>15</v>
      </c>
      <c r="J742">
        <v>3965.21</v>
      </c>
      <c r="K742">
        <v>1</v>
      </c>
      <c r="L742" t="s">
        <v>196</v>
      </c>
      <c r="M742">
        <v>0</v>
      </c>
    </row>
    <row r="743" spans="1:13" x14ac:dyDescent="0.3">
      <c r="A743" t="s">
        <v>952</v>
      </c>
      <c r="B743">
        <v>46</v>
      </c>
      <c r="C743" s="1">
        <v>45093</v>
      </c>
      <c r="D743">
        <v>2023</v>
      </c>
      <c r="E743" t="s">
        <v>198</v>
      </c>
      <c r="F743" t="s">
        <v>13</v>
      </c>
      <c r="G743" t="s">
        <v>200</v>
      </c>
      <c r="H743" t="s">
        <v>192</v>
      </c>
      <c r="I743">
        <v>7</v>
      </c>
      <c r="J743">
        <v>1378.99</v>
      </c>
      <c r="K743">
        <v>1</v>
      </c>
      <c r="L743" t="s">
        <v>193</v>
      </c>
      <c r="M743">
        <v>0</v>
      </c>
    </row>
    <row r="744" spans="1:13" x14ac:dyDescent="0.3">
      <c r="A744" t="s">
        <v>953</v>
      </c>
      <c r="B744">
        <v>46</v>
      </c>
      <c r="C744" s="1">
        <v>45200</v>
      </c>
      <c r="D744">
        <v>2023</v>
      </c>
      <c r="E744" t="s">
        <v>287</v>
      </c>
      <c r="F744" t="s">
        <v>209</v>
      </c>
      <c r="G744" t="s">
        <v>212</v>
      </c>
      <c r="H744" t="s">
        <v>195</v>
      </c>
      <c r="I744">
        <v>4</v>
      </c>
      <c r="J744">
        <v>422.48</v>
      </c>
      <c r="K744">
        <v>0</v>
      </c>
      <c r="L744" t="s">
        <v>215</v>
      </c>
      <c r="M744">
        <v>1</v>
      </c>
    </row>
    <row r="745" spans="1:13" x14ac:dyDescent="0.3">
      <c r="A745" t="s">
        <v>954</v>
      </c>
      <c r="B745">
        <v>46</v>
      </c>
      <c r="C745" s="1">
        <v>45510</v>
      </c>
      <c r="D745">
        <v>2024</v>
      </c>
      <c r="E745" t="s">
        <v>214</v>
      </c>
      <c r="F745" t="s">
        <v>209</v>
      </c>
      <c r="G745" t="s">
        <v>212</v>
      </c>
      <c r="H745" t="s">
        <v>195</v>
      </c>
      <c r="I745">
        <v>8</v>
      </c>
      <c r="J745">
        <v>106.58</v>
      </c>
      <c r="K745">
        <v>0</v>
      </c>
      <c r="L745" t="s">
        <v>201</v>
      </c>
      <c r="M745">
        <v>1</v>
      </c>
    </row>
    <row r="746" spans="1:13" x14ac:dyDescent="0.3">
      <c r="A746" t="s">
        <v>955</v>
      </c>
      <c r="B746">
        <v>46</v>
      </c>
      <c r="C746" s="1">
        <v>46017</v>
      </c>
      <c r="D746">
        <v>2025</v>
      </c>
      <c r="E746" t="s">
        <v>198</v>
      </c>
      <c r="F746" t="s">
        <v>13</v>
      </c>
      <c r="G746" t="s">
        <v>200</v>
      </c>
      <c r="H746" t="s">
        <v>195</v>
      </c>
      <c r="I746">
        <v>18</v>
      </c>
      <c r="J746">
        <v>2357.87</v>
      </c>
      <c r="K746">
        <v>1</v>
      </c>
      <c r="L746" t="s">
        <v>201</v>
      </c>
      <c r="M746">
        <v>0</v>
      </c>
    </row>
    <row r="747" spans="1:13" x14ac:dyDescent="0.3">
      <c r="A747" t="s">
        <v>956</v>
      </c>
      <c r="B747">
        <v>46</v>
      </c>
      <c r="C747" s="1">
        <v>45926</v>
      </c>
      <c r="D747">
        <v>2025</v>
      </c>
      <c r="E747" t="s">
        <v>227</v>
      </c>
      <c r="F747" t="s">
        <v>209</v>
      </c>
      <c r="G747" t="s">
        <v>191</v>
      </c>
      <c r="H747" t="s">
        <v>195</v>
      </c>
      <c r="I747">
        <v>3</v>
      </c>
      <c r="J747">
        <v>451.83</v>
      </c>
      <c r="K747">
        <v>0</v>
      </c>
      <c r="L747" t="s">
        <v>210</v>
      </c>
      <c r="M747">
        <v>0</v>
      </c>
    </row>
    <row r="748" spans="1:13" x14ac:dyDescent="0.3">
      <c r="A748" t="s">
        <v>957</v>
      </c>
      <c r="B748">
        <v>46</v>
      </c>
      <c r="C748" s="1">
        <v>45677</v>
      </c>
      <c r="D748">
        <v>2025</v>
      </c>
      <c r="E748" t="s">
        <v>198</v>
      </c>
      <c r="F748" t="s">
        <v>13</v>
      </c>
      <c r="G748" t="s">
        <v>191</v>
      </c>
      <c r="H748" t="s">
        <v>195</v>
      </c>
      <c r="I748">
        <v>8</v>
      </c>
      <c r="J748">
        <v>2970.81</v>
      </c>
      <c r="K748">
        <v>1</v>
      </c>
      <c r="L748" t="s">
        <v>210</v>
      </c>
      <c r="M748">
        <v>1</v>
      </c>
    </row>
    <row r="749" spans="1:13" x14ac:dyDescent="0.3">
      <c r="A749" t="s">
        <v>958</v>
      </c>
      <c r="B749">
        <v>46</v>
      </c>
      <c r="C749" s="1">
        <v>45681</v>
      </c>
      <c r="D749">
        <v>2025</v>
      </c>
      <c r="E749" t="s">
        <v>287</v>
      </c>
      <c r="F749" t="s">
        <v>199</v>
      </c>
      <c r="G749" t="s">
        <v>191</v>
      </c>
      <c r="H749" t="s">
        <v>206</v>
      </c>
      <c r="I749">
        <v>14</v>
      </c>
      <c r="J749">
        <v>2741.18</v>
      </c>
      <c r="K749">
        <v>0</v>
      </c>
      <c r="L749" t="s">
        <v>201</v>
      </c>
      <c r="M749">
        <v>0</v>
      </c>
    </row>
    <row r="750" spans="1:13" x14ac:dyDescent="0.3">
      <c r="A750" t="s">
        <v>959</v>
      </c>
      <c r="B750">
        <v>46</v>
      </c>
      <c r="C750" s="1">
        <v>45962</v>
      </c>
      <c r="D750">
        <v>2025</v>
      </c>
      <c r="E750" t="s">
        <v>198</v>
      </c>
      <c r="F750" t="s">
        <v>13</v>
      </c>
      <c r="G750" t="s">
        <v>191</v>
      </c>
      <c r="H750" t="s">
        <v>192</v>
      </c>
      <c r="I750">
        <v>11</v>
      </c>
      <c r="J750">
        <v>2960.94</v>
      </c>
      <c r="K750">
        <v>1</v>
      </c>
      <c r="L750" t="s">
        <v>196</v>
      </c>
      <c r="M750">
        <v>0</v>
      </c>
    </row>
    <row r="751" spans="1:13" x14ac:dyDescent="0.3">
      <c r="A751" t="s">
        <v>960</v>
      </c>
      <c r="B751">
        <v>47</v>
      </c>
      <c r="C751" s="1">
        <v>44370</v>
      </c>
      <c r="D751">
        <v>2021</v>
      </c>
      <c r="E751" t="s">
        <v>214</v>
      </c>
      <c r="F751" t="s">
        <v>13</v>
      </c>
      <c r="G751" t="s">
        <v>200</v>
      </c>
      <c r="H751" t="s">
        <v>204</v>
      </c>
      <c r="I751">
        <v>9</v>
      </c>
      <c r="J751">
        <v>2404.98</v>
      </c>
      <c r="K751">
        <v>0</v>
      </c>
      <c r="L751" t="s">
        <v>193</v>
      </c>
      <c r="M751">
        <v>1</v>
      </c>
    </row>
    <row r="752" spans="1:13" x14ac:dyDescent="0.3">
      <c r="A752" t="s">
        <v>961</v>
      </c>
      <c r="B752">
        <v>47</v>
      </c>
      <c r="C752" s="1">
        <v>44389</v>
      </c>
      <c r="D752">
        <v>2021</v>
      </c>
      <c r="E752" t="s">
        <v>214</v>
      </c>
      <c r="F752" t="s">
        <v>209</v>
      </c>
      <c r="G752" t="s">
        <v>191</v>
      </c>
      <c r="H752" t="s">
        <v>192</v>
      </c>
      <c r="I752">
        <v>14</v>
      </c>
      <c r="J752">
        <v>248.05</v>
      </c>
      <c r="K752">
        <v>0</v>
      </c>
      <c r="L752" t="s">
        <v>210</v>
      </c>
      <c r="M752">
        <v>1</v>
      </c>
    </row>
    <row r="753" spans="1:13" x14ac:dyDescent="0.3">
      <c r="A753" t="s">
        <v>962</v>
      </c>
      <c r="B753">
        <v>47</v>
      </c>
      <c r="C753" s="1">
        <v>44444</v>
      </c>
      <c r="D753">
        <v>2021</v>
      </c>
      <c r="E753" t="s">
        <v>190</v>
      </c>
      <c r="F753" t="s">
        <v>209</v>
      </c>
      <c r="G753" t="s">
        <v>212</v>
      </c>
      <c r="H753" t="s">
        <v>192</v>
      </c>
      <c r="I753">
        <v>12</v>
      </c>
      <c r="J753">
        <v>127.93</v>
      </c>
      <c r="K753">
        <v>0</v>
      </c>
      <c r="L753" t="s">
        <v>201</v>
      </c>
      <c r="M753">
        <v>1</v>
      </c>
    </row>
    <row r="754" spans="1:13" x14ac:dyDescent="0.3">
      <c r="A754" t="s">
        <v>963</v>
      </c>
      <c r="B754">
        <v>47</v>
      </c>
      <c r="C754" s="1">
        <v>44692</v>
      </c>
      <c r="D754">
        <v>2022</v>
      </c>
      <c r="E754" t="s">
        <v>227</v>
      </c>
      <c r="F754" t="s">
        <v>12</v>
      </c>
      <c r="G754" t="s">
        <v>212</v>
      </c>
      <c r="H754" t="s">
        <v>195</v>
      </c>
      <c r="I754">
        <v>7</v>
      </c>
      <c r="J754">
        <v>527.22</v>
      </c>
      <c r="K754">
        <v>0</v>
      </c>
      <c r="L754" t="s">
        <v>193</v>
      </c>
      <c r="M754">
        <v>1</v>
      </c>
    </row>
    <row r="755" spans="1:13" x14ac:dyDescent="0.3">
      <c r="A755" t="s">
        <v>964</v>
      </c>
      <c r="B755">
        <v>47</v>
      </c>
      <c r="C755" s="1">
        <v>45042</v>
      </c>
      <c r="D755">
        <v>2023</v>
      </c>
      <c r="E755" t="s">
        <v>225</v>
      </c>
      <c r="F755" t="s">
        <v>12</v>
      </c>
      <c r="G755" t="s">
        <v>212</v>
      </c>
      <c r="H755" t="s">
        <v>195</v>
      </c>
      <c r="I755">
        <v>2</v>
      </c>
      <c r="J755">
        <v>1398</v>
      </c>
      <c r="K755">
        <v>0</v>
      </c>
      <c r="L755" t="s">
        <v>215</v>
      </c>
      <c r="M755">
        <v>1</v>
      </c>
    </row>
    <row r="756" spans="1:13" x14ac:dyDescent="0.3">
      <c r="A756" t="s">
        <v>965</v>
      </c>
      <c r="B756">
        <v>47</v>
      </c>
      <c r="C756" s="1">
        <v>45064</v>
      </c>
      <c r="D756">
        <v>2023</v>
      </c>
      <c r="E756" t="s">
        <v>190</v>
      </c>
      <c r="F756" t="s">
        <v>12</v>
      </c>
      <c r="G756" t="s">
        <v>203</v>
      </c>
      <c r="H756" t="s">
        <v>195</v>
      </c>
      <c r="I756">
        <v>11</v>
      </c>
      <c r="J756">
        <v>564.21</v>
      </c>
      <c r="K756">
        <v>0</v>
      </c>
      <c r="L756" t="s">
        <v>210</v>
      </c>
      <c r="M756">
        <v>0</v>
      </c>
    </row>
    <row r="757" spans="1:13" x14ac:dyDescent="0.3">
      <c r="A757" t="s">
        <v>966</v>
      </c>
      <c r="B757">
        <v>47</v>
      </c>
      <c r="C757" s="1">
        <v>45052</v>
      </c>
      <c r="D757">
        <v>2023</v>
      </c>
      <c r="E757" t="s">
        <v>214</v>
      </c>
      <c r="F757" t="s">
        <v>199</v>
      </c>
      <c r="G757" t="s">
        <v>212</v>
      </c>
      <c r="H757" t="s">
        <v>195</v>
      </c>
      <c r="I757">
        <v>2</v>
      </c>
      <c r="J757">
        <v>4732.41</v>
      </c>
      <c r="K757">
        <v>0</v>
      </c>
      <c r="L757" t="s">
        <v>196</v>
      </c>
      <c r="M757">
        <v>1</v>
      </c>
    </row>
    <row r="758" spans="1:13" x14ac:dyDescent="0.3">
      <c r="A758" t="s">
        <v>967</v>
      </c>
      <c r="B758">
        <v>47</v>
      </c>
      <c r="C758" s="1">
        <v>45079</v>
      </c>
      <c r="D758">
        <v>2023</v>
      </c>
      <c r="E758" t="s">
        <v>225</v>
      </c>
      <c r="F758" t="s">
        <v>199</v>
      </c>
      <c r="G758" t="s">
        <v>203</v>
      </c>
      <c r="H758" t="s">
        <v>195</v>
      </c>
      <c r="I758">
        <v>5</v>
      </c>
      <c r="J758">
        <v>4683.8599999999997</v>
      </c>
      <c r="K758">
        <v>1</v>
      </c>
      <c r="L758" t="s">
        <v>193</v>
      </c>
      <c r="M758">
        <v>1</v>
      </c>
    </row>
    <row r="759" spans="1:13" x14ac:dyDescent="0.3">
      <c r="A759" t="s">
        <v>968</v>
      </c>
      <c r="B759">
        <v>47</v>
      </c>
      <c r="C759" s="1">
        <v>45201</v>
      </c>
      <c r="D759">
        <v>2023</v>
      </c>
      <c r="E759" t="s">
        <v>225</v>
      </c>
      <c r="F759" t="s">
        <v>13</v>
      </c>
      <c r="G759" t="s">
        <v>212</v>
      </c>
      <c r="H759" t="s">
        <v>204</v>
      </c>
      <c r="I759">
        <v>13</v>
      </c>
      <c r="J759">
        <v>3191.86</v>
      </c>
      <c r="K759">
        <v>1</v>
      </c>
      <c r="L759" t="s">
        <v>193</v>
      </c>
      <c r="M759">
        <v>1</v>
      </c>
    </row>
    <row r="760" spans="1:13" x14ac:dyDescent="0.3">
      <c r="A760" t="s">
        <v>969</v>
      </c>
      <c r="B760">
        <v>47</v>
      </c>
      <c r="C760" s="1">
        <v>45020</v>
      </c>
      <c r="D760">
        <v>2023</v>
      </c>
      <c r="E760" t="s">
        <v>287</v>
      </c>
      <c r="F760" t="s">
        <v>13</v>
      </c>
      <c r="G760" t="s">
        <v>203</v>
      </c>
      <c r="H760" t="s">
        <v>195</v>
      </c>
      <c r="I760">
        <v>17</v>
      </c>
      <c r="J760">
        <v>3060.03</v>
      </c>
      <c r="K760">
        <v>0</v>
      </c>
      <c r="L760" t="s">
        <v>193</v>
      </c>
      <c r="M760">
        <v>1</v>
      </c>
    </row>
    <row r="761" spans="1:13" x14ac:dyDescent="0.3">
      <c r="A761" t="s">
        <v>970</v>
      </c>
      <c r="B761">
        <v>47</v>
      </c>
      <c r="C761" s="1">
        <v>45609</v>
      </c>
      <c r="D761">
        <v>2024</v>
      </c>
      <c r="E761" t="s">
        <v>198</v>
      </c>
      <c r="F761" t="s">
        <v>13</v>
      </c>
      <c r="G761" t="s">
        <v>200</v>
      </c>
      <c r="H761" t="s">
        <v>195</v>
      </c>
      <c r="I761">
        <v>5</v>
      </c>
      <c r="J761">
        <v>3151.26</v>
      </c>
      <c r="K761">
        <v>1</v>
      </c>
      <c r="L761" t="s">
        <v>215</v>
      </c>
      <c r="M761">
        <v>1</v>
      </c>
    </row>
    <row r="762" spans="1:13" x14ac:dyDescent="0.3">
      <c r="A762" t="s">
        <v>971</v>
      </c>
      <c r="B762">
        <v>47</v>
      </c>
      <c r="C762" s="1">
        <v>45435</v>
      </c>
      <c r="D762">
        <v>2024</v>
      </c>
      <c r="E762" t="s">
        <v>190</v>
      </c>
      <c r="F762" t="s">
        <v>199</v>
      </c>
      <c r="G762" t="s">
        <v>191</v>
      </c>
      <c r="H762" t="s">
        <v>204</v>
      </c>
      <c r="I762">
        <v>18</v>
      </c>
      <c r="J762">
        <v>7456.14</v>
      </c>
      <c r="K762">
        <v>0</v>
      </c>
      <c r="L762" t="s">
        <v>201</v>
      </c>
      <c r="M762">
        <v>0</v>
      </c>
    </row>
    <row r="763" spans="1:13" x14ac:dyDescent="0.3">
      <c r="A763" t="s">
        <v>972</v>
      </c>
      <c r="B763">
        <v>47</v>
      </c>
      <c r="C763" s="1">
        <v>45292</v>
      </c>
      <c r="D763">
        <v>2024</v>
      </c>
      <c r="E763" t="s">
        <v>198</v>
      </c>
      <c r="F763" t="s">
        <v>12</v>
      </c>
      <c r="G763" t="s">
        <v>191</v>
      </c>
      <c r="H763" t="s">
        <v>195</v>
      </c>
      <c r="I763">
        <v>15</v>
      </c>
      <c r="J763">
        <v>388.74</v>
      </c>
      <c r="K763">
        <v>1</v>
      </c>
      <c r="L763" t="s">
        <v>215</v>
      </c>
      <c r="M763">
        <v>0</v>
      </c>
    </row>
    <row r="764" spans="1:13" x14ac:dyDescent="0.3">
      <c r="A764" t="s">
        <v>973</v>
      </c>
      <c r="B764">
        <v>47</v>
      </c>
      <c r="C764" s="1">
        <v>45469</v>
      </c>
      <c r="D764">
        <v>2024</v>
      </c>
      <c r="E764" t="s">
        <v>190</v>
      </c>
      <c r="F764" t="s">
        <v>12</v>
      </c>
      <c r="G764" t="s">
        <v>212</v>
      </c>
      <c r="H764" t="s">
        <v>192</v>
      </c>
      <c r="I764">
        <v>10</v>
      </c>
      <c r="J764">
        <v>603.15</v>
      </c>
      <c r="K764">
        <v>0</v>
      </c>
      <c r="L764" t="s">
        <v>215</v>
      </c>
      <c r="M764">
        <v>1</v>
      </c>
    </row>
    <row r="765" spans="1:13" x14ac:dyDescent="0.3">
      <c r="A765" t="s">
        <v>974</v>
      </c>
      <c r="B765">
        <v>47</v>
      </c>
      <c r="C765" s="1">
        <v>45527</v>
      </c>
      <c r="D765">
        <v>2024</v>
      </c>
      <c r="E765" t="s">
        <v>198</v>
      </c>
      <c r="F765" t="s">
        <v>13</v>
      </c>
      <c r="G765" t="s">
        <v>191</v>
      </c>
      <c r="H765" t="s">
        <v>195</v>
      </c>
      <c r="I765">
        <v>2</v>
      </c>
      <c r="J765">
        <v>2769.66</v>
      </c>
      <c r="K765">
        <v>1</v>
      </c>
      <c r="L765" t="s">
        <v>196</v>
      </c>
      <c r="M765">
        <v>0</v>
      </c>
    </row>
    <row r="766" spans="1:13" x14ac:dyDescent="0.3">
      <c r="A766" t="s">
        <v>975</v>
      </c>
      <c r="B766">
        <v>47</v>
      </c>
      <c r="C766" s="1">
        <v>45324</v>
      </c>
      <c r="D766">
        <v>2024</v>
      </c>
      <c r="E766" t="s">
        <v>198</v>
      </c>
      <c r="F766" t="s">
        <v>12</v>
      </c>
      <c r="G766" t="s">
        <v>212</v>
      </c>
      <c r="H766" t="s">
        <v>195</v>
      </c>
      <c r="I766">
        <v>14</v>
      </c>
      <c r="J766">
        <v>1216.08</v>
      </c>
      <c r="K766">
        <v>1</v>
      </c>
      <c r="L766" t="s">
        <v>210</v>
      </c>
      <c r="M766">
        <v>1</v>
      </c>
    </row>
    <row r="767" spans="1:13" x14ac:dyDescent="0.3">
      <c r="A767" t="s">
        <v>976</v>
      </c>
      <c r="B767">
        <v>47</v>
      </c>
      <c r="C767" s="1">
        <v>45666</v>
      </c>
      <c r="D767">
        <v>2025</v>
      </c>
      <c r="E767" t="s">
        <v>287</v>
      </c>
      <c r="F767" t="s">
        <v>199</v>
      </c>
      <c r="G767" t="s">
        <v>203</v>
      </c>
      <c r="H767" t="s">
        <v>195</v>
      </c>
      <c r="I767">
        <v>10</v>
      </c>
      <c r="J767">
        <v>6681.74</v>
      </c>
      <c r="K767">
        <v>0</v>
      </c>
      <c r="L767" t="s">
        <v>196</v>
      </c>
      <c r="M767">
        <v>0</v>
      </c>
    </row>
    <row r="768" spans="1:13" x14ac:dyDescent="0.3">
      <c r="A768" t="s">
        <v>977</v>
      </c>
      <c r="B768">
        <v>47</v>
      </c>
      <c r="C768" s="1">
        <v>45696</v>
      </c>
      <c r="D768">
        <v>2025</v>
      </c>
      <c r="E768" t="s">
        <v>225</v>
      </c>
      <c r="F768" t="s">
        <v>13</v>
      </c>
      <c r="G768" t="s">
        <v>191</v>
      </c>
      <c r="H768" t="s">
        <v>195</v>
      </c>
      <c r="I768">
        <v>7</v>
      </c>
      <c r="J768">
        <v>3279.9</v>
      </c>
      <c r="K768">
        <v>0</v>
      </c>
      <c r="L768" t="s">
        <v>201</v>
      </c>
      <c r="M768">
        <v>0</v>
      </c>
    </row>
    <row r="769" spans="1:13" x14ac:dyDescent="0.3">
      <c r="A769" t="s">
        <v>978</v>
      </c>
      <c r="B769">
        <v>47</v>
      </c>
      <c r="C769" s="1">
        <v>45718</v>
      </c>
      <c r="D769">
        <v>2025</v>
      </c>
      <c r="E769" t="s">
        <v>227</v>
      </c>
      <c r="F769" t="s">
        <v>209</v>
      </c>
      <c r="G769" t="s">
        <v>212</v>
      </c>
      <c r="H769" t="s">
        <v>195</v>
      </c>
      <c r="I769">
        <v>8</v>
      </c>
      <c r="J769">
        <v>386.48</v>
      </c>
      <c r="K769">
        <v>0</v>
      </c>
      <c r="L769" t="s">
        <v>193</v>
      </c>
      <c r="M769">
        <v>1</v>
      </c>
    </row>
    <row r="770" spans="1:13" x14ac:dyDescent="0.3">
      <c r="A770" t="s">
        <v>979</v>
      </c>
      <c r="B770">
        <v>48</v>
      </c>
      <c r="C770" s="1">
        <v>44245</v>
      </c>
      <c r="D770">
        <v>2021</v>
      </c>
      <c r="E770" t="s">
        <v>225</v>
      </c>
      <c r="F770" t="s">
        <v>12</v>
      </c>
      <c r="G770" t="s">
        <v>191</v>
      </c>
      <c r="H770" t="s">
        <v>204</v>
      </c>
      <c r="I770">
        <v>3</v>
      </c>
      <c r="J770">
        <v>876.19</v>
      </c>
      <c r="K770">
        <v>0</v>
      </c>
      <c r="L770" t="s">
        <v>210</v>
      </c>
      <c r="M770">
        <v>1</v>
      </c>
    </row>
    <row r="771" spans="1:13" x14ac:dyDescent="0.3">
      <c r="A771" t="s">
        <v>980</v>
      </c>
      <c r="B771">
        <v>48</v>
      </c>
      <c r="C771" s="1">
        <v>44308</v>
      </c>
      <c r="D771">
        <v>2021</v>
      </c>
      <c r="E771" t="s">
        <v>198</v>
      </c>
      <c r="F771" t="s">
        <v>199</v>
      </c>
      <c r="G771" t="s">
        <v>203</v>
      </c>
      <c r="H771" t="s">
        <v>192</v>
      </c>
      <c r="I771">
        <v>1</v>
      </c>
      <c r="J771">
        <v>7926.03</v>
      </c>
      <c r="K771">
        <v>1</v>
      </c>
      <c r="L771" t="s">
        <v>196</v>
      </c>
      <c r="M771">
        <v>0</v>
      </c>
    </row>
    <row r="772" spans="1:13" x14ac:dyDescent="0.3">
      <c r="A772" t="s">
        <v>981</v>
      </c>
      <c r="B772">
        <v>48</v>
      </c>
      <c r="C772" s="1">
        <v>44421</v>
      </c>
      <c r="D772">
        <v>2021</v>
      </c>
      <c r="E772" t="s">
        <v>198</v>
      </c>
      <c r="F772" t="s">
        <v>13</v>
      </c>
      <c r="G772" t="s">
        <v>212</v>
      </c>
      <c r="H772" t="s">
        <v>195</v>
      </c>
      <c r="I772">
        <v>8</v>
      </c>
      <c r="J772">
        <v>1218.6400000000001</v>
      </c>
      <c r="K772">
        <v>1</v>
      </c>
      <c r="L772" t="s">
        <v>196</v>
      </c>
      <c r="M772">
        <v>1</v>
      </c>
    </row>
    <row r="773" spans="1:13" x14ac:dyDescent="0.3">
      <c r="A773" t="s">
        <v>982</v>
      </c>
      <c r="B773">
        <v>48</v>
      </c>
      <c r="C773" s="1">
        <v>44633</v>
      </c>
      <c r="D773">
        <v>2022</v>
      </c>
      <c r="E773" t="s">
        <v>198</v>
      </c>
      <c r="F773" t="s">
        <v>13</v>
      </c>
      <c r="G773" t="s">
        <v>212</v>
      </c>
      <c r="H773" t="s">
        <v>206</v>
      </c>
      <c r="I773">
        <v>13</v>
      </c>
      <c r="J773">
        <v>2984.47</v>
      </c>
      <c r="K773">
        <v>1</v>
      </c>
      <c r="L773" t="s">
        <v>193</v>
      </c>
      <c r="M773">
        <v>1</v>
      </c>
    </row>
    <row r="774" spans="1:13" x14ac:dyDescent="0.3">
      <c r="A774" t="s">
        <v>983</v>
      </c>
      <c r="B774">
        <v>48</v>
      </c>
      <c r="C774" s="1">
        <v>44677</v>
      </c>
      <c r="D774">
        <v>2022</v>
      </c>
      <c r="E774" t="s">
        <v>198</v>
      </c>
      <c r="F774" t="s">
        <v>13</v>
      </c>
      <c r="G774" t="s">
        <v>191</v>
      </c>
      <c r="H774" t="s">
        <v>192</v>
      </c>
      <c r="I774">
        <v>7</v>
      </c>
      <c r="J774">
        <v>1119.5</v>
      </c>
      <c r="K774">
        <v>1</v>
      </c>
      <c r="L774" t="s">
        <v>215</v>
      </c>
      <c r="M774">
        <v>0</v>
      </c>
    </row>
    <row r="775" spans="1:13" x14ac:dyDescent="0.3">
      <c r="A775" t="s">
        <v>984</v>
      </c>
      <c r="B775">
        <v>48</v>
      </c>
      <c r="C775" s="1">
        <v>44720</v>
      </c>
      <c r="D775">
        <v>2022</v>
      </c>
      <c r="E775" t="s">
        <v>198</v>
      </c>
      <c r="F775" t="s">
        <v>13</v>
      </c>
      <c r="G775" t="s">
        <v>212</v>
      </c>
      <c r="H775" t="s">
        <v>195</v>
      </c>
      <c r="I775">
        <v>3</v>
      </c>
      <c r="J775">
        <v>2531.31</v>
      </c>
      <c r="K775">
        <v>1</v>
      </c>
      <c r="L775" t="s">
        <v>210</v>
      </c>
      <c r="M775">
        <v>1</v>
      </c>
    </row>
    <row r="776" spans="1:13" x14ac:dyDescent="0.3">
      <c r="A776" t="s">
        <v>985</v>
      </c>
      <c r="B776">
        <v>48</v>
      </c>
      <c r="C776" s="1">
        <v>44595</v>
      </c>
      <c r="D776">
        <v>2022</v>
      </c>
      <c r="E776" t="s">
        <v>225</v>
      </c>
      <c r="F776" t="s">
        <v>13</v>
      </c>
      <c r="G776" t="s">
        <v>200</v>
      </c>
      <c r="H776" t="s">
        <v>192</v>
      </c>
      <c r="I776">
        <v>14</v>
      </c>
      <c r="J776">
        <v>2003.54</v>
      </c>
      <c r="K776">
        <v>0</v>
      </c>
      <c r="L776" t="s">
        <v>196</v>
      </c>
      <c r="M776">
        <v>0</v>
      </c>
    </row>
    <row r="777" spans="1:13" x14ac:dyDescent="0.3">
      <c r="A777" t="s">
        <v>986</v>
      </c>
      <c r="B777">
        <v>48</v>
      </c>
      <c r="C777" s="1">
        <v>44852</v>
      </c>
      <c r="D777">
        <v>2022</v>
      </c>
      <c r="E777" t="s">
        <v>219</v>
      </c>
      <c r="F777" t="s">
        <v>12</v>
      </c>
      <c r="G777" t="s">
        <v>203</v>
      </c>
      <c r="H777" t="s">
        <v>204</v>
      </c>
      <c r="I777">
        <v>6</v>
      </c>
      <c r="J777">
        <v>1171.18</v>
      </c>
      <c r="K777">
        <v>0</v>
      </c>
      <c r="L777" t="s">
        <v>215</v>
      </c>
      <c r="M777">
        <v>0</v>
      </c>
    </row>
    <row r="778" spans="1:13" x14ac:dyDescent="0.3">
      <c r="A778" t="s">
        <v>987</v>
      </c>
      <c r="B778">
        <v>48</v>
      </c>
      <c r="C778" s="1">
        <v>45030</v>
      </c>
      <c r="D778">
        <v>2023</v>
      </c>
      <c r="E778" t="s">
        <v>198</v>
      </c>
      <c r="F778" t="s">
        <v>13</v>
      </c>
      <c r="G778" t="s">
        <v>191</v>
      </c>
      <c r="H778" t="s">
        <v>206</v>
      </c>
      <c r="I778">
        <v>2</v>
      </c>
      <c r="J778">
        <v>2110.13</v>
      </c>
      <c r="K778">
        <v>1</v>
      </c>
      <c r="L778" t="s">
        <v>201</v>
      </c>
      <c r="M778">
        <v>0</v>
      </c>
    </row>
    <row r="779" spans="1:13" x14ac:dyDescent="0.3">
      <c r="A779" t="s">
        <v>988</v>
      </c>
      <c r="B779">
        <v>48</v>
      </c>
      <c r="C779" s="1">
        <v>45139</v>
      </c>
      <c r="D779">
        <v>2023</v>
      </c>
      <c r="E779" t="s">
        <v>214</v>
      </c>
      <c r="F779" t="s">
        <v>199</v>
      </c>
      <c r="G779" t="s">
        <v>191</v>
      </c>
      <c r="H779" t="s">
        <v>204</v>
      </c>
      <c r="I779">
        <v>1</v>
      </c>
      <c r="J779">
        <v>3741.07</v>
      </c>
      <c r="K779">
        <v>1</v>
      </c>
      <c r="L779" t="s">
        <v>196</v>
      </c>
      <c r="M779">
        <v>0</v>
      </c>
    </row>
    <row r="780" spans="1:13" x14ac:dyDescent="0.3">
      <c r="A780" t="s">
        <v>989</v>
      </c>
      <c r="B780">
        <v>48</v>
      </c>
      <c r="C780" s="1">
        <v>45266</v>
      </c>
      <c r="D780">
        <v>2023</v>
      </c>
      <c r="E780" t="s">
        <v>198</v>
      </c>
      <c r="F780" t="s">
        <v>13</v>
      </c>
      <c r="G780" t="s">
        <v>191</v>
      </c>
      <c r="H780" t="s">
        <v>192</v>
      </c>
      <c r="I780">
        <v>14</v>
      </c>
      <c r="J780">
        <v>2057.71</v>
      </c>
      <c r="K780">
        <v>1</v>
      </c>
      <c r="L780" t="s">
        <v>201</v>
      </c>
      <c r="M780">
        <v>0</v>
      </c>
    </row>
    <row r="781" spans="1:13" x14ac:dyDescent="0.3">
      <c r="A781" t="s">
        <v>990</v>
      </c>
      <c r="B781">
        <v>48</v>
      </c>
      <c r="C781" s="1">
        <v>45162</v>
      </c>
      <c r="D781">
        <v>2023</v>
      </c>
      <c r="E781" t="s">
        <v>198</v>
      </c>
      <c r="F781" t="s">
        <v>13</v>
      </c>
      <c r="G781" t="s">
        <v>191</v>
      </c>
      <c r="H781" t="s">
        <v>195</v>
      </c>
      <c r="I781">
        <v>10</v>
      </c>
      <c r="J781">
        <v>1634.31</v>
      </c>
      <c r="K781">
        <v>1</v>
      </c>
      <c r="L781" t="s">
        <v>193</v>
      </c>
      <c r="M781">
        <v>0</v>
      </c>
    </row>
    <row r="782" spans="1:13" x14ac:dyDescent="0.3">
      <c r="A782" t="s">
        <v>991</v>
      </c>
      <c r="B782">
        <v>48</v>
      </c>
      <c r="C782" s="1">
        <v>45589</v>
      </c>
      <c r="D782">
        <v>2024</v>
      </c>
      <c r="E782" t="s">
        <v>287</v>
      </c>
      <c r="F782" t="s">
        <v>12</v>
      </c>
      <c r="G782" t="s">
        <v>212</v>
      </c>
      <c r="H782" t="s">
        <v>204</v>
      </c>
      <c r="I782">
        <v>14</v>
      </c>
      <c r="J782">
        <v>1136.04</v>
      </c>
      <c r="K782">
        <v>0</v>
      </c>
      <c r="L782" t="s">
        <v>201</v>
      </c>
      <c r="M782">
        <v>1</v>
      </c>
    </row>
    <row r="783" spans="1:13" x14ac:dyDescent="0.3">
      <c r="A783" t="s">
        <v>992</v>
      </c>
      <c r="B783">
        <v>48</v>
      </c>
      <c r="C783" s="1">
        <v>45398</v>
      </c>
      <c r="D783">
        <v>2024</v>
      </c>
      <c r="E783" t="s">
        <v>198</v>
      </c>
      <c r="F783" t="s">
        <v>13</v>
      </c>
      <c r="G783" t="s">
        <v>203</v>
      </c>
      <c r="H783" t="s">
        <v>192</v>
      </c>
      <c r="I783">
        <v>10</v>
      </c>
      <c r="J783">
        <v>2126.31</v>
      </c>
      <c r="K783">
        <v>1</v>
      </c>
      <c r="L783" t="s">
        <v>193</v>
      </c>
      <c r="M783">
        <v>0</v>
      </c>
    </row>
    <row r="784" spans="1:13" x14ac:dyDescent="0.3">
      <c r="A784" t="s">
        <v>993</v>
      </c>
      <c r="B784">
        <v>48</v>
      </c>
      <c r="C784" s="1">
        <v>45377</v>
      </c>
      <c r="D784">
        <v>2024</v>
      </c>
      <c r="E784" t="s">
        <v>225</v>
      </c>
      <c r="F784" t="s">
        <v>199</v>
      </c>
      <c r="G784" t="s">
        <v>191</v>
      </c>
      <c r="H784" t="s">
        <v>204</v>
      </c>
      <c r="I784">
        <v>9</v>
      </c>
      <c r="J784">
        <v>3259.56</v>
      </c>
      <c r="K784">
        <v>0</v>
      </c>
      <c r="L784" t="s">
        <v>210</v>
      </c>
      <c r="M784">
        <v>0</v>
      </c>
    </row>
    <row r="785" spans="1:13" x14ac:dyDescent="0.3">
      <c r="A785" t="s">
        <v>994</v>
      </c>
      <c r="B785">
        <v>48</v>
      </c>
      <c r="C785" s="1">
        <v>45369</v>
      </c>
      <c r="D785">
        <v>2024</v>
      </c>
      <c r="E785" t="s">
        <v>198</v>
      </c>
      <c r="F785" t="s">
        <v>13</v>
      </c>
      <c r="G785" t="s">
        <v>200</v>
      </c>
      <c r="H785" t="s">
        <v>195</v>
      </c>
      <c r="I785">
        <v>6</v>
      </c>
      <c r="J785">
        <v>1177.48</v>
      </c>
      <c r="K785">
        <v>1</v>
      </c>
      <c r="L785" t="s">
        <v>210</v>
      </c>
      <c r="M785">
        <v>1</v>
      </c>
    </row>
    <row r="786" spans="1:13" x14ac:dyDescent="0.3">
      <c r="A786" t="s">
        <v>995</v>
      </c>
      <c r="B786">
        <v>48</v>
      </c>
      <c r="C786" s="1">
        <v>45603</v>
      </c>
      <c r="D786">
        <v>2024</v>
      </c>
      <c r="E786" t="s">
        <v>287</v>
      </c>
      <c r="F786" t="s">
        <v>199</v>
      </c>
      <c r="G786" t="s">
        <v>200</v>
      </c>
      <c r="H786" t="s">
        <v>206</v>
      </c>
      <c r="I786">
        <v>13</v>
      </c>
      <c r="J786">
        <v>7761.07</v>
      </c>
      <c r="K786">
        <v>0</v>
      </c>
      <c r="L786" t="s">
        <v>210</v>
      </c>
      <c r="M786">
        <v>1</v>
      </c>
    </row>
    <row r="787" spans="1:13" x14ac:dyDescent="0.3">
      <c r="A787" t="s">
        <v>996</v>
      </c>
      <c r="B787">
        <v>48</v>
      </c>
      <c r="C787" s="1">
        <v>46012</v>
      </c>
      <c r="D787">
        <v>2025</v>
      </c>
      <c r="E787" t="s">
        <v>214</v>
      </c>
      <c r="F787" t="s">
        <v>13</v>
      </c>
      <c r="G787" t="s">
        <v>203</v>
      </c>
      <c r="H787" t="s">
        <v>192</v>
      </c>
      <c r="I787">
        <v>3</v>
      </c>
      <c r="J787">
        <v>1447.8</v>
      </c>
      <c r="K787">
        <v>0</v>
      </c>
      <c r="L787" t="s">
        <v>196</v>
      </c>
      <c r="M787">
        <v>0</v>
      </c>
    </row>
    <row r="788" spans="1:13" x14ac:dyDescent="0.3">
      <c r="A788" t="s">
        <v>997</v>
      </c>
      <c r="B788">
        <v>48</v>
      </c>
      <c r="C788" s="1">
        <v>45836</v>
      </c>
      <c r="D788">
        <v>2025</v>
      </c>
      <c r="E788" t="s">
        <v>190</v>
      </c>
      <c r="F788" t="s">
        <v>12</v>
      </c>
      <c r="G788" t="s">
        <v>203</v>
      </c>
      <c r="H788" t="s">
        <v>206</v>
      </c>
      <c r="I788">
        <v>8</v>
      </c>
      <c r="J788">
        <v>1199.1300000000001</v>
      </c>
      <c r="K788">
        <v>0</v>
      </c>
      <c r="L788" t="s">
        <v>210</v>
      </c>
      <c r="M788">
        <v>1</v>
      </c>
    </row>
    <row r="789" spans="1:13" x14ac:dyDescent="0.3">
      <c r="A789" t="s">
        <v>998</v>
      </c>
      <c r="B789">
        <v>48</v>
      </c>
      <c r="C789" s="1">
        <v>45847</v>
      </c>
      <c r="D789">
        <v>2025</v>
      </c>
      <c r="E789" t="s">
        <v>227</v>
      </c>
      <c r="F789" t="s">
        <v>199</v>
      </c>
      <c r="G789" t="s">
        <v>191</v>
      </c>
      <c r="H789" t="s">
        <v>195</v>
      </c>
      <c r="I789">
        <v>9</v>
      </c>
      <c r="J789">
        <v>7641.96</v>
      </c>
      <c r="K789">
        <v>1</v>
      </c>
      <c r="L789" t="s">
        <v>196</v>
      </c>
      <c r="M789">
        <v>0</v>
      </c>
    </row>
    <row r="790" spans="1:13" x14ac:dyDescent="0.3">
      <c r="A790" t="s">
        <v>999</v>
      </c>
      <c r="B790">
        <v>48</v>
      </c>
      <c r="C790" s="1">
        <v>45934</v>
      </c>
      <c r="D790">
        <v>2025</v>
      </c>
      <c r="E790" t="s">
        <v>214</v>
      </c>
      <c r="F790" t="s">
        <v>13</v>
      </c>
      <c r="G790" t="s">
        <v>212</v>
      </c>
      <c r="H790" t="s">
        <v>204</v>
      </c>
      <c r="I790">
        <v>14</v>
      </c>
      <c r="J790">
        <v>1268.98</v>
      </c>
      <c r="K790">
        <v>0</v>
      </c>
      <c r="L790" t="s">
        <v>210</v>
      </c>
      <c r="M790">
        <v>1</v>
      </c>
    </row>
    <row r="791" spans="1:13" x14ac:dyDescent="0.3">
      <c r="A791" t="s">
        <v>1000</v>
      </c>
      <c r="B791">
        <v>49</v>
      </c>
      <c r="C791" s="1">
        <v>44418</v>
      </c>
      <c r="D791">
        <v>2021</v>
      </c>
      <c r="E791" t="s">
        <v>219</v>
      </c>
      <c r="F791" t="s">
        <v>199</v>
      </c>
      <c r="G791" t="s">
        <v>191</v>
      </c>
      <c r="H791" t="s">
        <v>204</v>
      </c>
      <c r="I791">
        <v>6</v>
      </c>
      <c r="J791">
        <v>3156.32</v>
      </c>
      <c r="K791">
        <v>1</v>
      </c>
      <c r="L791" t="s">
        <v>193</v>
      </c>
      <c r="M791">
        <v>1</v>
      </c>
    </row>
    <row r="792" spans="1:13" x14ac:dyDescent="0.3">
      <c r="A792" t="s">
        <v>1001</v>
      </c>
      <c r="B792">
        <v>49</v>
      </c>
      <c r="C792" s="1">
        <v>44548</v>
      </c>
      <c r="D792">
        <v>2021</v>
      </c>
      <c r="E792" t="s">
        <v>227</v>
      </c>
      <c r="F792" t="s">
        <v>13</v>
      </c>
      <c r="G792" t="s">
        <v>191</v>
      </c>
      <c r="H792" t="s">
        <v>195</v>
      </c>
      <c r="I792">
        <v>9</v>
      </c>
      <c r="J792">
        <v>1041.98</v>
      </c>
      <c r="K792">
        <v>1</v>
      </c>
      <c r="L792" t="s">
        <v>193</v>
      </c>
      <c r="M792">
        <v>1</v>
      </c>
    </row>
    <row r="793" spans="1:13" x14ac:dyDescent="0.3">
      <c r="A793" t="s">
        <v>1002</v>
      </c>
      <c r="B793">
        <v>49</v>
      </c>
      <c r="C793" s="1">
        <v>44404</v>
      </c>
      <c r="D793">
        <v>2021</v>
      </c>
      <c r="E793" t="s">
        <v>225</v>
      </c>
      <c r="F793" t="s">
        <v>199</v>
      </c>
      <c r="G793" t="s">
        <v>200</v>
      </c>
      <c r="H793" t="s">
        <v>195</v>
      </c>
      <c r="I793">
        <v>12</v>
      </c>
      <c r="J793">
        <v>4667.01</v>
      </c>
      <c r="K793">
        <v>0</v>
      </c>
      <c r="L793" t="s">
        <v>193</v>
      </c>
      <c r="M793">
        <v>1</v>
      </c>
    </row>
    <row r="794" spans="1:13" x14ac:dyDescent="0.3">
      <c r="A794" t="s">
        <v>1003</v>
      </c>
      <c r="B794">
        <v>49</v>
      </c>
      <c r="C794" s="1">
        <v>44359</v>
      </c>
      <c r="D794">
        <v>2021</v>
      </c>
      <c r="E794" t="s">
        <v>198</v>
      </c>
      <c r="F794" t="s">
        <v>13</v>
      </c>
      <c r="G794" t="s">
        <v>191</v>
      </c>
      <c r="H794" t="s">
        <v>195</v>
      </c>
      <c r="I794">
        <v>20</v>
      </c>
      <c r="J794">
        <v>1901.51</v>
      </c>
      <c r="K794">
        <v>1</v>
      </c>
      <c r="L794" t="s">
        <v>196</v>
      </c>
      <c r="M794">
        <v>0</v>
      </c>
    </row>
    <row r="795" spans="1:13" x14ac:dyDescent="0.3">
      <c r="A795" t="s">
        <v>1004</v>
      </c>
      <c r="B795">
        <v>49</v>
      </c>
      <c r="C795" s="1">
        <v>44875</v>
      </c>
      <c r="D795">
        <v>2022</v>
      </c>
      <c r="E795" t="s">
        <v>214</v>
      </c>
      <c r="F795" t="s">
        <v>12</v>
      </c>
      <c r="G795" t="s">
        <v>200</v>
      </c>
      <c r="H795" t="s">
        <v>206</v>
      </c>
      <c r="I795">
        <v>3</v>
      </c>
      <c r="J795">
        <v>721.16</v>
      </c>
      <c r="K795">
        <v>0</v>
      </c>
      <c r="L795" t="s">
        <v>193</v>
      </c>
      <c r="M795">
        <v>0</v>
      </c>
    </row>
    <row r="796" spans="1:13" x14ac:dyDescent="0.3">
      <c r="A796" t="s">
        <v>1005</v>
      </c>
      <c r="B796">
        <v>49</v>
      </c>
      <c r="C796" s="1">
        <v>44634</v>
      </c>
      <c r="D796">
        <v>2022</v>
      </c>
      <c r="E796" t="s">
        <v>227</v>
      </c>
      <c r="F796" t="s">
        <v>199</v>
      </c>
      <c r="G796" t="s">
        <v>191</v>
      </c>
      <c r="H796" t="s">
        <v>192</v>
      </c>
      <c r="I796">
        <v>10</v>
      </c>
      <c r="J796">
        <v>6563.64</v>
      </c>
      <c r="K796">
        <v>1</v>
      </c>
      <c r="L796" t="s">
        <v>196</v>
      </c>
      <c r="M796">
        <v>0</v>
      </c>
    </row>
    <row r="797" spans="1:13" x14ac:dyDescent="0.3">
      <c r="A797" t="s">
        <v>1006</v>
      </c>
      <c r="B797">
        <v>49</v>
      </c>
      <c r="C797" s="1">
        <v>44870</v>
      </c>
      <c r="D797">
        <v>2022</v>
      </c>
      <c r="E797" t="s">
        <v>198</v>
      </c>
      <c r="F797" t="s">
        <v>13</v>
      </c>
      <c r="G797" t="s">
        <v>212</v>
      </c>
      <c r="H797" t="s">
        <v>204</v>
      </c>
      <c r="I797">
        <v>16</v>
      </c>
      <c r="J797">
        <v>1117.8699999999999</v>
      </c>
      <c r="K797">
        <v>1</v>
      </c>
      <c r="L797" t="s">
        <v>196</v>
      </c>
      <c r="M797">
        <v>1</v>
      </c>
    </row>
    <row r="798" spans="1:13" x14ac:dyDescent="0.3">
      <c r="A798" t="s">
        <v>1007</v>
      </c>
      <c r="B798">
        <v>49</v>
      </c>
      <c r="C798" s="1">
        <v>44856</v>
      </c>
      <c r="D798">
        <v>2022</v>
      </c>
      <c r="E798" t="s">
        <v>190</v>
      </c>
      <c r="F798" t="s">
        <v>199</v>
      </c>
      <c r="G798" t="s">
        <v>203</v>
      </c>
      <c r="H798" t="s">
        <v>195</v>
      </c>
      <c r="I798">
        <v>10</v>
      </c>
      <c r="J798">
        <v>7013.63</v>
      </c>
      <c r="K798">
        <v>1</v>
      </c>
      <c r="L798" t="s">
        <v>193</v>
      </c>
      <c r="M798">
        <v>0</v>
      </c>
    </row>
    <row r="799" spans="1:13" x14ac:dyDescent="0.3">
      <c r="A799" t="s">
        <v>1008</v>
      </c>
      <c r="B799">
        <v>49</v>
      </c>
      <c r="C799" s="1">
        <v>45023</v>
      </c>
      <c r="D799">
        <v>2023</v>
      </c>
      <c r="E799" t="s">
        <v>198</v>
      </c>
      <c r="F799" t="s">
        <v>199</v>
      </c>
      <c r="G799" t="s">
        <v>191</v>
      </c>
      <c r="H799" t="s">
        <v>206</v>
      </c>
      <c r="I799">
        <v>19</v>
      </c>
      <c r="J799">
        <v>4049.53</v>
      </c>
      <c r="K799">
        <v>1</v>
      </c>
      <c r="L799" t="s">
        <v>210</v>
      </c>
      <c r="M799">
        <v>1</v>
      </c>
    </row>
    <row r="800" spans="1:13" x14ac:dyDescent="0.3">
      <c r="A800" t="s">
        <v>1009</v>
      </c>
      <c r="B800">
        <v>49</v>
      </c>
      <c r="C800" s="1">
        <v>45232</v>
      </c>
      <c r="D800">
        <v>2023</v>
      </c>
      <c r="E800" t="s">
        <v>214</v>
      </c>
      <c r="F800" t="s">
        <v>12</v>
      </c>
      <c r="G800" t="s">
        <v>191</v>
      </c>
      <c r="H800" t="s">
        <v>195</v>
      </c>
      <c r="I800">
        <v>14</v>
      </c>
      <c r="J800">
        <v>1111.9100000000001</v>
      </c>
      <c r="K800">
        <v>0</v>
      </c>
      <c r="L800" t="s">
        <v>215</v>
      </c>
      <c r="M800">
        <v>0</v>
      </c>
    </row>
    <row r="801" spans="1:13" x14ac:dyDescent="0.3">
      <c r="A801" t="s">
        <v>1010</v>
      </c>
      <c r="B801">
        <v>49</v>
      </c>
      <c r="C801" s="1">
        <v>45247</v>
      </c>
      <c r="D801">
        <v>2023</v>
      </c>
      <c r="E801" t="s">
        <v>227</v>
      </c>
      <c r="F801" t="s">
        <v>199</v>
      </c>
      <c r="G801" t="s">
        <v>191</v>
      </c>
      <c r="H801" t="s">
        <v>204</v>
      </c>
      <c r="I801">
        <v>14</v>
      </c>
      <c r="J801">
        <v>4647.22</v>
      </c>
      <c r="K801">
        <v>1</v>
      </c>
      <c r="L801" t="s">
        <v>196</v>
      </c>
      <c r="M801">
        <v>0</v>
      </c>
    </row>
    <row r="802" spans="1:13" x14ac:dyDescent="0.3">
      <c r="A802" t="s">
        <v>1011</v>
      </c>
      <c r="B802">
        <v>49</v>
      </c>
      <c r="C802" s="1">
        <v>45151</v>
      </c>
      <c r="D802">
        <v>2023</v>
      </c>
      <c r="E802" t="s">
        <v>198</v>
      </c>
      <c r="F802" t="s">
        <v>13</v>
      </c>
      <c r="G802" t="s">
        <v>203</v>
      </c>
      <c r="H802" t="s">
        <v>204</v>
      </c>
      <c r="I802">
        <v>19</v>
      </c>
      <c r="J802">
        <v>3704.46</v>
      </c>
      <c r="K802">
        <v>1</v>
      </c>
      <c r="L802" t="s">
        <v>196</v>
      </c>
      <c r="M802">
        <v>0</v>
      </c>
    </row>
    <row r="803" spans="1:13" x14ac:dyDescent="0.3">
      <c r="A803" t="s">
        <v>1012</v>
      </c>
      <c r="B803">
        <v>49</v>
      </c>
      <c r="C803" s="1">
        <v>45030</v>
      </c>
      <c r="D803">
        <v>2023</v>
      </c>
      <c r="E803" t="s">
        <v>219</v>
      </c>
      <c r="F803" t="s">
        <v>199</v>
      </c>
      <c r="G803" t="s">
        <v>191</v>
      </c>
      <c r="H803" t="s">
        <v>192</v>
      </c>
      <c r="I803">
        <v>2</v>
      </c>
      <c r="J803">
        <v>5265.34</v>
      </c>
      <c r="K803">
        <v>0</v>
      </c>
      <c r="L803" t="s">
        <v>196</v>
      </c>
      <c r="M803">
        <v>0</v>
      </c>
    </row>
    <row r="804" spans="1:13" x14ac:dyDescent="0.3">
      <c r="A804" t="s">
        <v>1013</v>
      </c>
      <c r="B804">
        <v>49</v>
      </c>
      <c r="C804" s="1">
        <v>45354</v>
      </c>
      <c r="D804">
        <v>2024</v>
      </c>
      <c r="E804" t="s">
        <v>198</v>
      </c>
      <c r="F804" t="s">
        <v>13</v>
      </c>
      <c r="G804" t="s">
        <v>212</v>
      </c>
      <c r="H804" t="s">
        <v>192</v>
      </c>
      <c r="I804">
        <v>7</v>
      </c>
      <c r="J804">
        <v>3810.54</v>
      </c>
      <c r="K804">
        <v>1</v>
      </c>
      <c r="L804" t="s">
        <v>210</v>
      </c>
      <c r="M804">
        <v>1</v>
      </c>
    </row>
    <row r="805" spans="1:13" x14ac:dyDescent="0.3">
      <c r="A805" t="s">
        <v>1014</v>
      </c>
      <c r="B805">
        <v>49</v>
      </c>
      <c r="C805" s="1">
        <v>45349</v>
      </c>
      <c r="D805">
        <v>2024</v>
      </c>
      <c r="E805" t="s">
        <v>190</v>
      </c>
      <c r="F805" t="s">
        <v>13</v>
      </c>
      <c r="G805" t="s">
        <v>191</v>
      </c>
      <c r="H805" t="s">
        <v>192</v>
      </c>
      <c r="I805">
        <v>4</v>
      </c>
      <c r="J805">
        <v>2191.2199999999998</v>
      </c>
      <c r="K805">
        <v>1</v>
      </c>
      <c r="L805" t="s">
        <v>193</v>
      </c>
      <c r="M805">
        <v>1</v>
      </c>
    </row>
    <row r="806" spans="1:13" x14ac:dyDescent="0.3">
      <c r="A806" t="s">
        <v>1015</v>
      </c>
      <c r="B806">
        <v>49</v>
      </c>
      <c r="C806" s="1">
        <v>45383</v>
      </c>
      <c r="D806">
        <v>2024</v>
      </c>
      <c r="E806" t="s">
        <v>287</v>
      </c>
      <c r="F806" t="s">
        <v>12</v>
      </c>
      <c r="G806" t="s">
        <v>212</v>
      </c>
      <c r="H806" t="s">
        <v>195</v>
      </c>
      <c r="I806">
        <v>18</v>
      </c>
      <c r="J806">
        <v>582.12</v>
      </c>
      <c r="K806">
        <v>0</v>
      </c>
      <c r="L806" t="s">
        <v>210</v>
      </c>
      <c r="M806">
        <v>1</v>
      </c>
    </row>
    <row r="807" spans="1:13" x14ac:dyDescent="0.3">
      <c r="A807" t="s">
        <v>1016</v>
      </c>
      <c r="B807">
        <v>49</v>
      </c>
      <c r="C807" s="1">
        <v>45414</v>
      </c>
      <c r="D807">
        <v>2024</v>
      </c>
      <c r="E807" t="s">
        <v>287</v>
      </c>
      <c r="F807" t="s">
        <v>13</v>
      </c>
      <c r="G807" t="s">
        <v>203</v>
      </c>
      <c r="H807" t="s">
        <v>192</v>
      </c>
      <c r="I807">
        <v>6</v>
      </c>
      <c r="J807">
        <v>3822.88</v>
      </c>
      <c r="K807">
        <v>0</v>
      </c>
      <c r="L807" t="s">
        <v>196</v>
      </c>
      <c r="M807">
        <v>0</v>
      </c>
    </row>
    <row r="808" spans="1:13" x14ac:dyDescent="0.3">
      <c r="A808" t="s">
        <v>1017</v>
      </c>
      <c r="B808">
        <v>49</v>
      </c>
      <c r="C808" s="1">
        <v>45419</v>
      </c>
      <c r="D808">
        <v>2024</v>
      </c>
      <c r="E808" t="s">
        <v>227</v>
      </c>
      <c r="F808" t="s">
        <v>13</v>
      </c>
      <c r="G808" t="s">
        <v>191</v>
      </c>
      <c r="H808" t="s">
        <v>204</v>
      </c>
      <c r="I808">
        <v>1</v>
      </c>
      <c r="J808">
        <v>3883.15</v>
      </c>
      <c r="K808">
        <v>1</v>
      </c>
      <c r="L808" t="s">
        <v>201</v>
      </c>
      <c r="M808">
        <v>0</v>
      </c>
    </row>
    <row r="809" spans="1:13" x14ac:dyDescent="0.3">
      <c r="A809" t="s">
        <v>1018</v>
      </c>
      <c r="B809">
        <v>49</v>
      </c>
      <c r="C809" s="1">
        <v>45886</v>
      </c>
      <c r="D809">
        <v>2025</v>
      </c>
      <c r="E809" t="s">
        <v>198</v>
      </c>
      <c r="F809" t="s">
        <v>199</v>
      </c>
      <c r="G809" t="s">
        <v>200</v>
      </c>
      <c r="H809" t="s">
        <v>206</v>
      </c>
      <c r="I809">
        <v>3</v>
      </c>
      <c r="J809">
        <v>4525.9799999999996</v>
      </c>
      <c r="K809">
        <v>1</v>
      </c>
      <c r="L809" t="s">
        <v>201</v>
      </c>
      <c r="M809">
        <v>1</v>
      </c>
    </row>
    <row r="810" spans="1:13" x14ac:dyDescent="0.3">
      <c r="A810" t="s">
        <v>1019</v>
      </c>
      <c r="B810">
        <v>49</v>
      </c>
      <c r="C810" s="1">
        <v>45788</v>
      </c>
      <c r="D810">
        <v>2025</v>
      </c>
      <c r="E810" t="s">
        <v>214</v>
      </c>
      <c r="F810" t="s">
        <v>12</v>
      </c>
      <c r="G810" t="s">
        <v>191</v>
      </c>
      <c r="H810" t="s">
        <v>195</v>
      </c>
      <c r="I810">
        <v>16</v>
      </c>
      <c r="J810">
        <v>1370.33</v>
      </c>
      <c r="K810">
        <v>0</v>
      </c>
      <c r="L810" t="s">
        <v>215</v>
      </c>
      <c r="M810">
        <v>1</v>
      </c>
    </row>
    <row r="811" spans="1:13" x14ac:dyDescent="0.3">
      <c r="A811" t="s">
        <v>1020</v>
      </c>
      <c r="B811">
        <v>49</v>
      </c>
      <c r="C811" s="1">
        <v>45786</v>
      </c>
      <c r="D811">
        <v>2025</v>
      </c>
      <c r="E811" t="s">
        <v>198</v>
      </c>
      <c r="F811" t="s">
        <v>13</v>
      </c>
      <c r="G811" t="s">
        <v>212</v>
      </c>
      <c r="H811" t="s">
        <v>204</v>
      </c>
      <c r="I811">
        <v>4</v>
      </c>
      <c r="J811">
        <v>2491.66</v>
      </c>
      <c r="K811">
        <v>1</v>
      </c>
      <c r="L811" t="s">
        <v>215</v>
      </c>
      <c r="M811">
        <v>1</v>
      </c>
    </row>
    <row r="812" spans="1:13" x14ac:dyDescent="0.3">
      <c r="A812" t="s">
        <v>1021</v>
      </c>
      <c r="B812">
        <v>50</v>
      </c>
      <c r="C812" s="1">
        <v>44547</v>
      </c>
      <c r="D812">
        <v>2021</v>
      </c>
      <c r="E812" t="s">
        <v>225</v>
      </c>
      <c r="F812" t="s">
        <v>12</v>
      </c>
      <c r="G812" t="s">
        <v>212</v>
      </c>
      <c r="H812" t="s">
        <v>206</v>
      </c>
      <c r="I812">
        <v>3</v>
      </c>
      <c r="J812">
        <v>1381.17</v>
      </c>
      <c r="K812">
        <v>0</v>
      </c>
      <c r="L812" t="s">
        <v>215</v>
      </c>
      <c r="M812">
        <v>1</v>
      </c>
    </row>
    <row r="813" spans="1:13" x14ac:dyDescent="0.3">
      <c r="A813" t="s">
        <v>1022</v>
      </c>
      <c r="B813">
        <v>50</v>
      </c>
      <c r="C813" s="1">
        <v>44390</v>
      </c>
      <c r="D813">
        <v>2021</v>
      </c>
      <c r="E813" t="s">
        <v>190</v>
      </c>
      <c r="F813" t="s">
        <v>12</v>
      </c>
      <c r="G813" t="s">
        <v>203</v>
      </c>
      <c r="H813" t="s">
        <v>195</v>
      </c>
      <c r="I813">
        <v>15</v>
      </c>
      <c r="J813">
        <v>598.32000000000005</v>
      </c>
      <c r="K813">
        <v>0</v>
      </c>
      <c r="L813" t="s">
        <v>215</v>
      </c>
      <c r="M813">
        <v>1</v>
      </c>
    </row>
    <row r="814" spans="1:13" x14ac:dyDescent="0.3">
      <c r="A814" t="s">
        <v>1023</v>
      </c>
      <c r="B814">
        <v>50</v>
      </c>
      <c r="C814" s="1">
        <v>44523</v>
      </c>
      <c r="D814">
        <v>2021</v>
      </c>
      <c r="E814" t="s">
        <v>225</v>
      </c>
      <c r="F814" t="s">
        <v>12</v>
      </c>
      <c r="G814" t="s">
        <v>212</v>
      </c>
      <c r="H814" t="s">
        <v>192</v>
      </c>
      <c r="I814">
        <v>7</v>
      </c>
      <c r="J814">
        <v>280.73</v>
      </c>
      <c r="K814">
        <v>0</v>
      </c>
      <c r="L814" t="s">
        <v>201</v>
      </c>
      <c r="M814">
        <v>1</v>
      </c>
    </row>
    <row r="815" spans="1:13" x14ac:dyDescent="0.3">
      <c r="A815" t="s">
        <v>1024</v>
      </c>
      <c r="B815">
        <v>50</v>
      </c>
      <c r="C815" s="1">
        <v>44562</v>
      </c>
      <c r="D815">
        <v>2022</v>
      </c>
      <c r="E815" t="s">
        <v>219</v>
      </c>
      <c r="F815" t="s">
        <v>13</v>
      </c>
      <c r="G815" t="s">
        <v>200</v>
      </c>
      <c r="H815" t="s">
        <v>192</v>
      </c>
      <c r="I815">
        <v>5</v>
      </c>
      <c r="J815">
        <v>2389.34</v>
      </c>
      <c r="K815">
        <v>0</v>
      </c>
      <c r="L815" t="s">
        <v>201</v>
      </c>
      <c r="M815">
        <v>0</v>
      </c>
    </row>
    <row r="816" spans="1:13" x14ac:dyDescent="0.3">
      <c r="A816" t="s">
        <v>1025</v>
      </c>
      <c r="B816">
        <v>50</v>
      </c>
      <c r="C816" s="1">
        <v>44844</v>
      </c>
      <c r="D816">
        <v>2022</v>
      </c>
      <c r="E816" t="s">
        <v>198</v>
      </c>
      <c r="F816" t="s">
        <v>13</v>
      </c>
      <c r="G816" t="s">
        <v>191</v>
      </c>
      <c r="H816" t="s">
        <v>195</v>
      </c>
      <c r="I816">
        <v>16</v>
      </c>
      <c r="J816">
        <v>1652.85</v>
      </c>
      <c r="K816">
        <v>1</v>
      </c>
      <c r="L816" t="s">
        <v>196</v>
      </c>
      <c r="M816">
        <v>0</v>
      </c>
    </row>
    <row r="817" spans="1:13" x14ac:dyDescent="0.3">
      <c r="A817" t="s">
        <v>1026</v>
      </c>
      <c r="B817">
        <v>50</v>
      </c>
      <c r="C817" s="1">
        <v>44779</v>
      </c>
      <c r="D817">
        <v>2022</v>
      </c>
      <c r="E817" t="s">
        <v>214</v>
      </c>
      <c r="F817" t="s">
        <v>12</v>
      </c>
      <c r="G817" t="s">
        <v>212</v>
      </c>
      <c r="H817" t="s">
        <v>195</v>
      </c>
      <c r="I817">
        <v>14</v>
      </c>
      <c r="J817">
        <v>1219.46</v>
      </c>
      <c r="K817">
        <v>0</v>
      </c>
      <c r="L817" t="s">
        <v>215</v>
      </c>
      <c r="M817">
        <v>1</v>
      </c>
    </row>
    <row r="818" spans="1:13" x14ac:dyDescent="0.3">
      <c r="A818" t="s">
        <v>1027</v>
      </c>
      <c r="B818">
        <v>50</v>
      </c>
      <c r="C818" s="1">
        <v>44855</v>
      </c>
      <c r="D818">
        <v>2022</v>
      </c>
      <c r="E818" t="s">
        <v>198</v>
      </c>
      <c r="F818" t="s">
        <v>13</v>
      </c>
      <c r="G818" t="s">
        <v>191</v>
      </c>
      <c r="H818" t="s">
        <v>204</v>
      </c>
      <c r="I818">
        <v>19</v>
      </c>
      <c r="J818">
        <v>2031.91</v>
      </c>
      <c r="K818">
        <v>1</v>
      </c>
      <c r="L818" t="s">
        <v>196</v>
      </c>
      <c r="M818">
        <v>0</v>
      </c>
    </row>
    <row r="819" spans="1:13" x14ac:dyDescent="0.3">
      <c r="A819" t="s">
        <v>1028</v>
      </c>
      <c r="B819">
        <v>50</v>
      </c>
      <c r="C819" s="1">
        <v>45237</v>
      </c>
      <c r="D819">
        <v>2023</v>
      </c>
      <c r="E819" t="s">
        <v>287</v>
      </c>
      <c r="F819" t="s">
        <v>209</v>
      </c>
      <c r="G819" t="s">
        <v>203</v>
      </c>
      <c r="H819" t="s">
        <v>195</v>
      </c>
      <c r="I819">
        <v>9</v>
      </c>
      <c r="J819">
        <v>488.81</v>
      </c>
      <c r="K819">
        <v>0</v>
      </c>
      <c r="L819" t="s">
        <v>210</v>
      </c>
      <c r="M819">
        <v>1</v>
      </c>
    </row>
    <row r="820" spans="1:13" x14ac:dyDescent="0.3">
      <c r="A820" t="s">
        <v>1029</v>
      </c>
      <c r="B820">
        <v>50</v>
      </c>
      <c r="C820" s="1">
        <v>45219</v>
      </c>
      <c r="D820">
        <v>2023</v>
      </c>
      <c r="E820" t="s">
        <v>214</v>
      </c>
      <c r="F820" t="s">
        <v>209</v>
      </c>
      <c r="G820" t="s">
        <v>212</v>
      </c>
      <c r="H820" t="s">
        <v>192</v>
      </c>
      <c r="I820">
        <v>4</v>
      </c>
      <c r="J820">
        <v>496.98</v>
      </c>
      <c r="K820">
        <v>0</v>
      </c>
      <c r="L820" t="s">
        <v>210</v>
      </c>
      <c r="M820">
        <v>1</v>
      </c>
    </row>
    <row r="821" spans="1:13" x14ac:dyDescent="0.3">
      <c r="A821" t="s">
        <v>1030</v>
      </c>
      <c r="B821">
        <v>50</v>
      </c>
      <c r="C821" s="1">
        <v>45085</v>
      </c>
      <c r="D821">
        <v>2023</v>
      </c>
      <c r="E821" t="s">
        <v>214</v>
      </c>
      <c r="F821" t="s">
        <v>12</v>
      </c>
      <c r="G821" t="s">
        <v>200</v>
      </c>
      <c r="H821" t="s">
        <v>206</v>
      </c>
      <c r="I821">
        <v>13</v>
      </c>
      <c r="J821">
        <v>293.45</v>
      </c>
      <c r="K821">
        <v>0</v>
      </c>
      <c r="L821" t="s">
        <v>201</v>
      </c>
      <c r="M821">
        <v>0</v>
      </c>
    </row>
    <row r="822" spans="1:13" x14ac:dyDescent="0.3">
      <c r="A822" t="s">
        <v>1031</v>
      </c>
      <c r="B822">
        <v>50</v>
      </c>
      <c r="C822" s="1">
        <v>45308</v>
      </c>
      <c r="D822">
        <v>2024</v>
      </c>
      <c r="E822" t="s">
        <v>198</v>
      </c>
      <c r="F822" t="s">
        <v>13</v>
      </c>
      <c r="G822" t="s">
        <v>191</v>
      </c>
      <c r="H822" t="s">
        <v>195</v>
      </c>
      <c r="I822">
        <v>14</v>
      </c>
      <c r="J822">
        <v>2517</v>
      </c>
      <c r="K822">
        <v>1</v>
      </c>
      <c r="L822" t="s">
        <v>201</v>
      </c>
      <c r="M822">
        <v>0</v>
      </c>
    </row>
    <row r="823" spans="1:13" x14ac:dyDescent="0.3">
      <c r="A823" t="s">
        <v>1032</v>
      </c>
      <c r="B823">
        <v>50</v>
      </c>
      <c r="C823" s="1">
        <v>45323</v>
      </c>
      <c r="D823">
        <v>2024</v>
      </c>
      <c r="E823" t="s">
        <v>214</v>
      </c>
      <c r="F823" t="s">
        <v>209</v>
      </c>
      <c r="G823" t="s">
        <v>191</v>
      </c>
      <c r="H823" t="s">
        <v>192</v>
      </c>
      <c r="I823">
        <v>11</v>
      </c>
      <c r="J823">
        <v>133.36000000000001</v>
      </c>
      <c r="K823">
        <v>0</v>
      </c>
      <c r="L823" t="s">
        <v>210</v>
      </c>
      <c r="M823">
        <v>0</v>
      </c>
    </row>
    <row r="824" spans="1:13" x14ac:dyDescent="0.3">
      <c r="A824" t="s">
        <v>1033</v>
      </c>
      <c r="B824">
        <v>50</v>
      </c>
      <c r="C824" s="1">
        <v>45374</v>
      </c>
      <c r="D824">
        <v>2024</v>
      </c>
      <c r="E824" t="s">
        <v>198</v>
      </c>
      <c r="F824" t="s">
        <v>199</v>
      </c>
      <c r="G824" t="s">
        <v>191</v>
      </c>
      <c r="H824" t="s">
        <v>204</v>
      </c>
      <c r="I824">
        <v>5</v>
      </c>
      <c r="J824">
        <v>4891.08</v>
      </c>
      <c r="K824">
        <v>1</v>
      </c>
      <c r="L824" t="s">
        <v>196</v>
      </c>
      <c r="M824">
        <v>1</v>
      </c>
    </row>
    <row r="825" spans="1:13" x14ac:dyDescent="0.3">
      <c r="A825" t="s">
        <v>1034</v>
      </c>
      <c r="B825">
        <v>50</v>
      </c>
      <c r="C825" s="1">
        <v>45489</v>
      </c>
      <c r="D825">
        <v>2024</v>
      </c>
      <c r="E825" t="s">
        <v>198</v>
      </c>
      <c r="F825" t="s">
        <v>13</v>
      </c>
      <c r="G825" t="s">
        <v>203</v>
      </c>
      <c r="H825" t="s">
        <v>204</v>
      </c>
      <c r="I825">
        <v>3</v>
      </c>
      <c r="J825">
        <v>1650.07</v>
      </c>
      <c r="K825">
        <v>1</v>
      </c>
      <c r="L825" t="s">
        <v>210</v>
      </c>
      <c r="M825">
        <v>1</v>
      </c>
    </row>
    <row r="826" spans="1:13" x14ac:dyDescent="0.3">
      <c r="A826" t="s">
        <v>1035</v>
      </c>
      <c r="B826">
        <v>50</v>
      </c>
      <c r="C826" s="1">
        <v>45643</v>
      </c>
      <c r="D826">
        <v>2024</v>
      </c>
      <c r="E826" t="s">
        <v>198</v>
      </c>
      <c r="F826" t="s">
        <v>199</v>
      </c>
      <c r="G826" t="s">
        <v>191</v>
      </c>
      <c r="H826" t="s">
        <v>192</v>
      </c>
      <c r="I826">
        <v>10</v>
      </c>
      <c r="J826">
        <v>7947.14</v>
      </c>
      <c r="K826">
        <v>1</v>
      </c>
      <c r="L826" t="s">
        <v>193</v>
      </c>
      <c r="M826">
        <v>1</v>
      </c>
    </row>
    <row r="827" spans="1:13" x14ac:dyDescent="0.3">
      <c r="A827" t="s">
        <v>1036</v>
      </c>
      <c r="B827">
        <v>50</v>
      </c>
      <c r="C827" s="1">
        <v>45618</v>
      </c>
      <c r="D827">
        <v>2024</v>
      </c>
      <c r="E827" t="s">
        <v>214</v>
      </c>
      <c r="F827" t="s">
        <v>13</v>
      </c>
      <c r="G827" t="s">
        <v>200</v>
      </c>
      <c r="H827" t="s">
        <v>192</v>
      </c>
      <c r="I827">
        <v>6</v>
      </c>
      <c r="J827">
        <v>3665.28</v>
      </c>
      <c r="K827">
        <v>0</v>
      </c>
      <c r="L827" t="s">
        <v>201</v>
      </c>
      <c r="M827">
        <v>0</v>
      </c>
    </row>
    <row r="828" spans="1:13" x14ac:dyDescent="0.3">
      <c r="A828" t="s">
        <v>1037</v>
      </c>
      <c r="B828">
        <v>50</v>
      </c>
      <c r="C828" s="1">
        <v>45846</v>
      </c>
      <c r="D828">
        <v>2025</v>
      </c>
      <c r="E828" t="s">
        <v>198</v>
      </c>
      <c r="F828" t="s">
        <v>12</v>
      </c>
      <c r="G828" t="s">
        <v>191</v>
      </c>
      <c r="H828" t="s">
        <v>195</v>
      </c>
      <c r="I828">
        <v>2</v>
      </c>
      <c r="J828">
        <v>1318.85</v>
      </c>
      <c r="K828">
        <v>1</v>
      </c>
      <c r="L828" t="s">
        <v>215</v>
      </c>
      <c r="M828">
        <v>0</v>
      </c>
    </row>
    <row r="829" spans="1:13" x14ac:dyDescent="0.3">
      <c r="A829" t="s">
        <v>1038</v>
      </c>
      <c r="B829">
        <v>51</v>
      </c>
      <c r="C829" s="1">
        <v>44320</v>
      </c>
      <c r="D829">
        <v>2021</v>
      </c>
      <c r="E829" t="s">
        <v>198</v>
      </c>
      <c r="F829" t="s">
        <v>209</v>
      </c>
      <c r="G829" t="s">
        <v>212</v>
      </c>
      <c r="H829" t="s">
        <v>195</v>
      </c>
      <c r="I829">
        <v>7</v>
      </c>
      <c r="J829">
        <v>182.93</v>
      </c>
      <c r="K829">
        <v>1</v>
      </c>
      <c r="L829" t="s">
        <v>193</v>
      </c>
      <c r="M829">
        <v>1</v>
      </c>
    </row>
    <row r="830" spans="1:13" x14ac:dyDescent="0.3">
      <c r="A830" t="s">
        <v>1039</v>
      </c>
      <c r="B830">
        <v>51</v>
      </c>
      <c r="C830" s="1">
        <v>44256</v>
      </c>
      <c r="D830">
        <v>2021</v>
      </c>
      <c r="E830" t="s">
        <v>287</v>
      </c>
      <c r="F830" t="s">
        <v>209</v>
      </c>
      <c r="G830" t="s">
        <v>212</v>
      </c>
      <c r="H830" t="s">
        <v>204</v>
      </c>
      <c r="I830">
        <v>4</v>
      </c>
      <c r="J830">
        <v>396.66</v>
      </c>
      <c r="K830">
        <v>0</v>
      </c>
      <c r="L830" t="s">
        <v>215</v>
      </c>
      <c r="M830">
        <v>1</v>
      </c>
    </row>
    <row r="831" spans="1:13" x14ac:dyDescent="0.3">
      <c r="A831" t="s">
        <v>1040</v>
      </c>
      <c r="B831">
        <v>51</v>
      </c>
      <c r="C831" s="1">
        <v>44670</v>
      </c>
      <c r="D831">
        <v>2022</v>
      </c>
      <c r="E831" t="s">
        <v>219</v>
      </c>
      <c r="F831" t="s">
        <v>12</v>
      </c>
      <c r="G831" t="s">
        <v>212</v>
      </c>
      <c r="H831" t="s">
        <v>206</v>
      </c>
      <c r="I831">
        <v>14</v>
      </c>
      <c r="J831">
        <v>648.03</v>
      </c>
      <c r="K831">
        <v>1</v>
      </c>
      <c r="L831" t="s">
        <v>215</v>
      </c>
      <c r="M831">
        <v>1</v>
      </c>
    </row>
    <row r="832" spans="1:13" x14ac:dyDescent="0.3">
      <c r="A832" t="s">
        <v>1041</v>
      </c>
      <c r="B832">
        <v>51</v>
      </c>
      <c r="C832" s="1">
        <v>44887</v>
      </c>
      <c r="D832">
        <v>2022</v>
      </c>
      <c r="E832" t="s">
        <v>198</v>
      </c>
      <c r="F832" t="s">
        <v>209</v>
      </c>
      <c r="G832" t="s">
        <v>212</v>
      </c>
      <c r="H832" t="s">
        <v>204</v>
      </c>
      <c r="I832">
        <v>6</v>
      </c>
      <c r="J832">
        <v>459.86</v>
      </c>
      <c r="K832">
        <v>1</v>
      </c>
      <c r="L832" t="s">
        <v>215</v>
      </c>
      <c r="M832">
        <v>1</v>
      </c>
    </row>
    <row r="833" spans="1:13" x14ac:dyDescent="0.3">
      <c r="A833" t="s">
        <v>1042</v>
      </c>
      <c r="B833">
        <v>51</v>
      </c>
      <c r="C833" s="1">
        <v>44682</v>
      </c>
      <c r="D833">
        <v>2022</v>
      </c>
      <c r="E833" t="s">
        <v>190</v>
      </c>
      <c r="F833" t="s">
        <v>13</v>
      </c>
      <c r="G833" t="s">
        <v>191</v>
      </c>
      <c r="H833" t="s">
        <v>206</v>
      </c>
      <c r="I833">
        <v>14</v>
      </c>
      <c r="J833">
        <v>2352.58</v>
      </c>
      <c r="K833">
        <v>0</v>
      </c>
      <c r="L833" t="s">
        <v>193</v>
      </c>
      <c r="M833">
        <v>0</v>
      </c>
    </row>
    <row r="834" spans="1:13" x14ac:dyDescent="0.3">
      <c r="A834" t="s">
        <v>1043</v>
      </c>
      <c r="B834">
        <v>51</v>
      </c>
      <c r="C834" s="1">
        <v>44587</v>
      </c>
      <c r="D834">
        <v>2022</v>
      </c>
      <c r="E834" t="s">
        <v>198</v>
      </c>
      <c r="F834" t="s">
        <v>13</v>
      </c>
      <c r="G834" t="s">
        <v>212</v>
      </c>
      <c r="H834" t="s">
        <v>206</v>
      </c>
      <c r="I834">
        <v>3</v>
      </c>
      <c r="J834">
        <v>3600.63</v>
      </c>
      <c r="K834">
        <v>1</v>
      </c>
      <c r="L834" t="s">
        <v>215</v>
      </c>
      <c r="M834">
        <v>1</v>
      </c>
    </row>
    <row r="835" spans="1:13" x14ac:dyDescent="0.3">
      <c r="A835" t="s">
        <v>1044</v>
      </c>
      <c r="B835">
        <v>51</v>
      </c>
      <c r="C835" s="1">
        <v>44868</v>
      </c>
      <c r="D835">
        <v>2022</v>
      </c>
      <c r="E835" t="s">
        <v>198</v>
      </c>
      <c r="F835" t="s">
        <v>13</v>
      </c>
      <c r="G835" t="s">
        <v>191</v>
      </c>
      <c r="H835" t="s">
        <v>195</v>
      </c>
      <c r="I835">
        <v>10</v>
      </c>
      <c r="J835">
        <v>3839.9</v>
      </c>
      <c r="K835">
        <v>1</v>
      </c>
      <c r="L835" t="s">
        <v>193</v>
      </c>
      <c r="M835">
        <v>0</v>
      </c>
    </row>
    <row r="836" spans="1:13" x14ac:dyDescent="0.3">
      <c r="A836" t="s">
        <v>1045</v>
      </c>
      <c r="B836">
        <v>51</v>
      </c>
      <c r="C836" s="1">
        <v>44744</v>
      </c>
      <c r="D836">
        <v>2022</v>
      </c>
      <c r="E836" t="s">
        <v>219</v>
      </c>
      <c r="F836" t="s">
        <v>199</v>
      </c>
      <c r="G836" t="s">
        <v>203</v>
      </c>
      <c r="H836" t="s">
        <v>195</v>
      </c>
      <c r="I836">
        <v>8</v>
      </c>
      <c r="J836">
        <v>7917.99</v>
      </c>
      <c r="K836">
        <v>1</v>
      </c>
      <c r="L836" t="s">
        <v>196</v>
      </c>
      <c r="M836">
        <v>0</v>
      </c>
    </row>
    <row r="837" spans="1:13" x14ac:dyDescent="0.3">
      <c r="A837" t="s">
        <v>1046</v>
      </c>
      <c r="B837">
        <v>51</v>
      </c>
      <c r="C837" s="1">
        <v>45149</v>
      </c>
      <c r="D837">
        <v>2023</v>
      </c>
      <c r="E837" t="s">
        <v>219</v>
      </c>
      <c r="F837" t="s">
        <v>199</v>
      </c>
      <c r="G837" t="s">
        <v>203</v>
      </c>
      <c r="H837" t="s">
        <v>206</v>
      </c>
      <c r="I837">
        <v>12</v>
      </c>
      <c r="J837">
        <v>5495.83</v>
      </c>
      <c r="K837">
        <v>0</v>
      </c>
      <c r="L837" t="s">
        <v>193</v>
      </c>
      <c r="M837">
        <v>1</v>
      </c>
    </row>
    <row r="838" spans="1:13" x14ac:dyDescent="0.3">
      <c r="A838" t="s">
        <v>1047</v>
      </c>
      <c r="B838">
        <v>51</v>
      </c>
      <c r="C838" s="1">
        <v>45386</v>
      </c>
      <c r="D838">
        <v>2024</v>
      </c>
      <c r="E838" t="s">
        <v>190</v>
      </c>
      <c r="F838" t="s">
        <v>199</v>
      </c>
      <c r="G838" t="s">
        <v>200</v>
      </c>
      <c r="H838" t="s">
        <v>195</v>
      </c>
      <c r="I838">
        <v>2</v>
      </c>
      <c r="J838">
        <v>2751.24</v>
      </c>
      <c r="K838">
        <v>1</v>
      </c>
      <c r="L838" t="s">
        <v>201</v>
      </c>
      <c r="M838">
        <v>1</v>
      </c>
    </row>
    <row r="839" spans="1:13" x14ac:dyDescent="0.3">
      <c r="A839" t="s">
        <v>1048</v>
      </c>
      <c r="B839">
        <v>51</v>
      </c>
      <c r="C839" s="1">
        <v>45459</v>
      </c>
      <c r="D839">
        <v>2024</v>
      </c>
      <c r="E839" t="s">
        <v>214</v>
      </c>
      <c r="F839" t="s">
        <v>12</v>
      </c>
      <c r="G839" t="s">
        <v>212</v>
      </c>
      <c r="H839" t="s">
        <v>195</v>
      </c>
      <c r="I839">
        <v>3</v>
      </c>
      <c r="J839">
        <v>258.61</v>
      </c>
      <c r="K839">
        <v>0</v>
      </c>
      <c r="L839" t="s">
        <v>215</v>
      </c>
      <c r="M839">
        <v>1</v>
      </c>
    </row>
    <row r="840" spans="1:13" x14ac:dyDescent="0.3">
      <c r="A840" t="s">
        <v>1049</v>
      </c>
      <c r="B840">
        <v>51</v>
      </c>
      <c r="C840" s="1">
        <v>45550</v>
      </c>
      <c r="D840">
        <v>2024</v>
      </c>
      <c r="E840" t="s">
        <v>225</v>
      </c>
      <c r="F840" t="s">
        <v>13</v>
      </c>
      <c r="G840" t="s">
        <v>203</v>
      </c>
      <c r="H840" t="s">
        <v>192</v>
      </c>
      <c r="I840">
        <v>16</v>
      </c>
      <c r="J840">
        <v>2779.26</v>
      </c>
      <c r="K840">
        <v>0</v>
      </c>
      <c r="L840" t="s">
        <v>193</v>
      </c>
      <c r="M840">
        <v>0</v>
      </c>
    </row>
    <row r="841" spans="1:13" x14ac:dyDescent="0.3">
      <c r="A841" t="s">
        <v>1050</v>
      </c>
      <c r="B841">
        <v>51</v>
      </c>
      <c r="C841" s="1">
        <v>45395</v>
      </c>
      <c r="D841">
        <v>2024</v>
      </c>
      <c r="E841" t="s">
        <v>225</v>
      </c>
      <c r="F841" t="s">
        <v>199</v>
      </c>
      <c r="G841" t="s">
        <v>203</v>
      </c>
      <c r="H841" t="s">
        <v>195</v>
      </c>
      <c r="I841">
        <v>5</v>
      </c>
      <c r="J841">
        <v>3843.45</v>
      </c>
      <c r="K841">
        <v>1</v>
      </c>
      <c r="L841" t="s">
        <v>201</v>
      </c>
      <c r="M841">
        <v>0</v>
      </c>
    </row>
    <row r="842" spans="1:13" x14ac:dyDescent="0.3">
      <c r="A842" t="s">
        <v>1051</v>
      </c>
      <c r="B842">
        <v>51</v>
      </c>
      <c r="C842" s="1">
        <v>45589</v>
      </c>
      <c r="D842">
        <v>2024</v>
      </c>
      <c r="E842" t="s">
        <v>214</v>
      </c>
      <c r="F842" t="s">
        <v>13</v>
      </c>
      <c r="G842" t="s">
        <v>200</v>
      </c>
      <c r="H842" t="s">
        <v>195</v>
      </c>
      <c r="I842">
        <v>13</v>
      </c>
      <c r="J842">
        <v>2950.22</v>
      </c>
      <c r="K842">
        <v>1</v>
      </c>
      <c r="L842" t="s">
        <v>193</v>
      </c>
      <c r="M842">
        <v>0</v>
      </c>
    </row>
    <row r="843" spans="1:13" x14ac:dyDescent="0.3">
      <c r="A843" t="s">
        <v>1052</v>
      </c>
      <c r="B843">
        <v>51</v>
      </c>
      <c r="C843" s="1">
        <v>45680</v>
      </c>
      <c r="D843">
        <v>2025</v>
      </c>
      <c r="E843" t="s">
        <v>219</v>
      </c>
      <c r="F843" t="s">
        <v>209</v>
      </c>
      <c r="G843" t="s">
        <v>203</v>
      </c>
      <c r="H843" t="s">
        <v>204</v>
      </c>
      <c r="I843">
        <v>9</v>
      </c>
      <c r="J843">
        <v>277.60000000000002</v>
      </c>
      <c r="K843">
        <v>0</v>
      </c>
      <c r="L843" t="s">
        <v>201</v>
      </c>
      <c r="M843">
        <v>0</v>
      </c>
    </row>
    <row r="844" spans="1:13" x14ac:dyDescent="0.3">
      <c r="A844" t="s">
        <v>1053</v>
      </c>
      <c r="B844">
        <v>51</v>
      </c>
      <c r="C844" s="1">
        <v>45716</v>
      </c>
      <c r="D844">
        <v>2025</v>
      </c>
      <c r="E844" t="s">
        <v>214</v>
      </c>
      <c r="F844" t="s">
        <v>13</v>
      </c>
      <c r="G844" t="s">
        <v>191</v>
      </c>
      <c r="H844" t="s">
        <v>195</v>
      </c>
      <c r="I844">
        <v>6</v>
      </c>
      <c r="J844">
        <v>2835.17</v>
      </c>
      <c r="K844">
        <v>0</v>
      </c>
      <c r="L844" t="s">
        <v>196</v>
      </c>
      <c r="M844">
        <v>0</v>
      </c>
    </row>
    <row r="845" spans="1:13" x14ac:dyDescent="0.3">
      <c r="A845" t="s">
        <v>1054</v>
      </c>
      <c r="B845">
        <v>51</v>
      </c>
      <c r="C845" s="1">
        <v>45757</v>
      </c>
      <c r="D845">
        <v>2025</v>
      </c>
      <c r="E845" t="s">
        <v>190</v>
      </c>
      <c r="F845" t="s">
        <v>199</v>
      </c>
      <c r="G845" t="s">
        <v>203</v>
      </c>
      <c r="H845" t="s">
        <v>204</v>
      </c>
      <c r="I845">
        <v>15</v>
      </c>
      <c r="J845">
        <v>6399.7</v>
      </c>
      <c r="K845">
        <v>0</v>
      </c>
      <c r="L845" t="s">
        <v>193</v>
      </c>
      <c r="M845">
        <v>0</v>
      </c>
    </row>
    <row r="846" spans="1:13" x14ac:dyDescent="0.3">
      <c r="A846" t="s">
        <v>1055</v>
      </c>
      <c r="B846">
        <v>51</v>
      </c>
      <c r="C846" s="1">
        <v>45701</v>
      </c>
      <c r="D846">
        <v>2025</v>
      </c>
      <c r="E846" t="s">
        <v>219</v>
      </c>
      <c r="F846" t="s">
        <v>12</v>
      </c>
      <c r="G846" t="s">
        <v>212</v>
      </c>
      <c r="H846" t="s">
        <v>206</v>
      </c>
      <c r="I846">
        <v>6</v>
      </c>
      <c r="J846">
        <v>573.1</v>
      </c>
      <c r="K846">
        <v>0</v>
      </c>
      <c r="L846" t="s">
        <v>210</v>
      </c>
      <c r="M846">
        <v>1</v>
      </c>
    </row>
    <row r="847" spans="1:13" x14ac:dyDescent="0.3">
      <c r="A847" t="s">
        <v>1056</v>
      </c>
      <c r="B847">
        <v>52</v>
      </c>
      <c r="C847" s="1">
        <v>44330</v>
      </c>
      <c r="D847">
        <v>2021</v>
      </c>
      <c r="E847" t="s">
        <v>214</v>
      </c>
      <c r="F847" t="s">
        <v>12</v>
      </c>
      <c r="G847" t="s">
        <v>212</v>
      </c>
      <c r="H847" t="s">
        <v>195</v>
      </c>
      <c r="I847">
        <v>2</v>
      </c>
      <c r="J847">
        <v>951.7</v>
      </c>
      <c r="K847">
        <v>0</v>
      </c>
      <c r="L847" t="s">
        <v>196</v>
      </c>
      <c r="M847">
        <v>1</v>
      </c>
    </row>
    <row r="848" spans="1:13" x14ac:dyDescent="0.3">
      <c r="A848" t="s">
        <v>1057</v>
      </c>
      <c r="B848">
        <v>52</v>
      </c>
      <c r="C848" s="1">
        <v>44364</v>
      </c>
      <c r="D848">
        <v>2021</v>
      </c>
      <c r="E848" t="s">
        <v>214</v>
      </c>
      <c r="F848" t="s">
        <v>12</v>
      </c>
      <c r="G848" t="s">
        <v>212</v>
      </c>
      <c r="H848" t="s">
        <v>204</v>
      </c>
      <c r="I848">
        <v>7</v>
      </c>
      <c r="J848">
        <v>1485.41</v>
      </c>
      <c r="K848">
        <v>0</v>
      </c>
      <c r="L848" t="s">
        <v>210</v>
      </c>
      <c r="M848">
        <v>1</v>
      </c>
    </row>
    <row r="849" spans="1:13" x14ac:dyDescent="0.3">
      <c r="A849" t="s">
        <v>1058</v>
      </c>
      <c r="B849">
        <v>52</v>
      </c>
      <c r="C849" s="1">
        <v>44458</v>
      </c>
      <c r="D849">
        <v>2021</v>
      </c>
      <c r="E849" t="s">
        <v>190</v>
      </c>
      <c r="F849" t="s">
        <v>209</v>
      </c>
      <c r="G849" t="s">
        <v>212</v>
      </c>
      <c r="H849" t="s">
        <v>192</v>
      </c>
      <c r="I849">
        <v>8</v>
      </c>
      <c r="J849">
        <v>4.79</v>
      </c>
      <c r="K849">
        <v>0</v>
      </c>
      <c r="L849" t="s">
        <v>215</v>
      </c>
      <c r="M849">
        <v>1</v>
      </c>
    </row>
    <row r="850" spans="1:13" x14ac:dyDescent="0.3">
      <c r="A850" t="s">
        <v>1059</v>
      </c>
      <c r="B850">
        <v>52</v>
      </c>
      <c r="C850" s="1">
        <v>44584</v>
      </c>
      <c r="D850">
        <v>2022</v>
      </c>
      <c r="E850" t="s">
        <v>214</v>
      </c>
      <c r="F850" t="s">
        <v>13</v>
      </c>
      <c r="G850" t="s">
        <v>191</v>
      </c>
      <c r="H850" t="s">
        <v>192</v>
      </c>
      <c r="I850">
        <v>6</v>
      </c>
      <c r="J850">
        <v>1904.08</v>
      </c>
      <c r="K850">
        <v>0</v>
      </c>
      <c r="L850" t="s">
        <v>193</v>
      </c>
      <c r="M850">
        <v>0</v>
      </c>
    </row>
    <row r="851" spans="1:13" x14ac:dyDescent="0.3">
      <c r="A851" t="s">
        <v>1060</v>
      </c>
      <c r="B851">
        <v>52</v>
      </c>
      <c r="C851" s="1">
        <v>45088</v>
      </c>
      <c r="D851">
        <v>2023</v>
      </c>
      <c r="E851" t="s">
        <v>219</v>
      </c>
      <c r="F851" t="s">
        <v>199</v>
      </c>
      <c r="G851" t="s">
        <v>203</v>
      </c>
      <c r="H851" t="s">
        <v>195</v>
      </c>
      <c r="I851">
        <v>6</v>
      </c>
      <c r="J851">
        <v>4029.76</v>
      </c>
      <c r="K851">
        <v>1</v>
      </c>
      <c r="L851" t="s">
        <v>201</v>
      </c>
      <c r="M851">
        <v>1</v>
      </c>
    </row>
    <row r="852" spans="1:13" x14ac:dyDescent="0.3">
      <c r="A852" t="s">
        <v>1061</v>
      </c>
      <c r="B852">
        <v>52</v>
      </c>
      <c r="C852" s="1">
        <v>45009</v>
      </c>
      <c r="D852">
        <v>2023</v>
      </c>
      <c r="E852" t="s">
        <v>219</v>
      </c>
      <c r="F852" t="s">
        <v>199</v>
      </c>
      <c r="G852" t="s">
        <v>191</v>
      </c>
      <c r="H852" t="s">
        <v>195</v>
      </c>
      <c r="I852">
        <v>14</v>
      </c>
      <c r="J852">
        <v>3249.98</v>
      </c>
      <c r="K852">
        <v>1</v>
      </c>
      <c r="L852" t="s">
        <v>193</v>
      </c>
      <c r="M852">
        <v>0</v>
      </c>
    </row>
    <row r="853" spans="1:13" x14ac:dyDescent="0.3">
      <c r="A853" t="s">
        <v>1062</v>
      </c>
      <c r="B853">
        <v>52</v>
      </c>
      <c r="C853" s="1">
        <v>45135</v>
      </c>
      <c r="D853">
        <v>2023</v>
      </c>
      <c r="E853" t="s">
        <v>190</v>
      </c>
      <c r="F853" t="s">
        <v>199</v>
      </c>
      <c r="G853" t="s">
        <v>191</v>
      </c>
      <c r="H853" t="s">
        <v>192</v>
      </c>
      <c r="I853">
        <v>17</v>
      </c>
      <c r="J853">
        <v>4866.34</v>
      </c>
      <c r="K853">
        <v>1</v>
      </c>
      <c r="L853" t="s">
        <v>196</v>
      </c>
      <c r="M853">
        <v>0</v>
      </c>
    </row>
    <row r="854" spans="1:13" x14ac:dyDescent="0.3">
      <c r="A854" t="s">
        <v>1063</v>
      </c>
      <c r="B854">
        <v>52</v>
      </c>
      <c r="C854" s="1">
        <v>44966</v>
      </c>
      <c r="D854">
        <v>2023</v>
      </c>
      <c r="E854" t="s">
        <v>219</v>
      </c>
      <c r="F854" t="s">
        <v>12</v>
      </c>
      <c r="G854" t="s">
        <v>212</v>
      </c>
      <c r="H854" t="s">
        <v>192</v>
      </c>
      <c r="I854">
        <v>11</v>
      </c>
      <c r="J854">
        <v>340.6</v>
      </c>
      <c r="K854">
        <v>0</v>
      </c>
      <c r="L854" t="s">
        <v>215</v>
      </c>
      <c r="M854">
        <v>1</v>
      </c>
    </row>
    <row r="855" spans="1:13" x14ac:dyDescent="0.3">
      <c r="A855" t="s">
        <v>1064</v>
      </c>
      <c r="B855">
        <v>52</v>
      </c>
      <c r="C855" s="1">
        <v>44933</v>
      </c>
      <c r="D855">
        <v>2023</v>
      </c>
      <c r="E855" t="s">
        <v>214</v>
      </c>
      <c r="F855" t="s">
        <v>199</v>
      </c>
      <c r="G855" t="s">
        <v>191</v>
      </c>
      <c r="H855" t="s">
        <v>195</v>
      </c>
      <c r="I855">
        <v>9</v>
      </c>
      <c r="J855">
        <v>7218.86</v>
      </c>
      <c r="K855">
        <v>1</v>
      </c>
      <c r="L855" t="s">
        <v>201</v>
      </c>
      <c r="M855">
        <v>0</v>
      </c>
    </row>
    <row r="856" spans="1:13" x14ac:dyDescent="0.3">
      <c r="A856" t="s">
        <v>1065</v>
      </c>
      <c r="B856">
        <v>52</v>
      </c>
      <c r="C856" s="1">
        <v>45114</v>
      </c>
      <c r="D856">
        <v>2023</v>
      </c>
      <c r="E856" t="s">
        <v>227</v>
      </c>
      <c r="F856" t="s">
        <v>12</v>
      </c>
      <c r="G856" t="s">
        <v>212</v>
      </c>
      <c r="H856" t="s">
        <v>192</v>
      </c>
      <c r="I856">
        <v>8</v>
      </c>
      <c r="J856">
        <v>1116.43</v>
      </c>
      <c r="K856">
        <v>0</v>
      </c>
      <c r="L856" t="s">
        <v>201</v>
      </c>
      <c r="M856">
        <v>1</v>
      </c>
    </row>
    <row r="857" spans="1:13" x14ac:dyDescent="0.3">
      <c r="A857" t="s">
        <v>1066</v>
      </c>
      <c r="B857">
        <v>52</v>
      </c>
      <c r="C857" s="1">
        <v>45309</v>
      </c>
      <c r="D857">
        <v>2024</v>
      </c>
      <c r="E857" t="s">
        <v>287</v>
      </c>
      <c r="F857" t="s">
        <v>13</v>
      </c>
      <c r="G857" t="s">
        <v>191</v>
      </c>
      <c r="H857" t="s">
        <v>204</v>
      </c>
      <c r="I857">
        <v>20</v>
      </c>
      <c r="J857">
        <v>1841.74</v>
      </c>
      <c r="K857">
        <v>0</v>
      </c>
      <c r="L857" t="s">
        <v>193</v>
      </c>
      <c r="M857">
        <v>0</v>
      </c>
    </row>
    <row r="858" spans="1:13" x14ac:dyDescent="0.3">
      <c r="A858" t="s">
        <v>1067</v>
      </c>
      <c r="B858">
        <v>52</v>
      </c>
      <c r="C858" s="1">
        <v>45599</v>
      </c>
      <c r="D858">
        <v>2024</v>
      </c>
      <c r="E858" t="s">
        <v>287</v>
      </c>
      <c r="F858" t="s">
        <v>13</v>
      </c>
      <c r="G858" t="s">
        <v>191</v>
      </c>
      <c r="H858" t="s">
        <v>195</v>
      </c>
      <c r="I858">
        <v>5</v>
      </c>
      <c r="J858">
        <v>3524.42</v>
      </c>
      <c r="K858">
        <v>1</v>
      </c>
      <c r="L858" t="s">
        <v>201</v>
      </c>
      <c r="M858">
        <v>1</v>
      </c>
    </row>
    <row r="859" spans="1:13" x14ac:dyDescent="0.3">
      <c r="A859" t="s">
        <v>1068</v>
      </c>
      <c r="B859">
        <v>52</v>
      </c>
      <c r="C859" s="1">
        <v>45445</v>
      </c>
      <c r="D859">
        <v>2024</v>
      </c>
      <c r="E859" t="s">
        <v>198</v>
      </c>
      <c r="F859" t="s">
        <v>199</v>
      </c>
      <c r="G859" t="s">
        <v>212</v>
      </c>
      <c r="H859" t="s">
        <v>195</v>
      </c>
      <c r="I859">
        <v>16</v>
      </c>
      <c r="J859">
        <v>4649.6400000000003</v>
      </c>
      <c r="K859">
        <v>1</v>
      </c>
      <c r="L859" t="s">
        <v>193</v>
      </c>
      <c r="M859">
        <v>1</v>
      </c>
    </row>
    <row r="860" spans="1:13" x14ac:dyDescent="0.3">
      <c r="A860" t="s">
        <v>1069</v>
      </c>
      <c r="B860">
        <v>52</v>
      </c>
      <c r="C860" s="1">
        <v>45654</v>
      </c>
      <c r="D860">
        <v>2024</v>
      </c>
      <c r="E860" t="s">
        <v>190</v>
      </c>
      <c r="F860" t="s">
        <v>12</v>
      </c>
      <c r="G860" t="s">
        <v>212</v>
      </c>
      <c r="H860" t="s">
        <v>195</v>
      </c>
      <c r="I860">
        <v>9</v>
      </c>
      <c r="J860">
        <v>420.37</v>
      </c>
      <c r="K860">
        <v>1</v>
      </c>
      <c r="L860" t="s">
        <v>215</v>
      </c>
      <c r="M860">
        <v>1</v>
      </c>
    </row>
    <row r="861" spans="1:13" x14ac:dyDescent="0.3">
      <c r="A861" t="s">
        <v>1070</v>
      </c>
      <c r="B861">
        <v>52</v>
      </c>
      <c r="C861" s="1">
        <v>45754</v>
      </c>
      <c r="D861">
        <v>2025</v>
      </c>
      <c r="E861" t="s">
        <v>198</v>
      </c>
      <c r="F861" t="s">
        <v>199</v>
      </c>
      <c r="G861" t="s">
        <v>203</v>
      </c>
      <c r="H861" t="s">
        <v>195</v>
      </c>
      <c r="I861">
        <v>17</v>
      </c>
      <c r="J861">
        <v>6537.35</v>
      </c>
      <c r="K861">
        <v>1</v>
      </c>
      <c r="L861" t="s">
        <v>193</v>
      </c>
      <c r="M861">
        <v>1</v>
      </c>
    </row>
    <row r="862" spans="1:13" x14ac:dyDescent="0.3">
      <c r="A862" t="s">
        <v>1071</v>
      </c>
      <c r="B862">
        <v>52</v>
      </c>
      <c r="C862" s="1">
        <v>45835</v>
      </c>
      <c r="D862">
        <v>2025</v>
      </c>
      <c r="E862" t="s">
        <v>227</v>
      </c>
      <c r="F862" t="s">
        <v>199</v>
      </c>
      <c r="G862" t="s">
        <v>200</v>
      </c>
      <c r="H862" t="s">
        <v>204</v>
      </c>
      <c r="I862">
        <v>7</v>
      </c>
      <c r="J862">
        <v>5854.79</v>
      </c>
      <c r="K862">
        <v>0</v>
      </c>
      <c r="L862" t="s">
        <v>193</v>
      </c>
      <c r="M862">
        <v>1</v>
      </c>
    </row>
    <row r="863" spans="1:13" x14ac:dyDescent="0.3">
      <c r="A863" t="s">
        <v>1072</v>
      </c>
      <c r="B863">
        <v>52</v>
      </c>
      <c r="C863" s="1">
        <v>45663</v>
      </c>
      <c r="D863">
        <v>2025</v>
      </c>
      <c r="E863" t="s">
        <v>214</v>
      </c>
      <c r="F863" t="s">
        <v>12</v>
      </c>
      <c r="G863" t="s">
        <v>200</v>
      </c>
      <c r="H863" t="s">
        <v>195</v>
      </c>
      <c r="I863">
        <v>11</v>
      </c>
      <c r="J863">
        <v>466.3</v>
      </c>
      <c r="K863">
        <v>0</v>
      </c>
      <c r="L863" t="s">
        <v>210</v>
      </c>
      <c r="M863">
        <v>1</v>
      </c>
    </row>
    <row r="864" spans="1:13" x14ac:dyDescent="0.3">
      <c r="A864" t="s">
        <v>1073</v>
      </c>
      <c r="B864">
        <v>53</v>
      </c>
      <c r="C864" s="1">
        <v>44263</v>
      </c>
      <c r="D864">
        <v>2021</v>
      </c>
      <c r="E864" t="s">
        <v>198</v>
      </c>
      <c r="F864" t="s">
        <v>12</v>
      </c>
      <c r="G864" t="s">
        <v>212</v>
      </c>
      <c r="H864" t="s">
        <v>206</v>
      </c>
      <c r="I864">
        <v>17</v>
      </c>
      <c r="J864">
        <v>925.23</v>
      </c>
      <c r="K864">
        <v>1</v>
      </c>
      <c r="L864" t="s">
        <v>215</v>
      </c>
      <c r="M864">
        <v>1</v>
      </c>
    </row>
    <row r="865" spans="1:13" x14ac:dyDescent="0.3">
      <c r="A865" t="s">
        <v>1074</v>
      </c>
      <c r="B865">
        <v>53</v>
      </c>
      <c r="C865" s="1">
        <v>44495</v>
      </c>
      <c r="D865">
        <v>2021</v>
      </c>
      <c r="E865" t="s">
        <v>287</v>
      </c>
      <c r="F865" t="s">
        <v>13</v>
      </c>
      <c r="G865" t="s">
        <v>191</v>
      </c>
      <c r="H865" t="s">
        <v>195</v>
      </c>
      <c r="I865">
        <v>2</v>
      </c>
      <c r="J865">
        <v>2985.75</v>
      </c>
      <c r="K865">
        <v>1</v>
      </c>
      <c r="L865" t="s">
        <v>210</v>
      </c>
      <c r="M865">
        <v>0</v>
      </c>
    </row>
    <row r="866" spans="1:13" x14ac:dyDescent="0.3">
      <c r="A866" t="s">
        <v>1075</v>
      </c>
      <c r="B866">
        <v>53</v>
      </c>
      <c r="C866" s="1">
        <v>44435</v>
      </c>
      <c r="D866">
        <v>2021</v>
      </c>
      <c r="E866" t="s">
        <v>225</v>
      </c>
      <c r="F866" t="s">
        <v>199</v>
      </c>
      <c r="G866" t="s">
        <v>203</v>
      </c>
      <c r="H866" t="s">
        <v>192</v>
      </c>
      <c r="I866">
        <v>9</v>
      </c>
      <c r="J866">
        <v>7771.43</v>
      </c>
      <c r="K866">
        <v>0</v>
      </c>
      <c r="L866" t="s">
        <v>196</v>
      </c>
      <c r="M866">
        <v>0</v>
      </c>
    </row>
    <row r="867" spans="1:13" x14ac:dyDescent="0.3">
      <c r="A867" t="s">
        <v>1076</v>
      </c>
      <c r="B867">
        <v>53</v>
      </c>
      <c r="C867" s="1">
        <v>44419</v>
      </c>
      <c r="D867">
        <v>2021</v>
      </c>
      <c r="E867" t="s">
        <v>225</v>
      </c>
      <c r="F867" t="s">
        <v>13</v>
      </c>
      <c r="G867" t="s">
        <v>191</v>
      </c>
      <c r="H867" t="s">
        <v>195</v>
      </c>
      <c r="I867">
        <v>12</v>
      </c>
      <c r="J867">
        <v>1791.13</v>
      </c>
      <c r="K867">
        <v>0</v>
      </c>
      <c r="L867" t="s">
        <v>201</v>
      </c>
      <c r="M867">
        <v>0</v>
      </c>
    </row>
    <row r="868" spans="1:13" x14ac:dyDescent="0.3">
      <c r="A868" t="s">
        <v>1077</v>
      </c>
      <c r="B868">
        <v>53</v>
      </c>
      <c r="C868" s="1">
        <v>44413</v>
      </c>
      <c r="D868">
        <v>2021</v>
      </c>
      <c r="E868" t="s">
        <v>219</v>
      </c>
      <c r="F868" t="s">
        <v>12</v>
      </c>
      <c r="G868" t="s">
        <v>191</v>
      </c>
      <c r="H868" t="s">
        <v>195</v>
      </c>
      <c r="I868">
        <v>17</v>
      </c>
      <c r="J868">
        <v>645.82000000000005</v>
      </c>
      <c r="K868">
        <v>0</v>
      </c>
      <c r="L868" t="s">
        <v>215</v>
      </c>
      <c r="M868">
        <v>1</v>
      </c>
    </row>
    <row r="869" spans="1:13" x14ac:dyDescent="0.3">
      <c r="A869" t="s">
        <v>1078</v>
      </c>
      <c r="B869">
        <v>53</v>
      </c>
      <c r="C869" s="1">
        <v>44360</v>
      </c>
      <c r="D869">
        <v>2021</v>
      </c>
      <c r="E869" t="s">
        <v>219</v>
      </c>
      <c r="F869" t="s">
        <v>13</v>
      </c>
      <c r="G869" t="s">
        <v>191</v>
      </c>
      <c r="H869" t="s">
        <v>195</v>
      </c>
      <c r="I869">
        <v>4</v>
      </c>
      <c r="J869">
        <v>1742.22</v>
      </c>
      <c r="K869">
        <v>0</v>
      </c>
      <c r="L869" t="s">
        <v>201</v>
      </c>
      <c r="M869">
        <v>0</v>
      </c>
    </row>
    <row r="870" spans="1:13" x14ac:dyDescent="0.3">
      <c r="A870" t="s">
        <v>1079</v>
      </c>
      <c r="B870">
        <v>53</v>
      </c>
      <c r="C870" s="1">
        <v>44624</v>
      </c>
      <c r="D870">
        <v>2022</v>
      </c>
      <c r="E870" t="s">
        <v>198</v>
      </c>
      <c r="F870" t="s">
        <v>199</v>
      </c>
      <c r="G870" t="s">
        <v>191</v>
      </c>
      <c r="H870" t="s">
        <v>192</v>
      </c>
      <c r="I870">
        <v>10</v>
      </c>
      <c r="J870">
        <v>6332.89</v>
      </c>
      <c r="K870">
        <v>1</v>
      </c>
      <c r="L870" t="s">
        <v>201</v>
      </c>
      <c r="M870">
        <v>1</v>
      </c>
    </row>
    <row r="871" spans="1:13" x14ac:dyDescent="0.3">
      <c r="A871" t="s">
        <v>1080</v>
      </c>
      <c r="B871">
        <v>53</v>
      </c>
      <c r="C871" s="1">
        <v>44915</v>
      </c>
      <c r="D871">
        <v>2022</v>
      </c>
      <c r="E871" t="s">
        <v>198</v>
      </c>
      <c r="F871" t="s">
        <v>199</v>
      </c>
      <c r="G871" t="s">
        <v>191</v>
      </c>
      <c r="H871" t="s">
        <v>192</v>
      </c>
      <c r="I871">
        <v>9</v>
      </c>
      <c r="J871">
        <v>7202.82</v>
      </c>
      <c r="K871">
        <v>1</v>
      </c>
      <c r="L871" t="s">
        <v>201</v>
      </c>
      <c r="M871">
        <v>0</v>
      </c>
    </row>
    <row r="872" spans="1:13" x14ac:dyDescent="0.3">
      <c r="A872" t="s">
        <v>1081</v>
      </c>
      <c r="B872">
        <v>53</v>
      </c>
      <c r="C872" s="1">
        <v>44873</v>
      </c>
      <c r="D872">
        <v>2022</v>
      </c>
      <c r="E872" t="s">
        <v>225</v>
      </c>
      <c r="F872" t="s">
        <v>13</v>
      </c>
      <c r="G872" t="s">
        <v>203</v>
      </c>
      <c r="H872" t="s">
        <v>204</v>
      </c>
      <c r="I872">
        <v>15</v>
      </c>
      <c r="J872">
        <v>2794.53</v>
      </c>
      <c r="K872">
        <v>0</v>
      </c>
      <c r="L872" t="s">
        <v>201</v>
      </c>
      <c r="M872">
        <v>0</v>
      </c>
    </row>
    <row r="873" spans="1:13" x14ac:dyDescent="0.3">
      <c r="A873" t="s">
        <v>1082</v>
      </c>
      <c r="B873">
        <v>53</v>
      </c>
      <c r="C873" s="1">
        <v>44991</v>
      </c>
      <c r="D873">
        <v>2023</v>
      </c>
      <c r="E873" t="s">
        <v>198</v>
      </c>
      <c r="F873" t="s">
        <v>13</v>
      </c>
      <c r="G873" t="s">
        <v>203</v>
      </c>
      <c r="H873" t="s">
        <v>206</v>
      </c>
      <c r="I873">
        <v>4</v>
      </c>
      <c r="J873">
        <v>1660.94</v>
      </c>
      <c r="K873">
        <v>1</v>
      </c>
      <c r="L873" t="s">
        <v>201</v>
      </c>
      <c r="M873">
        <v>0</v>
      </c>
    </row>
    <row r="874" spans="1:13" x14ac:dyDescent="0.3">
      <c r="A874" t="s">
        <v>1083</v>
      </c>
      <c r="B874">
        <v>53</v>
      </c>
      <c r="C874" s="1">
        <v>45051</v>
      </c>
      <c r="D874">
        <v>2023</v>
      </c>
      <c r="E874" t="s">
        <v>198</v>
      </c>
      <c r="F874" t="s">
        <v>199</v>
      </c>
      <c r="G874" t="s">
        <v>191</v>
      </c>
      <c r="H874" t="s">
        <v>195</v>
      </c>
      <c r="I874">
        <v>16</v>
      </c>
      <c r="J874">
        <v>7334.89</v>
      </c>
      <c r="K874">
        <v>1</v>
      </c>
      <c r="L874" t="s">
        <v>193</v>
      </c>
      <c r="M874">
        <v>1</v>
      </c>
    </row>
    <row r="875" spans="1:13" x14ac:dyDescent="0.3">
      <c r="A875" t="s">
        <v>1084</v>
      </c>
      <c r="B875">
        <v>53</v>
      </c>
      <c r="C875" s="1">
        <v>45284</v>
      </c>
      <c r="D875">
        <v>2023</v>
      </c>
      <c r="E875" t="s">
        <v>198</v>
      </c>
      <c r="F875" t="s">
        <v>13</v>
      </c>
      <c r="G875" t="s">
        <v>200</v>
      </c>
      <c r="H875" t="s">
        <v>195</v>
      </c>
      <c r="I875">
        <v>15</v>
      </c>
      <c r="J875">
        <v>1883.28</v>
      </c>
      <c r="K875">
        <v>1</v>
      </c>
      <c r="L875" t="s">
        <v>210</v>
      </c>
      <c r="M875">
        <v>0</v>
      </c>
    </row>
    <row r="876" spans="1:13" x14ac:dyDescent="0.3">
      <c r="A876" t="s">
        <v>1085</v>
      </c>
      <c r="B876">
        <v>53</v>
      </c>
      <c r="C876" s="1">
        <v>45555</v>
      </c>
      <c r="D876">
        <v>2024</v>
      </c>
      <c r="E876" t="s">
        <v>225</v>
      </c>
      <c r="F876" t="s">
        <v>199</v>
      </c>
      <c r="G876" t="s">
        <v>212</v>
      </c>
      <c r="H876" t="s">
        <v>195</v>
      </c>
      <c r="I876">
        <v>11</v>
      </c>
      <c r="J876">
        <v>5291.18</v>
      </c>
      <c r="K876">
        <v>1</v>
      </c>
      <c r="L876" t="s">
        <v>193</v>
      </c>
      <c r="M876">
        <v>1</v>
      </c>
    </row>
    <row r="877" spans="1:13" x14ac:dyDescent="0.3">
      <c r="A877" t="s">
        <v>1086</v>
      </c>
      <c r="B877">
        <v>53</v>
      </c>
      <c r="C877" s="1">
        <v>45450</v>
      </c>
      <c r="D877">
        <v>2024</v>
      </c>
      <c r="E877" t="s">
        <v>225</v>
      </c>
      <c r="F877" t="s">
        <v>12</v>
      </c>
      <c r="G877" t="s">
        <v>203</v>
      </c>
      <c r="H877" t="s">
        <v>195</v>
      </c>
      <c r="I877">
        <v>16</v>
      </c>
      <c r="J877">
        <v>1072.42</v>
      </c>
      <c r="K877">
        <v>0</v>
      </c>
      <c r="L877" t="s">
        <v>201</v>
      </c>
      <c r="M877">
        <v>1</v>
      </c>
    </row>
    <row r="878" spans="1:13" x14ac:dyDescent="0.3">
      <c r="A878" t="s">
        <v>1087</v>
      </c>
      <c r="B878">
        <v>53</v>
      </c>
      <c r="C878" s="1">
        <v>45481</v>
      </c>
      <c r="D878">
        <v>2024</v>
      </c>
      <c r="E878" t="s">
        <v>198</v>
      </c>
      <c r="F878" t="s">
        <v>13</v>
      </c>
      <c r="G878" t="s">
        <v>212</v>
      </c>
      <c r="H878" t="s">
        <v>192</v>
      </c>
      <c r="I878">
        <v>11</v>
      </c>
      <c r="J878">
        <v>1511.49</v>
      </c>
      <c r="K878">
        <v>1</v>
      </c>
      <c r="L878" t="s">
        <v>201</v>
      </c>
      <c r="M878">
        <v>1</v>
      </c>
    </row>
    <row r="879" spans="1:13" x14ac:dyDescent="0.3">
      <c r="A879" t="s">
        <v>1088</v>
      </c>
      <c r="B879">
        <v>53</v>
      </c>
      <c r="C879" s="1">
        <v>45305</v>
      </c>
      <c r="D879">
        <v>2024</v>
      </c>
      <c r="E879" t="s">
        <v>198</v>
      </c>
      <c r="F879" t="s">
        <v>13</v>
      </c>
      <c r="G879" t="s">
        <v>191</v>
      </c>
      <c r="H879" t="s">
        <v>206</v>
      </c>
      <c r="I879">
        <v>17</v>
      </c>
      <c r="J879">
        <v>2962.36</v>
      </c>
      <c r="K879">
        <v>1</v>
      </c>
      <c r="L879" t="s">
        <v>201</v>
      </c>
      <c r="M879">
        <v>0</v>
      </c>
    </row>
    <row r="880" spans="1:13" x14ac:dyDescent="0.3">
      <c r="A880" t="s">
        <v>1089</v>
      </c>
      <c r="B880">
        <v>53</v>
      </c>
      <c r="C880" s="1">
        <v>45416</v>
      </c>
      <c r="D880">
        <v>2024</v>
      </c>
      <c r="E880" t="s">
        <v>198</v>
      </c>
      <c r="F880" t="s">
        <v>199</v>
      </c>
      <c r="G880" t="s">
        <v>191</v>
      </c>
      <c r="H880" t="s">
        <v>195</v>
      </c>
      <c r="I880">
        <v>6</v>
      </c>
      <c r="J880">
        <v>3701.01</v>
      </c>
      <c r="K880">
        <v>1</v>
      </c>
      <c r="L880" t="s">
        <v>196</v>
      </c>
      <c r="M880">
        <v>1</v>
      </c>
    </row>
    <row r="881" spans="1:13" x14ac:dyDescent="0.3">
      <c r="A881" t="s">
        <v>1090</v>
      </c>
      <c r="B881">
        <v>53</v>
      </c>
      <c r="C881" s="1">
        <v>45645</v>
      </c>
      <c r="D881">
        <v>2024</v>
      </c>
      <c r="E881" t="s">
        <v>225</v>
      </c>
      <c r="F881" t="s">
        <v>13</v>
      </c>
      <c r="G881" t="s">
        <v>200</v>
      </c>
      <c r="H881" t="s">
        <v>204</v>
      </c>
      <c r="I881">
        <v>12</v>
      </c>
      <c r="J881">
        <v>3480</v>
      </c>
      <c r="K881">
        <v>0</v>
      </c>
      <c r="L881" t="s">
        <v>193</v>
      </c>
      <c r="M881">
        <v>1</v>
      </c>
    </row>
    <row r="882" spans="1:13" x14ac:dyDescent="0.3">
      <c r="A882" t="s">
        <v>1091</v>
      </c>
      <c r="B882">
        <v>53</v>
      </c>
      <c r="C882" s="1">
        <v>45851</v>
      </c>
      <c r="D882">
        <v>2025</v>
      </c>
      <c r="E882" t="s">
        <v>198</v>
      </c>
      <c r="F882" t="s">
        <v>13</v>
      </c>
      <c r="G882" t="s">
        <v>212</v>
      </c>
      <c r="H882" t="s">
        <v>195</v>
      </c>
      <c r="I882">
        <v>4</v>
      </c>
      <c r="J882">
        <v>3006.47</v>
      </c>
      <c r="K882">
        <v>1</v>
      </c>
      <c r="L882" t="s">
        <v>215</v>
      </c>
      <c r="M882">
        <v>1</v>
      </c>
    </row>
    <row r="883" spans="1:13" x14ac:dyDescent="0.3">
      <c r="A883" t="s">
        <v>1092</v>
      </c>
      <c r="B883">
        <v>53</v>
      </c>
      <c r="C883" s="1">
        <v>45995</v>
      </c>
      <c r="D883">
        <v>2025</v>
      </c>
      <c r="E883" t="s">
        <v>198</v>
      </c>
      <c r="F883" t="s">
        <v>13</v>
      </c>
      <c r="G883" t="s">
        <v>191</v>
      </c>
      <c r="H883" t="s">
        <v>192</v>
      </c>
      <c r="I883">
        <v>5</v>
      </c>
      <c r="J883">
        <v>2721.69</v>
      </c>
      <c r="K883">
        <v>1</v>
      </c>
      <c r="L883" t="s">
        <v>215</v>
      </c>
      <c r="M883">
        <v>1</v>
      </c>
    </row>
    <row r="884" spans="1:13" x14ac:dyDescent="0.3">
      <c r="A884" t="s">
        <v>1093</v>
      </c>
      <c r="B884">
        <v>53</v>
      </c>
      <c r="C884" s="1">
        <v>45715</v>
      </c>
      <c r="D884">
        <v>2025</v>
      </c>
      <c r="E884" t="s">
        <v>214</v>
      </c>
      <c r="F884" t="s">
        <v>12</v>
      </c>
      <c r="G884" t="s">
        <v>203</v>
      </c>
      <c r="H884" t="s">
        <v>206</v>
      </c>
      <c r="I884">
        <v>16</v>
      </c>
      <c r="J884">
        <v>1186.48</v>
      </c>
      <c r="K884">
        <v>0</v>
      </c>
      <c r="L884" t="s">
        <v>215</v>
      </c>
      <c r="M884">
        <v>0</v>
      </c>
    </row>
    <row r="885" spans="1:13" x14ac:dyDescent="0.3">
      <c r="A885" t="s">
        <v>1094</v>
      </c>
      <c r="B885">
        <v>54</v>
      </c>
      <c r="C885" s="1">
        <v>44444</v>
      </c>
      <c r="D885">
        <v>2021</v>
      </c>
      <c r="E885" t="s">
        <v>219</v>
      </c>
      <c r="F885" t="s">
        <v>13</v>
      </c>
      <c r="G885" t="s">
        <v>203</v>
      </c>
      <c r="H885" t="s">
        <v>195</v>
      </c>
      <c r="I885">
        <v>7</v>
      </c>
      <c r="J885">
        <v>3290.73</v>
      </c>
      <c r="K885">
        <v>0</v>
      </c>
      <c r="L885" t="s">
        <v>215</v>
      </c>
      <c r="M885">
        <v>0</v>
      </c>
    </row>
    <row r="886" spans="1:13" x14ac:dyDescent="0.3">
      <c r="A886" t="s">
        <v>1095</v>
      </c>
      <c r="B886">
        <v>54</v>
      </c>
      <c r="C886" s="1">
        <v>44209</v>
      </c>
      <c r="D886">
        <v>2021</v>
      </c>
      <c r="E886" t="s">
        <v>225</v>
      </c>
      <c r="F886" t="s">
        <v>12</v>
      </c>
      <c r="G886" t="s">
        <v>200</v>
      </c>
      <c r="H886" t="s">
        <v>192</v>
      </c>
      <c r="I886">
        <v>17</v>
      </c>
      <c r="J886">
        <v>472.08</v>
      </c>
      <c r="K886">
        <v>0</v>
      </c>
      <c r="L886" t="s">
        <v>210</v>
      </c>
      <c r="M886">
        <v>0</v>
      </c>
    </row>
    <row r="887" spans="1:13" x14ac:dyDescent="0.3">
      <c r="A887" t="s">
        <v>1096</v>
      </c>
      <c r="B887">
        <v>54</v>
      </c>
      <c r="C887" s="1">
        <v>44517</v>
      </c>
      <c r="D887">
        <v>2021</v>
      </c>
      <c r="E887" t="s">
        <v>198</v>
      </c>
      <c r="F887" t="s">
        <v>13</v>
      </c>
      <c r="G887" t="s">
        <v>191</v>
      </c>
      <c r="H887" t="s">
        <v>195</v>
      </c>
      <c r="I887">
        <v>16</v>
      </c>
      <c r="J887">
        <v>2913.42</v>
      </c>
      <c r="K887">
        <v>1</v>
      </c>
      <c r="L887" t="s">
        <v>210</v>
      </c>
      <c r="M887">
        <v>1</v>
      </c>
    </row>
    <row r="888" spans="1:13" x14ac:dyDescent="0.3">
      <c r="A888" t="s">
        <v>1097</v>
      </c>
      <c r="B888">
        <v>54</v>
      </c>
      <c r="C888" s="1">
        <v>44534</v>
      </c>
      <c r="D888">
        <v>2021</v>
      </c>
      <c r="E888" t="s">
        <v>190</v>
      </c>
      <c r="F888" t="s">
        <v>12</v>
      </c>
      <c r="G888" t="s">
        <v>200</v>
      </c>
      <c r="H888" t="s">
        <v>192</v>
      </c>
      <c r="I888">
        <v>4</v>
      </c>
      <c r="J888">
        <v>1412.7</v>
      </c>
      <c r="K888">
        <v>0</v>
      </c>
      <c r="L888" t="s">
        <v>215</v>
      </c>
      <c r="M888">
        <v>0</v>
      </c>
    </row>
    <row r="889" spans="1:13" x14ac:dyDescent="0.3">
      <c r="A889" t="s">
        <v>1098</v>
      </c>
      <c r="B889">
        <v>54</v>
      </c>
      <c r="C889" s="1">
        <v>44206</v>
      </c>
      <c r="D889">
        <v>2021</v>
      </c>
      <c r="E889" t="s">
        <v>227</v>
      </c>
      <c r="F889" t="s">
        <v>13</v>
      </c>
      <c r="G889" t="s">
        <v>203</v>
      </c>
      <c r="H889" t="s">
        <v>192</v>
      </c>
      <c r="I889">
        <v>15</v>
      </c>
      <c r="J889">
        <v>2533.2399999999998</v>
      </c>
      <c r="K889">
        <v>1</v>
      </c>
      <c r="L889" t="s">
        <v>193</v>
      </c>
      <c r="M889">
        <v>1</v>
      </c>
    </row>
    <row r="890" spans="1:13" x14ac:dyDescent="0.3">
      <c r="A890" t="s">
        <v>1099</v>
      </c>
      <c r="B890">
        <v>54</v>
      </c>
      <c r="C890" s="1">
        <v>44608</v>
      </c>
      <c r="D890">
        <v>2022</v>
      </c>
      <c r="E890" t="s">
        <v>198</v>
      </c>
      <c r="F890" t="s">
        <v>12</v>
      </c>
      <c r="G890" t="s">
        <v>212</v>
      </c>
      <c r="H890" t="s">
        <v>195</v>
      </c>
      <c r="I890">
        <v>11</v>
      </c>
      <c r="J890">
        <v>1470.96</v>
      </c>
      <c r="K890">
        <v>1</v>
      </c>
      <c r="L890" t="s">
        <v>193</v>
      </c>
      <c r="M890">
        <v>1</v>
      </c>
    </row>
    <row r="891" spans="1:13" x14ac:dyDescent="0.3">
      <c r="A891" t="s">
        <v>1100</v>
      </c>
      <c r="B891">
        <v>54</v>
      </c>
      <c r="C891" s="1">
        <v>45236</v>
      </c>
      <c r="D891">
        <v>2023</v>
      </c>
      <c r="E891" t="s">
        <v>214</v>
      </c>
      <c r="F891" t="s">
        <v>13</v>
      </c>
      <c r="G891" t="s">
        <v>203</v>
      </c>
      <c r="H891" t="s">
        <v>204</v>
      </c>
      <c r="I891">
        <v>15</v>
      </c>
      <c r="J891">
        <v>2229.46</v>
      </c>
      <c r="K891">
        <v>1</v>
      </c>
      <c r="L891" t="s">
        <v>193</v>
      </c>
      <c r="M891">
        <v>1</v>
      </c>
    </row>
    <row r="892" spans="1:13" x14ac:dyDescent="0.3">
      <c r="A892" t="s">
        <v>1101</v>
      </c>
      <c r="B892">
        <v>54</v>
      </c>
      <c r="C892" s="1">
        <v>44927</v>
      </c>
      <c r="D892">
        <v>2023</v>
      </c>
      <c r="E892" t="s">
        <v>214</v>
      </c>
      <c r="F892" t="s">
        <v>13</v>
      </c>
      <c r="G892" t="s">
        <v>191</v>
      </c>
      <c r="H892" t="s">
        <v>195</v>
      </c>
      <c r="I892">
        <v>4</v>
      </c>
      <c r="J892">
        <v>2895.42</v>
      </c>
      <c r="K892">
        <v>1</v>
      </c>
      <c r="L892" t="s">
        <v>215</v>
      </c>
      <c r="M892">
        <v>0</v>
      </c>
    </row>
    <row r="893" spans="1:13" x14ac:dyDescent="0.3">
      <c r="A893" t="s">
        <v>1102</v>
      </c>
      <c r="B893">
        <v>54</v>
      </c>
      <c r="C893" s="1">
        <v>45177</v>
      </c>
      <c r="D893">
        <v>2023</v>
      </c>
      <c r="E893" t="s">
        <v>227</v>
      </c>
      <c r="F893" t="s">
        <v>12</v>
      </c>
      <c r="G893" t="s">
        <v>191</v>
      </c>
      <c r="H893" t="s">
        <v>204</v>
      </c>
      <c r="I893">
        <v>12</v>
      </c>
      <c r="J893">
        <v>1019.93</v>
      </c>
      <c r="K893">
        <v>0</v>
      </c>
      <c r="L893" t="s">
        <v>210</v>
      </c>
      <c r="M893">
        <v>0</v>
      </c>
    </row>
    <row r="894" spans="1:13" x14ac:dyDescent="0.3">
      <c r="A894" t="s">
        <v>1103</v>
      </c>
      <c r="B894">
        <v>54</v>
      </c>
      <c r="C894" s="1">
        <v>44941</v>
      </c>
      <c r="D894">
        <v>2023</v>
      </c>
      <c r="E894" t="s">
        <v>190</v>
      </c>
      <c r="F894" t="s">
        <v>12</v>
      </c>
      <c r="G894" t="s">
        <v>212</v>
      </c>
      <c r="H894" t="s">
        <v>192</v>
      </c>
      <c r="I894">
        <v>20</v>
      </c>
      <c r="J894">
        <v>533.91999999999996</v>
      </c>
      <c r="K894">
        <v>0</v>
      </c>
      <c r="L894" t="s">
        <v>215</v>
      </c>
      <c r="M894">
        <v>1</v>
      </c>
    </row>
    <row r="895" spans="1:13" x14ac:dyDescent="0.3">
      <c r="A895" t="s">
        <v>1104</v>
      </c>
      <c r="B895">
        <v>54</v>
      </c>
      <c r="C895" s="1">
        <v>45555</v>
      </c>
      <c r="D895">
        <v>2024</v>
      </c>
      <c r="E895" t="s">
        <v>190</v>
      </c>
      <c r="F895" t="s">
        <v>12</v>
      </c>
      <c r="G895" t="s">
        <v>191</v>
      </c>
      <c r="H895" t="s">
        <v>206</v>
      </c>
      <c r="I895">
        <v>9</v>
      </c>
      <c r="J895">
        <v>1268.2</v>
      </c>
      <c r="K895">
        <v>0</v>
      </c>
      <c r="L895" t="s">
        <v>215</v>
      </c>
      <c r="M895">
        <v>0</v>
      </c>
    </row>
    <row r="896" spans="1:13" x14ac:dyDescent="0.3">
      <c r="A896" t="s">
        <v>1105</v>
      </c>
      <c r="B896">
        <v>54</v>
      </c>
      <c r="C896" s="1">
        <v>45979</v>
      </c>
      <c r="D896">
        <v>2025</v>
      </c>
      <c r="E896" t="s">
        <v>190</v>
      </c>
      <c r="F896" t="s">
        <v>13</v>
      </c>
      <c r="G896" t="s">
        <v>212</v>
      </c>
      <c r="H896" t="s">
        <v>192</v>
      </c>
      <c r="I896">
        <v>3</v>
      </c>
      <c r="J896">
        <v>2656.45</v>
      </c>
      <c r="K896">
        <v>1</v>
      </c>
      <c r="L896" t="s">
        <v>201</v>
      </c>
      <c r="M896">
        <v>1</v>
      </c>
    </row>
    <row r="897" spans="1:13" x14ac:dyDescent="0.3">
      <c r="A897" t="s">
        <v>1106</v>
      </c>
      <c r="B897">
        <v>54</v>
      </c>
      <c r="C897" s="1">
        <v>45695</v>
      </c>
      <c r="D897">
        <v>2025</v>
      </c>
      <c r="E897" t="s">
        <v>198</v>
      </c>
      <c r="F897" t="s">
        <v>13</v>
      </c>
      <c r="G897" t="s">
        <v>200</v>
      </c>
      <c r="H897" t="s">
        <v>195</v>
      </c>
      <c r="I897">
        <v>12</v>
      </c>
      <c r="J897">
        <v>3150.69</v>
      </c>
      <c r="K897">
        <v>1</v>
      </c>
      <c r="L897" t="s">
        <v>210</v>
      </c>
      <c r="M897">
        <v>1</v>
      </c>
    </row>
    <row r="898" spans="1:13" x14ac:dyDescent="0.3">
      <c r="A898" t="s">
        <v>1107</v>
      </c>
      <c r="B898">
        <v>54</v>
      </c>
      <c r="C898" s="1">
        <v>45999</v>
      </c>
      <c r="D898">
        <v>2025</v>
      </c>
      <c r="E898" t="s">
        <v>214</v>
      </c>
      <c r="F898" t="s">
        <v>13</v>
      </c>
      <c r="G898" t="s">
        <v>200</v>
      </c>
      <c r="H898" t="s">
        <v>204</v>
      </c>
      <c r="I898">
        <v>16</v>
      </c>
      <c r="J898">
        <v>3124.74</v>
      </c>
      <c r="K898">
        <v>0</v>
      </c>
      <c r="L898" t="s">
        <v>193</v>
      </c>
      <c r="M898">
        <v>0</v>
      </c>
    </row>
    <row r="899" spans="1:13" x14ac:dyDescent="0.3">
      <c r="A899" t="s">
        <v>1108</v>
      </c>
      <c r="B899">
        <v>55</v>
      </c>
      <c r="C899" s="1">
        <v>44421</v>
      </c>
      <c r="D899">
        <v>2021</v>
      </c>
      <c r="E899" t="s">
        <v>227</v>
      </c>
      <c r="F899" t="s">
        <v>209</v>
      </c>
      <c r="G899" t="s">
        <v>212</v>
      </c>
      <c r="H899" t="s">
        <v>195</v>
      </c>
      <c r="I899">
        <v>12</v>
      </c>
      <c r="J899">
        <v>495.31</v>
      </c>
      <c r="K899">
        <v>0</v>
      </c>
      <c r="L899" t="s">
        <v>210</v>
      </c>
      <c r="M899">
        <v>1</v>
      </c>
    </row>
    <row r="900" spans="1:13" x14ac:dyDescent="0.3">
      <c r="A900" t="s">
        <v>1109</v>
      </c>
      <c r="B900">
        <v>55</v>
      </c>
      <c r="C900" s="1">
        <v>44456</v>
      </c>
      <c r="D900">
        <v>2021</v>
      </c>
      <c r="E900" t="s">
        <v>227</v>
      </c>
      <c r="F900" t="s">
        <v>13</v>
      </c>
      <c r="G900" t="s">
        <v>203</v>
      </c>
      <c r="H900" t="s">
        <v>206</v>
      </c>
      <c r="I900">
        <v>9</v>
      </c>
      <c r="J900">
        <v>2863.51</v>
      </c>
      <c r="K900">
        <v>0</v>
      </c>
      <c r="L900" t="s">
        <v>196</v>
      </c>
      <c r="M900">
        <v>0</v>
      </c>
    </row>
    <row r="901" spans="1:13" x14ac:dyDescent="0.3">
      <c r="A901" t="s">
        <v>1110</v>
      </c>
      <c r="B901">
        <v>55</v>
      </c>
      <c r="C901" s="1">
        <v>44425</v>
      </c>
      <c r="D901">
        <v>2021</v>
      </c>
      <c r="E901" t="s">
        <v>190</v>
      </c>
      <c r="F901" t="s">
        <v>12</v>
      </c>
      <c r="G901" t="s">
        <v>212</v>
      </c>
      <c r="H901" t="s">
        <v>195</v>
      </c>
      <c r="I901">
        <v>13</v>
      </c>
      <c r="J901">
        <v>916.55</v>
      </c>
      <c r="K901">
        <v>0</v>
      </c>
      <c r="L901" t="s">
        <v>193</v>
      </c>
      <c r="M901">
        <v>1</v>
      </c>
    </row>
    <row r="902" spans="1:13" x14ac:dyDescent="0.3">
      <c r="A902" t="s">
        <v>1111</v>
      </c>
      <c r="B902">
        <v>55</v>
      </c>
      <c r="C902" s="1">
        <v>44369</v>
      </c>
      <c r="D902">
        <v>2021</v>
      </c>
      <c r="E902" t="s">
        <v>219</v>
      </c>
      <c r="F902" t="s">
        <v>13</v>
      </c>
      <c r="G902" t="s">
        <v>200</v>
      </c>
      <c r="H902" t="s">
        <v>204</v>
      </c>
      <c r="I902">
        <v>8</v>
      </c>
      <c r="J902">
        <v>3195.65</v>
      </c>
      <c r="K902">
        <v>0</v>
      </c>
      <c r="L902" t="s">
        <v>196</v>
      </c>
      <c r="M902">
        <v>0</v>
      </c>
    </row>
    <row r="903" spans="1:13" x14ac:dyDescent="0.3">
      <c r="A903" t="s">
        <v>1112</v>
      </c>
      <c r="B903">
        <v>55</v>
      </c>
      <c r="C903" s="1">
        <v>44395</v>
      </c>
      <c r="D903">
        <v>2021</v>
      </c>
      <c r="E903" t="s">
        <v>225</v>
      </c>
      <c r="F903" t="s">
        <v>12</v>
      </c>
      <c r="G903" t="s">
        <v>191</v>
      </c>
      <c r="H903" t="s">
        <v>195</v>
      </c>
      <c r="I903">
        <v>5</v>
      </c>
      <c r="J903">
        <v>367.75</v>
      </c>
      <c r="K903">
        <v>0</v>
      </c>
      <c r="L903" t="s">
        <v>193</v>
      </c>
      <c r="M903">
        <v>0</v>
      </c>
    </row>
    <row r="904" spans="1:13" x14ac:dyDescent="0.3">
      <c r="A904" t="s">
        <v>1113</v>
      </c>
      <c r="B904">
        <v>55</v>
      </c>
      <c r="C904" s="1">
        <v>44488</v>
      </c>
      <c r="D904">
        <v>2021</v>
      </c>
      <c r="E904" t="s">
        <v>198</v>
      </c>
      <c r="F904" t="s">
        <v>199</v>
      </c>
      <c r="G904" t="s">
        <v>191</v>
      </c>
      <c r="H904" t="s">
        <v>195</v>
      </c>
      <c r="I904">
        <v>6</v>
      </c>
      <c r="J904">
        <v>2549.6799999999998</v>
      </c>
      <c r="K904">
        <v>1</v>
      </c>
      <c r="L904" t="s">
        <v>196</v>
      </c>
      <c r="M904">
        <v>0</v>
      </c>
    </row>
    <row r="905" spans="1:13" x14ac:dyDescent="0.3">
      <c r="A905" t="s">
        <v>1114</v>
      </c>
      <c r="B905">
        <v>55</v>
      </c>
      <c r="C905" s="1">
        <v>44576</v>
      </c>
      <c r="D905">
        <v>2022</v>
      </c>
      <c r="E905" t="s">
        <v>214</v>
      </c>
      <c r="F905" t="s">
        <v>12</v>
      </c>
      <c r="G905" t="s">
        <v>212</v>
      </c>
      <c r="H905" t="s">
        <v>192</v>
      </c>
      <c r="I905">
        <v>2</v>
      </c>
      <c r="J905">
        <v>987.83</v>
      </c>
      <c r="K905">
        <v>0</v>
      </c>
      <c r="L905" t="s">
        <v>201</v>
      </c>
      <c r="M905">
        <v>1</v>
      </c>
    </row>
    <row r="906" spans="1:13" x14ac:dyDescent="0.3">
      <c r="A906" t="s">
        <v>1115</v>
      </c>
      <c r="B906">
        <v>55</v>
      </c>
      <c r="C906" s="1">
        <v>44792</v>
      </c>
      <c r="D906">
        <v>2022</v>
      </c>
      <c r="E906" t="s">
        <v>219</v>
      </c>
      <c r="F906" t="s">
        <v>12</v>
      </c>
      <c r="G906" t="s">
        <v>212</v>
      </c>
      <c r="H906" t="s">
        <v>195</v>
      </c>
      <c r="I906">
        <v>9</v>
      </c>
      <c r="J906">
        <v>994.11</v>
      </c>
      <c r="K906">
        <v>0</v>
      </c>
      <c r="L906" t="s">
        <v>193</v>
      </c>
      <c r="M906">
        <v>1</v>
      </c>
    </row>
    <row r="907" spans="1:13" x14ac:dyDescent="0.3">
      <c r="A907" t="s">
        <v>1116</v>
      </c>
      <c r="B907">
        <v>55</v>
      </c>
      <c r="C907" s="1">
        <v>44699</v>
      </c>
      <c r="D907">
        <v>2022</v>
      </c>
      <c r="E907" t="s">
        <v>225</v>
      </c>
      <c r="F907" t="s">
        <v>12</v>
      </c>
      <c r="G907" t="s">
        <v>212</v>
      </c>
      <c r="H907" t="s">
        <v>204</v>
      </c>
      <c r="I907">
        <v>10</v>
      </c>
      <c r="J907">
        <v>344.08</v>
      </c>
      <c r="K907">
        <v>0</v>
      </c>
      <c r="L907" t="s">
        <v>201</v>
      </c>
      <c r="M907">
        <v>1</v>
      </c>
    </row>
    <row r="908" spans="1:13" x14ac:dyDescent="0.3">
      <c r="A908" t="s">
        <v>1117</v>
      </c>
      <c r="B908">
        <v>55</v>
      </c>
      <c r="C908" s="1">
        <v>44971</v>
      </c>
      <c r="D908">
        <v>2023</v>
      </c>
      <c r="E908" t="s">
        <v>214</v>
      </c>
      <c r="F908" t="s">
        <v>13</v>
      </c>
      <c r="G908" t="s">
        <v>203</v>
      </c>
      <c r="H908" t="s">
        <v>192</v>
      </c>
      <c r="I908">
        <v>3</v>
      </c>
      <c r="J908">
        <v>2744.57</v>
      </c>
      <c r="K908">
        <v>0</v>
      </c>
      <c r="L908" t="s">
        <v>201</v>
      </c>
      <c r="M908">
        <v>0</v>
      </c>
    </row>
    <row r="909" spans="1:13" x14ac:dyDescent="0.3">
      <c r="A909" t="s">
        <v>1118</v>
      </c>
      <c r="B909">
        <v>55</v>
      </c>
      <c r="C909" s="1">
        <v>45217</v>
      </c>
      <c r="D909">
        <v>2023</v>
      </c>
      <c r="E909" t="s">
        <v>198</v>
      </c>
      <c r="F909" t="s">
        <v>13</v>
      </c>
      <c r="G909" t="s">
        <v>212</v>
      </c>
      <c r="H909" t="s">
        <v>195</v>
      </c>
      <c r="I909">
        <v>17</v>
      </c>
      <c r="J909">
        <v>2183.5</v>
      </c>
      <c r="K909">
        <v>1</v>
      </c>
      <c r="L909" t="s">
        <v>193</v>
      </c>
      <c r="M909">
        <v>1</v>
      </c>
    </row>
    <row r="910" spans="1:13" x14ac:dyDescent="0.3">
      <c r="A910" t="s">
        <v>1119</v>
      </c>
      <c r="B910">
        <v>55</v>
      </c>
      <c r="C910" s="1">
        <v>44984</v>
      </c>
      <c r="D910">
        <v>2023</v>
      </c>
      <c r="E910" t="s">
        <v>227</v>
      </c>
      <c r="F910" t="s">
        <v>12</v>
      </c>
      <c r="G910" t="s">
        <v>200</v>
      </c>
      <c r="H910" t="s">
        <v>192</v>
      </c>
      <c r="I910">
        <v>1</v>
      </c>
      <c r="J910">
        <v>941.1</v>
      </c>
      <c r="K910">
        <v>0</v>
      </c>
      <c r="L910" t="s">
        <v>201</v>
      </c>
      <c r="M910">
        <v>0</v>
      </c>
    </row>
    <row r="911" spans="1:13" x14ac:dyDescent="0.3">
      <c r="A911" t="s">
        <v>1120</v>
      </c>
      <c r="B911">
        <v>55</v>
      </c>
      <c r="C911" s="1">
        <v>45064</v>
      </c>
      <c r="D911">
        <v>2023</v>
      </c>
      <c r="E911" t="s">
        <v>225</v>
      </c>
      <c r="F911" t="s">
        <v>13</v>
      </c>
      <c r="G911" t="s">
        <v>191</v>
      </c>
      <c r="H911" t="s">
        <v>195</v>
      </c>
      <c r="I911">
        <v>15</v>
      </c>
      <c r="J911">
        <v>1989.64</v>
      </c>
      <c r="K911">
        <v>1</v>
      </c>
      <c r="L911" t="s">
        <v>196</v>
      </c>
      <c r="M911">
        <v>0</v>
      </c>
    </row>
    <row r="912" spans="1:13" x14ac:dyDescent="0.3">
      <c r="A912" t="s">
        <v>1121</v>
      </c>
      <c r="B912">
        <v>55</v>
      </c>
      <c r="C912" s="1">
        <v>45219</v>
      </c>
      <c r="D912">
        <v>2023</v>
      </c>
      <c r="E912" t="s">
        <v>214</v>
      </c>
      <c r="F912" t="s">
        <v>199</v>
      </c>
      <c r="G912" t="s">
        <v>212</v>
      </c>
      <c r="H912" t="s">
        <v>195</v>
      </c>
      <c r="I912">
        <v>17</v>
      </c>
      <c r="J912">
        <v>7260.22</v>
      </c>
      <c r="K912">
        <v>0</v>
      </c>
      <c r="L912" t="s">
        <v>193</v>
      </c>
      <c r="M912">
        <v>1</v>
      </c>
    </row>
    <row r="913" spans="1:13" x14ac:dyDescent="0.3">
      <c r="A913" t="s">
        <v>1122</v>
      </c>
      <c r="B913">
        <v>55</v>
      </c>
      <c r="C913" s="1">
        <v>45444</v>
      </c>
      <c r="D913">
        <v>2024</v>
      </c>
      <c r="E913" t="s">
        <v>214</v>
      </c>
      <c r="F913" t="s">
        <v>209</v>
      </c>
      <c r="G913" t="s">
        <v>212</v>
      </c>
      <c r="H913" t="s">
        <v>206</v>
      </c>
      <c r="I913">
        <v>8</v>
      </c>
      <c r="J913">
        <v>455.86</v>
      </c>
      <c r="K913">
        <v>0</v>
      </c>
      <c r="L913" t="s">
        <v>210</v>
      </c>
      <c r="M913">
        <v>1</v>
      </c>
    </row>
    <row r="914" spans="1:13" x14ac:dyDescent="0.3">
      <c r="A914" t="s">
        <v>1123</v>
      </c>
      <c r="B914">
        <v>55</v>
      </c>
      <c r="C914" s="1">
        <v>45577</v>
      </c>
      <c r="D914">
        <v>2024</v>
      </c>
      <c r="E914" t="s">
        <v>219</v>
      </c>
      <c r="F914" t="s">
        <v>209</v>
      </c>
      <c r="G914" t="s">
        <v>191</v>
      </c>
      <c r="H914" t="s">
        <v>204</v>
      </c>
      <c r="I914">
        <v>10</v>
      </c>
      <c r="J914">
        <v>175.67</v>
      </c>
      <c r="K914">
        <v>0</v>
      </c>
      <c r="L914" t="s">
        <v>215</v>
      </c>
      <c r="M914">
        <v>0</v>
      </c>
    </row>
    <row r="915" spans="1:13" x14ac:dyDescent="0.3">
      <c r="A915" t="s">
        <v>1124</v>
      </c>
      <c r="B915">
        <v>55</v>
      </c>
      <c r="C915" s="1">
        <v>45922</v>
      </c>
      <c r="D915">
        <v>2025</v>
      </c>
      <c r="E915" t="s">
        <v>190</v>
      </c>
      <c r="F915" t="s">
        <v>12</v>
      </c>
      <c r="G915" t="s">
        <v>212</v>
      </c>
      <c r="H915" t="s">
        <v>195</v>
      </c>
      <c r="I915">
        <v>3</v>
      </c>
      <c r="J915">
        <v>1151.27</v>
      </c>
      <c r="K915">
        <v>0</v>
      </c>
      <c r="L915" t="s">
        <v>201</v>
      </c>
      <c r="M915">
        <v>1</v>
      </c>
    </row>
    <row r="916" spans="1:13" x14ac:dyDescent="0.3">
      <c r="A916" t="s">
        <v>1125</v>
      </c>
      <c r="B916">
        <v>55</v>
      </c>
      <c r="C916" s="1">
        <v>45875</v>
      </c>
      <c r="D916">
        <v>2025</v>
      </c>
      <c r="E916" t="s">
        <v>219</v>
      </c>
      <c r="F916" t="s">
        <v>209</v>
      </c>
      <c r="G916" t="s">
        <v>212</v>
      </c>
      <c r="H916" t="s">
        <v>195</v>
      </c>
      <c r="I916">
        <v>20</v>
      </c>
      <c r="J916">
        <v>73.73</v>
      </c>
      <c r="K916">
        <v>1</v>
      </c>
      <c r="L916" t="s">
        <v>210</v>
      </c>
      <c r="M916">
        <v>1</v>
      </c>
    </row>
    <row r="917" spans="1:13" x14ac:dyDescent="0.3">
      <c r="A917" t="s">
        <v>1126</v>
      </c>
      <c r="B917">
        <v>55</v>
      </c>
      <c r="C917" s="1">
        <v>45786</v>
      </c>
      <c r="D917">
        <v>2025</v>
      </c>
      <c r="E917" t="s">
        <v>198</v>
      </c>
      <c r="F917" t="s">
        <v>13</v>
      </c>
      <c r="G917" t="s">
        <v>200</v>
      </c>
      <c r="H917" t="s">
        <v>192</v>
      </c>
      <c r="I917">
        <v>13</v>
      </c>
      <c r="J917">
        <v>2995.8</v>
      </c>
      <c r="K917">
        <v>1</v>
      </c>
      <c r="L917" t="s">
        <v>193</v>
      </c>
      <c r="M917">
        <v>1</v>
      </c>
    </row>
    <row r="918" spans="1:13" x14ac:dyDescent="0.3">
      <c r="A918" t="s">
        <v>1127</v>
      </c>
      <c r="B918">
        <v>55</v>
      </c>
      <c r="C918" s="1">
        <v>45814</v>
      </c>
      <c r="D918">
        <v>2025</v>
      </c>
      <c r="E918" t="s">
        <v>214</v>
      </c>
      <c r="F918" t="s">
        <v>12</v>
      </c>
      <c r="G918" t="s">
        <v>200</v>
      </c>
      <c r="H918" t="s">
        <v>195</v>
      </c>
      <c r="I918">
        <v>11</v>
      </c>
      <c r="J918">
        <v>1014.1</v>
      </c>
      <c r="K918">
        <v>0</v>
      </c>
      <c r="L918" t="s">
        <v>210</v>
      </c>
      <c r="M918">
        <v>0</v>
      </c>
    </row>
    <row r="919" spans="1:13" x14ac:dyDescent="0.3">
      <c r="A919" t="s">
        <v>1128</v>
      </c>
      <c r="B919">
        <v>55</v>
      </c>
      <c r="C919" s="1">
        <v>45863</v>
      </c>
      <c r="D919">
        <v>2025</v>
      </c>
      <c r="E919" t="s">
        <v>198</v>
      </c>
      <c r="F919" t="s">
        <v>199</v>
      </c>
      <c r="G919" t="s">
        <v>200</v>
      </c>
      <c r="H919" t="s">
        <v>195</v>
      </c>
      <c r="I919">
        <v>14</v>
      </c>
      <c r="J919">
        <v>4324.82</v>
      </c>
      <c r="K919">
        <v>1</v>
      </c>
      <c r="L919" t="s">
        <v>196</v>
      </c>
      <c r="M919">
        <v>0</v>
      </c>
    </row>
    <row r="920" spans="1:13" x14ac:dyDescent="0.3">
      <c r="A920" t="s">
        <v>1129</v>
      </c>
      <c r="B920">
        <v>55</v>
      </c>
      <c r="C920" s="1">
        <v>45895</v>
      </c>
      <c r="D920">
        <v>2025</v>
      </c>
      <c r="E920" t="s">
        <v>198</v>
      </c>
      <c r="F920" t="s">
        <v>13</v>
      </c>
      <c r="G920" t="s">
        <v>212</v>
      </c>
      <c r="H920" t="s">
        <v>204</v>
      </c>
      <c r="I920">
        <v>8</v>
      </c>
      <c r="J920">
        <v>2623.55</v>
      </c>
      <c r="K920">
        <v>1</v>
      </c>
      <c r="L920" t="s">
        <v>201</v>
      </c>
      <c r="M920">
        <v>1</v>
      </c>
    </row>
    <row r="921" spans="1:13" x14ac:dyDescent="0.3">
      <c r="A921" t="s">
        <v>1130</v>
      </c>
      <c r="B921">
        <v>56</v>
      </c>
      <c r="C921" s="1">
        <v>44306</v>
      </c>
      <c r="D921">
        <v>2021</v>
      </c>
      <c r="E921" t="s">
        <v>219</v>
      </c>
      <c r="F921" t="s">
        <v>209</v>
      </c>
      <c r="G921" t="s">
        <v>212</v>
      </c>
      <c r="H921" t="s">
        <v>195</v>
      </c>
      <c r="I921">
        <v>8</v>
      </c>
      <c r="J921">
        <v>320.63</v>
      </c>
      <c r="K921">
        <v>0</v>
      </c>
      <c r="L921" t="s">
        <v>210</v>
      </c>
      <c r="M921">
        <v>1</v>
      </c>
    </row>
    <row r="922" spans="1:13" x14ac:dyDescent="0.3">
      <c r="A922" t="s">
        <v>1131</v>
      </c>
      <c r="B922">
        <v>56</v>
      </c>
      <c r="C922" s="1">
        <v>44232</v>
      </c>
      <c r="D922">
        <v>2021</v>
      </c>
      <c r="E922" t="s">
        <v>214</v>
      </c>
      <c r="F922" t="s">
        <v>12</v>
      </c>
      <c r="G922" t="s">
        <v>203</v>
      </c>
      <c r="H922" t="s">
        <v>192</v>
      </c>
      <c r="I922">
        <v>2</v>
      </c>
      <c r="J922">
        <v>1286.1199999999999</v>
      </c>
      <c r="K922">
        <v>0</v>
      </c>
      <c r="L922" t="s">
        <v>215</v>
      </c>
      <c r="M922">
        <v>1</v>
      </c>
    </row>
    <row r="923" spans="1:13" x14ac:dyDescent="0.3">
      <c r="A923" t="s">
        <v>1132</v>
      </c>
      <c r="B923">
        <v>56</v>
      </c>
      <c r="C923" s="1">
        <v>44382</v>
      </c>
      <c r="D923">
        <v>2021</v>
      </c>
      <c r="E923" t="s">
        <v>190</v>
      </c>
      <c r="F923" t="s">
        <v>13</v>
      </c>
      <c r="G923" t="s">
        <v>191</v>
      </c>
      <c r="H923" t="s">
        <v>206</v>
      </c>
      <c r="I923">
        <v>15</v>
      </c>
      <c r="J923">
        <v>3151.39</v>
      </c>
      <c r="K923">
        <v>0</v>
      </c>
      <c r="L923" t="s">
        <v>215</v>
      </c>
      <c r="M923">
        <v>0</v>
      </c>
    </row>
    <row r="924" spans="1:13" x14ac:dyDescent="0.3">
      <c r="A924" t="s">
        <v>1133</v>
      </c>
      <c r="B924">
        <v>56</v>
      </c>
      <c r="C924" s="1">
        <v>44789</v>
      </c>
      <c r="D924">
        <v>2022</v>
      </c>
      <c r="E924" t="s">
        <v>214</v>
      </c>
      <c r="F924" t="s">
        <v>13</v>
      </c>
      <c r="G924" t="s">
        <v>212</v>
      </c>
      <c r="H924" t="s">
        <v>195</v>
      </c>
      <c r="I924">
        <v>5</v>
      </c>
      <c r="J924">
        <v>1739.14</v>
      </c>
      <c r="K924">
        <v>0</v>
      </c>
      <c r="L924" t="s">
        <v>193</v>
      </c>
      <c r="M924">
        <v>1</v>
      </c>
    </row>
    <row r="925" spans="1:13" x14ac:dyDescent="0.3">
      <c r="A925" t="s">
        <v>1134</v>
      </c>
      <c r="B925">
        <v>56</v>
      </c>
      <c r="C925" s="1">
        <v>44876</v>
      </c>
      <c r="D925">
        <v>2022</v>
      </c>
      <c r="E925" t="s">
        <v>219</v>
      </c>
      <c r="F925" t="s">
        <v>209</v>
      </c>
      <c r="G925" t="s">
        <v>212</v>
      </c>
      <c r="H925" t="s">
        <v>195</v>
      </c>
      <c r="I925">
        <v>9</v>
      </c>
      <c r="J925">
        <v>408.76</v>
      </c>
      <c r="K925">
        <v>0</v>
      </c>
      <c r="L925" t="s">
        <v>215</v>
      </c>
      <c r="M925">
        <v>1</v>
      </c>
    </row>
    <row r="926" spans="1:13" x14ac:dyDescent="0.3">
      <c r="A926" t="s">
        <v>1135</v>
      </c>
      <c r="B926">
        <v>56</v>
      </c>
      <c r="C926" s="1">
        <v>44716</v>
      </c>
      <c r="D926">
        <v>2022</v>
      </c>
      <c r="E926" t="s">
        <v>225</v>
      </c>
      <c r="F926" t="s">
        <v>199</v>
      </c>
      <c r="G926" t="s">
        <v>203</v>
      </c>
      <c r="H926" t="s">
        <v>195</v>
      </c>
      <c r="I926">
        <v>5</v>
      </c>
      <c r="J926">
        <v>2962.18</v>
      </c>
      <c r="K926">
        <v>0</v>
      </c>
      <c r="L926" t="s">
        <v>193</v>
      </c>
      <c r="M926">
        <v>0</v>
      </c>
    </row>
    <row r="927" spans="1:13" x14ac:dyDescent="0.3">
      <c r="A927" t="s">
        <v>1136</v>
      </c>
      <c r="B927">
        <v>56</v>
      </c>
      <c r="C927" s="1">
        <v>44938</v>
      </c>
      <c r="D927">
        <v>2023</v>
      </c>
      <c r="E927" t="s">
        <v>214</v>
      </c>
      <c r="F927" t="s">
        <v>199</v>
      </c>
      <c r="G927" t="s">
        <v>212</v>
      </c>
      <c r="H927" t="s">
        <v>206</v>
      </c>
      <c r="I927">
        <v>8</v>
      </c>
      <c r="J927">
        <v>3276.3</v>
      </c>
      <c r="K927">
        <v>1</v>
      </c>
      <c r="L927" t="s">
        <v>193</v>
      </c>
      <c r="M927">
        <v>1</v>
      </c>
    </row>
    <row r="928" spans="1:13" x14ac:dyDescent="0.3">
      <c r="A928" t="s">
        <v>1137</v>
      </c>
      <c r="B928">
        <v>56</v>
      </c>
      <c r="C928" s="1">
        <v>45288</v>
      </c>
      <c r="D928">
        <v>2023</v>
      </c>
      <c r="E928" t="s">
        <v>214</v>
      </c>
      <c r="F928" t="s">
        <v>13</v>
      </c>
      <c r="G928" t="s">
        <v>203</v>
      </c>
      <c r="H928" t="s">
        <v>204</v>
      </c>
      <c r="I928">
        <v>4</v>
      </c>
      <c r="J928">
        <v>3417.33</v>
      </c>
      <c r="K928">
        <v>0</v>
      </c>
      <c r="L928" t="s">
        <v>201</v>
      </c>
      <c r="M928">
        <v>0</v>
      </c>
    </row>
    <row r="929" spans="1:13" x14ac:dyDescent="0.3">
      <c r="A929" t="s">
        <v>1138</v>
      </c>
      <c r="B929">
        <v>56</v>
      </c>
      <c r="C929" s="1">
        <v>45206</v>
      </c>
      <c r="D929">
        <v>2023</v>
      </c>
      <c r="E929" t="s">
        <v>198</v>
      </c>
      <c r="F929" t="s">
        <v>13</v>
      </c>
      <c r="G929" t="s">
        <v>203</v>
      </c>
      <c r="H929" t="s">
        <v>195</v>
      </c>
      <c r="I929">
        <v>11</v>
      </c>
      <c r="J929">
        <v>1653.32</v>
      </c>
      <c r="K929">
        <v>1</v>
      </c>
      <c r="L929" t="s">
        <v>201</v>
      </c>
      <c r="M929">
        <v>0</v>
      </c>
    </row>
    <row r="930" spans="1:13" x14ac:dyDescent="0.3">
      <c r="A930" t="s">
        <v>1139</v>
      </c>
      <c r="B930">
        <v>56</v>
      </c>
      <c r="C930" s="1">
        <v>45613</v>
      </c>
      <c r="D930">
        <v>2024</v>
      </c>
      <c r="E930" t="s">
        <v>190</v>
      </c>
      <c r="F930" t="s">
        <v>199</v>
      </c>
      <c r="G930" t="s">
        <v>203</v>
      </c>
      <c r="H930" t="s">
        <v>204</v>
      </c>
      <c r="I930">
        <v>3</v>
      </c>
      <c r="J930">
        <v>5109.3900000000003</v>
      </c>
      <c r="K930">
        <v>0</v>
      </c>
      <c r="L930" t="s">
        <v>201</v>
      </c>
      <c r="M930">
        <v>1</v>
      </c>
    </row>
    <row r="931" spans="1:13" x14ac:dyDescent="0.3">
      <c r="A931" t="s">
        <v>1140</v>
      </c>
      <c r="B931">
        <v>57</v>
      </c>
      <c r="C931" s="1">
        <v>44373</v>
      </c>
      <c r="D931">
        <v>2021</v>
      </c>
      <c r="E931" t="s">
        <v>214</v>
      </c>
      <c r="F931" t="s">
        <v>12</v>
      </c>
      <c r="G931" t="s">
        <v>203</v>
      </c>
      <c r="H931" t="s">
        <v>195</v>
      </c>
      <c r="I931">
        <v>6</v>
      </c>
      <c r="J931">
        <v>943.56</v>
      </c>
      <c r="K931">
        <v>0</v>
      </c>
      <c r="L931" t="s">
        <v>215</v>
      </c>
      <c r="M931">
        <v>0</v>
      </c>
    </row>
    <row r="932" spans="1:13" x14ac:dyDescent="0.3">
      <c r="A932" t="s">
        <v>1141</v>
      </c>
      <c r="B932">
        <v>57</v>
      </c>
      <c r="C932" s="1">
        <v>44796</v>
      </c>
      <c r="D932">
        <v>2022</v>
      </c>
      <c r="E932" t="s">
        <v>225</v>
      </c>
      <c r="F932" t="s">
        <v>12</v>
      </c>
      <c r="G932" t="s">
        <v>212</v>
      </c>
      <c r="H932" t="s">
        <v>206</v>
      </c>
      <c r="I932">
        <v>13</v>
      </c>
      <c r="J932">
        <v>1161.17</v>
      </c>
      <c r="K932">
        <v>0</v>
      </c>
      <c r="L932" t="s">
        <v>210</v>
      </c>
      <c r="M932">
        <v>1</v>
      </c>
    </row>
    <row r="933" spans="1:13" x14ac:dyDescent="0.3">
      <c r="A933" t="s">
        <v>1142</v>
      </c>
      <c r="B933">
        <v>57</v>
      </c>
      <c r="C933" s="1">
        <v>44974</v>
      </c>
      <c r="D933">
        <v>2023</v>
      </c>
      <c r="E933" t="s">
        <v>214</v>
      </c>
      <c r="F933" t="s">
        <v>12</v>
      </c>
      <c r="G933" t="s">
        <v>203</v>
      </c>
      <c r="H933" t="s">
        <v>204</v>
      </c>
      <c r="I933">
        <v>7</v>
      </c>
      <c r="J933">
        <v>870.71</v>
      </c>
      <c r="K933">
        <v>0</v>
      </c>
      <c r="L933" t="s">
        <v>210</v>
      </c>
      <c r="M933">
        <v>0</v>
      </c>
    </row>
    <row r="934" spans="1:13" x14ac:dyDescent="0.3">
      <c r="A934" t="s">
        <v>1143</v>
      </c>
      <c r="B934">
        <v>57</v>
      </c>
      <c r="C934" s="1">
        <v>45004</v>
      </c>
      <c r="D934">
        <v>2023</v>
      </c>
      <c r="E934" t="s">
        <v>219</v>
      </c>
      <c r="F934" t="s">
        <v>199</v>
      </c>
      <c r="G934" t="s">
        <v>200</v>
      </c>
      <c r="H934" t="s">
        <v>195</v>
      </c>
      <c r="I934">
        <v>13</v>
      </c>
      <c r="J934">
        <v>3913.24</v>
      </c>
      <c r="K934">
        <v>1</v>
      </c>
      <c r="L934" t="s">
        <v>196</v>
      </c>
      <c r="M934">
        <v>0</v>
      </c>
    </row>
    <row r="935" spans="1:13" x14ac:dyDescent="0.3">
      <c r="A935" t="s">
        <v>1144</v>
      </c>
      <c r="B935">
        <v>57</v>
      </c>
      <c r="C935" s="1">
        <v>45079</v>
      </c>
      <c r="D935">
        <v>2023</v>
      </c>
      <c r="E935" t="s">
        <v>219</v>
      </c>
      <c r="F935" t="s">
        <v>13</v>
      </c>
      <c r="G935" t="s">
        <v>200</v>
      </c>
      <c r="H935" t="s">
        <v>206</v>
      </c>
      <c r="I935">
        <v>9</v>
      </c>
      <c r="J935">
        <v>2662.31</v>
      </c>
      <c r="K935">
        <v>0</v>
      </c>
      <c r="L935" t="s">
        <v>193</v>
      </c>
      <c r="M935">
        <v>0</v>
      </c>
    </row>
    <row r="936" spans="1:13" x14ac:dyDescent="0.3">
      <c r="A936" t="s">
        <v>1145</v>
      </c>
      <c r="B936">
        <v>57</v>
      </c>
      <c r="C936" s="1">
        <v>45619</v>
      </c>
      <c r="D936">
        <v>2024</v>
      </c>
      <c r="E936" t="s">
        <v>227</v>
      </c>
      <c r="F936" t="s">
        <v>209</v>
      </c>
      <c r="G936" t="s">
        <v>212</v>
      </c>
      <c r="H936" t="s">
        <v>204</v>
      </c>
      <c r="I936">
        <v>8</v>
      </c>
      <c r="J936">
        <v>172.49</v>
      </c>
      <c r="K936">
        <v>0</v>
      </c>
      <c r="L936" t="s">
        <v>215</v>
      </c>
      <c r="M936">
        <v>1</v>
      </c>
    </row>
    <row r="937" spans="1:13" x14ac:dyDescent="0.3">
      <c r="A937" t="s">
        <v>1146</v>
      </c>
      <c r="B937">
        <v>57</v>
      </c>
      <c r="C937" s="1">
        <v>45643</v>
      </c>
      <c r="D937">
        <v>2024</v>
      </c>
      <c r="E937" t="s">
        <v>214</v>
      </c>
      <c r="F937" t="s">
        <v>13</v>
      </c>
      <c r="G937" t="s">
        <v>212</v>
      </c>
      <c r="H937" t="s">
        <v>195</v>
      </c>
      <c r="I937">
        <v>11</v>
      </c>
      <c r="J937">
        <v>2748.52</v>
      </c>
      <c r="K937">
        <v>0</v>
      </c>
      <c r="L937" t="s">
        <v>196</v>
      </c>
      <c r="M937">
        <v>1</v>
      </c>
    </row>
    <row r="938" spans="1:13" x14ac:dyDescent="0.3">
      <c r="A938" t="s">
        <v>1147</v>
      </c>
      <c r="B938">
        <v>57</v>
      </c>
      <c r="C938" s="1">
        <v>45470</v>
      </c>
      <c r="D938">
        <v>2024</v>
      </c>
      <c r="E938" t="s">
        <v>219</v>
      </c>
      <c r="F938" t="s">
        <v>13</v>
      </c>
      <c r="G938" t="s">
        <v>191</v>
      </c>
      <c r="H938" t="s">
        <v>195</v>
      </c>
      <c r="I938">
        <v>11</v>
      </c>
      <c r="J938">
        <v>2554.94</v>
      </c>
      <c r="K938">
        <v>0</v>
      </c>
      <c r="L938" t="s">
        <v>201</v>
      </c>
      <c r="M938">
        <v>0</v>
      </c>
    </row>
    <row r="939" spans="1:13" x14ac:dyDescent="0.3">
      <c r="A939" t="s">
        <v>1148</v>
      </c>
      <c r="B939">
        <v>57</v>
      </c>
      <c r="C939" s="1">
        <v>45337</v>
      </c>
      <c r="D939">
        <v>2024</v>
      </c>
      <c r="E939" t="s">
        <v>219</v>
      </c>
      <c r="F939" t="s">
        <v>13</v>
      </c>
      <c r="G939" t="s">
        <v>212</v>
      </c>
      <c r="H939" t="s">
        <v>195</v>
      </c>
      <c r="I939">
        <v>10</v>
      </c>
      <c r="J939">
        <v>1221.94</v>
      </c>
      <c r="K939">
        <v>0</v>
      </c>
      <c r="L939" t="s">
        <v>193</v>
      </c>
      <c r="M939">
        <v>1</v>
      </c>
    </row>
    <row r="940" spans="1:13" x14ac:dyDescent="0.3">
      <c r="A940" t="s">
        <v>1149</v>
      </c>
      <c r="B940">
        <v>57</v>
      </c>
      <c r="C940" s="1">
        <v>45981</v>
      </c>
      <c r="D940">
        <v>2025</v>
      </c>
      <c r="E940" t="s">
        <v>214</v>
      </c>
      <c r="F940" t="s">
        <v>199</v>
      </c>
      <c r="G940" t="s">
        <v>191</v>
      </c>
      <c r="H940" t="s">
        <v>195</v>
      </c>
      <c r="I940">
        <v>5</v>
      </c>
      <c r="J940">
        <v>4308.0200000000004</v>
      </c>
      <c r="K940">
        <v>1</v>
      </c>
      <c r="L940" t="s">
        <v>193</v>
      </c>
      <c r="M940">
        <v>1</v>
      </c>
    </row>
    <row r="941" spans="1:13" x14ac:dyDescent="0.3">
      <c r="A941" t="s">
        <v>1150</v>
      </c>
      <c r="B941">
        <v>57</v>
      </c>
      <c r="C941" s="1">
        <v>45854</v>
      </c>
      <c r="D941">
        <v>2025</v>
      </c>
      <c r="E941" t="s">
        <v>214</v>
      </c>
      <c r="F941" t="s">
        <v>199</v>
      </c>
      <c r="G941" t="s">
        <v>200</v>
      </c>
      <c r="H941" t="s">
        <v>195</v>
      </c>
      <c r="I941">
        <v>9</v>
      </c>
      <c r="J941">
        <v>3697.01</v>
      </c>
      <c r="K941">
        <v>0</v>
      </c>
      <c r="L941" t="s">
        <v>201</v>
      </c>
      <c r="M941">
        <v>0</v>
      </c>
    </row>
    <row r="942" spans="1:13" x14ac:dyDescent="0.3">
      <c r="A942" t="s">
        <v>1151</v>
      </c>
      <c r="B942">
        <v>57</v>
      </c>
      <c r="C942" s="1">
        <v>45866</v>
      </c>
      <c r="D942">
        <v>2025</v>
      </c>
      <c r="E942" t="s">
        <v>190</v>
      </c>
      <c r="F942" t="s">
        <v>13</v>
      </c>
      <c r="G942" t="s">
        <v>191</v>
      </c>
      <c r="H942" t="s">
        <v>192</v>
      </c>
      <c r="I942">
        <v>6</v>
      </c>
      <c r="J942">
        <v>1239.3599999999999</v>
      </c>
      <c r="K942">
        <v>0</v>
      </c>
      <c r="L942" t="s">
        <v>196</v>
      </c>
      <c r="M942">
        <v>0</v>
      </c>
    </row>
    <row r="943" spans="1:13" x14ac:dyDescent="0.3">
      <c r="A943" t="s">
        <v>1152</v>
      </c>
      <c r="B943">
        <v>57</v>
      </c>
      <c r="C943" s="1">
        <v>45681</v>
      </c>
      <c r="D943">
        <v>2025</v>
      </c>
      <c r="E943" t="s">
        <v>219</v>
      </c>
      <c r="F943" t="s">
        <v>199</v>
      </c>
      <c r="G943" t="s">
        <v>212</v>
      </c>
      <c r="H943" t="s">
        <v>195</v>
      </c>
      <c r="I943">
        <v>10</v>
      </c>
      <c r="J943">
        <v>7083.67</v>
      </c>
      <c r="K943">
        <v>0</v>
      </c>
      <c r="L943" t="s">
        <v>196</v>
      </c>
      <c r="M943">
        <v>1</v>
      </c>
    </row>
    <row r="944" spans="1:13" x14ac:dyDescent="0.3">
      <c r="A944" t="s">
        <v>1153</v>
      </c>
      <c r="B944">
        <v>58</v>
      </c>
      <c r="C944" s="1">
        <v>44352</v>
      </c>
      <c r="D944">
        <v>2021</v>
      </c>
      <c r="E944" t="s">
        <v>219</v>
      </c>
      <c r="F944" t="s">
        <v>12</v>
      </c>
      <c r="G944" t="s">
        <v>212</v>
      </c>
      <c r="H944" t="s">
        <v>195</v>
      </c>
      <c r="I944">
        <v>12</v>
      </c>
      <c r="J944">
        <v>1278.8900000000001</v>
      </c>
      <c r="K944">
        <v>0</v>
      </c>
      <c r="L944" t="s">
        <v>215</v>
      </c>
      <c r="M944">
        <v>1</v>
      </c>
    </row>
    <row r="945" spans="1:13" x14ac:dyDescent="0.3">
      <c r="A945" t="s">
        <v>1154</v>
      </c>
      <c r="B945">
        <v>58</v>
      </c>
      <c r="C945" s="1">
        <v>44511</v>
      </c>
      <c r="D945">
        <v>2021</v>
      </c>
      <c r="E945" t="s">
        <v>190</v>
      </c>
      <c r="F945" t="s">
        <v>13</v>
      </c>
      <c r="G945" t="s">
        <v>200</v>
      </c>
      <c r="H945" t="s">
        <v>195</v>
      </c>
      <c r="I945">
        <v>16</v>
      </c>
      <c r="J945">
        <v>3883.55</v>
      </c>
      <c r="K945">
        <v>0</v>
      </c>
      <c r="L945" t="s">
        <v>196</v>
      </c>
      <c r="M945">
        <v>0</v>
      </c>
    </row>
    <row r="946" spans="1:13" x14ac:dyDescent="0.3">
      <c r="A946" t="s">
        <v>1155</v>
      </c>
      <c r="B946">
        <v>58</v>
      </c>
      <c r="C946" s="1">
        <v>44277</v>
      </c>
      <c r="D946">
        <v>2021</v>
      </c>
      <c r="E946" t="s">
        <v>225</v>
      </c>
      <c r="F946" t="s">
        <v>13</v>
      </c>
      <c r="G946" t="s">
        <v>200</v>
      </c>
      <c r="H946" t="s">
        <v>195</v>
      </c>
      <c r="I946">
        <v>5</v>
      </c>
      <c r="J946">
        <v>3361.79</v>
      </c>
      <c r="K946">
        <v>0</v>
      </c>
      <c r="L946" t="s">
        <v>193</v>
      </c>
      <c r="M946">
        <v>1</v>
      </c>
    </row>
    <row r="947" spans="1:13" x14ac:dyDescent="0.3">
      <c r="A947" t="s">
        <v>1156</v>
      </c>
      <c r="B947">
        <v>58</v>
      </c>
      <c r="C947" s="1">
        <v>44283</v>
      </c>
      <c r="D947">
        <v>2021</v>
      </c>
      <c r="E947" t="s">
        <v>219</v>
      </c>
      <c r="F947" t="s">
        <v>13</v>
      </c>
      <c r="G947" t="s">
        <v>200</v>
      </c>
      <c r="H947" t="s">
        <v>195</v>
      </c>
      <c r="I947">
        <v>8</v>
      </c>
      <c r="J947">
        <v>2048.69</v>
      </c>
      <c r="K947">
        <v>0</v>
      </c>
      <c r="L947" t="s">
        <v>196</v>
      </c>
      <c r="M947">
        <v>0</v>
      </c>
    </row>
    <row r="948" spans="1:13" x14ac:dyDescent="0.3">
      <c r="A948" t="s">
        <v>1157</v>
      </c>
      <c r="B948">
        <v>58</v>
      </c>
      <c r="C948" s="1">
        <v>44547</v>
      </c>
      <c r="D948">
        <v>2021</v>
      </c>
      <c r="E948" t="s">
        <v>225</v>
      </c>
      <c r="F948" t="s">
        <v>13</v>
      </c>
      <c r="G948" t="s">
        <v>200</v>
      </c>
      <c r="H948" t="s">
        <v>195</v>
      </c>
      <c r="I948">
        <v>2</v>
      </c>
      <c r="J948">
        <v>1369.05</v>
      </c>
      <c r="K948">
        <v>0</v>
      </c>
      <c r="L948" t="s">
        <v>193</v>
      </c>
      <c r="M948">
        <v>0</v>
      </c>
    </row>
    <row r="949" spans="1:13" x14ac:dyDescent="0.3">
      <c r="A949" t="s">
        <v>1158</v>
      </c>
      <c r="B949">
        <v>58</v>
      </c>
      <c r="C949" s="1">
        <v>44910</v>
      </c>
      <c r="D949">
        <v>2022</v>
      </c>
      <c r="E949" t="s">
        <v>198</v>
      </c>
      <c r="F949" t="s">
        <v>199</v>
      </c>
      <c r="G949" t="s">
        <v>203</v>
      </c>
      <c r="H949" t="s">
        <v>206</v>
      </c>
      <c r="I949">
        <v>4</v>
      </c>
      <c r="J949">
        <v>3269.23</v>
      </c>
      <c r="K949">
        <v>1</v>
      </c>
      <c r="L949" t="s">
        <v>196</v>
      </c>
      <c r="M949">
        <v>0</v>
      </c>
    </row>
    <row r="950" spans="1:13" x14ac:dyDescent="0.3">
      <c r="A950" t="s">
        <v>1159</v>
      </c>
      <c r="B950">
        <v>58</v>
      </c>
      <c r="C950" s="1">
        <v>45207</v>
      </c>
      <c r="D950">
        <v>2023</v>
      </c>
      <c r="E950" t="s">
        <v>198</v>
      </c>
      <c r="F950" t="s">
        <v>13</v>
      </c>
      <c r="G950" t="s">
        <v>212</v>
      </c>
      <c r="H950" t="s">
        <v>192</v>
      </c>
      <c r="I950">
        <v>15</v>
      </c>
      <c r="J950">
        <v>3926.28</v>
      </c>
      <c r="K950">
        <v>1</v>
      </c>
      <c r="L950" t="s">
        <v>193</v>
      </c>
      <c r="M950">
        <v>1</v>
      </c>
    </row>
    <row r="951" spans="1:13" x14ac:dyDescent="0.3">
      <c r="A951" t="s">
        <v>1160</v>
      </c>
      <c r="B951">
        <v>58</v>
      </c>
      <c r="C951" s="1">
        <v>45110</v>
      </c>
      <c r="D951">
        <v>2023</v>
      </c>
      <c r="E951" t="s">
        <v>190</v>
      </c>
      <c r="F951" t="s">
        <v>13</v>
      </c>
      <c r="G951" t="s">
        <v>212</v>
      </c>
      <c r="H951" t="s">
        <v>195</v>
      </c>
      <c r="I951">
        <v>9</v>
      </c>
      <c r="J951">
        <v>3461.23</v>
      </c>
      <c r="K951">
        <v>1</v>
      </c>
      <c r="L951" t="s">
        <v>196</v>
      </c>
      <c r="M951">
        <v>1</v>
      </c>
    </row>
    <row r="952" spans="1:13" x14ac:dyDescent="0.3">
      <c r="A952" t="s">
        <v>1161</v>
      </c>
      <c r="B952">
        <v>58</v>
      </c>
      <c r="C952" s="1">
        <v>44997</v>
      </c>
      <c r="D952">
        <v>2023</v>
      </c>
      <c r="E952" t="s">
        <v>190</v>
      </c>
      <c r="F952" t="s">
        <v>13</v>
      </c>
      <c r="G952" t="s">
        <v>212</v>
      </c>
      <c r="H952" t="s">
        <v>206</v>
      </c>
      <c r="I952">
        <v>4</v>
      </c>
      <c r="J952">
        <v>3733.04</v>
      </c>
      <c r="K952">
        <v>1</v>
      </c>
      <c r="L952" t="s">
        <v>196</v>
      </c>
      <c r="M952">
        <v>1</v>
      </c>
    </row>
    <row r="953" spans="1:13" x14ac:dyDescent="0.3">
      <c r="A953" t="s">
        <v>1162</v>
      </c>
      <c r="B953">
        <v>58</v>
      </c>
      <c r="C953" s="1">
        <v>44954</v>
      </c>
      <c r="D953">
        <v>2023</v>
      </c>
      <c r="E953" t="s">
        <v>198</v>
      </c>
      <c r="F953" t="s">
        <v>13</v>
      </c>
      <c r="G953" t="s">
        <v>191</v>
      </c>
      <c r="H953" t="s">
        <v>195</v>
      </c>
      <c r="I953">
        <v>5</v>
      </c>
      <c r="J953">
        <v>2229.58</v>
      </c>
      <c r="K953">
        <v>1</v>
      </c>
      <c r="L953" t="s">
        <v>193</v>
      </c>
      <c r="M953">
        <v>0</v>
      </c>
    </row>
    <row r="954" spans="1:13" x14ac:dyDescent="0.3">
      <c r="A954" t="s">
        <v>1163</v>
      </c>
      <c r="B954">
        <v>58</v>
      </c>
      <c r="C954" s="1">
        <v>44970</v>
      </c>
      <c r="D954">
        <v>2023</v>
      </c>
      <c r="E954" t="s">
        <v>214</v>
      </c>
      <c r="F954" t="s">
        <v>199</v>
      </c>
      <c r="G954" t="s">
        <v>200</v>
      </c>
      <c r="H954" t="s">
        <v>204</v>
      </c>
      <c r="I954">
        <v>17</v>
      </c>
      <c r="J954">
        <v>5928.99</v>
      </c>
      <c r="K954">
        <v>0</v>
      </c>
      <c r="L954" t="s">
        <v>196</v>
      </c>
      <c r="M954">
        <v>0</v>
      </c>
    </row>
    <row r="955" spans="1:13" x14ac:dyDescent="0.3">
      <c r="A955" t="s">
        <v>1164</v>
      </c>
      <c r="B955">
        <v>58</v>
      </c>
      <c r="C955" s="1">
        <v>45027</v>
      </c>
      <c r="D955">
        <v>2023</v>
      </c>
      <c r="E955" t="s">
        <v>190</v>
      </c>
      <c r="F955" t="s">
        <v>199</v>
      </c>
      <c r="G955" t="s">
        <v>203</v>
      </c>
      <c r="H955" t="s">
        <v>195</v>
      </c>
      <c r="I955">
        <v>12</v>
      </c>
      <c r="J955">
        <v>7798.34</v>
      </c>
      <c r="K955">
        <v>0</v>
      </c>
      <c r="L955" t="s">
        <v>210</v>
      </c>
      <c r="M955">
        <v>0</v>
      </c>
    </row>
    <row r="956" spans="1:13" x14ac:dyDescent="0.3">
      <c r="A956" t="s">
        <v>1165</v>
      </c>
      <c r="B956">
        <v>58</v>
      </c>
      <c r="C956" s="1">
        <v>45511</v>
      </c>
      <c r="D956">
        <v>2024</v>
      </c>
      <c r="E956" t="s">
        <v>198</v>
      </c>
      <c r="F956" t="s">
        <v>199</v>
      </c>
      <c r="G956" t="s">
        <v>200</v>
      </c>
      <c r="H956" t="s">
        <v>195</v>
      </c>
      <c r="I956">
        <v>6</v>
      </c>
      <c r="J956">
        <v>7297.99</v>
      </c>
      <c r="K956">
        <v>1</v>
      </c>
      <c r="L956" t="s">
        <v>196</v>
      </c>
      <c r="M956">
        <v>0</v>
      </c>
    </row>
    <row r="957" spans="1:13" x14ac:dyDescent="0.3">
      <c r="A957" t="s">
        <v>1166</v>
      </c>
      <c r="B957">
        <v>58</v>
      </c>
      <c r="C957" s="1">
        <v>45339</v>
      </c>
      <c r="D957">
        <v>2024</v>
      </c>
      <c r="E957" t="s">
        <v>214</v>
      </c>
      <c r="F957" t="s">
        <v>199</v>
      </c>
      <c r="G957" t="s">
        <v>212</v>
      </c>
      <c r="H957" t="s">
        <v>195</v>
      </c>
      <c r="I957">
        <v>14</v>
      </c>
      <c r="J957">
        <v>5224.13</v>
      </c>
      <c r="K957">
        <v>1</v>
      </c>
      <c r="L957" t="s">
        <v>201</v>
      </c>
      <c r="M957">
        <v>1</v>
      </c>
    </row>
    <row r="958" spans="1:13" x14ac:dyDescent="0.3">
      <c r="A958" t="s">
        <v>1167</v>
      </c>
      <c r="B958">
        <v>58</v>
      </c>
      <c r="C958" s="1">
        <v>45624</v>
      </c>
      <c r="D958">
        <v>2024</v>
      </c>
      <c r="E958" t="s">
        <v>287</v>
      </c>
      <c r="F958" t="s">
        <v>199</v>
      </c>
      <c r="G958" t="s">
        <v>200</v>
      </c>
      <c r="H958" t="s">
        <v>192</v>
      </c>
      <c r="I958">
        <v>10</v>
      </c>
      <c r="J958">
        <v>7220.08</v>
      </c>
      <c r="K958">
        <v>0</v>
      </c>
      <c r="L958" t="s">
        <v>193</v>
      </c>
      <c r="M958">
        <v>1</v>
      </c>
    </row>
    <row r="959" spans="1:13" x14ac:dyDescent="0.3">
      <c r="A959" t="s">
        <v>1168</v>
      </c>
      <c r="B959">
        <v>58</v>
      </c>
      <c r="C959" s="1">
        <v>45468</v>
      </c>
      <c r="D959">
        <v>2024</v>
      </c>
      <c r="E959" t="s">
        <v>227</v>
      </c>
      <c r="F959" t="s">
        <v>13</v>
      </c>
      <c r="G959" t="s">
        <v>191</v>
      </c>
      <c r="H959" t="s">
        <v>195</v>
      </c>
      <c r="I959">
        <v>10</v>
      </c>
      <c r="J959">
        <v>3678.27</v>
      </c>
      <c r="K959">
        <v>0</v>
      </c>
      <c r="L959" t="s">
        <v>193</v>
      </c>
      <c r="M959">
        <v>0</v>
      </c>
    </row>
    <row r="960" spans="1:13" x14ac:dyDescent="0.3">
      <c r="A960" t="s">
        <v>1169</v>
      </c>
      <c r="B960">
        <v>58</v>
      </c>
      <c r="C960" s="1">
        <v>45678</v>
      </c>
      <c r="D960">
        <v>2025</v>
      </c>
      <c r="E960" t="s">
        <v>190</v>
      </c>
      <c r="F960" t="s">
        <v>199</v>
      </c>
      <c r="G960" t="s">
        <v>191</v>
      </c>
      <c r="H960" t="s">
        <v>192</v>
      </c>
      <c r="I960">
        <v>9</v>
      </c>
      <c r="J960">
        <v>7115.29</v>
      </c>
      <c r="K960">
        <v>0</v>
      </c>
      <c r="L960" t="s">
        <v>196</v>
      </c>
      <c r="M960">
        <v>1</v>
      </c>
    </row>
    <row r="961" spans="1:13" x14ac:dyDescent="0.3">
      <c r="A961" t="s">
        <v>1170</v>
      </c>
      <c r="B961">
        <v>59</v>
      </c>
      <c r="C961" s="1">
        <v>44296</v>
      </c>
      <c r="D961">
        <v>2021</v>
      </c>
      <c r="E961" t="s">
        <v>219</v>
      </c>
      <c r="F961" t="s">
        <v>13</v>
      </c>
      <c r="G961" t="s">
        <v>212</v>
      </c>
      <c r="H961" t="s">
        <v>204</v>
      </c>
      <c r="I961">
        <v>7</v>
      </c>
      <c r="J961">
        <v>2409.6799999999998</v>
      </c>
      <c r="K961">
        <v>0</v>
      </c>
      <c r="L961" t="s">
        <v>201</v>
      </c>
      <c r="M961">
        <v>1</v>
      </c>
    </row>
    <row r="962" spans="1:13" x14ac:dyDescent="0.3">
      <c r="A962" t="s">
        <v>1171</v>
      </c>
      <c r="B962">
        <v>59</v>
      </c>
      <c r="C962" s="1">
        <v>44447</v>
      </c>
      <c r="D962">
        <v>2021</v>
      </c>
      <c r="E962" t="s">
        <v>214</v>
      </c>
      <c r="F962" t="s">
        <v>12</v>
      </c>
      <c r="G962" t="s">
        <v>200</v>
      </c>
      <c r="H962" t="s">
        <v>195</v>
      </c>
      <c r="I962">
        <v>1</v>
      </c>
      <c r="J962">
        <v>540.69000000000005</v>
      </c>
      <c r="K962">
        <v>0</v>
      </c>
      <c r="L962" t="s">
        <v>215</v>
      </c>
      <c r="M962">
        <v>1</v>
      </c>
    </row>
    <row r="963" spans="1:13" x14ac:dyDescent="0.3">
      <c r="A963" t="s">
        <v>1172</v>
      </c>
      <c r="B963">
        <v>59</v>
      </c>
      <c r="C963" s="1">
        <v>44354</v>
      </c>
      <c r="D963">
        <v>2021</v>
      </c>
      <c r="E963" t="s">
        <v>190</v>
      </c>
      <c r="F963" t="s">
        <v>199</v>
      </c>
      <c r="G963" t="s">
        <v>200</v>
      </c>
      <c r="H963" t="s">
        <v>195</v>
      </c>
      <c r="I963">
        <v>5</v>
      </c>
      <c r="J963">
        <v>3417.72</v>
      </c>
      <c r="K963">
        <v>1</v>
      </c>
      <c r="L963" t="s">
        <v>193</v>
      </c>
      <c r="M963">
        <v>0</v>
      </c>
    </row>
    <row r="964" spans="1:13" x14ac:dyDescent="0.3">
      <c r="A964" t="s">
        <v>1173</v>
      </c>
      <c r="B964">
        <v>59</v>
      </c>
      <c r="C964" s="1">
        <v>44654</v>
      </c>
      <c r="D964">
        <v>2022</v>
      </c>
      <c r="E964" t="s">
        <v>219</v>
      </c>
      <c r="F964" t="s">
        <v>12</v>
      </c>
      <c r="G964" t="s">
        <v>212</v>
      </c>
      <c r="H964" t="s">
        <v>192</v>
      </c>
      <c r="I964">
        <v>2</v>
      </c>
      <c r="J964">
        <v>259.14999999999998</v>
      </c>
      <c r="K964">
        <v>0</v>
      </c>
      <c r="L964" t="s">
        <v>201</v>
      </c>
      <c r="M964">
        <v>1</v>
      </c>
    </row>
    <row r="965" spans="1:13" x14ac:dyDescent="0.3">
      <c r="A965" t="s">
        <v>1174</v>
      </c>
      <c r="B965">
        <v>59</v>
      </c>
      <c r="C965" s="1">
        <v>45283</v>
      </c>
      <c r="D965">
        <v>2023</v>
      </c>
      <c r="E965" t="s">
        <v>219</v>
      </c>
      <c r="F965" t="s">
        <v>13</v>
      </c>
      <c r="G965" t="s">
        <v>203</v>
      </c>
      <c r="H965" t="s">
        <v>195</v>
      </c>
      <c r="I965">
        <v>10</v>
      </c>
      <c r="J965">
        <v>3993.49</v>
      </c>
      <c r="K965">
        <v>1</v>
      </c>
      <c r="L965" t="s">
        <v>201</v>
      </c>
      <c r="M965">
        <v>0</v>
      </c>
    </row>
    <row r="966" spans="1:13" x14ac:dyDescent="0.3">
      <c r="A966" t="s">
        <v>1175</v>
      </c>
      <c r="B966">
        <v>59</v>
      </c>
      <c r="C966" s="1">
        <v>45215</v>
      </c>
      <c r="D966">
        <v>2023</v>
      </c>
      <c r="E966" t="s">
        <v>214</v>
      </c>
      <c r="F966" t="s">
        <v>199</v>
      </c>
      <c r="G966" t="s">
        <v>200</v>
      </c>
      <c r="H966" t="s">
        <v>195</v>
      </c>
      <c r="I966">
        <v>13</v>
      </c>
      <c r="J966">
        <v>7736.65</v>
      </c>
      <c r="K966">
        <v>0</v>
      </c>
      <c r="L966" t="s">
        <v>193</v>
      </c>
      <c r="M966">
        <v>0</v>
      </c>
    </row>
    <row r="967" spans="1:13" x14ac:dyDescent="0.3">
      <c r="A967" t="s">
        <v>1176</v>
      </c>
      <c r="B967">
        <v>59</v>
      </c>
      <c r="C967" s="1">
        <v>45009</v>
      </c>
      <c r="D967">
        <v>2023</v>
      </c>
      <c r="E967" t="s">
        <v>214</v>
      </c>
      <c r="F967" t="s">
        <v>199</v>
      </c>
      <c r="G967" t="s">
        <v>200</v>
      </c>
      <c r="H967" t="s">
        <v>192</v>
      </c>
      <c r="I967">
        <v>14</v>
      </c>
      <c r="J967">
        <v>7955.21</v>
      </c>
      <c r="K967">
        <v>0</v>
      </c>
      <c r="L967" t="s">
        <v>193</v>
      </c>
      <c r="M967">
        <v>0</v>
      </c>
    </row>
    <row r="968" spans="1:13" x14ac:dyDescent="0.3">
      <c r="A968" t="s">
        <v>1177</v>
      </c>
      <c r="B968">
        <v>59</v>
      </c>
      <c r="C968" s="1">
        <v>45439</v>
      </c>
      <c r="D968">
        <v>2024</v>
      </c>
      <c r="E968" t="s">
        <v>190</v>
      </c>
      <c r="F968" t="s">
        <v>209</v>
      </c>
      <c r="G968" t="s">
        <v>203</v>
      </c>
      <c r="H968" t="s">
        <v>195</v>
      </c>
      <c r="I968">
        <v>5</v>
      </c>
      <c r="J968">
        <v>30.97</v>
      </c>
      <c r="K968">
        <v>0</v>
      </c>
      <c r="L968" t="s">
        <v>210</v>
      </c>
      <c r="M968">
        <v>0</v>
      </c>
    </row>
    <row r="969" spans="1:13" x14ac:dyDescent="0.3">
      <c r="A969" t="s">
        <v>1178</v>
      </c>
      <c r="B969">
        <v>59</v>
      </c>
      <c r="C969" s="1">
        <v>45749</v>
      </c>
      <c r="D969">
        <v>2025</v>
      </c>
      <c r="E969" t="s">
        <v>214</v>
      </c>
      <c r="F969" t="s">
        <v>12</v>
      </c>
      <c r="G969" t="s">
        <v>203</v>
      </c>
      <c r="H969" t="s">
        <v>195</v>
      </c>
      <c r="I969">
        <v>11</v>
      </c>
      <c r="J969">
        <v>439.31</v>
      </c>
      <c r="K969">
        <v>0</v>
      </c>
      <c r="L969" t="s">
        <v>210</v>
      </c>
      <c r="M969">
        <v>1</v>
      </c>
    </row>
    <row r="970" spans="1:13" x14ac:dyDescent="0.3">
      <c r="A970" t="s">
        <v>1179</v>
      </c>
      <c r="B970">
        <v>59</v>
      </c>
      <c r="C970" s="1">
        <v>45760</v>
      </c>
      <c r="D970">
        <v>2025</v>
      </c>
      <c r="E970" t="s">
        <v>214</v>
      </c>
      <c r="F970" t="s">
        <v>12</v>
      </c>
      <c r="G970" t="s">
        <v>203</v>
      </c>
      <c r="H970" t="s">
        <v>195</v>
      </c>
      <c r="I970">
        <v>9</v>
      </c>
      <c r="J970">
        <v>979.24</v>
      </c>
      <c r="K970">
        <v>0</v>
      </c>
      <c r="L970" t="s">
        <v>210</v>
      </c>
      <c r="M970">
        <v>0</v>
      </c>
    </row>
    <row r="971" spans="1:13" x14ac:dyDescent="0.3">
      <c r="A971" t="s">
        <v>1180</v>
      </c>
      <c r="B971">
        <v>59</v>
      </c>
      <c r="C971" s="1">
        <v>45659</v>
      </c>
      <c r="D971">
        <v>2025</v>
      </c>
      <c r="E971" t="s">
        <v>198</v>
      </c>
      <c r="F971" t="s">
        <v>13</v>
      </c>
      <c r="G971" t="s">
        <v>200</v>
      </c>
      <c r="H971" t="s">
        <v>195</v>
      </c>
      <c r="I971">
        <v>14</v>
      </c>
      <c r="J971">
        <v>2846.01</v>
      </c>
      <c r="K971">
        <v>1</v>
      </c>
      <c r="L971" t="s">
        <v>193</v>
      </c>
      <c r="M971">
        <v>0</v>
      </c>
    </row>
    <row r="972" spans="1:13" x14ac:dyDescent="0.3">
      <c r="A972" t="s">
        <v>1181</v>
      </c>
      <c r="B972">
        <v>59</v>
      </c>
      <c r="C972" s="1">
        <v>45875</v>
      </c>
      <c r="D972">
        <v>2025</v>
      </c>
      <c r="E972" t="s">
        <v>198</v>
      </c>
      <c r="F972" t="s">
        <v>199</v>
      </c>
      <c r="G972" t="s">
        <v>212</v>
      </c>
      <c r="H972" t="s">
        <v>195</v>
      </c>
      <c r="I972">
        <v>8</v>
      </c>
      <c r="J972">
        <v>5099.38</v>
      </c>
      <c r="K972">
        <v>1</v>
      </c>
      <c r="L972" t="s">
        <v>196</v>
      </c>
      <c r="M972">
        <v>1</v>
      </c>
    </row>
    <row r="973" spans="1:13" x14ac:dyDescent="0.3">
      <c r="A973" t="s">
        <v>1182</v>
      </c>
      <c r="B973">
        <v>59</v>
      </c>
      <c r="C973" s="1">
        <v>45722</v>
      </c>
      <c r="D973">
        <v>2025</v>
      </c>
      <c r="E973" t="s">
        <v>198</v>
      </c>
      <c r="F973" t="s">
        <v>199</v>
      </c>
      <c r="G973" t="s">
        <v>203</v>
      </c>
      <c r="H973" t="s">
        <v>195</v>
      </c>
      <c r="I973">
        <v>8</v>
      </c>
      <c r="J973">
        <v>6404.7</v>
      </c>
      <c r="K973">
        <v>1</v>
      </c>
      <c r="L973" t="s">
        <v>196</v>
      </c>
      <c r="M973">
        <v>0</v>
      </c>
    </row>
    <row r="974" spans="1:13" x14ac:dyDescent="0.3">
      <c r="A974" t="s">
        <v>1183</v>
      </c>
      <c r="B974">
        <v>59</v>
      </c>
      <c r="C974" s="1">
        <v>45873</v>
      </c>
      <c r="D974">
        <v>2025</v>
      </c>
      <c r="E974" t="s">
        <v>219</v>
      </c>
      <c r="F974" t="s">
        <v>199</v>
      </c>
      <c r="G974" t="s">
        <v>191</v>
      </c>
      <c r="H974" t="s">
        <v>195</v>
      </c>
      <c r="I974">
        <v>17</v>
      </c>
      <c r="J974">
        <v>4185.16</v>
      </c>
      <c r="K974">
        <v>1</v>
      </c>
      <c r="L974" t="s">
        <v>193</v>
      </c>
      <c r="M974">
        <v>0</v>
      </c>
    </row>
    <row r="975" spans="1:13" x14ac:dyDescent="0.3">
      <c r="A975" t="s">
        <v>1184</v>
      </c>
      <c r="B975">
        <v>60</v>
      </c>
      <c r="C975" s="1">
        <v>44326</v>
      </c>
      <c r="D975">
        <v>2021</v>
      </c>
      <c r="E975" t="s">
        <v>287</v>
      </c>
      <c r="F975" t="s">
        <v>12</v>
      </c>
      <c r="G975" t="s">
        <v>200</v>
      </c>
      <c r="H975" t="s">
        <v>195</v>
      </c>
      <c r="I975">
        <v>17</v>
      </c>
      <c r="J975">
        <v>430.09</v>
      </c>
      <c r="K975">
        <v>0</v>
      </c>
      <c r="L975" t="s">
        <v>201</v>
      </c>
      <c r="M975">
        <v>0</v>
      </c>
    </row>
    <row r="976" spans="1:13" x14ac:dyDescent="0.3">
      <c r="A976" t="s">
        <v>1185</v>
      </c>
      <c r="B976">
        <v>60</v>
      </c>
      <c r="C976" s="1">
        <v>44232</v>
      </c>
      <c r="D976">
        <v>2021</v>
      </c>
      <c r="E976" t="s">
        <v>198</v>
      </c>
      <c r="F976" t="s">
        <v>13</v>
      </c>
      <c r="G976" t="s">
        <v>200</v>
      </c>
      <c r="H976" t="s">
        <v>195</v>
      </c>
      <c r="I976">
        <v>16</v>
      </c>
      <c r="J976">
        <v>3225.72</v>
      </c>
      <c r="K976">
        <v>1</v>
      </c>
      <c r="L976" t="s">
        <v>201</v>
      </c>
      <c r="M976">
        <v>1</v>
      </c>
    </row>
    <row r="977" spans="1:13" x14ac:dyDescent="0.3">
      <c r="A977" t="s">
        <v>1186</v>
      </c>
      <c r="B977">
        <v>60</v>
      </c>
      <c r="C977" s="1">
        <v>44397</v>
      </c>
      <c r="D977">
        <v>2021</v>
      </c>
      <c r="E977" t="s">
        <v>198</v>
      </c>
      <c r="F977" t="s">
        <v>13</v>
      </c>
      <c r="G977" t="s">
        <v>203</v>
      </c>
      <c r="H977" t="s">
        <v>195</v>
      </c>
      <c r="I977">
        <v>3</v>
      </c>
      <c r="J977">
        <v>1947.42</v>
      </c>
      <c r="K977">
        <v>1</v>
      </c>
      <c r="L977" t="s">
        <v>193</v>
      </c>
      <c r="M977">
        <v>0</v>
      </c>
    </row>
    <row r="978" spans="1:13" x14ac:dyDescent="0.3">
      <c r="A978" t="s">
        <v>1187</v>
      </c>
      <c r="B978">
        <v>60</v>
      </c>
      <c r="C978" s="1">
        <v>44515</v>
      </c>
      <c r="D978">
        <v>2021</v>
      </c>
      <c r="E978" t="s">
        <v>225</v>
      </c>
      <c r="F978" t="s">
        <v>13</v>
      </c>
      <c r="G978" t="s">
        <v>212</v>
      </c>
      <c r="H978" t="s">
        <v>204</v>
      </c>
      <c r="I978">
        <v>11</v>
      </c>
      <c r="J978">
        <v>2034.84</v>
      </c>
      <c r="K978">
        <v>0</v>
      </c>
      <c r="L978" t="s">
        <v>201</v>
      </c>
      <c r="M978">
        <v>1</v>
      </c>
    </row>
    <row r="979" spans="1:13" x14ac:dyDescent="0.3">
      <c r="A979" t="s">
        <v>1188</v>
      </c>
      <c r="B979">
        <v>60</v>
      </c>
      <c r="C979" s="1">
        <v>44605</v>
      </c>
      <c r="D979">
        <v>2022</v>
      </c>
      <c r="E979" t="s">
        <v>214</v>
      </c>
      <c r="F979" t="s">
        <v>209</v>
      </c>
      <c r="G979" t="s">
        <v>212</v>
      </c>
      <c r="H979" t="s">
        <v>204</v>
      </c>
      <c r="I979">
        <v>12</v>
      </c>
      <c r="J979">
        <v>573.04999999999995</v>
      </c>
      <c r="K979">
        <v>0</v>
      </c>
      <c r="L979" t="s">
        <v>215</v>
      </c>
      <c r="M979">
        <v>1</v>
      </c>
    </row>
    <row r="980" spans="1:13" x14ac:dyDescent="0.3">
      <c r="A980" t="s">
        <v>1189</v>
      </c>
      <c r="B980">
        <v>60</v>
      </c>
      <c r="C980" s="1">
        <v>44598</v>
      </c>
      <c r="D980">
        <v>2022</v>
      </c>
      <c r="E980" t="s">
        <v>190</v>
      </c>
      <c r="F980" t="s">
        <v>12</v>
      </c>
      <c r="G980" t="s">
        <v>212</v>
      </c>
      <c r="H980" t="s">
        <v>204</v>
      </c>
      <c r="I980">
        <v>8</v>
      </c>
      <c r="J980">
        <v>606.91999999999996</v>
      </c>
      <c r="K980">
        <v>0</v>
      </c>
      <c r="L980" t="s">
        <v>210</v>
      </c>
      <c r="M980">
        <v>1</v>
      </c>
    </row>
    <row r="981" spans="1:13" x14ac:dyDescent="0.3">
      <c r="A981" t="s">
        <v>1190</v>
      </c>
      <c r="B981">
        <v>60</v>
      </c>
      <c r="C981" s="1">
        <v>45062</v>
      </c>
      <c r="D981">
        <v>2023</v>
      </c>
      <c r="E981" t="s">
        <v>219</v>
      </c>
      <c r="F981" t="s">
        <v>13</v>
      </c>
      <c r="G981" t="s">
        <v>191</v>
      </c>
      <c r="H981" t="s">
        <v>195</v>
      </c>
      <c r="I981">
        <v>5</v>
      </c>
      <c r="J981">
        <v>2263.9</v>
      </c>
      <c r="K981">
        <v>0</v>
      </c>
      <c r="L981" t="s">
        <v>193</v>
      </c>
      <c r="M981">
        <v>0</v>
      </c>
    </row>
    <row r="982" spans="1:13" x14ac:dyDescent="0.3">
      <c r="A982" t="s">
        <v>1191</v>
      </c>
      <c r="B982">
        <v>60</v>
      </c>
      <c r="C982" s="1">
        <v>44943</v>
      </c>
      <c r="D982">
        <v>2023</v>
      </c>
      <c r="E982" t="s">
        <v>219</v>
      </c>
      <c r="F982" t="s">
        <v>12</v>
      </c>
      <c r="G982" t="s">
        <v>203</v>
      </c>
      <c r="H982" t="s">
        <v>192</v>
      </c>
      <c r="I982">
        <v>7</v>
      </c>
      <c r="J982">
        <v>538.4</v>
      </c>
      <c r="K982">
        <v>0</v>
      </c>
      <c r="L982" t="s">
        <v>201</v>
      </c>
      <c r="M982">
        <v>0</v>
      </c>
    </row>
    <row r="983" spans="1:13" x14ac:dyDescent="0.3">
      <c r="A983" t="s">
        <v>1192</v>
      </c>
      <c r="B983">
        <v>60</v>
      </c>
      <c r="C983" s="1">
        <v>45567</v>
      </c>
      <c r="D983">
        <v>2024</v>
      </c>
      <c r="E983" t="s">
        <v>219</v>
      </c>
      <c r="F983" t="s">
        <v>13</v>
      </c>
      <c r="G983" t="s">
        <v>203</v>
      </c>
      <c r="H983" t="s">
        <v>204</v>
      </c>
      <c r="I983">
        <v>10</v>
      </c>
      <c r="J983">
        <v>2713.84</v>
      </c>
      <c r="K983">
        <v>1</v>
      </c>
      <c r="L983" t="s">
        <v>215</v>
      </c>
      <c r="M983">
        <v>1</v>
      </c>
    </row>
    <row r="984" spans="1:13" x14ac:dyDescent="0.3">
      <c r="A984" t="s">
        <v>1193</v>
      </c>
      <c r="B984">
        <v>60</v>
      </c>
      <c r="C984" s="1">
        <v>45395</v>
      </c>
      <c r="D984">
        <v>2024</v>
      </c>
      <c r="E984" t="s">
        <v>190</v>
      </c>
      <c r="F984" t="s">
        <v>13</v>
      </c>
      <c r="G984" t="s">
        <v>203</v>
      </c>
      <c r="H984" t="s">
        <v>195</v>
      </c>
      <c r="I984">
        <v>18</v>
      </c>
      <c r="J984">
        <v>2311.14</v>
      </c>
      <c r="K984">
        <v>1</v>
      </c>
      <c r="L984" t="s">
        <v>201</v>
      </c>
      <c r="M984">
        <v>0</v>
      </c>
    </row>
    <row r="985" spans="1:13" x14ac:dyDescent="0.3">
      <c r="A985" t="s">
        <v>1194</v>
      </c>
      <c r="B985">
        <v>60</v>
      </c>
      <c r="C985" s="1">
        <v>45330</v>
      </c>
      <c r="D985">
        <v>2024</v>
      </c>
      <c r="E985" t="s">
        <v>219</v>
      </c>
      <c r="F985" t="s">
        <v>12</v>
      </c>
      <c r="G985" t="s">
        <v>200</v>
      </c>
      <c r="H985" t="s">
        <v>192</v>
      </c>
      <c r="I985">
        <v>5</v>
      </c>
      <c r="J985">
        <v>460.22</v>
      </c>
      <c r="K985">
        <v>0</v>
      </c>
      <c r="L985" t="s">
        <v>210</v>
      </c>
      <c r="M985">
        <v>1</v>
      </c>
    </row>
    <row r="986" spans="1:13" x14ac:dyDescent="0.3">
      <c r="A986" t="s">
        <v>1195</v>
      </c>
      <c r="B986">
        <v>60</v>
      </c>
      <c r="C986" s="1">
        <v>45669</v>
      </c>
      <c r="D986">
        <v>2025</v>
      </c>
      <c r="E986" t="s">
        <v>227</v>
      </c>
      <c r="F986" t="s">
        <v>13</v>
      </c>
      <c r="G986" t="s">
        <v>212</v>
      </c>
      <c r="H986" t="s">
        <v>204</v>
      </c>
      <c r="I986">
        <v>18</v>
      </c>
      <c r="J986">
        <v>3379.84</v>
      </c>
      <c r="K986">
        <v>1</v>
      </c>
      <c r="L986" t="s">
        <v>201</v>
      </c>
      <c r="M986">
        <v>1</v>
      </c>
    </row>
    <row r="987" spans="1:13" x14ac:dyDescent="0.3">
      <c r="A987" t="s">
        <v>1196</v>
      </c>
      <c r="B987">
        <v>60</v>
      </c>
      <c r="C987" s="1">
        <v>45877</v>
      </c>
      <c r="D987">
        <v>2025</v>
      </c>
      <c r="E987" t="s">
        <v>219</v>
      </c>
      <c r="F987" t="s">
        <v>209</v>
      </c>
      <c r="G987" t="s">
        <v>212</v>
      </c>
      <c r="H987" t="s">
        <v>195</v>
      </c>
      <c r="I987">
        <v>8</v>
      </c>
      <c r="J987">
        <v>53.99</v>
      </c>
      <c r="K987">
        <v>0</v>
      </c>
      <c r="L987" t="s">
        <v>193</v>
      </c>
      <c r="M987">
        <v>1</v>
      </c>
    </row>
    <row r="988" spans="1:13" x14ac:dyDescent="0.3">
      <c r="A988" t="s">
        <v>1197</v>
      </c>
      <c r="B988">
        <v>60</v>
      </c>
      <c r="C988" s="1">
        <v>45658</v>
      </c>
      <c r="D988">
        <v>2025</v>
      </c>
      <c r="E988" t="s">
        <v>198</v>
      </c>
      <c r="F988" t="s">
        <v>13</v>
      </c>
      <c r="G988" t="s">
        <v>191</v>
      </c>
      <c r="H988" t="s">
        <v>192</v>
      </c>
      <c r="I988">
        <v>14</v>
      </c>
      <c r="J988">
        <v>2483.42</v>
      </c>
      <c r="K988">
        <v>1</v>
      </c>
      <c r="L988" t="s">
        <v>201</v>
      </c>
      <c r="M988">
        <v>0</v>
      </c>
    </row>
    <row r="989" spans="1:13" x14ac:dyDescent="0.3">
      <c r="A989" t="s">
        <v>1198</v>
      </c>
      <c r="B989">
        <v>60</v>
      </c>
      <c r="C989" s="1">
        <v>45925</v>
      </c>
      <c r="D989">
        <v>2025</v>
      </c>
      <c r="E989" t="s">
        <v>225</v>
      </c>
      <c r="F989" t="s">
        <v>13</v>
      </c>
      <c r="G989" t="s">
        <v>200</v>
      </c>
      <c r="H989" t="s">
        <v>206</v>
      </c>
      <c r="I989">
        <v>15</v>
      </c>
      <c r="J989">
        <v>2010.52</v>
      </c>
      <c r="K989">
        <v>1</v>
      </c>
      <c r="L989" t="s">
        <v>196</v>
      </c>
      <c r="M989">
        <v>0</v>
      </c>
    </row>
    <row r="990" spans="1:13" x14ac:dyDescent="0.3">
      <c r="A990" t="s">
        <v>1199</v>
      </c>
      <c r="B990">
        <v>61</v>
      </c>
      <c r="C990" s="1">
        <v>44393</v>
      </c>
      <c r="D990">
        <v>2021</v>
      </c>
      <c r="E990" t="s">
        <v>225</v>
      </c>
      <c r="F990" t="s">
        <v>199</v>
      </c>
      <c r="G990" t="s">
        <v>191</v>
      </c>
      <c r="H990" t="s">
        <v>195</v>
      </c>
      <c r="I990">
        <v>13</v>
      </c>
      <c r="J990">
        <v>3153.07</v>
      </c>
      <c r="K990">
        <v>1</v>
      </c>
      <c r="L990" t="s">
        <v>193</v>
      </c>
      <c r="M990">
        <v>1</v>
      </c>
    </row>
    <row r="991" spans="1:13" x14ac:dyDescent="0.3">
      <c r="A991" t="s">
        <v>1200</v>
      </c>
      <c r="B991">
        <v>61</v>
      </c>
      <c r="C991" s="1">
        <v>44231</v>
      </c>
      <c r="D991">
        <v>2021</v>
      </c>
      <c r="E991" t="s">
        <v>214</v>
      </c>
      <c r="F991" t="s">
        <v>209</v>
      </c>
      <c r="G991" t="s">
        <v>212</v>
      </c>
      <c r="H991" t="s">
        <v>195</v>
      </c>
      <c r="I991">
        <v>9</v>
      </c>
      <c r="J991">
        <v>197.84</v>
      </c>
      <c r="K991">
        <v>0</v>
      </c>
      <c r="L991" t="s">
        <v>210</v>
      </c>
      <c r="M991">
        <v>1</v>
      </c>
    </row>
    <row r="992" spans="1:13" x14ac:dyDescent="0.3">
      <c r="A992" t="s">
        <v>1201</v>
      </c>
      <c r="B992">
        <v>61</v>
      </c>
      <c r="C992" s="1">
        <v>44321</v>
      </c>
      <c r="D992">
        <v>2021</v>
      </c>
      <c r="E992" t="s">
        <v>214</v>
      </c>
      <c r="F992" t="s">
        <v>209</v>
      </c>
      <c r="G992" t="s">
        <v>200</v>
      </c>
      <c r="H992" t="s">
        <v>195</v>
      </c>
      <c r="I992">
        <v>7</v>
      </c>
      <c r="J992">
        <v>194.37</v>
      </c>
      <c r="K992">
        <v>0</v>
      </c>
      <c r="L992" t="s">
        <v>215</v>
      </c>
      <c r="M992">
        <v>0</v>
      </c>
    </row>
    <row r="993" spans="1:13" x14ac:dyDescent="0.3">
      <c r="A993" t="s">
        <v>1202</v>
      </c>
      <c r="B993">
        <v>61</v>
      </c>
      <c r="C993" s="1">
        <v>44761</v>
      </c>
      <c r="D993">
        <v>2022</v>
      </c>
      <c r="E993" t="s">
        <v>219</v>
      </c>
      <c r="F993" t="s">
        <v>209</v>
      </c>
      <c r="G993" t="s">
        <v>212</v>
      </c>
      <c r="H993" t="s">
        <v>206</v>
      </c>
      <c r="I993">
        <v>2</v>
      </c>
      <c r="J993">
        <v>517.94000000000005</v>
      </c>
      <c r="K993">
        <v>0</v>
      </c>
      <c r="L993" t="s">
        <v>210</v>
      </c>
      <c r="M993">
        <v>1</v>
      </c>
    </row>
    <row r="994" spans="1:13" x14ac:dyDescent="0.3">
      <c r="A994" t="s">
        <v>1203</v>
      </c>
      <c r="B994">
        <v>61</v>
      </c>
      <c r="C994" s="1">
        <v>44565</v>
      </c>
      <c r="D994">
        <v>2022</v>
      </c>
      <c r="E994" t="s">
        <v>214</v>
      </c>
      <c r="F994" t="s">
        <v>209</v>
      </c>
      <c r="G994" t="s">
        <v>212</v>
      </c>
      <c r="H994" t="s">
        <v>192</v>
      </c>
      <c r="I994">
        <v>6</v>
      </c>
      <c r="J994">
        <v>486.07</v>
      </c>
      <c r="K994">
        <v>0</v>
      </c>
      <c r="L994" t="s">
        <v>210</v>
      </c>
      <c r="M994">
        <v>1</v>
      </c>
    </row>
    <row r="995" spans="1:13" x14ac:dyDescent="0.3">
      <c r="A995" t="s">
        <v>1204</v>
      </c>
      <c r="B995">
        <v>61</v>
      </c>
      <c r="C995" s="1">
        <v>45277</v>
      </c>
      <c r="D995">
        <v>2023</v>
      </c>
      <c r="E995" t="s">
        <v>214</v>
      </c>
      <c r="F995" t="s">
        <v>209</v>
      </c>
      <c r="G995" t="s">
        <v>212</v>
      </c>
      <c r="H995" t="s">
        <v>195</v>
      </c>
      <c r="I995">
        <v>1</v>
      </c>
      <c r="J995">
        <v>553.47</v>
      </c>
      <c r="K995">
        <v>0</v>
      </c>
      <c r="L995" t="s">
        <v>215</v>
      </c>
      <c r="M995">
        <v>1</v>
      </c>
    </row>
    <row r="996" spans="1:13" x14ac:dyDescent="0.3">
      <c r="A996" t="s">
        <v>1205</v>
      </c>
      <c r="B996">
        <v>61</v>
      </c>
      <c r="C996" s="1">
        <v>45353</v>
      </c>
      <c r="D996">
        <v>2024</v>
      </c>
      <c r="E996" t="s">
        <v>219</v>
      </c>
      <c r="F996" t="s">
        <v>13</v>
      </c>
      <c r="G996" t="s">
        <v>200</v>
      </c>
      <c r="H996" t="s">
        <v>195</v>
      </c>
      <c r="I996">
        <v>5</v>
      </c>
      <c r="J996">
        <v>1974.29</v>
      </c>
      <c r="K996">
        <v>0</v>
      </c>
      <c r="L996" t="s">
        <v>201</v>
      </c>
      <c r="M996">
        <v>1</v>
      </c>
    </row>
    <row r="997" spans="1:13" x14ac:dyDescent="0.3">
      <c r="A997" t="s">
        <v>1206</v>
      </c>
      <c r="B997">
        <v>61</v>
      </c>
      <c r="C997" s="1">
        <v>45603</v>
      </c>
      <c r="D997">
        <v>2024</v>
      </c>
      <c r="E997" t="s">
        <v>225</v>
      </c>
      <c r="F997" t="s">
        <v>12</v>
      </c>
      <c r="G997" t="s">
        <v>191</v>
      </c>
      <c r="H997" t="s">
        <v>195</v>
      </c>
      <c r="I997">
        <v>3</v>
      </c>
      <c r="J997">
        <v>818.04</v>
      </c>
      <c r="K997">
        <v>0</v>
      </c>
      <c r="L997" t="s">
        <v>215</v>
      </c>
      <c r="M997">
        <v>0</v>
      </c>
    </row>
    <row r="998" spans="1:13" x14ac:dyDescent="0.3">
      <c r="A998" t="s">
        <v>1207</v>
      </c>
      <c r="B998">
        <v>61</v>
      </c>
      <c r="C998" s="1">
        <v>45540</v>
      </c>
      <c r="D998">
        <v>2024</v>
      </c>
      <c r="E998" t="s">
        <v>219</v>
      </c>
      <c r="F998" t="s">
        <v>12</v>
      </c>
      <c r="G998" t="s">
        <v>212</v>
      </c>
      <c r="H998" t="s">
        <v>204</v>
      </c>
      <c r="I998">
        <v>17</v>
      </c>
      <c r="J998">
        <v>1422.84</v>
      </c>
      <c r="K998">
        <v>0</v>
      </c>
      <c r="L998" t="s">
        <v>196</v>
      </c>
      <c r="M998">
        <v>1</v>
      </c>
    </row>
    <row r="999" spans="1:13" x14ac:dyDescent="0.3">
      <c r="A999" t="s">
        <v>1208</v>
      </c>
      <c r="B999">
        <v>61</v>
      </c>
      <c r="C999" s="1">
        <v>45455</v>
      </c>
      <c r="D999">
        <v>2024</v>
      </c>
      <c r="E999" t="s">
        <v>219</v>
      </c>
      <c r="F999" t="s">
        <v>12</v>
      </c>
      <c r="G999" t="s">
        <v>191</v>
      </c>
      <c r="H999" t="s">
        <v>195</v>
      </c>
      <c r="I999">
        <v>13</v>
      </c>
      <c r="J999">
        <v>1354.21</v>
      </c>
      <c r="K999">
        <v>0</v>
      </c>
      <c r="L999" t="s">
        <v>201</v>
      </c>
      <c r="M999">
        <v>0</v>
      </c>
    </row>
    <row r="1000" spans="1:13" x14ac:dyDescent="0.3">
      <c r="A1000" t="s">
        <v>1209</v>
      </c>
      <c r="B1000">
        <v>61</v>
      </c>
      <c r="C1000" s="1">
        <v>45426</v>
      </c>
      <c r="D1000">
        <v>2024</v>
      </c>
      <c r="E1000" t="s">
        <v>225</v>
      </c>
      <c r="F1000" t="s">
        <v>209</v>
      </c>
      <c r="G1000" t="s">
        <v>203</v>
      </c>
      <c r="H1000" t="s">
        <v>195</v>
      </c>
      <c r="I1000">
        <v>3</v>
      </c>
      <c r="J1000">
        <v>85.99</v>
      </c>
      <c r="K1000">
        <v>0</v>
      </c>
      <c r="L1000" t="s">
        <v>215</v>
      </c>
      <c r="M1000">
        <v>1</v>
      </c>
    </row>
    <row r="1001" spans="1:13" x14ac:dyDescent="0.3">
      <c r="A1001" t="s">
        <v>1210</v>
      </c>
      <c r="B1001">
        <v>61</v>
      </c>
      <c r="C1001" s="1">
        <v>45358</v>
      </c>
      <c r="D1001">
        <v>2024</v>
      </c>
      <c r="E1001" t="s">
        <v>287</v>
      </c>
      <c r="F1001" t="s">
        <v>12</v>
      </c>
      <c r="G1001" t="s">
        <v>212</v>
      </c>
      <c r="H1001" t="s">
        <v>195</v>
      </c>
      <c r="I1001">
        <v>3</v>
      </c>
      <c r="J1001">
        <v>784.02</v>
      </c>
      <c r="K1001">
        <v>0</v>
      </c>
      <c r="L1001" t="s">
        <v>210</v>
      </c>
      <c r="M1001">
        <v>1</v>
      </c>
    </row>
    <row r="1002" spans="1:13" x14ac:dyDescent="0.3">
      <c r="A1002" t="s">
        <v>1211</v>
      </c>
      <c r="B1002">
        <v>61</v>
      </c>
      <c r="C1002" s="1">
        <v>45923</v>
      </c>
      <c r="D1002">
        <v>2025</v>
      </c>
      <c r="E1002" t="s">
        <v>214</v>
      </c>
      <c r="F1002" t="s">
        <v>12</v>
      </c>
      <c r="G1002" t="s">
        <v>203</v>
      </c>
      <c r="H1002" t="s">
        <v>192</v>
      </c>
      <c r="I1002">
        <v>13</v>
      </c>
      <c r="J1002">
        <v>1364.01</v>
      </c>
      <c r="K1002">
        <v>0</v>
      </c>
      <c r="L1002" t="s">
        <v>210</v>
      </c>
      <c r="M1002">
        <v>0</v>
      </c>
    </row>
    <row r="1003" spans="1:13" x14ac:dyDescent="0.3">
      <c r="A1003" t="s">
        <v>1212</v>
      </c>
      <c r="B1003">
        <v>61</v>
      </c>
      <c r="C1003" s="1">
        <v>45993</v>
      </c>
      <c r="D1003">
        <v>2025</v>
      </c>
      <c r="E1003" t="s">
        <v>214</v>
      </c>
      <c r="F1003" t="s">
        <v>13</v>
      </c>
      <c r="G1003" t="s">
        <v>191</v>
      </c>
      <c r="H1003" t="s">
        <v>195</v>
      </c>
      <c r="I1003">
        <v>11</v>
      </c>
      <c r="J1003">
        <v>3475.65</v>
      </c>
      <c r="K1003">
        <v>1</v>
      </c>
      <c r="L1003" t="s">
        <v>201</v>
      </c>
      <c r="M1003">
        <v>0</v>
      </c>
    </row>
    <row r="1004" spans="1:13" x14ac:dyDescent="0.3">
      <c r="A1004" t="s">
        <v>1213</v>
      </c>
      <c r="B1004">
        <v>61</v>
      </c>
      <c r="C1004" s="1">
        <v>45669</v>
      </c>
      <c r="D1004">
        <v>2025</v>
      </c>
      <c r="E1004" t="s">
        <v>219</v>
      </c>
      <c r="F1004" t="s">
        <v>13</v>
      </c>
      <c r="G1004" t="s">
        <v>191</v>
      </c>
      <c r="H1004" t="s">
        <v>195</v>
      </c>
      <c r="I1004">
        <v>10</v>
      </c>
      <c r="J1004">
        <v>1446.7</v>
      </c>
      <c r="K1004">
        <v>1</v>
      </c>
      <c r="L1004" t="s">
        <v>193</v>
      </c>
      <c r="M1004">
        <v>0</v>
      </c>
    </row>
    <row r="1005" spans="1:13" x14ac:dyDescent="0.3">
      <c r="A1005" t="s">
        <v>1214</v>
      </c>
      <c r="B1005">
        <v>61</v>
      </c>
      <c r="C1005" s="1">
        <v>45883</v>
      </c>
      <c r="D1005">
        <v>2025</v>
      </c>
      <c r="E1005" t="s">
        <v>214</v>
      </c>
      <c r="F1005" t="s">
        <v>12</v>
      </c>
      <c r="G1005" t="s">
        <v>212</v>
      </c>
      <c r="H1005" t="s">
        <v>206</v>
      </c>
      <c r="I1005">
        <v>1</v>
      </c>
      <c r="J1005">
        <v>479.09</v>
      </c>
      <c r="K1005">
        <v>1</v>
      </c>
      <c r="L1005" t="s">
        <v>196</v>
      </c>
      <c r="M1005">
        <v>1</v>
      </c>
    </row>
    <row r="1006" spans="1:13" x14ac:dyDescent="0.3">
      <c r="A1006" t="s">
        <v>1215</v>
      </c>
      <c r="B1006">
        <v>61</v>
      </c>
      <c r="C1006" s="1">
        <v>45866</v>
      </c>
      <c r="D1006">
        <v>2025</v>
      </c>
      <c r="E1006" t="s">
        <v>190</v>
      </c>
      <c r="F1006" t="s">
        <v>199</v>
      </c>
      <c r="G1006" t="s">
        <v>191</v>
      </c>
      <c r="H1006" t="s">
        <v>195</v>
      </c>
      <c r="I1006">
        <v>2</v>
      </c>
      <c r="J1006">
        <v>7207.59</v>
      </c>
      <c r="K1006">
        <v>0</v>
      </c>
      <c r="L1006" t="s">
        <v>210</v>
      </c>
      <c r="M1006">
        <v>1</v>
      </c>
    </row>
    <row r="1007" spans="1:13" x14ac:dyDescent="0.3">
      <c r="A1007" t="s">
        <v>1216</v>
      </c>
      <c r="B1007">
        <v>62</v>
      </c>
      <c r="C1007" s="1">
        <v>44405</v>
      </c>
      <c r="D1007">
        <v>2021</v>
      </c>
      <c r="E1007" t="s">
        <v>219</v>
      </c>
      <c r="F1007" t="s">
        <v>12</v>
      </c>
      <c r="G1007" t="s">
        <v>212</v>
      </c>
      <c r="H1007" t="s">
        <v>206</v>
      </c>
      <c r="I1007">
        <v>2</v>
      </c>
      <c r="J1007">
        <v>616.80999999999995</v>
      </c>
      <c r="K1007">
        <v>0</v>
      </c>
      <c r="L1007" t="s">
        <v>210</v>
      </c>
      <c r="M1007">
        <v>1</v>
      </c>
    </row>
    <row r="1008" spans="1:13" x14ac:dyDescent="0.3">
      <c r="A1008" t="s">
        <v>1217</v>
      </c>
      <c r="B1008">
        <v>62</v>
      </c>
      <c r="C1008" s="1">
        <v>44274</v>
      </c>
      <c r="D1008">
        <v>2021</v>
      </c>
      <c r="E1008" t="s">
        <v>214</v>
      </c>
      <c r="F1008" t="s">
        <v>209</v>
      </c>
      <c r="G1008" t="s">
        <v>200</v>
      </c>
      <c r="H1008" t="s">
        <v>192</v>
      </c>
      <c r="I1008">
        <v>6</v>
      </c>
      <c r="J1008">
        <v>559.59</v>
      </c>
      <c r="K1008">
        <v>0</v>
      </c>
      <c r="L1008" t="s">
        <v>215</v>
      </c>
      <c r="M1008">
        <v>0</v>
      </c>
    </row>
    <row r="1009" spans="1:13" x14ac:dyDescent="0.3">
      <c r="A1009" t="s">
        <v>1218</v>
      </c>
      <c r="B1009">
        <v>62</v>
      </c>
      <c r="C1009" s="1">
        <v>44625</v>
      </c>
      <c r="D1009">
        <v>2022</v>
      </c>
      <c r="E1009" t="s">
        <v>214</v>
      </c>
      <c r="F1009" t="s">
        <v>199</v>
      </c>
      <c r="G1009" t="s">
        <v>191</v>
      </c>
      <c r="H1009" t="s">
        <v>195</v>
      </c>
      <c r="I1009">
        <v>13</v>
      </c>
      <c r="J1009">
        <v>4189.8100000000004</v>
      </c>
      <c r="K1009">
        <v>0</v>
      </c>
      <c r="L1009" t="s">
        <v>193</v>
      </c>
      <c r="M1009">
        <v>0</v>
      </c>
    </row>
    <row r="1010" spans="1:13" x14ac:dyDescent="0.3">
      <c r="A1010" t="s">
        <v>1219</v>
      </c>
      <c r="B1010">
        <v>62</v>
      </c>
      <c r="C1010" s="1">
        <v>44624</v>
      </c>
      <c r="D1010">
        <v>2022</v>
      </c>
      <c r="E1010" t="s">
        <v>214</v>
      </c>
      <c r="F1010" t="s">
        <v>12</v>
      </c>
      <c r="G1010" t="s">
        <v>212</v>
      </c>
      <c r="H1010" t="s">
        <v>204</v>
      </c>
      <c r="I1010">
        <v>4</v>
      </c>
      <c r="J1010">
        <v>1005.75</v>
      </c>
      <c r="K1010">
        <v>0</v>
      </c>
      <c r="L1010" t="s">
        <v>210</v>
      </c>
      <c r="M1010">
        <v>1</v>
      </c>
    </row>
    <row r="1011" spans="1:13" x14ac:dyDescent="0.3">
      <c r="A1011" t="s">
        <v>1220</v>
      </c>
      <c r="B1011">
        <v>62</v>
      </c>
      <c r="C1011" s="1">
        <v>44700</v>
      </c>
      <c r="D1011">
        <v>2022</v>
      </c>
      <c r="E1011" t="s">
        <v>190</v>
      </c>
      <c r="F1011" t="s">
        <v>209</v>
      </c>
      <c r="G1011" t="s">
        <v>212</v>
      </c>
      <c r="H1011" t="s">
        <v>204</v>
      </c>
      <c r="I1011">
        <v>2</v>
      </c>
      <c r="J1011">
        <v>480.62</v>
      </c>
      <c r="K1011">
        <v>0</v>
      </c>
      <c r="L1011" t="s">
        <v>210</v>
      </c>
      <c r="M1011">
        <v>1</v>
      </c>
    </row>
    <row r="1012" spans="1:13" x14ac:dyDescent="0.3">
      <c r="A1012" t="s">
        <v>1221</v>
      </c>
      <c r="B1012">
        <v>62</v>
      </c>
      <c r="C1012" s="1">
        <v>44596</v>
      </c>
      <c r="D1012">
        <v>2022</v>
      </c>
      <c r="E1012" t="s">
        <v>190</v>
      </c>
      <c r="F1012" t="s">
        <v>13</v>
      </c>
      <c r="G1012" t="s">
        <v>191</v>
      </c>
      <c r="H1012" t="s">
        <v>195</v>
      </c>
      <c r="I1012">
        <v>5</v>
      </c>
      <c r="J1012">
        <v>1240.92</v>
      </c>
      <c r="K1012">
        <v>0</v>
      </c>
      <c r="L1012" t="s">
        <v>193</v>
      </c>
      <c r="M1012">
        <v>1</v>
      </c>
    </row>
    <row r="1013" spans="1:13" x14ac:dyDescent="0.3">
      <c r="A1013" t="s">
        <v>1222</v>
      </c>
      <c r="B1013">
        <v>62</v>
      </c>
      <c r="C1013" s="1">
        <v>44750</v>
      </c>
      <c r="D1013">
        <v>2022</v>
      </c>
      <c r="E1013" t="s">
        <v>225</v>
      </c>
      <c r="F1013" t="s">
        <v>12</v>
      </c>
      <c r="G1013" t="s">
        <v>212</v>
      </c>
      <c r="H1013" t="s">
        <v>206</v>
      </c>
      <c r="I1013">
        <v>4</v>
      </c>
      <c r="J1013">
        <v>1343.04</v>
      </c>
      <c r="K1013">
        <v>0</v>
      </c>
      <c r="L1013" t="s">
        <v>215</v>
      </c>
      <c r="M1013">
        <v>1</v>
      </c>
    </row>
    <row r="1014" spans="1:13" x14ac:dyDescent="0.3">
      <c r="A1014" t="s">
        <v>1223</v>
      </c>
      <c r="B1014">
        <v>62</v>
      </c>
      <c r="C1014" s="1">
        <v>45186</v>
      </c>
      <c r="D1014">
        <v>2023</v>
      </c>
      <c r="E1014" t="s">
        <v>198</v>
      </c>
      <c r="F1014" t="s">
        <v>199</v>
      </c>
      <c r="G1014" t="s">
        <v>203</v>
      </c>
      <c r="H1014" t="s">
        <v>192</v>
      </c>
      <c r="I1014">
        <v>1</v>
      </c>
      <c r="J1014">
        <v>4728.33</v>
      </c>
      <c r="K1014">
        <v>1</v>
      </c>
      <c r="L1014" t="s">
        <v>210</v>
      </c>
      <c r="M1014">
        <v>1</v>
      </c>
    </row>
    <row r="1015" spans="1:13" x14ac:dyDescent="0.3">
      <c r="A1015" t="s">
        <v>1224</v>
      </c>
      <c r="B1015">
        <v>62</v>
      </c>
      <c r="C1015" s="1">
        <v>44959</v>
      </c>
      <c r="D1015">
        <v>2023</v>
      </c>
      <c r="E1015" t="s">
        <v>198</v>
      </c>
      <c r="F1015" t="s">
        <v>12</v>
      </c>
      <c r="G1015" t="s">
        <v>203</v>
      </c>
      <c r="H1015" t="s">
        <v>192</v>
      </c>
      <c r="I1015">
        <v>4</v>
      </c>
      <c r="J1015">
        <v>598.71</v>
      </c>
      <c r="K1015">
        <v>1</v>
      </c>
      <c r="L1015" t="s">
        <v>196</v>
      </c>
      <c r="M1015">
        <v>1</v>
      </c>
    </row>
    <row r="1016" spans="1:13" x14ac:dyDescent="0.3">
      <c r="A1016" t="s">
        <v>1225</v>
      </c>
      <c r="B1016">
        <v>62</v>
      </c>
      <c r="C1016" s="1">
        <v>44980</v>
      </c>
      <c r="D1016">
        <v>2023</v>
      </c>
      <c r="E1016" t="s">
        <v>225</v>
      </c>
      <c r="F1016" t="s">
        <v>13</v>
      </c>
      <c r="G1016" t="s">
        <v>200</v>
      </c>
      <c r="H1016" t="s">
        <v>195</v>
      </c>
      <c r="I1016">
        <v>15</v>
      </c>
      <c r="J1016">
        <v>2490.0100000000002</v>
      </c>
      <c r="K1016">
        <v>0</v>
      </c>
      <c r="L1016" t="s">
        <v>210</v>
      </c>
      <c r="M1016">
        <v>1</v>
      </c>
    </row>
    <row r="1017" spans="1:13" x14ac:dyDescent="0.3">
      <c r="A1017" t="s">
        <v>1226</v>
      </c>
      <c r="B1017">
        <v>62</v>
      </c>
      <c r="C1017" s="1">
        <v>45293</v>
      </c>
      <c r="D1017">
        <v>2024</v>
      </c>
      <c r="E1017" t="s">
        <v>198</v>
      </c>
      <c r="F1017" t="s">
        <v>209</v>
      </c>
      <c r="G1017" t="s">
        <v>203</v>
      </c>
      <c r="H1017" t="s">
        <v>204</v>
      </c>
      <c r="I1017">
        <v>15</v>
      </c>
      <c r="J1017">
        <v>496.84</v>
      </c>
      <c r="K1017">
        <v>1</v>
      </c>
      <c r="L1017" t="s">
        <v>215</v>
      </c>
      <c r="M1017">
        <v>0</v>
      </c>
    </row>
    <row r="1018" spans="1:13" x14ac:dyDescent="0.3">
      <c r="A1018" t="s">
        <v>1227</v>
      </c>
      <c r="B1018">
        <v>62</v>
      </c>
      <c r="C1018" s="1">
        <v>45348</v>
      </c>
      <c r="D1018">
        <v>2024</v>
      </c>
      <c r="E1018" t="s">
        <v>198</v>
      </c>
      <c r="F1018" t="s">
        <v>13</v>
      </c>
      <c r="G1018" t="s">
        <v>203</v>
      </c>
      <c r="H1018" t="s">
        <v>195</v>
      </c>
      <c r="I1018">
        <v>3</v>
      </c>
      <c r="J1018">
        <v>2424.5300000000002</v>
      </c>
      <c r="K1018">
        <v>1</v>
      </c>
      <c r="L1018" t="s">
        <v>210</v>
      </c>
      <c r="M1018">
        <v>0</v>
      </c>
    </row>
    <row r="1019" spans="1:13" x14ac:dyDescent="0.3">
      <c r="A1019" t="s">
        <v>1228</v>
      </c>
      <c r="B1019">
        <v>62</v>
      </c>
      <c r="C1019" s="1">
        <v>45707</v>
      </c>
      <c r="D1019">
        <v>2025</v>
      </c>
      <c r="E1019" t="s">
        <v>190</v>
      </c>
      <c r="F1019" t="s">
        <v>12</v>
      </c>
      <c r="G1019" t="s">
        <v>191</v>
      </c>
      <c r="H1019" t="s">
        <v>195</v>
      </c>
      <c r="I1019">
        <v>15</v>
      </c>
      <c r="J1019">
        <v>1355.13</v>
      </c>
      <c r="K1019">
        <v>1</v>
      </c>
      <c r="L1019" t="s">
        <v>210</v>
      </c>
      <c r="M1019">
        <v>0</v>
      </c>
    </row>
    <row r="1020" spans="1:13" x14ac:dyDescent="0.3">
      <c r="A1020" t="s">
        <v>1229</v>
      </c>
      <c r="B1020">
        <v>62</v>
      </c>
      <c r="C1020" s="1">
        <v>46011</v>
      </c>
      <c r="D1020">
        <v>2025</v>
      </c>
      <c r="E1020" t="s">
        <v>287</v>
      </c>
      <c r="F1020" t="s">
        <v>199</v>
      </c>
      <c r="G1020" t="s">
        <v>191</v>
      </c>
      <c r="H1020" t="s">
        <v>195</v>
      </c>
      <c r="I1020">
        <v>6</v>
      </c>
      <c r="J1020">
        <v>7018.12</v>
      </c>
      <c r="K1020">
        <v>1</v>
      </c>
      <c r="L1020" t="s">
        <v>196</v>
      </c>
      <c r="M1020">
        <v>0</v>
      </c>
    </row>
    <row r="1021" spans="1:13" x14ac:dyDescent="0.3">
      <c r="A1021" t="s">
        <v>1230</v>
      </c>
      <c r="B1021">
        <v>62</v>
      </c>
      <c r="C1021" s="1">
        <v>45691</v>
      </c>
      <c r="D1021">
        <v>2025</v>
      </c>
      <c r="E1021" t="s">
        <v>198</v>
      </c>
      <c r="F1021" t="s">
        <v>13</v>
      </c>
      <c r="G1021" t="s">
        <v>191</v>
      </c>
      <c r="H1021" t="s">
        <v>204</v>
      </c>
      <c r="I1021">
        <v>10</v>
      </c>
      <c r="J1021">
        <v>3767.87</v>
      </c>
      <c r="K1021">
        <v>1</v>
      </c>
      <c r="L1021" t="s">
        <v>215</v>
      </c>
      <c r="M1021">
        <v>1</v>
      </c>
    </row>
    <row r="1022" spans="1:13" x14ac:dyDescent="0.3">
      <c r="A1022" t="s">
        <v>1231</v>
      </c>
      <c r="B1022">
        <v>63</v>
      </c>
      <c r="C1022" s="1">
        <v>44531</v>
      </c>
      <c r="D1022">
        <v>2021</v>
      </c>
      <c r="E1022" t="s">
        <v>214</v>
      </c>
      <c r="F1022" t="s">
        <v>13</v>
      </c>
      <c r="G1022" t="s">
        <v>212</v>
      </c>
      <c r="H1022" t="s">
        <v>195</v>
      </c>
      <c r="I1022">
        <v>6</v>
      </c>
      <c r="J1022">
        <v>1680.09</v>
      </c>
      <c r="K1022">
        <v>0</v>
      </c>
      <c r="L1022" t="s">
        <v>215</v>
      </c>
      <c r="M1022">
        <v>1</v>
      </c>
    </row>
    <row r="1023" spans="1:13" x14ac:dyDescent="0.3">
      <c r="A1023" t="s">
        <v>1232</v>
      </c>
      <c r="B1023">
        <v>63</v>
      </c>
      <c r="C1023" s="1">
        <v>44378</v>
      </c>
      <c r="D1023">
        <v>2021</v>
      </c>
      <c r="E1023" t="s">
        <v>219</v>
      </c>
      <c r="F1023" t="s">
        <v>12</v>
      </c>
      <c r="G1023" t="s">
        <v>212</v>
      </c>
      <c r="H1023" t="s">
        <v>195</v>
      </c>
      <c r="I1023">
        <v>3</v>
      </c>
      <c r="J1023">
        <v>1293.49</v>
      </c>
      <c r="K1023">
        <v>0</v>
      </c>
      <c r="L1023" t="s">
        <v>201</v>
      </c>
      <c r="M1023">
        <v>1</v>
      </c>
    </row>
    <row r="1024" spans="1:13" x14ac:dyDescent="0.3">
      <c r="A1024" t="s">
        <v>1233</v>
      </c>
      <c r="B1024">
        <v>63</v>
      </c>
      <c r="C1024" s="1">
        <v>44494</v>
      </c>
      <c r="D1024">
        <v>2021</v>
      </c>
      <c r="E1024" t="s">
        <v>219</v>
      </c>
      <c r="F1024" t="s">
        <v>199</v>
      </c>
      <c r="G1024" t="s">
        <v>203</v>
      </c>
      <c r="H1024" t="s">
        <v>195</v>
      </c>
      <c r="I1024">
        <v>5</v>
      </c>
      <c r="J1024">
        <v>3163.38</v>
      </c>
      <c r="K1024">
        <v>0</v>
      </c>
      <c r="L1024" t="s">
        <v>193</v>
      </c>
      <c r="M1024">
        <v>0</v>
      </c>
    </row>
    <row r="1025" spans="1:13" x14ac:dyDescent="0.3">
      <c r="A1025" t="s">
        <v>1234</v>
      </c>
      <c r="B1025">
        <v>63</v>
      </c>
      <c r="C1025" s="1">
        <v>44760</v>
      </c>
      <c r="D1025">
        <v>2022</v>
      </c>
      <c r="E1025" t="s">
        <v>198</v>
      </c>
      <c r="F1025" t="s">
        <v>13</v>
      </c>
      <c r="G1025" t="s">
        <v>200</v>
      </c>
      <c r="H1025" t="s">
        <v>204</v>
      </c>
      <c r="I1025">
        <v>10</v>
      </c>
      <c r="J1025">
        <v>2641.09</v>
      </c>
      <c r="K1025">
        <v>1</v>
      </c>
      <c r="L1025" t="s">
        <v>196</v>
      </c>
      <c r="M1025">
        <v>0</v>
      </c>
    </row>
    <row r="1026" spans="1:13" x14ac:dyDescent="0.3">
      <c r="A1026" t="s">
        <v>1235</v>
      </c>
      <c r="B1026">
        <v>63</v>
      </c>
      <c r="C1026" s="1">
        <v>44727</v>
      </c>
      <c r="D1026">
        <v>2022</v>
      </c>
      <c r="E1026" t="s">
        <v>198</v>
      </c>
      <c r="F1026" t="s">
        <v>199</v>
      </c>
      <c r="G1026" t="s">
        <v>191</v>
      </c>
      <c r="H1026" t="s">
        <v>195</v>
      </c>
      <c r="I1026">
        <v>12</v>
      </c>
      <c r="J1026">
        <v>6891.21</v>
      </c>
      <c r="K1026">
        <v>1</v>
      </c>
      <c r="L1026" t="s">
        <v>193</v>
      </c>
      <c r="M1026">
        <v>1</v>
      </c>
    </row>
    <row r="1027" spans="1:13" x14ac:dyDescent="0.3">
      <c r="A1027" t="s">
        <v>1236</v>
      </c>
      <c r="B1027">
        <v>63</v>
      </c>
      <c r="C1027" s="1">
        <v>44970</v>
      </c>
      <c r="D1027">
        <v>2023</v>
      </c>
      <c r="E1027" t="s">
        <v>190</v>
      </c>
      <c r="F1027" t="s">
        <v>12</v>
      </c>
      <c r="G1027" t="s">
        <v>212</v>
      </c>
      <c r="H1027" t="s">
        <v>195</v>
      </c>
      <c r="I1027">
        <v>11</v>
      </c>
      <c r="J1027">
        <v>819.87</v>
      </c>
      <c r="K1027">
        <v>0</v>
      </c>
      <c r="L1027" t="s">
        <v>201</v>
      </c>
      <c r="M1027">
        <v>1</v>
      </c>
    </row>
    <row r="1028" spans="1:13" x14ac:dyDescent="0.3">
      <c r="A1028" t="s">
        <v>1237</v>
      </c>
      <c r="B1028">
        <v>63</v>
      </c>
      <c r="C1028" s="1">
        <v>45133</v>
      </c>
      <c r="D1028">
        <v>2023</v>
      </c>
      <c r="E1028" t="s">
        <v>190</v>
      </c>
      <c r="F1028" t="s">
        <v>209</v>
      </c>
      <c r="G1028" t="s">
        <v>203</v>
      </c>
      <c r="H1028" t="s">
        <v>192</v>
      </c>
      <c r="I1028">
        <v>16</v>
      </c>
      <c r="J1028">
        <v>589.53</v>
      </c>
      <c r="K1028">
        <v>0</v>
      </c>
      <c r="L1028" t="s">
        <v>193</v>
      </c>
      <c r="M1028">
        <v>1</v>
      </c>
    </row>
    <row r="1029" spans="1:13" x14ac:dyDescent="0.3">
      <c r="A1029" t="s">
        <v>1238</v>
      </c>
      <c r="B1029">
        <v>63</v>
      </c>
      <c r="C1029" s="1">
        <v>44988</v>
      </c>
      <c r="D1029">
        <v>2023</v>
      </c>
      <c r="E1029" t="s">
        <v>190</v>
      </c>
      <c r="F1029" t="s">
        <v>199</v>
      </c>
      <c r="G1029" t="s">
        <v>191</v>
      </c>
      <c r="H1029" t="s">
        <v>192</v>
      </c>
      <c r="I1029">
        <v>6</v>
      </c>
      <c r="J1029">
        <v>2524.27</v>
      </c>
      <c r="K1029">
        <v>0</v>
      </c>
      <c r="L1029" t="s">
        <v>193</v>
      </c>
      <c r="M1029">
        <v>0</v>
      </c>
    </row>
    <row r="1030" spans="1:13" x14ac:dyDescent="0.3">
      <c r="A1030" t="s">
        <v>1239</v>
      </c>
      <c r="B1030">
        <v>63</v>
      </c>
      <c r="C1030" s="1">
        <v>45247</v>
      </c>
      <c r="D1030">
        <v>2023</v>
      </c>
      <c r="E1030" t="s">
        <v>198</v>
      </c>
      <c r="F1030" t="s">
        <v>12</v>
      </c>
      <c r="G1030" t="s">
        <v>212</v>
      </c>
      <c r="H1030" t="s">
        <v>192</v>
      </c>
      <c r="I1030">
        <v>13</v>
      </c>
      <c r="J1030">
        <v>1025</v>
      </c>
      <c r="K1030">
        <v>1</v>
      </c>
      <c r="L1030" t="s">
        <v>196</v>
      </c>
      <c r="M1030">
        <v>1</v>
      </c>
    </row>
    <row r="1031" spans="1:13" x14ac:dyDescent="0.3">
      <c r="A1031" t="s">
        <v>1240</v>
      </c>
      <c r="B1031">
        <v>63</v>
      </c>
      <c r="C1031" s="1">
        <v>45064</v>
      </c>
      <c r="D1031">
        <v>2023</v>
      </c>
      <c r="E1031" t="s">
        <v>219</v>
      </c>
      <c r="F1031" t="s">
        <v>12</v>
      </c>
      <c r="G1031" t="s">
        <v>212</v>
      </c>
      <c r="H1031" t="s">
        <v>192</v>
      </c>
      <c r="I1031">
        <v>8</v>
      </c>
      <c r="J1031">
        <v>1261.8599999999999</v>
      </c>
      <c r="K1031">
        <v>1</v>
      </c>
      <c r="L1031" t="s">
        <v>193</v>
      </c>
      <c r="M1031">
        <v>1</v>
      </c>
    </row>
    <row r="1032" spans="1:13" x14ac:dyDescent="0.3">
      <c r="A1032" t="s">
        <v>1241</v>
      </c>
      <c r="B1032">
        <v>63</v>
      </c>
      <c r="C1032" s="1">
        <v>45296</v>
      </c>
      <c r="D1032">
        <v>2024</v>
      </c>
      <c r="E1032" t="s">
        <v>198</v>
      </c>
      <c r="F1032" t="s">
        <v>199</v>
      </c>
      <c r="G1032" t="s">
        <v>203</v>
      </c>
      <c r="H1032" t="s">
        <v>204</v>
      </c>
      <c r="I1032">
        <v>20</v>
      </c>
      <c r="J1032">
        <v>6700.08</v>
      </c>
      <c r="K1032">
        <v>1</v>
      </c>
      <c r="L1032" t="s">
        <v>196</v>
      </c>
      <c r="M1032">
        <v>0</v>
      </c>
    </row>
    <row r="1033" spans="1:13" x14ac:dyDescent="0.3">
      <c r="A1033" t="s">
        <v>1242</v>
      </c>
      <c r="B1033">
        <v>63</v>
      </c>
      <c r="C1033" s="1">
        <v>45496</v>
      </c>
      <c r="D1033">
        <v>2024</v>
      </c>
      <c r="E1033" t="s">
        <v>214</v>
      </c>
      <c r="F1033" t="s">
        <v>199</v>
      </c>
      <c r="G1033" t="s">
        <v>203</v>
      </c>
      <c r="H1033" t="s">
        <v>195</v>
      </c>
      <c r="I1033">
        <v>1</v>
      </c>
      <c r="J1033">
        <v>2998.93</v>
      </c>
      <c r="K1033">
        <v>0</v>
      </c>
      <c r="L1033" t="s">
        <v>193</v>
      </c>
      <c r="M1033">
        <v>0</v>
      </c>
    </row>
    <row r="1034" spans="1:13" x14ac:dyDescent="0.3">
      <c r="A1034" t="s">
        <v>1243</v>
      </c>
      <c r="B1034">
        <v>63</v>
      </c>
      <c r="C1034" s="1">
        <v>45428</v>
      </c>
      <c r="D1034">
        <v>2024</v>
      </c>
      <c r="E1034" t="s">
        <v>190</v>
      </c>
      <c r="F1034" t="s">
        <v>12</v>
      </c>
      <c r="G1034" t="s">
        <v>212</v>
      </c>
      <c r="H1034" t="s">
        <v>195</v>
      </c>
      <c r="I1034">
        <v>10</v>
      </c>
      <c r="J1034">
        <v>1319.4</v>
      </c>
      <c r="K1034">
        <v>0</v>
      </c>
      <c r="L1034" t="s">
        <v>210</v>
      </c>
      <c r="M1034">
        <v>1</v>
      </c>
    </row>
    <row r="1035" spans="1:13" x14ac:dyDescent="0.3">
      <c r="A1035" t="s">
        <v>1244</v>
      </c>
      <c r="B1035">
        <v>63</v>
      </c>
      <c r="C1035" s="1">
        <v>45546</v>
      </c>
      <c r="D1035">
        <v>2024</v>
      </c>
      <c r="E1035" t="s">
        <v>190</v>
      </c>
      <c r="F1035" t="s">
        <v>199</v>
      </c>
      <c r="G1035" t="s">
        <v>191</v>
      </c>
      <c r="H1035" t="s">
        <v>195</v>
      </c>
      <c r="I1035">
        <v>3</v>
      </c>
      <c r="J1035">
        <v>7491.84</v>
      </c>
      <c r="K1035">
        <v>1</v>
      </c>
      <c r="L1035" t="s">
        <v>196</v>
      </c>
      <c r="M1035">
        <v>0</v>
      </c>
    </row>
    <row r="1036" spans="1:13" x14ac:dyDescent="0.3">
      <c r="A1036" t="s">
        <v>1245</v>
      </c>
      <c r="B1036">
        <v>63</v>
      </c>
      <c r="C1036" s="1">
        <v>45946</v>
      </c>
      <c r="D1036">
        <v>2025</v>
      </c>
      <c r="E1036" t="s">
        <v>219</v>
      </c>
      <c r="F1036" t="s">
        <v>12</v>
      </c>
      <c r="G1036" t="s">
        <v>203</v>
      </c>
      <c r="H1036" t="s">
        <v>195</v>
      </c>
      <c r="I1036">
        <v>13</v>
      </c>
      <c r="J1036">
        <v>1423.61</v>
      </c>
      <c r="K1036">
        <v>0</v>
      </c>
      <c r="L1036" t="s">
        <v>201</v>
      </c>
      <c r="M1036">
        <v>0</v>
      </c>
    </row>
    <row r="1037" spans="1:13" x14ac:dyDescent="0.3">
      <c r="A1037" t="s">
        <v>1246</v>
      </c>
      <c r="B1037">
        <v>63</v>
      </c>
      <c r="C1037" s="1">
        <v>45724</v>
      </c>
      <c r="D1037">
        <v>2025</v>
      </c>
      <c r="E1037" t="s">
        <v>190</v>
      </c>
      <c r="F1037" t="s">
        <v>209</v>
      </c>
      <c r="G1037" t="s">
        <v>212</v>
      </c>
      <c r="H1037" t="s">
        <v>192</v>
      </c>
      <c r="I1037">
        <v>8</v>
      </c>
      <c r="J1037">
        <v>455.03</v>
      </c>
      <c r="K1037">
        <v>0</v>
      </c>
      <c r="L1037" t="s">
        <v>215</v>
      </c>
      <c r="M1037">
        <v>1</v>
      </c>
    </row>
    <row r="1038" spans="1:13" x14ac:dyDescent="0.3">
      <c r="A1038" t="s">
        <v>1247</v>
      </c>
      <c r="B1038">
        <v>63</v>
      </c>
      <c r="C1038" s="1">
        <v>45791</v>
      </c>
      <c r="D1038">
        <v>2025</v>
      </c>
      <c r="E1038" t="s">
        <v>190</v>
      </c>
      <c r="F1038" t="s">
        <v>13</v>
      </c>
      <c r="G1038" t="s">
        <v>200</v>
      </c>
      <c r="H1038" t="s">
        <v>206</v>
      </c>
      <c r="I1038">
        <v>2</v>
      </c>
      <c r="J1038">
        <v>1305.24</v>
      </c>
      <c r="K1038">
        <v>0</v>
      </c>
      <c r="L1038" t="s">
        <v>215</v>
      </c>
      <c r="M1038">
        <v>0</v>
      </c>
    </row>
    <row r="1039" spans="1:13" x14ac:dyDescent="0.3">
      <c r="A1039" t="s">
        <v>1248</v>
      </c>
      <c r="B1039">
        <v>63</v>
      </c>
      <c r="C1039" s="1">
        <v>45700</v>
      </c>
      <c r="D1039">
        <v>2025</v>
      </c>
      <c r="E1039" t="s">
        <v>225</v>
      </c>
      <c r="F1039" t="s">
        <v>12</v>
      </c>
      <c r="G1039" t="s">
        <v>212</v>
      </c>
      <c r="H1039" t="s">
        <v>195</v>
      </c>
      <c r="I1039">
        <v>13</v>
      </c>
      <c r="J1039">
        <v>1051.52</v>
      </c>
      <c r="K1039">
        <v>0</v>
      </c>
      <c r="L1039" t="s">
        <v>201</v>
      </c>
      <c r="M1039">
        <v>1</v>
      </c>
    </row>
    <row r="1040" spans="1:13" x14ac:dyDescent="0.3">
      <c r="A1040" t="s">
        <v>1249</v>
      </c>
      <c r="B1040">
        <v>63</v>
      </c>
      <c r="C1040" s="1">
        <v>45664</v>
      </c>
      <c r="D1040">
        <v>2025</v>
      </c>
      <c r="E1040" t="s">
        <v>227</v>
      </c>
      <c r="F1040" t="s">
        <v>12</v>
      </c>
      <c r="G1040" t="s">
        <v>191</v>
      </c>
      <c r="H1040" t="s">
        <v>192</v>
      </c>
      <c r="I1040">
        <v>6</v>
      </c>
      <c r="J1040">
        <v>1220.4000000000001</v>
      </c>
      <c r="K1040">
        <v>0</v>
      </c>
      <c r="L1040" t="s">
        <v>201</v>
      </c>
      <c r="M1040">
        <v>0</v>
      </c>
    </row>
    <row r="1041" spans="1:13" x14ac:dyDescent="0.3">
      <c r="A1041" t="s">
        <v>1250</v>
      </c>
      <c r="B1041">
        <v>64</v>
      </c>
      <c r="C1041" s="1">
        <v>44467</v>
      </c>
      <c r="D1041">
        <v>2021</v>
      </c>
      <c r="E1041" t="s">
        <v>225</v>
      </c>
      <c r="F1041" t="s">
        <v>13</v>
      </c>
      <c r="G1041" t="s">
        <v>200</v>
      </c>
      <c r="H1041" t="s">
        <v>195</v>
      </c>
      <c r="I1041">
        <v>14</v>
      </c>
      <c r="J1041">
        <v>2687.87</v>
      </c>
      <c r="K1041">
        <v>0</v>
      </c>
      <c r="L1041" t="s">
        <v>215</v>
      </c>
      <c r="M1041">
        <v>0</v>
      </c>
    </row>
    <row r="1042" spans="1:13" x14ac:dyDescent="0.3">
      <c r="A1042" t="s">
        <v>1251</v>
      </c>
      <c r="B1042">
        <v>64</v>
      </c>
      <c r="C1042" s="1">
        <v>44452</v>
      </c>
      <c r="D1042">
        <v>2021</v>
      </c>
      <c r="E1042" t="s">
        <v>287</v>
      </c>
      <c r="F1042" t="s">
        <v>199</v>
      </c>
      <c r="G1042" t="s">
        <v>200</v>
      </c>
      <c r="H1042" t="s">
        <v>195</v>
      </c>
      <c r="I1042">
        <v>8</v>
      </c>
      <c r="J1042">
        <v>4151.42</v>
      </c>
      <c r="K1042">
        <v>0</v>
      </c>
      <c r="L1042" t="s">
        <v>193</v>
      </c>
      <c r="M1042">
        <v>0</v>
      </c>
    </row>
    <row r="1043" spans="1:13" x14ac:dyDescent="0.3">
      <c r="A1043" t="s">
        <v>1252</v>
      </c>
      <c r="B1043">
        <v>64</v>
      </c>
      <c r="C1043" s="1">
        <v>44211</v>
      </c>
      <c r="D1043">
        <v>2021</v>
      </c>
      <c r="E1043" t="s">
        <v>190</v>
      </c>
      <c r="F1043" t="s">
        <v>12</v>
      </c>
      <c r="G1043" t="s">
        <v>203</v>
      </c>
      <c r="H1043" t="s">
        <v>192</v>
      </c>
      <c r="I1043">
        <v>5</v>
      </c>
      <c r="J1043">
        <v>334.5</v>
      </c>
      <c r="K1043">
        <v>0</v>
      </c>
      <c r="L1043" t="s">
        <v>201</v>
      </c>
      <c r="M1043">
        <v>0</v>
      </c>
    </row>
    <row r="1044" spans="1:13" x14ac:dyDescent="0.3">
      <c r="A1044" t="s">
        <v>1253</v>
      </c>
      <c r="B1044">
        <v>64</v>
      </c>
      <c r="C1044" s="1">
        <v>44548</v>
      </c>
      <c r="D1044">
        <v>2021</v>
      </c>
      <c r="E1044" t="s">
        <v>287</v>
      </c>
      <c r="F1044" t="s">
        <v>12</v>
      </c>
      <c r="G1044" t="s">
        <v>212</v>
      </c>
      <c r="H1044" t="s">
        <v>195</v>
      </c>
      <c r="I1044">
        <v>10</v>
      </c>
      <c r="J1044">
        <v>1004.68</v>
      </c>
      <c r="K1044">
        <v>0</v>
      </c>
      <c r="L1044" t="s">
        <v>215</v>
      </c>
      <c r="M1044">
        <v>1</v>
      </c>
    </row>
    <row r="1045" spans="1:13" x14ac:dyDescent="0.3">
      <c r="A1045" t="s">
        <v>1254</v>
      </c>
      <c r="B1045">
        <v>64</v>
      </c>
      <c r="C1045" s="1">
        <v>44547</v>
      </c>
      <c r="D1045">
        <v>2021</v>
      </c>
      <c r="E1045" t="s">
        <v>198</v>
      </c>
      <c r="F1045" t="s">
        <v>13</v>
      </c>
      <c r="G1045" t="s">
        <v>203</v>
      </c>
      <c r="H1045" t="s">
        <v>195</v>
      </c>
      <c r="I1045">
        <v>17</v>
      </c>
      <c r="J1045">
        <v>1090.6300000000001</v>
      </c>
      <c r="K1045">
        <v>1</v>
      </c>
      <c r="L1045" t="s">
        <v>193</v>
      </c>
      <c r="M1045">
        <v>0</v>
      </c>
    </row>
    <row r="1046" spans="1:13" x14ac:dyDescent="0.3">
      <c r="A1046" t="s">
        <v>1255</v>
      </c>
      <c r="B1046">
        <v>64</v>
      </c>
      <c r="C1046" s="1">
        <v>44856</v>
      </c>
      <c r="D1046">
        <v>2022</v>
      </c>
      <c r="E1046" t="s">
        <v>214</v>
      </c>
      <c r="F1046" t="s">
        <v>209</v>
      </c>
      <c r="G1046" t="s">
        <v>212</v>
      </c>
      <c r="H1046" t="s">
        <v>195</v>
      </c>
      <c r="I1046">
        <v>10</v>
      </c>
      <c r="J1046">
        <v>141.19</v>
      </c>
      <c r="K1046">
        <v>0</v>
      </c>
      <c r="L1046" t="s">
        <v>215</v>
      </c>
      <c r="M1046">
        <v>1</v>
      </c>
    </row>
    <row r="1047" spans="1:13" x14ac:dyDescent="0.3">
      <c r="A1047" t="s">
        <v>1256</v>
      </c>
      <c r="B1047">
        <v>64</v>
      </c>
      <c r="C1047" s="1">
        <v>44882</v>
      </c>
      <c r="D1047">
        <v>2022</v>
      </c>
      <c r="E1047" t="s">
        <v>287</v>
      </c>
      <c r="F1047" t="s">
        <v>12</v>
      </c>
      <c r="G1047" t="s">
        <v>200</v>
      </c>
      <c r="H1047" t="s">
        <v>195</v>
      </c>
      <c r="I1047">
        <v>11</v>
      </c>
      <c r="J1047">
        <v>772.65</v>
      </c>
      <c r="K1047">
        <v>0</v>
      </c>
      <c r="L1047" t="s">
        <v>215</v>
      </c>
      <c r="M1047">
        <v>0</v>
      </c>
    </row>
    <row r="1048" spans="1:13" x14ac:dyDescent="0.3">
      <c r="A1048" t="s">
        <v>1257</v>
      </c>
      <c r="B1048">
        <v>64</v>
      </c>
      <c r="C1048" s="1">
        <v>45116</v>
      </c>
      <c r="D1048">
        <v>2023</v>
      </c>
      <c r="E1048" t="s">
        <v>225</v>
      </c>
      <c r="F1048" t="s">
        <v>13</v>
      </c>
      <c r="G1048" t="s">
        <v>203</v>
      </c>
      <c r="H1048" t="s">
        <v>206</v>
      </c>
      <c r="I1048">
        <v>9</v>
      </c>
      <c r="J1048">
        <v>2421.0700000000002</v>
      </c>
      <c r="K1048">
        <v>0</v>
      </c>
      <c r="L1048" t="s">
        <v>215</v>
      </c>
      <c r="M1048">
        <v>1</v>
      </c>
    </row>
    <row r="1049" spans="1:13" x14ac:dyDescent="0.3">
      <c r="A1049" t="s">
        <v>1258</v>
      </c>
      <c r="B1049">
        <v>64</v>
      </c>
      <c r="C1049" s="1">
        <v>45086</v>
      </c>
      <c r="D1049">
        <v>2023</v>
      </c>
      <c r="E1049" t="s">
        <v>198</v>
      </c>
      <c r="F1049" t="s">
        <v>199</v>
      </c>
      <c r="G1049" t="s">
        <v>212</v>
      </c>
      <c r="H1049" t="s">
        <v>204</v>
      </c>
      <c r="I1049">
        <v>6</v>
      </c>
      <c r="J1049">
        <v>3826.82</v>
      </c>
      <c r="K1049">
        <v>1</v>
      </c>
      <c r="L1049" t="s">
        <v>196</v>
      </c>
      <c r="M1049">
        <v>1</v>
      </c>
    </row>
    <row r="1050" spans="1:13" x14ac:dyDescent="0.3">
      <c r="A1050" t="s">
        <v>1259</v>
      </c>
      <c r="B1050">
        <v>64</v>
      </c>
      <c r="C1050" s="1">
        <v>45001</v>
      </c>
      <c r="D1050">
        <v>2023</v>
      </c>
      <c r="E1050" t="s">
        <v>198</v>
      </c>
      <c r="F1050" t="s">
        <v>12</v>
      </c>
      <c r="G1050" t="s">
        <v>212</v>
      </c>
      <c r="H1050" t="s">
        <v>195</v>
      </c>
      <c r="I1050">
        <v>18</v>
      </c>
      <c r="J1050">
        <v>324.55</v>
      </c>
      <c r="K1050">
        <v>1</v>
      </c>
      <c r="L1050" t="s">
        <v>215</v>
      </c>
      <c r="M1050">
        <v>1</v>
      </c>
    </row>
    <row r="1051" spans="1:13" x14ac:dyDescent="0.3">
      <c r="A1051" t="s">
        <v>1260</v>
      </c>
      <c r="B1051">
        <v>64</v>
      </c>
      <c r="C1051" s="1">
        <v>45001</v>
      </c>
      <c r="D1051">
        <v>2023</v>
      </c>
      <c r="E1051" t="s">
        <v>198</v>
      </c>
      <c r="F1051" t="s">
        <v>13</v>
      </c>
      <c r="G1051" t="s">
        <v>191</v>
      </c>
      <c r="H1051" t="s">
        <v>206</v>
      </c>
      <c r="I1051">
        <v>12</v>
      </c>
      <c r="J1051">
        <v>2953.75</v>
      </c>
      <c r="K1051">
        <v>1</v>
      </c>
      <c r="L1051" t="s">
        <v>196</v>
      </c>
      <c r="M1051">
        <v>1</v>
      </c>
    </row>
    <row r="1052" spans="1:13" x14ac:dyDescent="0.3">
      <c r="A1052" t="s">
        <v>1261</v>
      </c>
      <c r="B1052">
        <v>64</v>
      </c>
      <c r="C1052" s="1">
        <v>44971</v>
      </c>
      <c r="D1052">
        <v>2023</v>
      </c>
      <c r="E1052" t="s">
        <v>198</v>
      </c>
      <c r="F1052" t="s">
        <v>13</v>
      </c>
      <c r="G1052" t="s">
        <v>200</v>
      </c>
      <c r="H1052" t="s">
        <v>195</v>
      </c>
      <c r="I1052">
        <v>16</v>
      </c>
      <c r="J1052">
        <v>2115.85</v>
      </c>
      <c r="K1052">
        <v>1</v>
      </c>
      <c r="L1052" t="s">
        <v>196</v>
      </c>
      <c r="M1052">
        <v>0</v>
      </c>
    </row>
    <row r="1053" spans="1:13" x14ac:dyDescent="0.3">
      <c r="A1053" t="s">
        <v>1262</v>
      </c>
      <c r="B1053">
        <v>64</v>
      </c>
      <c r="C1053" s="1">
        <v>45177</v>
      </c>
      <c r="D1053">
        <v>2023</v>
      </c>
      <c r="E1053" t="s">
        <v>198</v>
      </c>
      <c r="F1053" t="s">
        <v>199</v>
      </c>
      <c r="G1053" t="s">
        <v>191</v>
      </c>
      <c r="H1053" t="s">
        <v>192</v>
      </c>
      <c r="I1053">
        <v>4</v>
      </c>
      <c r="J1053">
        <v>5714.83</v>
      </c>
      <c r="K1053">
        <v>1</v>
      </c>
      <c r="L1053" t="s">
        <v>201</v>
      </c>
      <c r="M1053">
        <v>1</v>
      </c>
    </row>
    <row r="1054" spans="1:13" x14ac:dyDescent="0.3">
      <c r="A1054" t="s">
        <v>1263</v>
      </c>
      <c r="B1054">
        <v>64</v>
      </c>
      <c r="C1054" s="1">
        <v>45492</v>
      </c>
      <c r="D1054">
        <v>2024</v>
      </c>
      <c r="E1054" t="s">
        <v>227</v>
      </c>
      <c r="F1054" t="s">
        <v>199</v>
      </c>
      <c r="G1054" t="s">
        <v>200</v>
      </c>
      <c r="H1054" t="s">
        <v>195</v>
      </c>
      <c r="I1054">
        <v>6</v>
      </c>
      <c r="J1054">
        <v>5225.01</v>
      </c>
      <c r="K1054">
        <v>0</v>
      </c>
      <c r="L1054" t="s">
        <v>193</v>
      </c>
      <c r="M1054">
        <v>0</v>
      </c>
    </row>
    <row r="1055" spans="1:13" x14ac:dyDescent="0.3">
      <c r="A1055" t="s">
        <v>1264</v>
      </c>
      <c r="B1055">
        <v>64</v>
      </c>
      <c r="C1055" s="1">
        <v>45337</v>
      </c>
      <c r="D1055">
        <v>2024</v>
      </c>
      <c r="E1055" t="s">
        <v>287</v>
      </c>
      <c r="F1055" t="s">
        <v>209</v>
      </c>
      <c r="G1055" t="s">
        <v>212</v>
      </c>
      <c r="H1055" t="s">
        <v>195</v>
      </c>
      <c r="I1055">
        <v>5</v>
      </c>
      <c r="J1055">
        <v>532.26</v>
      </c>
      <c r="K1055">
        <v>1</v>
      </c>
      <c r="L1055" t="s">
        <v>215</v>
      </c>
      <c r="M1055">
        <v>1</v>
      </c>
    </row>
    <row r="1056" spans="1:13" x14ac:dyDescent="0.3">
      <c r="A1056" t="s">
        <v>1265</v>
      </c>
      <c r="B1056">
        <v>64</v>
      </c>
      <c r="C1056" s="1">
        <v>45293</v>
      </c>
      <c r="D1056">
        <v>2024</v>
      </c>
      <c r="E1056" t="s">
        <v>214</v>
      </c>
      <c r="F1056" t="s">
        <v>209</v>
      </c>
      <c r="G1056" t="s">
        <v>203</v>
      </c>
      <c r="H1056" t="s">
        <v>195</v>
      </c>
      <c r="I1056">
        <v>2</v>
      </c>
      <c r="J1056">
        <v>226.04</v>
      </c>
      <c r="K1056">
        <v>0</v>
      </c>
      <c r="L1056" t="s">
        <v>210</v>
      </c>
      <c r="M1056">
        <v>1</v>
      </c>
    </row>
    <row r="1057" spans="1:13" x14ac:dyDescent="0.3">
      <c r="A1057" t="s">
        <v>1266</v>
      </c>
      <c r="B1057">
        <v>64</v>
      </c>
      <c r="C1057" s="1">
        <v>45939</v>
      </c>
      <c r="D1057">
        <v>2025</v>
      </c>
      <c r="E1057" t="s">
        <v>219</v>
      </c>
      <c r="F1057" t="s">
        <v>209</v>
      </c>
      <c r="G1057" t="s">
        <v>212</v>
      </c>
      <c r="H1057" t="s">
        <v>206</v>
      </c>
      <c r="I1057">
        <v>14</v>
      </c>
      <c r="J1057">
        <v>19.510000000000002</v>
      </c>
      <c r="K1057">
        <v>0</v>
      </c>
      <c r="L1057" t="s">
        <v>210</v>
      </c>
      <c r="M1057">
        <v>1</v>
      </c>
    </row>
    <row r="1058" spans="1:13" x14ac:dyDescent="0.3">
      <c r="A1058" t="s">
        <v>1267</v>
      </c>
      <c r="B1058">
        <v>65</v>
      </c>
      <c r="C1058" s="1">
        <v>44202</v>
      </c>
      <c r="D1058">
        <v>2021</v>
      </c>
      <c r="E1058" t="s">
        <v>190</v>
      </c>
      <c r="F1058" t="s">
        <v>12</v>
      </c>
      <c r="G1058" t="s">
        <v>212</v>
      </c>
      <c r="H1058" t="s">
        <v>204</v>
      </c>
      <c r="I1058">
        <v>5</v>
      </c>
      <c r="J1058">
        <v>656.31</v>
      </c>
      <c r="K1058">
        <v>0</v>
      </c>
      <c r="L1058" t="s">
        <v>210</v>
      </c>
      <c r="M1058">
        <v>1</v>
      </c>
    </row>
    <row r="1059" spans="1:13" x14ac:dyDescent="0.3">
      <c r="A1059" t="s">
        <v>1268</v>
      </c>
      <c r="B1059">
        <v>65</v>
      </c>
      <c r="C1059" s="1">
        <v>44477</v>
      </c>
      <c r="D1059">
        <v>2021</v>
      </c>
      <c r="E1059" t="s">
        <v>214</v>
      </c>
      <c r="F1059" t="s">
        <v>12</v>
      </c>
      <c r="G1059" t="s">
        <v>191</v>
      </c>
      <c r="H1059" t="s">
        <v>195</v>
      </c>
      <c r="I1059">
        <v>16</v>
      </c>
      <c r="J1059">
        <v>926.15</v>
      </c>
      <c r="K1059">
        <v>0</v>
      </c>
      <c r="L1059" t="s">
        <v>201</v>
      </c>
      <c r="M1059">
        <v>0</v>
      </c>
    </row>
    <row r="1060" spans="1:13" x14ac:dyDescent="0.3">
      <c r="A1060" t="s">
        <v>1269</v>
      </c>
      <c r="B1060">
        <v>65</v>
      </c>
      <c r="C1060" s="1">
        <v>44663</v>
      </c>
      <c r="D1060">
        <v>2022</v>
      </c>
      <c r="E1060" t="s">
        <v>190</v>
      </c>
      <c r="F1060" t="s">
        <v>12</v>
      </c>
      <c r="G1060" t="s">
        <v>212</v>
      </c>
      <c r="H1060" t="s">
        <v>192</v>
      </c>
      <c r="I1060">
        <v>12</v>
      </c>
      <c r="J1060">
        <v>324.37</v>
      </c>
      <c r="K1060">
        <v>0</v>
      </c>
      <c r="L1060" t="s">
        <v>210</v>
      </c>
      <c r="M1060">
        <v>1</v>
      </c>
    </row>
    <row r="1061" spans="1:13" x14ac:dyDescent="0.3">
      <c r="A1061" t="s">
        <v>1270</v>
      </c>
      <c r="B1061">
        <v>65</v>
      </c>
      <c r="C1061" s="1">
        <v>44786</v>
      </c>
      <c r="D1061">
        <v>2022</v>
      </c>
      <c r="E1061" t="s">
        <v>190</v>
      </c>
      <c r="F1061" t="s">
        <v>199</v>
      </c>
      <c r="G1061" t="s">
        <v>203</v>
      </c>
      <c r="H1061" t="s">
        <v>195</v>
      </c>
      <c r="I1061">
        <v>4</v>
      </c>
      <c r="J1061">
        <v>6044.87</v>
      </c>
      <c r="K1061">
        <v>0</v>
      </c>
      <c r="L1061" t="s">
        <v>201</v>
      </c>
      <c r="M1061">
        <v>0</v>
      </c>
    </row>
    <row r="1062" spans="1:13" x14ac:dyDescent="0.3">
      <c r="A1062" t="s">
        <v>1271</v>
      </c>
      <c r="B1062">
        <v>65</v>
      </c>
      <c r="C1062" s="1">
        <v>44858</v>
      </c>
      <c r="D1062">
        <v>2022</v>
      </c>
      <c r="E1062" t="s">
        <v>190</v>
      </c>
      <c r="F1062" t="s">
        <v>12</v>
      </c>
      <c r="G1062" t="s">
        <v>212</v>
      </c>
      <c r="H1062" t="s">
        <v>195</v>
      </c>
      <c r="I1062">
        <v>14</v>
      </c>
      <c r="J1062">
        <v>1323.95</v>
      </c>
      <c r="K1062">
        <v>0</v>
      </c>
      <c r="L1062" t="s">
        <v>215</v>
      </c>
      <c r="M1062">
        <v>1</v>
      </c>
    </row>
    <row r="1063" spans="1:13" x14ac:dyDescent="0.3">
      <c r="A1063" t="s">
        <v>1272</v>
      </c>
      <c r="B1063">
        <v>65</v>
      </c>
      <c r="C1063" s="1">
        <v>44766</v>
      </c>
      <c r="D1063">
        <v>2022</v>
      </c>
      <c r="E1063" t="s">
        <v>219</v>
      </c>
      <c r="F1063" t="s">
        <v>12</v>
      </c>
      <c r="G1063" t="s">
        <v>212</v>
      </c>
      <c r="H1063" t="s">
        <v>206</v>
      </c>
      <c r="I1063">
        <v>12</v>
      </c>
      <c r="J1063">
        <v>462.06</v>
      </c>
      <c r="K1063">
        <v>0</v>
      </c>
      <c r="L1063" t="s">
        <v>210</v>
      </c>
      <c r="M1063">
        <v>1</v>
      </c>
    </row>
    <row r="1064" spans="1:13" x14ac:dyDescent="0.3">
      <c r="A1064" t="s">
        <v>1273</v>
      </c>
      <c r="B1064">
        <v>65</v>
      </c>
      <c r="C1064" s="1">
        <v>44611</v>
      </c>
      <c r="D1064">
        <v>2022</v>
      </c>
      <c r="E1064" t="s">
        <v>287</v>
      </c>
      <c r="F1064" t="s">
        <v>199</v>
      </c>
      <c r="G1064" t="s">
        <v>212</v>
      </c>
      <c r="H1064" t="s">
        <v>192</v>
      </c>
      <c r="I1064">
        <v>13</v>
      </c>
      <c r="J1064">
        <v>6744.06</v>
      </c>
      <c r="K1064">
        <v>0</v>
      </c>
      <c r="L1064" t="s">
        <v>201</v>
      </c>
      <c r="M1064">
        <v>1</v>
      </c>
    </row>
    <row r="1065" spans="1:13" x14ac:dyDescent="0.3">
      <c r="A1065" t="s">
        <v>1274</v>
      </c>
      <c r="B1065">
        <v>65</v>
      </c>
      <c r="C1065" s="1">
        <v>44708</v>
      </c>
      <c r="D1065">
        <v>2022</v>
      </c>
      <c r="E1065" t="s">
        <v>214</v>
      </c>
      <c r="F1065" t="s">
        <v>209</v>
      </c>
      <c r="G1065" t="s">
        <v>212</v>
      </c>
      <c r="H1065" t="s">
        <v>195</v>
      </c>
      <c r="I1065">
        <v>15</v>
      </c>
      <c r="J1065">
        <v>20.76</v>
      </c>
      <c r="K1065">
        <v>0</v>
      </c>
      <c r="L1065" t="s">
        <v>193</v>
      </c>
      <c r="M1065">
        <v>1</v>
      </c>
    </row>
    <row r="1066" spans="1:13" x14ac:dyDescent="0.3">
      <c r="A1066" t="s">
        <v>1275</v>
      </c>
      <c r="B1066">
        <v>65</v>
      </c>
      <c r="C1066" s="1">
        <v>45024</v>
      </c>
      <c r="D1066">
        <v>2023</v>
      </c>
      <c r="E1066" t="s">
        <v>214</v>
      </c>
      <c r="F1066" t="s">
        <v>209</v>
      </c>
      <c r="G1066" t="s">
        <v>203</v>
      </c>
      <c r="H1066" t="s">
        <v>192</v>
      </c>
      <c r="I1066">
        <v>12</v>
      </c>
      <c r="J1066">
        <v>24.44</v>
      </c>
      <c r="K1066">
        <v>0</v>
      </c>
      <c r="L1066" t="s">
        <v>215</v>
      </c>
      <c r="M1066">
        <v>1</v>
      </c>
    </row>
    <row r="1067" spans="1:13" x14ac:dyDescent="0.3">
      <c r="A1067" t="s">
        <v>1276</v>
      </c>
      <c r="B1067">
        <v>65</v>
      </c>
      <c r="C1067" s="1">
        <v>45105</v>
      </c>
      <c r="D1067">
        <v>2023</v>
      </c>
      <c r="E1067" t="s">
        <v>190</v>
      </c>
      <c r="F1067" t="s">
        <v>209</v>
      </c>
      <c r="G1067" t="s">
        <v>212</v>
      </c>
      <c r="H1067" t="s">
        <v>195</v>
      </c>
      <c r="I1067">
        <v>10</v>
      </c>
      <c r="J1067">
        <v>202.59</v>
      </c>
      <c r="K1067">
        <v>0</v>
      </c>
      <c r="L1067" t="s">
        <v>215</v>
      </c>
      <c r="M1067">
        <v>1</v>
      </c>
    </row>
    <row r="1068" spans="1:13" x14ac:dyDescent="0.3">
      <c r="A1068" t="s">
        <v>1277</v>
      </c>
      <c r="B1068">
        <v>65</v>
      </c>
      <c r="C1068" s="1">
        <v>45410</v>
      </c>
      <c r="D1068">
        <v>2024</v>
      </c>
      <c r="E1068" t="s">
        <v>219</v>
      </c>
      <c r="F1068" t="s">
        <v>13</v>
      </c>
      <c r="G1068" t="s">
        <v>212</v>
      </c>
      <c r="H1068" t="s">
        <v>204</v>
      </c>
      <c r="I1068">
        <v>4</v>
      </c>
      <c r="J1068">
        <v>1580.92</v>
      </c>
      <c r="K1068">
        <v>0</v>
      </c>
      <c r="L1068" t="s">
        <v>201</v>
      </c>
      <c r="M1068">
        <v>1</v>
      </c>
    </row>
    <row r="1069" spans="1:13" x14ac:dyDescent="0.3">
      <c r="A1069" t="s">
        <v>1278</v>
      </c>
      <c r="B1069">
        <v>65</v>
      </c>
      <c r="C1069" s="1">
        <v>45361</v>
      </c>
      <c r="D1069">
        <v>2024</v>
      </c>
      <c r="E1069" t="s">
        <v>225</v>
      </c>
      <c r="F1069" t="s">
        <v>12</v>
      </c>
      <c r="G1069" t="s">
        <v>200</v>
      </c>
      <c r="H1069" t="s">
        <v>204</v>
      </c>
      <c r="I1069">
        <v>10</v>
      </c>
      <c r="J1069">
        <v>683.52</v>
      </c>
      <c r="K1069">
        <v>0</v>
      </c>
      <c r="L1069" t="s">
        <v>201</v>
      </c>
      <c r="M1069">
        <v>0</v>
      </c>
    </row>
    <row r="1070" spans="1:13" x14ac:dyDescent="0.3">
      <c r="A1070" t="s">
        <v>1279</v>
      </c>
      <c r="B1070">
        <v>65</v>
      </c>
      <c r="C1070" s="1">
        <v>45327</v>
      </c>
      <c r="D1070">
        <v>2024</v>
      </c>
      <c r="E1070" t="s">
        <v>190</v>
      </c>
      <c r="F1070" t="s">
        <v>13</v>
      </c>
      <c r="G1070" t="s">
        <v>191</v>
      </c>
      <c r="H1070" t="s">
        <v>204</v>
      </c>
      <c r="I1070">
        <v>8</v>
      </c>
      <c r="J1070">
        <v>3340.23</v>
      </c>
      <c r="K1070">
        <v>1</v>
      </c>
      <c r="L1070" t="s">
        <v>215</v>
      </c>
      <c r="M1070">
        <v>1</v>
      </c>
    </row>
    <row r="1071" spans="1:13" x14ac:dyDescent="0.3">
      <c r="A1071" t="s">
        <v>1280</v>
      </c>
      <c r="B1071">
        <v>65</v>
      </c>
      <c r="C1071" s="1">
        <v>45950</v>
      </c>
      <c r="D1071">
        <v>2025</v>
      </c>
      <c r="E1071" t="s">
        <v>214</v>
      </c>
      <c r="F1071" t="s">
        <v>209</v>
      </c>
      <c r="G1071" t="s">
        <v>203</v>
      </c>
      <c r="H1071" t="s">
        <v>195</v>
      </c>
      <c r="I1071">
        <v>6</v>
      </c>
      <c r="J1071">
        <v>240.89</v>
      </c>
      <c r="K1071">
        <v>0</v>
      </c>
      <c r="L1071" t="s">
        <v>210</v>
      </c>
      <c r="M1071">
        <v>0</v>
      </c>
    </row>
    <row r="1072" spans="1:13" x14ac:dyDescent="0.3">
      <c r="A1072" t="s">
        <v>1281</v>
      </c>
      <c r="B1072">
        <v>65</v>
      </c>
      <c r="C1072" s="1">
        <v>45783</v>
      </c>
      <c r="D1072">
        <v>2025</v>
      </c>
      <c r="E1072" t="s">
        <v>214</v>
      </c>
      <c r="F1072" t="s">
        <v>209</v>
      </c>
      <c r="G1072" t="s">
        <v>203</v>
      </c>
      <c r="H1072" t="s">
        <v>195</v>
      </c>
      <c r="I1072">
        <v>3</v>
      </c>
      <c r="J1072">
        <v>160.91999999999999</v>
      </c>
      <c r="K1072">
        <v>0</v>
      </c>
      <c r="L1072" t="s">
        <v>210</v>
      </c>
      <c r="M1072">
        <v>0</v>
      </c>
    </row>
    <row r="1073" spans="1:13" x14ac:dyDescent="0.3">
      <c r="A1073" t="s">
        <v>1282</v>
      </c>
      <c r="B1073">
        <v>65</v>
      </c>
      <c r="C1073" s="1">
        <v>45956</v>
      </c>
      <c r="D1073">
        <v>2025</v>
      </c>
      <c r="E1073" t="s">
        <v>214</v>
      </c>
      <c r="F1073" t="s">
        <v>209</v>
      </c>
      <c r="G1073" t="s">
        <v>212</v>
      </c>
      <c r="H1073" t="s">
        <v>206</v>
      </c>
      <c r="I1073">
        <v>4</v>
      </c>
      <c r="J1073">
        <v>137.44999999999999</v>
      </c>
      <c r="K1073">
        <v>0</v>
      </c>
      <c r="L1073" t="s">
        <v>215</v>
      </c>
      <c r="M1073">
        <v>1</v>
      </c>
    </row>
    <row r="1074" spans="1:13" x14ac:dyDescent="0.3">
      <c r="A1074" t="s">
        <v>1283</v>
      </c>
      <c r="B1074">
        <v>66</v>
      </c>
      <c r="C1074" s="1">
        <v>44269</v>
      </c>
      <c r="D1074">
        <v>2021</v>
      </c>
      <c r="E1074" t="s">
        <v>190</v>
      </c>
      <c r="F1074" t="s">
        <v>209</v>
      </c>
      <c r="G1074" t="s">
        <v>212</v>
      </c>
      <c r="H1074" t="s">
        <v>192</v>
      </c>
      <c r="I1074">
        <v>4</v>
      </c>
      <c r="J1074">
        <v>305.22000000000003</v>
      </c>
      <c r="K1074">
        <v>0</v>
      </c>
      <c r="L1074" t="s">
        <v>210</v>
      </c>
      <c r="M1074">
        <v>1</v>
      </c>
    </row>
    <row r="1075" spans="1:13" x14ac:dyDescent="0.3">
      <c r="A1075" t="s">
        <v>1284</v>
      </c>
      <c r="B1075">
        <v>66</v>
      </c>
      <c r="C1075" s="1">
        <v>44232</v>
      </c>
      <c r="D1075">
        <v>2021</v>
      </c>
      <c r="E1075" t="s">
        <v>219</v>
      </c>
      <c r="F1075" t="s">
        <v>13</v>
      </c>
      <c r="G1075" t="s">
        <v>203</v>
      </c>
      <c r="H1075" t="s">
        <v>195</v>
      </c>
      <c r="I1075">
        <v>8</v>
      </c>
      <c r="J1075">
        <v>3299.36</v>
      </c>
      <c r="K1075">
        <v>0</v>
      </c>
      <c r="L1075" t="s">
        <v>193</v>
      </c>
      <c r="M1075">
        <v>0</v>
      </c>
    </row>
    <row r="1076" spans="1:13" x14ac:dyDescent="0.3">
      <c r="A1076" t="s">
        <v>1285</v>
      </c>
      <c r="B1076">
        <v>66</v>
      </c>
      <c r="C1076" s="1">
        <v>45178</v>
      </c>
      <c r="D1076">
        <v>2023</v>
      </c>
      <c r="E1076" t="s">
        <v>225</v>
      </c>
      <c r="F1076" t="s">
        <v>209</v>
      </c>
      <c r="G1076" t="s">
        <v>200</v>
      </c>
      <c r="H1076" t="s">
        <v>206</v>
      </c>
      <c r="I1076">
        <v>3</v>
      </c>
      <c r="J1076">
        <v>63.54</v>
      </c>
      <c r="K1076">
        <v>0</v>
      </c>
      <c r="L1076" t="s">
        <v>215</v>
      </c>
      <c r="M1076">
        <v>0</v>
      </c>
    </row>
    <row r="1077" spans="1:13" x14ac:dyDescent="0.3">
      <c r="A1077" t="s">
        <v>1286</v>
      </c>
      <c r="B1077">
        <v>66</v>
      </c>
      <c r="C1077" s="1">
        <v>44937</v>
      </c>
      <c r="D1077">
        <v>2023</v>
      </c>
      <c r="E1077" t="s">
        <v>214</v>
      </c>
      <c r="F1077" t="s">
        <v>209</v>
      </c>
      <c r="G1077" t="s">
        <v>212</v>
      </c>
      <c r="H1077" t="s">
        <v>195</v>
      </c>
      <c r="I1077">
        <v>7</v>
      </c>
      <c r="J1077">
        <v>383.91</v>
      </c>
      <c r="K1077">
        <v>0</v>
      </c>
      <c r="L1077" t="s">
        <v>215</v>
      </c>
      <c r="M1077">
        <v>1</v>
      </c>
    </row>
    <row r="1078" spans="1:13" x14ac:dyDescent="0.3">
      <c r="A1078" t="s">
        <v>1287</v>
      </c>
      <c r="B1078">
        <v>66</v>
      </c>
      <c r="C1078" s="1">
        <v>44943</v>
      </c>
      <c r="D1078">
        <v>2023</v>
      </c>
      <c r="E1078" t="s">
        <v>198</v>
      </c>
      <c r="F1078" t="s">
        <v>13</v>
      </c>
      <c r="G1078" t="s">
        <v>203</v>
      </c>
      <c r="H1078" t="s">
        <v>204</v>
      </c>
      <c r="I1078">
        <v>3</v>
      </c>
      <c r="J1078">
        <v>1380.55</v>
      </c>
      <c r="K1078">
        <v>1</v>
      </c>
      <c r="L1078" t="s">
        <v>193</v>
      </c>
      <c r="M1078">
        <v>0</v>
      </c>
    </row>
    <row r="1079" spans="1:13" x14ac:dyDescent="0.3">
      <c r="A1079" t="s">
        <v>1288</v>
      </c>
      <c r="B1079">
        <v>66</v>
      </c>
      <c r="C1079" s="1">
        <v>45553</v>
      </c>
      <c r="D1079">
        <v>2024</v>
      </c>
      <c r="E1079" t="s">
        <v>214</v>
      </c>
      <c r="F1079" t="s">
        <v>199</v>
      </c>
      <c r="G1079" t="s">
        <v>212</v>
      </c>
      <c r="H1079" t="s">
        <v>206</v>
      </c>
      <c r="I1079">
        <v>3</v>
      </c>
      <c r="J1079">
        <v>6352.27</v>
      </c>
      <c r="K1079">
        <v>0</v>
      </c>
      <c r="L1079" t="s">
        <v>196</v>
      </c>
      <c r="M1079">
        <v>1</v>
      </c>
    </row>
    <row r="1080" spans="1:13" x14ac:dyDescent="0.3">
      <c r="A1080" t="s">
        <v>1289</v>
      </c>
      <c r="B1080">
        <v>66</v>
      </c>
      <c r="C1080" s="1">
        <v>45375</v>
      </c>
      <c r="D1080">
        <v>2024</v>
      </c>
      <c r="E1080" t="s">
        <v>287</v>
      </c>
      <c r="F1080" t="s">
        <v>209</v>
      </c>
      <c r="G1080" t="s">
        <v>212</v>
      </c>
      <c r="H1080" t="s">
        <v>206</v>
      </c>
      <c r="I1080">
        <v>8</v>
      </c>
      <c r="J1080">
        <v>24.87</v>
      </c>
      <c r="K1080">
        <v>0</v>
      </c>
      <c r="L1080" t="s">
        <v>201</v>
      </c>
      <c r="M1080">
        <v>1</v>
      </c>
    </row>
    <row r="1081" spans="1:13" x14ac:dyDescent="0.3">
      <c r="A1081" t="s">
        <v>1290</v>
      </c>
      <c r="B1081">
        <v>66</v>
      </c>
      <c r="C1081" s="1">
        <v>45572</v>
      </c>
      <c r="D1081">
        <v>2024</v>
      </c>
      <c r="E1081" t="s">
        <v>287</v>
      </c>
      <c r="F1081" t="s">
        <v>199</v>
      </c>
      <c r="G1081" t="s">
        <v>191</v>
      </c>
      <c r="H1081" t="s">
        <v>195</v>
      </c>
      <c r="I1081">
        <v>3</v>
      </c>
      <c r="J1081">
        <v>7923.98</v>
      </c>
      <c r="K1081">
        <v>0</v>
      </c>
      <c r="L1081" t="s">
        <v>196</v>
      </c>
      <c r="M1081">
        <v>1</v>
      </c>
    </row>
    <row r="1082" spans="1:13" x14ac:dyDescent="0.3">
      <c r="A1082" t="s">
        <v>1291</v>
      </c>
      <c r="B1082">
        <v>67</v>
      </c>
      <c r="C1082" s="1">
        <v>44631</v>
      </c>
      <c r="D1082">
        <v>2022</v>
      </c>
      <c r="E1082" t="s">
        <v>219</v>
      </c>
      <c r="F1082" t="s">
        <v>12</v>
      </c>
      <c r="G1082" t="s">
        <v>203</v>
      </c>
      <c r="H1082" t="s">
        <v>204</v>
      </c>
      <c r="I1082">
        <v>9</v>
      </c>
      <c r="J1082">
        <v>321.66000000000003</v>
      </c>
      <c r="K1082">
        <v>0</v>
      </c>
      <c r="L1082" t="s">
        <v>201</v>
      </c>
      <c r="M1082">
        <v>1</v>
      </c>
    </row>
    <row r="1083" spans="1:13" x14ac:dyDescent="0.3">
      <c r="A1083" t="s">
        <v>1292</v>
      </c>
      <c r="B1083">
        <v>67</v>
      </c>
      <c r="C1083" s="1">
        <v>45277</v>
      </c>
      <c r="D1083">
        <v>2023</v>
      </c>
      <c r="E1083" t="s">
        <v>219</v>
      </c>
      <c r="F1083" t="s">
        <v>13</v>
      </c>
      <c r="G1083" t="s">
        <v>212</v>
      </c>
      <c r="H1083" t="s">
        <v>206</v>
      </c>
      <c r="I1083">
        <v>10</v>
      </c>
      <c r="J1083">
        <v>1961.92</v>
      </c>
      <c r="K1083">
        <v>0</v>
      </c>
      <c r="L1083" t="s">
        <v>210</v>
      </c>
      <c r="M1083">
        <v>1</v>
      </c>
    </row>
    <row r="1084" spans="1:13" x14ac:dyDescent="0.3">
      <c r="A1084" t="s">
        <v>1293</v>
      </c>
      <c r="B1084">
        <v>67</v>
      </c>
      <c r="C1084" s="1">
        <v>44998</v>
      </c>
      <c r="D1084">
        <v>2023</v>
      </c>
      <c r="E1084" t="s">
        <v>190</v>
      </c>
      <c r="F1084" t="s">
        <v>209</v>
      </c>
      <c r="G1084" t="s">
        <v>212</v>
      </c>
      <c r="H1084" t="s">
        <v>204</v>
      </c>
      <c r="I1084">
        <v>3</v>
      </c>
      <c r="J1084">
        <v>75.2</v>
      </c>
      <c r="K1084">
        <v>0</v>
      </c>
      <c r="L1084" t="s">
        <v>215</v>
      </c>
      <c r="M1084">
        <v>1</v>
      </c>
    </row>
    <row r="1085" spans="1:13" x14ac:dyDescent="0.3">
      <c r="A1085" t="s">
        <v>1294</v>
      </c>
      <c r="B1085">
        <v>67</v>
      </c>
      <c r="C1085" s="1">
        <v>45410</v>
      </c>
      <c r="D1085">
        <v>2024</v>
      </c>
      <c r="E1085" t="s">
        <v>190</v>
      </c>
      <c r="F1085" t="s">
        <v>13</v>
      </c>
      <c r="G1085" t="s">
        <v>191</v>
      </c>
      <c r="H1085" t="s">
        <v>195</v>
      </c>
      <c r="I1085">
        <v>3</v>
      </c>
      <c r="J1085">
        <v>2756.81</v>
      </c>
      <c r="K1085">
        <v>0</v>
      </c>
      <c r="L1085" t="s">
        <v>215</v>
      </c>
      <c r="M1085">
        <v>0</v>
      </c>
    </row>
    <row r="1086" spans="1:13" x14ac:dyDescent="0.3">
      <c r="A1086" t="s">
        <v>1295</v>
      </c>
      <c r="B1086">
        <v>67</v>
      </c>
      <c r="C1086" s="1">
        <v>45444</v>
      </c>
      <c r="D1086">
        <v>2024</v>
      </c>
      <c r="E1086" t="s">
        <v>190</v>
      </c>
      <c r="F1086" t="s">
        <v>12</v>
      </c>
      <c r="G1086" t="s">
        <v>212</v>
      </c>
      <c r="H1086" t="s">
        <v>206</v>
      </c>
      <c r="I1086">
        <v>11</v>
      </c>
      <c r="J1086">
        <v>1417.28</v>
      </c>
      <c r="K1086">
        <v>0</v>
      </c>
      <c r="L1086" t="s">
        <v>210</v>
      </c>
      <c r="M1086">
        <v>1</v>
      </c>
    </row>
    <row r="1087" spans="1:13" x14ac:dyDescent="0.3">
      <c r="A1087" t="s">
        <v>1296</v>
      </c>
      <c r="B1087">
        <v>67</v>
      </c>
      <c r="C1087" s="1">
        <v>45875</v>
      </c>
      <c r="D1087">
        <v>2025</v>
      </c>
      <c r="E1087" t="s">
        <v>219</v>
      </c>
      <c r="F1087" t="s">
        <v>12</v>
      </c>
      <c r="G1087" t="s">
        <v>212</v>
      </c>
      <c r="H1087" t="s">
        <v>195</v>
      </c>
      <c r="I1087">
        <v>16</v>
      </c>
      <c r="J1087">
        <v>1057.6500000000001</v>
      </c>
      <c r="K1087">
        <v>0</v>
      </c>
      <c r="L1087" t="s">
        <v>210</v>
      </c>
      <c r="M1087">
        <v>1</v>
      </c>
    </row>
    <row r="1088" spans="1:13" x14ac:dyDescent="0.3">
      <c r="A1088" t="s">
        <v>1297</v>
      </c>
      <c r="B1088">
        <v>67</v>
      </c>
      <c r="C1088" s="1">
        <v>45724</v>
      </c>
      <c r="D1088">
        <v>2025</v>
      </c>
      <c r="E1088" t="s">
        <v>287</v>
      </c>
      <c r="F1088" t="s">
        <v>209</v>
      </c>
      <c r="G1088" t="s">
        <v>212</v>
      </c>
      <c r="H1088" t="s">
        <v>195</v>
      </c>
      <c r="I1088">
        <v>12</v>
      </c>
      <c r="J1088">
        <v>6.87</v>
      </c>
      <c r="K1088">
        <v>0</v>
      </c>
      <c r="L1088" t="s">
        <v>215</v>
      </c>
      <c r="M1088">
        <v>1</v>
      </c>
    </row>
    <row r="1089" spans="1:13" x14ac:dyDescent="0.3">
      <c r="A1089" t="s">
        <v>1298</v>
      </c>
      <c r="B1089">
        <v>67</v>
      </c>
      <c r="C1089" s="1">
        <v>45851</v>
      </c>
      <c r="D1089">
        <v>2025</v>
      </c>
      <c r="E1089" t="s">
        <v>214</v>
      </c>
      <c r="F1089" t="s">
        <v>13</v>
      </c>
      <c r="G1089" t="s">
        <v>200</v>
      </c>
      <c r="H1089" t="s">
        <v>192</v>
      </c>
      <c r="I1089">
        <v>15</v>
      </c>
      <c r="J1089">
        <v>1000.74</v>
      </c>
      <c r="K1089">
        <v>0</v>
      </c>
      <c r="L1089" t="s">
        <v>193</v>
      </c>
      <c r="M1089">
        <v>1</v>
      </c>
    </row>
    <row r="1090" spans="1:13" x14ac:dyDescent="0.3">
      <c r="A1090" t="s">
        <v>1299</v>
      </c>
      <c r="B1090">
        <v>67</v>
      </c>
      <c r="C1090" s="1">
        <v>45676</v>
      </c>
      <c r="D1090">
        <v>2025</v>
      </c>
      <c r="E1090" t="s">
        <v>225</v>
      </c>
      <c r="F1090" t="s">
        <v>12</v>
      </c>
      <c r="G1090" t="s">
        <v>200</v>
      </c>
      <c r="H1090" t="s">
        <v>195</v>
      </c>
      <c r="I1090">
        <v>5</v>
      </c>
      <c r="J1090">
        <v>1058.77</v>
      </c>
      <c r="K1090">
        <v>0</v>
      </c>
      <c r="L1090" t="s">
        <v>210</v>
      </c>
      <c r="M1090">
        <v>0</v>
      </c>
    </row>
    <row r="1091" spans="1:13" x14ac:dyDescent="0.3">
      <c r="A1091" t="s">
        <v>1300</v>
      </c>
      <c r="B1091">
        <v>67</v>
      </c>
      <c r="C1091" s="1">
        <v>46016</v>
      </c>
      <c r="D1091">
        <v>2025</v>
      </c>
      <c r="E1091" t="s">
        <v>227</v>
      </c>
      <c r="F1091" t="s">
        <v>12</v>
      </c>
      <c r="G1091" t="s">
        <v>212</v>
      </c>
      <c r="H1091" t="s">
        <v>195</v>
      </c>
      <c r="I1091">
        <v>6</v>
      </c>
      <c r="J1091">
        <v>1023.98</v>
      </c>
      <c r="K1091">
        <v>0</v>
      </c>
      <c r="L1091" t="s">
        <v>215</v>
      </c>
      <c r="M1091">
        <v>1</v>
      </c>
    </row>
    <row r="1092" spans="1:13" x14ac:dyDescent="0.3">
      <c r="A1092" t="s">
        <v>1301</v>
      </c>
      <c r="B1092">
        <v>68</v>
      </c>
      <c r="C1092" s="1">
        <v>44230</v>
      </c>
      <c r="D1092">
        <v>2021</v>
      </c>
      <c r="E1092" t="s">
        <v>287</v>
      </c>
      <c r="F1092" t="s">
        <v>12</v>
      </c>
      <c r="G1092" t="s">
        <v>191</v>
      </c>
      <c r="H1092" t="s">
        <v>195</v>
      </c>
      <c r="I1092">
        <v>11</v>
      </c>
      <c r="J1092">
        <v>774.84</v>
      </c>
      <c r="K1092">
        <v>0</v>
      </c>
      <c r="L1092" t="s">
        <v>196</v>
      </c>
      <c r="M1092">
        <v>0</v>
      </c>
    </row>
    <row r="1093" spans="1:13" x14ac:dyDescent="0.3">
      <c r="A1093" t="s">
        <v>1302</v>
      </c>
      <c r="B1093">
        <v>68</v>
      </c>
      <c r="C1093" s="1">
        <v>44502</v>
      </c>
      <c r="D1093">
        <v>2021</v>
      </c>
      <c r="E1093" t="s">
        <v>225</v>
      </c>
      <c r="F1093" t="s">
        <v>12</v>
      </c>
      <c r="G1093" t="s">
        <v>200</v>
      </c>
      <c r="H1093" t="s">
        <v>192</v>
      </c>
      <c r="I1093">
        <v>10</v>
      </c>
      <c r="J1093">
        <v>772.48</v>
      </c>
      <c r="K1093">
        <v>0</v>
      </c>
      <c r="L1093" t="s">
        <v>196</v>
      </c>
      <c r="M1093">
        <v>0</v>
      </c>
    </row>
    <row r="1094" spans="1:13" x14ac:dyDescent="0.3">
      <c r="A1094" t="s">
        <v>1303</v>
      </c>
      <c r="B1094">
        <v>68</v>
      </c>
      <c r="C1094" s="1">
        <v>44268</v>
      </c>
      <c r="D1094">
        <v>2021</v>
      </c>
      <c r="E1094" t="s">
        <v>214</v>
      </c>
      <c r="F1094" t="s">
        <v>13</v>
      </c>
      <c r="G1094" t="s">
        <v>191</v>
      </c>
      <c r="H1094" t="s">
        <v>195</v>
      </c>
      <c r="I1094">
        <v>10</v>
      </c>
      <c r="J1094">
        <v>1044.18</v>
      </c>
      <c r="K1094">
        <v>0</v>
      </c>
      <c r="L1094" t="s">
        <v>201</v>
      </c>
      <c r="M1094">
        <v>0</v>
      </c>
    </row>
    <row r="1095" spans="1:13" x14ac:dyDescent="0.3">
      <c r="A1095" t="s">
        <v>1304</v>
      </c>
      <c r="B1095">
        <v>68</v>
      </c>
      <c r="C1095" s="1">
        <v>44380</v>
      </c>
      <c r="D1095">
        <v>2021</v>
      </c>
      <c r="E1095" t="s">
        <v>225</v>
      </c>
      <c r="F1095" t="s">
        <v>12</v>
      </c>
      <c r="G1095" t="s">
        <v>200</v>
      </c>
      <c r="H1095" t="s">
        <v>192</v>
      </c>
      <c r="I1095">
        <v>17</v>
      </c>
      <c r="J1095">
        <v>389.16</v>
      </c>
      <c r="K1095">
        <v>0</v>
      </c>
      <c r="L1095" t="s">
        <v>215</v>
      </c>
      <c r="M1095">
        <v>1</v>
      </c>
    </row>
    <row r="1096" spans="1:13" x14ac:dyDescent="0.3">
      <c r="A1096" t="s">
        <v>1305</v>
      </c>
      <c r="B1096">
        <v>68</v>
      </c>
      <c r="C1096" s="1">
        <v>44228</v>
      </c>
      <c r="D1096">
        <v>2021</v>
      </c>
      <c r="E1096" t="s">
        <v>190</v>
      </c>
      <c r="F1096" t="s">
        <v>13</v>
      </c>
      <c r="G1096" t="s">
        <v>203</v>
      </c>
      <c r="H1096" t="s">
        <v>195</v>
      </c>
      <c r="I1096">
        <v>18</v>
      </c>
      <c r="J1096">
        <v>3894.99</v>
      </c>
      <c r="K1096">
        <v>0</v>
      </c>
      <c r="L1096" t="s">
        <v>196</v>
      </c>
      <c r="M1096">
        <v>1</v>
      </c>
    </row>
    <row r="1097" spans="1:13" x14ac:dyDescent="0.3">
      <c r="A1097" t="s">
        <v>1306</v>
      </c>
      <c r="B1097">
        <v>68</v>
      </c>
      <c r="C1097" s="1">
        <v>44389</v>
      </c>
      <c r="D1097">
        <v>2021</v>
      </c>
      <c r="E1097" t="s">
        <v>214</v>
      </c>
      <c r="F1097" t="s">
        <v>199</v>
      </c>
      <c r="G1097" t="s">
        <v>200</v>
      </c>
      <c r="H1097" t="s">
        <v>206</v>
      </c>
      <c r="I1097">
        <v>13</v>
      </c>
      <c r="J1097">
        <v>5028.72</v>
      </c>
      <c r="K1097">
        <v>0</v>
      </c>
      <c r="L1097" t="s">
        <v>196</v>
      </c>
      <c r="M1097">
        <v>0</v>
      </c>
    </row>
    <row r="1098" spans="1:13" x14ac:dyDescent="0.3">
      <c r="A1098" t="s">
        <v>1307</v>
      </c>
      <c r="B1098">
        <v>68</v>
      </c>
      <c r="C1098" s="1">
        <v>44787</v>
      </c>
      <c r="D1098">
        <v>2022</v>
      </c>
      <c r="E1098" t="s">
        <v>198</v>
      </c>
      <c r="F1098" t="s">
        <v>13</v>
      </c>
      <c r="G1098" t="s">
        <v>203</v>
      </c>
      <c r="H1098" t="s">
        <v>204</v>
      </c>
      <c r="I1098">
        <v>4</v>
      </c>
      <c r="J1098">
        <v>3370.12</v>
      </c>
      <c r="K1098">
        <v>1</v>
      </c>
      <c r="L1098" t="s">
        <v>193</v>
      </c>
      <c r="M1098">
        <v>1</v>
      </c>
    </row>
    <row r="1099" spans="1:13" x14ac:dyDescent="0.3">
      <c r="A1099" t="s">
        <v>1308</v>
      </c>
      <c r="B1099">
        <v>68</v>
      </c>
      <c r="C1099" s="1">
        <v>44695</v>
      </c>
      <c r="D1099">
        <v>2022</v>
      </c>
      <c r="E1099" t="s">
        <v>198</v>
      </c>
      <c r="F1099" t="s">
        <v>13</v>
      </c>
      <c r="G1099" t="s">
        <v>191</v>
      </c>
      <c r="H1099" t="s">
        <v>195</v>
      </c>
      <c r="I1099">
        <v>3</v>
      </c>
      <c r="J1099">
        <v>2651.44</v>
      </c>
      <c r="K1099">
        <v>1</v>
      </c>
      <c r="L1099" t="s">
        <v>201</v>
      </c>
      <c r="M1099">
        <v>1</v>
      </c>
    </row>
    <row r="1100" spans="1:13" x14ac:dyDescent="0.3">
      <c r="A1100" t="s">
        <v>1309</v>
      </c>
      <c r="B1100">
        <v>68</v>
      </c>
      <c r="C1100" s="1">
        <v>44854</v>
      </c>
      <c r="D1100">
        <v>2022</v>
      </c>
      <c r="E1100" t="s">
        <v>219</v>
      </c>
      <c r="F1100" t="s">
        <v>12</v>
      </c>
      <c r="G1100" t="s">
        <v>212</v>
      </c>
      <c r="H1100" t="s">
        <v>206</v>
      </c>
      <c r="I1100">
        <v>10</v>
      </c>
      <c r="J1100">
        <v>460.88</v>
      </c>
      <c r="K1100">
        <v>0</v>
      </c>
      <c r="L1100" t="s">
        <v>215</v>
      </c>
      <c r="M1100">
        <v>1</v>
      </c>
    </row>
    <row r="1101" spans="1:13" x14ac:dyDescent="0.3">
      <c r="A1101" t="s">
        <v>1310</v>
      </c>
      <c r="B1101">
        <v>68</v>
      </c>
      <c r="C1101" s="1">
        <v>44706</v>
      </c>
      <c r="D1101">
        <v>2022</v>
      </c>
      <c r="E1101" t="s">
        <v>214</v>
      </c>
      <c r="F1101" t="s">
        <v>13</v>
      </c>
      <c r="G1101" t="s">
        <v>200</v>
      </c>
      <c r="H1101" t="s">
        <v>195</v>
      </c>
      <c r="I1101">
        <v>5</v>
      </c>
      <c r="J1101">
        <v>2285.1999999999998</v>
      </c>
      <c r="K1101">
        <v>0</v>
      </c>
      <c r="L1101" t="s">
        <v>201</v>
      </c>
      <c r="M1101">
        <v>1</v>
      </c>
    </row>
    <row r="1102" spans="1:13" x14ac:dyDescent="0.3">
      <c r="A1102" t="s">
        <v>1311</v>
      </c>
      <c r="B1102">
        <v>68</v>
      </c>
      <c r="C1102" s="1">
        <v>44843</v>
      </c>
      <c r="D1102">
        <v>2022</v>
      </c>
      <c r="E1102" t="s">
        <v>225</v>
      </c>
      <c r="F1102" t="s">
        <v>13</v>
      </c>
      <c r="G1102" t="s">
        <v>200</v>
      </c>
      <c r="H1102" t="s">
        <v>206</v>
      </c>
      <c r="I1102">
        <v>15</v>
      </c>
      <c r="J1102">
        <v>1880.27</v>
      </c>
      <c r="K1102">
        <v>0</v>
      </c>
      <c r="L1102" t="s">
        <v>201</v>
      </c>
      <c r="M1102">
        <v>0</v>
      </c>
    </row>
    <row r="1103" spans="1:13" x14ac:dyDescent="0.3">
      <c r="A1103" t="s">
        <v>1312</v>
      </c>
      <c r="B1103">
        <v>68</v>
      </c>
      <c r="C1103" s="1">
        <v>45125</v>
      </c>
      <c r="D1103">
        <v>2023</v>
      </c>
      <c r="E1103" t="s">
        <v>214</v>
      </c>
      <c r="F1103" t="s">
        <v>13</v>
      </c>
      <c r="G1103" t="s">
        <v>203</v>
      </c>
      <c r="H1103" t="s">
        <v>195</v>
      </c>
      <c r="I1103">
        <v>20</v>
      </c>
      <c r="J1103">
        <v>1189.6600000000001</v>
      </c>
      <c r="K1103">
        <v>1</v>
      </c>
      <c r="L1103" t="s">
        <v>196</v>
      </c>
      <c r="M1103">
        <v>0</v>
      </c>
    </row>
    <row r="1104" spans="1:13" x14ac:dyDescent="0.3">
      <c r="A1104" t="s">
        <v>1313</v>
      </c>
      <c r="B1104">
        <v>68</v>
      </c>
      <c r="C1104" s="1">
        <v>45033</v>
      </c>
      <c r="D1104">
        <v>2023</v>
      </c>
      <c r="E1104" t="s">
        <v>190</v>
      </c>
      <c r="F1104" t="s">
        <v>12</v>
      </c>
      <c r="G1104" t="s">
        <v>203</v>
      </c>
      <c r="H1104" t="s">
        <v>195</v>
      </c>
      <c r="I1104">
        <v>16</v>
      </c>
      <c r="J1104">
        <v>1157.6400000000001</v>
      </c>
      <c r="K1104">
        <v>0</v>
      </c>
      <c r="L1104" t="s">
        <v>215</v>
      </c>
      <c r="M1104">
        <v>0</v>
      </c>
    </row>
    <row r="1105" spans="1:13" x14ac:dyDescent="0.3">
      <c r="A1105" t="s">
        <v>1314</v>
      </c>
      <c r="B1105">
        <v>68</v>
      </c>
      <c r="C1105" s="1">
        <v>44945</v>
      </c>
      <c r="D1105">
        <v>2023</v>
      </c>
      <c r="E1105" t="s">
        <v>219</v>
      </c>
      <c r="F1105" t="s">
        <v>209</v>
      </c>
      <c r="G1105" t="s">
        <v>200</v>
      </c>
      <c r="H1105" t="s">
        <v>195</v>
      </c>
      <c r="I1105">
        <v>3</v>
      </c>
      <c r="J1105">
        <v>388.53</v>
      </c>
      <c r="K1105">
        <v>0</v>
      </c>
      <c r="L1105" t="s">
        <v>201</v>
      </c>
      <c r="M1105">
        <v>0</v>
      </c>
    </row>
    <row r="1106" spans="1:13" x14ac:dyDescent="0.3">
      <c r="A1106" t="s">
        <v>1315</v>
      </c>
      <c r="B1106">
        <v>68</v>
      </c>
      <c r="C1106" s="1">
        <v>45186</v>
      </c>
      <c r="D1106">
        <v>2023</v>
      </c>
      <c r="E1106" t="s">
        <v>198</v>
      </c>
      <c r="F1106" t="s">
        <v>199</v>
      </c>
      <c r="G1106" t="s">
        <v>200</v>
      </c>
      <c r="H1106" t="s">
        <v>192</v>
      </c>
      <c r="I1106">
        <v>8</v>
      </c>
      <c r="J1106">
        <v>7137.83</v>
      </c>
      <c r="K1106">
        <v>1</v>
      </c>
      <c r="L1106" t="s">
        <v>196</v>
      </c>
      <c r="M1106">
        <v>0</v>
      </c>
    </row>
    <row r="1107" spans="1:13" x14ac:dyDescent="0.3">
      <c r="A1107" t="s">
        <v>1316</v>
      </c>
      <c r="B1107">
        <v>68</v>
      </c>
      <c r="C1107" s="1">
        <v>45509</v>
      </c>
      <c r="D1107">
        <v>2024</v>
      </c>
      <c r="E1107" t="s">
        <v>190</v>
      </c>
      <c r="F1107" t="s">
        <v>12</v>
      </c>
      <c r="G1107" t="s">
        <v>203</v>
      </c>
      <c r="H1107" t="s">
        <v>192</v>
      </c>
      <c r="I1107">
        <v>2</v>
      </c>
      <c r="J1107">
        <v>1261.42</v>
      </c>
      <c r="K1107">
        <v>0</v>
      </c>
      <c r="L1107" t="s">
        <v>193</v>
      </c>
      <c r="M1107">
        <v>0</v>
      </c>
    </row>
    <row r="1108" spans="1:13" x14ac:dyDescent="0.3">
      <c r="A1108" t="s">
        <v>1317</v>
      </c>
      <c r="B1108">
        <v>68</v>
      </c>
      <c r="C1108" s="1">
        <v>45629</v>
      </c>
      <c r="D1108">
        <v>2024</v>
      </c>
      <c r="E1108" t="s">
        <v>219</v>
      </c>
      <c r="F1108" t="s">
        <v>199</v>
      </c>
      <c r="G1108" t="s">
        <v>191</v>
      </c>
      <c r="H1108" t="s">
        <v>195</v>
      </c>
      <c r="I1108">
        <v>10</v>
      </c>
      <c r="J1108">
        <v>7661.1</v>
      </c>
      <c r="K1108">
        <v>0</v>
      </c>
      <c r="L1108" t="s">
        <v>196</v>
      </c>
      <c r="M1108">
        <v>0</v>
      </c>
    </row>
    <row r="1109" spans="1:13" x14ac:dyDescent="0.3">
      <c r="A1109" t="s">
        <v>1318</v>
      </c>
      <c r="B1109">
        <v>68</v>
      </c>
      <c r="C1109" s="1">
        <v>45592</v>
      </c>
      <c r="D1109">
        <v>2024</v>
      </c>
      <c r="E1109" t="s">
        <v>227</v>
      </c>
      <c r="F1109" t="s">
        <v>13</v>
      </c>
      <c r="G1109" t="s">
        <v>203</v>
      </c>
      <c r="H1109" t="s">
        <v>192</v>
      </c>
      <c r="I1109">
        <v>11</v>
      </c>
      <c r="J1109">
        <v>2363.27</v>
      </c>
      <c r="K1109">
        <v>0</v>
      </c>
      <c r="L1109" t="s">
        <v>215</v>
      </c>
      <c r="M1109">
        <v>0</v>
      </c>
    </row>
    <row r="1110" spans="1:13" x14ac:dyDescent="0.3">
      <c r="A1110" t="s">
        <v>1319</v>
      </c>
      <c r="B1110">
        <v>68</v>
      </c>
      <c r="C1110" s="1">
        <v>45394</v>
      </c>
      <c r="D1110">
        <v>2024</v>
      </c>
      <c r="E1110" t="s">
        <v>225</v>
      </c>
      <c r="F1110" t="s">
        <v>199</v>
      </c>
      <c r="G1110" t="s">
        <v>200</v>
      </c>
      <c r="H1110" t="s">
        <v>195</v>
      </c>
      <c r="I1110">
        <v>6</v>
      </c>
      <c r="J1110">
        <v>3753.41</v>
      </c>
      <c r="K1110">
        <v>0</v>
      </c>
      <c r="L1110" t="s">
        <v>196</v>
      </c>
      <c r="M1110">
        <v>0</v>
      </c>
    </row>
    <row r="1111" spans="1:13" x14ac:dyDescent="0.3">
      <c r="A1111" t="s">
        <v>1320</v>
      </c>
      <c r="B1111">
        <v>68</v>
      </c>
      <c r="C1111" s="1">
        <v>45543</v>
      </c>
      <c r="D1111">
        <v>2024</v>
      </c>
      <c r="E1111" t="s">
        <v>214</v>
      </c>
      <c r="F1111" t="s">
        <v>12</v>
      </c>
      <c r="G1111" t="s">
        <v>212</v>
      </c>
      <c r="H1111" t="s">
        <v>195</v>
      </c>
      <c r="I1111">
        <v>14</v>
      </c>
      <c r="J1111">
        <v>277.82</v>
      </c>
      <c r="K1111">
        <v>0</v>
      </c>
      <c r="L1111" t="s">
        <v>196</v>
      </c>
      <c r="M1111">
        <v>1</v>
      </c>
    </row>
    <row r="1112" spans="1:13" x14ac:dyDescent="0.3">
      <c r="A1112" t="s">
        <v>1321</v>
      </c>
      <c r="B1112">
        <v>68</v>
      </c>
      <c r="C1112" s="1">
        <v>45340</v>
      </c>
      <c r="D1112">
        <v>2024</v>
      </c>
      <c r="E1112" t="s">
        <v>287</v>
      </c>
      <c r="F1112" t="s">
        <v>12</v>
      </c>
      <c r="G1112" t="s">
        <v>203</v>
      </c>
      <c r="H1112" t="s">
        <v>192</v>
      </c>
      <c r="I1112">
        <v>13</v>
      </c>
      <c r="J1112">
        <v>1322.03</v>
      </c>
      <c r="K1112">
        <v>0</v>
      </c>
      <c r="L1112" t="s">
        <v>201</v>
      </c>
      <c r="M1112">
        <v>1</v>
      </c>
    </row>
    <row r="1113" spans="1:13" x14ac:dyDescent="0.3">
      <c r="A1113" t="s">
        <v>1322</v>
      </c>
      <c r="B1113">
        <v>68</v>
      </c>
      <c r="C1113" s="1">
        <v>45682</v>
      </c>
      <c r="D1113">
        <v>2025</v>
      </c>
      <c r="E1113" t="s">
        <v>219</v>
      </c>
      <c r="F1113" t="s">
        <v>12</v>
      </c>
      <c r="G1113" t="s">
        <v>212</v>
      </c>
      <c r="H1113" t="s">
        <v>195</v>
      </c>
      <c r="I1113">
        <v>9</v>
      </c>
      <c r="J1113">
        <v>877.98</v>
      </c>
      <c r="K1113">
        <v>0</v>
      </c>
      <c r="L1113" t="s">
        <v>215</v>
      </c>
      <c r="M1113">
        <v>1</v>
      </c>
    </row>
    <row r="1114" spans="1:13" x14ac:dyDescent="0.3">
      <c r="A1114" t="s">
        <v>1323</v>
      </c>
      <c r="B1114">
        <v>68</v>
      </c>
      <c r="C1114" s="1">
        <v>45670</v>
      </c>
      <c r="D1114">
        <v>2025</v>
      </c>
      <c r="E1114" t="s">
        <v>214</v>
      </c>
      <c r="F1114" t="s">
        <v>209</v>
      </c>
      <c r="G1114" t="s">
        <v>212</v>
      </c>
      <c r="H1114" t="s">
        <v>204</v>
      </c>
      <c r="I1114">
        <v>10</v>
      </c>
      <c r="J1114">
        <v>487.92</v>
      </c>
      <c r="K1114">
        <v>0</v>
      </c>
      <c r="L1114" t="s">
        <v>215</v>
      </c>
      <c r="M1114">
        <v>1</v>
      </c>
    </row>
    <row r="1115" spans="1:13" x14ac:dyDescent="0.3">
      <c r="A1115" t="s">
        <v>1324</v>
      </c>
      <c r="B1115">
        <v>68</v>
      </c>
      <c r="C1115" s="1">
        <v>45925</v>
      </c>
      <c r="D1115">
        <v>2025</v>
      </c>
      <c r="E1115" t="s">
        <v>214</v>
      </c>
      <c r="F1115" t="s">
        <v>12</v>
      </c>
      <c r="G1115" t="s">
        <v>212</v>
      </c>
      <c r="H1115" t="s">
        <v>195</v>
      </c>
      <c r="I1115">
        <v>1</v>
      </c>
      <c r="J1115">
        <v>1492.82</v>
      </c>
      <c r="K1115">
        <v>0</v>
      </c>
      <c r="L1115" t="s">
        <v>215</v>
      </c>
      <c r="M1115">
        <v>1</v>
      </c>
    </row>
    <row r="1116" spans="1:13" x14ac:dyDescent="0.3">
      <c r="A1116" t="s">
        <v>1325</v>
      </c>
      <c r="B1116">
        <v>69</v>
      </c>
      <c r="C1116" s="1">
        <v>44474</v>
      </c>
      <c r="D1116">
        <v>2021</v>
      </c>
      <c r="E1116" t="s">
        <v>198</v>
      </c>
      <c r="F1116" t="s">
        <v>199</v>
      </c>
      <c r="G1116" t="s">
        <v>212</v>
      </c>
      <c r="H1116" t="s">
        <v>204</v>
      </c>
      <c r="I1116">
        <v>11</v>
      </c>
      <c r="J1116">
        <v>6707.47</v>
      </c>
      <c r="K1116">
        <v>1</v>
      </c>
      <c r="L1116" t="s">
        <v>196</v>
      </c>
      <c r="M1116">
        <v>1</v>
      </c>
    </row>
    <row r="1117" spans="1:13" x14ac:dyDescent="0.3">
      <c r="A1117" t="s">
        <v>1326</v>
      </c>
      <c r="B1117">
        <v>69</v>
      </c>
      <c r="C1117" s="1">
        <v>44399</v>
      </c>
      <c r="D1117">
        <v>2021</v>
      </c>
      <c r="E1117" t="s">
        <v>227</v>
      </c>
      <c r="F1117" t="s">
        <v>13</v>
      </c>
      <c r="G1117" t="s">
        <v>203</v>
      </c>
      <c r="H1117" t="s">
        <v>204</v>
      </c>
      <c r="I1117">
        <v>17</v>
      </c>
      <c r="J1117">
        <v>3792.8</v>
      </c>
      <c r="K1117">
        <v>1</v>
      </c>
      <c r="L1117" t="s">
        <v>201</v>
      </c>
      <c r="M1117">
        <v>0</v>
      </c>
    </row>
    <row r="1118" spans="1:13" x14ac:dyDescent="0.3">
      <c r="A1118" t="s">
        <v>1327</v>
      </c>
      <c r="B1118">
        <v>69</v>
      </c>
      <c r="C1118" s="1">
        <v>44488</v>
      </c>
      <c r="D1118">
        <v>2021</v>
      </c>
      <c r="E1118" t="s">
        <v>198</v>
      </c>
      <c r="F1118" t="s">
        <v>199</v>
      </c>
      <c r="G1118" t="s">
        <v>191</v>
      </c>
      <c r="H1118" t="s">
        <v>192</v>
      </c>
      <c r="I1118">
        <v>18</v>
      </c>
      <c r="J1118">
        <v>7973.58</v>
      </c>
      <c r="K1118">
        <v>1</v>
      </c>
      <c r="L1118" t="s">
        <v>201</v>
      </c>
      <c r="M1118">
        <v>0</v>
      </c>
    </row>
    <row r="1119" spans="1:13" x14ac:dyDescent="0.3">
      <c r="A1119" t="s">
        <v>1328</v>
      </c>
      <c r="B1119">
        <v>69</v>
      </c>
      <c r="C1119" s="1">
        <v>44444</v>
      </c>
      <c r="D1119">
        <v>2021</v>
      </c>
      <c r="E1119" t="s">
        <v>225</v>
      </c>
      <c r="F1119" t="s">
        <v>199</v>
      </c>
      <c r="G1119" t="s">
        <v>191</v>
      </c>
      <c r="H1119" t="s">
        <v>192</v>
      </c>
      <c r="I1119">
        <v>1</v>
      </c>
      <c r="J1119">
        <v>5016.4799999999996</v>
      </c>
      <c r="K1119">
        <v>1</v>
      </c>
      <c r="L1119" t="s">
        <v>193</v>
      </c>
      <c r="M1119">
        <v>0</v>
      </c>
    </row>
    <row r="1120" spans="1:13" x14ac:dyDescent="0.3">
      <c r="A1120" t="s">
        <v>1329</v>
      </c>
      <c r="B1120">
        <v>69</v>
      </c>
      <c r="C1120" s="1">
        <v>44336</v>
      </c>
      <c r="D1120">
        <v>2021</v>
      </c>
      <c r="E1120" t="s">
        <v>198</v>
      </c>
      <c r="F1120" t="s">
        <v>13</v>
      </c>
      <c r="G1120" t="s">
        <v>203</v>
      </c>
      <c r="H1120" t="s">
        <v>192</v>
      </c>
      <c r="I1120">
        <v>5</v>
      </c>
      <c r="J1120">
        <v>2606.69</v>
      </c>
      <c r="K1120">
        <v>1</v>
      </c>
      <c r="L1120" t="s">
        <v>193</v>
      </c>
      <c r="M1120">
        <v>1</v>
      </c>
    </row>
    <row r="1121" spans="1:13" x14ac:dyDescent="0.3">
      <c r="A1121" t="s">
        <v>1330</v>
      </c>
      <c r="B1121">
        <v>69</v>
      </c>
      <c r="C1121" s="1">
        <v>44662</v>
      </c>
      <c r="D1121">
        <v>2022</v>
      </c>
      <c r="E1121" t="s">
        <v>287</v>
      </c>
      <c r="F1121" t="s">
        <v>199</v>
      </c>
      <c r="G1121" t="s">
        <v>203</v>
      </c>
      <c r="H1121" t="s">
        <v>195</v>
      </c>
      <c r="I1121">
        <v>5</v>
      </c>
      <c r="J1121">
        <v>5793.48</v>
      </c>
      <c r="K1121">
        <v>1</v>
      </c>
      <c r="L1121" t="s">
        <v>210</v>
      </c>
      <c r="M1121">
        <v>0</v>
      </c>
    </row>
    <row r="1122" spans="1:13" x14ac:dyDescent="0.3">
      <c r="A1122" t="s">
        <v>1331</v>
      </c>
      <c r="B1122">
        <v>69</v>
      </c>
      <c r="C1122" s="1">
        <v>44652</v>
      </c>
      <c r="D1122">
        <v>2022</v>
      </c>
      <c r="E1122" t="s">
        <v>287</v>
      </c>
      <c r="F1122" t="s">
        <v>12</v>
      </c>
      <c r="G1122" t="s">
        <v>203</v>
      </c>
      <c r="H1122" t="s">
        <v>192</v>
      </c>
      <c r="I1122">
        <v>9</v>
      </c>
      <c r="J1122">
        <v>890.79</v>
      </c>
      <c r="K1122">
        <v>0</v>
      </c>
      <c r="L1122" t="s">
        <v>193</v>
      </c>
      <c r="M1122">
        <v>0</v>
      </c>
    </row>
    <row r="1123" spans="1:13" x14ac:dyDescent="0.3">
      <c r="A1123" t="s">
        <v>1332</v>
      </c>
      <c r="B1123">
        <v>69</v>
      </c>
      <c r="C1123" s="1">
        <v>44584</v>
      </c>
      <c r="D1123">
        <v>2022</v>
      </c>
      <c r="E1123" t="s">
        <v>198</v>
      </c>
      <c r="F1123" t="s">
        <v>13</v>
      </c>
      <c r="G1123" t="s">
        <v>212</v>
      </c>
      <c r="H1123" t="s">
        <v>204</v>
      </c>
      <c r="I1123">
        <v>6</v>
      </c>
      <c r="J1123">
        <v>2397.73</v>
      </c>
      <c r="K1123">
        <v>1</v>
      </c>
      <c r="L1123" t="s">
        <v>196</v>
      </c>
      <c r="M1123">
        <v>1</v>
      </c>
    </row>
    <row r="1124" spans="1:13" x14ac:dyDescent="0.3">
      <c r="A1124" t="s">
        <v>1333</v>
      </c>
      <c r="B1124">
        <v>69</v>
      </c>
      <c r="C1124" s="1">
        <v>45128</v>
      </c>
      <c r="D1124">
        <v>2023</v>
      </c>
      <c r="E1124" t="s">
        <v>219</v>
      </c>
      <c r="F1124" t="s">
        <v>13</v>
      </c>
      <c r="G1124" t="s">
        <v>203</v>
      </c>
      <c r="H1124" t="s">
        <v>204</v>
      </c>
      <c r="I1124">
        <v>15</v>
      </c>
      <c r="J1124">
        <v>2739.7</v>
      </c>
      <c r="K1124">
        <v>0</v>
      </c>
      <c r="L1124" t="s">
        <v>193</v>
      </c>
      <c r="M1124">
        <v>0</v>
      </c>
    </row>
    <row r="1125" spans="1:13" x14ac:dyDescent="0.3">
      <c r="A1125" t="s">
        <v>1334</v>
      </c>
      <c r="B1125">
        <v>69</v>
      </c>
      <c r="C1125" s="1">
        <v>45128</v>
      </c>
      <c r="D1125">
        <v>2023</v>
      </c>
      <c r="E1125" t="s">
        <v>190</v>
      </c>
      <c r="F1125" t="s">
        <v>13</v>
      </c>
      <c r="G1125" t="s">
        <v>200</v>
      </c>
      <c r="H1125" t="s">
        <v>195</v>
      </c>
      <c r="I1125">
        <v>4</v>
      </c>
      <c r="J1125">
        <v>2533.0100000000002</v>
      </c>
      <c r="K1125">
        <v>0</v>
      </c>
      <c r="L1125" t="s">
        <v>196</v>
      </c>
      <c r="M1125">
        <v>0</v>
      </c>
    </row>
    <row r="1126" spans="1:13" x14ac:dyDescent="0.3">
      <c r="A1126" t="s">
        <v>1335</v>
      </c>
      <c r="B1126">
        <v>69</v>
      </c>
      <c r="C1126" s="1">
        <v>44930</v>
      </c>
      <c r="D1126">
        <v>2023</v>
      </c>
      <c r="E1126" t="s">
        <v>190</v>
      </c>
      <c r="F1126" t="s">
        <v>199</v>
      </c>
      <c r="G1126" t="s">
        <v>203</v>
      </c>
      <c r="H1126" t="s">
        <v>195</v>
      </c>
      <c r="I1126">
        <v>11</v>
      </c>
      <c r="J1126">
        <v>2763.58</v>
      </c>
      <c r="K1126">
        <v>0</v>
      </c>
      <c r="L1126" t="s">
        <v>193</v>
      </c>
      <c r="M1126">
        <v>0</v>
      </c>
    </row>
    <row r="1127" spans="1:13" x14ac:dyDescent="0.3">
      <c r="A1127" t="s">
        <v>1336</v>
      </c>
      <c r="B1127">
        <v>69</v>
      </c>
      <c r="C1127" s="1">
        <v>45510</v>
      </c>
      <c r="D1127">
        <v>2024</v>
      </c>
      <c r="E1127" t="s">
        <v>225</v>
      </c>
      <c r="F1127" t="s">
        <v>13</v>
      </c>
      <c r="G1127" t="s">
        <v>212</v>
      </c>
      <c r="H1127" t="s">
        <v>192</v>
      </c>
      <c r="I1127">
        <v>7</v>
      </c>
      <c r="J1127">
        <v>1521.56</v>
      </c>
      <c r="K1127">
        <v>0</v>
      </c>
      <c r="L1127" t="s">
        <v>193</v>
      </c>
      <c r="M1127">
        <v>1</v>
      </c>
    </row>
    <row r="1128" spans="1:13" x14ac:dyDescent="0.3">
      <c r="A1128" t="s">
        <v>1337</v>
      </c>
      <c r="B1128">
        <v>69</v>
      </c>
      <c r="C1128" s="1">
        <v>45439</v>
      </c>
      <c r="D1128">
        <v>2024</v>
      </c>
      <c r="E1128" t="s">
        <v>219</v>
      </c>
      <c r="F1128" t="s">
        <v>13</v>
      </c>
      <c r="G1128" t="s">
        <v>200</v>
      </c>
      <c r="H1128" t="s">
        <v>206</v>
      </c>
      <c r="I1128">
        <v>13</v>
      </c>
      <c r="J1128">
        <v>2372.9299999999998</v>
      </c>
      <c r="K1128">
        <v>0</v>
      </c>
      <c r="L1128" t="s">
        <v>196</v>
      </c>
      <c r="M1128">
        <v>1</v>
      </c>
    </row>
    <row r="1129" spans="1:13" x14ac:dyDescent="0.3">
      <c r="A1129" t="s">
        <v>1338</v>
      </c>
      <c r="B1129">
        <v>69</v>
      </c>
      <c r="C1129" s="1">
        <v>45571</v>
      </c>
      <c r="D1129">
        <v>2024</v>
      </c>
      <c r="E1129" t="s">
        <v>190</v>
      </c>
      <c r="F1129" t="s">
        <v>13</v>
      </c>
      <c r="G1129" t="s">
        <v>203</v>
      </c>
      <c r="H1129" t="s">
        <v>195</v>
      </c>
      <c r="I1129">
        <v>12</v>
      </c>
      <c r="J1129">
        <v>2619.5100000000002</v>
      </c>
      <c r="K1129">
        <v>0</v>
      </c>
      <c r="L1129" t="s">
        <v>215</v>
      </c>
      <c r="M1129">
        <v>0</v>
      </c>
    </row>
    <row r="1130" spans="1:13" x14ac:dyDescent="0.3">
      <c r="A1130" t="s">
        <v>1339</v>
      </c>
      <c r="B1130">
        <v>69</v>
      </c>
      <c r="C1130" s="1">
        <v>45578</v>
      </c>
      <c r="D1130">
        <v>2024</v>
      </c>
      <c r="E1130" t="s">
        <v>198</v>
      </c>
      <c r="F1130" t="s">
        <v>199</v>
      </c>
      <c r="G1130" t="s">
        <v>200</v>
      </c>
      <c r="H1130" t="s">
        <v>192</v>
      </c>
      <c r="I1130">
        <v>5</v>
      </c>
      <c r="J1130">
        <v>5417.11</v>
      </c>
      <c r="K1130">
        <v>1</v>
      </c>
      <c r="L1130" t="s">
        <v>196</v>
      </c>
      <c r="M1130">
        <v>0</v>
      </c>
    </row>
    <row r="1131" spans="1:13" x14ac:dyDescent="0.3">
      <c r="A1131" t="s">
        <v>1340</v>
      </c>
      <c r="B1131">
        <v>69</v>
      </c>
      <c r="C1131" s="1">
        <v>45986</v>
      </c>
      <c r="D1131">
        <v>2025</v>
      </c>
      <c r="E1131" t="s">
        <v>287</v>
      </c>
      <c r="F1131" t="s">
        <v>12</v>
      </c>
      <c r="G1131" t="s">
        <v>191</v>
      </c>
      <c r="H1131" t="s">
        <v>192</v>
      </c>
      <c r="I1131">
        <v>8</v>
      </c>
      <c r="J1131">
        <v>522.92999999999995</v>
      </c>
      <c r="K1131">
        <v>0</v>
      </c>
      <c r="L1131" t="s">
        <v>215</v>
      </c>
      <c r="M1131">
        <v>0</v>
      </c>
    </row>
    <row r="1132" spans="1:13" x14ac:dyDescent="0.3">
      <c r="A1132" t="s">
        <v>1341</v>
      </c>
      <c r="B1132">
        <v>69</v>
      </c>
      <c r="C1132" s="1">
        <v>45970</v>
      </c>
      <c r="D1132">
        <v>2025</v>
      </c>
      <c r="E1132" t="s">
        <v>219</v>
      </c>
      <c r="F1132" t="s">
        <v>199</v>
      </c>
      <c r="G1132" t="s">
        <v>200</v>
      </c>
      <c r="H1132" t="s">
        <v>195</v>
      </c>
      <c r="I1132">
        <v>13</v>
      </c>
      <c r="J1132">
        <v>6546.82</v>
      </c>
      <c r="K1132">
        <v>0</v>
      </c>
      <c r="L1132" t="s">
        <v>201</v>
      </c>
      <c r="M1132">
        <v>0</v>
      </c>
    </row>
    <row r="1133" spans="1:13" x14ac:dyDescent="0.3">
      <c r="A1133" t="s">
        <v>1342</v>
      </c>
      <c r="B1133">
        <v>69</v>
      </c>
      <c r="C1133" s="1">
        <v>45783</v>
      </c>
      <c r="D1133">
        <v>2025</v>
      </c>
      <c r="E1133" t="s">
        <v>225</v>
      </c>
      <c r="F1133" t="s">
        <v>13</v>
      </c>
      <c r="G1133" t="s">
        <v>191</v>
      </c>
      <c r="H1133" t="s">
        <v>195</v>
      </c>
      <c r="I1133">
        <v>18</v>
      </c>
      <c r="J1133">
        <v>1745.93</v>
      </c>
      <c r="K1133">
        <v>1</v>
      </c>
      <c r="L1133" t="s">
        <v>193</v>
      </c>
      <c r="M1133">
        <v>0</v>
      </c>
    </row>
    <row r="1134" spans="1:13" x14ac:dyDescent="0.3">
      <c r="A1134" t="s">
        <v>1343</v>
      </c>
      <c r="B1134">
        <v>69</v>
      </c>
      <c r="C1134" s="1">
        <v>45865</v>
      </c>
      <c r="D1134">
        <v>2025</v>
      </c>
      <c r="E1134" t="s">
        <v>190</v>
      </c>
      <c r="F1134" t="s">
        <v>12</v>
      </c>
      <c r="G1134" t="s">
        <v>212</v>
      </c>
      <c r="H1134" t="s">
        <v>195</v>
      </c>
      <c r="I1134">
        <v>8</v>
      </c>
      <c r="J1134">
        <v>1397.86</v>
      </c>
      <c r="K1134">
        <v>0</v>
      </c>
      <c r="L1134" t="s">
        <v>215</v>
      </c>
      <c r="M1134">
        <v>1</v>
      </c>
    </row>
    <row r="1135" spans="1:13" x14ac:dyDescent="0.3">
      <c r="A1135" t="s">
        <v>1344</v>
      </c>
      <c r="B1135">
        <v>70</v>
      </c>
      <c r="C1135" s="1">
        <v>44905</v>
      </c>
      <c r="D1135">
        <v>2022</v>
      </c>
      <c r="E1135" t="s">
        <v>198</v>
      </c>
      <c r="F1135" t="s">
        <v>12</v>
      </c>
      <c r="G1135" t="s">
        <v>212</v>
      </c>
      <c r="H1135" t="s">
        <v>206</v>
      </c>
      <c r="I1135">
        <v>9</v>
      </c>
      <c r="J1135">
        <v>348.95</v>
      </c>
      <c r="K1135">
        <v>1</v>
      </c>
      <c r="L1135" t="s">
        <v>201</v>
      </c>
      <c r="M1135">
        <v>1</v>
      </c>
    </row>
    <row r="1136" spans="1:13" x14ac:dyDescent="0.3">
      <c r="A1136" t="s">
        <v>1345</v>
      </c>
      <c r="B1136">
        <v>70</v>
      </c>
      <c r="C1136" s="1">
        <v>44737</v>
      </c>
      <c r="D1136">
        <v>2022</v>
      </c>
      <c r="E1136" t="s">
        <v>190</v>
      </c>
      <c r="F1136" t="s">
        <v>199</v>
      </c>
      <c r="G1136" t="s">
        <v>191</v>
      </c>
      <c r="H1136" t="s">
        <v>206</v>
      </c>
      <c r="I1136">
        <v>4</v>
      </c>
      <c r="J1136">
        <v>7324.5</v>
      </c>
      <c r="K1136">
        <v>0</v>
      </c>
      <c r="L1136" t="s">
        <v>193</v>
      </c>
      <c r="M1136">
        <v>0</v>
      </c>
    </row>
    <row r="1137" spans="1:13" x14ac:dyDescent="0.3">
      <c r="A1137" t="s">
        <v>1346</v>
      </c>
      <c r="B1137">
        <v>70</v>
      </c>
      <c r="C1137" s="1">
        <v>44914</v>
      </c>
      <c r="D1137">
        <v>2022</v>
      </c>
      <c r="E1137" t="s">
        <v>219</v>
      </c>
      <c r="F1137" t="s">
        <v>13</v>
      </c>
      <c r="G1137" t="s">
        <v>191</v>
      </c>
      <c r="H1137" t="s">
        <v>192</v>
      </c>
      <c r="I1137">
        <v>5</v>
      </c>
      <c r="J1137">
        <v>3997.19</v>
      </c>
      <c r="K1137">
        <v>1</v>
      </c>
      <c r="L1137" t="s">
        <v>193</v>
      </c>
      <c r="M1137">
        <v>0</v>
      </c>
    </row>
    <row r="1138" spans="1:13" x14ac:dyDescent="0.3">
      <c r="A1138" t="s">
        <v>1347</v>
      </c>
      <c r="B1138">
        <v>70</v>
      </c>
      <c r="C1138" s="1">
        <v>44768</v>
      </c>
      <c r="D1138">
        <v>2022</v>
      </c>
      <c r="E1138" t="s">
        <v>190</v>
      </c>
      <c r="F1138" t="s">
        <v>199</v>
      </c>
      <c r="G1138" t="s">
        <v>212</v>
      </c>
      <c r="H1138" t="s">
        <v>206</v>
      </c>
      <c r="I1138">
        <v>10</v>
      </c>
      <c r="J1138">
        <v>5698.12</v>
      </c>
      <c r="K1138">
        <v>0</v>
      </c>
      <c r="L1138" t="s">
        <v>201</v>
      </c>
      <c r="M1138">
        <v>1</v>
      </c>
    </row>
    <row r="1139" spans="1:13" x14ac:dyDescent="0.3">
      <c r="A1139" t="s">
        <v>1348</v>
      </c>
      <c r="B1139">
        <v>70</v>
      </c>
      <c r="C1139" s="1">
        <v>45009</v>
      </c>
      <c r="D1139">
        <v>2023</v>
      </c>
      <c r="E1139" t="s">
        <v>198</v>
      </c>
      <c r="F1139" t="s">
        <v>199</v>
      </c>
      <c r="G1139" t="s">
        <v>200</v>
      </c>
      <c r="H1139" t="s">
        <v>195</v>
      </c>
      <c r="I1139">
        <v>8</v>
      </c>
      <c r="J1139">
        <v>5600.22</v>
      </c>
      <c r="K1139">
        <v>1</v>
      </c>
      <c r="L1139" t="s">
        <v>210</v>
      </c>
      <c r="M1139">
        <v>0</v>
      </c>
    </row>
    <row r="1140" spans="1:13" x14ac:dyDescent="0.3">
      <c r="A1140" t="s">
        <v>1349</v>
      </c>
      <c r="B1140">
        <v>70</v>
      </c>
      <c r="C1140" s="1">
        <v>45157</v>
      </c>
      <c r="D1140">
        <v>2023</v>
      </c>
      <c r="E1140" t="s">
        <v>214</v>
      </c>
      <c r="F1140" t="s">
        <v>199</v>
      </c>
      <c r="G1140" t="s">
        <v>191</v>
      </c>
      <c r="H1140" t="s">
        <v>204</v>
      </c>
      <c r="I1140">
        <v>4</v>
      </c>
      <c r="J1140">
        <v>7713.91</v>
      </c>
      <c r="K1140">
        <v>0</v>
      </c>
      <c r="L1140" t="s">
        <v>196</v>
      </c>
      <c r="M1140">
        <v>1</v>
      </c>
    </row>
    <row r="1141" spans="1:13" x14ac:dyDescent="0.3">
      <c r="A1141" t="s">
        <v>1350</v>
      </c>
      <c r="B1141">
        <v>70</v>
      </c>
      <c r="C1141" s="1">
        <v>45225</v>
      </c>
      <c r="D1141">
        <v>2023</v>
      </c>
      <c r="E1141" t="s">
        <v>219</v>
      </c>
      <c r="F1141" t="s">
        <v>12</v>
      </c>
      <c r="G1141" t="s">
        <v>212</v>
      </c>
      <c r="H1141" t="s">
        <v>206</v>
      </c>
      <c r="I1141">
        <v>14</v>
      </c>
      <c r="J1141">
        <v>749.77</v>
      </c>
      <c r="K1141">
        <v>0</v>
      </c>
      <c r="L1141" t="s">
        <v>210</v>
      </c>
      <c r="M1141">
        <v>1</v>
      </c>
    </row>
    <row r="1142" spans="1:13" x14ac:dyDescent="0.3">
      <c r="A1142" t="s">
        <v>1351</v>
      </c>
      <c r="B1142">
        <v>70</v>
      </c>
      <c r="C1142" s="1">
        <v>45158</v>
      </c>
      <c r="D1142">
        <v>2023</v>
      </c>
      <c r="E1142" t="s">
        <v>198</v>
      </c>
      <c r="F1142" t="s">
        <v>199</v>
      </c>
      <c r="G1142" t="s">
        <v>203</v>
      </c>
      <c r="H1142" t="s">
        <v>206</v>
      </c>
      <c r="I1142">
        <v>2</v>
      </c>
      <c r="J1142">
        <v>3858.82</v>
      </c>
      <c r="K1142">
        <v>1</v>
      </c>
      <c r="L1142" t="s">
        <v>193</v>
      </c>
      <c r="M1142">
        <v>1</v>
      </c>
    </row>
    <row r="1143" spans="1:13" x14ac:dyDescent="0.3">
      <c r="A1143" t="s">
        <v>1352</v>
      </c>
      <c r="B1143">
        <v>70</v>
      </c>
      <c r="C1143" s="1">
        <v>45592</v>
      </c>
      <c r="D1143">
        <v>2024</v>
      </c>
      <c r="E1143" t="s">
        <v>214</v>
      </c>
      <c r="F1143" t="s">
        <v>12</v>
      </c>
      <c r="G1143" t="s">
        <v>212</v>
      </c>
      <c r="H1143" t="s">
        <v>204</v>
      </c>
      <c r="I1143">
        <v>3</v>
      </c>
      <c r="J1143">
        <v>1470.06</v>
      </c>
      <c r="K1143">
        <v>0</v>
      </c>
      <c r="L1143" t="s">
        <v>210</v>
      </c>
      <c r="M1143">
        <v>1</v>
      </c>
    </row>
    <row r="1144" spans="1:13" x14ac:dyDescent="0.3">
      <c r="A1144" t="s">
        <v>1353</v>
      </c>
      <c r="B1144">
        <v>70</v>
      </c>
      <c r="C1144" s="1">
        <v>45364</v>
      </c>
      <c r="D1144">
        <v>2024</v>
      </c>
      <c r="E1144" t="s">
        <v>227</v>
      </c>
      <c r="F1144" t="s">
        <v>209</v>
      </c>
      <c r="G1144" t="s">
        <v>200</v>
      </c>
      <c r="H1144" t="s">
        <v>204</v>
      </c>
      <c r="I1144">
        <v>6</v>
      </c>
      <c r="J1144">
        <v>391.42</v>
      </c>
      <c r="K1144">
        <v>0</v>
      </c>
      <c r="L1144" t="s">
        <v>215</v>
      </c>
      <c r="M1144">
        <v>0</v>
      </c>
    </row>
    <row r="1145" spans="1:13" x14ac:dyDescent="0.3">
      <c r="A1145" t="s">
        <v>1354</v>
      </c>
      <c r="B1145">
        <v>70</v>
      </c>
      <c r="C1145" s="1">
        <v>45801</v>
      </c>
      <c r="D1145">
        <v>2025</v>
      </c>
      <c r="E1145" t="s">
        <v>214</v>
      </c>
      <c r="F1145" t="s">
        <v>209</v>
      </c>
      <c r="G1145" t="s">
        <v>200</v>
      </c>
      <c r="H1145" t="s">
        <v>206</v>
      </c>
      <c r="I1145">
        <v>11</v>
      </c>
      <c r="J1145">
        <v>10.01</v>
      </c>
      <c r="K1145">
        <v>1</v>
      </c>
      <c r="L1145" t="s">
        <v>215</v>
      </c>
      <c r="M1145">
        <v>0</v>
      </c>
    </row>
    <row r="1146" spans="1:13" x14ac:dyDescent="0.3">
      <c r="A1146" t="s">
        <v>1355</v>
      </c>
      <c r="B1146">
        <v>70</v>
      </c>
      <c r="C1146" s="1">
        <v>45988</v>
      </c>
      <c r="D1146">
        <v>2025</v>
      </c>
      <c r="E1146" t="s">
        <v>214</v>
      </c>
      <c r="F1146" t="s">
        <v>13</v>
      </c>
      <c r="G1146" t="s">
        <v>212</v>
      </c>
      <c r="H1146" t="s">
        <v>195</v>
      </c>
      <c r="I1146">
        <v>14</v>
      </c>
      <c r="J1146">
        <v>2151.23</v>
      </c>
      <c r="K1146">
        <v>0</v>
      </c>
      <c r="L1146" t="s">
        <v>196</v>
      </c>
      <c r="M1146">
        <v>1</v>
      </c>
    </row>
    <row r="1147" spans="1:13" x14ac:dyDescent="0.3">
      <c r="A1147" t="s">
        <v>1356</v>
      </c>
      <c r="B1147">
        <v>70</v>
      </c>
      <c r="C1147" s="1">
        <v>45996</v>
      </c>
      <c r="D1147">
        <v>2025</v>
      </c>
      <c r="E1147" t="s">
        <v>227</v>
      </c>
      <c r="F1147" t="s">
        <v>13</v>
      </c>
      <c r="G1147" t="s">
        <v>200</v>
      </c>
      <c r="H1147" t="s">
        <v>192</v>
      </c>
      <c r="I1147">
        <v>2</v>
      </c>
      <c r="J1147">
        <v>1700.6</v>
      </c>
      <c r="K1147">
        <v>0</v>
      </c>
      <c r="L1147" t="s">
        <v>193</v>
      </c>
      <c r="M1147">
        <v>1</v>
      </c>
    </row>
    <row r="1148" spans="1:13" x14ac:dyDescent="0.3">
      <c r="A1148" t="s">
        <v>1357</v>
      </c>
      <c r="B1148">
        <v>71</v>
      </c>
      <c r="C1148" s="1">
        <v>44397</v>
      </c>
      <c r="D1148">
        <v>2021</v>
      </c>
      <c r="E1148" t="s">
        <v>190</v>
      </c>
      <c r="F1148" t="s">
        <v>209</v>
      </c>
      <c r="G1148" t="s">
        <v>191</v>
      </c>
      <c r="H1148" t="s">
        <v>195</v>
      </c>
      <c r="I1148">
        <v>11</v>
      </c>
      <c r="J1148">
        <v>372.26</v>
      </c>
      <c r="K1148">
        <v>0</v>
      </c>
      <c r="L1148" t="s">
        <v>193</v>
      </c>
      <c r="M1148">
        <v>1</v>
      </c>
    </row>
    <row r="1149" spans="1:13" x14ac:dyDescent="0.3">
      <c r="A1149" t="s">
        <v>1358</v>
      </c>
      <c r="B1149">
        <v>71</v>
      </c>
      <c r="C1149" s="1">
        <v>44466</v>
      </c>
      <c r="D1149">
        <v>2021</v>
      </c>
      <c r="E1149" t="s">
        <v>214</v>
      </c>
      <c r="F1149" t="s">
        <v>199</v>
      </c>
      <c r="G1149" t="s">
        <v>203</v>
      </c>
      <c r="H1149" t="s">
        <v>195</v>
      </c>
      <c r="I1149">
        <v>8</v>
      </c>
      <c r="J1149">
        <v>7336.41</v>
      </c>
      <c r="K1149">
        <v>0</v>
      </c>
      <c r="L1149" t="s">
        <v>193</v>
      </c>
      <c r="M1149">
        <v>0</v>
      </c>
    </row>
    <row r="1150" spans="1:13" x14ac:dyDescent="0.3">
      <c r="A1150" t="s">
        <v>1359</v>
      </c>
      <c r="B1150">
        <v>71</v>
      </c>
      <c r="C1150" s="1">
        <v>44793</v>
      </c>
      <c r="D1150">
        <v>2022</v>
      </c>
      <c r="E1150" t="s">
        <v>227</v>
      </c>
      <c r="F1150" t="s">
        <v>13</v>
      </c>
      <c r="G1150" t="s">
        <v>191</v>
      </c>
      <c r="H1150" t="s">
        <v>192</v>
      </c>
      <c r="I1150">
        <v>12</v>
      </c>
      <c r="J1150">
        <v>3293.44</v>
      </c>
      <c r="K1150">
        <v>0</v>
      </c>
      <c r="L1150" t="s">
        <v>201</v>
      </c>
      <c r="M1150">
        <v>1</v>
      </c>
    </row>
    <row r="1151" spans="1:13" x14ac:dyDescent="0.3">
      <c r="A1151" t="s">
        <v>1360</v>
      </c>
      <c r="B1151">
        <v>71</v>
      </c>
      <c r="C1151" s="1">
        <v>44571</v>
      </c>
      <c r="D1151">
        <v>2022</v>
      </c>
      <c r="E1151" t="s">
        <v>198</v>
      </c>
      <c r="F1151" t="s">
        <v>199</v>
      </c>
      <c r="G1151" t="s">
        <v>203</v>
      </c>
      <c r="H1151" t="s">
        <v>195</v>
      </c>
      <c r="I1151">
        <v>2</v>
      </c>
      <c r="J1151">
        <v>3398.52</v>
      </c>
      <c r="K1151">
        <v>1</v>
      </c>
      <c r="L1151" t="s">
        <v>201</v>
      </c>
      <c r="M1151">
        <v>0</v>
      </c>
    </row>
    <row r="1152" spans="1:13" x14ac:dyDescent="0.3">
      <c r="A1152" t="s">
        <v>1361</v>
      </c>
      <c r="B1152">
        <v>71</v>
      </c>
      <c r="C1152" s="1">
        <v>44885</v>
      </c>
      <c r="D1152">
        <v>2022</v>
      </c>
      <c r="E1152" t="s">
        <v>225</v>
      </c>
      <c r="F1152" t="s">
        <v>209</v>
      </c>
      <c r="G1152" t="s">
        <v>212</v>
      </c>
      <c r="H1152" t="s">
        <v>192</v>
      </c>
      <c r="I1152">
        <v>7</v>
      </c>
      <c r="J1152">
        <v>43.96</v>
      </c>
      <c r="K1152">
        <v>0</v>
      </c>
      <c r="L1152" t="s">
        <v>210</v>
      </c>
      <c r="M1152">
        <v>1</v>
      </c>
    </row>
    <row r="1153" spans="1:13" x14ac:dyDescent="0.3">
      <c r="A1153" t="s">
        <v>1362</v>
      </c>
      <c r="B1153">
        <v>71</v>
      </c>
      <c r="C1153" s="1">
        <v>45476</v>
      </c>
      <c r="D1153">
        <v>2024</v>
      </c>
      <c r="E1153" t="s">
        <v>190</v>
      </c>
      <c r="F1153" t="s">
        <v>12</v>
      </c>
      <c r="G1153" t="s">
        <v>212</v>
      </c>
      <c r="H1153" t="s">
        <v>204</v>
      </c>
      <c r="I1153">
        <v>10</v>
      </c>
      <c r="J1153">
        <v>979.79</v>
      </c>
      <c r="K1153">
        <v>1</v>
      </c>
      <c r="L1153" t="s">
        <v>210</v>
      </c>
      <c r="M1153">
        <v>1</v>
      </c>
    </row>
    <row r="1154" spans="1:13" x14ac:dyDescent="0.3">
      <c r="A1154" t="s">
        <v>1363</v>
      </c>
      <c r="B1154">
        <v>71</v>
      </c>
      <c r="C1154" s="1">
        <v>45551</v>
      </c>
      <c r="D1154">
        <v>2024</v>
      </c>
      <c r="E1154" t="s">
        <v>198</v>
      </c>
      <c r="F1154" t="s">
        <v>13</v>
      </c>
      <c r="G1154" t="s">
        <v>200</v>
      </c>
      <c r="H1154" t="s">
        <v>192</v>
      </c>
      <c r="I1154">
        <v>6</v>
      </c>
      <c r="J1154">
        <v>3431.1</v>
      </c>
      <c r="K1154">
        <v>1</v>
      </c>
      <c r="L1154" t="s">
        <v>196</v>
      </c>
      <c r="M1154">
        <v>1</v>
      </c>
    </row>
    <row r="1155" spans="1:13" x14ac:dyDescent="0.3">
      <c r="A1155" t="s">
        <v>1364</v>
      </c>
      <c r="B1155">
        <v>71</v>
      </c>
      <c r="C1155" s="1">
        <v>45430</v>
      </c>
      <c r="D1155">
        <v>2024</v>
      </c>
      <c r="E1155" t="s">
        <v>190</v>
      </c>
      <c r="F1155" t="s">
        <v>13</v>
      </c>
      <c r="G1155" t="s">
        <v>191</v>
      </c>
      <c r="H1155" t="s">
        <v>204</v>
      </c>
      <c r="I1155">
        <v>6</v>
      </c>
      <c r="J1155">
        <v>3598</v>
      </c>
      <c r="K1155">
        <v>1</v>
      </c>
      <c r="L1155" t="s">
        <v>193</v>
      </c>
      <c r="M1155">
        <v>0</v>
      </c>
    </row>
    <row r="1156" spans="1:13" x14ac:dyDescent="0.3">
      <c r="A1156" t="s">
        <v>1365</v>
      </c>
      <c r="B1156">
        <v>71</v>
      </c>
      <c r="C1156" s="1">
        <v>45314</v>
      </c>
      <c r="D1156">
        <v>2024</v>
      </c>
      <c r="E1156" t="s">
        <v>214</v>
      </c>
      <c r="F1156" t="s">
        <v>209</v>
      </c>
      <c r="G1156" t="s">
        <v>200</v>
      </c>
      <c r="H1156" t="s">
        <v>192</v>
      </c>
      <c r="I1156">
        <v>9</v>
      </c>
      <c r="J1156">
        <v>20.47</v>
      </c>
      <c r="K1156">
        <v>0</v>
      </c>
      <c r="L1156" t="s">
        <v>201</v>
      </c>
      <c r="M1156">
        <v>1</v>
      </c>
    </row>
    <row r="1157" spans="1:13" x14ac:dyDescent="0.3">
      <c r="A1157" t="s">
        <v>1366</v>
      </c>
      <c r="B1157">
        <v>71</v>
      </c>
      <c r="C1157" s="1">
        <v>45704</v>
      </c>
      <c r="D1157">
        <v>2025</v>
      </c>
      <c r="E1157" t="s">
        <v>190</v>
      </c>
      <c r="F1157" t="s">
        <v>199</v>
      </c>
      <c r="G1157" t="s">
        <v>200</v>
      </c>
      <c r="H1157" t="s">
        <v>195</v>
      </c>
      <c r="I1157">
        <v>6</v>
      </c>
      <c r="J1157">
        <v>4409.12</v>
      </c>
      <c r="K1157">
        <v>0</v>
      </c>
      <c r="L1157" t="s">
        <v>193</v>
      </c>
      <c r="M1157">
        <v>1</v>
      </c>
    </row>
    <row r="1158" spans="1:13" x14ac:dyDescent="0.3">
      <c r="A1158" t="s">
        <v>1367</v>
      </c>
      <c r="B1158">
        <v>71</v>
      </c>
      <c r="C1158" s="1">
        <v>45677</v>
      </c>
      <c r="D1158">
        <v>2025</v>
      </c>
      <c r="E1158" t="s">
        <v>190</v>
      </c>
      <c r="F1158" t="s">
        <v>12</v>
      </c>
      <c r="G1158" t="s">
        <v>212</v>
      </c>
      <c r="H1158" t="s">
        <v>192</v>
      </c>
      <c r="I1158">
        <v>10</v>
      </c>
      <c r="J1158">
        <v>682.9</v>
      </c>
      <c r="K1158">
        <v>0</v>
      </c>
      <c r="L1158" t="s">
        <v>215</v>
      </c>
      <c r="M1158">
        <v>1</v>
      </c>
    </row>
    <row r="1159" spans="1:13" x14ac:dyDescent="0.3">
      <c r="A1159" t="s">
        <v>1368</v>
      </c>
      <c r="B1159">
        <v>72</v>
      </c>
      <c r="C1159" s="1">
        <v>44374</v>
      </c>
      <c r="D1159">
        <v>2021</v>
      </c>
      <c r="E1159" t="s">
        <v>214</v>
      </c>
      <c r="F1159" t="s">
        <v>199</v>
      </c>
      <c r="G1159" t="s">
        <v>203</v>
      </c>
      <c r="H1159" t="s">
        <v>195</v>
      </c>
      <c r="I1159">
        <v>13</v>
      </c>
      <c r="J1159">
        <v>3143.35</v>
      </c>
      <c r="K1159">
        <v>0</v>
      </c>
      <c r="L1159" t="s">
        <v>196</v>
      </c>
      <c r="M1159">
        <v>1</v>
      </c>
    </row>
    <row r="1160" spans="1:13" x14ac:dyDescent="0.3">
      <c r="A1160" t="s">
        <v>1369</v>
      </c>
      <c r="B1160">
        <v>72</v>
      </c>
      <c r="C1160" s="1">
        <v>44198</v>
      </c>
      <c r="D1160">
        <v>2021</v>
      </c>
      <c r="E1160" t="s">
        <v>219</v>
      </c>
      <c r="F1160" t="s">
        <v>199</v>
      </c>
      <c r="G1160" t="s">
        <v>191</v>
      </c>
      <c r="H1160" t="s">
        <v>206</v>
      </c>
      <c r="I1160">
        <v>19</v>
      </c>
      <c r="J1160">
        <v>4214.67</v>
      </c>
      <c r="K1160">
        <v>0</v>
      </c>
      <c r="L1160" t="s">
        <v>193</v>
      </c>
      <c r="M1160">
        <v>1</v>
      </c>
    </row>
    <row r="1161" spans="1:13" x14ac:dyDescent="0.3">
      <c r="A1161" t="s">
        <v>1370</v>
      </c>
      <c r="B1161">
        <v>72</v>
      </c>
      <c r="C1161" s="1">
        <v>44306</v>
      </c>
      <c r="D1161">
        <v>2021</v>
      </c>
      <c r="E1161" t="s">
        <v>190</v>
      </c>
      <c r="F1161" t="s">
        <v>13</v>
      </c>
      <c r="G1161" t="s">
        <v>212</v>
      </c>
      <c r="H1161" t="s">
        <v>192</v>
      </c>
      <c r="I1161">
        <v>14</v>
      </c>
      <c r="J1161">
        <v>1480.96</v>
      </c>
      <c r="K1161">
        <v>1</v>
      </c>
      <c r="L1161" t="s">
        <v>201</v>
      </c>
      <c r="M1161">
        <v>1</v>
      </c>
    </row>
    <row r="1162" spans="1:13" x14ac:dyDescent="0.3">
      <c r="A1162" t="s">
        <v>1371</v>
      </c>
      <c r="B1162">
        <v>72</v>
      </c>
      <c r="C1162" s="1">
        <v>44816</v>
      </c>
      <c r="D1162">
        <v>2022</v>
      </c>
      <c r="E1162" t="s">
        <v>219</v>
      </c>
      <c r="F1162" t="s">
        <v>12</v>
      </c>
      <c r="G1162" t="s">
        <v>212</v>
      </c>
      <c r="H1162" t="s">
        <v>195</v>
      </c>
      <c r="I1162">
        <v>10</v>
      </c>
      <c r="J1162">
        <v>276.3</v>
      </c>
      <c r="K1162">
        <v>0</v>
      </c>
      <c r="L1162" t="s">
        <v>196</v>
      </c>
      <c r="M1162">
        <v>1</v>
      </c>
    </row>
    <row r="1163" spans="1:13" x14ac:dyDescent="0.3">
      <c r="A1163" t="s">
        <v>1372</v>
      </c>
      <c r="B1163">
        <v>72</v>
      </c>
      <c r="C1163" s="1">
        <v>44633</v>
      </c>
      <c r="D1163">
        <v>2022</v>
      </c>
      <c r="E1163" t="s">
        <v>219</v>
      </c>
      <c r="F1163" t="s">
        <v>12</v>
      </c>
      <c r="G1163" t="s">
        <v>212</v>
      </c>
      <c r="H1163" t="s">
        <v>195</v>
      </c>
      <c r="I1163">
        <v>4</v>
      </c>
      <c r="J1163">
        <v>1136.6199999999999</v>
      </c>
      <c r="K1163">
        <v>0</v>
      </c>
      <c r="L1163" t="s">
        <v>196</v>
      </c>
      <c r="M1163">
        <v>1</v>
      </c>
    </row>
    <row r="1164" spans="1:13" x14ac:dyDescent="0.3">
      <c r="A1164" t="s">
        <v>1373</v>
      </c>
      <c r="B1164">
        <v>72</v>
      </c>
      <c r="C1164" s="1">
        <v>44662</v>
      </c>
      <c r="D1164">
        <v>2022</v>
      </c>
      <c r="E1164" t="s">
        <v>214</v>
      </c>
      <c r="F1164" t="s">
        <v>209</v>
      </c>
      <c r="G1164" t="s">
        <v>212</v>
      </c>
      <c r="H1164" t="s">
        <v>206</v>
      </c>
      <c r="I1164">
        <v>2</v>
      </c>
      <c r="J1164">
        <v>301.88</v>
      </c>
      <c r="K1164">
        <v>1</v>
      </c>
      <c r="L1164" t="s">
        <v>210</v>
      </c>
      <c r="M1164">
        <v>1</v>
      </c>
    </row>
    <row r="1165" spans="1:13" x14ac:dyDescent="0.3">
      <c r="A1165" t="s">
        <v>1374</v>
      </c>
      <c r="B1165">
        <v>72</v>
      </c>
      <c r="C1165" s="1">
        <v>44758</v>
      </c>
      <c r="D1165">
        <v>2022</v>
      </c>
      <c r="E1165" t="s">
        <v>198</v>
      </c>
      <c r="F1165" t="s">
        <v>13</v>
      </c>
      <c r="G1165" t="s">
        <v>212</v>
      </c>
      <c r="H1165" t="s">
        <v>206</v>
      </c>
      <c r="I1165">
        <v>2</v>
      </c>
      <c r="J1165">
        <v>3906.46</v>
      </c>
      <c r="K1165">
        <v>1</v>
      </c>
      <c r="L1165" t="s">
        <v>193</v>
      </c>
      <c r="M1165">
        <v>1</v>
      </c>
    </row>
    <row r="1166" spans="1:13" x14ac:dyDescent="0.3">
      <c r="A1166" t="s">
        <v>1375</v>
      </c>
      <c r="B1166">
        <v>72</v>
      </c>
      <c r="C1166" s="1">
        <v>45264</v>
      </c>
      <c r="D1166">
        <v>2023</v>
      </c>
      <c r="E1166" t="s">
        <v>219</v>
      </c>
      <c r="F1166" t="s">
        <v>12</v>
      </c>
      <c r="G1166" t="s">
        <v>212</v>
      </c>
      <c r="H1166" t="s">
        <v>192</v>
      </c>
      <c r="I1166">
        <v>5</v>
      </c>
      <c r="J1166">
        <v>1115.94</v>
      </c>
      <c r="K1166">
        <v>0</v>
      </c>
      <c r="L1166" t="s">
        <v>210</v>
      </c>
      <c r="M1166">
        <v>1</v>
      </c>
    </row>
    <row r="1167" spans="1:13" x14ac:dyDescent="0.3">
      <c r="A1167" t="s">
        <v>1376</v>
      </c>
      <c r="B1167">
        <v>72</v>
      </c>
      <c r="C1167" s="1">
        <v>45019</v>
      </c>
      <c r="D1167">
        <v>2023</v>
      </c>
      <c r="E1167" t="s">
        <v>214</v>
      </c>
      <c r="F1167" t="s">
        <v>12</v>
      </c>
      <c r="G1167" t="s">
        <v>191</v>
      </c>
      <c r="H1167" t="s">
        <v>195</v>
      </c>
      <c r="I1167">
        <v>9</v>
      </c>
      <c r="J1167">
        <v>723.22</v>
      </c>
      <c r="K1167">
        <v>0</v>
      </c>
      <c r="L1167" t="s">
        <v>210</v>
      </c>
      <c r="M1167">
        <v>0</v>
      </c>
    </row>
    <row r="1168" spans="1:13" x14ac:dyDescent="0.3">
      <c r="A1168" t="s">
        <v>1377</v>
      </c>
      <c r="B1168">
        <v>72</v>
      </c>
      <c r="C1168" s="1">
        <v>45171</v>
      </c>
      <c r="D1168">
        <v>2023</v>
      </c>
      <c r="E1168" t="s">
        <v>225</v>
      </c>
      <c r="F1168" t="s">
        <v>13</v>
      </c>
      <c r="G1168" t="s">
        <v>203</v>
      </c>
      <c r="H1168" t="s">
        <v>204</v>
      </c>
      <c r="I1168">
        <v>1</v>
      </c>
      <c r="J1168">
        <v>1334.32</v>
      </c>
      <c r="K1168">
        <v>0</v>
      </c>
      <c r="L1168" t="s">
        <v>193</v>
      </c>
      <c r="M1168">
        <v>1</v>
      </c>
    </row>
    <row r="1169" spans="1:13" x14ac:dyDescent="0.3">
      <c r="A1169" t="s">
        <v>1378</v>
      </c>
      <c r="B1169">
        <v>72</v>
      </c>
      <c r="C1169" s="1">
        <v>45352</v>
      </c>
      <c r="D1169">
        <v>2024</v>
      </c>
      <c r="E1169" t="s">
        <v>219</v>
      </c>
      <c r="F1169" t="s">
        <v>13</v>
      </c>
      <c r="G1169" t="s">
        <v>212</v>
      </c>
      <c r="H1169" t="s">
        <v>195</v>
      </c>
      <c r="I1169">
        <v>12</v>
      </c>
      <c r="J1169">
        <v>3133.5</v>
      </c>
      <c r="K1169">
        <v>1</v>
      </c>
      <c r="L1169" t="s">
        <v>201</v>
      </c>
      <c r="M1169">
        <v>1</v>
      </c>
    </row>
    <row r="1170" spans="1:13" x14ac:dyDescent="0.3">
      <c r="A1170" t="s">
        <v>1379</v>
      </c>
      <c r="B1170">
        <v>72</v>
      </c>
      <c r="C1170" s="1">
        <v>45319</v>
      </c>
      <c r="D1170">
        <v>2024</v>
      </c>
      <c r="E1170" t="s">
        <v>198</v>
      </c>
      <c r="F1170" t="s">
        <v>13</v>
      </c>
      <c r="G1170" t="s">
        <v>191</v>
      </c>
      <c r="H1170" t="s">
        <v>204</v>
      </c>
      <c r="I1170">
        <v>5</v>
      </c>
      <c r="J1170">
        <v>1239.78</v>
      </c>
      <c r="K1170">
        <v>1</v>
      </c>
      <c r="L1170" t="s">
        <v>196</v>
      </c>
      <c r="M1170">
        <v>1</v>
      </c>
    </row>
    <row r="1171" spans="1:13" x14ac:dyDescent="0.3">
      <c r="A1171" t="s">
        <v>1380</v>
      </c>
      <c r="B1171">
        <v>72</v>
      </c>
      <c r="C1171" s="1">
        <v>45584</v>
      </c>
      <c r="D1171">
        <v>2024</v>
      </c>
      <c r="E1171" t="s">
        <v>214</v>
      </c>
      <c r="F1171" t="s">
        <v>12</v>
      </c>
      <c r="G1171" t="s">
        <v>212</v>
      </c>
      <c r="H1171" t="s">
        <v>192</v>
      </c>
      <c r="I1171">
        <v>4</v>
      </c>
      <c r="J1171">
        <v>760.22</v>
      </c>
      <c r="K1171">
        <v>0</v>
      </c>
      <c r="L1171" t="s">
        <v>201</v>
      </c>
      <c r="M1171">
        <v>1</v>
      </c>
    </row>
    <row r="1172" spans="1:13" x14ac:dyDescent="0.3">
      <c r="A1172" t="s">
        <v>1381</v>
      </c>
      <c r="B1172">
        <v>72</v>
      </c>
      <c r="C1172" s="1">
        <v>45466</v>
      </c>
      <c r="D1172">
        <v>2024</v>
      </c>
      <c r="E1172" t="s">
        <v>225</v>
      </c>
      <c r="F1172" t="s">
        <v>199</v>
      </c>
      <c r="G1172" t="s">
        <v>200</v>
      </c>
      <c r="H1172" t="s">
        <v>195</v>
      </c>
      <c r="I1172">
        <v>13</v>
      </c>
      <c r="J1172">
        <v>2590.44</v>
      </c>
      <c r="K1172">
        <v>1</v>
      </c>
      <c r="L1172" t="s">
        <v>193</v>
      </c>
      <c r="M1172">
        <v>1</v>
      </c>
    </row>
    <row r="1173" spans="1:13" x14ac:dyDescent="0.3">
      <c r="A1173" t="s">
        <v>1382</v>
      </c>
      <c r="B1173">
        <v>72</v>
      </c>
      <c r="C1173" s="1">
        <v>45760</v>
      </c>
      <c r="D1173">
        <v>2025</v>
      </c>
      <c r="E1173" t="s">
        <v>219</v>
      </c>
      <c r="F1173" t="s">
        <v>209</v>
      </c>
      <c r="G1173" t="s">
        <v>191</v>
      </c>
      <c r="H1173" t="s">
        <v>195</v>
      </c>
      <c r="I1173">
        <v>5</v>
      </c>
      <c r="J1173">
        <v>141.9</v>
      </c>
      <c r="K1173">
        <v>0</v>
      </c>
      <c r="L1173" t="s">
        <v>215</v>
      </c>
      <c r="M1173">
        <v>1</v>
      </c>
    </row>
    <row r="1174" spans="1:13" x14ac:dyDescent="0.3">
      <c r="A1174" t="s">
        <v>1383</v>
      </c>
      <c r="B1174">
        <v>72</v>
      </c>
      <c r="C1174" s="1">
        <v>45810</v>
      </c>
      <c r="D1174">
        <v>2025</v>
      </c>
      <c r="E1174" t="s">
        <v>214</v>
      </c>
      <c r="F1174" t="s">
        <v>13</v>
      </c>
      <c r="G1174" t="s">
        <v>212</v>
      </c>
      <c r="H1174" t="s">
        <v>192</v>
      </c>
      <c r="I1174">
        <v>11</v>
      </c>
      <c r="J1174">
        <v>2286.8000000000002</v>
      </c>
      <c r="K1174">
        <v>0</v>
      </c>
      <c r="L1174" t="s">
        <v>193</v>
      </c>
      <c r="M1174">
        <v>1</v>
      </c>
    </row>
    <row r="1175" spans="1:13" x14ac:dyDescent="0.3">
      <c r="A1175" t="s">
        <v>1384</v>
      </c>
      <c r="B1175">
        <v>72</v>
      </c>
      <c r="C1175" s="1">
        <v>45934</v>
      </c>
      <c r="D1175">
        <v>2025</v>
      </c>
      <c r="E1175" t="s">
        <v>227</v>
      </c>
      <c r="F1175" t="s">
        <v>12</v>
      </c>
      <c r="G1175" t="s">
        <v>200</v>
      </c>
      <c r="H1175" t="s">
        <v>192</v>
      </c>
      <c r="I1175">
        <v>5</v>
      </c>
      <c r="J1175">
        <v>456.14</v>
      </c>
      <c r="K1175">
        <v>0</v>
      </c>
      <c r="L1175" t="s">
        <v>215</v>
      </c>
      <c r="M1175">
        <v>0</v>
      </c>
    </row>
    <row r="1176" spans="1:13" x14ac:dyDescent="0.3">
      <c r="A1176" t="s">
        <v>1385</v>
      </c>
      <c r="B1176">
        <v>73</v>
      </c>
      <c r="C1176" s="1">
        <v>44256</v>
      </c>
      <c r="D1176">
        <v>2021</v>
      </c>
      <c r="E1176" t="s">
        <v>225</v>
      </c>
      <c r="F1176" t="s">
        <v>13</v>
      </c>
      <c r="G1176" t="s">
        <v>212</v>
      </c>
      <c r="H1176" t="s">
        <v>206</v>
      </c>
      <c r="I1176">
        <v>5</v>
      </c>
      <c r="J1176">
        <v>2402.4699999999998</v>
      </c>
      <c r="K1176">
        <v>0</v>
      </c>
      <c r="L1176" t="s">
        <v>201</v>
      </c>
      <c r="M1176">
        <v>1</v>
      </c>
    </row>
    <row r="1177" spans="1:13" x14ac:dyDescent="0.3">
      <c r="A1177" t="s">
        <v>1386</v>
      </c>
      <c r="B1177">
        <v>73</v>
      </c>
      <c r="C1177" s="1">
        <v>44246</v>
      </c>
      <c r="D1177">
        <v>2021</v>
      </c>
      <c r="E1177" t="s">
        <v>214</v>
      </c>
      <c r="F1177" t="s">
        <v>12</v>
      </c>
      <c r="G1177" t="s">
        <v>212</v>
      </c>
      <c r="H1177" t="s">
        <v>195</v>
      </c>
      <c r="I1177">
        <v>15</v>
      </c>
      <c r="J1177">
        <v>1458.76</v>
      </c>
      <c r="K1177">
        <v>1</v>
      </c>
      <c r="L1177" t="s">
        <v>215</v>
      </c>
      <c r="M1177">
        <v>1</v>
      </c>
    </row>
    <row r="1178" spans="1:13" x14ac:dyDescent="0.3">
      <c r="A1178" t="s">
        <v>1387</v>
      </c>
      <c r="B1178">
        <v>73</v>
      </c>
      <c r="C1178" s="1">
        <v>44418</v>
      </c>
      <c r="D1178">
        <v>2021</v>
      </c>
      <c r="E1178" t="s">
        <v>214</v>
      </c>
      <c r="F1178" t="s">
        <v>12</v>
      </c>
      <c r="G1178" t="s">
        <v>191</v>
      </c>
      <c r="H1178" t="s">
        <v>206</v>
      </c>
      <c r="I1178">
        <v>11</v>
      </c>
      <c r="J1178">
        <v>607.29</v>
      </c>
      <c r="K1178">
        <v>0</v>
      </c>
      <c r="L1178" t="s">
        <v>215</v>
      </c>
      <c r="M1178">
        <v>0</v>
      </c>
    </row>
    <row r="1179" spans="1:13" x14ac:dyDescent="0.3">
      <c r="A1179" t="s">
        <v>1388</v>
      </c>
      <c r="B1179">
        <v>73</v>
      </c>
      <c r="C1179" s="1">
        <v>44355</v>
      </c>
      <c r="D1179">
        <v>2021</v>
      </c>
      <c r="E1179" t="s">
        <v>214</v>
      </c>
      <c r="F1179" t="s">
        <v>209</v>
      </c>
      <c r="G1179" t="s">
        <v>212</v>
      </c>
      <c r="H1179" t="s">
        <v>195</v>
      </c>
      <c r="I1179">
        <v>5</v>
      </c>
      <c r="J1179">
        <v>208.72</v>
      </c>
      <c r="K1179">
        <v>0</v>
      </c>
      <c r="L1179" t="s">
        <v>193</v>
      </c>
      <c r="M1179">
        <v>1</v>
      </c>
    </row>
    <row r="1180" spans="1:13" x14ac:dyDescent="0.3">
      <c r="A1180" t="s">
        <v>1389</v>
      </c>
      <c r="B1180">
        <v>73</v>
      </c>
      <c r="C1180" s="1">
        <v>44341</v>
      </c>
      <c r="D1180">
        <v>2021</v>
      </c>
      <c r="E1180" t="s">
        <v>287</v>
      </c>
      <c r="F1180" t="s">
        <v>12</v>
      </c>
      <c r="G1180" t="s">
        <v>212</v>
      </c>
      <c r="H1180" t="s">
        <v>195</v>
      </c>
      <c r="I1180">
        <v>13</v>
      </c>
      <c r="J1180">
        <v>1020.66</v>
      </c>
      <c r="K1180">
        <v>1</v>
      </c>
      <c r="L1180" t="s">
        <v>215</v>
      </c>
      <c r="M1180">
        <v>1</v>
      </c>
    </row>
    <row r="1181" spans="1:13" x14ac:dyDescent="0.3">
      <c r="A1181" t="s">
        <v>1390</v>
      </c>
      <c r="B1181">
        <v>73</v>
      </c>
      <c r="C1181" s="1">
        <v>44934</v>
      </c>
      <c r="D1181">
        <v>2023</v>
      </c>
      <c r="E1181" t="s">
        <v>287</v>
      </c>
      <c r="F1181" t="s">
        <v>12</v>
      </c>
      <c r="G1181" t="s">
        <v>212</v>
      </c>
      <c r="H1181" t="s">
        <v>195</v>
      </c>
      <c r="I1181">
        <v>9</v>
      </c>
      <c r="J1181">
        <v>637</v>
      </c>
      <c r="K1181">
        <v>0</v>
      </c>
      <c r="L1181" t="s">
        <v>210</v>
      </c>
      <c r="M1181">
        <v>1</v>
      </c>
    </row>
    <row r="1182" spans="1:13" x14ac:dyDescent="0.3">
      <c r="A1182" t="s">
        <v>1391</v>
      </c>
      <c r="B1182">
        <v>73</v>
      </c>
      <c r="C1182" s="1">
        <v>45061</v>
      </c>
      <c r="D1182">
        <v>2023</v>
      </c>
      <c r="E1182" t="s">
        <v>198</v>
      </c>
      <c r="F1182" t="s">
        <v>199</v>
      </c>
      <c r="G1182" t="s">
        <v>200</v>
      </c>
      <c r="H1182" t="s">
        <v>195</v>
      </c>
      <c r="I1182">
        <v>10</v>
      </c>
      <c r="J1182">
        <v>6898.77</v>
      </c>
      <c r="K1182">
        <v>1</v>
      </c>
      <c r="L1182" t="s">
        <v>201</v>
      </c>
      <c r="M1182">
        <v>0</v>
      </c>
    </row>
    <row r="1183" spans="1:13" x14ac:dyDescent="0.3">
      <c r="A1183" t="s">
        <v>1392</v>
      </c>
      <c r="B1183">
        <v>73</v>
      </c>
      <c r="C1183" s="1">
        <v>45084</v>
      </c>
      <c r="D1183">
        <v>2023</v>
      </c>
      <c r="E1183" t="s">
        <v>190</v>
      </c>
      <c r="F1183" t="s">
        <v>209</v>
      </c>
      <c r="G1183" t="s">
        <v>212</v>
      </c>
      <c r="H1183" t="s">
        <v>195</v>
      </c>
      <c r="I1183">
        <v>16</v>
      </c>
      <c r="J1183">
        <v>570.67999999999995</v>
      </c>
      <c r="K1183">
        <v>0</v>
      </c>
      <c r="L1183" t="s">
        <v>210</v>
      </c>
      <c r="M1183">
        <v>1</v>
      </c>
    </row>
    <row r="1184" spans="1:13" x14ac:dyDescent="0.3">
      <c r="A1184" t="s">
        <v>1393</v>
      </c>
      <c r="B1184">
        <v>73</v>
      </c>
      <c r="C1184" s="1">
        <v>45091</v>
      </c>
      <c r="D1184">
        <v>2023</v>
      </c>
      <c r="E1184" t="s">
        <v>227</v>
      </c>
      <c r="F1184" t="s">
        <v>13</v>
      </c>
      <c r="G1184" t="s">
        <v>212</v>
      </c>
      <c r="H1184" t="s">
        <v>195</v>
      </c>
      <c r="I1184">
        <v>5</v>
      </c>
      <c r="J1184">
        <v>1537.73</v>
      </c>
      <c r="K1184">
        <v>0</v>
      </c>
      <c r="L1184" t="s">
        <v>201</v>
      </c>
      <c r="M1184">
        <v>1</v>
      </c>
    </row>
    <row r="1185" spans="1:13" x14ac:dyDescent="0.3">
      <c r="A1185" t="s">
        <v>1394</v>
      </c>
      <c r="B1185">
        <v>73</v>
      </c>
      <c r="C1185" s="1">
        <v>45210</v>
      </c>
      <c r="D1185">
        <v>2023</v>
      </c>
      <c r="E1185" t="s">
        <v>225</v>
      </c>
      <c r="F1185" t="s">
        <v>13</v>
      </c>
      <c r="G1185" t="s">
        <v>200</v>
      </c>
      <c r="H1185" t="s">
        <v>204</v>
      </c>
      <c r="I1185">
        <v>5</v>
      </c>
      <c r="J1185">
        <v>1792.64</v>
      </c>
      <c r="K1185">
        <v>0</v>
      </c>
      <c r="L1185" t="s">
        <v>201</v>
      </c>
      <c r="M1185">
        <v>0</v>
      </c>
    </row>
    <row r="1186" spans="1:13" x14ac:dyDescent="0.3">
      <c r="A1186" t="s">
        <v>1395</v>
      </c>
      <c r="B1186">
        <v>73</v>
      </c>
      <c r="C1186" s="1">
        <v>45100</v>
      </c>
      <c r="D1186">
        <v>2023</v>
      </c>
      <c r="E1186" t="s">
        <v>287</v>
      </c>
      <c r="F1186" t="s">
        <v>199</v>
      </c>
      <c r="G1186" t="s">
        <v>212</v>
      </c>
      <c r="H1186" t="s">
        <v>206</v>
      </c>
      <c r="I1186">
        <v>15</v>
      </c>
      <c r="J1186">
        <v>5031.29</v>
      </c>
      <c r="K1186">
        <v>0</v>
      </c>
      <c r="L1186" t="s">
        <v>193</v>
      </c>
      <c r="M1186">
        <v>1</v>
      </c>
    </row>
    <row r="1187" spans="1:13" x14ac:dyDescent="0.3">
      <c r="A1187" t="s">
        <v>1396</v>
      </c>
      <c r="B1187">
        <v>73</v>
      </c>
      <c r="C1187" s="1">
        <v>45556</v>
      </c>
      <c r="D1187">
        <v>2024</v>
      </c>
      <c r="E1187" t="s">
        <v>219</v>
      </c>
      <c r="F1187" t="s">
        <v>12</v>
      </c>
      <c r="G1187" t="s">
        <v>191</v>
      </c>
      <c r="H1187" t="s">
        <v>206</v>
      </c>
      <c r="I1187">
        <v>3</v>
      </c>
      <c r="J1187">
        <v>1309.52</v>
      </c>
      <c r="K1187">
        <v>0</v>
      </c>
      <c r="L1187" t="s">
        <v>210</v>
      </c>
      <c r="M1187">
        <v>0</v>
      </c>
    </row>
    <row r="1188" spans="1:13" x14ac:dyDescent="0.3">
      <c r="A1188" t="s">
        <v>1397</v>
      </c>
      <c r="B1188">
        <v>73</v>
      </c>
      <c r="C1188" s="1">
        <v>45340</v>
      </c>
      <c r="D1188">
        <v>2024</v>
      </c>
      <c r="E1188" t="s">
        <v>214</v>
      </c>
      <c r="F1188" t="s">
        <v>13</v>
      </c>
      <c r="G1188" t="s">
        <v>191</v>
      </c>
      <c r="H1188" t="s">
        <v>204</v>
      </c>
      <c r="I1188">
        <v>5</v>
      </c>
      <c r="J1188">
        <v>2881.6</v>
      </c>
      <c r="K1188">
        <v>0</v>
      </c>
      <c r="L1188" t="s">
        <v>193</v>
      </c>
      <c r="M1188">
        <v>1</v>
      </c>
    </row>
    <row r="1189" spans="1:13" x14ac:dyDescent="0.3">
      <c r="A1189" t="s">
        <v>1398</v>
      </c>
      <c r="B1189">
        <v>73</v>
      </c>
      <c r="C1189" s="1">
        <v>45465</v>
      </c>
      <c r="D1189">
        <v>2024</v>
      </c>
      <c r="E1189" t="s">
        <v>214</v>
      </c>
      <c r="F1189" t="s">
        <v>13</v>
      </c>
      <c r="G1189" t="s">
        <v>191</v>
      </c>
      <c r="H1189" t="s">
        <v>192</v>
      </c>
      <c r="I1189">
        <v>9</v>
      </c>
      <c r="J1189">
        <v>3082.19</v>
      </c>
      <c r="K1189">
        <v>0</v>
      </c>
      <c r="L1189" t="s">
        <v>210</v>
      </c>
      <c r="M1189">
        <v>0</v>
      </c>
    </row>
    <row r="1190" spans="1:13" x14ac:dyDescent="0.3">
      <c r="A1190" t="s">
        <v>1399</v>
      </c>
      <c r="B1190">
        <v>73</v>
      </c>
      <c r="C1190" s="1">
        <v>45775</v>
      </c>
      <c r="D1190">
        <v>2025</v>
      </c>
      <c r="E1190" t="s">
        <v>227</v>
      </c>
      <c r="F1190" t="s">
        <v>13</v>
      </c>
      <c r="G1190" t="s">
        <v>212</v>
      </c>
      <c r="H1190" t="s">
        <v>195</v>
      </c>
      <c r="I1190">
        <v>5</v>
      </c>
      <c r="J1190">
        <v>2810.41</v>
      </c>
      <c r="K1190">
        <v>0</v>
      </c>
      <c r="L1190" t="s">
        <v>201</v>
      </c>
      <c r="M1190">
        <v>1</v>
      </c>
    </row>
    <row r="1191" spans="1:13" x14ac:dyDescent="0.3">
      <c r="A1191" t="s">
        <v>1400</v>
      </c>
      <c r="B1191">
        <v>73</v>
      </c>
      <c r="C1191" s="1">
        <v>45775</v>
      </c>
      <c r="D1191">
        <v>2025</v>
      </c>
      <c r="E1191" t="s">
        <v>198</v>
      </c>
      <c r="F1191" t="s">
        <v>13</v>
      </c>
      <c r="G1191" t="s">
        <v>212</v>
      </c>
      <c r="H1191" t="s">
        <v>195</v>
      </c>
      <c r="I1191">
        <v>11</v>
      </c>
      <c r="J1191">
        <v>3358.4</v>
      </c>
      <c r="K1191">
        <v>1</v>
      </c>
      <c r="L1191" t="s">
        <v>193</v>
      </c>
      <c r="M1191">
        <v>1</v>
      </c>
    </row>
    <row r="1192" spans="1:13" x14ac:dyDescent="0.3">
      <c r="A1192" t="s">
        <v>1401</v>
      </c>
      <c r="B1192">
        <v>73</v>
      </c>
      <c r="C1192" s="1">
        <v>45848</v>
      </c>
      <c r="D1192">
        <v>2025</v>
      </c>
      <c r="E1192" t="s">
        <v>214</v>
      </c>
      <c r="F1192" t="s">
        <v>12</v>
      </c>
      <c r="G1192" t="s">
        <v>212</v>
      </c>
      <c r="H1192" t="s">
        <v>195</v>
      </c>
      <c r="I1192">
        <v>8</v>
      </c>
      <c r="J1192">
        <v>550.09</v>
      </c>
      <c r="K1192">
        <v>0</v>
      </c>
      <c r="L1192" t="s">
        <v>215</v>
      </c>
      <c r="M1192">
        <v>1</v>
      </c>
    </row>
    <row r="1193" spans="1:13" x14ac:dyDescent="0.3">
      <c r="A1193" t="s">
        <v>1402</v>
      </c>
      <c r="B1193">
        <v>73</v>
      </c>
      <c r="C1193" s="1">
        <v>45882</v>
      </c>
      <c r="D1193">
        <v>2025</v>
      </c>
      <c r="E1193" t="s">
        <v>219</v>
      </c>
      <c r="F1193" t="s">
        <v>13</v>
      </c>
      <c r="G1193" t="s">
        <v>200</v>
      </c>
      <c r="H1193" t="s">
        <v>195</v>
      </c>
      <c r="I1193">
        <v>18</v>
      </c>
      <c r="J1193">
        <v>2420.19</v>
      </c>
      <c r="K1193">
        <v>0</v>
      </c>
      <c r="L1193" t="s">
        <v>201</v>
      </c>
      <c r="M1193">
        <v>0</v>
      </c>
    </row>
    <row r="1194" spans="1:13" x14ac:dyDescent="0.3">
      <c r="A1194" t="s">
        <v>1403</v>
      </c>
      <c r="B1194">
        <v>73</v>
      </c>
      <c r="C1194" s="1">
        <v>46009</v>
      </c>
      <c r="D1194">
        <v>2025</v>
      </c>
      <c r="E1194" t="s">
        <v>198</v>
      </c>
      <c r="F1194" t="s">
        <v>13</v>
      </c>
      <c r="G1194" t="s">
        <v>200</v>
      </c>
      <c r="H1194" t="s">
        <v>206</v>
      </c>
      <c r="I1194">
        <v>5</v>
      </c>
      <c r="J1194">
        <v>1547.08</v>
      </c>
      <c r="K1194">
        <v>1</v>
      </c>
      <c r="L1194" t="s">
        <v>201</v>
      </c>
      <c r="M1194">
        <v>1</v>
      </c>
    </row>
    <row r="1195" spans="1:13" x14ac:dyDescent="0.3">
      <c r="A1195" t="s">
        <v>1404</v>
      </c>
      <c r="B1195">
        <v>74</v>
      </c>
      <c r="C1195" s="1">
        <v>44397</v>
      </c>
      <c r="D1195">
        <v>2021</v>
      </c>
      <c r="E1195" t="s">
        <v>214</v>
      </c>
      <c r="F1195" t="s">
        <v>13</v>
      </c>
      <c r="G1195" t="s">
        <v>200</v>
      </c>
      <c r="H1195" t="s">
        <v>192</v>
      </c>
      <c r="I1195">
        <v>6</v>
      </c>
      <c r="J1195">
        <v>1414.9</v>
      </c>
      <c r="K1195">
        <v>0</v>
      </c>
      <c r="L1195" t="s">
        <v>201</v>
      </c>
      <c r="M1195">
        <v>0</v>
      </c>
    </row>
    <row r="1196" spans="1:13" x14ac:dyDescent="0.3">
      <c r="A1196" t="s">
        <v>1405</v>
      </c>
      <c r="B1196">
        <v>74</v>
      </c>
      <c r="C1196" s="1">
        <v>44835</v>
      </c>
      <c r="D1196">
        <v>2022</v>
      </c>
      <c r="E1196" t="s">
        <v>219</v>
      </c>
      <c r="F1196" t="s">
        <v>199</v>
      </c>
      <c r="G1196" t="s">
        <v>203</v>
      </c>
      <c r="H1196" t="s">
        <v>192</v>
      </c>
      <c r="I1196">
        <v>2</v>
      </c>
      <c r="J1196">
        <v>4381.53</v>
      </c>
      <c r="K1196">
        <v>0</v>
      </c>
      <c r="L1196" t="s">
        <v>193</v>
      </c>
      <c r="M1196">
        <v>1</v>
      </c>
    </row>
    <row r="1197" spans="1:13" x14ac:dyDescent="0.3">
      <c r="A1197" t="s">
        <v>1406</v>
      </c>
      <c r="B1197">
        <v>74</v>
      </c>
      <c r="C1197" s="1">
        <v>44726</v>
      </c>
      <c r="D1197">
        <v>2022</v>
      </c>
      <c r="E1197" t="s">
        <v>219</v>
      </c>
      <c r="F1197" t="s">
        <v>209</v>
      </c>
      <c r="G1197" t="s">
        <v>212</v>
      </c>
      <c r="H1197" t="s">
        <v>195</v>
      </c>
      <c r="I1197">
        <v>5</v>
      </c>
      <c r="J1197">
        <v>429.97</v>
      </c>
      <c r="K1197">
        <v>0</v>
      </c>
      <c r="L1197" t="s">
        <v>215</v>
      </c>
      <c r="M1197">
        <v>1</v>
      </c>
    </row>
    <row r="1198" spans="1:13" x14ac:dyDescent="0.3">
      <c r="A1198" t="s">
        <v>1407</v>
      </c>
      <c r="B1198">
        <v>74</v>
      </c>
      <c r="C1198" s="1">
        <v>44658</v>
      </c>
      <c r="D1198">
        <v>2022</v>
      </c>
      <c r="E1198" t="s">
        <v>214</v>
      </c>
      <c r="F1198" t="s">
        <v>13</v>
      </c>
      <c r="G1198" t="s">
        <v>191</v>
      </c>
      <c r="H1198" t="s">
        <v>195</v>
      </c>
      <c r="I1198">
        <v>8</v>
      </c>
      <c r="J1198">
        <v>1384.84</v>
      </c>
      <c r="K1198">
        <v>0</v>
      </c>
      <c r="L1198" t="s">
        <v>201</v>
      </c>
      <c r="M1198">
        <v>0</v>
      </c>
    </row>
    <row r="1199" spans="1:13" x14ac:dyDescent="0.3">
      <c r="A1199" t="s">
        <v>1408</v>
      </c>
      <c r="B1199">
        <v>74</v>
      </c>
      <c r="C1199" s="1">
        <v>44606</v>
      </c>
      <c r="D1199">
        <v>2022</v>
      </c>
      <c r="E1199" t="s">
        <v>219</v>
      </c>
      <c r="F1199" t="s">
        <v>199</v>
      </c>
      <c r="G1199" t="s">
        <v>203</v>
      </c>
      <c r="H1199" t="s">
        <v>192</v>
      </c>
      <c r="I1199">
        <v>8</v>
      </c>
      <c r="J1199">
        <v>5129.78</v>
      </c>
      <c r="K1199">
        <v>0</v>
      </c>
      <c r="L1199" t="s">
        <v>193</v>
      </c>
      <c r="M1199">
        <v>0</v>
      </c>
    </row>
    <row r="1200" spans="1:13" x14ac:dyDescent="0.3">
      <c r="A1200" t="s">
        <v>1409</v>
      </c>
      <c r="B1200">
        <v>74</v>
      </c>
      <c r="C1200" s="1">
        <v>44934</v>
      </c>
      <c r="D1200">
        <v>2023</v>
      </c>
      <c r="E1200" t="s">
        <v>225</v>
      </c>
      <c r="F1200" t="s">
        <v>209</v>
      </c>
      <c r="G1200" t="s">
        <v>212</v>
      </c>
      <c r="H1200" t="s">
        <v>195</v>
      </c>
      <c r="I1200">
        <v>12</v>
      </c>
      <c r="J1200">
        <v>302.05</v>
      </c>
      <c r="K1200">
        <v>0</v>
      </c>
      <c r="L1200" t="s">
        <v>215</v>
      </c>
      <c r="M1200">
        <v>1</v>
      </c>
    </row>
    <row r="1201" spans="1:13" x14ac:dyDescent="0.3">
      <c r="A1201" t="s">
        <v>1410</v>
      </c>
      <c r="B1201">
        <v>74</v>
      </c>
      <c r="C1201" s="1">
        <v>44981</v>
      </c>
      <c r="D1201">
        <v>2023</v>
      </c>
      <c r="E1201" t="s">
        <v>198</v>
      </c>
      <c r="F1201" t="s">
        <v>13</v>
      </c>
      <c r="G1201" t="s">
        <v>191</v>
      </c>
      <c r="H1201" t="s">
        <v>192</v>
      </c>
      <c r="I1201">
        <v>6</v>
      </c>
      <c r="J1201">
        <v>1160.94</v>
      </c>
      <c r="K1201">
        <v>1</v>
      </c>
      <c r="L1201" t="s">
        <v>201</v>
      </c>
      <c r="M1201">
        <v>0</v>
      </c>
    </row>
    <row r="1202" spans="1:13" x14ac:dyDescent="0.3">
      <c r="A1202" t="s">
        <v>1411</v>
      </c>
      <c r="B1202">
        <v>74</v>
      </c>
      <c r="C1202" s="1">
        <v>45123</v>
      </c>
      <c r="D1202">
        <v>2023</v>
      </c>
      <c r="E1202" t="s">
        <v>190</v>
      </c>
      <c r="F1202" t="s">
        <v>12</v>
      </c>
      <c r="G1202" t="s">
        <v>203</v>
      </c>
      <c r="H1202" t="s">
        <v>206</v>
      </c>
      <c r="I1202">
        <v>1</v>
      </c>
      <c r="J1202">
        <v>422.15</v>
      </c>
      <c r="K1202">
        <v>0</v>
      </c>
      <c r="L1202" t="s">
        <v>201</v>
      </c>
      <c r="M1202">
        <v>1</v>
      </c>
    </row>
    <row r="1203" spans="1:13" x14ac:dyDescent="0.3">
      <c r="A1203" t="s">
        <v>1412</v>
      </c>
      <c r="B1203">
        <v>74</v>
      </c>
      <c r="C1203" s="1">
        <v>44986</v>
      </c>
      <c r="D1203">
        <v>2023</v>
      </c>
      <c r="E1203" t="s">
        <v>198</v>
      </c>
      <c r="F1203" t="s">
        <v>199</v>
      </c>
      <c r="G1203" t="s">
        <v>212</v>
      </c>
      <c r="H1203" t="s">
        <v>192</v>
      </c>
      <c r="I1203">
        <v>15</v>
      </c>
      <c r="J1203">
        <v>7691.1</v>
      </c>
      <c r="K1203">
        <v>1</v>
      </c>
      <c r="L1203" t="s">
        <v>196</v>
      </c>
      <c r="M1203">
        <v>1</v>
      </c>
    </row>
    <row r="1204" spans="1:13" x14ac:dyDescent="0.3">
      <c r="A1204" t="s">
        <v>1413</v>
      </c>
      <c r="B1204">
        <v>74</v>
      </c>
      <c r="C1204" s="1">
        <v>45131</v>
      </c>
      <c r="D1204">
        <v>2023</v>
      </c>
      <c r="E1204" t="s">
        <v>227</v>
      </c>
      <c r="F1204" t="s">
        <v>13</v>
      </c>
      <c r="G1204" t="s">
        <v>203</v>
      </c>
      <c r="H1204" t="s">
        <v>195</v>
      </c>
      <c r="I1204">
        <v>10</v>
      </c>
      <c r="J1204">
        <v>2937.07</v>
      </c>
      <c r="K1204">
        <v>0</v>
      </c>
      <c r="L1204" t="s">
        <v>193</v>
      </c>
      <c r="M1204">
        <v>0</v>
      </c>
    </row>
    <row r="1205" spans="1:13" x14ac:dyDescent="0.3">
      <c r="A1205" t="s">
        <v>1414</v>
      </c>
      <c r="B1205">
        <v>74</v>
      </c>
      <c r="C1205" s="1">
        <v>45651</v>
      </c>
      <c r="D1205">
        <v>2024</v>
      </c>
      <c r="E1205" t="s">
        <v>219</v>
      </c>
      <c r="F1205" t="s">
        <v>12</v>
      </c>
      <c r="G1205" t="s">
        <v>212</v>
      </c>
      <c r="H1205" t="s">
        <v>192</v>
      </c>
      <c r="I1205">
        <v>9</v>
      </c>
      <c r="J1205">
        <v>597.25</v>
      </c>
      <c r="K1205">
        <v>0</v>
      </c>
      <c r="L1205" t="s">
        <v>201</v>
      </c>
      <c r="M1205">
        <v>1</v>
      </c>
    </row>
    <row r="1206" spans="1:13" x14ac:dyDescent="0.3">
      <c r="A1206" t="s">
        <v>1415</v>
      </c>
      <c r="B1206">
        <v>74</v>
      </c>
      <c r="C1206" s="1">
        <v>45432</v>
      </c>
      <c r="D1206">
        <v>2024</v>
      </c>
      <c r="E1206" t="s">
        <v>190</v>
      </c>
      <c r="F1206" t="s">
        <v>12</v>
      </c>
      <c r="G1206" t="s">
        <v>200</v>
      </c>
      <c r="H1206" t="s">
        <v>192</v>
      </c>
      <c r="I1206">
        <v>1</v>
      </c>
      <c r="J1206">
        <v>1360.93</v>
      </c>
      <c r="K1206">
        <v>0</v>
      </c>
      <c r="L1206" t="s">
        <v>210</v>
      </c>
      <c r="M1206">
        <v>0</v>
      </c>
    </row>
    <row r="1207" spans="1:13" x14ac:dyDescent="0.3">
      <c r="A1207" t="s">
        <v>1416</v>
      </c>
      <c r="B1207">
        <v>74</v>
      </c>
      <c r="C1207" s="1">
        <v>45652</v>
      </c>
      <c r="D1207">
        <v>2024</v>
      </c>
      <c r="E1207" t="s">
        <v>219</v>
      </c>
      <c r="F1207" t="s">
        <v>209</v>
      </c>
      <c r="G1207" t="s">
        <v>212</v>
      </c>
      <c r="H1207" t="s">
        <v>195</v>
      </c>
      <c r="I1207">
        <v>9</v>
      </c>
      <c r="J1207">
        <v>177.96</v>
      </c>
      <c r="K1207">
        <v>0</v>
      </c>
      <c r="L1207" t="s">
        <v>210</v>
      </c>
      <c r="M1207">
        <v>1</v>
      </c>
    </row>
    <row r="1208" spans="1:13" x14ac:dyDescent="0.3">
      <c r="A1208" t="s">
        <v>1417</v>
      </c>
      <c r="B1208">
        <v>74</v>
      </c>
      <c r="C1208" s="1">
        <v>45790</v>
      </c>
      <c r="D1208">
        <v>2025</v>
      </c>
      <c r="E1208" t="s">
        <v>214</v>
      </c>
      <c r="F1208" t="s">
        <v>209</v>
      </c>
      <c r="G1208" t="s">
        <v>212</v>
      </c>
      <c r="H1208" t="s">
        <v>204</v>
      </c>
      <c r="I1208">
        <v>9</v>
      </c>
      <c r="J1208">
        <v>560.74</v>
      </c>
      <c r="K1208">
        <v>0</v>
      </c>
      <c r="L1208" t="s">
        <v>193</v>
      </c>
      <c r="M1208">
        <v>1</v>
      </c>
    </row>
    <row r="1209" spans="1:13" x14ac:dyDescent="0.3">
      <c r="A1209" t="s">
        <v>1418</v>
      </c>
      <c r="B1209">
        <v>74</v>
      </c>
      <c r="C1209" s="1">
        <v>45989</v>
      </c>
      <c r="D1209">
        <v>2025</v>
      </c>
      <c r="E1209" t="s">
        <v>287</v>
      </c>
      <c r="F1209" t="s">
        <v>12</v>
      </c>
      <c r="G1209" t="s">
        <v>203</v>
      </c>
      <c r="H1209" t="s">
        <v>195</v>
      </c>
      <c r="I1209">
        <v>9</v>
      </c>
      <c r="J1209">
        <v>534.97</v>
      </c>
      <c r="K1209">
        <v>0</v>
      </c>
      <c r="L1209" t="s">
        <v>210</v>
      </c>
      <c r="M1209">
        <v>0</v>
      </c>
    </row>
    <row r="1210" spans="1:13" x14ac:dyDescent="0.3">
      <c r="A1210" t="s">
        <v>1419</v>
      </c>
      <c r="B1210">
        <v>74</v>
      </c>
      <c r="C1210" s="1">
        <v>45883</v>
      </c>
      <c r="D1210">
        <v>2025</v>
      </c>
      <c r="E1210" t="s">
        <v>190</v>
      </c>
      <c r="F1210" t="s">
        <v>199</v>
      </c>
      <c r="G1210" t="s">
        <v>191</v>
      </c>
      <c r="H1210" t="s">
        <v>204</v>
      </c>
      <c r="I1210">
        <v>7</v>
      </c>
      <c r="J1210">
        <v>3562.1</v>
      </c>
      <c r="K1210">
        <v>0</v>
      </c>
      <c r="L1210" t="s">
        <v>201</v>
      </c>
      <c r="M1210">
        <v>1</v>
      </c>
    </row>
    <row r="1211" spans="1:13" x14ac:dyDescent="0.3">
      <c r="A1211" t="s">
        <v>1420</v>
      </c>
      <c r="B1211">
        <v>75</v>
      </c>
      <c r="C1211" s="1">
        <v>44322</v>
      </c>
      <c r="D1211">
        <v>2021</v>
      </c>
      <c r="E1211" t="s">
        <v>190</v>
      </c>
      <c r="F1211" t="s">
        <v>13</v>
      </c>
      <c r="G1211" t="s">
        <v>200</v>
      </c>
      <c r="H1211" t="s">
        <v>204</v>
      </c>
      <c r="I1211">
        <v>7</v>
      </c>
      <c r="J1211">
        <v>2383.29</v>
      </c>
      <c r="K1211">
        <v>0</v>
      </c>
      <c r="L1211" t="s">
        <v>201</v>
      </c>
      <c r="M1211">
        <v>1</v>
      </c>
    </row>
    <row r="1212" spans="1:13" x14ac:dyDescent="0.3">
      <c r="A1212" t="s">
        <v>1421</v>
      </c>
      <c r="B1212">
        <v>75</v>
      </c>
      <c r="C1212" s="1">
        <v>44456</v>
      </c>
      <c r="D1212">
        <v>2021</v>
      </c>
      <c r="E1212" t="s">
        <v>214</v>
      </c>
      <c r="F1212" t="s">
        <v>199</v>
      </c>
      <c r="G1212" t="s">
        <v>203</v>
      </c>
      <c r="H1212" t="s">
        <v>206</v>
      </c>
      <c r="I1212">
        <v>5</v>
      </c>
      <c r="J1212">
        <v>5503.2</v>
      </c>
      <c r="K1212">
        <v>0</v>
      </c>
      <c r="L1212" t="s">
        <v>193</v>
      </c>
      <c r="M1212">
        <v>0</v>
      </c>
    </row>
    <row r="1213" spans="1:13" x14ac:dyDescent="0.3">
      <c r="A1213" t="s">
        <v>1422</v>
      </c>
      <c r="B1213">
        <v>75</v>
      </c>
      <c r="C1213" s="1">
        <v>44605</v>
      </c>
      <c r="D1213">
        <v>2022</v>
      </c>
      <c r="E1213" t="s">
        <v>225</v>
      </c>
      <c r="F1213" t="s">
        <v>209</v>
      </c>
      <c r="G1213" t="s">
        <v>212</v>
      </c>
      <c r="H1213" t="s">
        <v>195</v>
      </c>
      <c r="I1213">
        <v>9</v>
      </c>
      <c r="J1213">
        <v>385.46</v>
      </c>
      <c r="K1213">
        <v>0</v>
      </c>
      <c r="L1213" t="s">
        <v>215</v>
      </c>
      <c r="M1213">
        <v>1</v>
      </c>
    </row>
    <row r="1214" spans="1:13" x14ac:dyDescent="0.3">
      <c r="A1214" t="s">
        <v>1423</v>
      </c>
      <c r="B1214">
        <v>75</v>
      </c>
      <c r="C1214" s="1">
        <v>44854</v>
      </c>
      <c r="D1214">
        <v>2022</v>
      </c>
      <c r="E1214" t="s">
        <v>198</v>
      </c>
      <c r="F1214" t="s">
        <v>199</v>
      </c>
      <c r="G1214" t="s">
        <v>203</v>
      </c>
      <c r="H1214" t="s">
        <v>206</v>
      </c>
      <c r="I1214">
        <v>15</v>
      </c>
      <c r="J1214">
        <v>5929.43</v>
      </c>
      <c r="K1214">
        <v>1</v>
      </c>
      <c r="L1214" t="s">
        <v>196</v>
      </c>
      <c r="M1214">
        <v>0</v>
      </c>
    </row>
    <row r="1215" spans="1:13" x14ac:dyDescent="0.3">
      <c r="A1215" t="s">
        <v>1424</v>
      </c>
      <c r="B1215">
        <v>75</v>
      </c>
      <c r="C1215" s="1">
        <v>44883</v>
      </c>
      <c r="D1215">
        <v>2022</v>
      </c>
      <c r="E1215" t="s">
        <v>198</v>
      </c>
      <c r="F1215" t="s">
        <v>199</v>
      </c>
      <c r="G1215" t="s">
        <v>200</v>
      </c>
      <c r="H1215" t="s">
        <v>192</v>
      </c>
      <c r="I1215">
        <v>2</v>
      </c>
      <c r="J1215">
        <v>3156.32</v>
      </c>
      <c r="K1215">
        <v>1</v>
      </c>
      <c r="L1215" t="s">
        <v>193</v>
      </c>
      <c r="M1215">
        <v>1</v>
      </c>
    </row>
    <row r="1216" spans="1:13" x14ac:dyDescent="0.3">
      <c r="A1216" t="s">
        <v>1425</v>
      </c>
      <c r="B1216">
        <v>75</v>
      </c>
      <c r="C1216" s="1">
        <v>44745</v>
      </c>
      <c r="D1216">
        <v>2022</v>
      </c>
      <c r="E1216" t="s">
        <v>214</v>
      </c>
      <c r="F1216" t="s">
        <v>209</v>
      </c>
      <c r="G1216" t="s">
        <v>212</v>
      </c>
      <c r="H1216" t="s">
        <v>195</v>
      </c>
      <c r="I1216">
        <v>10</v>
      </c>
      <c r="J1216">
        <v>243.81</v>
      </c>
      <c r="K1216">
        <v>1</v>
      </c>
      <c r="L1216" t="s">
        <v>210</v>
      </c>
      <c r="M1216">
        <v>1</v>
      </c>
    </row>
    <row r="1217" spans="1:13" x14ac:dyDescent="0.3">
      <c r="A1217" t="s">
        <v>1426</v>
      </c>
      <c r="B1217">
        <v>75</v>
      </c>
      <c r="C1217" s="1">
        <v>44817</v>
      </c>
      <c r="D1217">
        <v>2022</v>
      </c>
      <c r="E1217" t="s">
        <v>190</v>
      </c>
      <c r="F1217" t="s">
        <v>12</v>
      </c>
      <c r="G1217" t="s">
        <v>200</v>
      </c>
      <c r="H1217" t="s">
        <v>195</v>
      </c>
      <c r="I1217">
        <v>1</v>
      </c>
      <c r="J1217">
        <v>568.46</v>
      </c>
      <c r="K1217">
        <v>0</v>
      </c>
      <c r="L1217" t="s">
        <v>210</v>
      </c>
      <c r="M1217">
        <v>0</v>
      </c>
    </row>
    <row r="1218" spans="1:13" x14ac:dyDescent="0.3">
      <c r="A1218" t="s">
        <v>1427</v>
      </c>
      <c r="B1218">
        <v>75</v>
      </c>
      <c r="C1218" s="1">
        <v>45460</v>
      </c>
      <c r="D1218">
        <v>2024</v>
      </c>
      <c r="E1218" t="s">
        <v>225</v>
      </c>
      <c r="F1218" t="s">
        <v>13</v>
      </c>
      <c r="G1218" t="s">
        <v>212</v>
      </c>
      <c r="H1218" t="s">
        <v>195</v>
      </c>
      <c r="I1218">
        <v>7</v>
      </c>
      <c r="J1218">
        <v>2244.17</v>
      </c>
      <c r="K1218">
        <v>1</v>
      </c>
      <c r="L1218" t="s">
        <v>201</v>
      </c>
      <c r="M1218">
        <v>1</v>
      </c>
    </row>
    <row r="1219" spans="1:13" x14ac:dyDescent="0.3">
      <c r="A1219" t="s">
        <v>1428</v>
      </c>
      <c r="B1219">
        <v>75</v>
      </c>
      <c r="C1219" s="1">
        <v>45357</v>
      </c>
      <c r="D1219">
        <v>2024</v>
      </c>
      <c r="E1219" t="s">
        <v>198</v>
      </c>
      <c r="F1219" t="s">
        <v>12</v>
      </c>
      <c r="G1219" t="s">
        <v>212</v>
      </c>
      <c r="H1219" t="s">
        <v>195</v>
      </c>
      <c r="I1219">
        <v>16</v>
      </c>
      <c r="J1219">
        <v>620.13</v>
      </c>
      <c r="K1219">
        <v>1</v>
      </c>
      <c r="L1219" t="s">
        <v>201</v>
      </c>
      <c r="M1219">
        <v>1</v>
      </c>
    </row>
    <row r="1220" spans="1:13" x14ac:dyDescent="0.3">
      <c r="A1220" t="s">
        <v>1429</v>
      </c>
      <c r="B1220">
        <v>75</v>
      </c>
      <c r="C1220" s="1">
        <v>45389</v>
      </c>
      <c r="D1220">
        <v>2024</v>
      </c>
      <c r="E1220" t="s">
        <v>198</v>
      </c>
      <c r="F1220" t="s">
        <v>199</v>
      </c>
      <c r="G1220" t="s">
        <v>200</v>
      </c>
      <c r="H1220" t="s">
        <v>192</v>
      </c>
      <c r="I1220">
        <v>17</v>
      </c>
      <c r="J1220">
        <v>7100.74</v>
      </c>
      <c r="K1220">
        <v>1</v>
      </c>
      <c r="L1220" t="s">
        <v>196</v>
      </c>
      <c r="M1220">
        <v>1</v>
      </c>
    </row>
    <row r="1221" spans="1:13" x14ac:dyDescent="0.3">
      <c r="A1221" t="s">
        <v>1430</v>
      </c>
      <c r="B1221">
        <v>75</v>
      </c>
      <c r="C1221" s="1">
        <v>45505</v>
      </c>
      <c r="D1221">
        <v>2024</v>
      </c>
      <c r="E1221" t="s">
        <v>225</v>
      </c>
      <c r="F1221" t="s">
        <v>209</v>
      </c>
      <c r="G1221" t="s">
        <v>212</v>
      </c>
      <c r="H1221" t="s">
        <v>206</v>
      </c>
      <c r="I1221">
        <v>8</v>
      </c>
      <c r="J1221">
        <v>549.78</v>
      </c>
      <c r="K1221">
        <v>0</v>
      </c>
      <c r="L1221" t="s">
        <v>215</v>
      </c>
      <c r="M1221">
        <v>1</v>
      </c>
    </row>
    <row r="1222" spans="1:13" x14ac:dyDescent="0.3">
      <c r="A1222" t="s">
        <v>1431</v>
      </c>
      <c r="B1222">
        <v>75</v>
      </c>
      <c r="C1222" s="1">
        <v>45353</v>
      </c>
      <c r="D1222">
        <v>2024</v>
      </c>
      <c r="E1222" t="s">
        <v>225</v>
      </c>
      <c r="F1222" t="s">
        <v>209</v>
      </c>
      <c r="G1222" t="s">
        <v>212</v>
      </c>
      <c r="H1222" t="s">
        <v>192</v>
      </c>
      <c r="I1222">
        <v>15</v>
      </c>
      <c r="J1222">
        <v>365.23</v>
      </c>
      <c r="K1222">
        <v>0</v>
      </c>
      <c r="L1222" t="s">
        <v>215</v>
      </c>
      <c r="M1222">
        <v>1</v>
      </c>
    </row>
    <row r="1223" spans="1:13" x14ac:dyDescent="0.3">
      <c r="A1223" t="s">
        <v>1432</v>
      </c>
      <c r="B1223">
        <v>75</v>
      </c>
      <c r="C1223" s="1">
        <v>45391</v>
      </c>
      <c r="D1223">
        <v>2024</v>
      </c>
      <c r="E1223" t="s">
        <v>227</v>
      </c>
      <c r="F1223" t="s">
        <v>13</v>
      </c>
      <c r="G1223" t="s">
        <v>191</v>
      </c>
      <c r="H1223" t="s">
        <v>192</v>
      </c>
      <c r="I1223">
        <v>16</v>
      </c>
      <c r="J1223">
        <v>2454.37</v>
      </c>
      <c r="K1223">
        <v>0</v>
      </c>
      <c r="L1223" t="s">
        <v>193</v>
      </c>
      <c r="M1223">
        <v>0</v>
      </c>
    </row>
    <row r="1224" spans="1:13" x14ac:dyDescent="0.3">
      <c r="A1224" t="s">
        <v>1433</v>
      </c>
      <c r="B1224">
        <v>75</v>
      </c>
      <c r="C1224" s="1">
        <v>45743</v>
      </c>
      <c r="D1224">
        <v>2025</v>
      </c>
      <c r="E1224" t="s">
        <v>198</v>
      </c>
      <c r="F1224" t="s">
        <v>199</v>
      </c>
      <c r="G1224" t="s">
        <v>212</v>
      </c>
      <c r="H1224" t="s">
        <v>204</v>
      </c>
      <c r="I1224">
        <v>11</v>
      </c>
      <c r="J1224">
        <v>4494.18</v>
      </c>
      <c r="K1224">
        <v>1</v>
      </c>
      <c r="L1224" t="s">
        <v>201</v>
      </c>
      <c r="M1224">
        <v>1</v>
      </c>
    </row>
    <row r="1225" spans="1:13" x14ac:dyDescent="0.3">
      <c r="A1225" t="s">
        <v>1434</v>
      </c>
      <c r="B1225">
        <v>75</v>
      </c>
      <c r="C1225" s="1">
        <v>45788</v>
      </c>
      <c r="D1225">
        <v>2025</v>
      </c>
      <c r="E1225" t="s">
        <v>219</v>
      </c>
      <c r="F1225" t="s">
        <v>12</v>
      </c>
      <c r="G1225" t="s">
        <v>212</v>
      </c>
      <c r="H1225" t="s">
        <v>192</v>
      </c>
      <c r="I1225">
        <v>1</v>
      </c>
      <c r="J1225">
        <v>1484.82</v>
      </c>
      <c r="K1225">
        <v>0</v>
      </c>
      <c r="L1225" t="s">
        <v>201</v>
      </c>
      <c r="M1225">
        <v>1</v>
      </c>
    </row>
    <row r="1226" spans="1:13" x14ac:dyDescent="0.3">
      <c r="A1226" t="s">
        <v>1435</v>
      </c>
      <c r="B1226">
        <v>75</v>
      </c>
      <c r="C1226" s="1">
        <v>45824</v>
      </c>
      <c r="D1226">
        <v>2025</v>
      </c>
      <c r="E1226" t="s">
        <v>287</v>
      </c>
      <c r="F1226" t="s">
        <v>13</v>
      </c>
      <c r="G1226" t="s">
        <v>191</v>
      </c>
      <c r="H1226" t="s">
        <v>206</v>
      </c>
      <c r="I1226">
        <v>4</v>
      </c>
      <c r="J1226">
        <v>2883.81</v>
      </c>
      <c r="K1226">
        <v>0</v>
      </c>
      <c r="L1226" t="s">
        <v>193</v>
      </c>
      <c r="M1226">
        <v>1</v>
      </c>
    </row>
    <row r="1227" spans="1:13" x14ac:dyDescent="0.3">
      <c r="A1227" t="s">
        <v>1436</v>
      </c>
      <c r="B1227">
        <v>75</v>
      </c>
      <c r="C1227" s="1">
        <v>45663</v>
      </c>
      <c r="D1227">
        <v>2025</v>
      </c>
      <c r="E1227" t="s">
        <v>214</v>
      </c>
      <c r="F1227" t="s">
        <v>12</v>
      </c>
      <c r="G1227" t="s">
        <v>191</v>
      </c>
      <c r="H1227" t="s">
        <v>195</v>
      </c>
      <c r="I1227">
        <v>11</v>
      </c>
      <c r="J1227">
        <v>1461.81</v>
      </c>
      <c r="K1227">
        <v>0</v>
      </c>
      <c r="L1227" t="s">
        <v>210</v>
      </c>
      <c r="M1227">
        <v>1</v>
      </c>
    </row>
    <row r="1228" spans="1:13" x14ac:dyDescent="0.3">
      <c r="A1228" t="s">
        <v>1437</v>
      </c>
      <c r="B1228">
        <v>75</v>
      </c>
      <c r="C1228" s="1">
        <v>45727</v>
      </c>
      <c r="D1228">
        <v>2025</v>
      </c>
      <c r="E1228" t="s">
        <v>219</v>
      </c>
      <c r="F1228" t="s">
        <v>199</v>
      </c>
      <c r="G1228" t="s">
        <v>191</v>
      </c>
      <c r="H1228" t="s">
        <v>206</v>
      </c>
      <c r="I1228">
        <v>9</v>
      </c>
      <c r="J1228">
        <v>3750.47</v>
      </c>
      <c r="K1228">
        <v>0</v>
      </c>
      <c r="L1228" t="s">
        <v>201</v>
      </c>
      <c r="M1228">
        <v>0</v>
      </c>
    </row>
    <row r="1229" spans="1:13" x14ac:dyDescent="0.3">
      <c r="A1229" t="s">
        <v>1438</v>
      </c>
      <c r="B1229">
        <v>75</v>
      </c>
      <c r="C1229" s="1">
        <v>45795</v>
      </c>
      <c r="D1229">
        <v>2025</v>
      </c>
      <c r="E1229" t="s">
        <v>225</v>
      </c>
      <c r="F1229" t="s">
        <v>12</v>
      </c>
      <c r="G1229" t="s">
        <v>212</v>
      </c>
      <c r="H1229" t="s">
        <v>204</v>
      </c>
      <c r="I1229">
        <v>20</v>
      </c>
      <c r="J1229">
        <v>1374.19</v>
      </c>
      <c r="K1229">
        <v>0</v>
      </c>
      <c r="L1229" t="s">
        <v>215</v>
      </c>
      <c r="M1229">
        <v>1</v>
      </c>
    </row>
    <row r="1230" spans="1:13" x14ac:dyDescent="0.3">
      <c r="A1230" t="s">
        <v>1439</v>
      </c>
      <c r="B1230">
        <v>76</v>
      </c>
      <c r="C1230" s="1">
        <v>44463</v>
      </c>
      <c r="D1230">
        <v>2021</v>
      </c>
      <c r="E1230" t="s">
        <v>214</v>
      </c>
      <c r="F1230" t="s">
        <v>209</v>
      </c>
      <c r="G1230" t="s">
        <v>212</v>
      </c>
      <c r="H1230" t="s">
        <v>195</v>
      </c>
      <c r="I1230">
        <v>11</v>
      </c>
      <c r="J1230">
        <v>503.46</v>
      </c>
      <c r="K1230">
        <v>0</v>
      </c>
      <c r="L1230" t="s">
        <v>210</v>
      </c>
      <c r="M1230">
        <v>1</v>
      </c>
    </row>
    <row r="1231" spans="1:13" x14ac:dyDescent="0.3">
      <c r="A1231" t="s">
        <v>1440</v>
      </c>
      <c r="B1231">
        <v>76</v>
      </c>
      <c r="C1231" s="1">
        <v>44400</v>
      </c>
      <c r="D1231">
        <v>2021</v>
      </c>
      <c r="E1231" t="s">
        <v>219</v>
      </c>
      <c r="F1231" t="s">
        <v>13</v>
      </c>
      <c r="G1231" t="s">
        <v>200</v>
      </c>
      <c r="H1231" t="s">
        <v>192</v>
      </c>
      <c r="I1231">
        <v>4</v>
      </c>
      <c r="J1231">
        <v>1734.08</v>
      </c>
      <c r="K1231">
        <v>0</v>
      </c>
      <c r="L1231" t="s">
        <v>193</v>
      </c>
      <c r="M1231">
        <v>1</v>
      </c>
    </row>
    <row r="1232" spans="1:13" x14ac:dyDescent="0.3">
      <c r="A1232" t="s">
        <v>1441</v>
      </c>
      <c r="B1232">
        <v>76</v>
      </c>
      <c r="C1232" s="1">
        <v>44220</v>
      </c>
      <c r="D1232">
        <v>2021</v>
      </c>
      <c r="E1232" t="s">
        <v>219</v>
      </c>
      <c r="F1232" t="s">
        <v>12</v>
      </c>
      <c r="G1232" t="s">
        <v>212</v>
      </c>
      <c r="H1232" t="s">
        <v>206</v>
      </c>
      <c r="I1232">
        <v>15</v>
      </c>
      <c r="J1232">
        <v>599.94000000000005</v>
      </c>
      <c r="K1232">
        <v>0</v>
      </c>
      <c r="L1232" t="s">
        <v>193</v>
      </c>
      <c r="M1232">
        <v>1</v>
      </c>
    </row>
    <row r="1233" spans="1:13" x14ac:dyDescent="0.3">
      <c r="A1233" t="s">
        <v>1442</v>
      </c>
      <c r="B1233">
        <v>76</v>
      </c>
      <c r="C1233" s="1">
        <v>44811</v>
      </c>
      <c r="D1233">
        <v>2022</v>
      </c>
      <c r="E1233" t="s">
        <v>214</v>
      </c>
      <c r="F1233" t="s">
        <v>199</v>
      </c>
      <c r="G1233" t="s">
        <v>200</v>
      </c>
      <c r="H1233" t="s">
        <v>192</v>
      </c>
      <c r="I1233">
        <v>4</v>
      </c>
      <c r="J1233">
        <v>4715.7</v>
      </c>
      <c r="K1233">
        <v>0</v>
      </c>
      <c r="L1233" t="s">
        <v>201</v>
      </c>
      <c r="M1233">
        <v>1</v>
      </c>
    </row>
    <row r="1234" spans="1:13" x14ac:dyDescent="0.3">
      <c r="A1234" t="s">
        <v>1443</v>
      </c>
      <c r="B1234">
        <v>76</v>
      </c>
      <c r="C1234" s="1">
        <v>44868</v>
      </c>
      <c r="D1234">
        <v>2022</v>
      </c>
      <c r="E1234" t="s">
        <v>225</v>
      </c>
      <c r="F1234" t="s">
        <v>199</v>
      </c>
      <c r="G1234" t="s">
        <v>203</v>
      </c>
      <c r="H1234" t="s">
        <v>206</v>
      </c>
      <c r="I1234">
        <v>7</v>
      </c>
      <c r="J1234">
        <v>6703.96</v>
      </c>
      <c r="K1234">
        <v>0</v>
      </c>
      <c r="L1234" t="s">
        <v>196</v>
      </c>
      <c r="M1234">
        <v>0</v>
      </c>
    </row>
    <row r="1235" spans="1:13" x14ac:dyDescent="0.3">
      <c r="A1235" t="s">
        <v>1444</v>
      </c>
      <c r="B1235">
        <v>76</v>
      </c>
      <c r="C1235" s="1">
        <v>45134</v>
      </c>
      <c r="D1235">
        <v>2023</v>
      </c>
      <c r="E1235" t="s">
        <v>225</v>
      </c>
      <c r="F1235" t="s">
        <v>12</v>
      </c>
      <c r="G1235" t="s">
        <v>212</v>
      </c>
      <c r="H1235" t="s">
        <v>195</v>
      </c>
      <c r="I1235">
        <v>3</v>
      </c>
      <c r="J1235">
        <v>775.51</v>
      </c>
      <c r="K1235">
        <v>0</v>
      </c>
      <c r="L1235" t="s">
        <v>215</v>
      </c>
      <c r="M1235">
        <v>1</v>
      </c>
    </row>
    <row r="1236" spans="1:13" x14ac:dyDescent="0.3">
      <c r="A1236" t="s">
        <v>1445</v>
      </c>
      <c r="B1236">
        <v>76</v>
      </c>
      <c r="C1236" s="1">
        <v>45265</v>
      </c>
      <c r="D1236">
        <v>2023</v>
      </c>
      <c r="E1236" t="s">
        <v>198</v>
      </c>
      <c r="F1236" t="s">
        <v>13</v>
      </c>
      <c r="G1236" t="s">
        <v>212</v>
      </c>
      <c r="H1236" t="s">
        <v>192</v>
      </c>
      <c r="I1236">
        <v>17</v>
      </c>
      <c r="J1236">
        <v>2737.81</v>
      </c>
      <c r="K1236">
        <v>1</v>
      </c>
      <c r="L1236" t="s">
        <v>193</v>
      </c>
      <c r="M1236">
        <v>1</v>
      </c>
    </row>
    <row r="1237" spans="1:13" x14ac:dyDescent="0.3">
      <c r="A1237" t="s">
        <v>1446</v>
      </c>
      <c r="B1237">
        <v>76</v>
      </c>
      <c r="C1237" s="1">
        <v>45032</v>
      </c>
      <c r="D1237">
        <v>2023</v>
      </c>
      <c r="E1237" t="s">
        <v>219</v>
      </c>
      <c r="F1237" t="s">
        <v>209</v>
      </c>
      <c r="G1237" t="s">
        <v>212</v>
      </c>
      <c r="H1237" t="s">
        <v>192</v>
      </c>
      <c r="I1237">
        <v>14</v>
      </c>
      <c r="J1237">
        <v>494.35</v>
      </c>
      <c r="K1237">
        <v>0</v>
      </c>
      <c r="L1237" t="s">
        <v>215</v>
      </c>
      <c r="M1237">
        <v>1</v>
      </c>
    </row>
    <row r="1238" spans="1:13" x14ac:dyDescent="0.3">
      <c r="A1238" t="s">
        <v>1447</v>
      </c>
      <c r="B1238">
        <v>76</v>
      </c>
      <c r="C1238" s="1">
        <v>45251</v>
      </c>
      <c r="D1238">
        <v>2023</v>
      </c>
      <c r="E1238" t="s">
        <v>190</v>
      </c>
      <c r="F1238" t="s">
        <v>13</v>
      </c>
      <c r="G1238" t="s">
        <v>191</v>
      </c>
      <c r="H1238" t="s">
        <v>195</v>
      </c>
      <c r="I1238">
        <v>16</v>
      </c>
      <c r="J1238">
        <v>3109.8</v>
      </c>
      <c r="K1238">
        <v>0</v>
      </c>
      <c r="L1238" t="s">
        <v>193</v>
      </c>
      <c r="M1238">
        <v>0</v>
      </c>
    </row>
    <row r="1239" spans="1:13" x14ac:dyDescent="0.3">
      <c r="A1239" t="s">
        <v>1448</v>
      </c>
      <c r="B1239">
        <v>76</v>
      </c>
      <c r="C1239" s="1">
        <v>45088</v>
      </c>
      <c r="D1239">
        <v>2023</v>
      </c>
      <c r="E1239" t="s">
        <v>198</v>
      </c>
      <c r="F1239" t="s">
        <v>13</v>
      </c>
      <c r="G1239" t="s">
        <v>191</v>
      </c>
      <c r="H1239" t="s">
        <v>204</v>
      </c>
      <c r="I1239">
        <v>2</v>
      </c>
      <c r="J1239">
        <v>2633.94</v>
      </c>
      <c r="K1239">
        <v>1</v>
      </c>
      <c r="L1239" t="s">
        <v>196</v>
      </c>
      <c r="M1239">
        <v>0</v>
      </c>
    </row>
    <row r="1240" spans="1:13" x14ac:dyDescent="0.3">
      <c r="A1240" t="s">
        <v>1449</v>
      </c>
      <c r="B1240">
        <v>76</v>
      </c>
      <c r="C1240" s="1">
        <v>45521</v>
      </c>
      <c r="D1240">
        <v>2024</v>
      </c>
      <c r="E1240" t="s">
        <v>214</v>
      </c>
      <c r="F1240" t="s">
        <v>12</v>
      </c>
      <c r="G1240" t="s">
        <v>203</v>
      </c>
      <c r="H1240" t="s">
        <v>195</v>
      </c>
      <c r="I1240">
        <v>5</v>
      </c>
      <c r="J1240">
        <v>947.28</v>
      </c>
      <c r="K1240">
        <v>0</v>
      </c>
      <c r="L1240" t="s">
        <v>193</v>
      </c>
      <c r="M1240">
        <v>0</v>
      </c>
    </row>
    <row r="1241" spans="1:13" x14ac:dyDescent="0.3">
      <c r="A1241" t="s">
        <v>1450</v>
      </c>
      <c r="B1241">
        <v>76</v>
      </c>
      <c r="C1241" s="1">
        <v>45729</v>
      </c>
      <c r="D1241">
        <v>2025</v>
      </c>
      <c r="E1241" t="s">
        <v>198</v>
      </c>
      <c r="F1241" t="s">
        <v>199</v>
      </c>
      <c r="G1241" t="s">
        <v>203</v>
      </c>
      <c r="H1241" t="s">
        <v>192</v>
      </c>
      <c r="I1241">
        <v>12</v>
      </c>
      <c r="J1241">
        <v>7236.85</v>
      </c>
      <c r="K1241">
        <v>1</v>
      </c>
      <c r="L1241" t="s">
        <v>193</v>
      </c>
      <c r="M1241">
        <v>0</v>
      </c>
    </row>
    <row r="1242" spans="1:13" x14ac:dyDescent="0.3">
      <c r="A1242" t="s">
        <v>1451</v>
      </c>
      <c r="B1242">
        <v>76</v>
      </c>
      <c r="C1242" s="1">
        <v>45724</v>
      </c>
      <c r="D1242">
        <v>2025</v>
      </c>
      <c r="E1242" t="s">
        <v>219</v>
      </c>
      <c r="F1242" t="s">
        <v>13</v>
      </c>
      <c r="G1242" t="s">
        <v>200</v>
      </c>
      <c r="H1242" t="s">
        <v>204</v>
      </c>
      <c r="I1242">
        <v>11</v>
      </c>
      <c r="J1242">
        <v>3359.05</v>
      </c>
      <c r="K1242">
        <v>0</v>
      </c>
      <c r="L1242" t="s">
        <v>210</v>
      </c>
      <c r="M1242">
        <v>0</v>
      </c>
    </row>
    <row r="1243" spans="1:13" x14ac:dyDescent="0.3">
      <c r="A1243" t="s">
        <v>1452</v>
      </c>
      <c r="B1243">
        <v>76</v>
      </c>
      <c r="C1243" s="1">
        <v>45706</v>
      </c>
      <c r="D1243">
        <v>2025</v>
      </c>
      <c r="E1243" t="s">
        <v>198</v>
      </c>
      <c r="F1243" t="s">
        <v>13</v>
      </c>
      <c r="G1243" t="s">
        <v>200</v>
      </c>
      <c r="H1243" t="s">
        <v>206</v>
      </c>
      <c r="I1243">
        <v>7</v>
      </c>
      <c r="J1243">
        <v>3367.33</v>
      </c>
      <c r="K1243">
        <v>1</v>
      </c>
      <c r="L1243" t="s">
        <v>193</v>
      </c>
      <c r="M1243">
        <v>0</v>
      </c>
    </row>
    <row r="1244" spans="1:13" x14ac:dyDescent="0.3">
      <c r="A1244" t="s">
        <v>1453</v>
      </c>
      <c r="B1244">
        <v>76</v>
      </c>
      <c r="C1244" s="1">
        <v>45705</v>
      </c>
      <c r="D1244">
        <v>2025</v>
      </c>
      <c r="E1244" t="s">
        <v>190</v>
      </c>
      <c r="F1244" t="s">
        <v>199</v>
      </c>
      <c r="G1244" t="s">
        <v>200</v>
      </c>
      <c r="H1244" t="s">
        <v>195</v>
      </c>
      <c r="I1244">
        <v>13</v>
      </c>
      <c r="J1244">
        <v>2538.7399999999998</v>
      </c>
      <c r="K1244">
        <v>0</v>
      </c>
      <c r="L1244" t="s">
        <v>196</v>
      </c>
      <c r="M1244">
        <v>1</v>
      </c>
    </row>
    <row r="1245" spans="1:13" x14ac:dyDescent="0.3">
      <c r="A1245" t="s">
        <v>1454</v>
      </c>
      <c r="B1245">
        <v>76</v>
      </c>
      <c r="C1245" s="1">
        <v>45932</v>
      </c>
      <c r="D1245">
        <v>2025</v>
      </c>
      <c r="E1245" t="s">
        <v>198</v>
      </c>
      <c r="F1245" t="s">
        <v>13</v>
      </c>
      <c r="G1245" t="s">
        <v>212</v>
      </c>
      <c r="H1245" t="s">
        <v>195</v>
      </c>
      <c r="I1245">
        <v>11</v>
      </c>
      <c r="J1245">
        <v>2664.51</v>
      </c>
      <c r="K1245">
        <v>1</v>
      </c>
      <c r="L1245" t="s">
        <v>201</v>
      </c>
      <c r="M1245">
        <v>1</v>
      </c>
    </row>
    <row r="1246" spans="1:13" x14ac:dyDescent="0.3">
      <c r="A1246" t="s">
        <v>1455</v>
      </c>
      <c r="B1246">
        <v>76</v>
      </c>
      <c r="C1246" s="1">
        <v>45755</v>
      </c>
      <c r="D1246">
        <v>2025</v>
      </c>
      <c r="E1246" t="s">
        <v>214</v>
      </c>
      <c r="F1246" t="s">
        <v>13</v>
      </c>
      <c r="G1246" t="s">
        <v>212</v>
      </c>
      <c r="H1246" t="s">
        <v>204</v>
      </c>
      <c r="I1246">
        <v>8</v>
      </c>
      <c r="J1246">
        <v>2984.06</v>
      </c>
      <c r="K1246">
        <v>0</v>
      </c>
      <c r="L1246" t="s">
        <v>196</v>
      </c>
      <c r="M1246">
        <v>1</v>
      </c>
    </row>
    <row r="1247" spans="1:13" x14ac:dyDescent="0.3">
      <c r="A1247" t="s">
        <v>1456</v>
      </c>
      <c r="B1247">
        <v>77</v>
      </c>
      <c r="C1247" s="1">
        <v>44309</v>
      </c>
      <c r="D1247">
        <v>2021</v>
      </c>
      <c r="E1247" t="s">
        <v>225</v>
      </c>
      <c r="F1247" t="s">
        <v>12</v>
      </c>
      <c r="G1247" t="s">
        <v>203</v>
      </c>
      <c r="H1247" t="s">
        <v>204</v>
      </c>
      <c r="I1247">
        <v>10</v>
      </c>
      <c r="J1247">
        <v>767.21</v>
      </c>
      <c r="K1247">
        <v>0</v>
      </c>
      <c r="L1247" t="s">
        <v>201</v>
      </c>
      <c r="M1247">
        <v>0</v>
      </c>
    </row>
    <row r="1248" spans="1:13" x14ac:dyDescent="0.3">
      <c r="A1248" t="s">
        <v>1457</v>
      </c>
      <c r="B1248">
        <v>77</v>
      </c>
      <c r="C1248" s="1">
        <v>44724</v>
      </c>
      <c r="D1248">
        <v>2022</v>
      </c>
      <c r="E1248" t="s">
        <v>219</v>
      </c>
      <c r="F1248" t="s">
        <v>209</v>
      </c>
      <c r="G1248" t="s">
        <v>212</v>
      </c>
      <c r="H1248" t="s">
        <v>195</v>
      </c>
      <c r="I1248">
        <v>14</v>
      </c>
      <c r="J1248">
        <v>60.94</v>
      </c>
      <c r="K1248">
        <v>0</v>
      </c>
      <c r="L1248" t="s">
        <v>215</v>
      </c>
      <c r="M1248">
        <v>1</v>
      </c>
    </row>
    <row r="1249" spans="1:13" x14ac:dyDescent="0.3">
      <c r="A1249" t="s">
        <v>1458</v>
      </c>
      <c r="B1249">
        <v>77</v>
      </c>
      <c r="C1249" s="1">
        <v>44655</v>
      </c>
      <c r="D1249">
        <v>2022</v>
      </c>
      <c r="E1249" t="s">
        <v>214</v>
      </c>
      <c r="F1249" t="s">
        <v>12</v>
      </c>
      <c r="G1249" t="s">
        <v>200</v>
      </c>
      <c r="H1249" t="s">
        <v>204</v>
      </c>
      <c r="I1249">
        <v>2</v>
      </c>
      <c r="J1249">
        <v>647.86</v>
      </c>
      <c r="K1249">
        <v>0</v>
      </c>
      <c r="L1249" t="s">
        <v>210</v>
      </c>
      <c r="M1249">
        <v>0</v>
      </c>
    </row>
    <row r="1250" spans="1:13" x14ac:dyDescent="0.3">
      <c r="A1250" t="s">
        <v>1459</v>
      </c>
      <c r="B1250">
        <v>77</v>
      </c>
      <c r="C1250" s="1">
        <v>44609</v>
      </c>
      <c r="D1250">
        <v>2022</v>
      </c>
      <c r="E1250" t="s">
        <v>214</v>
      </c>
      <c r="F1250" t="s">
        <v>13</v>
      </c>
      <c r="G1250" t="s">
        <v>191</v>
      </c>
      <c r="H1250" t="s">
        <v>192</v>
      </c>
      <c r="I1250">
        <v>5</v>
      </c>
      <c r="J1250">
        <v>1821.55</v>
      </c>
      <c r="K1250">
        <v>0</v>
      </c>
      <c r="L1250" t="s">
        <v>201</v>
      </c>
      <c r="M1250">
        <v>0</v>
      </c>
    </row>
    <row r="1251" spans="1:13" x14ac:dyDescent="0.3">
      <c r="A1251" t="s">
        <v>1460</v>
      </c>
      <c r="B1251">
        <v>77</v>
      </c>
      <c r="C1251" s="1">
        <v>44822</v>
      </c>
      <c r="D1251">
        <v>2022</v>
      </c>
      <c r="E1251" t="s">
        <v>214</v>
      </c>
      <c r="F1251" t="s">
        <v>199</v>
      </c>
      <c r="G1251" t="s">
        <v>203</v>
      </c>
      <c r="H1251" t="s">
        <v>195</v>
      </c>
      <c r="I1251">
        <v>16</v>
      </c>
      <c r="J1251">
        <v>5158.6899999999996</v>
      </c>
      <c r="K1251">
        <v>0</v>
      </c>
      <c r="L1251" t="s">
        <v>193</v>
      </c>
      <c r="M1251">
        <v>0</v>
      </c>
    </row>
    <row r="1252" spans="1:13" x14ac:dyDescent="0.3">
      <c r="A1252" t="s">
        <v>1461</v>
      </c>
      <c r="B1252">
        <v>77</v>
      </c>
      <c r="C1252" s="1">
        <v>45037</v>
      </c>
      <c r="D1252">
        <v>2023</v>
      </c>
      <c r="E1252" t="s">
        <v>190</v>
      </c>
      <c r="F1252" t="s">
        <v>13</v>
      </c>
      <c r="G1252" t="s">
        <v>200</v>
      </c>
      <c r="H1252" t="s">
        <v>195</v>
      </c>
      <c r="I1252">
        <v>11</v>
      </c>
      <c r="J1252">
        <v>2331.91</v>
      </c>
      <c r="K1252">
        <v>0</v>
      </c>
      <c r="L1252" t="s">
        <v>193</v>
      </c>
      <c r="M1252">
        <v>1</v>
      </c>
    </row>
    <row r="1253" spans="1:13" x14ac:dyDescent="0.3">
      <c r="A1253" t="s">
        <v>1462</v>
      </c>
      <c r="B1253">
        <v>77</v>
      </c>
      <c r="C1253" s="1">
        <v>45628</v>
      </c>
      <c r="D1253">
        <v>2024</v>
      </c>
      <c r="E1253" t="s">
        <v>225</v>
      </c>
      <c r="F1253" t="s">
        <v>199</v>
      </c>
      <c r="G1253" t="s">
        <v>203</v>
      </c>
      <c r="H1253" t="s">
        <v>204</v>
      </c>
      <c r="I1253">
        <v>6</v>
      </c>
      <c r="J1253">
        <v>3281.68</v>
      </c>
      <c r="K1253">
        <v>0</v>
      </c>
      <c r="L1253" t="s">
        <v>196</v>
      </c>
      <c r="M1253">
        <v>1</v>
      </c>
    </row>
    <row r="1254" spans="1:13" x14ac:dyDescent="0.3">
      <c r="A1254" t="s">
        <v>1463</v>
      </c>
      <c r="B1254">
        <v>77</v>
      </c>
      <c r="C1254" s="1">
        <v>45424</v>
      </c>
      <c r="D1254">
        <v>2024</v>
      </c>
      <c r="E1254" t="s">
        <v>214</v>
      </c>
      <c r="F1254" t="s">
        <v>12</v>
      </c>
      <c r="G1254" t="s">
        <v>212</v>
      </c>
      <c r="H1254" t="s">
        <v>195</v>
      </c>
      <c r="I1254">
        <v>13</v>
      </c>
      <c r="J1254">
        <v>1201.5999999999999</v>
      </c>
      <c r="K1254">
        <v>0</v>
      </c>
      <c r="L1254" t="s">
        <v>215</v>
      </c>
      <c r="M1254">
        <v>1</v>
      </c>
    </row>
    <row r="1255" spans="1:13" x14ac:dyDescent="0.3">
      <c r="A1255" t="s">
        <v>1464</v>
      </c>
      <c r="B1255">
        <v>77</v>
      </c>
      <c r="C1255" s="1">
        <v>45654</v>
      </c>
      <c r="D1255">
        <v>2024</v>
      </c>
      <c r="E1255" t="s">
        <v>214</v>
      </c>
      <c r="F1255" t="s">
        <v>209</v>
      </c>
      <c r="G1255" t="s">
        <v>191</v>
      </c>
      <c r="H1255" t="s">
        <v>204</v>
      </c>
      <c r="I1255">
        <v>9</v>
      </c>
      <c r="J1255">
        <v>287.86</v>
      </c>
      <c r="K1255">
        <v>0</v>
      </c>
      <c r="L1255" t="s">
        <v>210</v>
      </c>
      <c r="M1255">
        <v>0</v>
      </c>
    </row>
    <row r="1256" spans="1:13" x14ac:dyDescent="0.3">
      <c r="A1256" t="s">
        <v>1465</v>
      </c>
      <c r="B1256">
        <v>78</v>
      </c>
      <c r="C1256" s="1">
        <v>44366</v>
      </c>
      <c r="D1256">
        <v>2021</v>
      </c>
      <c r="E1256" t="s">
        <v>190</v>
      </c>
      <c r="F1256" t="s">
        <v>12</v>
      </c>
      <c r="G1256" t="s">
        <v>212</v>
      </c>
      <c r="H1256" t="s">
        <v>204</v>
      </c>
      <c r="I1256">
        <v>10</v>
      </c>
      <c r="J1256">
        <v>1387.52</v>
      </c>
      <c r="K1256">
        <v>0</v>
      </c>
      <c r="L1256" t="s">
        <v>215</v>
      </c>
      <c r="M1256">
        <v>1</v>
      </c>
    </row>
    <row r="1257" spans="1:13" x14ac:dyDescent="0.3">
      <c r="A1257" t="s">
        <v>1466</v>
      </c>
      <c r="B1257">
        <v>78</v>
      </c>
      <c r="C1257" s="1">
        <v>44609</v>
      </c>
      <c r="D1257">
        <v>2022</v>
      </c>
      <c r="E1257" t="s">
        <v>219</v>
      </c>
      <c r="F1257" t="s">
        <v>13</v>
      </c>
      <c r="G1257" t="s">
        <v>200</v>
      </c>
      <c r="H1257" t="s">
        <v>195</v>
      </c>
      <c r="I1257">
        <v>15</v>
      </c>
      <c r="J1257">
        <v>1994.28</v>
      </c>
      <c r="K1257">
        <v>0</v>
      </c>
      <c r="L1257" t="s">
        <v>196</v>
      </c>
      <c r="M1257">
        <v>0</v>
      </c>
    </row>
    <row r="1258" spans="1:13" x14ac:dyDescent="0.3">
      <c r="A1258" t="s">
        <v>1467</v>
      </c>
      <c r="B1258">
        <v>78</v>
      </c>
      <c r="C1258" s="1">
        <v>44647</v>
      </c>
      <c r="D1258">
        <v>2022</v>
      </c>
      <c r="E1258" t="s">
        <v>198</v>
      </c>
      <c r="F1258" t="s">
        <v>199</v>
      </c>
      <c r="G1258" t="s">
        <v>200</v>
      </c>
      <c r="H1258" t="s">
        <v>206</v>
      </c>
      <c r="I1258">
        <v>13</v>
      </c>
      <c r="J1258">
        <v>6563.76</v>
      </c>
      <c r="K1258">
        <v>1</v>
      </c>
      <c r="L1258" t="s">
        <v>193</v>
      </c>
      <c r="M1258">
        <v>1</v>
      </c>
    </row>
    <row r="1259" spans="1:13" x14ac:dyDescent="0.3">
      <c r="A1259" t="s">
        <v>1468</v>
      </c>
      <c r="B1259">
        <v>78</v>
      </c>
      <c r="C1259" s="1">
        <v>44576</v>
      </c>
      <c r="D1259">
        <v>2022</v>
      </c>
      <c r="E1259" t="s">
        <v>214</v>
      </c>
      <c r="F1259" t="s">
        <v>13</v>
      </c>
      <c r="G1259" t="s">
        <v>191</v>
      </c>
      <c r="H1259" t="s">
        <v>195</v>
      </c>
      <c r="I1259">
        <v>14</v>
      </c>
      <c r="J1259">
        <v>3181.47</v>
      </c>
      <c r="K1259">
        <v>0</v>
      </c>
      <c r="L1259" t="s">
        <v>201</v>
      </c>
      <c r="M1259">
        <v>0</v>
      </c>
    </row>
    <row r="1260" spans="1:13" x14ac:dyDescent="0.3">
      <c r="A1260" t="s">
        <v>1469</v>
      </c>
      <c r="B1260">
        <v>78</v>
      </c>
      <c r="C1260" s="1">
        <v>44702</v>
      </c>
      <c r="D1260">
        <v>2022</v>
      </c>
      <c r="E1260" t="s">
        <v>198</v>
      </c>
      <c r="F1260" t="s">
        <v>13</v>
      </c>
      <c r="G1260" t="s">
        <v>203</v>
      </c>
      <c r="H1260" t="s">
        <v>195</v>
      </c>
      <c r="I1260">
        <v>2</v>
      </c>
      <c r="J1260">
        <v>3787.26</v>
      </c>
      <c r="K1260">
        <v>1</v>
      </c>
      <c r="L1260" t="s">
        <v>210</v>
      </c>
      <c r="M1260">
        <v>0</v>
      </c>
    </row>
    <row r="1261" spans="1:13" x14ac:dyDescent="0.3">
      <c r="A1261" t="s">
        <v>1470</v>
      </c>
      <c r="B1261">
        <v>78</v>
      </c>
      <c r="C1261" s="1">
        <v>44567</v>
      </c>
      <c r="D1261">
        <v>2022</v>
      </c>
      <c r="E1261" t="s">
        <v>227</v>
      </c>
      <c r="F1261" t="s">
        <v>13</v>
      </c>
      <c r="G1261" t="s">
        <v>212</v>
      </c>
      <c r="H1261" t="s">
        <v>192</v>
      </c>
      <c r="I1261">
        <v>3</v>
      </c>
      <c r="J1261">
        <v>3828.38</v>
      </c>
      <c r="K1261">
        <v>0</v>
      </c>
      <c r="L1261" t="s">
        <v>193</v>
      </c>
      <c r="M1261">
        <v>1</v>
      </c>
    </row>
    <row r="1262" spans="1:13" x14ac:dyDescent="0.3">
      <c r="A1262" t="s">
        <v>1471</v>
      </c>
      <c r="B1262">
        <v>78</v>
      </c>
      <c r="C1262" s="1">
        <v>45068</v>
      </c>
      <c r="D1262">
        <v>2023</v>
      </c>
      <c r="E1262" t="s">
        <v>219</v>
      </c>
      <c r="F1262" t="s">
        <v>13</v>
      </c>
      <c r="G1262" t="s">
        <v>200</v>
      </c>
      <c r="H1262" t="s">
        <v>195</v>
      </c>
      <c r="I1262">
        <v>8</v>
      </c>
      <c r="J1262">
        <v>3451.9</v>
      </c>
      <c r="K1262">
        <v>0</v>
      </c>
      <c r="L1262" t="s">
        <v>193</v>
      </c>
      <c r="M1262">
        <v>0</v>
      </c>
    </row>
    <row r="1263" spans="1:13" x14ac:dyDescent="0.3">
      <c r="A1263" t="s">
        <v>1472</v>
      </c>
      <c r="B1263">
        <v>78</v>
      </c>
      <c r="C1263" s="1">
        <v>44950</v>
      </c>
      <c r="D1263">
        <v>2023</v>
      </c>
      <c r="E1263" t="s">
        <v>287</v>
      </c>
      <c r="F1263" t="s">
        <v>13</v>
      </c>
      <c r="G1263" t="s">
        <v>191</v>
      </c>
      <c r="H1263" t="s">
        <v>204</v>
      </c>
      <c r="I1263">
        <v>16</v>
      </c>
      <c r="J1263">
        <v>2215.1999999999998</v>
      </c>
      <c r="K1263">
        <v>0</v>
      </c>
      <c r="L1263" t="s">
        <v>201</v>
      </c>
      <c r="M1263">
        <v>1</v>
      </c>
    </row>
    <row r="1264" spans="1:13" x14ac:dyDescent="0.3">
      <c r="A1264" t="s">
        <v>1473</v>
      </c>
      <c r="B1264">
        <v>78</v>
      </c>
      <c r="C1264" s="1">
        <v>44952</v>
      </c>
      <c r="D1264">
        <v>2023</v>
      </c>
      <c r="E1264" t="s">
        <v>214</v>
      </c>
      <c r="F1264" t="s">
        <v>199</v>
      </c>
      <c r="G1264" t="s">
        <v>212</v>
      </c>
      <c r="H1264" t="s">
        <v>206</v>
      </c>
      <c r="I1264">
        <v>11</v>
      </c>
      <c r="J1264">
        <v>6620.06</v>
      </c>
      <c r="K1264">
        <v>0</v>
      </c>
      <c r="L1264" t="s">
        <v>210</v>
      </c>
      <c r="M1264">
        <v>1</v>
      </c>
    </row>
    <row r="1265" spans="1:13" x14ac:dyDescent="0.3">
      <c r="A1265" t="s">
        <v>1474</v>
      </c>
      <c r="B1265">
        <v>78</v>
      </c>
      <c r="C1265" s="1">
        <v>45130</v>
      </c>
      <c r="D1265">
        <v>2023</v>
      </c>
      <c r="E1265" t="s">
        <v>198</v>
      </c>
      <c r="F1265" t="s">
        <v>12</v>
      </c>
      <c r="G1265" t="s">
        <v>212</v>
      </c>
      <c r="H1265" t="s">
        <v>204</v>
      </c>
      <c r="I1265">
        <v>16</v>
      </c>
      <c r="J1265">
        <v>403.89</v>
      </c>
      <c r="K1265">
        <v>1</v>
      </c>
      <c r="L1265" t="s">
        <v>201</v>
      </c>
      <c r="M1265">
        <v>1</v>
      </c>
    </row>
    <row r="1266" spans="1:13" x14ac:dyDescent="0.3">
      <c r="A1266" t="s">
        <v>1475</v>
      </c>
      <c r="B1266">
        <v>78</v>
      </c>
      <c r="C1266" s="1">
        <v>45121</v>
      </c>
      <c r="D1266">
        <v>2023</v>
      </c>
      <c r="E1266" t="s">
        <v>287</v>
      </c>
      <c r="F1266" t="s">
        <v>209</v>
      </c>
      <c r="G1266" t="s">
        <v>191</v>
      </c>
      <c r="H1266" t="s">
        <v>195</v>
      </c>
      <c r="I1266">
        <v>13</v>
      </c>
      <c r="J1266">
        <v>549.16</v>
      </c>
      <c r="K1266">
        <v>0</v>
      </c>
      <c r="L1266" t="s">
        <v>210</v>
      </c>
      <c r="M1266">
        <v>1</v>
      </c>
    </row>
    <row r="1267" spans="1:13" x14ac:dyDescent="0.3">
      <c r="A1267" t="s">
        <v>1476</v>
      </c>
      <c r="B1267">
        <v>78</v>
      </c>
      <c r="C1267" s="1">
        <v>45356</v>
      </c>
      <c r="D1267">
        <v>2024</v>
      </c>
      <c r="E1267" t="s">
        <v>219</v>
      </c>
      <c r="F1267" t="s">
        <v>199</v>
      </c>
      <c r="G1267" t="s">
        <v>203</v>
      </c>
      <c r="H1267" t="s">
        <v>192</v>
      </c>
      <c r="I1267">
        <v>4</v>
      </c>
      <c r="J1267">
        <v>2717.9</v>
      </c>
      <c r="K1267">
        <v>0</v>
      </c>
      <c r="L1267" t="s">
        <v>196</v>
      </c>
      <c r="M1267">
        <v>0</v>
      </c>
    </row>
    <row r="1268" spans="1:13" x14ac:dyDescent="0.3">
      <c r="A1268" t="s">
        <v>1477</v>
      </c>
      <c r="B1268">
        <v>78</v>
      </c>
      <c r="C1268" s="1">
        <v>45908</v>
      </c>
      <c r="D1268">
        <v>2025</v>
      </c>
      <c r="E1268" t="s">
        <v>198</v>
      </c>
      <c r="F1268" t="s">
        <v>13</v>
      </c>
      <c r="G1268" t="s">
        <v>212</v>
      </c>
      <c r="H1268" t="s">
        <v>206</v>
      </c>
      <c r="I1268">
        <v>2</v>
      </c>
      <c r="J1268">
        <v>2423.06</v>
      </c>
      <c r="K1268">
        <v>1</v>
      </c>
      <c r="L1268" t="s">
        <v>215</v>
      </c>
      <c r="M1268">
        <v>1</v>
      </c>
    </row>
    <row r="1269" spans="1:13" x14ac:dyDescent="0.3">
      <c r="A1269" t="s">
        <v>1478</v>
      </c>
      <c r="B1269">
        <v>78</v>
      </c>
      <c r="C1269" s="1">
        <v>45737</v>
      </c>
      <c r="D1269">
        <v>2025</v>
      </c>
      <c r="E1269" t="s">
        <v>225</v>
      </c>
      <c r="F1269" t="s">
        <v>199</v>
      </c>
      <c r="G1269" t="s">
        <v>200</v>
      </c>
      <c r="H1269" t="s">
        <v>195</v>
      </c>
      <c r="I1269">
        <v>14</v>
      </c>
      <c r="J1269">
        <v>5892.3</v>
      </c>
      <c r="K1269">
        <v>0</v>
      </c>
      <c r="L1269" t="s">
        <v>193</v>
      </c>
      <c r="M1269">
        <v>0</v>
      </c>
    </row>
    <row r="1270" spans="1:13" x14ac:dyDescent="0.3">
      <c r="A1270" t="s">
        <v>1479</v>
      </c>
      <c r="B1270">
        <v>78</v>
      </c>
      <c r="C1270" s="1">
        <v>45879</v>
      </c>
      <c r="D1270">
        <v>2025</v>
      </c>
      <c r="E1270" t="s">
        <v>198</v>
      </c>
      <c r="F1270" t="s">
        <v>199</v>
      </c>
      <c r="G1270" t="s">
        <v>203</v>
      </c>
      <c r="H1270" t="s">
        <v>195</v>
      </c>
      <c r="I1270">
        <v>2</v>
      </c>
      <c r="J1270">
        <v>7277.05</v>
      </c>
      <c r="K1270">
        <v>1</v>
      </c>
      <c r="L1270" t="s">
        <v>193</v>
      </c>
      <c r="M1270">
        <v>0</v>
      </c>
    </row>
    <row r="1271" spans="1:13" x14ac:dyDescent="0.3">
      <c r="A1271" t="s">
        <v>1480</v>
      </c>
      <c r="B1271">
        <v>78</v>
      </c>
      <c r="C1271" s="1">
        <v>45763</v>
      </c>
      <c r="D1271">
        <v>2025</v>
      </c>
      <c r="E1271" t="s">
        <v>190</v>
      </c>
      <c r="F1271" t="s">
        <v>12</v>
      </c>
      <c r="G1271" t="s">
        <v>200</v>
      </c>
      <c r="H1271" t="s">
        <v>204</v>
      </c>
      <c r="I1271">
        <v>11</v>
      </c>
      <c r="J1271">
        <v>1188.05</v>
      </c>
      <c r="K1271">
        <v>0</v>
      </c>
      <c r="L1271" t="s">
        <v>193</v>
      </c>
      <c r="M1271">
        <v>1</v>
      </c>
    </row>
    <row r="1272" spans="1:13" x14ac:dyDescent="0.3">
      <c r="A1272" t="s">
        <v>1481</v>
      </c>
      <c r="B1272">
        <v>78</v>
      </c>
      <c r="C1272" s="1">
        <v>45972</v>
      </c>
      <c r="D1272">
        <v>2025</v>
      </c>
      <c r="E1272" t="s">
        <v>225</v>
      </c>
      <c r="F1272" t="s">
        <v>13</v>
      </c>
      <c r="G1272" t="s">
        <v>212</v>
      </c>
      <c r="H1272" t="s">
        <v>192</v>
      </c>
      <c r="I1272">
        <v>5</v>
      </c>
      <c r="J1272">
        <v>2316.0100000000002</v>
      </c>
      <c r="K1272">
        <v>0</v>
      </c>
      <c r="L1272" t="s">
        <v>193</v>
      </c>
      <c r="M1272">
        <v>1</v>
      </c>
    </row>
    <row r="1273" spans="1:13" x14ac:dyDescent="0.3">
      <c r="A1273" t="s">
        <v>1482</v>
      </c>
      <c r="B1273">
        <v>78</v>
      </c>
      <c r="C1273" s="1">
        <v>45698</v>
      </c>
      <c r="D1273">
        <v>2025</v>
      </c>
      <c r="E1273" t="s">
        <v>219</v>
      </c>
      <c r="F1273" t="s">
        <v>209</v>
      </c>
      <c r="G1273" t="s">
        <v>191</v>
      </c>
      <c r="H1273" t="s">
        <v>206</v>
      </c>
      <c r="I1273">
        <v>1</v>
      </c>
      <c r="J1273">
        <v>551.54999999999995</v>
      </c>
      <c r="K1273">
        <v>0</v>
      </c>
      <c r="L1273" t="s">
        <v>210</v>
      </c>
      <c r="M1273">
        <v>0</v>
      </c>
    </row>
    <row r="1274" spans="1:13" x14ac:dyDescent="0.3">
      <c r="A1274" t="s">
        <v>1483</v>
      </c>
      <c r="B1274">
        <v>79</v>
      </c>
      <c r="C1274" s="1">
        <v>44350</v>
      </c>
      <c r="D1274">
        <v>2021</v>
      </c>
      <c r="E1274" t="s">
        <v>219</v>
      </c>
      <c r="F1274" t="s">
        <v>199</v>
      </c>
      <c r="G1274" t="s">
        <v>191</v>
      </c>
      <c r="H1274" t="s">
        <v>195</v>
      </c>
      <c r="I1274">
        <v>10</v>
      </c>
      <c r="J1274">
        <v>3990.97</v>
      </c>
      <c r="K1274">
        <v>0</v>
      </c>
      <c r="L1274" t="s">
        <v>196</v>
      </c>
      <c r="M1274">
        <v>1</v>
      </c>
    </row>
    <row r="1275" spans="1:13" x14ac:dyDescent="0.3">
      <c r="A1275" t="s">
        <v>1484</v>
      </c>
      <c r="B1275">
        <v>79</v>
      </c>
      <c r="C1275" s="1">
        <v>44393</v>
      </c>
      <c r="D1275">
        <v>2021</v>
      </c>
      <c r="E1275" t="s">
        <v>214</v>
      </c>
      <c r="F1275" t="s">
        <v>12</v>
      </c>
      <c r="G1275" t="s">
        <v>212</v>
      </c>
      <c r="H1275" t="s">
        <v>192</v>
      </c>
      <c r="I1275">
        <v>14</v>
      </c>
      <c r="J1275">
        <v>625.86</v>
      </c>
      <c r="K1275">
        <v>0</v>
      </c>
      <c r="L1275" t="s">
        <v>193</v>
      </c>
      <c r="M1275">
        <v>1</v>
      </c>
    </row>
    <row r="1276" spans="1:13" x14ac:dyDescent="0.3">
      <c r="A1276" t="s">
        <v>1485</v>
      </c>
      <c r="B1276">
        <v>79</v>
      </c>
      <c r="C1276" s="1">
        <v>44693</v>
      </c>
      <c r="D1276">
        <v>2022</v>
      </c>
      <c r="E1276" t="s">
        <v>198</v>
      </c>
      <c r="F1276" t="s">
        <v>13</v>
      </c>
      <c r="G1276" t="s">
        <v>212</v>
      </c>
      <c r="H1276" t="s">
        <v>206</v>
      </c>
      <c r="I1276">
        <v>5</v>
      </c>
      <c r="J1276">
        <v>2446.61</v>
      </c>
      <c r="K1276">
        <v>1</v>
      </c>
      <c r="L1276" t="s">
        <v>201</v>
      </c>
      <c r="M1276">
        <v>1</v>
      </c>
    </row>
    <row r="1277" spans="1:13" x14ac:dyDescent="0.3">
      <c r="A1277" t="s">
        <v>1486</v>
      </c>
      <c r="B1277">
        <v>79</v>
      </c>
      <c r="C1277" s="1">
        <v>44715</v>
      </c>
      <c r="D1277">
        <v>2022</v>
      </c>
      <c r="E1277" t="s">
        <v>198</v>
      </c>
      <c r="F1277" t="s">
        <v>13</v>
      </c>
      <c r="G1277" t="s">
        <v>212</v>
      </c>
      <c r="H1277" t="s">
        <v>192</v>
      </c>
      <c r="I1277">
        <v>5</v>
      </c>
      <c r="J1277">
        <v>2399.67</v>
      </c>
      <c r="K1277">
        <v>1</v>
      </c>
      <c r="L1277" t="s">
        <v>193</v>
      </c>
      <c r="M1277">
        <v>1</v>
      </c>
    </row>
    <row r="1278" spans="1:13" x14ac:dyDescent="0.3">
      <c r="A1278" t="s">
        <v>1487</v>
      </c>
      <c r="B1278">
        <v>79</v>
      </c>
      <c r="C1278" s="1">
        <v>44648</v>
      </c>
      <c r="D1278">
        <v>2022</v>
      </c>
      <c r="E1278" t="s">
        <v>214</v>
      </c>
      <c r="F1278" t="s">
        <v>13</v>
      </c>
      <c r="G1278" t="s">
        <v>203</v>
      </c>
      <c r="H1278" t="s">
        <v>206</v>
      </c>
      <c r="I1278">
        <v>2</v>
      </c>
      <c r="J1278">
        <v>2274.7800000000002</v>
      </c>
      <c r="K1278">
        <v>1</v>
      </c>
      <c r="L1278" t="s">
        <v>193</v>
      </c>
      <c r="M1278">
        <v>0</v>
      </c>
    </row>
    <row r="1279" spans="1:13" x14ac:dyDescent="0.3">
      <c r="A1279" t="s">
        <v>1488</v>
      </c>
      <c r="B1279">
        <v>79</v>
      </c>
      <c r="C1279" s="1">
        <v>44729</v>
      </c>
      <c r="D1279">
        <v>2022</v>
      </c>
      <c r="E1279" t="s">
        <v>198</v>
      </c>
      <c r="F1279" t="s">
        <v>209</v>
      </c>
      <c r="G1279" t="s">
        <v>212</v>
      </c>
      <c r="H1279" t="s">
        <v>206</v>
      </c>
      <c r="I1279">
        <v>7</v>
      </c>
      <c r="J1279">
        <v>187.21</v>
      </c>
      <c r="K1279">
        <v>1</v>
      </c>
      <c r="L1279" t="s">
        <v>215</v>
      </c>
      <c r="M1279">
        <v>1</v>
      </c>
    </row>
    <row r="1280" spans="1:13" x14ac:dyDescent="0.3">
      <c r="A1280" t="s">
        <v>1489</v>
      </c>
      <c r="B1280">
        <v>79</v>
      </c>
      <c r="C1280" s="1">
        <v>45420</v>
      </c>
      <c r="D1280">
        <v>2024</v>
      </c>
      <c r="E1280" t="s">
        <v>225</v>
      </c>
      <c r="F1280" t="s">
        <v>13</v>
      </c>
      <c r="G1280" t="s">
        <v>200</v>
      </c>
      <c r="H1280" t="s">
        <v>206</v>
      </c>
      <c r="I1280">
        <v>10</v>
      </c>
      <c r="J1280">
        <v>3400.56</v>
      </c>
      <c r="K1280">
        <v>0</v>
      </c>
      <c r="L1280" t="s">
        <v>201</v>
      </c>
      <c r="M1280">
        <v>0</v>
      </c>
    </row>
    <row r="1281" spans="1:13" x14ac:dyDescent="0.3">
      <c r="A1281" t="s">
        <v>1490</v>
      </c>
      <c r="B1281">
        <v>79</v>
      </c>
      <c r="C1281" s="1">
        <v>45324</v>
      </c>
      <c r="D1281">
        <v>2024</v>
      </c>
      <c r="E1281" t="s">
        <v>219</v>
      </c>
      <c r="F1281" t="s">
        <v>12</v>
      </c>
      <c r="G1281" t="s">
        <v>212</v>
      </c>
      <c r="H1281" t="s">
        <v>204</v>
      </c>
      <c r="I1281">
        <v>15</v>
      </c>
      <c r="J1281">
        <v>411.09</v>
      </c>
      <c r="K1281">
        <v>0</v>
      </c>
      <c r="L1281" t="s">
        <v>201</v>
      </c>
      <c r="M1281">
        <v>1</v>
      </c>
    </row>
    <row r="1282" spans="1:13" x14ac:dyDescent="0.3">
      <c r="A1282" t="s">
        <v>1491</v>
      </c>
      <c r="B1282">
        <v>79</v>
      </c>
      <c r="C1282" s="1">
        <v>45494</v>
      </c>
      <c r="D1282">
        <v>2024</v>
      </c>
      <c r="E1282" t="s">
        <v>219</v>
      </c>
      <c r="F1282" t="s">
        <v>199</v>
      </c>
      <c r="G1282" t="s">
        <v>200</v>
      </c>
      <c r="H1282" t="s">
        <v>195</v>
      </c>
      <c r="I1282">
        <v>16</v>
      </c>
      <c r="J1282">
        <v>5680.02</v>
      </c>
      <c r="K1282">
        <v>0</v>
      </c>
      <c r="L1282" t="s">
        <v>193</v>
      </c>
      <c r="M1282">
        <v>1</v>
      </c>
    </row>
    <row r="1283" spans="1:13" x14ac:dyDescent="0.3">
      <c r="A1283" t="s">
        <v>1492</v>
      </c>
      <c r="B1283">
        <v>79</v>
      </c>
      <c r="C1283" s="1">
        <v>45783</v>
      </c>
      <c r="D1283">
        <v>2025</v>
      </c>
      <c r="E1283" t="s">
        <v>190</v>
      </c>
      <c r="F1283" t="s">
        <v>209</v>
      </c>
      <c r="G1283" t="s">
        <v>212</v>
      </c>
      <c r="H1283" t="s">
        <v>195</v>
      </c>
      <c r="I1283">
        <v>8</v>
      </c>
      <c r="J1283">
        <v>117.14</v>
      </c>
      <c r="K1283">
        <v>0</v>
      </c>
      <c r="L1283" t="s">
        <v>215</v>
      </c>
      <c r="M1283">
        <v>1</v>
      </c>
    </row>
    <row r="1284" spans="1:13" x14ac:dyDescent="0.3">
      <c r="A1284" t="s">
        <v>1493</v>
      </c>
      <c r="B1284">
        <v>79</v>
      </c>
      <c r="C1284" s="1">
        <v>45829</v>
      </c>
      <c r="D1284">
        <v>2025</v>
      </c>
      <c r="E1284" t="s">
        <v>190</v>
      </c>
      <c r="F1284" t="s">
        <v>12</v>
      </c>
      <c r="G1284" t="s">
        <v>212</v>
      </c>
      <c r="H1284" t="s">
        <v>195</v>
      </c>
      <c r="I1284">
        <v>5</v>
      </c>
      <c r="J1284">
        <v>1394.39</v>
      </c>
      <c r="K1284">
        <v>0</v>
      </c>
      <c r="L1284" t="s">
        <v>196</v>
      </c>
      <c r="M1284">
        <v>1</v>
      </c>
    </row>
    <row r="1285" spans="1:13" x14ac:dyDescent="0.3">
      <c r="A1285" t="s">
        <v>1494</v>
      </c>
      <c r="B1285">
        <v>80</v>
      </c>
      <c r="C1285" s="1">
        <v>44237</v>
      </c>
      <c r="D1285">
        <v>2021</v>
      </c>
      <c r="E1285" t="s">
        <v>190</v>
      </c>
      <c r="F1285" t="s">
        <v>209</v>
      </c>
      <c r="G1285" t="s">
        <v>212</v>
      </c>
      <c r="H1285" t="s">
        <v>195</v>
      </c>
      <c r="I1285">
        <v>8</v>
      </c>
      <c r="J1285">
        <v>189.02</v>
      </c>
      <c r="K1285">
        <v>0</v>
      </c>
      <c r="L1285" t="s">
        <v>215</v>
      </c>
      <c r="M1285">
        <v>1</v>
      </c>
    </row>
    <row r="1286" spans="1:13" x14ac:dyDescent="0.3">
      <c r="A1286" t="s">
        <v>1495</v>
      </c>
      <c r="B1286">
        <v>80</v>
      </c>
      <c r="C1286" s="1">
        <v>44621</v>
      </c>
      <c r="D1286">
        <v>2022</v>
      </c>
      <c r="E1286" t="s">
        <v>214</v>
      </c>
      <c r="F1286" t="s">
        <v>13</v>
      </c>
      <c r="G1286" t="s">
        <v>203</v>
      </c>
      <c r="H1286" t="s">
        <v>204</v>
      </c>
      <c r="I1286">
        <v>3</v>
      </c>
      <c r="J1286">
        <v>3546.41</v>
      </c>
      <c r="K1286">
        <v>0</v>
      </c>
      <c r="L1286" t="s">
        <v>201</v>
      </c>
      <c r="M1286">
        <v>1</v>
      </c>
    </row>
    <row r="1287" spans="1:13" x14ac:dyDescent="0.3">
      <c r="A1287" t="s">
        <v>1496</v>
      </c>
      <c r="B1287">
        <v>80</v>
      </c>
      <c r="C1287" s="1">
        <v>44683</v>
      </c>
      <c r="D1287">
        <v>2022</v>
      </c>
      <c r="E1287" t="s">
        <v>227</v>
      </c>
      <c r="F1287" t="s">
        <v>12</v>
      </c>
      <c r="G1287" t="s">
        <v>191</v>
      </c>
      <c r="H1287" t="s">
        <v>195</v>
      </c>
      <c r="I1287">
        <v>6</v>
      </c>
      <c r="J1287">
        <v>480.24</v>
      </c>
      <c r="K1287">
        <v>0</v>
      </c>
      <c r="L1287" t="s">
        <v>193</v>
      </c>
      <c r="M1287">
        <v>0</v>
      </c>
    </row>
    <row r="1288" spans="1:13" x14ac:dyDescent="0.3">
      <c r="A1288" t="s">
        <v>1497</v>
      </c>
      <c r="B1288">
        <v>80</v>
      </c>
      <c r="C1288" s="1">
        <v>44565</v>
      </c>
      <c r="D1288">
        <v>2022</v>
      </c>
      <c r="E1288" t="s">
        <v>287</v>
      </c>
      <c r="F1288" t="s">
        <v>12</v>
      </c>
      <c r="G1288" t="s">
        <v>212</v>
      </c>
      <c r="H1288" t="s">
        <v>195</v>
      </c>
      <c r="I1288">
        <v>8</v>
      </c>
      <c r="J1288">
        <v>392.34</v>
      </c>
      <c r="K1288">
        <v>0</v>
      </c>
      <c r="L1288" t="s">
        <v>210</v>
      </c>
      <c r="M1288">
        <v>1</v>
      </c>
    </row>
    <row r="1289" spans="1:13" x14ac:dyDescent="0.3">
      <c r="A1289" t="s">
        <v>1498</v>
      </c>
      <c r="B1289">
        <v>80</v>
      </c>
      <c r="C1289" s="1">
        <v>45035</v>
      </c>
      <c r="D1289">
        <v>2023</v>
      </c>
      <c r="E1289" t="s">
        <v>214</v>
      </c>
      <c r="F1289" t="s">
        <v>209</v>
      </c>
      <c r="G1289" t="s">
        <v>203</v>
      </c>
      <c r="H1289" t="s">
        <v>192</v>
      </c>
      <c r="I1289">
        <v>11</v>
      </c>
      <c r="J1289">
        <v>227.3</v>
      </c>
      <c r="K1289">
        <v>0</v>
      </c>
      <c r="L1289" t="s">
        <v>215</v>
      </c>
      <c r="M1289">
        <v>0</v>
      </c>
    </row>
    <row r="1290" spans="1:13" x14ac:dyDescent="0.3">
      <c r="A1290" t="s">
        <v>1499</v>
      </c>
      <c r="B1290">
        <v>80</v>
      </c>
      <c r="C1290" s="1">
        <v>45470</v>
      </c>
      <c r="D1290">
        <v>2024</v>
      </c>
      <c r="E1290" t="s">
        <v>190</v>
      </c>
      <c r="F1290" t="s">
        <v>199</v>
      </c>
      <c r="G1290" t="s">
        <v>203</v>
      </c>
      <c r="H1290" t="s">
        <v>195</v>
      </c>
      <c r="I1290">
        <v>1</v>
      </c>
      <c r="J1290">
        <v>5851.77</v>
      </c>
      <c r="K1290">
        <v>1</v>
      </c>
      <c r="L1290" t="s">
        <v>196</v>
      </c>
      <c r="M1290">
        <v>0</v>
      </c>
    </row>
    <row r="1291" spans="1:13" x14ac:dyDescent="0.3">
      <c r="A1291" t="s">
        <v>1500</v>
      </c>
      <c r="B1291">
        <v>80</v>
      </c>
      <c r="C1291" s="1">
        <v>45549</v>
      </c>
      <c r="D1291">
        <v>2024</v>
      </c>
      <c r="E1291" t="s">
        <v>214</v>
      </c>
      <c r="F1291" t="s">
        <v>13</v>
      </c>
      <c r="G1291" t="s">
        <v>212</v>
      </c>
      <c r="H1291" t="s">
        <v>206</v>
      </c>
      <c r="I1291">
        <v>13</v>
      </c>
      <c r="J1291">
        <v>2311.8000000000002</v>
      </c>
      <c r="K1291">
        <v>0</v>
      </c>
      <c r="L1291" t="s">
        <v>201</v>
      </c>
      <c r="M1291">
        <v>1</v>
      </c>
    </row>
    <row r="1292" spans="1:13" x14ac:dyDescent="0.3">
      <c r="A1292" t="s">
        <v>1501</v>
      </c>
      <c r="B1292">
        <v>80</v>
      </c>
      <c r="C1292" s="1">
        <v>45624</v>
      </c>
      <c r="D1292">
        <v>2024</v>
      </c>
      <c r="E1292" t="s">
        <v>214</v>
      </c>
      <c r="F1292" t="s">
        <v>13</v>
      </c>
      <c r="G1292" t="s">
        <v>203</v>
      </c>
      <c r="H1292" t="s">
        <v>195</v>
      </c>
      <c r="I1292">
        <v>15</v>
      </c>
      <c r="J1292">
        <v>3491.13</v>
      </c>
      <c r="K1292">
        <v>0</v>
      </c>
      <c r="L1292" t="s">
        <v>193</v>
      </c>
      <c r="M1292">
        <v>0</v>
      </c>
    </row>
    <row r="1293" spans="1:13" x14ac:dyDescent="0.3">
      <c r="A1293" t="s">
        <v>1502</v>
      </c>
      <c r="B1293">
        <v>80</v>
      </c>
      <c r="C1293" s="1">
        <v>45632</v>
      </c>
      <c r="D1293">
        <v>2024</v>
      </c>
      <c r="E1293" t="s">
        <v>287</v>
      </c>
      <c r="F1293" t="s">
        <v>12</v>
      </c>
      <c r="G1293" t="s">
        <v>212</v>
      </c>
      <c r="H1293" t="s">
        <v>192</v>
      </c>
      <c r="I1293">
        <v>18</v>
      </c>
      <c r="J1293">
        <v>859.91</v>
      </c>
      <c r="K1293">
        <v>0</v>
      </c>
      <c r="L1293" t="s">
        <v>215</v>
      </c>
      <c r="M1293">
        <v>1</v>
      </c>
    </row>
    <row r="1294" spans="1:13" x14ac:dyDescent="0.3">
      <c r="A1294" t="s">
        <v>1503</v>
      </c>
      <c r="B1294">
        <v>80</v>
      </c>
      <c r="C1294" s="1">
        <v>45469</v>
      </c>
      <c r="D1294">
        <v>2024</v>
      </c>
      <c r="E1294" t="s">
        <v>198</v>
      </c>
      <c r="F1294" t="s">
        <v>13</v>
      </c>
      <c r="G1294" t="s">
        <v>200</v>
      </c>
      <c r="H1294" t="s">
        <v>195</v>
      </c>
      <c r="I1294">
        <v>9</v>
      </c>
      <c r="J1294">
        <v>2249.4699999999998</v>
      </c>
      <c r="K1294">
        <v>1</v>
      </c>
      <c r="L1294" t="s">
        <v>210</v>
      </c>
      <c r="M1294">
        <v>1</v>
      </c>
    </row>
    <row r="1295" spans="1:13" x14ac:dyDescent="0.3">
      <c r="A1295" t="s">
        <v>1504</v>
      </c>
      <c r="B1295">
        <v>80</v>
      </c>
      <c r="C1295" s="1">
        <v>45760</v>
      </c>
      <c r="D1295">
        <v>2025</v>
      </c>
      <c r="E1295" t="s">
        <v>198</v>
      </c>
      <c r="F1295" t="s">
        <v>199</v>
      </c>
      <c r="G1295" t="s">
        <v>191</v>
      </c>
      <c r="H1295" t="s">
        <v>206</v>
      </c>
      <c r="I1295">
        <v>10</v>
      </c>
      <c r="J1295">
        <v>7580.92</v>
      </c>
      <c r="K1295">
        <v>1</v>
      </c>
      <c r="L1295" t="s">
        <v>196</v>
      </c>
      <c r="M1295">
        <v>0</v>
      </c>
    </row>
    <row r="1296" spans="1:13" x14ac:dyDescent="0.3">
      <c r="A1296" t="s">
        <v>1505</v>
      </c>
      <c r="B1296">
        <v>81</v>
      </c>
      <c r="C1296" s="1">
        <v>44304</v>
      </c>
      <c r="D1296">
        <v>2021</v>
      </c>
      <c r="E1296" t="s">
        <v>190</v>
      </c>
      <c r="F1296" t="s">
        <v>199</v>
      </c>
      <c r="G1296" t="s">
        <v>212</v>
      </c>
      <c r="H1296" t="s">
        <v>195</v>
      </c>
      <c r="I1296">
        <v>5</v>
      </c>
      <c r="J1296">
        <v>5532.94</v>
      </c>
      <c r="K1296">
        <v>1</v>
      </c>
      <c r="L1296" t="s">
        <v>196</v>
      </c>
      <c r="M1296">
        <v>1</v>
      </c>
    </row>
    <row r="1297" spans="1:13" x14ac:dyDescent="0.3">
      <c r="A1297" t="s">
        <v>1506</v>
      </c>
      <c r="B1297">
        <v>81</v>
      </c>
      <c r="C1297" s="1">
        <v>44323</v>
      </c>
      <c r="D1297">
        <v>2021</v>
      </c>
      <c r="E1297" t="s">
        <v>190</v>
      </c>
      <c r="F1297" t="s">
        <v>199</v>
      </c>
      <c r="G1297" t="s">
        <v>212</v>
      </c>
      <c r="H1297" t="s">
        <v>195</v>
      </c>
      <c r="I1297">
        <v>12</v>
      </c>
      <c r="J1297">
        <v>4363.1499999999996</v>
      </c>
      <c r="K1297">
        <v>0</v>
      </c>
      <c r="L1297" t="s">
        <v>193</v>
      </c>
      <c r="M1297">
        <v>1</v>
      </c>
    </row>
    <row r="1298" spans="1:13" x14ac:dyDescent="0.3">
      <c r="A1298" t="s">
        <v>1507</v>
      </c>
      <c r="B1298">
        <v>81</v>
      </c>
      <c r="C1298" s="1">
        <v>44523</v>
      </c>
      <c r="D1298">
        <v>2021</v>
      </c>
      <c r="E1298" t="s">
        <v>287</v>
      </c>
      <c r="F1298" t="s">
        <v>13</v>
      </c>
      <c r="G1298" t="s">
        <v>203</v>
      </c>
      <c r="H1298" t="s">
        <v>195</v>
      </c>
      <c r="I1298">
        <v>10</v>
      </c>
      <c r="J1298">
        <v>3820.56</v>
      </c>
      <c r="K1298">
        <v>0</v>
      </c>
      <c r="L1298" t="s">
        <v>201</v>
      </c>
      <c r="M1298">
        <v>0</v>
      </c>
    </row>
    <row r="1299" spans="1:13" x14ac:dyDescent="0.3">
      <c r="A1299" t="s">
        <v>1508</v>
      </c>
      <c r="B1299">
        <v>81</v>
      </c>
      <c r="C1299" s="1">
        <v>44385</v>
      </c>
      <c r="D1299">
        <v>2021</v>
      </c>
      <c r="E1299" t="s">
        <v>227</v>
      </c>
      <c r="F1299" t="s">
        <v>13</v>
      </c>
      <c r="G1299" t="s">
        <v>212</v>
      </c>
      <c r="H1299" t="s">
        <v>204</v>
      </c>
      <c r="I1299">
        <v>11</v>
      </c>
      <c r="J1299">
        <v>2411.17</v>
      </c>
      <c r="K1299">
        <v>0</v>
      </c>
      <c r="L1299" t="s">
        <v>201</v>
      </c>
      <c r="M1299">
        <v>1</v>
      </c>
    </row>
    <row r="1300" spans="1:13" x14ac:dyDescent="0.3">
      <c r="A1300" t="s">
        <v>1509</v>
      </c>
      <c r="B1300">
        <v>81</v>
      </c>
      <c r="C1300" s="1">
        <v>44465</v>
      </c>
      <c r="D1300">
        <v>2021</v>
      </c>
      <c r="E1300" t="s">
        <v>225</v>
      </c>
      <c r="F1300" t="s">
        <v>12</v>
      </c>
      <c r="G1300" t="s">
        <v>200</v>
      </c>
      <c r="H1300" t="s">
        <v>204</v>
      </c>
      <c r="I1300">
        <v>13</v>
      </c>
      <c r="J1300">
        <v>1227.01</v>
      </c>
      <c r="K1300">
        <v>1</v>
      </c>
      <c r="L1300" t="s">
        <v>201</v>
      </c>
      <c r="M1300">
        <v>0</v>
      </c>
    </row>
    <row r="1301" spans="1:13" x14ac:dyDescent="0.3">
      <c r="A1301" t="s">
        <v>1510</v>
      </c>
      <c r="B1301">
        <v>81</v>
      </c>
      <c r="C1301" s="1">
        <v>44577</v>
      </c>
      <c r="D1301">
        <v>2022</v>
      </c>
      <c r="E1301" t="s">
        <v>219</v>
      </c>
      <c r="F1301" t="s">
        <v>12</v>
      </c>
      <c r="G1301" t="s">
        <v>203</v>
      </c>
      <c r="H1301" t="s">
        <v>195</v>
      </c>
      <c r="I1301">
        <v>10</v>
      </c>
      <c r="J1301">
        <v>255.08</v>
      </c>
      <c r="K1301">
        <v>0</v>
      </c>
      <c r="L1301" t="s">
        <v>210</v>
      </c>
      <c r="M1301">
        <v>0</v>
      </c>
    </row>
    <row r="1302" spans="1:13" x14ac:dyDescent="0.3">
      <c r="A1302" t="s">
        <v>1511</v>
      </c>
      <c r="B1302">
        <v>81</v>
      </c>
      <c r="C1302" s="1">
        <v>44791</v>
      </c>
      <c r="D1302">
        <v>2022</v>
      </c>
      <c r="E1302" t="s">
        <v>227</v>
      </c>
      <c r="F1302" t="s">
        <v>199</v>
      </c>
      <c r="G1302" t="s">
        <v>203</v>
      </c>
      <c r="H1302" t="s">
        <v>195</v>
      </c>
      <c r="I1302">
        <v>6</v>
      </c>
      <c r="J1302">
        <v>3224.98</v>
      </c>
      <c r="K1302">
        <v>0</v>
      </c>
      <c r="L1302" t="s">
        <v>193</v>
      </c>
      <c r="M1302">
        <v>1</v>
      </c>
    </row>
    <row r="1303" spans="1:13" x14ac:dyDescent="0.3">
      <c r="A1303" t="s">
        <v>1512</v>
      </c>
      <c r="B1303">
        <v>81</v>
      </c>
      <c r="C1303" s="1">
        <v>44859</v>
      </c>
      <c r="D1303">
        <v>2022</v>
      </c>
      <c r="E1303" t="s">
        <v>190</v>
      </c>
      <c r="F1303" t="s">
        <v>13</v>
      </c>
      <c r="G1303" t="s">
        <v>191</v>
      </c>
      <c r="H1303" t="s">
        <v>195</v>
      </c>
      <c r="I1303">
        <v>12</v>
      </c>
      <c r="J1303">
        <v>2898.5</v>
      </c>
      <c r="K1303">
        <v>1</v>
      </c>
      <c r="L1303" t="s">
        <v>210</v>
      </c>
      <c r="M1303">
        <v>0</v>
      </c>
    </row>
    <row r="1304" spans="1:13" x14ac:dyDescent="0.3">
      <c r="A1304" t="s">
        <v>1513</v>
      </c>
      <c r="B1304">
        <v>81</v>
      </c>
      <c r="C1304" s="1">
        <v>44749</v>
      </c>
      <c r="D1304">
        <v>2022</v>
      </c>
      <c r="E1304" t="s">
        <v>214</v>
      </c>
      <c r="F1304" t="s">
        <v>12</v>
      </c>
      <c r="G1304" t="s">
        <v>191</v>
      </c>
      <c r="H1304" t="s">
        <v>195</v>
      </c>
      <c r="I1304">
        <v>7</v>
      </c>
      <c r="J1304">
        <v>1374.1</v>
      </c>
      <c r="K1304">
        <v>1</v>
      </c>
      <c r="L1304" t="s">
        <v>193</v>
      </c>
      <c r="M1304">
        <v>0</v>
      </c>
    </row>
    <row r="1305" spans="1:13" x14ac:dyDescent="0.3">
      <c r="A1305" t="s">
        <v>1514</v>
      </c>
      <c r="B1305">
        <v>81</v>
      </c>
      <c r="C1305" s="1">
        <v>45233</v>
      </c>
      <c r="D1305">
        <v>2023</v>
      </c>
      <c r="E1305" t="s">
        <v>287</v>
      </c>
      <c r="F1305" t="s">
        <v>209</v>
      </c>
      <c r="G1305" t="s">
        <v>212</v>
      </c>
      <c r="H1305" t="s">
        <v>195</v>
      </c>
      <c r="I1305">
        <v>6</v>
      </c>
      <c r="J1305">
        <v>229.96</v>
      </c>
      <c r="K1305">
        <v>0</v>
      </c>
      <c r="L1305" t="s">
        <v>210</v>
      </c>
      <c r="M1305">
        <v>1</v>
      </c>
    </row>
    <row r="1306" spans="1:13" x14ac:dyDescent="0.3">
      <c r="A1306" t="s">
        <v>1515</v>
      </c>
      <c r="B1306">
        <v>81</v>
      </c>
      <c r="C1306" s="1">
        <v>45213</v>
      </c>
      <c r="D1306">
        <v>2023</v>
      </c>
      <c r="E1306" t="s">
        <v>219</v>
      </c>
      <c r="F1306" t="s">
        <v>12</v>
      </c>
      <c r="G1306" t="s">
        <v>212</v>
      </c>
      <c r="H1306" t="s">
        <v>195</v>
      </c>
      <c r="I1306">
        <v>7</v>
      </c>
      <c r="J1306">
        <v>530.25</v>
      </c>
      <c r="K1306">
        <v>0</v>
      </c>
      <c r="L1306" t="s">
        <v>210</v>
      </c>
      <c r="M1306">
        <v>1</v>
      </c>
    </row>
    <row r="1307" spans="1:13" x14ac:dyDescent="0.3">
      <c r="A1307" t="s">
        <v>1516</v>
      </c>
      <c r="B1307">
        <v>81</v>
      </c>
      <c r="C1307" s="1">
        <v>44930</v>
      </c>
      <c r="D1307">
        <v>2023</v>
      </c>
      <c r="E1307" t="s">
        <v>287</v>
      </c>
      <c r="F1307" t="s">
        <v>209</v>
      </c>
      <c r="G1307" t="s">
        <v>212</v>
      </c>
      <c r="H1307" t="s">
        <v>206</v>
      </c>
      <c r="I1307">
        <v>8</v>
      </c>
      <c r="J1307">
        <v>16.52</v>
      </c>
      <c r="K1307">
        <v>0</v>
      </c>
      <c r="L1307" t="s">
        <v>210</v>
      </c>
      <c r="M1307">
        <v>1</v>
      </c>
    </row>
    <row r="1308" spans="1:13" x14ac:dyDescent="0.3">
      <c r="A1308" t="s">
        <v>1517</v>
      </c>
      <c r="B1308">
        <v>81</v>
      </c>
      <c r="C1308" s="1">
        <v>45574</v>
      </c>
      <c r="D1308">
        <v>2024</v>
      </c>
      <c r="E1308" t="s">
        <v>219</v>
      </c>
      <c r="F1308" t="s">
        <v>209</v>
      </c>
      <c r="G1308" t="s">
        <v>212</v>
      </c>
      <c r="H1308" t="s">
        <v>192</v>
      </c>
      <c r="I1308">
        <v>3</v>
      </c>
      <c r="J1308">
        <v>138.97</v>
      </c>
      <c r="K1308">
        <v>0</v>
      </c>
      <c r="L1308" t="s">
        <v>215</v>
      </c>
      <c r="M1308">
        <v>1</v>
      </c>
    </row>
    <row r="1309" spans="1:13" x14ac:dyDescent="0.3">
      <c r="A1309" t="s">
        <v>1518</v>
      </c>
      <c r="B1309">
        <v>81</v>
      </c>
      <c r="C1309" s="1">
        <v>45610</v>
      </c>
      <c r="D1309">
        <v>2024</v>
      </c>
      <c r="E1309" t="s">
        <v>190</v>
      </c>
      <c r="F1309" t="s">
        <v>12</v>
      </c>
      <c r="G1309" t="s">
        <v>203</v>
      </c>
      <c r="H1309" t="s">
        <v>195</v>
      </c>
      <c r="I1309">
        <v>1</v>
      </c>
      <c r="J1309">
        <v>916.85</v>
      </c>
      <c r="K1309">
        <v>0</v>
      </c>
      <c r="L1309" t="s">
        <v>196</v>
      </c>
      <c r="M1309">
        <v>0</v>
      </c>
    </row>
    <row r="1310" spans="1:13" x14ac:dyDescent="0.3">
      <c r="A1310" t="s">
        <v>1519</v>
      </c>
      <c r="B1310">
        <v>81</v>
      </c>
      <c r="C1310" s="1">
        <v>45635</v>
      </c>
      <c r="D1310">
        <v>2024</v>
      </c>
      <c r="E1310" t="s">
        <v>214</v>
      </c>
      <c r="F1310" t="s">
        <v>209</v>
      </c>
      <c r="G1310" t="s">
        <v>200</v>
      </c>
      <c r="H1310" t="s">
        <v>195</v>
      </c>
      <c r="I1310">
        <v>12</v>
      </c>
      <c r="J1310">
        <v>360.3</v>
      </c>
      <c r="K1310">
        <v>0</v>
      </c>
      <c r="L1310" t="s">
        <v>215</v>
      </c>
      <c r="M1310">
        <v>1</v>
      </c>
    </row>
    <row r="1311" spans="1:13" x14ac:dyDescent="0.3">
      <c r="A1311" t="s">
        <v>1520</v>
      </c>
      <c r="B1311">
        <v>81</v>
      </c>
      <c r="C1311" s="1">
        <v>45701</v>
      </c>
      <c r="D1311">
        <v>2025</v>
      </c>
      <c r="E1311" t="s">
        <v>198</v>
      </c>
      <c r="F1311" t="s">
        <v>12</v>
      </c>
      <c r="G1311" t="s">
        <v>212</v>
      </c>
      <c r="H1311" t="s">
        <v>195</v>
      </c>
      <c r="I1311">
        <v>7</v>
      </c>
      <c r="J1311">
        <v>1214.57</v>
      </c>
      <c r="K1311">
        <v>1</v>
      </c>
      <c r="L1311" t="s">
        <v>196</v>
      </c>
      <c r="M1311">
        <v>1</v>
      </c>
    </row>
    <row r="1312" spans="1:13" x14ac:dyDescent="0.3">
      <c r="A1312" t="s">
        <v>1521</v>
      </c>
      <c r="B1312">
        <v>81</v>
      </c>
      <c r="C1312" s="1">
        <v>45718</v>
      </c>
      <c r="D1312">
        <v>2025</v>
      </c>
      <c r="E1312" t="s">
        <v>198</v>
      </c>
      <c r="F1312" t="s">
        <v>13</v>
      </c>
      <c r="G1312" t="s">
        <v>191</v>
      </c>
      <c r="H1312" t="s">
        <v>195</v>
      </c>
      <c r="I1312">
        <v>11</v>
      </c>
      <c r="J1312">
        <v>3777.49</v>
      </c>
      <c r="K1312">
        <v>1</v>
      </c>
      <c r="L1312" t="s">
        <v>196</v>
      </c>
      <c r="M1312">
        <v>0</v>
      </c>
    </row>
    <row r="1313" spans="1:13" x14ac:dyDescent="0.3">
      <c r="A1313" t="s">
        <v>1522</v>
      </c>
      <c r="B1313">
        <v>81</v>
      </c>
      <c r="C1313" s="1">
        <v>45708</v>
      </c>
      <c r="D1313">
        <v>2025</v>
      </c>
      <c r="E1313" t="s">
        <v>214</v>
      </c>
      <c r="F1313" t="s">
        <v>12</v>
      </c>
      <c r="G1313" t="s">
        <v>212</v>
      </c>
      <c r="H1313" t="s">
        <v>192</v>
      </c>
      <c r="I1313">
        <v>7</v>
      </c>
      <c r="J1313">
        <v>1369.15</v>
      </c>
      <c r="K1313">
        <v>0</v>
      </c>
      <c r="L1313" t="s">
        <v>215</v>
      </c>
      <c r="M1313">
        <v>1</v>
      </c>
    </row>
    <row r="1314" spans="1:13" x14ac:dyDescent="0.3">
      <c r="A1314" t="s">
        <v>1523</v>
      </c>
      <c r="B1314">
        <v>81</v>
      </c>
      <c r="C1314" s="1">
        <v>45782</v>
      </c>
      <c r="D1314">
        <v>2025</v>
      </c>
      <c r="E1314" t="s">
        <v>214</v>
      </c>
      <c r="F1314" t="s">
        <v>12</v>
      </c>
      <c r="G1314" t="s">
        <v>212</v>
      </c>
      <c r="H1314" t="s">
        <v>206</v>
      </c>
      <c r="I1314">
        <v>18</v>
      </c>
      <c r="J1314">
        <v>1089.1199999999999</v>
      </c>
      <c r="K1314">
        <v>0</v>
      </c>
      <c r="L1314" t="s">
        <v>193</v>
      </c>
      <c r="M1314">
        <v>1</v>
      </c>
    </row>
    <row r="1315" spans="1:13" x14ac:dyDescent="0.3">
      <c r="A1315" t="s">
        <v>1524</v>
      </c>
      <c r="B1315">
        <v>82</v>
      </c>
      <c r="C1315" s="1">
        <v>44234</v>
      </c>
      <c r="D1315">
        <v>2021</v>
      </c>
      <c r="E1315" t="s">
        <v>287</v>
      </c>
      <c r="F1315" t="s">
        <v>12</v>
      </c>
      <c r="G1315" t="s">
        <v>200</v>
      </c>
      <c r="H1315" t="s">
        <v>192</v>
      </c>
      <c r="I1315">
        <v>2</v>
      </c>
      <c r="J1315">
        <v>373.6</v>
      </c>
      <c r="K1315">
        <v>0</v>
      </c>
      <c r="L1315" t="s">
        <v>210</v>
      </c>
      <c r="M1315">
        <v>0</v>
      </c>
    </row>
    <row r="1316" spans="1:13" x14ac:dyDescent="0.3">
      <c r="A1316" t="s">
        <v>1525</v>
      </c>
      <c r="B1316">
        <v>82</v>
      </c>
      <c r="C1316" s="1">
        <v>44291</v>
      </c>
      <c r="D1316">
        <v>2021</v>
      </c>
      <c r="E1316" t="s">
        <v>190</v>
      </c>
      <c r="F1316" t="s">
        <v>209</v>
      </c>
      <c r="G1316" t="s">
        <v>212</v>
      </c>
      <c r="H1316" t="s">
        <v>192</v>
      </c>
      <c r="I1316">
        <v>5</v>
      </c>
      <c r="J1316">
        <v>490.15</v>
      </c>
      <c r="K1316">
        <v>0</v>
      </c>
      <c r="L1316" t="s">
        <v>210</v>
      </c>
      <c r="M1316">
        <v>1</v>
      </c>
    </row>
    <row r="1317" spans="1:13" x14ac:dyDescent="0.3">
      <c r="A1317" t="s">
        <v>1526</v>
      </c>
      <c r="B1317">
        <v>82</v>
      </c>
      <c r="C1317" s="1">
        <v>44430</v>
      </c>
      <c r="D1317">
        <v>2021</v>
      </c>
      <c r="E1317" t="s">
        <v>198</v>
      </c>
      <c r="F1317" t="s">
        <v>209</v>
      </c>
      <c r="G1317" t="s">
        <v>212</v>
      </c>
      <c r="H1317" t="s">
        <v>195</v>
      </c>
      <c r="I1317">
        <v>11</v>
      </c>
      <c r="J1317">
        <v>173.6</v>
      </c>
      <c r="K1317">
        <v>1</v>
      </c>
      <c r="L1317" t="s">
        <v>210</v>
      </c>
      <c r="M1317">
        <v>1</v>
      </c>
    </row>
    <row r="1318" spans="1:13" x14ac:dyDescent="0.3">
      <c r="A1318" t="s">
        <v>1527</v>
      </c>
      <c r="B1318">
        <v>82</v>
      </c>
      <c r="C1318" s="1">
        <v>44875</v>
      </c>
      <c r="D1318">
        <v>2022</v>
      </c>
      <c r="E1318" t="s">
        <v>225</v>
      </c>
      <c r="F1318" t="s">
        <v>13</v>
      </c>
      <c r="G1318" t="s">
        <v>191</v>
      </c>
      <c r="H1318" t="s">
        <v>195</v>
      </c>
      <c r="I1318">
        <v>6</v>
      </c>
      <c r="J1318">
        <v>3788.31</v>
      </c>
      <c r="K1318">
        <v>0</v>
      </c>
      <c r="L1318" t="s">
        <v>215</v>
      </c>
      <c r="M1318">
        <v>1</v>
      </c>
    </row>
    <row r="1319" spans="1:13" x14ac:dyDescent="0.3">
      <c r="A1319" t="s">
        <v>1528</v>
      </c>
      <c r="B1319">
        <v>82</v>
      </c>
      <c r="C1319" s="1">
        <v>44728</v>
      </c>
      <c r="D1319">
        <v>2022</v>
      </c>
      <c r="E1319" t="s">
        <v>225</v>
      </c>
      <c r="F1319" t="s">
        <v>13</v>
      </c>
      <c r="G1319" t="s">
        <v>200</v>
      </c>
      <c r="H1319" t="s">
        <v>192</v>
      </c>
      <c r="I1319">
        <v>1</v>
      </c>
      <c r="J1319">
        <v>2662.32</v>
      </c>
      <c r="K1319">
        <v>0</v>
      </c>
      <c r="L1319" t="s">
        <v>215</v>
      </c>
      <c r="M1319">
        <v>0</v>
      </c>
    </row>
    <row r="1320" spans="1:13" x14ac:dyDescent="0.3">
      <c r="A1320" t="s">
        <v>1529</v>
      </c>
      <c r="B1320">
        <v>82</v>
      </c>
      <c r="C1320" s="1">
        <v>45203</v>
      </c>
      <c r="D1320">
        <v>2023</v>
      </c>
      <c r="E1320" t="s">
        <v>225</v>
      </c>
      <c r="F1320" t="s">
        <v>13</v>
      </c>
      <c r="G1320" t="s">
        <v>200</v>
      </c>
      <c r="H1320" t="s">
        <v>195</v>
      </c>
      <c r="I1320">
        <v>2</v>
      </c>
      <c r="J1320">
        <v>1356.91</v>
      </c>
      <c r="K1320">
        <v>0</v>
      </c>
      <c r="L1320" t="s">
        <v>193</v>
      </c>
      <c r="M1320">
        <v>1</v>
      </c>
    </row>
    <row r="1321" spans="1:13" x14ac:dyDescent="0.3">
      <c r="A1321" t="s">
        <v>1530</v>
      </c>
      <c r="B1321">
        <v>82</v>
      </c>
      <c r="C1321" s="1">
        <v>44968</v>
      </c>
      <c r="D1321">
        <v>2023</v>
      </c>
      <c r="E1321" t="s">
        <v>198</v>
      </c>
      <c r="F1321" t="s">
        <v>199</v>
      </c>
      <c r="G1321" t="s">
        <v>191</v>
      </c>
      <c r="H1321" t="s">
        <v>206</v>
      </c>
      <c r="I1321">
        <v>15</v>
      </c>
      <c r="J1321">
        <v>2865.36</v>
      </c>
      <c r="K1321">
        <v>1</v>
      </c>
      <c r="L1321" t="s">
        <v>201</v>
      </c>
      <c r="M1321">
        <v>0</v>
      </c>
    </row>
    <row r="1322" spans="1:13" x14ac:dyDescent="0.3">
      <c r="A1322" t="s">
        <v>1531</v>
      </c>
      <c r="B1322">
        <v>82</v>
      </c>
      <c r="C1322" s="1">
        <v>45083</v>
      </c>
      <c r="D1322">
        <v>2023</v>
      </c>
      <c r="E1322" t="s">
        <v>219</v>
      </c>
      <c r="F1322" t="s">
        <v>199</v>
      </c>
      <c r="G1322" t="s">
        <v>203</v>
      </c>
      <c r="H1322" t="s">
        <v>204</v>
      </c>
      <c r="I1322">
        <v>11</v>
      </c>
      <c r="J1322">
        <v>2857.53</v>
      </c>
      <c r="K1322">
        <v>1</v>
      </c>
      <c r="L1322" t="s">
        <v>196</v>
      </c>
      <c r="M1322">
        <v>0</v>
      </c>
    </row>
    <row r="1323" spans="1:13" x14ac:dyDescent="0.3">
      <c r="A1323" t="s">
        <v>1532</v>
      </c>
      <c r="B1323">
        <v>82</v>
      </c>
      <c r="C1323" s="1">
        <v>45208</v>
      </c>
      <c r="D1323">
        <v>2023</v>
      </c>
      <c r="E1323" t="s">
        <v>198</v>
      </c>
      <c r="F1323" t="s">
        <v>199</v>
      </c>
      <c r="G1323" t="s">
        <v>203</v>
      </c>
      <c r="H1323" t="s">
        <v>192</v>
      </c>
      <c r="I1323">
        <v>2</v>
      </c>
      <c r="J1323">
        <v>5788.36</v>
      </c>
      <c r="K1323">
        <v>1</v>
      </c>
      <c r="L1323" t="s">
        <v>210</v>
      </c>
      <c r="M1323">
        <v>0</v>
      </c>
    </row>
    <row r="1324" spans="1:13" x14ac:dyDescent="0.3">
      <c r="A1324" t="s">
        <v>1533</v>
      </c>
      <c r="B1324">
        <v>82</v>
      </c>
      <c r="C1324" s="1">
        <v>45253</v>
      </c>
      <c r="D1324">
        <v>2023</v>
      </c>
      <c r="E1324" t="s">
        <v>225</v>
      </c>
      <c r="F1324" t="s">
        <v>12</v>
      </c>
      <c r="G1324" t="s">
        <v>212</v>
      </c>
      <c r="H1324" t="s">
        <v>195</v>
      </c>
      <c r="I1324">
        <v>4</v>
      </c>
      <c r="J1324">
        <v>1222.8699999999999</v>
      </c>
      <c r="K1324">
        <v>0</v>
      </c>
      <c r="L1324" t="s">
        <v>201</v>
      </c>
      <c r="M1324">
        <v>1</v>
      </c>
    </row>
    <row r="1325" spans="1:13" x14ac:dyDescent="0.3">
      <c r="A1325" t="s">
        <v>1534</v>
      </c>
      <c r="B1325">
        <v>82</v>
      </c>
      <c r="C1325" s="1">
        <v>45525</v>
      </c>
      <c r="D1325">
        <v>2024</v>
      </c>
      <c r="E1325" t="s">
        <v>214</v>
      </c>
      <c r="F1325" t="s">
        <v>12</v>
      </c>
      <c r="G1325" t="s">
        <v>212</v>
      </c>
      <c r="H1325" t="s">
        <v>195</v>
      </c>
      <c r="I1325">
        <v>1</v>
      </c>
      <c r="J1325">
        <v>728.48</v>
      </c>
      <c r="K1325">
        <v>1</v>
      </c>
      <c r="L1325" t="s">
        <v>215</v>
      </c>
      <c r="M1325">
        <v>1</v>
      </c>
    </row>
    <row r="1326" spans="1:13" x14ac:dyDescent="0.3">
      <c r="A1326" t="s">
        <v>1535</v>
      </c>
      <c r="B1326">
        <v>82</v>
      </c>
      <c r="C1326" s="1">
        <v>45294</v>
      </c>
      <c r="D1326">
        <v>2024</v>
      </c>
      <c r="E1326" t="s">
        <v>190</v>
      </c>
      <c r="F1326" t="s">
        <v>199</v>
      </c>
      <c r="G1326" t="s">
        <v>203</v>
      </c>
      <c r="H1326" t="s">
        <v>204</v>
      </c>
      <c r="I1326">
        <v>15</v>
      </c>
      <c r="J1326">
        <v>4579.3999999999996</v>
      </c>
      <c r="K1326">
        <v>1</v>
      </c>
      <c r="L1326" t="s">
        <v>210</v>
      </c>
      <c r="M1326">
        <v>1</v>
      </c>
    </row>
    <row r="1327" spans="1:13" x14ac:dyDescent="0.3">
      <c r="A1327" t="s">
        <v>1536</v>
      </c>
      <c r="B1327">
        <v>82</v>
      </c>
      <c r="C1327" s="1">
        <v>45414</v>
      </c>
      <c r="D1327">
        <v>2024</v>
      </c>
      <c r="E1327" t="s">
        <v>219</v>
      </c>
      <c r="F1327" t="s">
        <v>13</v>
      </c>
      <c r="G1327" t="s">
        <v>200</v>
      </c>
      <c r="H1327" t="s">
        <v>195</v>
      </c>
      <c r="I1327">
        <v>9</v>
      </c>
      <c r="J1327">
        <v>3941.4</v>
      </c>
      <c r="K1327">
        <v>1</v>
      </c>
      <c r="L1327" t="s">
        <v>210</v>
      </c>
      <c r="M1327">
        <v>0</v>
      </c>
    </row>
    <row r="1328" spans="1:13" x14ac:dyDescent="0.3">
      <c r="A1328" t="s">
        <v>1537</v>
      </c>
      <c r="B1328">
        <v>82</v>
      </c>
      <c r="C1328" s="1">
        <v>45438</v>
      </c>
      <c r="D1328">
        <v>2024</v>
      </c>
      <c r="E1328" t="s">
        <v>214</v>
      </c>
      <c r="F1328" t="s">
        <v>13</v>
      </c>
      <c r="G1328" t="s">
        <v>203</v>
      </c>
      <c r="H1328" t="s">
        <v>195</v>
      </c>
      <c r="I1328">
        <v>14</v>
      </c>
      <c r="J1328">
        <v>3160.35</v>
      </c>
      <c r="K1328">
        <v>1</v>
      </c>
      <c r="L1328" t="s">
        <v>201</v>
      </c>
      <c r="M1328">
        <v>0</v>
      </c>
    </row>
    <row r="1329" spans="1:13" x14ac:dyDescent="0.3">
      <c r="A1329" t="s">
        <v>1538</v>
      </c>
      <c r="B1329">
        <v>82</v>
      </c>
      <c r="C1329" s="1">
        <v>45752</v>
      </c>
      <c r="D1329">
        <v>2025</v>
      </c>
      <c r="E1329" t="s">
        <v>214</v>
      </c>
      <c r="F1329" t="s">
        <v>13</v>
      </c>
      <c r="G1329" t="s">
        <v>212</v>
      </c>
      <c r="H1329" t="s">
        <v>206</v>
      </c>
      <c r="I1329">
        <v>7</v>
      </c>
      <c r="J1329">
        <v>3598.98</v>
      </c>
      <c r="K1329">
        <v>1</v>
      </c>
      <c r="L1329" t="s">
        <v>193</v>
      </c>
      <c r="M1329">
        <v>1</v>
      </c>
    </row>
    <row r="1330" spans="1:13" x14ac:dyDescent="0.3">
      <c r="A1330" t="s">
        <v>1539</v>
      </c>
      <c r="B1330">
        <v>82</v>
      </c>
      <c r="C1330" s="1">
        <v>45949</v>
      </c>
      <c r="D1330">
        <v>2025</v>
      </c>
      <c r="E1330" t="s">
        <v>214</v>
      </c>
      <c r="F1330" t="s">
        <v>12</v>
      </c>
      <c r="G1330" t="s">
        <v>203</v>
      </c>
      <c r="H1330" t="s">
        <v>195</v>
      </c>
      <c r="I1330">
        <v>14</v>
      </c>
      <c r="J1330">
        <v>394.78</v>
      </c>
      <c r="K1330">
        <v>1</v>
      </c>
      <c r="L1330" t="s">
        <v>193</v>
      </c>
      <c r="M1330">
        <v>1</v>
      </c>
    </row>
    <row r="1331" spans="1:13" x14ac:dyDescent="0.3">
      <c r="A1331" t="s">
        <v>1540</v>
      </c>
      <c r="B1331">
        <v>82</v>
      </c>
      <c r="C1331" s="1">
        <v>45759</v>
      </c>
      <c r="D1331">
        <v>2025</v>
      </c>
      <c r="E1331" t="s">
        <v>190</v>
      </c>
      <c r="F1331" t="s">
        <v>199</v>
      </c>
      <c r="G1331" t="s">
        <v>203</v>
      </c>
      <c r="H1331" t="s">
        <v>195</v>
      </c>
      <c r="I1331">
        <v>14</v>
      </c>
      <c r="J1331">
        <v>4936.4799999999996</v>
      </c>
      <c r="K1331">
        <v>1</v>
      </c>
      <c r="L1331" t="s">
        <v>196</v>
      </c>
      <c r="M1331">
        <v>0</v>
      </c>
    </row>
    <row r="1332" spans="1:13" x14ac:dyDescent="0.3">
      <c r="A1332" t="s">
        <v>1541</v>
      </c>
      <c r="B1332">
        <v>82</v>
      </c>
      <c r="C1332" s="1">
        <v>45743</v>
      </c>
      <c r="D1332">
        <v>2025</v>
      </c>
      <c r="E1332" t="s">
        <v>198</v>
      </c>
      <c r="F1332" t="s">
        <v>199</v>
      </c>
      <c r="G1332" t="s">
        <v>203</v>
      </c>
      <c r="H1332" t="s">
        <v>195</v>
      </c>
      <c r="I1332">
        <v>9</v>
      </c>
      <c r="J1332">
        <v>7648.05</v>
      </c>
      <c r="K1332">
        <v>1</v>
      </c>
      <c r="L1332" t="s">
        <v>196</v>
      </c>
      <c r="M1332">
        <v>1</v>
      </c>
    </row>
    <row r="1333" spans="1:13" x14ac:dyDescent="0.3">
      <c r="A1333" t="s">
        <v>1542</v>
      </c>
      <c r="B1333">
        <v>83</v>
      </c>
      <c r="C1333" s="1">
        <v>44447</v>
      </c>
      <c r="D1333">
        <v>2021</v>
      </c>
      <c r="E1333" t="s">
        <v>198</v>
      </c>
      <c r="F1333" t="s">
        <v>199</v>
      </c>
      <c r="G1333" t="s">
        <v>200</v>
      </c>
      <c r="H1333" t="s">
        <v>195</v>
      </c>
      <c r="I1333">
        <v>6</v>
      </c>
      <c r="J1333">
        <v>7422.25</v>
      </c>
      <c r="K1333">
        <v>1</v>
      </c>
      <c r="L1333" t="s">
        <v>201</v>
      </c>
      <c r="M1333">
        <v>1</v>
      </c>
    </row>
    <row r="1334" spans="1:13" x14ac:dyDescent="0.3">
      <c r="A1334" t="s">
        <v>1543</v>
      </c>
      <c r="B1334">
        <v>83</v>
      </c>
      <c r="C1334" s="1">
        <v>44355</v>
      </c>
      <c r="D1334">
        <v>2021</v>
      </c>
      <c r="E1334" t="s">
        <v>219</v>
      </c>
      <c r="F1334" t="s">
        <v>199</v>
      </c>
      <c r="G1334" t="s">
        <v>191</v>
      </c>
      <c r="H1334" t="s">
        <v>204</v>
      </c>
      <c r="I1334">
        <v>6</v>
      </c>
      <c r="J1334">
        <v>3025.84</v>
      </c>
      <c r="K1334">
        <v>1</v>
      </c>
      <c r="L1334" t="s">
        <v>196</v>
      </c>
      <c r="M1334">
        <v>0</v>
      </c>
    </row>
    <row r="1335" spans="1:13" x14ac:dyDescent="0.3">
      <c r="A1335" t="s">
        <v>1544</v>
      </c>
      <c r="B1335">
        <v>83</v>
      </c>
      <c r="C1335" s="1">
        <v>44418</v>
      </c>
      <c r="D1335">
        <v>2021</v>
      </c>
      <c r="E1335" t="s">
        <v>190</v>
      </c>
      <c r="F1335" t="s">
        <v>13</v>
      </c>
      <c r="G1335" t="s">
        <v>212</v>
      </c>
      <c r="H1335" t="s">
        <v>195</v>
      </c>
      <c r="I1335">
        <v>8</v>
      </c>
      <c r="J1335">
        <v>3779.02</v>
      </c>
      <c r="K1335">
        <v>1</v>
      </c>
      <c r="L1335" t="s">
        <v>193</v>
      </c>
      <c r="M1335">
        <v>1</v>
      </c>
    </row>
    <row r="1336" spans="1:13" x14ac:dyDescent="0.3">
      <c r="A1336" t="s">
        <v>1545</v>
      </c>
      <c r="B1336">
        <v>83</v>
      </c>
      <c r="C1336" s="1">
        <v>44363</v>
      </c>
      <c r="D1336">
        <v>2021</v>
      </c>
      <c r="E1336" t="s">
        <v>219</v>
      </c>
      <c r="F1336" t="s">
        <v>13</v>
      </c>
      <c r="G1336" t="s">
        <v>191</v>
      </c>
      <c r="H1336" t="s">
        <v>195</v>
      </c>
      <c r="I1336">
        <v>3</v>
      </c>
      <c r="J1336">
        <v>2755.55</v>
      </c>
      <c r="K1336">
        <v>1</v>
      </c>
      <c r="L1336" t="s">
        <v>193</v>
      </c>
      <c r="M1336">
        <v>0</v>
      </c>
    </row>
    <row r="1337" spans="1:13" x14ac:dyDescent="0.3">
      <c r="A1337" t="s">
        <v>1546</v>
      </c>
      <c r="B1337">
        <v>83</v>
      </c>
      <c r="C1337" s="1">
        <v>44520</v>
      </c>
      <c r="D1337">
        <v>2021</v>
      </c>
      <c r="E1337" t="s">
        <v>190</v>
      </c>
      <c r="F1337" t="s">
        <v>12</v>
      </c>
      <c r="G1337" t="s">
        <v>203</v>
      </c>
      <c r="H1337" t="s">
        <v>195</v>
      </c>
      <c r="I1337">
        <v>15</v>
      </c>
      <c r="J1337">
        <v>995.33</v>
      </c>
      <c r="K1337">
        <v>0</v>
      </c>
      <c r="L1337" t="s">
        <v>210</v>
      </c>
      <c r="M1337">
        <v>0</v>
      </c>
    </row>
    <row r="1338" spans="1:13" x14ac:dyDescent="0.3">
      <c r="A1338" t="s">
        <v>1547</v>
      </c>
      <c r="B1338">
        <v>83</v>
      </c>
      <c r="C1338" s="1">
        <v>44363</v>
      </c>
      <c r="D1338">
        <v>2021</v>
      </c>
      <c r="E1338" t="s">
        <v>219</v>
      </c>
      <c r="F1338" t="s">
        <v>12</v>
      </c>
      <c r="G1338" t="s">
        <v>212</v>
      </c>
      <c r="H1338" t="s">
        <v>204</v>
      </c>
      <c r="I1338">
        <v>15</v>
      </c>
      <c r="J1338">
        <v>969.89</v>
      </c>
      <c r="K1338">
        <v>0</v>
      </c>
      <c r="L1338" t="s">
        <v>215</v>
      </c>
      <c r="M1338">
        <v>1</v>
      </c>
    </row>
    <row r="1339" spans="1:13" x14ac:dyDescent="0.3">
      <c r="A1339" t="s">
        <v>1548</v>
      </c>
      <c r="B1339">
        <v>83</v>
      </c>
      <c r="C1339" s="1">
        <v>44855</v>
      </c>
      <c r="D1339">
        <v>2022</v>
      </c>
      <c r="E1339" t="s">
        <v>214</v>
      </c>
      <c r="F1339" t="s">
        <v>12</v>
      </c>
      <c r="G1339" t="s">
        <v>191</v>
      </c>
      <c r="H1339" t="s">
        <v>195</v>
      </c>
      <c r="I1339">
        <v>7</v>
      </c>
      <c r="J1339">
        <v>1251.25</v>
      </c>
      <c r="K1339">
        <v>0</v>
      </c>
      <c r="L1339" t="s">
        <v>201</v>
      </c>
      <c r="M1339">
        <v>1</v>
      </c>
    </row>
    <row r="1340" spans="1:13" x14ac:dyDescent="0.3">
      <c r="A1340" t="s">
        <v>1549</v>
      </c>
      <c r="B1340">
        <v>83</v>
      </c>
      <c r="C1340" s="1">
        <v>44753</v>
      </c>
      <c r="D1340">
        <v>2022</v>
      </c>
      <c r="E1340" t="s">
        <v>214</v>
      </c>
      <c r="F1340" t="s">
        <v>12</v>
      </c>
      <c r="G1340" t="s">
        <v>212</v>
      </c>
      <c r="H1340" t="s">
        <v>195</v>
      </c>
      <c r="I1340">
        <v>7</v>
      </c>
      <c r="J1340">
        <v>805.07</v>
      </c>
      <c r="K1340">
        <v>0</v>
      </c>
      <c r="L1340" t="s">
        <v>215</v>
      </c>
      <c r="M1340">
        <v>1</v>
      </c>
    </row>
    <row r="1341" spans="1:13" x14ac:dyDescent="0.3">
      <c r="A1341" t="s">
        <v>1550</v>
      </c>
      <c r="B1341">
        <v>83</v>
      </c>
      <c r="C1341" s="1">
        <v>44635</v>
      </c>
      <c r="D1341">
        <v>2022</v>
      </c>
      <c r="E1341" t="s">
        <v>214</v>
      </c>
      <c r="F1341" t="s">
        <v>199</v>
      </c>
      <c r="G1341" t="s">
        <v>203</v>
      </c>
      <c r="H1341" t="s">
        <v>192</v>
      </c>
      <c r="I1341">
        <v>2</v>
      </c>
      <c r="J1341">
        <v>4143.63</v>
      </c>
      <c r="K1341">
        <v>0</v>
      </c>
      <c r="L1341" t="s">
        <v>196</v>
      </c>
      <c r="M1341">
        <v>0</v>
      </c>
    </row>
    <row r="1342" spans="1:13" x14ac:dyDescent="0.3">
      <c r="A1342" t="s">
        <v>1551</v>
      </c>
      <c r="B1342">
        <v>83</v>
      </c>
      <c r="C1342" s="1">
        <v>44866</v>
      </c>
      <c r="D1342">
        <v>2022</v>
      </c>
      <c r="E1342" t="s">
        <v>219</v>
      </c>
      <c r="F1342" t="s">
        <v>12</v>
      </c>
      <c r="G1342" t="s">
        <v>212</v>
      </c>
      <c r="H1342" t="s">
        <v>204</v>
      </c>
      <c r="I1342">
        <v>7</v>
      </c>
      <c r="J1342">
        <v>450.91</v>
      </c>
      <c r="K1342">
        <v>0</v>
      </c>
      <c r="L1342" t="s">
        <v>193</v>
      </c>
      <c r="M1342">
        <v>1</v>
      </c>
    </row>
    <row r="1343" spans="1:13" x14ac:dyDescent="0.3">
      <c r="A1343" t="s">
        <v>1552</v>
      </c>
      <c r="B1343">
        <v>83</v>
      </c>
      <c r="C1343" s="1">
        <v>44691</v>
      </c>
      <c r="D1343">
        <v>2022</v>
      </c>
      <c r="E1343" t="s">
        <v>214</v>
      </c>
      <c r="F1343" t="s">
        <v>199</v>
      </c>
      <c r="G1343" t="s">
        <v>191</v>
      </c>
      <c r="H1343" t="s">
        <v>192</v>
      </c>
      <c r="I1343">
        <v>9</v>
      </c>
      <c r="J1343">
        <v>6914.89</v>
      </c>
      <c r="K1343">
        <v>0</v>
      </c>
      <c r="L1343" t="s">
        <v>201</v>
      </c>
      <c r="M1343">
        <v>0</v>
      </c>
    </row>
    <row r="1344" spans="1:13" x14ac:dyDescent="0.3">
      <c r="A1344" t="s">
        <v>1553</v>
      </c>
      <c r="B1344">
        <v>83</v>
      </c>
      <c r="C1344" s="1">
        <v>44675</v>
      </c>
      <c r="D1344">
        <v>2022</v>
      </c>
      <c r="E1344" t="s">
        <v>214</v>
      </c>
      <c r="F1344" t="s">
        <v>12</v>
      </c>
      <c r="G1344" t="s">
        <v>203</v>
      </c>
      <c r="H1344" t="s">
        <v>195</v>
      </c>
      <c r="I1344">
        <v>8</v>
      </c>
      <c r="J1344">
        <v>1208.49</v>
      </c>
      <c r="K1344">
        <v>0</v>
      </c>
      <c r="L1344" t="s">
        <v>201</v>
      </c>
      <c r="M1344">
        <v>0</v>
      </c>
    </row>
    <row r="1345" spans="1:13" x14ac:dyDescent="0.3">
      <c r="A1345" t="s">
        <v>1554</v>
      </c>
      <c r="B1345">
        <v>83</v>
      </c>
      <c r="C1345" s="1">
        <v>45271</v>
      </c>
      <c r="D1345">
        <v>2023</v>
      </c>
      <c r="E1345" t="s">
        <v>287</v>
      </c>
      <c r="F1345" t="s">
        <v>199</v>
      </c>
      <c r="G1345" t="s">
        <v>203</v>
      </c>
      <c r="H1345" t="s">
        <v>195</v>
      </c>
      <c r="I1345">
        <v>4</v>
      </c>
      <c r="J1345">
        <v>5717.27</v>
      </c>
      <c r="K1345">
        <v>1</v>
      </c>
      <c r="L1345" t="s">
        <v>196</v>
      </c>
      <c r="M1345">
        <v>0</v>
      </c>
    </row>
    <row r="1346" spans="1:13" x14ac:dyDescent="0.3">
      <c r="A1346" t="s">
        <v>1555</v>
      </c>
      <c r="B1346">
        <v>83</v>
      </c>
      <c r="C1346" s="1">
        <v>45108</v>
      </c>
      <c r="D1346">
        <v>2023</v>
      </c>
      <c r="E1346" t="s">
        <v>198</v>
      </c>
      <c r="F1346" t="s">
        <v>13</v>
      </c>
      <c r="G1346" t="s">
        <v>191</v>
      </c>
      <c r="H1346" t="s">
        <v>204</v>
      </c>
      <c r="I1346">
        <v>7</v>
      </c>
      <c r="J1346">
        <v>2971.48</v>
      </c>
      <c r="K1346">
        <v>1</v>
      </c>
      <c r="L1346" t="s">
        <v>201</v>
      </c>
      <c r="M1346">
        <v>0</v>
      </c>
    </row>
    <row r="1347" spans="1:13" x14ac:dyDescent="0.3">
      <c r="A1347" t="s">
        <v>1556</v>
      </c>
      <c r="B1347">
        <v>83</v>
      </c>
      <c r="C1347" s="1">
        <v>45083</v>
      </c>
      <c r="D1347">
        <v>2023</v>
      </c>
      <c r="E1347" t="s">
        <v>198</v>
      </c>
      <c r="F1347" t="s">
        <v>13</v>
      </c>
      <c r="G1347" t="s">
        <v>212</v>
      </c>
      <c r="H1347" t="s">
        <v>192</v>
      </c>
      <c r="I1347">
        <v>4</v>
      </c>
      <c r="J1347">
        <v>1838.6</v>
      </c>
      <c r="K1347">
        <v>1</v>
      </c>
      <c r="L1347" t="s">
        <v>201</v>
      </c>
      <c r="M1347">
        <v>1</v>
      </c>
    </row>
    <row r="1348" spans="1:13" x14ac:dyDescent="0.3">
      <c r="A1348" t="s">
        <v>1557</v>
      </c>
      <c r="B1348">
        <v>83</v>
      </c>
      <c r="C1348" s="1">
        <v>45479</v>
      </c>
      <c r="D1348">
        <v>2024</v>
      </c>
      <c r="E1348" t="s">
        <v>219</v>
      </c>
      <c r="F1348" t="s">
        <v>13</v>
      </c>
      <c r="G1348" t="s">
        <v>200</v>
      </c>
      <c r="H1348" t="s">
        <v>195</v>
      </c>
      <c r="I1348">
        <v>3</v>
      </c>
      <c r="J1348">
        <v>1470.92</v>
      </c>
      <c r="K1348">
        <v>0</v>
      </c>
      <c r="L1348" t="s">
        <v>201</v>
      </c>
      <c r="M1348">
        <v>0</v>
      </c>
    </row>
    <row r="1349" spans="1:13" x14ac:dyDescent="0.3">
      <c r="A1349" t="s">
        <v>1558</v>
      </c>
      <c r="B1349">
        <v>83</v>
      </c>
      <c r="C1349" s="1">
        <v>45488</v>
      </c>
      <c r="D1349">
        <v>2024</v>
      </c>
      <c r="E1349" t="s">
        <v>190</v>
      </c>
      <c r="F1349" t="s">
        <v>199</v>
      </c>
      <c r="G1349" t="s">
        <v>203</v>
      </c>
      <c r="H1349" t="s">
        <v>204</v>
      </c>
      <c r="I1349">
        <v>9</v>
      </c>
      <c r="J1349">
        <v>4733.66</v>
      </c>
      <c r="K1349">
        <v>0</v>
      </c>
      <c r="L1349" t="s">
        <v>201</v>
      </c>
      <c r="M1349">
        <v>1</v>
      </c>
    </row>
    <row r="1350" spans="1:13" x14ac:dyDescent="0.3">
      <c r="A1350" t="s">
        <v>1559</v>
      </c>
      <c r="B1350">
        <v>83</v>
      </c>
      <c r="C1350" s="1">
        <v>45304</v>
      </c>
      <c r="D1350">
        <v>2024</v>
      </c>
      <c r="E1350" t="s">
        <v>198</v>
      </c>
      <c r="F1350" t="s">
        <v>13</v>
      </c>
      <c r="G1350" t="s">
        <v>191</v>
      </c>
      <c r="H1350" t="s">
        <v>195</v>
      </c>
      <c r="I1350">
        <v>2</v>
      </c>
      <c r="J1350">
        <v>1691.88</v>
      </c>
      <c r="K1350">
        <v>1</v>
      </c>
      <c r="L1350" t="s">
        <v>201</v>
      </c>
      <c r="M1350">
        <v>0</v>
      </c>
    </row>
    <row r="1351" spans="1:13" x14ac:dyDescent="0.3">
      <c r="A1351" t="s">
        <v>1560</v>
      </c>
      <c r="B1351">
        <v>83</v>
      </c>
      <c r="C1351" s="1">
        <v>45444</v>
      </c>
      <c r="D1351">
        <v>2024</v>
      </c>
      <c r="E1351" t="s">
        <v>198</v>
      </c>
      <c r="F1351" t="s">
        <v>13</v>
      </c>
      <c r="G1351" t="s">
        <v>200</v>
      </c>
      <c r="H1351" t="s">
        <v>195</v>
      </c>
      <c r="I1351">
        <v>5</v>
      </c>
      <c r="J1351">
        <v>1730.56</v>
      </c>
      <c r="K1351">
        <v>1</v>
      </c>
      <c r="L1351" t="s">
        <v>201</v>
      </c>
      <c r="M1351">
        <v>0</v>
      </c>
    </row>
    <row r="1352" spans="1:13" x14ac:dyDescent="0.3">
      <c r="A1352" t="s">
        <v>1561</v>
      </c>
      <c r="B1352">
        <v>83</v>
      </c>
      <c r="C1352" s="1">
        <v>45342</v>
      </c>
      <c r="D1352">
        <v>2024</v>
      </c>
      <c r="E1352" t="s">
        <v>198</v>
      </c>
      <c r="F1352" t="s">
        <v>199</v>
      </c>
      <c r="G1352" t="s">
        <v>203</v>
      </c>
      <c r="H1352" t="s">
        <v>195</v>
      </c>
      <c r="I1352">
        <v>13</v>
      </c>
      <c r="J1352">
        <v>3513.13</v>
      </c>
      <c r="K1352">
        <v>1</v>
      </c>
      <c r="L1352" t="s">
        <v>193</v>
      </c>
      <c r="M1352">
        <v>0</v>
      </c>
    </row>
    <row r="1353" spans="1:13" x14ac:dyDescent="0.3">
      <c r="A1353" t="s">
        <v>1562</v>
      </c>
      <c r="B1353">
        <v>83</v>
      </c>
      <c r="C1353" s="1">
        <v>45642</v>
      </c>
      <c r="D1353">
        <v>2024</v>
      </c>
      <c r="E1353" t="s">
        <v>198</v>
      </c>
      <c r="F1353" t="s">
        <v>13</v>
      </c>
      <c r="G1353" t="s">
        <v>203</v>
      </c>
      <c r="H1353" t="s">
        <v>195</v>
      </c>
      <c r="I1353">
        <v>18</v>
      </c>
      <c r="J1353">
        <v>1007.37</v>
      </c>
      <c r="K1353">
        <v>1</v>
      </c>
      <c r="L1353" t="s">
        <v>193</v>
      </c>
      <c r="M1353">
        <v>1</v>
      </c>
    </row>
    <row r="1354" spans="1:13" x14ac:dyDescent="0.3">
      <c r="A1354" t="s">
        <v>1563</v>
      </c>
      <c r="B1354">
        <v>83</v>
      </c>
      <c r="C1354" s="1">
        <v>45748</v>
      </c>
      <c r="D1354">
        <v>2025</v>
      </c>
      <c r="E1354" t="s">
        <v>190</v>
      </c>
      <c r="F1354" t="s">
        <v>13</v>
      </c>
      <c r="G1354" t="s">
        <v>200</v>
      </c>
      <c r="H1354" t="s">
        <v>204</v>
      </c>
      <c r="I1354">
        <v>10</v>
      </c>
      <c r="J1354">
        <v>3887.12</v>
      </c>
      <c r="K1354">
        <v>0</v>
      </c>
      <c r="L1354" t="s">
        <v>201</v>
      </c>
      <c r="M1354">
        <v>1</v>
      </c>
    </row>
    <row r="1355" spans="1:13" x14ac:dyDescent="0.3">
      <c r="A1355" t="s">
        <v>1564</v>
      </c>
      <c r="B1355">
        <v>83</v>
      </c>
      <c r="C1355" s="1">
        <v>45925</v>
      </c>
      <c r="D1355">
        <v>2025</v>
      </c>
      <c r="E1355" t="s">
        <v>198</v>
      </c>
      <c r="F1355" t="s">
        <v>199</v>
      </c>
      <c r="G1355" t="s">
        <v>191</v>
      </c>
      <c r="H1355" t="s">
        <v>195</v>
      </c>
      <c r="I1355">
        <v>7</v>
      </c>
      <c r="J1355">
        <v>6803.04</v>
      </c>
      <c r="K1355">
        <v>1</v>
      </c>
      <c r="L1355" t="s">
        <v>193</v>
      </c>
      <c r="M1355">
        <v>1</v>
      </c>
    </row>
    <row r="1356" spans="1:13" x14ac:dyDescent="0.3">
      <c r="A1356" t="s">
        <v>1565</v>
      </c>
      <c r="B1356">
        <v>83</v>
      </c>
      <c r="C1356" s="1">
        <v>45769</v>
      </c>
      <c r="D1356">
        <v>2025</v>
      </c>
      <c r="E1356" t="s">
        <v>198</v>
      </c>
      <c r="F1356" t="s">
        <v>199</v>
      </c>
      <c r="G1356" t="s">
        <v>191</v>
      </c>
      <c r="H1356" t="s">
        <v>195</v>
      </c>
      <c r="I1356">
        <v>9</v>
      </c>
      <c r="J1356">
        <v>4853.5</v>
      </c>
      <c r="K1356">
        <v>1</v>
      </c>
      <c r="L1356" t="s">
        <v>210</v>
      </c>
      <c r="M1356">
        <v>0</v>
      </c>
    </row>
    <row r="1357" spans="1:13" x14ac:dyDescent="0.3">
      <c r="A1357" t="s">
        <v>1566</v>
      </c>
      <c r="B1357">
        <v>83</v>
      </c>
      <c r="C1357" s="1">
        <v>45738</v>
      </c>
      <c r="D1357">
        <v>2025</v>
      </c>
      <c r="E1357" t="s">
        <v>198</v>
      </c>
      <c r="F1357" t="s">
        <v>13</v>
      </c>
      <c r="G1357" t="s">
        <v>212</v>
      </c>
      <c r="H1357" t="s">
        <v>206</v>
      </c>
      <c r="I1357">
        <v>2</v>
      </c>
      <c r="J1357">
        <v>2944.01</v>
      </c>
      <c r="K1357">
        <v>1</v>
      </c>
      <c r="L1357" t="s">
        <v>196</v>
      </c>
      <c r="M1357">
        <v>1</v>
      </c>
    </row>
    <row r="1358" spans="1:13" x14ac:dyDescent="0.3">
      <c r="A1358" t="s">
        <v>1567</v>
      </c>
      <c r="B1358">
        <v>83</v>
      </c>
      <c r="C1358" s="1">
        <v>45964</v>
      </c>
      <c r="D1358">
        <v>2025</v>
      </c>
      <c r="E1358" t="s">
        <v>190</v>
      </c>
      <c r="F1358" t="s">
        <v>12</v>
      </c>
      <c r="G1358" t="s">
        <v>212</v>
      </c>
      <c r="H1358" t="s">
        <v>195</v>
      </c>
      <c r="I1358">
        <v>9</v>
      </c>
      <c r="J1358">
        <v>1099.69</v>
      </c>
      <c r="K1358">
        <v>1</v>
      </c>
      <c r="L1358" t="s">
        <v>193</v>
      </c>
      <c r="M1358">
        <v>1</v>
      </c>
    </row>
    <row r="1359" spans="1:13" x14ac:dyDescent="0.3">
      <c r="A1359" t="s">
        <v>1568</v>
      </c>
      <c r="B1359">
        <v>84</v>
      </c>
      <c r="C1359" s="1">
        <v>44514</v>
      </c>
      <c r="D1359">
        <v>2021</v>
      </c>
      <c r="E1359" t="s">
        <v>214</v>
      </c>
      <c r="F1359" t="s">
        <v>209</v>
      </c>
      <c r="G1359" t="s">
        <v>203</v>
      </c>
      <c r="H1359" t="s">
        <v>206</v>
      </c>
      <c r="I1359">
        <v>3</v>
      </c>
      <c r="J1359">
        <v>73.86</v>
      </c>
      <c r="K1359">
        <v>0</v>
      </c>
      <c r="L1359" t="s">
        <v>210</v>
      </c>
      <c r="M1359">
        <v>1</v>
      </c>
    </row>
    <row r="1360" spans="1:13" x14ac:dyDescent="0.3">
      <c r="A1360" t="s">
        <v>1569</v>
      </c>
      <c r="B1360">
        <v>84</v>
      </c>
      <c r="C1360" s="1">
        <v>44404</v>
      </c>
      <c r="D1360">
        <v>2021</v>
      </c>
      <c r="E1360" t="s">
        <v>219</v>
      </c>
      <c r="F1360" t="s">
        <v>12</v>
      </c>
      <c r="G1360" t="s">
        <v>212</v>
      </c>
      <c r="H1360" t="s">
        <v>206</v>
      </c>
      <c r="I1360">
        <v>2</v>
      </c>
      <c r="J1360">
        <v>525.84</v>
      </c>
      <c r="K1360">
        <v>0</v>
      </c>
      <c r="L1360" t="s">
        <v>201</v>
      </c>
      <c r="M1360">
        <v>1</v>
      </c>
    </row>
    <row r="1361" spans="1:13" x14ac:dyDescent="0.3">
      <c r="A1361" t="s">
        <v>1570</v>
      </c>
      <c r="B1361">
        <v>84</v>
      </c>
      <c r="C1361" s="1">
        <v>44844</v>
      </c>
      <c r="D1361">
        <v>2022</v>
      </c>
      <c r="E1361" t="s">
        <v>214</v>
      </c>
      <c r="F1361" t="s">
        <v>209</v>
      </c>
      <c r="G1361" t="s">
        <v>191</v>
      </c>
      <c r="H1361" t="s">
        <v>192</v>
      </c>
      <c r="I1361">
        <v>4</v>
      </c>
      <c r="J1361">
        <v>498.11</v>
      </c>
      <c r="K1361">
        <v>0</v>
      </c>
      <c r="L1361" t="s">
        <v>215</v>
      </c>
      <c r="M1361">
        <v>1</v>
      </c>
    </row>
    <row r="1362" spans="1:13" x14ac:dyDescent="0.3">
      <c r="A1362" t="s">
        <v>1571</v>
      </c>
      <c r="B1362">
        <v>84</v>
      </c>
      <c r="C1362" s="1">
        <v>45039</v>
      </c>
      <c r="D1362">
        <v>2023</v>
      </c>
      <c r="E1362" t="s">
        <v>190</v>
      </c>
      <c r="F1362" t="s">
        <v>12</v>
      </c>
      <c r="G1362" t="s">
        <v>203</v>
      </c>
      <c r="H1362" t="s">
        <v>206</v>
      </c>
      <c r="I1362">
        <v>8</v>
      </c>
      <c r="J1362">
        <v>1073.3800000000001</v>
      </c>
      <c r="K1362">
        <v>0</v>
      </c>
      <c r="L1362" t="s">
        <v>215</v>
      </c>
      <c r="M1362">
        <v>0</v>
      </c>
    </row>
    <row r="1363" spans="1:13" x14ac:dyDescent="0.3">
      <c r="A1363" t="s">
        <v>1572</v>
      </c>
      <c r="B1363">
        <v>84</v>
      </c>
      <c r="C1363" s="1">
        <v>45001</v>
      </c>
      <c r="D1363">
        <v>2023</v>
      </c>
      <c r="E1363" t="s">
        <v>190</v>
      </c>
      <c r="F1363" t="s">
        <v>13</v>
      </c>
      <c r="G1363" t="s">
        <v>203</v>
      </c>
      <c r="H1363" t="s">
        <v>192</v>
      </c>
      <c r="I1363">
        <v>10</v>
      </c>
      <c r="J1363">
        <v>2661.23</v>
      </c>
      <c r="K1363">
        <v>0</v>
      </c>
      <c r="L1363" t="s">
        <v>193</v>
      </c>
      <c r="M1363">
        <v>0</v>
      </c>
    </row>
    <row r="1364" spans="1:13" x14ac:dyDescent="0.3">
      <c r="A1364" t="s">
        <v>1573</v>
      </c>
      <c r="B1364">
        <v>84</v>
      </c>
      <c r="C1364" s="1">
        <v>44968</v>
      </c>
      <c r="D1364">
        <v>2023</v>
      </c>
      <c r="E1364" t="s">
        <v>198</v>
      </c>
      <c r="F1364" t="s">
        <v>199</v>
      </c>
      <c r="G1364" t="s">
        <v>200</v>
      </c>
      <c r="H1364" t="s">
        <v>204</v>
      </c>
      <c r="I1364">
        <v>2</v>
      </c>
      <c r="J1364">
        <v>6784.19</v>
      </c>
      <c r="K1364">
        <v>1</v>
      </c>
      <c r="L1364" t="s">
        <v>201</v>
      </c>
      <c r="M1364">
        <v>0</v>
      </c>
    </row>
    <row r="1365" spans="1:13" x14ac:dyDescent="0.3">
      <c r="A1365" t="s">
        <v>1574</v>
      </c>
      <c r="B1365">
        <v>84</v>
      </c>
      <c r="C1365" s="1">
        <v>45083</v>
      </c>
      <c r="D1365">
        <v>2023</v>
      </c>
      <c r="E1365" t="s">
        <v>190</v>
      </c>
      <c r="F1365" t="s">
        <v>12</v>
      </c>
      <c r="G1365" t="s">
        <v>203</v>
      </c>
      <c r="H1365" t="s">
        <v>195</v>
      </c>
      <c r="I1365">
        <v>17</v>
      </c>
      <c r="J1365">
        <v>1241.27</v>
      </c>
      <c r="K1365">
        <v>0</v>
      </c>
      <c r="L1365" t="s">
        <v>201</v>
      </c>
      <c r="M1365">
        <v>0</v>
      </c>
    </row>
    <row r="1366" spans="1:13" x14ac:dyDescent="0.3">
      <c r="A1366" t="s">
        <v>1575</v>
      </c>
      <c r="B1366">
        <v>84</v>
      </c>
      <c r="C1366" s="1">
        <v>45510</v>
      </c>
      <c r="D1366">
        <v>2024</v>
      </c>
      <c r="E1366" t="s">
        <v>287</v>
      </c>
      <c r="F1366" t="s">
        <v>12</v>
      </c>
      <c r="G1366" t="s">
        <v>203</v>
      </c>
      <c r="H1366" t="s">
        <v>206</v>
      </c>
      <c r="I1366">
        <v>11</v>
      </c>
      <c r="J1366">
        <v>1386.98</v>
      </c>
      <c r="K1366">
        <v>0</v>
      </c>
      <c r="L1366" t="s">
        <v>210</v>
      </c>
      <c r="M1366">
        <v>0</v>
      </c>
    </row>
    <row r="1367" spans="1:13" x14ac:dyDescent="0.3">
      <c r="A1367" t="s">
        <v>1576</v>
      </c>
      <c r="B1367">
        <v>84</v>
      </c>
      <c r="C1367" s="1">
        <v>45858</v>
      </c>
      <c r="D1367">
        <v>2025</v>
      </c>
      <c r="E1367" t="s">
        <v>225</v>
      </c>
      <c r="F1367" t="s">
        <v>13</v>
      </c>
      <c r="G1367" t="s">
        <v>212</v>
      </c>
      <c r="H1367" t="s">
        <v>192</v>
      </c>
      <c r="I1367">
        <v>7</v>
      </c>
      <c r="J1367">
        <v>1836.05</v>
      </c>
      <c r="K1367">
        <v>0</v>
      </c>
      <c r="L1367" t="s">
        <v>201</v>
      </c>
      <c r="M1367">
        <v>1</v>
      </c>
    </row>
    <row r="1368" spans="1:13" x14ac:dyDescent="0.3">
      <c r="A1368" t="s">
        <v>1577</v>
      </c>
      <c r="B1368">
        <v>84</v>
      </c>
      <c r="C1368" s="1">
        <v>45835</v>
      </c>
      <c r="D1368">
        <v>2025</v>
      </c>
      <c r="E1368" t="s">
        <v>198</v>
      </c>
      <c r="F1368" t="s">
        <v>199</v>
      </c>
      <c r="G1368" t="s">
        <v>200</v>
      </c>
      <c r="H1368" t="s">
        <v>206</v>
      </c>
      <c r="I1368">
        <v>7</v>
      </c>
      <c r="J1368">
        <v>3212.88</v>
      </c>
      <c r="K1368">
        <v>1</v>
      </c>
      <c r="L1368" t="s">
        <v>193</v>
      </c>
      <c r="M1368">
        <v>0</v>
      </c>
    </row>
    <row r="1369" spans="1:13" x14ac:dyDescent="0.3">
      <c r="A1369" t="s">
        <v>1578</v>
      </c>
      <c r="B1369">
        <v>84</v>
      </c>
      <c r="C1369" s="1">
        <v>45836</v>
      </c>
      <c r="D1369">
        <v>2025</v>
      </c>
      <c r="E1369" t="s">
        <v>198</v>
      </c>
      <c r="F1369" t="s">
        <v>199</v>
      </c>
      <c r="G1369" t="s">
        <v>200</v>
      </c>
      <c r="H1369" t="s">
        <v>195</v>
      </c>
      <c r="I1369">
        <v>9</v>
      </c>
      <c r="J1369">
        <v>3195.05</v>
      </c>
      <c r="K1369">
        <v>1</v>
      </c>
      <c r="L1369" t="s">
        <v>193</v>
      </c>
      <c r="M1369">
        <v>0</v>
      </c>
    </row>
    <row r="1370" spans="1:13" x14ac:dyDescent="0.3">
      <c r="A1370" t="s">
        <v>1579</v>
      </c>
      <c r="B1370">
        <v>84</v>
      </c>
      <c r="C1370" s="1">
        <v>45938</v>
      </c>
      <c r="D1370">
        <v>2025</v>
      </c>
      <c r="E1370" t="s">
        <v>190</v>
      </c>
      <c r="F1370" t="s">
        <v>13</v>
      </c>
      <c r="G1370" t="s">
        <v>203</v>
      </c>
      <c r="H1370" t="s">
        <v>195</v>
      </c>
      <c r="I1370">
        <v>4</v>
      </c>
      <c r="J1370">
        <v>1807.87</v>
      </c>
      <c r="K1370">
        <v>0</v>
      </c>
      <c r="L1370" t="s">
        <v>193</v>
      </c>
      <c r="M1370">
        <v>0</v>
      </c>
    </row>
    <row r="1371" spans="1:13" x14ac:dyDescent="0.3">
      <c r="A1371" t="s">
        <v>1580</v>
      </c>
      <c r="B1371">
        <v>84</v>
      </c>
      <c r="C1371" s="1">
        <v>45866</v>
      </c>
      <c r="D1371">
        <v>2025</v>
      </c>
      <c r="E1371" t="s">
        <v>225</v>
      </c>
      <c r="F1371" t="s">
        <v>199</v>
      </c>
      <c r="G1371" t="s">
        <v>203</v>
      </c>
      <c r="H1371" t="s">
        <v>192</v>
      </c>
      <c r="I1371">
        <v>14</v>
      </c>
      <c r="J1371">
        <v>6292.65</v>
      </c>
      <c r="K1371">
        <v>1</v>
      </c>
      <c r="L1371" t="s">
        <v>210</v>
      </c>
      <c r="M1371">
        <v>0</v>
      </c>
    </row>
    <row r="1372" spans="1:13" x14ac:dyDescent="0.3">
      <c r="A1372" t="s">
        <v>1581</v>
      </c>
      <c r="B1372">
        <v>85</v>
      </c>
      <c r="C1372" s="1">
        <v>44363</v>
      </c>
      <c r="D1372">
        <v>2021</v>
      </c>
      <c r="E1372" t="s">
        <v>219</v>
      </c>
      <c r="F1372" t="s">
        <v>12</v>
      </c>
      <c r="G1372" t="s">
        <v>191</v>
      </c>
      <c r="H1372" t="s">
        <v>195</v>
      </c>
      <c r="I1372">
        <v>8</v>
      </c>
      <c r="J1372">
        <v>1330.02</v>
      </c>
      <c r="K1372">
        <v>0</v>
      </c>
      <c r="L1372" t="s">
        <v>201</v>
      </c>
      <c r="M1372">
        <v>0</v>
      </c>
    </row>
    <row r="1373" spans="1:13" x14ac:dyDescent="0.3">
      <c r="A1373" t="s">
        <v>1582</v>
      </c>
      <c r="B1373">
        <v>85</v>
      </c>
      <c r="C1373" s="1">
        <v>44294</v>
      </c>
      <c r="D1373">
        <v>2021</v>
      </c>
      <c r="E1373" t="s">
        <v>219</v>
      </c>
      <c r="F1373" t="s">
        <v>12</v>
      </c>
      <c r="G1373" t="s">
        <v>200</v>
      </c>
      <c r="H1373" t="s">
        <v>192</v>
      </c>
      <c r="I1373">
        <v>11</v>
      </c>
      <c r="J1373">
        <v>1100.79</v>
      </c>
      <c r="K1373">
        <v>0</v>
      </c>
      <c r="L1373" t="s">
        <v>201</v>
      </c>
      <c r="M1373">
        <v>0</v>
      </c>
    </row>
    <row r="1374" spans="1:13" x14ac:dyDescent="0.3">
      <c r="A1374" t="s">
        <v>1583</v>
      </c>
      <c r="B1374">
        <v>85</v>
      </c>
      <c r="C1374" s="1">
        <v>44666</v>
      </c>
      <c r="D1374">
        <v>2022</v>
      </c>
      <c r="E1374" t="s">
        <v>190</v>
      </c>
      <c r="F1374" t="s">
        <v>13</v>
      </c>
      <c r="G1374" t="s">
        <v>212</v>
      </c>
      <c r="H1374" t="s">
        <v>195</v>
      </c>
      <c r="I1374">
        <v>2</v>
      </c>
      <c r="J1374">
        <v>3096.15</v>
      </c>
      <c r="K1374">
        <v>0</v>
      </c>
      <c r="L1374" t="s">
        <v>210</v>
      </c>
      <c r="M1374">
        <v>1</v>
      </c>
    </row>
    <row r="1375" spans="1:13" x14ac:dyDescent="0.3">
      <c r="A1375" t="s">
        <v>1584</v>
      </c>
      <c r="B1375">
        <v>85</v>
      </c>
      <c r="C1375" s="1">
        <v>45151</v>
      </c>
      <c r="D1375">
        <v>2023</v>
      </c>
      <c r="E1375" t="s">
        <v>190</v>
      </c>
      <c r="F1375" t="s">
        <v>12</v>
      </c>
      <c r="G1375" t="s">
        <v>212</v>
      </c>
      <c r="H1375" t="s">
        <v>195</v>
      </c>
      <c r="I1375">
        <v>11</v>
      </c>
      <c r="J1375">
        <v>524.64</v>
      </c>
      <c r="K1375">
        <v>0</v>
      </c>
      <c r="L1375" t="s">
        <v>201</v>
      </c>
      <c r="M1375">
        <v>1</v>
      </c>
    </row>
    <row r="1376" spans="1:13" x14ac:dyDescent="0.3">
      <c r="A1376" t="s">
        <v>1585</v>
      </c>
      <c r="B1376">
        <v>85</v>
      </c>
      <c r="C1376" s="1">
        <v>45183</v>
      </c>
      <c r="D1376">
        <v>2023</v>
      </c>
      <c r="E1376" t="s">
        <v>214</v>
      </c>
      <c r="F1376" t="s">
        <v>209</v>
      </c>
      <c r="G1376" t="s">
        <v>191</v>
      </c>
      <c r="H1376" t="s">
        <v>195</v>
      </c>
      <c r="I1376">
        <v>13</v>
      </c>
      <c r="J1376">
        <v>495.26</v>
      </c>
      <c r="K1376">
        <v>0</v>
      </c>
      <c r="L1376" t="s">
        <v>210</v>
      </c>
      <c r="M1376">
        <v>0</v>
      </c>
    </row>
    <row r="1377" spans="1:13" x14ac:dyDescent="0.3">
      <c r="A1377" t="s">
        <v>1586</v>
      </c>
      <c r="B1377">
        <v>85</v>
      </c>
      <c r="C1377" s="1">
        <v>45544</v>
      </c>
      <c r="D1377">
        <v>2024</v>
      </c>
      <c r="E1377" t="s">
        <v>214</v>
      </c>
      <c r="F1377" t="s">
        <v>199</v>
      </c>
      <c r="G1377" t="s">
        <v>191</v>
      </c>
      <c r="H1377" t="s">
        <v>192</v>
      </c>
      <c r="I1377">
        <v>5</v>
      </c>
      <c r="J1377">
        <v>3619.47</v>
      </c>
      <c r="K1377">
        <v>0</v>
      </c>
      <c r="L1377" t="s">
        <v>196</v>
      </c>
      <c r="M1377">
        <v>1</v>
      </c>
    </row>
    <row r="1378" spans="1:13" x14ac:dyDescent="0.3">
      <c r="A1378" t="s">
        <v>1587</v>
      </c>
      <c r="B1378">
        <v>85</v>
      </c>
      <c r="C1378" s="1">
        <v>45615</v>
      </c>
      <c r="D1378">
        <v>2024</v>
      </c>
      <c r="E1378" t="s">
        <v>214</v>
      </c>
      <c r="F1378" t="s">
        <v>199</v>
      </c>
      <c r="G1378" t="s">
        <v>203</v>
      </c>
      <c r="H1378" t="s">
        <v>204</v>
      </c>
      <c r="I1378">
        <v>9</v>
      </c>
      <c r="J1378">
        <v>6302.36</v>
      </c>
      <c r="K1378">
        <v>0</v>
      </c>
      <c r="L1378" t="s">
        <v>196</v>
      </c>
      <c r="M1378">
        <v>1</v>
      </c>
    </row>
    <row r="1379" spans="1:13" x14ac:dyDescent="0.3">
      <c r="A1379" t="s">
        <v>1588</v>
      </c>
      <c r="B1379">
        <v>85</v>
      </c>
      <c r="C1379" s="1">
        <v>45345</v>
      </c>
      <c r="D1379">
        <v>2024</v>
      </c>
      <c r="E1379" t="s">
        <v>214</v>
      </c>
      <c r="F1379" t="s">
        <v>209</v>
      </c>
      <c r="G1379" t="s">
        <v>212</v>
      </c>
      <c r="H1379" t="s">
        <v>195</v>
      </c>
      <c r="I1379">
        <v>8</v>
      </c>
      <c r="J1379">
        <v>363.95</v>
      </c>
      <c r="K1379">
        <v>0</v>
      </c>
      <c r="L1379" t="s">
        <v>210</v>
      </c>
      <c r="M1379">
        <v>1</v>
      </c>
    </row>
    <row r="1380" spans="1:13" x14ac:dyDescent="0.3">
      <c r="A1380" t="s">
        <v>1589</v>
      </c>
      <c r="B1380">
        <v>85</v>
      </c>
      <c r="C1380" s="1">
        <v>45570</v>
      </c>
      <c r="D1380">
        <v>2024</v>
      </c>
      <c r="E1380" t="s">
        <v>214</v>
      </c>
      <c r="F1380" t="s">
        <v>199</v>
      </c>
      <c r="G1380" t="s">
        <v>191</v>
      </c>
      <c r="H1380" t="s">
        <v>195</v>
      </c>
      <c r="I1380">
        <v>16</v>
      </c>
      <c r="J1380">
        <v>6433.56</v>
      </c>
      <c r="K1380">
        <v>0</v>
      </c>
      <c r="L1380" t="s">
        <v>193</v>
      </c>
      <c r="M1380">
        <v>0</v>
      </c>
    </row>
    <row r="1381" spans="1:13" x14ac:dyDescent="0.3">
      <c r="A1381" t="s">
        <v>1590</v>
      </c>
      <c r="B1381">
        <v>85</v>
      </c>
      <c r="C1381" s="1">
        <v>45577</v>
      </c>
      <c r="D1381">
        <v>2024</v>
      </c>
      <c r="E1381" t="s">
        <v>190</v>
      </c>
      <c r="F1381" t="s">
        <v>209</v>
      </c>
      <c r="G1381" t="s">
        <v>212</v>
      </c>
      <c r="H1381" t="s">
        <v>204</v>
      </c>
      <c r="I1381">
        <v>16</v>
      </c>
      <c r="J1381">
        <v>29.95</v>
      </c>
      <c r="K1381">
        <v>0</v>
      </c>
      <c r="L1381" t="s">
        <v>215</v>
      </c>
      <c r="M1381">
        <v>1</v>
      </c>
    </row>
    <row r="1382" spans="1:13" x14ac:dyDescent="0.3">
      <c r="A1382" t="s">
        <v>1591</v>
      </c>
      <c r="B1382">
        <v>85</v>
      </c>
      <c r="C1382" s="1">
        <v>45692</v>
      </c>
      <c r="D1382">
        <v>2025</v>
      </c>
      <c r="E1382" t="s">
        <v>214</v>
      </c>
      <c r="F1382" t="s">
        <v>12</v>
      </c>
      <c r="G1382" t="s">
        <v>212</v>
      </c>
      <c r="H1382" t="s">
        <v>206</v>
      </c>
      <c r="I1382">
        <v>2</v>
      </c>
      <c r="J1382">
        <v>1052.8499999999999</v>
      </c>
      <c r="K1382">
        <v>1</v>
      </c>
      <c r="L1382" t="s">
        <v>210</v>
      </c>
      <c r="M1382">
        <v>1</v>
      </c>
    </row>
    <row r="1383" spans="1:13" x14ac:dyDescent="0.3">
      <c r="A1383" t="s">
        <v>1592</v>
      </c>
      <c r="B1383">
        <v>85</v>
      </c>
      <c r="C1383" s="1">
        <v>45924</v>
      </c>
      <c r="D1383">
        <v>2025</v>
      </c>
      <c r="E1383" t="s">
        <v>190</v>
      </c>
      <c r="F1383" t="s">
        <v>13</v>
      </c>
      <c r="G1383" t="s">
        <v>203</v>
      </c>
      <c r="H1383" t="s">
        <v>195</v>
      </c>
      <c r="I1383">
        <v>2</v>
      </c>
      <c r="J1383">
        <v>1845.54</v>
      </c>
      <c r="K1383">
        <v>1</v>
      </c>
      <c r="L1383" t="s">
        <v>215</v>
      </c>
      <c r="M1383">
        <v>0</v>
      </c>
    </row>
    <row r="1384" spans="1:13" x14ac:dyDescent="0.3">
      <c r="A1384" t="s">
        <v>1593</v>
      </c>
      <c r="B1384">
        <v>85</v>
      </c>
      <c r="C1384" s="1">
        <v>45911</v>
      </c>
      <c r="D1384">
        <v>2025</v>
      </c>
      <c r="E1384" t="s">
        <v>198</v>
      </c>
      <c r="F1384" t="s">
        <v>13</v>
      </c>
      <c r="G1384" t="s">
        <v>203</v>
      </c>
      <c r="H1384" t="s">
        <v>206</v>
      </c>
      <c r="I1384">
        <v>6</v>
      </c>
      <c r="J1384">
        <v>2431.94</v>
      </c>
      <c r="K1384">
        <v>1</v>
      </c>
      <c r="L1384" t="s">
        <v>193</v>
      </c>
      <c r="M1384">
        <v>0</v>
      </c>
    </row>
    <row r="1385" spans="1:13" x14ac:dyDescent="0.3">
      <c r="A1385" t="s">
        <v>1594</v>
      </c>
      <c r="B1385">
        <v>86</v>
      </c>
      <c r="C1385" s="1">
        <v>44490</v>
      </c>
      <c r="D1385">
        <v>2021</v>
      </c>
      <c r="E1385" t="s">
        <v>227</v>
      </c>
      <c r="F1385" t="s">
        <v>199</v>
      </c>
      <c r="G1385" t="s">
        <v>203</v>
      </c>
      <c r="H1385" t="s">
        <v>195</v>
      </c>
      <c r="I1385">
        <v>16</v>
      </c>
      <c r="J1385">
        <v>4050.08</v>
      </c>
      <c r="K1385">
        <v>0</v>
      </c>
      <c r="L1385" t="s">
        <v>193</v>
      </c>
      <c r="M1385">
        <v>0</v>
      </c>
    </row>
    <row r="1386" spans="1:13" x14ac:dyDescent="0.3">
      <c r="A1386" t="s">
        <v>1595</v>
      </c>
      <c r="B1386">
        <v>86</v>
      </c>
      <c r="C1386" s="1">
        <v>44318</v>
      </c>
      <c r="D1386">
        <v>2021</v>
      </c>
      <c r="E1386" t="s">
        <v>227</v>
      </c>
      <c r="F1386" t="s">
        <v>199</v>
      </c>
      <c r="G1386" t="s">
        <v>200</v>
      </c>
      <c r="H1386" t="s">
        <v>204</v>
      </c>
      <c r="I1386">
        <v>8</v>
      </c>
      <c r="J1386">
        <v>6846.7</v>
      </c>
      <c r="K1386">
        <v>0</v>
      </c>
      <c r="L1386" t="s">
        <v>196</v>
      </c>
      <c r="M1386">
        <v>0</v>
      </c>
    </row>
    <row r="1387" spans="1:13" x14ac:dyDescent="0.3">
      <c r="A1387" t="s">
        <v>1596</v>
      </c>
      <c r="B1387">
        <v>86</v>
      </c>
      <c r="C1387" s="1">
        <v>44548</v>
      </c>
      <c r="D1387">
        <v>2021</v>
      </c>
      <c r="E1387" t="s">
        <v>190</v>
      </c>
      <c r="F1387" t="s">
        <v>12</v>
      </c>
      <c r="G1387" t="s">
        <v>212</v>
      </c>
      <c r="H1387" t="s">
        <v>206</v>
      </c>
      <c r="I1387">
        <v>8</v>
      </c>
      <c r="J1387">
        <v>383.38</v>
      </c>
      <c r="K1387">
        <v>0</v>
      </c>
      <c r="L1387" t="s">
        <v>201</v>
      </c>
      <c r="M1387">
        <v>1</v>
      </c>
    </row>
    <row r="1388" spans="1:13" x14ac:dyDescent="0.3">
      <c r="A1388" t="s">
        <v>1597</v>
      </c>
      <c r="B1388">
        <v>86</v>
      </c>
      <c r="C1388" s="1">
        <v>44595</v>
      </c>
      <c r="D1388">
        <v>2022</v>
      </c>
      <c r="E1388" t="s">
        <v>219</v>
      </c>
      <c r="F1388" t="s">
        <v>13</v>
      </c>
      <c r="G1388" t="s">
        <v>191</v>
      </c>
      <c r="H1388" t="s">
        <v>204</v>
      </c>
      <c r="I1388">
        <v>5</v>
      </c>
      <c r="J1388">
        <v>2737.43</v>
      </c>
      <c r="K1388">
        <v>0</v>
      </c>
      <c r="L1388" t="s">
        <v>193</v>
      </c>
      <c r="M1388">
        <v>0</v>
      </c>
    </row>
    <row r="1389" spans="1:13" x14ac:dyDescent="0.3">
      <c r="A1389" t="s">
        <v>1598</v>
      </c>
      <c r="B1389">
        <v>86</v>
      </c>
      <c r="C1389" s="1">
        <v>44745</v>
      </c>
      <c r="D1389">
        <v>2022</v>
      </c>
      <c r="E1389" t="s">
        <v>214</v>
      </c>
      <c r="F1389" t="s">
        <v>209</v>
      </c>
      <c r="G1389" t="s">
        <v>212</v>
      </c>
      <c r="H1389" t="s">
        <v>206</v>
      </c>
      <c r="I1389">
        <v>8</v>
      </c>
      <c r="J1389">
        <v>581.79</v>
      </c>
      <c r="K1389">
        <v>0</v>
      </c>
      <c r="L1389" t="s">
        <v>215</v>
      </c>
      <c r="M1389">
        <v>1</v>
      </c>
    </row>
    <row r="1390" spans="1:13" x14ac:dyDescent="0.3">
      <c r="A1390" t="s">
        <v>1599</v>
      </c>
      <c r="B1390">
        <v>86</v>
      </c>
      <c r="C1390" s="1">
        <v>44693</v>
      </c>
      <c r="D1390">
        <v>2022</v>
      </c>
      <c r="E1390" t="s">
        <v>219</v>
      </c>
      <c r="F1390" t="s">
        <v>209</v>
      </c>
      <c r="G1390" t="s">
        <v>212</v>
      </c>
      <c r="H1390" t="s">
        <v>206</v>
      </c>
      <c r="I1390">
        <v>5</v>
      </c>
      <c r="J1390">
        <v>423.35</v>
      </c>
      <c r="K1390">
        <v>0</v>
      </c>
      <c r="L1390" t="s">
        <v>215</v>
      </c>
      <c r="M1390">
        <v>1</v>
      </c>
    </row>
    <row r="1391" spans="1:13" x14ac:dyDescent="0.3">
      <c r="A1391" t="s">
        <v>1600</v>
      </c>
      <c r="B1391">
        <v>86</v>
      </c>
      <c r="C1391" s="1">
        <v>44659</v>
      </c>
      <c r="D1391">
        <v>2022</v>
      </c>
      <c r="E1391" t="s">
        <v>219</v>
      </c>
      <c r="F1391" t="s">
        <v>13</v>
      </c>
      <c r="G1391" t="s">
        <v>191</v>
      </c>
      <c r="H1391" t="s">
        <v>195</v>
      </c>
      <c r="I1391">
        <v>4</v>
      </c>
      <c r="J1391">
        <v>1477.67</v>
      </c>
      <c r="K1391">
        <v>0</v>
      </c>
      <c r="L1391" t="s">
        <v>201</v>
      </c>
      <c r="M1391">
        <v>0</v>
      </c>
    </row>
    <row r="1392" spans="1:13" x14ac:dyDescent="0.3">
      <c r="A1392" t="s">
        <v>1601</v>
      </c>
      <c r="B1392">
        <v>86</v>
      </c>
      <c r="C1392" s="1">
        <v>44911</v>
      </c>
      <c r="D1392">
        <v>2022</v>
      </c>
      <c r="E1392" t="s">
        <v>214</v>
      </c>
      <c r="F1392" t="s">
        <v>209</v>
      </c>
      <c r="G1392" t="s">
        <v>212</v>
      </c>
      <c r="H1392" t="s">
        <v>195</v>
      </c>
      <c r="I1392">
        <v>11</v>
      </c>
      <c r="J1392">
        <v>160.61000000000001</v>
      </c>
      <c r="K1392">
        <v>0</v>
      </c>
      <c r="L1392" t="s">
        <v>201</v>
      </c>
      <c r="M1392">
        <v>1</v>
      </c>
    </row>
    <row r="1393" spans="1:13" x14ac:dyDescent="0.3">
      <c r="A1393" t="s">
        <v>1602</v>
      </c>
      <c r="B1393">
        <v>86</v>
      </c>
      <c r="C1393" s="1">
        <v>44862</v>
      </c>
      <c r="D1393">
        <v>2022</v>
      </c>
      <c r="E1393" t="s">
        <v>214</v>
      </c>
      <c r="F1393" t="s">
        <v>199</v>
      </c>
      <c r="G1393" t="s">
        <v>191</v>
      </c>
      <c r="H1393" t="s">
        <v>195</v>
      </c>
      <c r="I1393">
        <v>4</v>
      </c>
      <c r="J1393">
        <v>6837.81</v>
      </c>
      <c r="K1393">
        <v>0</v>
      </c>
      <c r="L1393" t="s">
        <v>201</v>
      </c>
      <c r="M1393">
        <v>1</v>
      </c>
    </row>
    <row r="1394" spans="1:13" x14ac:dyDescent="0.3">
      <c r="A1394" t="s">
        <v>1603</v>
      </c>
      <c r="B1394">
        <v>86</v>
      </c>
      <c r="C1394" s="1">
        <v>45163</v>
      </c>
      <c r="D1394">
        <v>2023</v>
      </c>
      <c r="E1394" t="s">
        <v>219</v>
      </c>
      <c r="F1394" t="s">
        <v>199</v>
      </c>
      <c r="G1394" t="s">
        <v>203</v>
      </c>
      <c r="H1394" t="s">
        <v>204</v>
      </c>
      <c r="I1394">
        <v>4</v>
      </c>
      <c r="J1394">
        <v>6960.53</v>
      </c>
      <c r="K1394">
        <v>1</v>
      </c>
      <c r="L1394" t="s">
        <v>196</v>
      </c>
      <c r="M1394">
        <v>0</v>
      </c>
    </row>
    <row r="1395" spans="1:13" x14ac:dyDescent="0.3">
      <c r="A1395" t="s">
        <v>1604</v>
      </c>
      <c r="B1395">
        <v>86</v>
      </c>
      <c r="C1395" s="1">
        <v>45181</v>
      </c>
      <c r="D1395">
        <v>2023</v>
      </c>
      <c r="E1395" t="s">
        <v>214</v>
      </c>
      <c r="F1395" t="s">
        <v>199</v>
      </c>
      <c r="G1395" t="s">
        <v>203</v>
      </c>
      <c r="H1395" t="s">
        <v>195</v>
      </c>
      <c r="I1395">
        <v>17</v>
      </c>
      <c r="J1395">
        <v>7677.57</v>
      </c>
      <c r="K1395">
        <v>1</v>
      </c>
      <c r="L1395" t="s">
        <v>196</v>
      </c>
      <c r="M1395">
        <v>1</v>
      </c>
    </row>
    <row r="1396" spans="1:13" x14ac:dyDescent="0.3">
      <c r="A1396" t="s">
        <v>1605</v>
      </c>
      <c r="B1396">
        <v>86</v>
      </c>
      <c r="C1396" s="1">
        <v>45009</v>
      </c>
      <c r="D1396">
        <v>2023</v>
      </c>
      <c r="E1396" t="s">
        <v>219</v>
      </c>
      <c r="F1396" t="s">
        <v>13</v>
      </c>
      <c r="G1396" t="s">
        <v>191</v>
      </c>
      <c r="H1396" t="s">
        <v>204</v>
      </c>
      <c r="I1396">
        <v>9</v>
      </c>
      <c r="J1396">
        <v>3850.39</v>
      </c>
      <c r="K1396">
        <v>1</v>
      </c>
      <c r="L1396" t="s">
        <v>196</v>
      </c>
      <c r="M1396">
        <v>1</v>
      </c>
    </row>
    <row r="1397" spans="1:13" x14ac:dyDescent="0.3">
      <c r="A1397" t="s">
        <v>1606</v>
      </c>
      <c r="B1397">
        <v>86</v>
      </c>
      <c r="C1397" s="1">
        <v>44961</v>
      </c>
      <c r="D1397">
        <v>2023</v>
      </c>
      <c r="E1397" t="s">
        <v>219</v>
      </c>
      <c r="F1397" t="s">
        <v>12</v>
      </c>
      <c r="G1397" t="s">
        <v>212</v>
      </c>
      <c r="H1397" t="s">
        <v>204</v>
      </c>
      <c r="I1397">
        <v>2</v>
      </c>
      <c r="J1397">
        <v>498.02</v>
      </c>
      <c r="K1397">
        <v>1</v>
      </c>
      <c r="L1397" t="s">
        <v>210</v>
      </c>
      <c r="M1397">
        <v>1</v>
      </c>
    </row>
    <row r="1398" spans="1:13" x14ac:dyDescent="0.3">
      <c r="A1398" t="s">
        <v>1607</v>
      </c>
      <c r="B1398">
        <v>86</v>
      </c>
      <c r="C1398" s="1">
        <v>45327</v>
      </c>
      <c r="D1398">
        <v>2024</v>
      </c>
      <c r="E1398" t="s">
        <v>214</v>
      </c>
      <c r="F1398" t="s">
        <v>13</v>
      </c>
      <c r="G1398" t="s">
        <v>191</v>
      </c>
      <c r="H1398" t="s">
        <v>204</v>
      </c>
      <c r="I1398">
        <v>7</v>
      </c>
      <c r="J1398">
        <v>1580.39</v>
      </c>
      <c r="K1398">
        <v>0</v>
      </c>
      <c r="L1398" t="s">
        <v>201</v>
      </c>
      <c r="M1398">
        <v>1</v>
      </c>
    </row>
    <row r="1399" spans="1:13" x14ac:dyDescent="0.3">
      <c r="A1399" t="s">
        <v>1608</v>
      </c>
      <c r="B1399">
        <v>86</v>
      </c>
      <c r="C1399" s="1">
        <v>45303</v>
      </c>
      <c r="D1399">
        <v>2024</v>
      </c>
      <c r="E1399" t="s">
        <v>219</v>
      </c>
      <c r="F1399" t="s">
        <v>12</v>
      </c>
      <c r="G1399" t="s">
        <v>212</v>
      </c>
      <c r="H1399" t="s">
        <v>195</v>
      </c>
      <c r="I1399">
        <v>8</v>
      </c>
      <c r="J1399">
        <v>1481.82</v>
      </c>
      <c r="K1399">
        <v>0</v>
      </c>
      <c r="L1399" t="s">
        <v>196</v>
      </c>
      <c r="M1399">
        <v>1</v>
      </c>
    </row>
    <row r="1400" spans="1:13" x14ac:dyDescent="0.3">
      <c r="A1400" t="s">
        <v>1609</v>
      </c>
      <c r="B1400">
        <v>86</v>
      </c>
      <c r="C1400" s="1">
        <v>45842</v>
      </c>
      <c r="D1400">
        <v>2025</v>
      </c>
      <c r="E1400" t="s">
        <v>219</v>
      </c>
      <c r="F1400" t="s">
        <v>12</v>
      </c>
      <c r="G1400" t="s">
        <v>212</v>
      </c>
      <c r="H1400" t="s">
        <v>206</v>
      </c>
      <c r="I1400">
        <v>10</v>
      </c>
      <c r="J1400">
        <v>1137.22</v>
      </c>
      <c r="K1400">
        <v>0</v>
      </c>
      <c r="L1400" t="s">
        <v>201</v>
      </c>
      <c r="M1400">
        <v>1</v>
      </c>
    </row>
    <row r="1401" spans="1:13" x14ac:dyDescent="0.3">
      <c r="A1401" t="s">
        <v>1610</v>
      </c>
      <c r="B1401">
        <v>86</v>
      </c>
      <c r="C1401" s="1">
        <v>45863</v>
      </c>
      <c r="D1401">
        <v>2025</v>
      </c>
      <c r="E1401" t="s">
        <v>214</v>
      </c>
      <c r="F1401" t="s">
        <v>209</v>
      </c>
      <c r="G1401" t="s">
        <v>212</v>
      </c>
      <c r="H1401" t="s">
        <v>192</v>
      </c>
      <c r="I1401">
        <v>3</v>
      </c>
      <c r="J1401">
        <v>226.58</v>
      </c>
      <c r="K1401">
        <v>0</v>
      </c>
      <c r="L1401" t="s">
        <v>210</v>
      </c>
      <c r="M1401">
        <v>1</v>
      </c>
    </row>
    <row r="1402" spans="1:13" x14ac:dyDescent="0.3">
      <c r="A1402" t="s">
        <v>1611</v>
      </c>
      <c r="B1402">
        <v>86</v>
      </c>
      <c r="C1402" s="1">
        <v>45778</v>
      </c>
      <c r="D1402">
        <v>2025</v>
      </c>
      <c r="E1402" t="s">
        <v>214</v>
      </c>
      <c r="F1402" t="s">
        <v>12</v>
      </c>
      <c r="G1402" t="s">
        <v>203</v>
      </c>
      <c r="H1402" t="s">
        <v>192</v>
      </c>
      <c r="I1402">
        <v>12</v>
      </c>
      <c r="J1402">
        <v>1299.53</v>
      </c>
      <c r="K1402">
        <v>0</v>
      </c>
      <c r="L1402" t="s">
        <v>210</v>
      </c>
      <c r="M1402">
        <v>0</v>
      </c>
    </row>
    <row r="1403" spans="1:13" x14ac:dyDescent="0.3">
      <c r="A1403" t="s">
        <v>1612</v>
      </c>
      <c r="B1403">
        <v>87</v>
      </c>
      <c r="C1403" s="1">
        <v>44311</v>
      </c>
      <c r="D1403">
        <v>2021</v>
      </c>
      <c r="E1403" t="s">
        <v>214</v>
      </c>
      <c r="F1403" t="s">
        <v>13</v>
      </c>
      <c r="G1403" t="s">
        <v>200</v>
      </c>
      <c r="H1403" t="s">
        <v>192</v>
      </c>
      <c r="I1403">
        <v>13</v>
      </c>
      <c r="J1403">
        <v>1775.12</v>
      </c>
      <c r="K1403">
        <v>1</v>
      </c>
      <c r="L1403" t="s">
        <v>215</v>
      </c>
      <c r="M1403">
        <v>0</v>
      </c>
    </row>
    <row r="1404" spans="1:13" x14ac:dyDescent="0.3">
      <c r="A1404" t="s">
        <v>1613</v>
      </c>
      <c r="B1404">
        <v>87</v>
      </c>
      <c r="C1404" s="1">
        <v>44370</v>
      </c>
      <c r="D1404">
        <v>2021</v>
      </c>
      <c r="E1404" t="s">
        <v>190</v>
      </c>
      <c r="F1404" t="s">
        <v>12</v>
      </c>
      <c r="G1404" t="s">
        <v>203</v>
      </c>
      <c r="H1404" t="s">
        <v>195</v>
      </c>
      <c r="I1404">
        <v>17</v>
      </c>
      <c r="J1404">
        <v>983.43</v>
      </c>
      <c r="K1404">
        <v>0</v>
      </c>
      <c r="L1404" t="s">
        <v>210</v>
      </c>
      <c r="M1404">
        <v>0</v>
      </c>
    </row>
    <row r="1405" spans="1:13" x14ac:dyDescent="0.3">
      <c r="A1405" t="s">
        <v>1614</v>
      </c>
      <c r="B1405">
        <v>87</v>
      </c>
      <c r="C1405" s="1">
        <v>44534</v>
      </c>
      <c r="D1405">
        <v>2021</v>
      </c>
      <c r="E1405" t="s">
        <v>198</v>
      </c>
      <c r="F1405" t="s">
        <v>12</v>
      </c>
      <c r="G1405" t="s">
        <v>203</v>
      </c>
      <c r="H1405" t="s">
        <v>195</v>
      </c>
      <c r="I1405">
        <v>7</v>
      </c>
      <c r="J1405">
        <v>879.9</v>
      </c>
      <c r="K1405">
        <v>1</v>
      </c>
      <c r="L1405" t="s">
        <v>215</v>
      </c>
      <c r="M1405">
        <v>0</v>
      </c>
    </row>
    <row r="1406" spans="1:13" x14ac:dyDescent="0.3">
      <c r="A1406" t="s">
        <v>1615</v>
      </c>
      <c r="B1406">
        <v>87</v>
      </c>
      <c r="C1406" s="1">
        <v>44308</v>
      </c>
      <c r="D1406">
        <v>2021</v>
      </c>
      <c r="E1406" t="s">
        <v>198</v>
      </c>
      <c r="F1406" t="s">
        <v>13</v>
      </c>
      <c r="G1406" t="s">
        <v>203</v>
      </c>
      <c r="H1406" t="s">
        <v>192</v>
      </c>
      <c r="I1406">
        <v>5</v>
      </c>
      <c r="J1406">
        <v>2668.92</v>
      </c>
      <c r="K1406">
        <v>1</v>
      </c>
      <c r="L1406" t="s">
        <v>193</v>
      </c>
      <c r="M1406">
        <v>0</v>
      </c>
    </row>
    <row r="1407" spans="1:13" x14ac:dyDescent="0.3">
      <c r="A1407" t="s">
        <v>1616</v>
      </c>
      <c r="B1407">
        <v>87</v>
      </c>
      <c r="C1407" s="1">
        <v>44462</v>
      </c>
      <c r="D1407">
        <v>2021</v>
      </c>
      <c r="E1407" t="s">
        <v>198</v>
      </c>
      <c r="F1407" t="s">
        <v>13</v>
      </c>
      <c r="G1407" t="s">
        <v>200</v>
      </c>
      <c r="H1407" t="s">
        <v>195</v>
      </c>
      <c r="I1407">
        <v>11</v>
      </c>
      <c r="J1407">
        <v>1851.06</v>
      </c>
      <c r="K1407">
        <v>1</v>
      </c>
      <c r="L1407" t="s">
        <v>201</v>
      </c>
      <c r="M1407">
        <v>1</v>
      </c>
    </row>
    <row r="1408" spans="1:13" x14ac:dyDescent="0.3">
      <c r="A1408" t="s">
        <v>1617</v>
      </c>
      <c r="B1408">
        <v>87</v>
      </c>
      <c r="C1408" s="1">
        <v>44674</v>
      </c>
      <c r="D1408">
        <v>2022</v>
      </c>
      <c r="E1408" t="s">
        <v>219</v>
      </c>
      <c r="F1408" t="s">
        <v>12</v>
      </c>
      <c r="G1408" t="s">
        <v>212</v>
      </c>
      <c r="H1408" t="s">
        <v>195</v>
      </c>
      <c r="I1408">
        <v>4</v>
      </c>
      <c r="J1408">
        <v>1098.47</v>
      </c>
      <c r="K1408">
        <v>0</v>
      </c>
      <c r="L1408" t="s">
        <v>210</v>
      </c>
      <c r="M1408">
        <v>1</v>
      </c>
    </row>
    <row r="1409" spans="1:13" x14ac:dyDescent="0.3">
      <c r="A1409" t="s">
        <v>1618</v>
      </c>
      <c r="B1409">
        <v>87</v>
      </c>
      <c r="C1409" s="1">
        <v>44654</v>
      </c>
      <c r="D1409">
        <v>2022</v>
      </c>
      <c r="E1409" t="s">
        <v>287</v>
      </c>
      <c r="F1409" t="s">
        <v>199</v>
      </c>
      <c r="G1409" t="s">
        <v>191</v>
      </c>
      <c r="H1409" t="s">
        <v>195</v>
      </c>
      <c r="I1409">
        <v>14</v>
      </c>
      <c r="J1409">
        <v>4742.17</v>
      </c>
      <c r="K1409">
        <v>0</v>
      </c>
      <c r="L1409" t="s">
        <v>196</v>
      </c>
      <c r="M1409">
        <v>0</v>
      </c>
    </row>
    <row r="1410" spans="1:13" x14ac:dyDescent="0.3">
      <c r="A1410" t="s">
        <v>1619</v>
      </c>
      <c r="B1410">
        <v>87</v>
      </c>
      <c r="C1410" s="1">
        <v>44760</v>
      </c>
      <c r="D1410">
        <v>2022</v>
      </c>
      <c r="E1410" t="s">
        <v>225</v>
      </c>
      <c r="F1410" t="s">
        <v>199</v>
      </c>
      <c r="G1410" t="s">
        <v>212</v>
      </c>
      <c r="H1410" t="s">
        <v>204</v>
      </c>
      <c r="I1410">
        <v>6</v>
      </c>
      <c r="J1410">
        <v>6463.32</v>
      </c>
      <c r="K1410">
        <v>0</v>
      </c>
      <c r="L1410" t="s">
        <v>201</v>
      </c>
      <c r="M1410">
        <v>1</v>
      </c>
    </row>
    <row r="1411" spans="1:13" x14ac:dyDescent="0.3">
      <c r="A1411" t="s">
        <v>1620</v>
      </c>
      <c r="B1411">
        <v>87</v>
      </c>
      <c r="C1411" s="1">
        <v>44587</v>
      </c>
      <c r="D1411">
        <v>2022</v>
      </c>
      <c r="E1411" t="s">
        <v>227</v>
      </c>
      <c r="F1411" t="s">
        <v>199</v>
      </c>
      <c r="G1411" t="s">
        <v>191</v>
      </c>
      <c r="H1411" t="s">
        <v>204</v>
      </c>
      <c r="I1411">
        <v>2</v>
      </c>
      <c r="J1411">
        <v>5503.57</v>
      </c>
      <c r="K1411">
        <v>0</v>
      </c>
      <c r="L1411" t="s">
        <v>201</v>
      </c>
      <c r="M1411">
        <v>0</v>
      </c>
    </row>
    <row r="1412" spans="1:13" x14ac:dyDescent="0.3">
      <c r="A1412" t="s">
        <v>1621</v>
      </c>
      <c r="B1412">
        <v>87</v>
      </c>
      <c r="C1412" s="1">
        <v>44768</v>
      </c>
      <c r="D1412">
        <v>2022</v>
      </c>
      <c r="E1412" t="s">
        <v>227</v>
      </c>
      <c r="F1412" t="s">
        <v>209</v>
      </c>
      <c r="G1412" t="s">
        <v>200</v>
      </c>
      <c r="H1412" t="s">
        <v>192</v>
      </c>
      <c r="I1412">
        <v>9</v>
      </c>
      <c r="J1412">
        <v>167.88</v>
      </c>
      <c r="K1412">
        <v>0</v>
      </c>
      <c r="L1412" t="s">
        <v>210</v>
      </c>
      <c r="M1412">
        <v>0</v>
      </c>
    </row>
    <row r="1413" spans="1:13" x14ac:dyDescent="0.3">
      <c r="A1413" t="s">
        <v>1622</v>
      </c>
      <c r="B1413">
        <v>87</v>
      </c>
      <c r="C1413" s="1">
        <v>44872</v>
      </c>
      <c r="D1413">
        <v>2022</v>
      </c>
      <c r="E1413" t="s">
        <v>190</v>
      </c>
      <c r="F1413" t="s">
        <v>199</v>
      </c>
      <c r="G1413" t="s">
        <v>191</v>
      </c>
      <c r="H1413" t="s">
        <v>192</v>
      </c>
      <c r="I1413">
        <v>15</v>
      </c>
      <c r="J1413">
        <v>3789.59</v>
      </c>
      <c r="K1413">
        <v>0</v>
      </c>
      <c r="L1413" t="s">
        <v>201</v>
      </c>
      <c r="M1413">
        <v>1</v>
      </c>
    </row>
    <row r="1414" spans="1:13" x14ac:dyDescent="0.3">
      <c r="A1414" t="s">
        <v>1623</v>
      </c>
      <c r="B1414">
        <v>87</v>
      </c>
      <c r="C1414" s="1">
        <v>45222</v>
      </c>
      <c r="D1414">
        <v>2023</v>
      </c>
      <c r="E1414" t="s">
        <v>190</v>
      </c>
      <c r="F1414" t="s">
        <v>199</v>
      </c>
      <c r="G1414" t="s">
        <v>191</v>
      </c>
      <c r="H1414" t="s">
        <v>204</v>
      </c>
      <c r="I1414">
        <v>12</v>
      </c>
      <c r="J1414">
        <v>2820.17</v>
      </c>
      <c r="K1414">
        <v>0</v>
      </c>
      <c r="L1414" t="s">
        <v>201</v>
      </c>
      <c r="M1414">
        <v>0</v>
      </c>
    </row>
    <row r="1415" spans="1:13" x14ac:dyDescent="0.3">
      <c r="A1415" t="s">
        <v>1624</v>
      </c>
      <c r="B1415">
        <v>87</v>
      </c>
      <c r="C1415" s="1">
        <v>45218</v>
      </c>
      <c r="D1415">
        <v>2023</v>
      </c>
      <c r="E1415" t="s">
        <v>214</v>
      </c>
      <c r="F1415" t="s">
        <v>13</v>
      </c>
      <c r="G1415" t="s">
        <v>212</v>
      </c>
      <c r="H1415" t="s">
        <v>195</v>
      </c>
      <c r="I1415">
        <v>17</v>
      </c>
      <c r="J1415">
        <v>3428.63</v>
      </c>
      <c r="K1415">
        <v>0</v>
      </c>
      <c r="L1415" t="s">
        <v>196</v>
      </c>
      <c r="M1415">
        <v>1</v>
      </c>
    </row>
    <row r="1416" spans="1:13" x14ac:dyDescent="0.3">
      <c r="A1416" t="s">
        <v>1625</v>
      </c>
      <c r="B1416">
        <v>87</v>
      </c>
      <c r="C1416" s="1">
        <v>44932</v>
      </c>
      <c r="D1416">
        <v>2023</v>
      </c>
      <c r="E1416" t="s">
        <v>219</v>
      </c>
      <c r="F1416" t="s">
        <v>199</v>
      </c>
      <c r="G1416" t="s">
        <v>203</v>
      </c>
      <c r="H1416" t="s">
        <v>195</v>
      </c>
      <c r="I1416">
        <v>18</v>
      </c>
      <c r="J1416">
        <v>4032.73</v>
      </c>
      <c r="K1416">
        <v>0</v>
      </c>
      <c r="L1416" t="s">
        <v>196</v>
      </c>
      <c r="M1416">
        <v>0</v>
      </c>
    </row>
    <row r="1417" spans="1:13" x14ac:dyDescent="0.3">
      <c r="A1417" t="s">
        <v>1626</v>
      </c>
      <c r="B1417">
        <v>87</v>
      </c>
      <c r="C1417" s="1">
        <v>45005</v>
      </c>
      <c r="D1417">
        <v>2023</v>
      </c>
      <c r="E1417" t="s">
        <v>190</v>
      </c>
      <c r="F1417" t="s">
        <v>13</v>
      </c>
      <c r="G1417" t="s">
        <v>203</v>
      </c>
      <c r="H1417" t="s">
        <v>204</v>
      </c>
      <c r="I1417">
        <v>9</v>
      </c>
      <c r="J1417">
        <v>3118.83</v>
      </c>
      <c r="K1417">
        <v>0</v>
      </c>
      <c r="L1417" t="s">
        <v>210</v>
      </c>
      <c r="M1417">
        <v>0</v>
      </c>
    </row>
    <row r="1418" spans="1:13" x14ac:dyDescent="0.3">
      <c r="A1418" t="s">
        <v>1627</v>
      </c>
      <c r="B1418">
        <v>87</v>
      </c>
      <c r="C1418" s="1">
        <v>45120</v>
      </c>
      <c r="D1418">
        <v>2023</v>
      </c>
      <c r="E1418" t="s">
        <v>214</v>
      </c>
      <c r="F1418" t="s">
        <v>199</v>
      </c>
      <c r="G1418" t="s">
        <v>200</v>
      </c>
      <c r="H1418" t="s">
        <v>192</v>
      </c>
      <c r="I1418">
        <v>14</v>
      </c>
      <c r="J1418">
        <v>2952.91</v>
      </c>
      <c r="K1418">
        <v>0</v>
      </c>
      <c r="L1418" t="s">
        <v>196</v>
      </c>
      <c r="M1418">
        <v>0</v>
      </c>
    </row>
    <row r="1419" spans="1:13" x14ac:dyDescent="0.3">
      <c r="A1419" t="s">
        <v>1628</v>
      </c>
      <c r="B1419">
        <v>87</v>
      </c>
      <c r="C1419" s="1">
        <v>44969</v>
      </c>
      <c r="D1419">
        <v>2023</v>
      </c>
      <c r="E1419" t="s">
        <v>198</v>
      </c>
      <c r="F1419" t="s">
        <v>199</v>
      </c>
      <c r="G1419" t="s">
        <v>212</v>
      </c>
      <c r="H1419" t="s">
        <v>192</v>
      </c>
      <c r="I1419">
        <v>16</v>
      </c>
      <c r="J1419">
        <v>7417.71</v>
      </c>
      <c r="K1419">
        <v>1</v>
      </c>
      <c r="L1419" t="s">
        <v>196</v>
      </c>
      <c r="M1419">
        <v>1</v>
      </c>
    </row>
    <row r="1420" spans="1:13" x14ac:dyDescent="0.3">
      <c r="A1420" t="s">
        <v>1629</v>
      </c>
      <c r="B1420">
        <v>87</v>
      </c>
      <c r="C1420" s="1">
        <v>45466</v>
      </c>
      <c r="D1420">
        <v>2024</v>
      </c>
      <c r="E1420" t="s">
        <v>198</v>
      </c>
      <c r="F1420" t="s">
        <v>199</v>
      </c>
      <c r="G1420" t="s">
        <v>191</v>
      </c>
      <c r="H1420" t="s">
        <v>204</v>
      </c>
      <c r="I1420">
        <v>19</v>
      </c>
      <c r="J1420">
        <v>7887.13</v>
      </c>
      <c r="K1420">
        <v>1</v>
      </c>
      <c r="L1420" t="s">
        <v>201</v>
      </c>
      <c r="M1420">
        <v>0</v>
      </c>
    </row>
    <row r="1421" spans="1:13" x14ac:dyDescent="0.3">
      <c r="A1421" t="s">
        <v>1630</v>
      </c>
      <c r="B1421">
        <v>87</v>
      </c>
      <c r="C1421" s="1">
        <v>45634</v>
      </c>
      <c r="D1421">
        <v>2024</v>
      </c>
      <c r="E1421" t="s">
        <v>198</v>
      </c>
      <c r="F1421" t="s">
        <v>13</v>
      </c>
      <c r="G1421" t="s">
        <v>212</v>
      </c>
      <c r="H1421" t="s">
        <v>206</v>
      </c>
      <c r="I1421">
        <v>20</v>
      </c>
      <c r="J1421">
        <v>2343.59</v>
      </c>
      <c r="K1421">
        <v>1</v>
      </c>
      <c r="L1421" t="s">
        <v>201</v>
      </c>
      <c r="M1421">
        <v>1</v>
      </c>
    </row>
    <row r="1422" spans="1:13" x14ac:dyDescent="0.3">
      <c r="A1422" t="s">
        <v>1631</v>
      </c>
      <c r="B1422">
        <v>87</v>
      </c>
      <c r="C1422" s="1">
        <v>45340</v>
      </c>
      <c r="D1422">
        <v>2024</v>
      </c>
      <c r="E1422" t="s">
        <v>214</v>
      </c>
      <c r="F1422" t="s">
        <v>12</v>
      </c>
      <c r="G1422" t="s">
        <v>212</v>
      </c>
      <c r="H1422" t="s">
        <v>192</v>
      </c>
      <c r="I1422">
        <v>13</v>
      </c>
      <c r="J1422">
        <v>760.24</v>
      </c>
      <c r="K1422">
        <v>0</v>
      </c>
      <c r="L1422" t="s">
        <v>201</v>
      </c>
      <c r="M1422">
        <v>1</v>
      </c>
    </row>
    <row r="1423" spans="1:13" x14ac:dyDescent="0.3">
      <c r="A1423" t="s">
        <v>1632</v>
      </c>
      <c r="B1423">
        <v>87</v>
      </c>
      <c r="C1423" s="1">
        <v>45701</v>
      </c>
      <c r="D1423">
        <v>2025</v>
      </c>
      <c r="E1423" t="s">
        <v>190</v>
      </c>
      <c r="F1423" t="s">
        <v>12</v>
      </c>
      <c r="G1423" t="s">
        <v>212</v>
      </c>
      <c r="H1423" t="s">
        <v>206</v>
      </c>
      <c r="I1423">
        <v>12</v>
      </c>
      <c r="J1423">
        <v>869.05</v>
      </c>
      <c r="K1423">
        <v>0</v>
      </c>
      <c r="L1423" t="s">
        <v>215</v>
      </c>
      <c r="M1423">
        <v>1</v>
      </c>
    </row>
    <row r="1424" spans="1:13" x14ac:dyDescent="0.3">
      <c r="A1424" t="s">
        <v>1633</v>
      </c>
      <c r="B1424">
        <v>87</v>
      </c>
      <c r="C1424" s="1">
        <v>45978</v>
      </c>
      <c r="D1424">
        <v>2025</v>
      </c>
      <c r="E1424" t="s">
        <v>219</v>
      </c>
      <c r="F1424" t="s">
        <v>199</v>
      </c>
      <c r="G1424" t="s">
        <v>203</v>
      </c>
      <c r="H1424" t="s">
        <v>192</v>
      </c>
      <c r="I1424">
        <v>9</v>
      </c>
      <c r="J1424">
        <v>5496.11</v>
      </c>
      <c r="K1424">
        <v>0</v>
      </c>
      <c r="L1424" t="s">
        <v>193</v>
      </c>
      <c r="M1424">
        <v>0</v>
      </c>
    </row>
    <row r="1425" spans="1:13" x14ac:dyDescent="0.3">
      <c r="A1425" t="s">
        <v>1634</v>
      </c>
      <c r="B1425">
        <v>87</v>
      </c>
      <c r="C1425" s="1">
        <v>46012</v>
      </c>
      <c r="D1425">
        <v>2025</v>
      </c>
      <c r="E1425" t="s">
        <v>214</v>
      </c>
      <c r="F1425" t="s">
        <v>13</v>
      </c>
      <c r="G1425" t="s">
        <v>212</v>
      </c>
      <c r="H1425" t="s">
        <v>204</v>
      </c>
      <c r="I1425">
        <v>3</v>
      </c>
      <c r="J1425">
        <v>2204.5500000000002</v>
      </c>
      <c r="K1425">
        <v>0</v>
      </c>
      <c r="L1425" t="s">
        <v>193</v>
      </c>
      <c r="M1425">
        <v>1</v>
      </c>
    </row>
    <row r="1426" spans="1:13" x14ac:dyDescent="0.3">
      <c r="A1426" t="s">
        <v>1635</v>
      </c>
      <c r="B1426">
        <v>88</v>
      </c>
      <c r="C1426" s="1">
        <v>44392</v>
      </c>
      <c r="D1426">
        <v>2021</v>
      </c>
      <c r="E1426" t="s">
        <v>190</v>
      </c>
      <c r="F1426" t="s">
        <v>209</v>
      </c>
      <c r="G1426" t="s">
        <v>203</v>
      </c>
      <c r="H1426" t="s">
        <v>206</v>
      </c>
      <c r="I1426">
        <v>11</v>
      </c>
      <c r="J1426">
        <v>51.38</v>
      </c>
      <c r="K1426">
        <v>0</v>
      </c>
      <c r="L1426" t="s">
        <v>210</v>
      </c>
      <c r="M1426">
        <v>0</v>
      </c>
    </row>
    <row r="1427" spans="1:13" x14ac:dyDescent="0.3">
      <c r="A1427" t="s">
        <v>1636</v>
      </c>
      <c r="B1427">
        <v>88</v>
      </c>
      <c r="C1427" s="1">
        <v>44460</v>
      </c>
      <c r="D1427">
        <v>2021</v>
      </c>
      <c r="E1427" t="s">
        <v>287</v>
      </c>
      <c r="F1427" t="s">
        <v>12</v>
      </c>
      <c r="G1427" t="s">
        <v>212</v>
      </c>
      <c r="H1427" t="s">
        <v>195</v>
      </c>
      <c r="I1427">
        <v>8</v>
      </c>
      <c r="J1427">
        <v>552.29999999999995</v>
      </c>
      <c r="K1427">
        <v>0</v>
      </c>
      <c r="L1427" t="s">
        <v>193</v>
      </c>
      <c r="M1427">
        <v>1</v>
      </c>
    </row>
    <row r="1428" spans="1:13" x14ac:dyDescent="0.3">
      <c r="A1428" t="s">
        <v>1637</v>
      </c>
      <c r="B1428">
        <v>88</v>
      </c>
      <c r="C1428" s="1">
        <v>44723</v>
      </c>
      <c r="D1428">
        <v>2022</v>
      </c>
      <c r="E1428" t="s">
        <v>219</v>
      </c>
      <c r="F1428" t="s">
        <v>13</v>
      </c>
      <c r="G1428" t="s">
        <v>200</v>
      </c>
      <c r="H1428" t="s">
        <v>206</v>
      </c>
      <c r="I1428">
        <v>6</v>
      </c>
      <c r="J1428">
        <v>2809.78</v>
      </c>
      <c r="K1428">
        <v>0</v>
      </c>
      <c r="L1428" t="s">
        <v>201</v>
      </c>
      <c r="M1428">
        <v>0</v>
      </c>
    </row>
    <row r="1429" spans="1:13" x14ac:dyDescent="0.3">
      <c r="A1429" t="s">
        <v>1638</v>
      </c>
      <c r="B1429">
        <v>88</v>
      </c>
      <c r="C1429" s="1">
        <v>44669</v>
      </c>
      <c r="D1429">
        <v>2022</v>
      </c>
      <c r="E1429" t="s">
        <v>214</v>
      </c>
      <c r="F1429" t="s">
        <v>13</v>
      </c>
      <c r="G1429" t="s">
        <v>200</v>
      </c>
      <c r="H1429" t="s">
        <v>204</v>
      </c>
      <c r="I1429">
        <v>17</v>
      </c>
      <c r="J1429">
        <v>1217.32</v>
      </c>
      <c r="K1429">
        <v>0</v>
      </c>
      <c r="L1429" t="s">
        <v>215</v>
      </c>
      <c r="M1429">
        <v>0</v>
      </c>
    </row>
    <row r="1430" spans="1:13" x14ac:dyDescent="0.3">
      <c r="A1430" t="s">
        <v>1639</v>
      </c>
      <c r="B1430">
        <v>88</v>
      </c>
      <c r="C1430" s="1">
        <v>44777</v>
      </c>
      <c r="D1430">
        <v>2022</v>
      </c>
      <c r="E1430" t="s">
        <v>190</v>
      </c>
      <c r="F1430" t="s">
        <v>13</v>
      </c>
      <c r="G1430" t="s">
        <v>203</v>
      </c>
      <c r="H1430" t="s">
        <v>195</v>
      </c>
      <c r="I1430">
        <v>15</v>
      </c>
      <c r="J1430">
        <v>1565.41</v>
      </c>
      <c r="K1430">
        <v>0</v>
      </c>
      <c r="L1430" t="s">
        <v>193</v>
      </c>
      <c r="M1430">
        <v>0</v>
      </c>
    </row>
    <row r="1431" spans="1:13" x14ac:dyDescent="0.3">
      <c r="A1431" t="s">
        <v>1640</v>
      </c>
      <c r="B1431">
        <v>88</v>
      </c>
      <c r="C1431" s="1">
        <v>44740</v>
      </c>
      <c r="D1431">
        <v>2022</v>
      </c>
      <c r="E1431" t="s">
        <v>214</v>
      </c>
      <c r="F1431" t="s">
        <v>199</v>
      </c>
      <c r="G1431" t="s">
        <v>203</v>
      </c>
      <c r="H1431" t="s">
        <v>192</v>
      </c>
      <c r="I1431">
        <v>6</v>
      </c>
      <c r="J1431">
        <v>6065.58</v>
      </c>
      <c r="K1431">
        <v>0</v>
      </c>
      <c r="L1431" t="s">
        <v>193</v>
      </c>
      <c r="M1431">
        <v>0</v>
      </c>
    </row>
    <row r="1432" spans="1:13" x14ac:dyDescent="0.3">
      <c r="A1432" t="s">
        <v>1641</v>
      </c>
      <c r="B1432">
        <v>88</v>
      </c>
      <c r="C1432" s="1">
        <v>45242</v>
      </c>
      <c r="D1432">
        <v>2023</v>
      </c>
      <c r="E1432" t="s">
        <v>190</v>
      </c>
      <c r="F1432" t="s">
        <v>209</v>
      </c>
      <c r="G1432" t="s">
        <v>212</v>
      </c>
      <c r="H1432" t="s">
        <v>204</v>
      </c>
      <c r="I1432">
        <v>7</v>
      </c>
      <c r="J1432">
        <v>356.62</v>
      </c>
      <c r="K1432">
        <v>0</v>
      </c>
      <c r="L1432" t="s">
        <v>215</v>
      </c>
      <c r="M1432">
        <v>1</v>
      </c>
    </row>
    <row r="1433" spans="1:13" x14ac:dyDescent="0.3">
      <c r="A1433" t="s">
        <v>1642</v>
      </c>
      <c r="B1433">
        <v>88</v>
      </c>
      <c r="C1433" s="1">
        <v>45562</v>
      </c>
      <c r="D1433">
        <v>2024</v>
      </c>
      <c r="E1433" t="s">
        <v>190</v>
      </c>
      <c r="F1433" t="s">
        <v>12</v>
      </c>
      <c r="G1433" t="s">
        <v>212</v>
      </c>
      <c r="H1433" t="s">
        <v>195</v>
      </c>
      <c r="I1433">
        <v>2</v>
      </c>
      <c r="J1433">
        <v>541.14</v>
      </c>
      <c r="K1433">
        <v>0</v>
      </c>
      <c r="L1433" t="s">
        <v>215</v>
      </c>
      <c r="M1433">
        <v>1</v>
      </c>
    </row>
    <row r="1434" spans="1:13" x14ac:dyDescent="0.3">
      <c r="A1434" t="s">
        <v>1643</v>
      </c>
      <c r="B1434">
        <v>88</v>
      </c>
      <c r="C1434" s="1">
        <v>45383</v>
      </c>
      <c r="D1434">
        <v>2024</v>
      </c>
      <c r="E1434" t="s">
        <v>214</v>
      </c>
      <c r="F1434" t="s">
        <v>12</v>
      </c>
      <c r="G1434" t="s">
        <v>200</v>
      </c>
      <c r="H1434" t="s">
        <v>204</v>
      </c>
      <c r="I1434">
        <v>8</v>
      </c>
      <c r="J1434">
        <v>329.76</v>
      </c>
      <c r="K1434">
        <v>0</v>
      </c>
      <c r="L1434" t="s">
        <v>193</v>
      </c>
      <c r="M1434">
        <v>0</v>
      </c>
    </row>
    <row r="1435" spans="1:13" x14ac:dyDescent="0.3">
      <c r="A1435" t="s">
        <v>1644</v>
      </c>
      <c r="B1435">
        <v>88</v>
      </c>
      <c r="C1435" s="1">
        <v>45735</v>
      </c>
      <c r="D1435">
        <v>2025</v>
      </c>
      <c r="E1435" t="s">
        <v>190</v>
      </c>
      <c r="F1435" t="s">
        <v>209</v>
      </c>
      <c r="G1435" t="s">
        <v>212</v>
      </c>
      <c r="H1435" t="s">
        <v>195</v>
      </c>
      <c r="I1435">
        <v>4</v>
      </c>
      <c r="J1435">
        <v>89.54</v>
      </c>
      <c r="K1435">
        <v>0</v>
      </c>
      <c r="L1435" t="s">
        <v>210</v>
      </c>
      <c r="M1435">
        <v>1</v>
      </c>
    </row>
    <row r="1436" spans="1:13" x14ac:dyDescent="0.3">
      <c r="A1436" t="s">
        <v>1645</v>
      </c>
      <c r="B1436">
        <v>88</v>
      </c>
      <c r="C1436" s="1">
        <v>45761</v>
      </c>
      <c r="D1436">
        <v>2025</v>
      </c>
      <c r="E1436" t="s">
        <v>219</v>
      </c>
      <c r="F1436" t="s">
        <v>13</v>
      </c>
      <c r="G1436" t="s">
        <v>212</v>
      </c>
      <c r="H1436" t="s">
        <v>195</v>
      </c>
      <c r="I1436">
        <v>12</v>
      </c>
      <c r="J1436">
        <v>1504.44</v>
      </c>
      <c r="K1436">
        <v>0</v>
      </c>
      <c r="L1436" t="s">
        <v>215</v>
      </c>
      <c r="M1436">
        <v>1</v>
      </c>
    </row>
    <row r="1437" spans="1:13" x14ac:dyDescent="0.3">
      <c r="A1437" t="s">
        <v>1646</v>
      </c>
      <c r="B1437">
        <v>89</v>
      </c>
      <c r="C1437" s="1">
        <v>44507</v>
      </c>
      <c r="D1437">
        <v>2021</v>
      </c>
      <c r="E1437" t="s">
        <v>227</v>
      </c>
      <c r="F1437" t="s">
        <v>12</v>
      </c>
      <c r="G1437" t="s">
        <v>203</v>
      </c>
      <c r="H1437" t="s">
        <v>204</v>
      </c>
      <c r="I1437">
        <v>3</v>
      </c>
      <c r="J1437">
        <v>731.12</v>
      </c>
      <c r="K1437">
        <v>0</v>
      </c>
      <c r="L1437" t="s">
        <v>215</v>
      </c>
      <c r="M1437">
        <v>1</v>
      </c>
    </row>
    <row r="1438" spans="1:13" x14ac:dyDescent="0.3">
      <c r="A1438" t="s">
        <v>1647</v>
      </c>
      <c r="B1438">
        <v>89</v>
      </c>
      <c r="C1438" s="1">
        <v>44484</v>
      </c>
      <c r="D1438">
        <v>2021</v>
      </c>
      <c r="E1438" t="s">
        <v>225</v>
      </c>
      <c r="F1438" t="s">
        <v>13</v>
      </c>
      <c r="G1438" t="s">
        <v>191</v>
      </c>
      <c r="H1438" t="s">
        <v>204</v>
      </c>
      <c r="I1438">
        <v>6</v>
      </c>
      <c r="J1438">
        <v>3982.43</v>
      </c>
      <c r="K1438">
        <v>0</v>
      </c>
      <c r="L1438" t="s">
        <v>193</v>
      </c>
      <c r="M1438">
        <v>1</v>
      </c>
    </row>
    <row r="1439" spans="1:13" x14ac:dyDescent="0.3">
      <c r="A1439" t="s">
        <v>1648</v>
      </c>
      <c r="B1439">
        <v>89</v>
      </c>
      <c r="C1439" s="1">
        <v>44533</v>
      </c>
      <c r="D1439">
        <v>2021</v>
      </c>
      <c r="E1439" t="s">
        <v>198</v>
      </c>
      <c r="F1439" t="s">
        <v>13</v>
      </c>
      <c r="G1439" t="s">
        <v>203</v>
      </c>
      <c r="H1439" t="s">
        <v>195</v>
      </c>
      <c r="I1439">
        <v>7</v>
      </c>
      <c r="J1439">
        <v>3883.09</v>
      </c>
      <c r="K1439">
        <v>1</v>
      </c>
      <c r="L1439" t="s">
        <v>210</v>
      </c>
      <c r="M1439">
        <v>1</v>
      </c>
    </row>
    <row r="1440" spans="1:13" x14ac:dyDescent="0.3">
      <c r="A1440" t="s">
        <v>1649</v>
      </c>
      <c r="B1440">
        <v>89</v>
      </c>
      <c r="C1440" s="1">
        <v>44417</v>
      </c>
      <c r="D1440">
        <v>2021</v>
      </c>
      <c r="E1440" t="s">
        <v>227</v>
      </c>
      <c r="F1440" t="s">
        <v>12</v>
      </c>
      <c r="G1440" t="s">
        <v>191</v>
      </c>
      <c r="H1440" t="s">
        <v>195</v>
      </c>
      <c r="I1440">
        <v>16</v>
      </c>
      <c r="J1440">
        <v>702.36</v>
      </c>
      <c r="K1440">
        <v>0</v>
      </c>
      <c r="L1440" t="s">
        <v>210</v>
      </c>
      <c r="M1440">
        <v>0</v>
      </c>
    </row>
    <row r="1441" spans="1:13" x14ac:dyDescent="0.3">
      <c r="A1441" t="s">
        <v>1650</v>
      </c>
      <c r="B1441">
        <v>89</v>
      </c>
      <c r="C1441" s="1">
        <v>44371</v>
      </c>
      <c r="D1441">
        <v>2021</v>
      </c>
      <c r="E1441" t="s">
        <v>227</v>
      </c>
      <c r="F1441" t="s">
        <v>12</v>
      </c>
      <c r="G1441" t="s">
        <v>212</v>
      </c>
      <c r="H1441" t="s">
        <v>192</v>
      </c>
      <c r="I1441">
        <v>7</v>
      </c>
      <c r="J1441">
        <v>920.57</v>
      </c>
      <c r="K1441">
        <v>0</v>
      </c>
      <c r="L1441" t="s">
        <v>201</v>
      </c>
      <c r="M1441">
        <v>1</v>
      </c>
    </row>
    <row r="1442" spans="1:13" x14ac:dyDescent="0.3">
      <c r="A1442" t="s">
        <v>1651</v>
      </c>
      <c r="B1442">
        <v>89</v>
      </c>
      <c r="C1442" s="1">
        <v>44446</v>
      </c>
      <c r="D1442">
        <v>2021</v>
      </c>
      <c r="E1442" t="s">
        <v>190</v>
      </c>
      <c r="F1442" t="s">
        <v>199</v>
      </c>
      <c r="G1442" t="s">
        <v>203</v>
      </c>
      <c r="H1442" t="s">
        <v>192</v>
      </c>
      <c r="I1442">
        <v>11</v>
      </c>
      <c r="J1442">
        <v>5588.6</v>
      </c>
      <c r="K1442">
        <v>0</v>
      </c>
      <c r="L1442" t="s">
        <v>196</v>
      </c>
      <c r="M1442">
        <v>1</v>
      </c>
    </row>
    <row r="1443" spans="1:13" x14ac:dyDescent="0.3">
      <c r="A1443" t="s">
        <v>1652</v>
      </c>
      <c r="B1443">
        <v>89</v>
      </c>
      <c r="C1443" s="1">
        <v>44871</v>
      </c>
      <c r="D1443">
        <v>2022</v>
      </c>
      <c r="E1443" t="s">
        <v>198</v>
      </c>
      <c r="F1443" t="s">
        <v>12</v>
      </c>
      <c r="G1443" t="s">
        <v>212</v>
      </c>
      <c r="H1443" t="s">
        <v>195</v>
      </c>
      <c r="I1443">
        <v>14</v>
      </c>
      <c r="J1443">
        <v>550.41999999999996</v>
      </c>
      <c r="K1443">
        <v>1</v>
      </c>
      <c r="L1443" t="s">
        <v>201</v>
      </c>
      <c r="M1443">
        <v>1</v>
      </c>
    </row>
    <row r="1444" spans="1:13" x14ac:dyDescent="0.3">
      <c r="A1444" t="s">
        <v>1653</v>
      </c>
      <c r="B1444">
        <v>89</v>
      </c>
      <c r="C1444" s="1">
        <v>44789</v>
      </c>
      <c r="D1444">
        <v>2022</v>
      </c>
      <c r="E1444" t="s">
        <v>219</v>
      </c>
      <c r="F1444" t="s">
        <v>199</v>
      </c>
      <c r="G1444" t="s">
        <v>203</v>
      </c>
      <c r="H1444" t="s">
        <v>195</v>
      </c>
      <c r="I1444">
        <v>16</v>
      </c>
      <c r="J1444">
        <v>7361.02</v>
      </c>
      <c r="K1444">
        <v>0</v>
      </c>
      <c r="L1444" t="s">
        <v>201</v>
      </c>
      <c r="M1444">
        <v>0</v>
      </c>
    </row>
    <row r="1445" spans="1:13" x14ac:dyDescent="0.3">
      <c r="A1445" t="s">
        <v>1654</v>
      </c>
      <c r="B1445">
        <v>89</v>
      </c>
      <c r="C1445" s="1">
        <v>44892</v>
      </c>
      <c r="D1445">
        <v>2022</v>
      </c>
      <c r="E1445" t="s">
        <v>225</v>
      </c>
      <c r="F1445" t="s">
        <v>199</v>
      </c>
      <c r="G1445" t="s">
        <v>191</v>
      </c>
      <c r="H1445" t="s">
        <v>195</v>
      </c>
      <c r="I1445">
        <v>1</v>
      </c>
      <c r="J1445">
        <v>7265.86</v>
      </c>
      <c r="K1445">
        <v>0</v>
      </c>
      <c r="L1445" t="s">
        <v>196</v>
      </c>
      <c r="M1445">
        <v>1</v>
      </c>
    </row>
    <row r="1446" spans="1:13" x14ac:dyDescent="0.3">
      <c r="A1446" t="s">
        <v>1655</v>
      </c>
      <c r="B1446">
        <v>89</v>
      </c>
      <c r="C1446" s="1">
        <v>44692</v>
      </c>
      <c r="D1446">
        <v>2022</v>
      </c>
      <c r="E1446" t="s">
        <v>225</v>
      </c>
      <c r="F1446" t="s">
        <v>13</v>
      </c>
      <c r="G1446" t="s">
        <v>212</v>
      </c>
      <c r="H1446" t="s">
        <v>192</v>
      </c>
      <c r="I1446">
        <v>2</v>
      </c>
      <c r="J1446">
        <v>1495.55</v>
      </c>
      <c r="K1446">
        <v>0</v>
      </c>
      <c r="L1446" t="s">
        <v>193</v>
      </c>
      <c r="M1446">
        <v>1</v>
      </c>
    </row>
    <row r="1447" spans="1:13" x14ac:dyDescent="0.3">
      <c r="A1447" t="s">
        <v>1656</v>
      </c>
      <c r="B1447">
        <v>89</v>
      </c>
      <c r="C1447" s="1">
        <v>44660</v>
      </c>
      <c r="D1447">
        <v>2022</v>
      </c>
      <c r="E1447" t="s">
        <v>198</v>
      </c>
      <c r="F1447" t="s">
        <v>199</v>
      </c>
      <c r="G1447" t="s">
        <v>212</v>
      </c>
      <c r="H1447" t="s">
        <v>206</v>
      </c>
      <c r="I1447">
        <v>5</v>
      </c>
      <c r="J1447">
        <v>2751.23</v>
      </c>
      <c r="K1447">
        <v>1</v>
      </c>
      <c r="L1447" t="s">
        <v>201</v>
      </c>
      <c r="M1447">
        <v>1</v>
      </c>
    </row>
    <row r="1448" spans="1:13" x14ac:dyDescent="0.3">
      <c r="A1448" t="s">
        <v>1657</v>
      </c>
      <c r="B1448">
        <v>89</v>
      </c>
      <c r="C1448" s="1">
        <v>44911</v>
      </c>
      <c r="D1448">
        <v>2022</v>
      </c>
      <c r="E1448" t="s">
        <v>198</v>
      </c>
      <c r="F1448" t="s">
        <v>13</v>
      </c>
      <c r="G1448" t="s">
        <v>203</v>
      </c>
      <c r="H1448" t="s">
        <v>204</v>
      </c>
      <c r="I1448">
        <v>14</v>
      </c>
      <c r="J1448">
        <v>2036.08</v>
      </c>
      <c r="K1448">
        <v>1</v>
      </c>
      <c r="L1448" t="s">
        <v>196</v>
      </c>
      <c r="M1448">
        <v>0</v>
      </c>
    </row>
    <row r="1449" spans="1:13" x14ac:dyDescent="0.3">
      <c r="A1449" t="s">
        <v>1658</v>
      </c>
      <c r="B1449">
        <v>89</v>
      </c>
      <c r="C1449" s="1">
        <v>44971</v>
      </c>
      <c r="D1449">
        <v>2023</v>
      </c>
      <c r="E1449" t="s">
        <v>214</v>
      </c>
      <c r="F1449" t="s">
        <v>12</v>
      </c>
      <c r="G1449" t="s">
        <v>212</v>
      </c>
      <c r="H1449" t="s">
        <v>204</v>
      </c>
      <c r="I1449">
        <v>8</v>
      </c>
      <c r="J1449">
        <v>1095.73</v>
      </c>
      <c r="K1449">
        <v>0</v>
      </c>
      <c r="L1449" t="s">
        <v>201</v>
      </c>
      <c r="M1449">
        <v>1</v>
      </c>
    </row>
    <row r="1450" spans="1:13" x14ac:dyDescent="0.3">
      <c r="A1450" t="s">
        <v>1659</v>
      </c>
      <c r="B1450">
        <v>89</v>
      </c>
      <c r="C1450" s="1">
        <v>45444</v>
      </c>
      <c r="D1450">
        <v>2024</v>
      </c>
      <c r="E1450" t="s">
        <v>190</v>
      </c>
      <c r="F1450" t="s">
        <v>199</v>
      </c>
      <c r="G1450" t="s">
        <v>200</v>
      </c>
      <c r="H1450" t="s">
        <v>195</v>
      </c>
      <c r="I1450">
        <v>15</v>
      </c>
      <c r="J1450">
        <v>3748.37</v>
      </c>
      <c r="K1450">
        <v>0</v>
      </c>
      <c r="L1450" t="s">
        <v>193</v>
      </c>
      <c r="M1450">
        <v>0</v>
      </c>
    </row>
    <row r="1451" spans="1:13" x14ac:dyDescent="0.3">
      <c r="A1451" t="s">
        <v>1660</v>
      </c>
      <c r="B1451">
        <v>89</v>
      </c>
      <c r="C1451" s="1">
        <v>45618</v>
      </c>
      <c r="D1451">
        <v>2024</v>
      </c>
      <c r="E1451" t="s">
        <v>190</v>
      </c>
      <c r="F1451" t="s">
        <v>209</v>
      </c>
      <c r="G1451" t="s">
        <v>212</v>
      </c>
      <c r="H1451" t="s">
        <v>192</v>
      </c>
      <c r="I1451">
        <v>4</v>
      </c>
      <c r="J1451">
        <v>515.08000000000004</v>
      </c>
      <c r="K1451">
        <v>0</v>
      </c>
      <c r="L1451" t="s">
        <v>201</v>
      </c>
      <c r="M1451">
        <v>1</v>
      </c>
    </row>
    <row r="1452" spans="1:13" x14ac:dyDescent="0.3">
      <c r="A1452" t="s">
        <v>1661</v>
      </c>
      <c r="B1452">
        <v>89</v>
      </c>
      <c r="C1452" s="1">
        <v>45693</v>
      </c>
      <c r="D1452">
        <v>2025</v>
      </c>
      <c r="E1452" t="s">
        <v>198</v>
      </c>
      <c r="F1452" t="s">
        <v>13</v>
      </c>
      <c r="G1452" t="s">
        <v>203</v>
      </c>
      <c r="H1452" t="s">
        <v>195</v>
      </c>
      <c r="I1452">
        <v>10</v>
      </c>
      <c r="J1452">
        <v>2382.16</v>
      </c>
      <c r="K1452">
        <v>1</v>
      </c>
      <c r="L1452" t="s">
        <v>201</v>
      </c>
      <c r="M1452">
        <v>1</v>
      </c>
    </row>
    <row r="1453" spans="1:13" x14ac:dyDescent="0.3">
      <c r="A1453" t="s">
        <v>1662</v>
      </c>
      <c r="B1453">
        <v>89</v>
      </c>
      <c r="C1453" s="1">
        <v>45844</v>
      </c>
      <c r="D1453">
        <v>2025</v>
      </c>
      <c r="E1453" t="s">
        <v>225</v>
      </c>
      <c r="F1453" t="s">
        <v>13</v>
      </c>
      <c r="G1453" t="s">
        <v>212</v>
      </c>
      <c r="H1453" t="s">
        <v>204</v>
      </c>
      <c r="I1453">
        <v>7</v>
      </c>
      <c r="J1453">
        <v>2662.02</v>
      </c>
      <c r="K1453">
        <v>0</v>
      </c>
      <c r="L1453" t="s">
        <v>193</v>
      </c>
      <c r="M1453">
        <v>1</v>
      </c>
    </row>
    <row r="1454" spans="1:13" x14ac:dyDescent="0.3">
      <c r="A1454" t="s">
        <v>1663</v>
      </c>
      <c r="B1454">
        <v>89</v>
      </c>
      <c r="C1454" s="1">
        <v>45811</v>
      </c>
      <c r="D1454">
        <v>2025</v>
      </c>
      <c r="E1454" t="s">
        <v>198</v>
      </c>
      <c r="F1454" t="s">
        <v>13</v>
      </c>
      <c r="G1454" t="s">
        <v>191</v>
      </c>
      <c r="H1454" t="s">
        <v>204</v>
      </c>
      <c r="I1454">
        <v>10</v>
      </c>
      <c r="J1454">
        <v>3471.39</v>
      </c>
      <c r="K1454">
        <v>1</v>
      </c>
      <c r="L1454" t="s">
        <v>196</v>
      </c>
      <c r="M1454">
        <v>0</v>
      </c>
    </row>
    <row r="1455" spans="1:13" x14ac:dyDescent="0.3">
      <c r="A1455" t="s">
        <v>1664</v>
      </c>
      <c r="B1455">
        <v>90</v>
      </c>
      <c r="C1455" s="1">
        <v>44430</v>
      </c>
      <c r="D1455">
        <v>2021</v>
      </c>
      <c r="E1455" t="s">
        <v>190</v>
      </c>
      <c r="F1455" t="s">
        <v>12</v>
      </c>
      <c r="G1455" t="s">
        <v>212</v>
      </c>
      <c r="H1455" t="s">
        <v>204</v>
      </c>
      <c r="I1455">
        <v>13</v>
      </c>
      <c r="J1455">
        <v>1105.33</v>
      </c>
      <c r="K1455">
        <v>0</v>
      </c>
      <c r="L1455" t="s">
        <v>215</v>
      </c>
      <c r="M1455">
        <v>1</v>
      </c>
    </row>
    <row r="1456" spans="1:13" x14ac:dyDescent="0.3">
      <c r="A1456" t="s">
        <v>1665</v>
      </c>
      <c r="B1456">
        <v>90</v>
      </c>
      <c r="C1456" s="1">
        <v>44382</v>
      </c>
      <c r="D1456">
        <v>2021</v>
      </c>
      <c r="E1456" t="s">
        <v>214</v>
      </c>
      <c r="F1456" t="s">
        <v>13</v>
      </c>
      <c r="G1456" t="s">
        <v>200</v>
      </c>
      <c r="H1456" t="s">
        <v>195</v>
      </c>
      <c r="I1456">
        <v>3</v>
      </c>
      <c r="J1456">
        <v>1742.35</v>
      </c>
      <c r="K1456">
        <v>0</v>
      </c>
      <c r="L1456" t="s">
        <v>193</v>
      </c>
      <c r="M1456">
        <v>1</v>
      </c>
    </row>
    <row r="1457" spans="1:13" x14ac:dyDescent="0.3">
      <c r="A1457" t="s">
        <v>1666</v>
      </c>
      <c r="B1457">
        <v>90</v>
      </c>
      <c r="C1457" s="1">
        <v>44249</v>
      </c>
      <c r="D1457">
        <v>2021</v>
      </c>
      <c r="E1457" t="s">
        <v>214</v>
      </c>
      <c r="F1457" t="s">
        <v>13</v>
      </c>
      <c r="G1457" t="s">
        <v>191</v>
      </c>
      <c r="H1457" t="s">
        <v>204</v>
      </c>
      <c r="I1457">
        <v>14</v>
      </c>
      <c r="J1457">
        <v>3287.49</v>
      </c>
      <c r="K1457">
        <v>0</v>
      </c>
      <c r="L1457" t="s">
        <v>196</v>
      </c>
      <c r="M1457">
        <v>0</v>
      </c>
    </row>
    <row r="1458" spans="1:13" x14ac:dyDescent="0.3">
      <c r="A1458" t="s">
        <v>1667</v>
      </c>
      <c r="B1458">
        <v>90</v>
      </c>
      <c r="C1458" s="1">
        <v>44645</v>
      </c>
      <c r="D1458">
        <v>2022</v>
      </c>
      <c r="E1458" t="s">
        <v>214</v>
      </c>
      <c r="F1458" t="s">
        <v>12</v>
      </c>
      <c r="G1458" t="s">
        <v>212</v>
      </c>
      <c r="H1458" t="s">
        <v>206</v>
      </c>
      <c r="I1458">
        <v>3</v>
      </c>
      <c r="J1458">
        <v>1229.42</v>
      </c>
      <c r="K1458">
        <v>0</v>
      </c>
      <c r="L1458" t="s">
        <v>201</v>
      </c>
      <c r="M1458">
        <v>1</v>
      </c>
    </row>
    <row r="1459" spans="1:13" x14ac:dyDescent="0.3">
      <c r="A1459" t="s">
        <v>1668</v>
      </c>
      <c r="B1459">
        <v>90</v>
      </c>
      <c r="C1459" s="1">
        <v>45201</v>
      </c>
      <c r="D1459">
        <v>2023</v>
      </c>
      <c r="E1459" t="s">
        <v>214</v>
      </c>
      <c r="F1459" t="s">
        <v>12</v>
      </c>
      <c r="G1459" t="s">
        <v>200</v>
      </c>
      <c r="H1459" t="s">
        <v>204</v>
      </c>
      <c r="I1459">
        <v>12</v>
      </c>
      <c r="J1459">
        <v>1403.68</v>
      </c>
      <c r="K1459">
        <v>0</v>
      </c>
      <c r="L1459" t="s">
        <v>210</v>
      </c>
      <c r="M1459">
        <v>0</v>
      </c>
    </row>
    <row r="1460" spans="1:13" x14ac:dyDescent="0.3">
      <c r="A1460" t="s">
        <v>1669</v>
      </c>
      <c r="B1460">
        <v>90</v>
      </c>
      <c r="C1460" s="1">
        <v>45140</v>
      </c>
      <c r="D1460">
        <v>2023</v>
      </c>
      <c r="E1460" t="s">
        <v>227</v>
      </c>
      <c r="F1460" t="s">
        <v>12</v>
      </c>
      <c r="G1460" t="s">
        <v>212</v>
      </c>
      <c r="H1460" t="s">
        <v>192</v>
      </c>
      <c r="I1460">
        <v>9</v>
      </c>
      <c r="J1460">
        <v>1276.1099999999999</v>
      </c>
      <c r="K1460">
        <v>0</v>
      </c>
      <c r="L1460" t="s">
        <v>215</v>
      </c>
      <c r="M1460">
        <v>1</v>
      </c>
    </row>
    <row r="1461" spans="1:13" x14ac:dyDescent="0.3">
      <c r="A1461" t="s">
        <v>1670</v>
      </c>
      <c r="B1461">
        <v>90</v>
      </c>
      <c r="C1461" s="1">
        <v>45122</v>
      </c>
      <c r="D1461">
        <v>2023</v>
      </c>
      <c r="E1461" t="s">
        <v>198</v>
      </c>
      <c r="F1461" t="s">
        <v>13</v>
      </c>
      <c r="G1461" t="s">
        <v>191</v>
      </c>
      <c r="H1461" t="s">
        <v>192</v>
      </c>
      <c r="I1461">
        <v>10</v>
      </c>
      <c r="J1461">
        <v>1645.94</v>
      </c>
      <c r="K1461">
        <v>1</v>
      </c>
      <c r="L1461" t="s">
        <v>210</v>
      </c>
      <c r="M1461">
        <v>0</v>
      </c>
    </row>
    <row r="1462" spans="1:13" x14ac:dyDescent="0.3">
      <c r="A1462" t="s">
        <v>1671</v>
      </c>
      <c r="B1462">
        <v>90</v>
      </c>
      <c r="C1462" s="1">
        <v>45537</v>
      </c>
      <c r="D1462">
        <v>2024</v>
      </c>
      <c r="E1462" t="s">
        <v>225</v>
      </c>
      <c r="F1462" t="s">
        <v>13</v>
      </c>
      <c r="G1462" t="s">
        <v>212</v>
      </c>
      <c r="H1462" t="s">
        <v>192</v>
      </c>
      <c r="I1462">
        <v>7</v>
      </c>
      <c r="J1462">
        <v>2107.89</v>
      </c>
      <c r="K1462">
        <v>0</v>
      </c>
      <c r="L1462" t="s">
        <v>215</v>
      </c>
      <c r="M1462">
        <v>1</v>
      </c>
    </row>
    <row r="1463" spans="1:13" x14ac:dyDescent="0.3">
      <c r="A1463" t="s">
        <v>1672</v>
      </c>
      <c r="B1463">
        <v>90</v>
      </c>
      <c r="C1463" s="1">
        <v>45445</v>
      </c>
      <c r="D1463">
        <v>2024</v>
      </c>
      <c r="E1463" t="s">
        <v>214</v>
      </c>
      <c r="F1463" t="s">
        <v>209</v>
      </c>
      <c r="G1463" t="s">
        <v>203</v>
      </c>
      <c r="H1463" t="s">
        <v>192</v>
      </c>
      <c r="I1463">
        <v>7</v>
      </c>
      <c r="J1463">
        <v>282.83</v>
      </c>
      <c r="K1463">
        <v>0</v>
      </c>
      <c r="L1463" t="s">
        <v>215</v>
      </c>
      <c r="M1463">
        <v>0</v>
      </c>
    </row>
    <row r="1464" spans="1:13" x14ac:dyDescent="0.3">
      <c r="A1464" t="s">
        <v>1673</v>
      </c>
      <c r="B1464">
        <v>90</v>
      </c>
      <c r="C1464" s="1">
        <v>45585</v>
      </c>
      <c r="D1464">
        <v>2024</v>
      </c>
      <c r="E1464" t="s">
        <v>198</v>
      </c>
      <c r="F1464" t="s">
        <v>13</v>
      </c>
      <c r="G1464" t="s">
        <v>191</v>
      </c>
      <c r="H1464" t="s">
        <v>195</v>
      </c>
      <c r="I1464">
        <v>13</v>
      </c>
      <c r="J1464">
        <v>1582.25</v>
      </c>
      <c r="K1464">
        <v>1</v>
      </c>
      <c r="L1464" t="s">
        <v>193</v>
      </c>
      <c r="M1464">
        <v>0</v>
      </c>
    </row>
    <row r="1465" spans="1:13" x14ac:dyDescent="0.3">
      <c r="A1465" t="s">
        <v>1674</v>
      </c>
      <c r="B1465">
        <v>90</v>
      </c>
      <c r="C1465" s="1">
        <v>45761</v>
      </c>
      <c r="D1465">
        <v>2025</v>
      </c>
      <c r="E1465" t="s">
        <v>190</v>
      </c>
      <c r="F1465" t="s">
        <v>12</v>
      </c>
      <c r="G1465" t="s">
        <v>191</v>
      </c>
      <c r="H1465" t="s">
        <v>204</v>
      </c>
      <c r="I1465">
        <v>3</v>
      </c>
      <c r="J1465">
        <v>297.67</v>
      </c>
      <c r="K1465">
        <v>0</v>
      </c>
      <c r="L1465" t="s">
        <v>215</v>
      </c>
      <c r="M1465">
        <v>1</v>
      </c>
    </row>
    <row r="1466" spans="1:13" x14ac:dyDescent="0.3">
      <c r="A1466" t="s">
        <v>1675</v>
      </c>
      <c r="B1466">
        <v>90</v>
      </c>
      <c r="C1466" s="1">
        <v>45885</v>
      </c>
      <c r="D1466">
        <v>2025</v>
      </c>
      <c r="E1466" t="s">
        <v>214</v>
      </c>
      <c r="F1466" t="s">
        <v>12</v>
      </c>
      <c r="G1466" t="s">
        <v>203</v>
      </c>
      <c r="H1466" t="s">
        <v>195</v>
      </c>
      <c r="I1466">
        <v>10</v>
      </c>
      <c r="J1466">
        <v>1104.1500000000001</v>
      </c>
      <c r="K1466">
        <v>0</v>
      </c>
      <c r="L1466" t="s">
        <v>201</v>
      </c>
      <c r="M1466">
        <v>0</v>
      </c>
    </row>
    <row r="1467" spans="1:13" x14ac:dyDescent="0.3">
      <c r="A1467" t="s">
        <v>1676</v>
      </c>
      <c r="B1467">
        <v>91</v>
      </c>
      <c r="C1467" s="1">
        <v>44403</v>
      </c>
      <c r="D1467">
        <v>2021</v>
      </c>
      <c r="E1467" t="s">
        <v>190</v>
      </c>
      <c r="F1467" t="s">
        <v>199</v>
      </c>
      <c r="G1467" t="s">
        <v>191</v>
      </c>
      <c r="H1467" t="s">
        <v>195</v>
      </c>
      <c r="I1467">
        <v>8</v>
      </c>
      <c r="J1467">
        <v>3389.48</v>
      </c>
      <c r="K1467">
        <v>0</v>
      </c>
      <c r="L1467" t="s">
        <v>193</v>
      </c>
      <c r="M1467">
        <v>0</v>
      </c>
    </row>
    <row r="1468" spans="1:13" x14ac:dyDescent="0.3">
      <c r="A1468" t="s">
        <v>1677</v>
      </c>
      <c r="B1468">
        <v>91</v>
      </c>
      <c r="C1468" s="1">
        <v>44251</v>
      </c>
      <c r="D1468">
        <v>2021</v>
      </c>
      <c r="E1468" t="s">
        <v>214</v>
      </c>
      <c r="F1468" t="s">
        <v>13</v>
      </c>
      <c r="G1468" t="s">
        <v>203</v>
      </c>
      <c r="H1468" t="s">
        <v>206</v>
      </c>
      <c r="I1468">
        <v>5</v>
      </c>
      <c r="J1468">
        <v>1470.19</v>
      </c>
      <c r="K1468">
        <v>0</v>
      </c>
      <c r="L1468" t="s">
        <v>193</v>
      </c>
      <c r="M1468">
        <v>0</v>
      </c>
    </row>
    <row r="1469" spans="1:13" x14ac:dyDescent="0.3">
      <c r="A1469" t="s">
        <v>1678</v>
      </c>
      <c r="B1469">
        <v>91</v>
      </c>
      <c r="C1469" s="1">
        <v>44253</v>
      </c>
      <c r="D1469">
        <v>2021</v>
      </c>
      <c r="E1469" t="s">
        <v>214</v>
      </c>
      <c r="F1469" t="s">
        <v>12</v>
      </c>
      <c r="G1469" t="s">
        <v>212</v>
      </c>
      <c r="H1469" t="s">
        <v>195</v>
      </c>
      <c r="I1469">
        <v>3</v>
      </c>
      <c r="J1469">
        <v>392.39</v>
      </c>
      <c r="K1469">
        <v>0</v>
      </c>
      <c r="L1469" t="s">
        <v>210</v>
      </c>
      <c r="M1469">
        <v>1</v>
      </c>
    </row>
    <row r="1470" spans="1:13" x14ac:dyDescent="0.3">
      <c r="A1470" t="s">
        <v>1679</v>
      </c>
      <c r="B1470">
        <v>91</v>
      </c>
      <c r="C1470" s="1">
        <v>44461</v>
      </c>
      <c r="D1470">
        <v>2021</v>
      </c>
      <c r="E1470" t="s">
        <v>214</v>
      </c>
      <c r="F1470" t="s">
        <v>209</v>
      </c>
      <c r="G1470" t="s">
        <v>212</v>
      </c>
      <c r="H1470" t="s">
        <v>204</v>
      </c>
      <c r="I1470">
        <v>12</v>
      </c>
      <c r="J1470">
        <v>356.91</v>
      </c>
      <c r="K1470">
        <v>0</v>
      </c>
      <c r="L1470" t="s">
        <v>215</v>
      </c>
      <c r="M1470">
        <v>1</v>
      </c>
    </row>
    <row r="1471" spans="1:13" x14ac:dyDescent="0.3">
      <c r="A1471" t="s">
        <v>1680</v>
      </c>
      <c r="B1471">
        <v>91</v>
      </c>
      <c r="C1471" s="1">
        <v>44653</v>
      </c>
      <c r="D1471">
        <v>2022</v>
      </c>
      <c r="E1471" t="s">
        <v>214</v>
      </c>
      <c r="F1471" t="s">
        <v>12</v>
      </c>
      <c r="G1471" t="s">
        <v>200</v>
      </c>
      <c r="H1471" t="s">
        <v>204</v>
      </c>
      <c r="I1471">
        <v>7</v>
      </c>
      <c r="J1471">
        <v>257.35000000000002</v>
      </c>
      <c r="K1471">
        <v>0</v>
      </c>
      <c r="L1471" t="s">
        <v>210</v>
      </c>
      <c r="M1471">
        <v>1</v>
      </c>
    </row>
    <row r="1472" spans="1:13" x14ac:dyDescent="0.3">
      <c r="A1472" t="s">
        <v>1681</v>
      </c>
      <c r="B1472">
        <v>91</v>
      </c>
      <c r="C1472" s="1">
        <v>44669</v>
      </c>
      <c r="D1472">
        <v>2022</v>
      </c>
      <c r="E1472" t="s">
        <v>214</v>
      </c>
      <c r="F1472" t="s">
        <v>13</v>
      </c>
      <c r="G1472" t="s">
        <v>191</v>
      </c>
      <c r="H1472" t="s">
        <v>195</v>
      </c>
      <c r="I1472">
        <v>2</v>
      </c>
      <c r="J1472">
        <v>1929.04</v>
      </c>
      <c r="K1472">
        <v>0</v>
      </c>
      <c r="L1472" t="s">
        <v>196</v>
      </c>
      <c r="M1472">
        <v>0</v>
      </c>
    </row>
    <row r="1473" spans="1:13" x14ac:dyDescent="0.3">
      <c r="A1473" t="s">
        <v>1682</v>
      </c>
      <c r="B1473">
        <v>91</v>
      </c>
      <c r="C1473" s="1">
        <v>44817</v>
      </c>
      <c r="D1473">
        <v>2022</v>
      </c>
      <c r="E1473" t="s">
        <v>214</v>
      </c>
      <c r="F1473" t="s">
        <v>12</v>
      </c>
      <c r="G1473" t="s">
        <v>203</v>
      </c>
      <c r="H1473" t="s">
        <v>204</v>
      </c>
      <c r="I1473">
        <v>13</v>
      </c>
      <c r="J1473">
        <v>590.25</v>
      </c>
      <c r="K1473">
        <v>0</v>
      </c>
      <c r="L1473" t="s">
        <v>210</v>
      </c>
      <c r="M1473">
        <v>0</v>
      </c>
    </row>
    <row r="1474" spans="1:13" x14ac:dyDescent="0.3">
      <c r="A1474" t="s">
        <v>1683</v>
      </c>
      <c r="B1474">
        <v>91</v>
      </c>
      <c r="C1474" s="1">
        <v>44764</v>
      </c>
      <c r="D1474">
        <v>2022</v>
      </c>
      <c r="E1474" t="s">
        <v>219</v>
      </c>
      <c r="F1474" t="s">
        <v>13</v>
      </c>
      <c r="G1474" t="s">
        <v>203</v>
      </c>
      <c r="H1474" t="s">
        <v>195</v>
      </c>
      <c r="I1474">
        <v>15</v>
      </c>
      <c r="J1474">
        <v>3132.95</v>
      </c>
      <c r="K1474">
        <v>0</v>
      </c>
      <c r="L1474" t="s">
        <v>215</v>
      </c>
      <c r="M1474">
        <v>0</v>
      </c>
    </row>
    <row r="1475" spans="1:13" x14ac:dyDescent="0.3">
      <c r="A1475" t="s">
        <v>1684</v>
      </c>
      <c r="B1475">
        <v>91</v>
      </c>
      <c r="C1475" s="1">
        <v>44594</v>
      </c>
      <c r="D1475">
        <v>2022</v>
      </c>
      <c r="E1475" t="s">
        <v>214</v>
      </c>
      <c r="F1475" t="s">
        <v>12</v>
      </c>
      <c r="G1475" t="s">
        <v>212</v>
      </c>
      <c r="H1475" t="s">
        <v>195</v>
      </c>
      <c r="I1475">
        <v>14</v>
      </c>
      <c r="J1475">
        <v>465.65</v>
      </c>
      <c r="K1475">
        <v>0</v>
      </c>
      <c r="L1475" t="s">
        <v>215</v>
      </c>
      <c r="M1475">
        <v>1</v>
      </c>
    </row>
    <row r="1476" spans="1:13" x14ac:dyDescent="0.3">
      <c r="A1476" t="s">
        <v>1685</v>
      </c>
      <c r="B1476">
        <v>91</v>
      </c>
      <c r="C1476" s="1">
        <v>45024</v>
      </c>
      <c r="D1476">
        <v>2023</v>
      </c>
      <c r="E1476" t="s">
        <v>214</v>
      </c>
      <c r="F1476" t="s">
        <v>13</v>
      </c>
      <c r="G1476" t="s">
        <v>200</v>
      </c>
      <c r="H1476" t="s">
        <v>195</v>
      </c>
      <c r="I1476">
        <v>14</v>
      </c>
      <c r="J1476">
        <v>2972.6</v>
      </c>
      <c r="K1476">
        <v>1</v>
      </c>
      <c r="L1476" t="s">
        <v>201</v>
      </c>
      <c r="M1476">
        <v>0</v>
      </c>
    </row>
    <row r="1477" spans="1:13" x14ac:dyDescent="0.3">
      <c r="A1477" t="s">
        <v>1686</v>
      </c>
      <c r="B1477">
        <v>91</v>
      </c>
      <c r="C1477" s="1">
        <v>45193</v>
      </c>
      <c r="D1477">
        <v>2023</v>
      </c>
      <c r="E1477" t="s">
        <v>198</v>
      </c>
      <c r="F1477" t="s">
        <v>13</v>
      </c>
      <c r="G1477" t="s">
        <v>191</v>
      </c>
      <c r="H1477" t="s">
        <v>204</v>
      </c>
      <c r="I1477">
        <v>12</v>
      </c>
      <c r="J1477">
        <v>2568.92</v>
      </c>
      <c r="K1477">
        <v>1</v>
      </c>
      <c r="L1477" t="s">
        <v>193</v>
      </c>
      <c r="M1477">
        <v>0</v>
      </c>
    </row>
    <row r="1478" spans="1:13" x14ac:dyDescent="0.3">
      <c r="A1478" t="s">
        <v>1687</v>
      </c>
      <c r="B1478">
        <v>91</v>
      </c>
      <c r="C1478" s="1">
        <v>44934</v>
      </c>
      <c r="D1478">
        <v>2023</v>
      </c>
      <c r="E1478" t="s">
        <v>219</v>
      </c>
      <c r="F1478" t="s">
        <v>13</v>
      </c>
      <c r="G1478" t="s">
        <v>191</v>
      </c>
      <c r="H1478" t="s">
        <v>204</v>
      </c>
      <c r="I1478">
        <v>9</v>
      </c>
      <c r="J1478">
        <v>3214.84</v>
      </c>
      <c r="K1478">
        <v>0</v>
      </c>
      <c r="L1478" t="s">
        <v>210</v>
      </c>
      <c r="M1478">
        <v>0</v>
      </c>
    </row>
    <row r="1479" spans="1:13" x14ac:dyDescent="0.3">
      <c r="A1479" t="s">
        <v>1688</v>
      </c>
      <c r="B1479">
        <v>91</v>
      </c>
      <c r="C1479" s="1">
        <v>45433</v>
      </c>
      <c r="D1479">
        <v>2024</v>
      </c>
      <c r="E1479" t="s">
        <v>219</v>
      </c>
      <c r="F1479" t="s">
        <v>12</v>
      </c>
      <c r="G1479" t="s">
        <v>200</v>
      </c>
      <c r="H1479" t="s">
        <v>195</v>
      </c>
      <c r="I1479">
        <v>10</v>
      </c>
      <c r="J1479">
        <v>411.75</v>
      </c>
      <c r="K1479">
        <v>0</v>
      </c>
      <c r="L1479" t="s">
        <v>215</v>
      </c>
      <c r="M1479">
        <v>1</v>
      </c>
    </row>
    <row r="1480" spans="1:13" x14ac:dyDescent="0.3">
      <c r="A1480" t="s">
        <v>1689</v>
      </c>
      <c r="B1480">
        <v>91</v>
      </c>
      <c r="C1480" s="1">
        <v>45505</v>
      </c>
      <c r="D1480">
        <v>2024</v>
      </c>
      <c r="E1480" t="s">
        <v>219</v>
      </c>
      <c r="F1480" t="s">
        <v>12</v>
      </c>
      <c r="G1480" t="s">
        <v>203</v>
      </c>
      <c r="H1480" t="s">
        <v>192</v>
      </c>
      <c r="I1480">
        <v>9</v>
      </c>
      <c r="J1480">
        <v>1242.8499999999999</v>
      </c>
      <c r="K1480">
        <v>0</v>
      </c>
      <c r="L1480" t="s">
        <v>201</v>
      </c>
      <c r="M1480">
        <v>1</v>
      </c>
    </row>
    <row r="1481" spans="1:13" x14ac:dyDescent="0.3">
      <c r="A1481" t="s">
        <v>1690</v>
      </c>
      <c r="B1481">
        <v>91</v>
      </c>
      <c r="C1481" s="1">
        <v>45447</v>
      </c>
      <c r="D1481">
        <v>2024</v>
      </c>
      <c r="E1481" t="s">
        <v>214</v>
      </c>
      <c r="F1481" t="s">
        <v>12</v>
      </c>
      <c r="G1481" t="s">
        <v>212</v>
      </c>
      <c r="H1481" t="s">
        <v>192</v>
      </c>
      <c r="I1481">
        <v>10</v>
      </c>
      <c r="J1481">
        <v>387.66</v>
      </c>
      <c r="K1481">
        <v>0</v>
      </c>
      <c r="L1481" t="s">
        <v>215</v>
      </c>
      <c r="M1481">
        <v>1</v>
      </c>
    </row>
    <row r="1482" spans="1:13" x14ac:dyDescent="0.3">
      <c r="A1482" t="s">
        <v>1691</v>
      </c>
      <c r="B1482">
        <v>91</v>
      </c>
      <c r="C1482" s="1">
        <v>45971</v>
      </c>
      <c r="D1482">
        <v>2025</v>
      </c>
      <c r="E1482" t="s">
        <v>287</v>
      </c>
      <c r="F1482" t="s">
        <v>12</v>
      </c>
      <c r="G1482" t="s">
        <v>212</v>
      </c>
      <c r="H1482" t="s">
        <v>195</v>
      </c>
      <c r="I1482">
        <v>5</v>
      </c>
      <c r="J1482">
        <v>736.86</v>
      </c>
      <c r="K1482">
        <v>0</v>
      </c>
      <c r="L1482" t="s">
        <v>215</v>
      </c>
      <c r="M1482">
        <v>1</v>
      </c>
    </row>
    <row r="1483" spans="1:13" x14ac:dyDescent="0.3">
      <c r="A1483" t="s">
        <v>1692</v>
      </c>
      <c r="B1483">
        <v>91</v>
      </c>
      <c r="C1483" s="1">
        <v>45854</v>
      </c>
      <c r="D1483">
        <v>2025</v>
      </c>
      <c r="E1483" t="s">
        <v>198</v>
      </c>
      <c r="F1483" t="s">
        <v>12</v>
      </c>
      <c r="G1483" t="s">
        <v>212</v>
      </c>
      <c r="H1483" t="s">
        <v>206</v>
      </c>
      <c r="I1483">
        <v>16</v>
      </c>
      <c r="J1483">
        <v>1094.6600000000001</v>
      </c>
      <c r="K1483">
        <v>1</v>
      </c>
      <c r="L1483" t="s">
        <v>196</v>
      </c>
      <c r="M1483">
        <v>1</v>
      </c>
    </row>
    <row r="1484" spans="1:13" x14ac:dyDescent="0.3">
      <c r="A1484" t="s">
        <v>1693</v>
      </c>
      <c r="B1484">
        <v>91</v>
      </c>
      <c r="C1484" s="1">
        <v>45846</v>
      </c>
      <c r="D1484">
        <v>2025</v>
      </c>
      <c r="E1484" t="s">
        <v>225</v>
      </c>
      <c r="F1484" t="s">
        <v>12</v>
      </c>
      <c r="G1484" t="s">
        <v>212</v>
      </c>
      <c r="H1484" t="s">
        <v>195</v>
      </c>
      <c r="I1484">
        <v>1</v>
      </c>
      <c r="J1484">
        <v>800.77</v>
      </c>
      <c r="K1484">
        <v>0</v>
      </c>
      <c r="L1484" t="s">
        <v>210</v>
      </c>
      <c r="M1484">
        <v>1</v>
      </c>
    </row>
    <row r="1485" spans="1:13" x14ac:dyDescent="0.3">
      <c r="A1485" t="s">
        <v>1694</v>
      </c>
      <c r="B1485">
        <v>91</v>
      </c>
      <c r="C1485" s="1">
        <v>45824</v>
      </c>
      <c r="D1485">
        <v>2025</v>
      </c>
      <c r="E1485" t="s">
        <v>198</v>
      </c>
      <c r="F1485" t="s">
        <v>199</v>
      </c>
      <c r="G1485" t="s">
        <v>191</v>
      </c>
      <c r="H1485" t="s">
        <v>204</v>
      </c>
      <c r="I1485">
        <v>5</v>
      </c>
      <c r="J1485">
        <v>2755.96</v>
      </c>
      <c r="K1485">
        <v>1</v>
      </c>
      <c r="L1485" t="s">
        <v>196</v>
      </c>
      <c r="M1485">
        <v>0</v>
      </c>
    </row>
    <row r="1486" spans="1:13" x14ac:dyDescent="0.3">
      <c r="A1486" t="s">
        <v>1695</v>
      </c>
      <c r="B1486">
        <v>91</v>
      </c>
      <c r="C1486" s="1">
        <v>46016</v>
      </c>
      <c r="D1486">
        <v>2025</v>
      </c>
      <c r="E1486" t="s">
        <v>190</v>
      </c>
      <c r="F1486" t="s">
        <v>199</v>
      </c>
      <c r="G1486" t="s">
        <v>191</v>
      </c>
      <c r="H1486" t="s">
        <v>195</v>
      </c>
      <c r="I1486">
        <v>15</v>
      </c>
      <c r="J1486">
        <v>3467.5</v>
      </c>
      <c r="K1486">
        <v>1</v>
      </c>
      <c r="L1486" t="s">
        <v>196</v>
      </c>
      <c r="M1486">
        <v>0</v>
      </c>
    </row>
    <row r="1487" spans="1:13" x14ac:dyDescent="0.3">
      <c r="A1487" t="s">
        <v>1696</v>
      </c>
      <c r="B1487">
        <v>92</v>
      </c>
      <c r="C1487" s="1">
        <v>44253</v>
      </c>
      <c r="D1487">
        <v>2021</v>
      </c>
      <c r="E1487" t="s">
        <v>225</v>
      </c>
      <c r="F1487" t="s">
        <v>13</v>
      </c>
      <c r="G1487" t="s">
        <v>212</v>
      </c>
      <c r="H1487" t="s">
        <v>195</v>
      </c>
      <c r="I1487">
        <v>6</v>
      </c>
      <c r="J1487">
        <v>3012.83</v>
      </c>
      <c r="K1487">
        <v>0</v>
      </c>
      <c r="L1487" t="s">
        <v>201</v>
      </c>
      <c r="M1487">
        <v>1</v>
      </c>
    </row>
    <row r="1488" spans="1:13" x14ac:dyDescent="0.3">
      <c r="A1488" t="s">
        <v>1697</v>
      </c>
      <c r="B1488">
        <v>92</v>
      </c>
      <c r="C1488" s="1">
        <v>44290</v>
      </c>
      <c r="D1488">
        <v>2021</v>
      </c>
      <c r="E1488" t="s">
        <v>219</v>
      </c>
      <c r="F1488" t="s">
        <v>199</v>
      </c>
      <c r="G1488" t="s">
        <v>191</v>
      </c>
      <c r="H1488" t="s">
        <v>195</v>
      </c>
      <c r="I1488">
        <v>1</v>
      </c>
      <c r="J1488">
        <v>7576.95</v>
      </c>
      <c r="K1488">
        <v>0</v>
      </c>
      <c r="L1488" t="s">
        <v>193</v>
      </c>
      <c r="M1488">
        <v>0</v>
      </c>
    </row>
    <row r="1489" spans="1:13" x14ac:dyDescent="0.3">
      <c r="A1489" t="s">
        <v>1698</v>
      </c>
      <c r="B1489">
        <v>92</v>
      </c>
      <c r="C1489" s="1">
        <v>44360</v>
      </c>
      <c r="D1489">
        <v>2021</v>
      </c>
      <c r="E1489" t="s">
        <v>219</v>
      </c>
      <c r="F1489" t="s">
        <v>13</v>
      </c>
      <c r="G1489" t="s">
        <v>212</v>
      </c>
      <c r="H1489" t="s">
        <v>195</v>
      </c>
      <c r="I1489">
        <v>11</v>
      </c>
      <c r="J1489">
        <v>3780.92</v>
      </c>
      <c r="K1489">
        <v>0</v>
      </c>
      <c r="L1489" t="s">
        <v>210</v>
      </c>
      <c r="M1489">
        <v>1</v>
      </c>
    </row>
    <row r="1490" spans="1:13" x14ac:dyDescent="0.3">
      <c r="A1490" t="s">
        <v>1699</v>
      </c>
      <c r="B1490">
        <v>92</v>
      </c>
      <c r="C1490" s="1">
        <v>44562</v>
      </c>
      <c r="D1490">
        <v>2022</v>
      </c>
      <c r="E1490" t="s">
        <v>198</v>
      </c>
      <c r="F1490" t="s">
        <v>12</v>
      </c>
      <c r="G1490" t="s">
        <v>191</v>
      </c>
      <c r="H1490" t="s">
        <v>204</v>
      </c>
      <c r="I1490">
        <v>2</v>
      </c>
      <c r="J1490">
        <v>1161.17</v>
      </c>
      <c r="K1490">
        <v>1</v>
      </c>
      <c r="L1490" t="s">
        <v>215</v>
      </c>
      <c r="M1490">
        <v>0</v>
      </c>
    </row>
    <row r="1491" spans="1:13" x14ac:dyDescent="0.3">
      <c r="A1491" t="s">
        <v>1700</v>
      </c>
      <c r="B1491">
        <v>92</v>
      </c>
      <c r="C1491" s="1">
        <v>44644</v>
      </c>
      <c r="D1491">
        <v>2022</v>
      </c>
      <c r="E1491" t="s">
        <v>190</v>
      </c>
      <c r="F1491" t="s">
        <v>13</v>
      </c>
      <c r="G1491" t="s">
        <v>200</v>
      </c>
      <c r="H1491" t="s">
        <v>195</v>
      </c>
      <c r="I1491">
        <v>6</v>
      </c>
      <c r="J1491">
        <v>2447.66</v>
      </c>
      <c r="K1491">
        <v>0</v>
      </c>
      <c r="L1491" t="s">
        <v>193</v>
      </c>
      <c r="M1491">
        <v>0</v>
      </c>
    </row>
    <row r="1492" spans="1:13" x14ac:dyDescent="0.3">
      <c r="A1492" t="s">
        <v>1701</v>
      </c>
      <c r="B1492">
        <v>92</v>
      </c>
      <c r="C1492" s="1">
        <v>44594</v>
      </c>
      <c r="D1492">
        <v>2022</v>
      </c>
      <c r="E1492" t="s">
        <v>227</v>
      </c>
      <c r="F1492" t="s">
        <v>13</v>
      </c>
      <c r="G1492" t="s">
        <v>212</v>
      </c>
      <c r="H1492" t="s">
        <v>195</v>
      </c>
      <c r="I1492">
        <v>4</v>
      </c>
      <c r="J1492">
        <v>2354.9899999999998</v>
      </c>
      <c r="K1492">
        <v>0</v>
      </c>
      <c r="L1492" t="s">
        <v>215</v>
      </c>
      <c r="M1492">
        <v>1</v>
      </c>
    </row>
    <row r="1493" spans="1:13" x14ac:dyDescent="0.3">
      <c r="A1493" t="s">
        <v>1702</v>
      </c>
      <c r="B1493">
        <v>92</v>
      </c>
      <c r="C1493" s="1">
        <v>44777</v>
      </c>
      <c r="D1493">
        <v>2022</v>
      </c>
      <c r="E1493" t="s">
        <v>227</v>
      </c>
      <c r="F1493" t="s">
        <v>13</v>
      </c>
      <c r="G1493" t="s">
        <v>212</v>
      </c>
      <c r="H1493" t="s">
        <v>195</v>
      </c>
      <c r="I1493">
        <v>15</v>
      </c>
      <c r="J1493">
        <v>2201.44</v>
      </c>
      <c r="K1493">
        <v>0</v>
      </c>
      <c r="L1493" t="s">
        <v>210</v>
      </c>
      <c r="M1493">
        <v>1</v>
      </c>
    </row>
    <row r="1494" spans="1:13" x14ac:dyDescent="0.3">
      <c r="A1494" t="s">
        <v>1703</v>
      </c>
      <c r="B1494">
        <v>92</v>
      </c>
      <c r="C1494" s="1">
        <v>45245</v>
      </c>
      <c r="D1494">
        <v>2023</v>
      </c>
      <c r="E1494" t="s">
        <v>219</v>
      </c>
      <c r="F1494" t="s">
        <v>13</v>
      </c>
      <c r="G1494" t="s">
        <v>203</v>
      </c>
      <c r="H1494" t="s">
        <v>204</v>
      </c>
      <c r="I1494">
        <v>8</v>
      </c>
      <c r="J1494">
        <v>3683.17</v>
      </c>
      <c r="K1494">
        <v>0</v>
      </c>
      <c r="L1494" t="s">
        <v>193</v>
      </c>
      <c r="M1494">
        <v>0</v>
      </c>
    </row>
    <row r="1495" spans="1:13" x14ac:dyDescent="0.3">
      <c r="A1495" t="s">
        <v>1704</v>
      </c>
      <c r="B1495">
        <v>92</v>
      </c>
      <c r="C1495" s="1">
        <v>45083</v>
      </c>
      <c r="D1495">
        <v>2023</v>
      </c>
      <c r="E1495" t="s">
        <v>214</v>
      </c>
      <c r="F1495" t="s">
        <v>199</v>
      </c>
      <c r="G1495" t="s">
        <v>191</v>
      </c>
      <c r="H1495" t="s">
        <v>192</v>
      </c>
      <c r="I1495">
        <v>9</v>
      </c>
      <c r="J1495">
        <v>4457.7</v>
      </c>
      <c r="K1495">
        <v>1</v>
      </c>
      <c r="L1495" t="s">
        <v>210</v>
      </c>
      <c r="M1495">
        <v>0</v>
      </c>
    </row>
    <row r="1496" spans="1:13" x14ac:dyDescent="0.3">
      <c r="A1496" t="s">
        <v>1705</v>
      </c>
      <c r="B1496">
        <v>92</v>
      </c>
      <c r="C1496" s="1">
        <v>45305</v>
      </c>
      <c r="D1496">
        <v>2024</v>
      </c>
      <c r="E1496" t="s">
        <v>214</v>
      </c>
      <c r="F1496" t="s">
        <v>209</v>
      </c>
      <c r="G1496" t="s">
        <v>212</v>
      </c>
      <c r="H1496" t="s">
        <v>195</v>
      </c>
      <c r="I1496">
        <v>12</v>
      </c>
      <c r="J1496">
        <v>519.15</v>
      </c>
      <c r="K1496">
        <v>0</v>
      </c>
      <c r="L1496" t="s">
        <v>210</v>
      </c>
      <c r="M1496">
        <v>1</v>
      </c>
    </row>
    <row r="1497" spans="1:13" x14ac:dyDescent="0.3">
      <c r="A1497" t="s">
        <v>1706</v>
      </c>
      <c r="B1497">
        <v>92</v>
      </c>
      <c r="C1497" s="1">
        <v>45845</v>
      </c>
      <c r="D1497">
        <v>2025</v>
      </c>
      <c r="E1497" t="s">
        <v>214</v>
      </c>
      <c r="F1497" t="s">
        <v>13</v>
      </c>
      <c r="G1497" t="s">
        <v>191</v>
      </c>
      <c r="H1497" t="s">
        <v>192</v>
      </c>
      <c r="I1497">
        <v>8</v>
      </c>
      <c r="J1497">
        <v>1534.03</v>
      </c>
      <c r="K1497">
        <v>0</v>
      </c>
      <c r="L1497" t="s">
        <v>193</v>
      </c>
      <c r="M1497">
        <v>0</v>
      </c>
    </row>
    <row r="1498" spans="1:13" x14ac:dyDescent="0.3">
      <c r="A1498" t="s">
        <v>1707</v>
      </c>
      <c r="B1498">
        <v>92</v>
      </c>
      <c r="C1498" s="1">
        <v>45797</v>
      </c>
      <c r="D1498">
        <v>2025</v>
      </c>
      <c r="E1498" t="s">
        <v>219</v>
      </c>
      <c r="F1498" t="s">
        <v>13</v>
      </c>
      <c r="G1498" t="s">
        <v>212</v>
      </c>
      <c r="H1498" t="s">
        <v>204</v>
      </c>
      <c r="I1498">
        <v>11</v>
      </c>
      <c r="J1498">
        <v>2576.67</v>
      </c>
      <c r="K1498">
        <v>1</v>
      </c>
      <c r="L1498" t="s">
        <v>196</v>
      </c>
      <c r="M1498">
        <v>1</v>
      </c>
    </row>
    <row r="1499" spans="1:13" x14ac:dyDescent="0.3">
      <c r="A1499" t="s">
        <v>1708</v>
      </c>
      <c r="B1499">
        <v>92</v>
      </c>
      <c r="C1499" s="1">
        <v>45949</v>
      </c>
      <c r="D1499">
        <v>2025</v>
      </c>
      <c r="E1499" t="s">
        <v>198</v>
      </c>
      <c r="F1499" t="s">
        <v>13</v>
      </c>
      <c r="G1499" t="s">
        <v>191</v>
      </c>
      <c r="H1499" t="s">
        <v>195</v>
      </c>
      <c r="I1499">
        <v>15</v>
      </c>
      <c r="J1499">
        <v>1341.49</v>
      </c>
      <c r="K1499">
        <v>1</v>
      </c>
      <c r="L1499" t="s">
        <v>193</v>
      </c>
      <c r="M1499">
        <v>0</v>
      </c>
    </row>
    <row r="1500" spans="1:13" x14ac:dyDescent="0.3">
      <c r="A1500" t="s">
        <v>1709</v>
      </c>
      <c r="B1500">
        <v>93</v>
      </c>
      <c r="C1500" s="1">
        <v>44420</v>
      </c>
      <c r="D1500">
        <v>2021</v>
      </c>
      <c r="E1500" t="s">
        <v>214</v>
      </c>
      <c r="F1500" t="s">
        <v>13</v>
      </c>
      <c r="G1500" t="s">
        <v>200</v>
      </c>
      <c r="H1500" t="s">
        <v>204</v>
      </c>
      <c r="I1500">
        <v>9</v>
      </c>
      <c r="J1500">
        <v>3407.43</v>
      </c>
      <c r="K1500">
        <v>0</v>
      </c>
      <c r="L1500" t="s">
        <v>201</v>
      </c>
      <c r="M1500">
        <v>0</v>
      </c>
    </row>
    <row r="1501" spans="1:13" x14ac:dyDescent="0.3">
      <c r="A1501" t="s">
        <v>1710</v>
      </c>
      <c r="B1501">
        <v>93</v>
      </c>
      <c r="C1501" s="1">
        <v>44289</v>
      </c>
      <c r="D1501">
        <v>2021</v>
      </c>
      <c r="E1501" t="s">
        <v>219</v>
      </c>
      <c r="F1501" t="s">
        <v>199</v>
      </c>
      <c r="G1501" t="s">
        <v>203</v>
      </c>
      <c r="H1501" t="s">
        <v>195</v>
      </c>
      <c r="I1501">
        <v>14</v>
      </c>
      <c r="J1501">
        <v>6648.72</v>
      </c>
      <c r="K1501">
        <v>0</v>
      </c>
      <c r="L1501" t="s">
        <v>196</v>
      </c>
      <c r="M1501">
        <v>1</v>
      </c>
    </row>
    <row r="1502" spans="1:13" x14ac:dyDescent="0.3">
      <c r="A1502" t="s">
        <v>1711</v>
      </c>
      <c r="B1502">
        <v>93</v>
      </c>
      <c r="C1502" s="1">
        <v>44302</v>
      </c>
      <c r="D1502">
        <v>2021</v>
      </c>
      <c r="E1502" t="s">
        <v>190</v>
      </c>
      <c r="F1502" t="s">
        <v>13</v>
      </c>
      <c r="G1502" t="s">
        <v>191</v>
      </c>
      <c r="H1502" t="s">
        <v>206</v>
      </c>
      <c r="I1502">
        <v>7</v>
      </c>
      <c r="J1502">
        <v>3329.57</v>
      </c>
      <c r="K1502">
        <v>0</v>
      </c>
      <c r="L1502" t="s">
        <v>201</v>
      </c>
      <c r="M1502">
        <v>0</v>
      </c>
    </row>
    <row r="1503" spans="1:13" x14ac:dyDescent="0.3">
      <c r="A1503" t="s">
        <v>1712</v>
      </c>
      <c r="B1503">
        <v>93</v>
      </c>
      <c r="C1503" s="1">
        <v>44308</v>
      </c>
      <c r="D1503">
        <v>2021</v>
      </c>
      <c r="E1503" t="s">
        <v>219</v>
      </c>
      <c r="F1503" t="s">
        <v>13</v>
      </c>
      <c r="G1503" t="s">
        <v>191</v>
      </c>
      <c r="H1503" t="s">
        <v>195</v>
      </c>
      <c r="I1503">
        <v>14</v>
      </c>
      <c r="J1503">
        <v>2445.4899999999998</v>
      </c>
      <c r="K1503">
        <v>0</v>
      </c>
      <c r="L1503" t="s">
        <v>201</v>
      </c>
      <c r="M1503">
        <v>0</v>
      </c>
    </row>
    <row r="1504" spans="1:13" x14ac:dyDescent="0.3">
      <c r="A1504" t="s">
        <v>1713</v>
      </c>
      <c r="B1504">
        <v>93</v>
      </c>
      <c r="C1504" s="1">
        <v>44260</v>
      </c>
      <c r="D1504">
        <v>2021</v>
      </c>
      <c r="E1504" t="s">
        <v>198</v>
      </c>
      <c r="F1504" t="s">
        <v>13</v>
      </c>
      <c r="G1504" t="s">
        <v>191</v>
      </c>
      <c r="H1504" t="s">
        <v>195</v>
      </c>
      <c r="I1504">
        <v>12</v>
      </c>
      <c r="J1504">
        <v>3426.17</v>
      </c>
      <c r="K1504">
        <v>1</v>
      </c>
      <c r="L1504" t="s">
        <v>201</v>
      </c>
      <c r="M1504">
        <v>1</v>
      </c>
    </row>
    <row r="1505" spans="1:13" x14ac:dyDescent="0.3">
      <c r="A1505" t="s">
        <v>1714</v>
      </c>
      <c r="B1505">
        <v>93</v>
      </c>
      <c r="C1505" s="1">
        <v>44365</v>
      </c>
      <c r="D1505">
        <v>2021</v>
      </c>
      <c r="E1505" t="s">
        <v>198</v>
      </c>
      <c r="F1505" t="s">
        <v>209</v>
      </c>
      <c r="G1505" t="s">
        <v>191</v>
      </c>
      <c r="H1505" t="s">
        <v>206</v>
      </c>
      <c r="I1505">
        <v>9</v>
      </c>
      <c r="J1505">
        <v>152.44</v>
      </c>
      <c r="K1505">
        <v>1</v>
      </c>
      <c r="L1505" t="s">
        <v>210</v>
      </c>
      <c r="M1505">
        <v>0</v>
      </c>
    </row>
    <row r="1506" spans="1:13" x14ac:dyDescent="0.3">
      <c r="A1506" t="s">
        <v>1715</v>
      </c>
      <c r="B1506">
        <v>93</v>
      </c>
      <c r="C1506" s="1">
        <v>44901</v>
      </c>
      <c r="D1506">
        <v>2022</v>
      </c>
      <c r="E1506" t="s">
        <v>214</v>
      </c>
      <c r="F1506" t="s">
        <v>209</v>
      </c>
      <c r="G1506" t="s">
        <v>212</v>
      </c>
      <c r="H1506" t="s">
        <v>195</v>
      </c>
      <c r="I1506">
        <v>15</v>
      </c>
      <c r="J1506">
        <v>156.66999999999999</v>
      </c>
      <c r="K1506">
        <v>0</v>
      </c>
      <c r="L1506" t="s">
        <v>193</v>
      </c>
      <c r="M1506">
        <v>1</v>
      </c>
    </row>
    <row r="1507" spans="1:13" x14ac:dyDescent="0.3">
      <c r="A1507" t="s">
        <v>1716</v>
      </c>
      <c r="B1507">
        <v>93</v>
      </c>
      <c r="C1507" s="1">
        <v>44920</v>
      </c>
      <c r="D1507">
        <v>2022</v>
      </c>
      <c r="E1507" t="s">
        <v>214</v>
      </c>
      <c r="F1507" t="s">
        <v>209</v>
      </c>
      <c r="G1507" t="s">
        <v>212</v>
      </c>
      <c r="H1507" t="s">
        <v>204</v>
      </c>
      <c r="I1507">
        <v>9</v>
      </c>
      <c r="J1507">
        <v>5.21</v>
      </c>
      <c r="K1507">
        <v>0</v>
      </c>
      <c r="L1507" t="s">
        <v>210</v>
      </c>
      <c r="M1507">
        <v>1</v>
      </c>
    </row>
    <row r="1508" spans="1:13" x14ac:dyDescent="0.3">
      <c r="A1508" t="s">
        <v>1717</v>
      </c>
      <c r="B1508">
        <v>93</v>
      </c>
      <c r="C1508" s="1">
        <v>44759</v>
      </c>
      <c r="D1508">
        <v>2022</v>
      </c>
      <c r="E1508" t="s">
        <v>214</v>
      </c>
      <c r="F1508" t="s">
        <v>199</v>
      </c>
      <c r="G1508" t="s">
        <v>212</v>
      </c>
      <c r="H1508" t="s">
        <v>192</v>
      </c>
      <c r="I1508">
        <v>11</v>
      </c>
      <c r="J1508">
        <v>4182.2</v>
      </c>
      <c r="K1508">
        <v>1</v>
      </c>
      <c r="L1508" t="s">
        <v>196</v>
      </c>
      <c r="M1508">
        <v>1</v>
      </c>
    </row>
    <row r="1509" spans="1:13" x14ac:dyDescent="0.3">
      <c r="A1509" t="s">
        <v>1718</v>
      </c>
      <c r="B1509">
        <v>93</v>
      </c>
      <c r="C1509" s="1">
        <v>45006</v>
      </c>
      <c r="D1509">
        <v>2023</v>
      </c>
      <c r="E1509" t="s">
        <v>214</v>
      </c>
      <c r="F1509" t="s">
        <v>12</v>
      </c>
      <c r="G1509" t="s">
        <v>212</v>
      </c>
      <c r="H1509" t="s">
        <v>195</v>
      </c>
      <c r="I1509">
        <v>2</v>
      </c>
      <c r="J1509">
        <v>1006.69</v>
      </c>
      <c r="K1509">
        <v>0</v>
      </c>
      <c r="L1509" t="s">
        <v>210</v>
      </c>
      <c r="M1509">
        <v>1</v>
      </c>
    </row>
    <row r="1510" spans="1:13" x14ac:dyDescent="0.3">
      <c r="A1510" t="s">
        <v>1719</v>
      </c>
      <c r="B1510">
        <v>93</v>
      </c>
      <c r="C1510" s="1">
        <v>45159</v>
      </c>
      <c r="D1510">
        <v>2023</v>
      </c>
      <c r="E1510" t="s">
        <v>190</v>
      </c>
      <c r="F1510" t="s">
        <v>209</v>
      </c>
      <c r="G1510" t="s">
        <v>212</v>
      </c>
      <c r="H1510" t="s">
        <v>206</v>
      </c>
      <c r="I1510">
        <v>2</v>
      </c>
      <c r="J1510">
        <v>55.77</v>
      </c>
      <c r="K1510">
        <v>0</v>
      </c>
      <c r="L1510" t="s">
        <v>210</v>
      </c>
      <c r="M1510">
        <v>1</v>
      </c>
    </row>
    <row r="1511" spans="1:13" x14ac:dyDescent="0.3">
      <c r="A1511" t="s">
        <v>1720</v>
      </c>
      <c r="B1511">
        <v>93</v>
      </c>
      <c r="C1511" s="1">
        <v>45402</v>
      </c>
      <c r="D1511">
        <v>2024</v>
      </c>
      <c r="E1511" t="s">
        <v>287</v>
      </c>
      <c r="F1511" t="s">
        <v>13</v>
      </c>
      <c r="G1511" t="s">
        <v>200</v>
      </c>
      <c r="H1511" t="s">
        <v>195</v>
      </c>
      <c r="I1511">
        <v>1</v>
      </c>
      <c r="J1511">
        <v>1679.09</v>
      </c>
      <c r="K1511">
        <v>0</v>
      </c>
      <c r="L1511" t="s">
        <v>193</v>
      </c>
      <c r="M1511">
        <v>1</v>
      </c>
    </row>
    <row r="1512" spans="1:13" x14ac:dyDescent="0.3">
      <c r="A1512" t="s">
        <v>1721</v>
      </c>
      <c r="B1512">
        <v>93</v>
      </c>
      <c r="C1512" s="1">
        <v>45417</v>
      </c>
      <c r="D1512">
        <v>2024</v>
      </c>
      <c r="E1512" t="s">
        <v>190</v>
      </c>
      <c r="F1512" t="s">
        <v>13</v>
      </c>
      <c r="G1512" t="s">
        <v>200</v>
      </c>
      <c r="H1512" t="s">
        <v>192</v>
      </c>
      <c r="I1512">
        <v>5</v>
      </c>
      <c r="J1512">
        <v>3638.68</v>
      </c>
      <c r="K1512">
        <v>0</v>
      </c>
      <c r="L1512" t="s">
        <v>193</v>
      </c>
      <c r="M1512">
        <v>1</v>
      </c>
    </row>
    <row r="1513" spans="1:13" x14ac:dyDescent="0.3">
      <c r="A1513" t="s">
        <v>1722</v>
      </c>
      <c r="B1513">
        <v>93</v>
      </c>
      <c r="C1513" s="1">
        <v>45495</v>
      </c>
      <c r="D1513">
        <v>2024</v>
      </c>
      <c r="E1513" t="s">
        <v>214</v>
      </c>
      <c r="F1513" t="s">
        <v>12</v>
      </c>
      <c r="G1513" t="s">
        <v>200</v>
      </c>
      <c r="H1513" t="s">
        <v>195</v>
      </c>
      <c r="I1513">
        <v>6</v>
      </c>
      <c r="J1513">
        <v>1061.02</v>
      </c>
      <c r="K1513">
        <v>1</v>
      </c>
      <c r="L1513" t="s">
        <v>201</v>
      </c>
      <c r="M1513">
        <v>0</v>
      </c>
    </row>
    <row r="1514" spans="1:13" x14ac:dyDescent="0.3">
      <c r="A1514" t="s">
        <v>1723</v>
      </c>
      <c r="B1514">
        <v>93</v>
      </c>
      <c r="C1514" s="1">
        <v>45563</v>
      </c>
      <c r="D1514">
        <v>2024</v>
      </c>
      <c r="E1514" t="s">
        <v>214</v>
      </c>
      <c r="F1514" t="s">
        <v>199</v>
      </c>
      <c r="G1514" t="s">
        <v>191</v>
      </c>
      <c r="H1514" t="s">
        <v>195</v>
      </c>
      <c r="I1514">
        <v>13</v>
      </c>
      <c r="J1514">
        <v>7102.31</v>
      </c>
      <c r="K1514">
        <v>1</v>
      </c>
      <c r="L1514" t="s">
        <v>193</v>
      </c>
      <c r="M1514">
        <v>0</v>
      </c>
    </row>
    <row r="1515" spans="1:13" x14ac:dyDescent="0.3">
      <c r="A1515" t="s">
        <v>1724</v>
      </c>
      <c r="B1515">
        <v>93</v>
      </c>
      <c r="C1515" s="1">
        <v>45831</v>
      </c>
      <c r="D1515">
        <v>2025</v>
      </c>
      <c r="E1515" t="s">
        <v>198</v>
      </c>
      <c r="F1515" t="s">
        <v>209</v>
      </c>
      <c r="G1515" t="s">
        <v>212</v>
      </c>
      <c r="H1515" t="s">
        <v>195</v>
      </c>
      <c r="I1515">
        <v>5</v>
      </c>
      <c r="J1515">
        <v>587.91999999999996</v>
      </c>
      <c r="K1515">
        <v>1</v>
      </c>
      <c r="L1515" t="s">
        <v>210</v>
      </c>
      <c r="M1515">
        <v>1</v>
      </c>
    </row>
    <row r="1516" spans="1:13" x14ac:dyDescent="0.3">
      <c r="A1516" t="s">
        <v>1725</v>
      </c>
      <c r="B1516">
        <v>93</v>
      </c>
      <c r="C1516" s="1">
        <v>45956</v>
      </c>
      <c r="D1516">
        <v>2025</v>
      </c>
      <c r="E1516" t="s">
        <v>219</v>
      </c>
      <c r="F1516" t="s">
        <v>12</v>
      </c>
      <c r="G1516" t="s">
        <v>212</v>
      </c>
      <c r="H1516" t="s">
        <v>204</v>
      </c>
      <c r="I1516">
        <v>15</v>
      </c>
      <c r="J1516">
        <v>923.94</v>
      </c>
      <c r="K1516">
        <v>0</v>
      </c>
      <c r="L1516" t="s">
        <v>215</v>
      </c>
      <c r="M1516">
        <v>1</v>
      </c>
    </row>
    <row r="1517" spans="1:13" x14ac:dyDescent="0.3">
      <c r="A1517" t="s">
        <v>1726</v>
      </c>
      <c r="B1517">
        <v>93</v>
      </c>
      <c r="C1517" s="1">
        <v>45871</v>
      </c>
      <c r="D1517">
        <v>2025</v>
      </c>
      <c r="E1517" t="s">
        <v>225</v>
      </c>
      <c r="F1517" t="s">
        <v>199</v>
      </c>
      <c r="G1517" t="s">
        <v>200</v>
      </c>
      <c r="H1517" t="s">
        <v>204</v>
      </c>
      <c r="I1517">
        <v>11</v>
      </c>
      <c r="J1517">
        <v>7945.65</v>
      </c>
      <c r="K1517">
        <v>0</v>
      </c>
      <c r="L1517" t="s">
        <v>196</v>
      </c>
      <c r="M1517">
        <v>0</v>
      </c>
    </row>
    <row r="1518" spans="1:13" x14ac:dyDescent="0.3">
      <c r="A1518" t="s">
        <v>1727</v>
      </c>
      <c r="B1518">
        <v>93</v>
      </c>
      <c r="C1518" s="1">
        <v>45729</v>
      </c>
      <c r="D1518">
        <v>2025</v>
      </c>
      <c r="E1518" t="s">
        <v>198</v>
      </c>
      <c r="F1518" t="s">
        <v>13</v>
      </c>
      <c r="G1518" t="s">
        <v>191</v>
      </c>
      <c r="H1518" t="s">
        <v>195</v>
      </c>
      <c r="I1518">
        <v>6</v>
      </c>
      <c r="J1518">
        <v>2929.01</v>
      </c>
      <c r="K1518">
        <v>1</v>
      </c>
      <c r="L1518" t="s">
        <v>215</v>
      </c>
      <c r="M1518">
        <v>0</v>
      </c>
    </row>
    <row r="1519" spans="1:13" x14ac:dyDescent="0.3">
      <c r="A1519" t="s">
        <v>1728</v>
      </c>
      <c r="B1519">
        <v>93</v>
      </c>
      <c r="C1519" s="1">
        <v>46010</v>
      </c>
      <c r="D1519">
        <v>2025</v>
      </c>
      <c r="E1519" t="s">
        <v>219</v>
      </c>
      <c r="F1519" t="s">
        <v>12</v>
      </c>
      <c r="G1519" t="s">
        <v>212</v>
      </c>
      <c r="H1519" t="s">
        <v>204</v>
      </c>
      <c r="I1519">
        <v>8</v>
      </c>
      <c r="J1519">
        <v>850.36</v>
      </c>
      <c r="K1519">
        <v>0</v>
      </c>
      <c r="L1519" t="s">
        <v>215</v>
      </c>
      <c r="M1519">
        <v>1</v>
      </c>
    </row>
    <row r="1520" spans="1:13" x14ac:dyDescent="0.3">
      <c r="A1520" t="s">
        <v>1729</v>
      </c>
      <c r="B1520">
        <v>93</v>
      </c>
      <c r="C1520" s="1">
        <v>45975</v>
      </c>
      <c r="D1520">
        <v>2025</v>
      </c>
      <c r="E1520" t="s">
        <v>219</v>
      </c>
      <c r="F1520" t="s">
        <v>13</v>
      </c>
      <c r="G1520" t="s">
        <v>212</v>
      </c>
      <c r="H1520" t="s">
        <v>195</v>
      </c>
      <c r="I1520">
        <v>5</v>
      </c>
      <c r="J1520">
        <v>2611.7800000000002</v>
      </c>
      <c r="K1520">
        <v>0</v>
      </c>
      <c r="L1520" t="s">
        <v>201</v>
      </c>
      <c r="M1520">
        <v>1</v>
      </c>
    </row>
    <row r="1521" spans="1:13" x14ac:dyDescent="0.3">
      <c r="A1521" t="s">
        <v>1730</v>
      </c>
      <c r="B1521">
        <v>94</v>
      </c>
      <c r="C1521" s="1">
        <v>44527</v>
      </c>
      <c r="D1521">
        <v>2021</v>
      </c>
      <c r="E1521" t="s">
        <v>219</v>
      </c>
      <c r="F1521" t="s">
        <v>13</v>
      </c>
      <c r="G1521" t="s">
        <v>212</v>
      </c>
      <c r="H1521" t="s">
        <v>195</v>
      </c>
      <c r="I1521">
        <v>15</v>
      </c>
      <c r="J1521">
        <v>2863.33</v>
      </c>
      <c r="K1521">
        <v>0</v>
      </c>
      <c r="L1521" t="s">
        <v>215</v>
      </c>
      <c r="M1521">
        <v>1</v>
      </c>
    </row>
    <row r="1522" spans="1:13" x14ac:dyDescent="0.3">
      <c r="A1522" t="s">
        <v>1731</v>
      </c>
      <c r="B1522">
        <v>94</v>
      </c>
      <c r="C1522" s="1">
        <v>44264</v>
      </c>
      <c r="D1522">
        <v>2021</v>
      </c>
      <c r="E1522" t="s">
        <v>190</v>
      </c>
      <c r="F1522" t="s">
        <v>199</v>
      </c>
      <c r="G1522" t="s">
        <v>203</v>
      </c>
      <c r="H1522" t="s">
        <v>206</v>
      </c>
      <c r="I1522">
        <v>4</v>
      </c>
      <c r="J1522">
        <v>6203.41</v>
      </c>
      <c r="K1522">
        <v>0</v>
      </c>
      <c r="L1522" t="s">
        <v>193</v>
      </c>
      <c r="M1522">
        <v>0</v>
      </c>
    </row>
    <row r="1523" spans="1:13" x14ac:dyDescent="0.3">
      <c r="A1523" t="s">
        <v>1732</v>
      </c>
      <c r="B1523">
        <v>94</v>
      </c>
      <c r="C1523" s="1">
        <v>44312</v>
      </c>
      <c r="D1523">
        <v>2021</v>
      </c>
      <c r="E1523" t="s">
        <v>214</v>
      </c>
      <c r="F1523" t="s">
        <v>13</v>
      </c>
      <c r="G1523" t="s">
        <v>212</v>
      </c>
      <c r="H1523" t="s">
        <v>206</v>
      </c>
      <c r="I1523">
        <v>3</v>
      </c>
      <c r="J1523">
        <v>1772.06</v>
      </c>
      <c r="K1523">
        <v>0</v>
      </c>
      <c r="L1523" t="s">
        <v>210</v>
      </c>
      <c r="M1523">
        <v>1</v>
      </c>
    </row>
    <row r="1524" spans="1:13" x14ac:dyDescent="0.3">
      <c r="A1524" t="s">
        <v>1733</v>
      </c>
      <c r="B1524">
        <v>94</v>
      </c>
      <c r="C1524" s="1">
        <v>44762</v>
      </c>
      <c r="D1524">
        <v>2022</v>
      </c>
      <c r="E1524" t="s">
        <v>198</v>
      </c>
      <c r="F1524" t="s">
        <v>199</v>
      </c>
      <c r="G1524" t="s">
        <v>191</v>
      </c>
      <c r="H1524" t="s">
        <v>206</v>
      </c>
      <c r="I1524">
        <v>7</v>
      </c>
      <c r="J1524">
        <v>3869.99</v>
      </c>
      <c r="K1524">
        <v>1</v>
      </c>
      <c r="L1524" t="s">
        <v>201</v>
      </c>
      <c r="M1524">
        <v>0</v>
      </c>
    </row>
    <row r="1525" spans="1:13" x14ac:dyDescent="0.3">
      <c r="A1525" t="s">
        <v>1734</v>
      </c>
      <c r="B1525">
        <v>94</v>
      </c>
      <c r="C1525" s="1">
        <v>44638</v>
      </c>
      <c r="D1525">
        <v>2022</v>
      </c>
      <c r="E1525" t="s">
        <v>227</v>
      </c>
      <c r="F1525" t="s">
        <v>12</v>
      </c>
      <c r="G1525" t="s">
        <v>212</v>
      </c>
      <c r="H1525" t="s">
        <v>192</v>
      </c>
      <c r="I1525">
        <v>12</v>
      </c>
      <c r="J1525">
        <v>1467.6</v>
      </c>
      <c r="K1525">
        <v>1</v>
      </c>
      <c r="L1525" t="s">
        <v>215</v>
      </c>
      <c r="M1525">
        <v>1</v>
      </c>
    </row>
    <row r="1526" spans="1:13" x14ac:dyDescent="0.3">
      <c r="A1526" t="s">
        <v>1735</v>
      </c>
      <c r="B1526">
        <v>94</v>
      </c>
      <c r="C1526" s="1">
        <v>44830</v>
      </c>
      <c r="D1526">
        <v>2022</v>
      </c>
      <c r="E1526" t="s">
        <v>225</v>
      </c>
      <c r="F1526" t="s">
        <v>12</v>
      </c>
      <c r="G1526" t="s">
        <v>212</v>
      </c>
      <c r="H1526" t="s">
        <v>206</v>
      </c>
      <c r="I1526">
        <v>15</v>
      </c>
      <c r="J1526">
        <v>260.32</v>
      </c>
      <c r="K1526">
        <v>0</v>
      </c>
      <c r="L1526" t="s">
        <v>193</v>
      </c>
      <c r="M1526">
        <v>1</v>
      </c>
    </row>
    <row r="1527" spans="1:13" x14ac:dyDescent="0.3">
      <c r="A1527" t="s">
        <v>1736</v>
      </c>
      <c r="B1527">
        <v>94</v>
      </c>
      <c r="C1527" s="1">
        <v>44862</v>
      </c>
      <c r="D1527">
        <v>2022</v>
      </c>
      <c r="E1527" t="s">
        <v>214</v>
      </c>
      <c r="F1527" t="s">
        <v>12</v>
      </c>
      <c r="G1527" t="s">
        <v>212</v>
      </c>
      <c r="H1527" t="s">
        <v>195</v>
      </c>
      <c r="I1527">
        <v>3</v>
      </c>
      <c r="J1527">
        <v>660.17</v>
      </c>
      <c r="K1527">
        <v>0</v>
      </c>
      <c r="L1527" t="s">
        <v>201</v>
      </c>
      <c r="M1527">
        <v>1</v>
      </c>
    </row>
    <row r="1528" spans="1:13" x14ac:dyDescent="0.3">
      <c r="A1528" t="s">
        <v>1737</v>
      </c>
      <c r="B1528">
        <v>94</v>
      </c>
      <c r="C1528" s="1">
        <v>44821</v>
      </c>
      <c r="D1528">
        <v>2022</v>
      </c>
      <c r="E1528" t="s">
        <v>198</v>
      </c>
      <c r="F1528" t="s">
        <v>199</v>
      </c>
      <c r="G1528" t="s">
        <v>203</v>
      </c>
      <c r="H1528" t="s">
        <v>195</v>
      </c>
      <c r="I1528">
        <v>6</v>
      </c>
      <c r="J1528">
        <v>7722.47</v>
      </c>
      <c r="K1528">
        <v>1</v>
      </c>
      <c r="L1528" t="s">
        <v>196</v>
      </c>
      <c r="M1528">
        <v>0</v>
      </c>
    </row>
    <row r="1529" spans="1:13" x14ac:dyDescent="0.3">
      <c r="A1529" t="s">
        <v>1738</v>
      </c>
      <c r="B1529">
        <v>94</v>
      </c>
      <c r="C1529" s="1">
        <v>44915</v>
      </c>
      <c r="D1529">
        <v>2022</v>
      </c>
      <c r="E1529" t="s">
        <v>190</v>
      </c>
      <c r="F1529" t="s">
        <v>13</v>
      </c>
      <c r="G1529" t="s">
        <v>203</v>
      </c>
      <c r="H1529" t="s">
        <v>206</v>
      </c>
      <c r="I1529">
        <v>8</v>
      </c>
      <c r="J1529">
        <v>2738.17</v>
      </c>
      <c r="K1529">
        <v>0</v>
      </c>
      <c r="L1529" t="s">
        <v>193</v>
      </c>
      <c r="M1529">
        <v>0</v>
      </c>
    </row>
    <row r="1530" spans="1:13" x14ac:dyDescent="0.3">
      <c r="A1530" t="s">
        <v>1739</v>
      </c>
      <c r="B1530">
        <v>94</v>
      </c>
      <c r="C1530" s="1">
        <v>45231</v>
      </c>
      <c r="D1530">
        <v>2023</v>
      </c>
      <c r="E1530" t="s">
        <v>190</v>
      </c>
      <c r="F1530" t="s">
        <v>13</v>
      </c>
      <c r="G1530" t="s">
        <v>203</v>
      </c>
      <c r="H1530" t="s">
        <v>204</v>
      </c>
      <c r="I1530">
        <v>11</v>
      </c>
      <c r="J1530">
        <v>3538.84</v>
      </c>
      <c r="K1530">
        <v>0</v>
      </c>
      <c r="L1530" t="s">
        <v>215</v>
      </c>
      <c r="M1530">
        <v>0</v>
      </c>
    </row>
    <row r="1531" spans="1:13" x14ac:dyDescent="0.3">
      <c r="A1531" t="s">
        <v>1740</v>
      </c>
      <c r="B1531">
        <v>94</v>
      </c>
      <c r="C1531" s="1">
        <v>45042</v>
      </c>
      <c r="D1531">
        <v>2023</v>
      </c>
      <c r="E1531" t="s">
        <v>219</v>
      </c>
      <c r="F1531" t="s">
        <v>13</v>
      </c>
      <c r="G1531" t="s">
        <v>191</v>
      </c>
      <c r="H1531" t="s">
        <v>195</v>
      </c>
      <c r="I1531">
        <v>6</v>
      </c>
      <c r="J1531">
        <v>2344.09</v>
      </c>
      <c r="K1531">
        <v>0</v>
      </c>
      <c r="L1531" t="s">
        <v>210</v>
      </c>
      <c r="M1531">
        <v>0</v>
      </c>
    </row>
    <row r="1532" spans="1:13" x14ac:dyDescent="0.3">
      <c r="A1532" t="s">
        <v>1741</v>
      </c>
      <c r="B1532">
        <v>94</v>
      </c>
      <c r="C1532" s="1">
        <v>45131</v>
      </c>
      <c r="D1532">
        <v>2023</v>
      </c>
      <c r="E1532" t="s">
        <v>214</v>
      </c>
      <c r="F1532" t="s">
        <v>12</v>
      </c>
      <c r="G1532" t="s">
        <v>200</v>
      </c>
      <c r="H1532" t="s">
        <v>195</v>
      </c>
      <c r="I1532">
        <v>2</v>
      </c>
      <c r="J1532">
        <v>777.97</v>
      </c>
      <c r="K1532">
        <v>0</v>
      </c>
      <c r="L1532" t="s">
        <v>210</v>
      </c>
      <c r="M1532">
        <v>0</v>
      </c>
    </row>
    <row r="1533" spans="1:13" x14ac:dyDescent="0.3">
      <c r="A1533" t="s">
        <v>1742</v>
      </c>
      <c r="B1533">
        <v>94</v>
      </c>
      <c r="C1533" s="1">
        <v>45431</v>
      </c>
      <c r="D1533">
        <v>2024</v>
      </c>
      <c r="E1533" t="s">
        <v>198</v>
      </c>
      <c r="F1533" t="s">
        <v>13</v>
      </c>
      <c r="G1533" t="s">
        <v>203</v>
      </c>
      <c r="H1533" t="s">
        <v>195</v>
      </c>
      <c r="I1533">
        <v>16</v>
      </c>
      <c r="J1533">
        <v>3908.97</v>
      </c>
      <c r="K1533">
        <v>1</v>
      </c>
      <c r="L1533" t="s">
        <v>193</v>
      </c>
      <c r="M1533">
        <v>1</v>
      </c>
    </row>
    <row r="1534" spans="1:13" x14ac:dyDescent="0.3">
      <c r="A1534" t="s">
        <v>1743</v>
      </c>
      <c r="B1534">
        <v>94</v>
      </c>
      <c r="C1534" s="1">
        <v>45582</v>
      </c>
      <c r="D1534">
        <v>2024</v>
      </c>
      <c r="E1534" t="s">
        <v>225</v>
      </c>
      <c r="F1534" t="s">
        <v>199</v>
      </c>
      <c r="G1534" t="s">
        <v>191</v>
      </c>
      <c r="H1534" t="s">
        <v>195</v>
      </c>
      <c r="I1534">
        <v>7</v>
      </c>
      <c r="J1534">
        <v>6677.08</v>
      </c>
      <c r="K1534">
        <v>0</v>
      </c>
      <c r="L1534" t="s">
        <v>193</v>
      </c>
      <c r="M1534">
        <v>0</v>
      </c>
    </row>
    <row r="1535" spans="1:13" x14ac:dyDescent="0.3">
      <c r="A1535" t="s">
        <v>1744</v>
      </c>
      <c r="B1535">
        <v>94</v>
      </c>
      <c r="C1535" s="1">
        <v>45645</v>
      </c>
      <c r="D1535">
        <v>2024</v>
      </c>
      <c r="E1535" t="s">
        <v>190</v>
      </c>
      <c r="F1535" t="s">
        <v>12</v>
      </c>
      <c r="G1535" t="s">
        <v>203</v>
      </c>
      <c r="H1535" t="s">
        <v>204</v>
      </c>
      <c r="I1535">
        <v>5</v>
      </c>
      <c r="J1535">
        <v>1281.03</v>
      </c>
      <c r="K1535">
        <v>0</v>
      </c>
      <c r="L1535" t="s">
        <v>215</v>
      </c>
      <c r="M1535">
        <v>0</v>
      </c>
    </row>
    <row r="1536" spans="1:13" x14ac:dyDescent="0.3">
      <c r="A1536" t="s">
        <v>1745</v>
      </c>
      <c r="B1536">
        <v>94</v>
      </c>
      <c r="C1536" s="1">
        <v>45549</v>
      </c>
      <c r="D1536">
        <v>2024</v>
      </c>
      <c r="E1536" t="s">
        <v>227</v>
      </c>
      <c r="F1536" t="s">
        <v>199</v>
      </c>
      <c r="G1536" t="s">
        <v>203</v>
      </c>
      <c r="H1536" t="s">
        <v>195</v>
      </c>
      <c r="I1536">
        <v>6</v>
      </c>
      <c r="J1536">
        <v>4321.2299999999996</v>
      </c>
      <c r="K1536">
        <v>0</v>
      </c>
      <c r="L1536" t="s">
        <v>201</v>
      </c>
      <c r="M1536">
        <v>0</v>
      </c>
    </row>
    <row r="1537" spans="1:13" x14ac:dyDescent="0.3">
      <c r="A1537" t="s">
        <v>1746</v>
      </c>
      <c r="B1537">
        <v>94</v>
      </c>
      <c r="C1537" s="1">
        <v>45362</v>
      </c>
      <c r="D1537">
        <v>2024</v>
      </c>
      <c r="E1537" t="s">
        <v>227</v>
      </c>
      <c r="F1537" t="s">
        <v>199</v>
      </c>
      <c r="G1537" t="s">
        <v>191</v>
      </c>
      <c r="H1537" t="s">
        <v>192</v>
      </c>
      <c r="I1537">
        <v>8</v>
      </c>
      <c r="J1537">
        <v>7292.11</v>
      </c>
      <c r="K1537">
        <v>0</v>
      </c>
      <c r="L1537" t="s">
        <v>193</v>
      </c>
      <c r="M1537">
        <v>0</v>
      </c>
    </row>
    <row r="1538" spans="1:13" x14ac:dyDescent="0.3">
      <c r="A1538" t="s">
        <v>1747</v>
      </c>
      <c r="B1538">
        <v>94</v>
      </c>
      <c r="C1538" s="1">
        <v>45794</v>
      </c>
      <c r="D1538">
        <v>2025</v>
      </c>
      <c r="E1538" t="s">
        <v>190</v>
      </c>
      <c r="F1538" t="s">
        <v>209</v>
      </c>
      <c r="G1538" t="s">
        <v>212</v>
      </c>
      <c r="H1538" t="s">
        <v>195</v>
      </c>
      <c r="I1538">
        <v>4</v>
      </c>
      <c r="J1538">
        <v>310.38</v>
      </c>
      <c r="K1538">
        <v>0</v>
      </c>
      <c r="L1538" t="s">
        <v>210</v>
      </c>
      <c r="M1538">
        <v>1</v>
      </c>
    </row>
    <row r="1539" spans="1:13" x14ac:dyDescent="0.3">
      <c r="A1539" t="s">
        <v>1748</v>
      </c>
      <c r="B1539">
        <v>94</v>
      </c>
      <c r="C1539" s="1">
        <v>46005</v>
      </c>
      <c r="D1539">
        <v>2025</v>
      </c>
      <c r="E1539" t="s">
        <v>190</v>
      </c>
      <c r="F1539" t="s">
        <v>13</v>
      </c>
      <c r="G1539" t="s">
        <v>212</v>
      </c>
      <c r="H1539" t="s">
        <v>195</v>
      </c>
      <c r="I1539">
        <v>8</v>
      </c>
      <c r="J1539">
        <v>2536.4499999999998</v>
      </c>
      <c r="K1539">
        <v>0</v>
      </c>
      <c r="L1539" t="s">
        <v>201</v>
      </c>
      <c r="M1539">
        <v>1</v>
      </c>
    </row>
    <row r="1540" spans="1:13" x14ac:dyDescent="0.3">
      <c r="A1540" t="s">
        <v>1749</v>
      </c>
      <c r="B1540">
        <v>95</v>
      </c>
      <c r="C1540" s="1">
        <v>44221</v>
      </c>
      <c r="D1540">
        <v>2021</v>
      </c>
      <c r="E1540" t="s">
        <v>198</v>
      </c>
      <c r="F1540" t="s">
        <v>13</v>
      </c>
      <c r="G1540" t="s">
        <v>203</v>
      </c>
      <c r="H1540" t="s">
        <v>195</v>
      </c>
      <c r="I1540">
        <v>15</v>
      </c>
      <c r="J1540">
        <v>2803.25</v>
      </c>
      <c r="K1540">
        <v>1</v>
      </c>
      <c r="L1540" t="s">
        <v>193</v>
      </c>
      <c r="M1540">
        <v>0</v>
      </c>
    </row>
    <row r="1541" spans="1:13" x14ac:dyDescent="0.3">
      <c r="A1541" t="s">
        <v>1750</v>
      </c>
      <c r="B1541">
        <v>95</v>
      </c>
      <c r="C1541" s="1">
        <v>44221</v>
      </c>
      <c r="D1541">
        <v>2021</v>
      </c>
      <c r="E1541" t="s">
        <v>287</v>
      </c>
      <c r="F1541" t="s">
        <v>199</v>
      </c>
      <c r="G1541" t="s">
        <v>191</v>
      </c>
      <c r="H1541" t="s">
        <v>206</v>
      </c>
      <c r="I1541">
        <v>14</v>
      </c>
      <c r="J1541">
        <v>5028.17</v>
      </c>
      <c r="K1541">
        <v>1</v>
      </c>
      <c r="L1541" t="s">
        <v>196</v>
      </c>
      <c r="M1541">
        <v>0</v>
      </c>
    </row>
    <row r="1542" spans="1:13" x14ac:dyDescent="0.3">
      <c r="A1542" t="s">
        <v>1751</v>
      </c>
      <c r="B1542">
        <v>95</v>
      </c>
      <c r="C1542" s="1">
        <v>44299</v>
      </c>
      <c r="D1542">
        <v>2021</v>
      </c>
      <c r="E1542" t="s">
        <v>214</v>
      </c>
      <c r="F1542" t="s">
        <v>199</v>
      </c>
      <c r="G1542" t="s">
        <v>203</v>
      </c>
      <c r="H1542" t="s">
        <v>204</v>
      </c>
      <c r="I1542">
        <v>6</v>
      </c>
      <c r="J1542">
        <v>4046.92</v>
      </c>
      <c r="K1542">
        <v>0</v>
      </c>
      <c r="L1542" t="s">
        <v>193</v>
      </c>
      <c r="M1542">
        <v>0</v>
      </c>
    </row>
    <row r="1543" spans="1:13" x14ac:dyDescent="0.3">
      <c r="A1543" t="s">
        <v>1752</v>
      </c>
      <c r="B1543">
        <v>95</v>
      </c>
      <c r="C1543" s="1">
        <v>44766</v>
      </c>
      <c r="D1543">
        <v>2022</v>
      </c>
      <c r="E1543" t="s">
        <v>190</v>
      </c>
      <c r="F1543" t="s">
        <v>209</v>
      </c>
      <c r="G1543" t="s">
        <v>203</v>
      </c>
      <c r="H1543" t="s">
        <v>195</v>
      </c>
      <c r="I1543">
        <v>5</v>
      </c>
      <c r="J1543">
        <v>577.79999999999995</v>
      </c>
      <c r="K1543">
        <v>0</v>
      </c>
      <c r="L1543" t="s">
        <v>215</v>
      </c>
      <c r="M1543">
        <v>0</v>
      </c>
    </row>
    <row r="1544" spans="1:13" x14ac:dyDescent="0.3">
      <c r="A1544" t="s">
        <v>1753</v>
      </c>
      <c r="B1544">
        <v>95</v>
      </c>
      <c r="C1544" s="1">
        <v>44608</v>
      </c>
      <c r="D1544">
        <v>2022</v>
      </c>
      <c r="E1544" t="s">
        <v>190</v>
      </c>
      <c r="F1544" t="s">
        <v>12</v>
      </c>
      <c r="G1544" t="s">
        <v>200</v>
      </c>
      <c r="H1544" t="s">
        <v>192</v>
      </c>
      <c r="I1544">
        <v>4</v>
      </c>
      <c r="J1544">
        <v>1297.75</v>
      </c>
      <c r="K1544">
        <v>0</v>
      </c>
      <c r="L1544" t="s">
        <v>210</v>
      </c>
      <c r="M1544">
        <v>1</v>
      </c>
    </row>
    <row r="1545" spans="1:13" x14ac:dyDescent="0.3">
      <c r="A1545" t="s">
        <v>1754</v>
      </c>
      <c r="B1545">
        <v>95</v>
      </c>
      <c r="C1545" s="1">
        <v>44788</v>
      </c>
      <c r="D1545">
        <v>2022</v>
      </c>
      <c r="E1545" t="s">
        <v>287</v>
      </c>
      <c r="F1545" t="s">
        <v>209</v>
      </c>
      <c r="G1545" t="s">
        <v>212</v>
      </c>
      <c r="H1545" t="s">
        <v>206</v>
      </c>
      <c r="I1545">
        <v>7</v>
      </c>
      <c r="J1545">
        <v>147</v>
      </c>
      <c r="K1545">
        <v>0</v>
      </c>
      <c r="L1545" t="s">
        <v>215</v>
      </c>
      <c r="M1545">
        <v>1</v>
      </c>
    </row>
    <row r="1546" spans="1:13" x14ac:dyDescent="0.3">
      <c r="A1546" t="s">
        <v>1755</v>
      </c>
      <c r="B1546">
        <v>95</v>
      </c>
      <c r="C1546" s="1">
        <v>44943</v>
      </c>
      <c r="D1546">
        <v>2023</v>
      </c>
      <c r="E1546" t="s">
        <v>219</v>
      </c>
      <c r="F1546" t="s">
        <v>13</v>
      </c>
      <c r="G1546" t="s">
        <v>191</v>
      </c>
      <c r="H1546" t="s">
        <v>195</v>
      </c>
      <c r="I1546">
        <v>7</v>
      </c>
      <c r="J1546">
        <v>3441.15</v>
      </c>
      <c r="K1546">
        <v>0</v>
      </c>
      <c r="L1546" t="s">
        <v>193</v>
      </c>
      <c r="M1546">
        <v>1</v>
      </c>
    </row>
    <row r="1547" spans="1:13" x14ac:dyDescent="0.3">
      <c r="A1547" t="s">
        <v>1756</v>
      </c>
      <c r="B1547">
        <v>95</v>
      </c>
      <c r="C1547" s="1">
        <v>45097</v>
      </c>
      <c r="D1547">
        <v>2023</v>
      </c>
      <c r="E1547" t="s">
        <v>214</v>
      </c>
      <c r="F1547" t="s">
        <v>209</v>
      </c>
      <c r="G1547" t="s">
        <v>212</v>
      </c>
      <c r="H1547" t="s">
        <v>195</v>
      </c>
      <c r="I1547">
        <v>8</v>
      </c>
      <c r="J1547">
        <v>301.45999999999998</v>
      </c>
      <c r="K1547">
        <v>0</v>
      </c>
      <c r="L1547" t="s">
        <v>215</v>
      </c>
      <c r="M1547">
        <v>1</v>
      </c>
    </row>
    <row r="1548" spans="1:13" x14ac:dyDescent="0.3">
      <c r="A1548" t="s">
        <v>1757</v>
      </c>
      <c r="B1548">
        <v>95</v>
      </c>
      <c r="C1548" s="1">
        <v>45031</v>
      </c>
      <c r="D1548">
        <v>2023</v>
      </c>
      <c r="E1548" t="s">
        <v>190</v>
      </c>
      <c r="F1548" t="s">
        <v>13</v>
      </c>
      <c r="G1548" t="s">
        <v>191</v>
      </c>
      <c r="H1548" t="s">
        <v>192</v>
      </c>
      <c r="I1548">
        <v>7</v>
      </c>
      <c r="J1548">
        <v>3886.91</v>
      </c>
      <c r="K1548">
        <v>0</v>
      </c>
      <c r="L1548" t="s">
        <v>196</v>
      </c>
      <c r="M1548">
        <v>0</v>
      </c>
    </row>
    <row r="1549" spans="1:13" x14ac:dyDescent="0.3">
      <c r="A1549" t="s">
        <v>1758</v>
      </c>
      <c r="B1549">
        <v>95</v>
      </c>
      <c r="C1549" s="1">
        <v>45413</v>
      </c>
      <c r="D1549">
        <v>2024</v>
      </c>
      <c r="E1549" t="s">
        <v>198</v>
      </c>
      <c r="F1549" t="s">
        <v>12</v>
      </c>
      <c r="G1549" t="s">
        <v>212</v>
      </c>
      <c r="H1549" t="s">
        <v>206</v>
      </c>
      <c r="I1549">
        <v>7</v>
      </c>
      <c r="J1549">
        <v>350.65</v>
      </c>
      <c r="K1549">
        <v>1</v>
      </c>
      <c r="L1549" t="s">
        <v>201</v>
      </c>
      <c r="M1549">
        <v>1</v>
      </c>
    </row>
    <row r="1550" spans="1:13" x14ac:dyDescent="0.3">
      <c r="A1550" t="s">
        <v>1759</v>
      </c>
      <c r="B1550">
        <v>95</v>
      </c>
      <c r="C1550" s="1">
        <v>45415</v>
      </c>
      <c r="D1550">
        <v>2024</v>
      </c>
      <c r="E1550" t="s">
        <v>198</v>
      </c>
      <c r="F1550" t="s">
        <v>13</v>
      </c>
      <c r="G1550" t="s">
        <v>191</v>
      </c>
      <c r="H1550" t="s">
        <v>204</v>
      </c>
      <c r="I1550">
        <v>2</v>
      </c>
      <c r="J1550">
        <v>1623.88</v>
      </c>
      <c r="K1550">
        <v>1</v>
      </c>
      <c r="L1550" t="s">
        <v>193</v>
      </c>
      <c r="M1550">
        <v>0</v>
      </c>
    </row>
    <row r="1551" spans="1:13" x14ac:dyDescent="0.3">
      <c r="A1551" t="s">
        <v>1760</v>
      </c>
      <c r="B1551">
        <v>95</v>
      </c>
      <c r="C1551" s="1">
        <v>45628</v>
      </c>
      <c r="D1551">
        <v>2024</v>
      </c>
      <c r="E1551" t="s">
        <v>214</v>
      </c>
      <c r="F1551" t="s">
        <v>209</v>
      </c>
      <c r="G1551" t="s">
        <v>212</v>
      </c>
      <c r="H1551" t="s">
        <v>204</v>
      </c>
      <c r="I1551">
        <v>14</v>
      </c>
      <c r="J1551">
        <v>90.01</v>
      </c>
      <c r="K1551">
        <v>0</v>
      </c>
      <c r="L1551" t="s">
        <v>210</v>
      </c>
      <c r="M1551">
        <v>1</v>
      </c>
    </row>
    <row r="1552" spans="1:13" x14ac:dyDescent="0.3">
      <c r="A1552" t="s">
        <v>1761</v>
      </c>
      <c r="B1552">
        <v>95</v>
      </c>
      <c r="C1552" s="1">
        <v>45451</v>
      </c>
      <c r="D1552">
        <v>2024</v>
      </c>
      <c r="E1552" t="s">
        <v>287</v>
      </c>
      <c r="F1552" t="s">
        <v>12</v>
      </c>
      <c r="G1552" t="s">
        <v>212</v>
      </c>
      <c r="H1552" t="s">
        <v>195</v>
      </c>
      <c r="I1552">
        <v>13</v>
      </c>
      <c r="J1552">
        <v>475.37</v>
      </c>
      <c r="K1552">
        <v>0</v>
      </c>
      <c r="L1552" t="s">
        <v>215</v>
      </c>
      <c r="M1552">
        <v>1</v>
      </c>
    </row>
    <row r="1553" spans="1:13" x14ac:dyDescent="0.3">
      <c r="A1553" t="s">
        <v>1762</v>
      </c>
      <c r="B1553">
        <v>95</v>
      </c>
      <c r="C1553" s="1">
        <v>45487</v>
      </c>
      <c r="D1553">
        <v>2024</v>
      </c>
      <c r="E1553" t="s">
        <v>190</v>
      </c>
      <c r="F1553" t="s">
        <v>199</v>
      </c>
      <c r="G1553" t="s">
        <v>200</v>
      </c>
      <c r="H1553" t="s">
        <v>195</v>
      </c>
      <c r="I1553">
        <v>18</v>
      </c>
      <c r="J1553">
        <v>3931.26</v>
      </c>
      <c r="K1553">
        <v>0</v>
      </c>
      <c r="L1553" t="s">
        <v>210</v>
      </c>
      <c r="M1553">
        <v>1</v>
      </c>
    </row>
    <row r="1554" spans="1:13" x14ac:dyDescent="0.3">
      <c r="A1554" t="s">
        <v>1763</v>
      </c>
      <c r="B1554">
        <v>95</v>
      </c>
      <c r="C1554" s="1">
        <v>45324</v>
      </c>
      <c r="D1554">
        <v>2024</v>
      </c>
      <c r="E1554" t="s">
        <v>198</v>
      </c>
      <c r="F1554" t="s">
        <v>13</v>
      </c>
      <c r="G1554" t="s">
        <v>191</v>
      </c>
      <c r="H1554" t="s">
        <v>195</v>
      </c>
      <c r="I1554">
        <v>13</v>
      </c>
      <c r="J1554">
        <v>2264.25</v>
      </c>
      <c r="K1554">
        <v>1</v>
      </c>
      <c r="L1554" t="s">
        <v>201</v>
      </c>
      <c r="M1554">
        <v>0</v>
      </c>
    </row>
    <row r="1555" spans="1:13" x14ac:dyDescent="0.3">
      <c r="A1555" t="s">
        <v>1764</v>
      </c>
      <c r="B1555">
        <v>95</v>
      </c>
      <c r="C1555" s="1">
        <v>45811</v>
      </c>
      <c r="D1555">
        <v>2025</v>
      </c>
      <c r="E1555" t="s">
        <v>198</v>
      </c>
      <c r="F1555" t="s">
        <v>12</v>
      </c>
      <c r="G1555" t="s">
        <v>212</v>
      </c>
      <c r="H1555" t="s">
        <v>192</v>
      </c>
      <c r="I1555">
        <v>8</v>
      </c>
      <c r="J1555">
        <v>809.78</v>
      </c>
      <c r="K1555">
        <v>1</v>
      </c>
      <c r="L1555" t="s">
        <v>210</v>
      </c>
      <c r="M1555">
        <v>1</v>
      </c>
    </row>
    <row r="1556" spans="1:13" x14ac:dyDescent="0.3">
      <c r="A1556" t="s">
        <v>1765</v>
      </c>
      <c r="B1556">
        <v>95</v>
      </c>
      <c r="C1556" s="1">
        <v>45698</v>
      </c>
      <c r="D1556">
        <v>2025</v>
      </c>
      <c r="E1556" t="s">
        <v>219</v>
      </c>
      <c r="F1556" t="s">
        <v>199</v>
      </c>
      <c r="G1556" t="s">
        <v>203</v>
      </c>
      <c r="H1556" t="s">
        <v>206</v>
      </c>
      <c r="I1556">
        <v>11</v>
      </c>
      <c r="J1556">
        <v>4043.65</v>
      </c>
      <c r="K1556">
        <v>1</v>
      </c>
      <c r="L1556" t="s">
        <v>196</v>
      </c>
      <c r="M1556">
        <v>0</v>
      </c>
    </row>
    <row r="1557" spans="1:13" x14ac:dyDescent="0.3">
      <c r="A1557" t="s">
        <v>1766</v>
      </c>
      <c r="B1557">
        <v>95</v>
      </c>
      <c r="C1557" s="1">
        <v>45989</v>
      </c>
      <c r="D1557">
        <v>2025</v>
      </c>
      <c r="E1557" t="s">
        <v>225</v>
      </c>
      <c r="F1557" t="s">
        <v>199</v>
      </c>
      <c r="G1557" t="s">
        <v>200</v>
      </c>
      <c r="H1557" t="s">
        <v>195</v>
      </c>
      <c r="I1557">
        <v>18</v>
      </c>
      <c r="J1557">
        <v>3232.42</v>
      </c>
      <c r="K1557">
        <v>0</v>
      </c>
      <c r="L1557" t="s">
        <v>193</v>
      </c>
      <c r="M1557">
        <v>0</v>
      </c>
    </row>
    <row r="1558" spans="1:13" x14ac:dyDescent="0.3">
      <c r="A1558" t="s">
        <v>1767</v>
      </c>
      <c r="B1558">
        <v>95</v>
      </c>
      <c r="C1558" s="1">
        <v>45674</v>
      </c>
      <c r="D1558">
        <v>2025</v>
      </c>
      <c r="E1558" t="s">
        <v>227</v>
      </c>
      <c r="F1558" t="s">
        <v>13</v>
      </c>
      <c r="G1558" t="s">
        <v>212</v>
      </c>
      <c r="H1558" t="s">
        <v>204</v>
      </c>
      <c r="I1558">
        <v>9</v>
      </c>
      <c r="J1558">
        <v>1541.44</v>
      </c>
      <c r="K1558">
        <v>0</v>
      </c>
      <c r="L1558" t="s">
        <v>215</v>
      </c>
      <c r="M1558">
        <v>1</v>
      </c>
    </row>
    <row r="1559" spans="1:13" x14ac:dyDescent="0.3">
      <c r="A1559" t="s">
        <v>1768</v>
      </c>
      <c r="B1559">
        <v>95</v>
      </c>
      <c r="C1559" s="1">
        <v>45805</v>
      </c>
      <c r="D1559">
        <v>2025</v>
      </c>
      <c r="E1559" t="s">
        <v>198</v>
      </c>
      <c r="F1559" t="s">
        <v>13</v>
      </c>
      <c r="G1559" t="s">
        <v>212</v>
      </c>
      <c r="H1559" t="s">
        <v>195</v>
      </c>
      <c r="I1559">
        <v>2</v>
      </c>
      <c r="J1559">
        <v>3743.88</v>
      </c>
      <c r="K1559">
        <v>1</v>
      </c>
      <c r="L1559" t="s">
        <v>193</v>
      </c>
      <c r="M1559">
        <v>1</v>
      </c>
    </row>
    <row r="1560" spans="1:13" x14ac:dyDescent="0.3">
      <c r="A1560" t="s">
        <v>1769</v>
      </c>
      <c r="B1560">
        <v>95</v>
      </c>
      <c r="C1560" s="1">
        <v>45695</v>
      </c>
      <c r="D1560">
        <v>2025</v>
      </c>
      <c r="E1560" t="s">
        <v>219</v>
      </c>
      <c r="F1560" t="s">
        <v>13</v>
      </c>
      <c r="G1560" t="s">
        <v>203</v>
      </c>
      <c r="H1560" t="s">
        <v>206</v>
      </c>
      <c r="I1560">
        <v>14</v>
      </c>
      <c r="J1560">
        <v>1270.8699999999999</v>
      </c>
      <c r="K1560">
        <v>1</v>
      </c>
      <c r="L1560" t="s">
        <v>193</v>
      </c>
      <c r="M1560">
        <v>0</v>
      </c>
    </row>
    <row r="1561" spans="1:13" x14ac:dyDescent="0.3">
      <c r="A1561" t="s">
        <v>1770</v>
      </c>
      <c r="B1561">
        <v>96</v>
      </c>
      <c r="C1561" s="1">
        <v>44418</v>
      </c>
      <c r="D1561">
        <v>2021</v>
      </c>
      <c r="E1561" t="s">
        <v>198</v>
      </c>
      <c r="F1561" t="s">
        <v>13</v>
      </c>
      <c r="G1561" t="s">
        <v>200</v>
      </c>
      <c r="H1561" t="s">
        <v>195</v>
      </c>
      <c r="I1561">
        <v>11</v>
      </c>
      <c r="J1561">
        <v>1787.37</v>
      </c>
      <c r="K1561">
        <v>1</v>
      </c>
      <c r="L1561" t="s">
        <v>201</v>
      </c>
      <c r="M1561">
        <v>1</v>
      </c>
    </row>
    <row r="1562" spans="1:13" x14ac:dyDescent="0.3">
      <c r="A1562" t="s">
        <v>1771</v>
      </c>
      <c r="B1562">
        <v>96</v>
      </c>
      <c r="C1562" s="1">
        <v>44506</v>
      </c>
      <c r="D1562">
        <v>2021</v>
      </c>
      <c r="E1562" t="s">
        <v>287</v>
      </c>
      <c r="F1562" t="s">
        <v>209</v>
      </c>
      <c r="G1562" t="s">
        <v>212</v>
      </c>
      <c r="H1562" t="s">
        <v>192</v>
      </c>
      <c r="I1562">
        <v>7</v>
      </c>
      <c r="J1562">
        <v>502.98</v>
      </c>
      <c r="K1562">
        <v>0</v>
      </c>
      <c r="L1562" t="s">
        <v>210</v>
      </c>
      <c r="M1562">
        <v>1</v>
      </c>
    </row>
    <row r="1563" spans="1:13" x14ac:dyDescent="0.3">
      <c r="A1563" t="s">
        <v>1772</v>
      </c>
      <c r="B1563">
        <v>96</v>
      </c>
      <c r="C1563" s="1">
        <v>44888</v>
      </c>
      <c r="D1563">
        <v>2022</v>
      </c>
      <c r="E1563" t="s">
        <v>225</v>
      </c>
      <c r="F1563" t="s">
        <v>12</v>
      </c>
      <c r="G1563" t="s">
        <v>212</v>
      </c>
      <c r="H1563" t="s">
        <v>192</v>
      </c>
      <c r="I1563">
        <v>11</v>
      </c>
      <c r="J1563">
        <v>504.73</v>
      </c>
      <c r="K1563">
        <v>0</v>
      </c>
      <c r="L1563" t="s">
        <v>215</v>
      </c>
      <c r="M1563">
        <v>1</v>
      </c>
    </row>
    <row r="1564" spans="1:13" x14ac:dyDescent="0.3">
      <c r="A1564" t="s">
        <v>1773</v>
      </c>
      <c r="B1564">
        <v>96</v>
      </c>
      <c r="C1564" s="1">
        <v>44609</v>
      </c>
      <c r="D1564">
        <v>2022</v>
      </c>
      <c r="E1564" t="s">
        <v>227</v>
      </c>
      <c r="F1564" t="s">
        <v>12</v>
      </c>
      <c r="G1564" t="s">
        <v>203</v>
      </c>
      <c r="H1564" t="s">
        <v>195</v>
      </c>
      <c r="I1564">
        <v>10</v>
      </c>
      <c r="J1564">
        <v>773.01</v>
      </c>
      <c r="K1564">
        <v>0</v>
      </c>
      <c r="L1564" t="s">
        <v>210</v>
      </c>
      <c r="M1564">
        <v>0</v>
      </c>
    </row>
    <row r="1565" spans="1:13" x14ac:dyDescent="0.3">
      <c r="A1565" t="s">
        <v>1774</v>
      </c>
      <c r="B1565">
        <v>96</v>
      </c>
      <c r="C1565" s="1">
        <v>44851</v>
      </c>
      <c r="D1565">
        <v>2022</v>
      </c>
      <c r="E1565" t="s">
        <v>225</v>
      </c>
      <c r="F1565" t="s">
        <v>199</v>
      </c>
      <c r="G1565" t="s">
        <v>203</v>
      </c>
      <c r="H1565" t="s">
        <v>192</v>
      </c>
      <c r="I1565">
        <v>7</v>
      </c>
      <c r="J1565">
        <v>5909.32</v>
      </c>
      <c r="K1565">
        <v>1</v>
      </c>
      <c r="L1565" t="s">
        <v>196</v>
      </c>
      <c r="M1565">
        <v>1</v>
      </c>
    </row>
    <row r="1566" spans="1:13" x14ac:dyDescent="0.3">
      <c r="A1566" t="s">
        <v>1775</v>
      </c>
      <c r="B1566">
        <v>96</v>
      </c>
      <c r="C1566" s="1">
        <v>45003</v>
      </c>
      <c r="D1566">
        <v>2023</v>
      </c>
      <c r="E1566" t="s">
        <v>225</v>
      </c>
      <c r="F1566" t="s">
        <v>199</v>
      </c>
      <c r="G1566" t="s">
        <v>191</v>
      </c>
      <c r="H1566" t="s">
        <v>204</v>
      </c>
      <c r="I1566">
        <v>4</v>
      </c>
      <c r="J1566">
        <v>5033.9399999999996</v>
      </c>
      <c r="K1566">
        <v>0</v>
      </c>
      <c r="L1566" t="s">
        <v>201</v>
      </c>
      <c r="M1566">
        <v>0</v>
      </c>
    </row>
    <row r="1567" spans="1:13" x14ac:dyDescent="0.3">
      <c r="A1567" t="s">
        <v>1776</v>
      </c>
      <c r="B1567">
        <v>96</v>
      </c>
      <c r="C1567" s="1">
        <v>44976</v>
      </c>
      <c r="D1567">
        <v>2023</v>
      </c>
      <c r="E1567" t="s">
        <v>198</v>
      </c>
      <c r="F1567" t="s">
        <v>13</v>
      </c>
      <c r="G1567" t="s">
        <v>191</v>
      </c>
      <c r="H1567" t="s">
        <v>204</v>
      </c>
      <c r="I1567">
        <v>14</v>
      </c>
      <c r="J1567">
        <v>3674.59</v>
      </c>
      <c r="K1567">
        <v>1</v>
      </c>
      <c r="L1567" t="s">
        <v>215</v>
      </c>
      <c r="M1567">
        <v>1</v>
      </c>
    </row>
    <row r="1568" spans="1:13" x14ac:dyDescent="0.3">
      <c r="A1568" t="s">
        <v>1777</v>
      </c>
      <c r="B1568">
        <v>96</v>
      </c>
      <c r="C1568" s="1">
        <v>45172</v>
      </c>
      <c r="D1568">
        <v>2023</v>
      </c>
      <c r="E1568" t="s">
        <v>198</v>
      </c>
      <c r="F1568" t="s">
        <v>13</v>
      </c>
      <c r="G1568" t="s">
        <v>203</v>
      </c>
      <c r="H1568" t="s">
        <v>192</v>
      </c>
      <c r="I1568">
        <v>11</v>
      </c>
      <c r="J1568">
        <v>3067.41</v>
      </c>
      <c r="K1568">
        <v>1</v>
      </c>
      <c r="L1568" t="s">
        <v>201</v>
      </c>
      <c r="M1568">
        <v>1</v>
      </c>
    </row>
    <row r="1569" spans="1:13" x14ac:dyDescent="0.3">
      <c r="A1569" t="s">
        <v>1778</v>
      </c>
      <c r="B1569">
        <v>96</v>
      </c>
      <c r="C1569" s="1">
        <v>45318</v>
      </c>
      <c r="D1569">
        <v>2024</v>
      </c>
      <c r="E1569" t="s">
        <v>287</v>
      </c>
      <c r="F1569" t="s">
        <v>12</v>
      </c>
      <c r="G1569" t="s">
        <v>203</v>
      </c>
      <c r="H1569" t="s">
        <v>192</v>
      </c>
      <c r="I1569">
        <v>6</v>
      </c>
      <c r="J1569">
        <v>618.99</v>
      </c>
      <c r="K1569">
        <v>0</v>
      </c>
      <c r="L1569" t="s">
        <v>210</v>
      </c>
      <c r="M1569">
        <v>0</v>
      </c>
    </row>
    <row r="1570" spans="1:13" x14ac:dyDescent="0.3">
      <c r="A1570" t="s">
        <v>1779</v>
      </c>
      <c r="B1570">
        <v>96</v>
      </c>
      <c r="C1570" s="1">
        <v>45390</v>
      </c>
      <c r="D1570">
        <v>2024</v>
      </c>
      <c r="E1570" t="s">
        <v>198</v>
      </c>
      <c r="F1570" t="s">
        <v>199</v>
      </c>
      <c r="G1570" t="s">
        <v>203</v>
      </c>
      <c r="H1570" t="s">
        <v>195</v>
      </c>
      <c r="I1570">
        <v>5</v>
      </c>
      <c r="J1570">
        <v>2796.86</v>
      </c>
      <c r="K1570">
        <v>1</v>
      </c>
      <c r="L1570" t="s">
        <v>201</v>
      </c>
      <c r="M1570">
        <v>0</v>
      </c>
    </row>
    <row r="1571" spans="1:13" x14ac:dyDescent="0.3">
      <c r="A1571" t="s">
        <v>1780</v>
      </c>
      <c r="B1571">
        <v>96</v>
      </c>
      <c r="C1571" s="1">
        <v>45422</v>
      </c>
      <c r="D1571">
        <v>2024</v>
      </c>
      <c r="E1571" t="s">
        <v>198</v>
      </c>
      <c r="F1571" t="s">
        <v>13</v>
      </c>
      <c r="G1571" t="s">
        <v>191</v>
      </c>
      <c r="H1571" t="s">
        <v>195</v>
      </c>
      <c r="I1571">
        <v>11</v>
      </c>
      <c r="J1571">
        <v>3664</v>
      </c>
      <c r="K1571">
        <v>1</v>
      </c>
      <c r="L1571" t="s">
        <v>193</v>
      </c>
      <c r="M1571">
        <v>0</v>
      </c>
    </row>
    <row r="1572" spans="1:13" x14ac:dyDescent="0.3">
      <c r="A1572" t="s">
        <v>1781</v>
      </c>
      <c r="B1572">
        <v>96</v>
      </c>
      <c r="C1572" s="1">
        <v>45454</v>
      </c>
      <c r="D1572">
        <v>2024</v>
      </c>
      <c r="E1572" t="s">
        <v>190</v>
      </c>
      <c r="F1572" t="s">
        <v>13</v>
      </c>
      <c r="G1572" t="s">
        <v>191</v>
      </c>
      <c r="H1572" t="s">
        <v>195</v>
      </c>
      <c r="I1572">
        <v>10</v>
      </c>
      <c r="J1572">
        <v>3659.04</v>
      </c>
      <c r="K1572">
        <v>1</v>
      </c>
      <c r="L1572" t="s">
        <v>201</v>
      </c>
      <c r="M1572">
        <v>1</v>
      </c>
    </row>
    <row r="1573" spans="1:13" x14ac:dyDescent="0.3">
      <c r="A1573" t="s">
        <v>1782</v>
      </c>
      <c r="B1573">
        <v>96</v>
      </c>
      <c r="C1573" s="1">
        <v>45730</v>
      </c>
      <c r="D1573">
        <v>2025</v>
      </c>
      <c r="E1573" t="s">
        <v>198</v>
      </c>
      <c r="F1573" t="s">
        <v>13</v>
      </c>
      <c r="G1573" t="s">
        <v>203</v>
      </c>
      <c r="H1573" t="s">
        <v>195</v>
      </c>
      <c r="I1573">
        <v>12</v>
      </c>
      <c r="J1573">
        <v>1920.36</v>
      </c>
      <c r="K1573">
        <v>1</v>
      </c>
      <c r="L1573" t="s">
        <v>215</v>
      </c>
      <c r="M1573">
        <v>1</v>
      </c>
    </row>
    <row r="1574" spans="1:13" x14ac:dyDescent="0.3">
      <c r="A1574" t="s">
        <v>1783</v>
      </c>
      <c r="B1574">
        <v>96</v>
      </c>
      <c r="C1574" s="1">
        <v>45689</v>
      </c>
      <c r="D1574">
        <v>2025</v>
      </c>
      <c r="E1574" t="s">
        <v>227</v>
      </c>
      <c r="F1574" t="s">
        <v>13</v>
      </c>
      <c r="G1574" t="s">
        <v>212</v>
      </c>
      <c r="H1574" t="s">
        <v>195</v>
      </c>
      <c r="I1574">
        <v>14</v>
      </c>
      <c r="J1574">
        <v>1279.8499999999999</v>
      </c>
      <c r="K1574">
        <v>0</v>
      </c>
      <c r="L1574" t="s">
        <v>193</v>
      </c>
      <c r="M1574">
        <v>1</v>
      </c>
    </row>
    <row r="1575" spans="1:13" x14ac:dyDescent="0.3">
      <c r="A1575" t="s">
        <v>1784</v>
      </c>
      <c r="B1575">
        <v>96</v>
      </c>
      <c r="C1575" s="1">
        <v>46015</v>
      </c>
      <c r="D1575">
        <v>2025</v>
      </c>
      <c r="E1575" t="s">
        <v>214</v>
      </c>
      <c r="F1575" t="s">
        <v>13</v>
      </c>
      <c r="G1575" t="s">
        <v>191</v>
      </c>
      <c r="H1575" t="s">
        <v>192</v>
      </c>
      <c r="I1575">
        <v>17</v>
      </c>
      <c r="J1575">
        <v>1424.19</v>
      </c>
      <c r="K1575">
        <v>1</v>
      </c>
      <c r="L1575" t="s">
        <v>193</v>
      </c>
      <c r="M1575">
        <v>0</v>
      </c>
    </row>
    <row r="1576" spans="1:13" x14ac:dyDescent="0.3">
      <c r="A1576" t="s">
        <v>1785</v>
      </c>
      <c r="B1576">
        <v>97</v>
      </c>
      <c r="C1576" s="1">
        <v>44526</v>
      </c>
      <c r="D1576">
        <v>2021</v>
      </c>
      <c r="E1576" t="s">
        <v>287</v>
      </c>
      <c r="F1576" t="s">
        <v>12</v>
      </c>
      <c r="G1576" t="s">
        <v>212</v>
      </c>
      <c r="H1576" t="s">
        <v>192</v>
      </c>
      <c r="I1576">
        <v>2</v>
      </c>
      <c r="J1576">
        <v>1223.8699999999999</v>
      </c>
      <c r="K1576">
        <v>0</v>
      </c>
      <c r="L1576" t="s">
        <v>193</v>
      </c>
      <c r="M1576">
        <v>1</v>
      </c>
    </row>
    <row r="1577" spans="1:13" x14ac:dyDescent="0.3">
      <c r="A1577" t="s">
        <v>1786</v>
      </c>
      <c r="B1577">
        <v>97</v>
      </c>
      <c r="C1577" s="1">
        <v>44307</v>
      </c>
      <c r="D1577">
        <v>2021</v>
      </c>
      <c r="E1577" t="s">
        <v>198</v>
      </c>
      <c r="F1577" t="s">
        <v>13</v>
      </c>
      <c r="G1577" t="s">
        <v>191</v>
      </c>
      <c r="H1577" t="s">
        <v>195</v>
      </c>
      <c r="I1577">
        <v>5</v>
      </c>
      <c r="J1577">
        <v>1011.65</v>
      </c>
      <c r="K1577">
        <v>1</v>
      </c>
      <c r="L1577" t="s">
        <v>215</v>
      </c>
      <c r="M1577">
        <v>0</v>
      </c>
    </row>
    <row r="1578" spans="1:13" x14ac:dyDescent="0.3">
      <c r="A1578" t="s">
        <v>1787</v>
      </c>
      <c r="B1578">
        <v>97</v>
      </c>
      <c r="C1578" s="1">
        <v>44521</v>
      </c>
      <c r="D1578">
        <v>2021</v>
      </c>
      <c r="E1578" t="s">
        <v>287</v>
      </c>
      <c r="F1578" t="s">
        <v>199</v>
      </c>
      <c r="G1578" t="s">
        <v>200</v>
      </c>
      <c r="H1578" t="s">
        <v>195</v>
      </c>
      <c r="I1578">
        <v>13</v>
      </c>
      <c r="J1578">
        <v>3301.72</v>
      </c>
      <c r="K1578">
        <v>1</v>
      </c>
      <c r="L1578" t="s">
        <v>193</v>
      </c>
      <c r="M1578">
        <v>0</v>
      </c>
    </row>
    <row r="1579" spans="1:13" x14ac:dyDescent="0.3">
      <c r="A1579" t="s">
        <v>1788</v>
      </c>
      <c r="B1579">
        <v>97</v>
      </c>
      <c r="C1579" s="1">
        <v>44815</v>
      </c>
      <c r="D1579">
        <v>2022</v>
      </c>
      <c r="E1579" t="s">
        <v>219</v>
      </c>
      <c r="F1579" t="s">
        <v>13</v>
      </c>
      <c r="G1579" t="s">
        <v>203</v>
      </c>
      <c r="H1579" t="s">
        <v>195</v>
      </c>
      <c r="I1579">
        <v>11</v>
      </c>
      <c r="J1579">
        <v>2389.2399999999998</v>
      </c>
      <c r="K1579">
        <v>0</v>
      </c>
      <c r="L1579" t="s">
        <v>201</v>
      </c>
      <c r="M1579">
        <v>0</v>
      </c>
    </row>
    <row r="1580" spans="1:13" x14ac:dyDescent="0.3">
      <c r="A1580" t="s">
        <v>1789</v>
      </c>
      <c r="B1580">
        <v>97</v>
      </c>
      <c r="C1580" s="1">
        <v>44718</v>
      </c>
      <c r="D1580">
        <v>2022</v>
      </c>
      <c r="E1580" t="s">
        <v>198</v>
      </c>
      <c r="F1580" t="s">
        <v>199</v>
      </c>
      <c r="G1580" t="s">
        <v>203</v>
      </c>
      <c r="H1580" t="s">
        <v>192</v>
      </c>
      <c r="I1580">
        <v>1</v>
      </c>
      <c r="J1580">
        <v>7365.21</v>
      </c>
      <c r="K1580">
        <v>1</v>
      </c>
      <c r="L1580" t="s">
        <v>210</v>
      </c>
      <c r="M1580">
        <v>1</v>
      </c>
    </row>
    <row r="1581" spans="1:13" x14ac:dyDescent="0.3">
      <c r="A1581" t="s">
        <v>1790</v>
      </c>
      <c r="B1581">
        <v>97</v>
      </c>
      <c r="C1581" s="1">
        <v>44882</v>
      </c>
      <c r="D1581">
        <v>2022</v>
      </c>
      <c r="E1581" t="s">
        <v>225</v>
      </c>
      <c r="F1581" t="s">
        <v>199</v>
      </c>
      <c r="G1581" t="s">
        <v>200</v>
      </c>
      <c r="H1581" t="s">
        <v>192</v>
      </c>
      <c r="I1581">
        <v>4</v>
      </c>
      <c r="J1581">
        <v>3454.26</v>
      </c>
      <c r="K1581">
        <v>0</v>
      </c>
      <c r="L1581" t="s">
        <v>196</v>
      </c>
      <c r="M1581">
        <v>0</v>
      </c>
    </row>
    <row r="1582" spans="1:13" x14ac:dyDescent="0.3">
      <c r="A1582" t="s">
        <v>1791</v>
      </c>
      <c r="B1582">
        <v>97</v>
      </c>
      <c r="C1582" s="1">
        <v>44740</v>
      </c>
      <c r="D1582">
        <v>2022</v>
      </c>
      <c r="E1582" t="s">
        <v>225</v>
      </c>
      <c r="F1582" t="s">
        <v>13</v>
      </c>
      <c r="G1582" t="s">
        <v>212</v>
      </c>
      <c r="H1582" t="s">
        <v>204</v>
      </c>
      <c r="I1582">
        <v>7</v>
      </c>
      <c r="J1582">
        <v>3077.77</v>
      </c>
      <c r="K1582">
        <v>0</v>
      </c>
      <c r="L1582" t="s">
        <v>196</v>
      </c>
      <c r="M1582">
        <v>1</v>
      </c>
    </row>
    <row r="1583" spans="1:13" x14ac:dyDescent="0.3">
      <c r="A1583" t="s">
        <v>1792</v>
      </c>
      <c r="B1583">
        <v>97</v>
      </c>
      <c r="C1583" s="1">
        <v>44914</v>
      </c>
      <c r="D1583">
        <v>2022</v>
      </c>
      <c r="E1583" t="s">
        <v>227</v>
      </c>
      <c r="F1583" t="s">
        <v>199</v>
      </c>
      <c r="G1583" t="s">
        <v>212</v>
      </c>
      <c r="H1583" t="s">
        <v>195</v>
      </c>
      <c r="I1583">
        <v>8</v>
      </c>
      <c r="J1583">
        <v>5714.33</v>
      </c>
      <c r="K1583">
        <v>0</v>
      </c>
      <c r="L1583" t="s">
        <v>210</v>
      </c>
      <c r="M1583">
        <v>1</v>
      </c>
    </row>
    <row r="1584" spans="1:13" x14ac:dyDescent="0.3">
      <c r="A1584" t="s">
        <v>1793</v>
      </c>
      <c r="B1584">
        <v>97</v>
      </c>
      <c r="C1584" s="1">
        <v>45018</v>
      </c>
      <c r="D1584">
        <v>2023</v>
      </c>
      <c r="E1584" t="s">
        <v>198</v>
      </c>
      <c r="F1584" t="s">
        <v>199</v>
      </c>
      <c r="G1584" t="s">
        <v>203</v>
      </c>
      <c r="H1584" t="s">
        <v>206</v>
      </c>
      <c r="I1584">
        <v>10</v>
      </c>
      <c r="J1584">
        <v>5331.53</v>
      </c>
      <c r="K1584">
        <v>1</v>
      </c>
      <c r="L1584" t="s">
        <v>201</v>
      </c>
      <c r="M1584">
        <v>0</v>
      </c>
    </row>
    <row r="1585" spans="1:13" x14ac:dyDescent="0.3">
      <c r="A1585" t="s">
        <v>1794</v>
      </c>
      <c r="B1585">
        <v>97</v>
      </c>
      <c r="C1585" s="1">
        <v>45273</v>
      </c>
      <c r="D1585">
        <v>2023</v>
      </c>
      <c r="E1585" t="s">
        <v>219</v>
      </c>
      <c r="F1585" t="s">
        <v>199</v>
      </c>
      <c r="G1585" t="s">
        <v>191</v>
      </c>
      <c r="H1585" t="s">
        <v>192</v>
      </c>
      <c r="I1585">
        <v>8</v>
      </c>
      <c r="J1585">
        <v>4641.4399999999996</v>
      </c>
      <c r="K1585">
        <v>0</v>
      </c>
      <c r="L1585" t="s">
        <v>201</v>
      </c>
      <c r="M1585">
        <v>0</v>
      </c>
    </row>
    <row r="1586" spans="1:13" x14ac:dyDescent="0.3">
      <c r="A1586" t="s">
        <v>1795</v>
      </c>
      <c r="B1586">
        <v>97</v>
      </c>
      <c r="C1586" s="1">
        <v>45012</v>
      </c>
      <c r="D1586">
        <v>2023</v>
      </c>
      <c r="E1586" t="s">
        <v>190</v>
      </c>
      <c r="F1586" t="s">
        <v>199</v>
      </c>
      <c r="G1586" t="s">
        <v>191</v>
      </c>
      <c r="H1586" t="s">
        <v>195</v>
      </c>
      <c r="I1586">
        <v>15</v>
      </c>
      <c r="J1586">
        <v>2550.17</v>
      </c>
      <c r="K1586">
        <v>0</v>
      </c>
      <c r="L1586" t="s">
        <v>196</v>
      </c>
      <c r="M1586">
        <v>0</v>
      </c>
    </row>
    <row r="1587" spans="1:13" x14ac:dyDescent="0.3">
      <c r="A1587" t="s">
        <v>1796</v>
      </c>
      <c r="B1587">
        <v>97</v>
      </c>
      <c r="C1587" s="1">
        <v>45141</v>
      </c>
      <c r="D1587">
        <v>2023</v>
      </c>
      <c r="E1587" t="s">
        <v>219</v>
      </c>
      <c r="F1587" t="s">
        <v>199</v>
      </c>
      <c r="G1587" t="s">
        <v>191</v>
      </c>
      <c r="H1587" t="s">
        <v>204</v>
      </c>
      <c r="I1587">
        <v>13</v>
      </c>
      <c r="J1587">
        <v>6887.01</v>
      </c>
      <c r="K1587">
        <v>1</v>
      </c>
      <c r="L1587" t="s">
        <v>193</v>
      </c>
      <c r="M1587">
        <v>0</v>
      </c>
    </row>
    <row r="1588" spans="1:13" x14ac:dyDescent="0.3">
      <c r="A1588" t="s">
        <v>1797</v>
      </c>
      <c r="B1588">
        <v>97</v>
      </c>
      <c r="C1588" s="1">
        <v>45279</v>
      </c>
      <c r="D1588">
        <v>2023</v>
      </c>
      <c r="E1588" t="s">
        <v>214</v>
      </c>
      <c r="F1588" t="s">
        <v>13</v>
      </c>
      <c r="G1588" t="s">
        <v>212</v>
      </c>
      <c r="H1588" t="s">
        <v>195</v>
      </c>
      <c r="I1588">
        <v>6</v>
      </c>
      <c r="J1588">
        <v>1143.3399999999999</v>
      </c>
      <c r="K1588">
        <v>1</v>
      </c>
      <c r="L1588" t="s">
        <v>193</v>
      </c>
      <c r="M1588">
        <v>1</v>
      </c>
    </row>
    <row r="1589" spans="1:13" x14ac:dyDescent="0.3">
      <c r="A1589" t="s">
        <v>1798</v>
      </c>
      <c r="B1589">
        <v>97</v>
      </c>
      <c r="C1589" s="1">
        <v>45543</v>
      </c>
      <c r="D1589">
        <v>2024</v>
      </c>
      <c r="E1589" t="s">
        <v>219</v>
      </c>
      <c r="F1589" t="s">
        <v>199</v>
      </c>
      <c r="G1589" t="s">
        <v>191</v>
      </c>
      <c r="H1589" t="s">
        <v>195</v>
      </c>
      <c r="I1589">
        <v>11</v>
      </c>
      <c r="J1589">
        <v>3682.79</v>
      </c>
      <c r="K1589">
        <v>0</v>
      </c>
      <c r="L1589" t="s">
        <v>193</v>
      </c>
      <c r="M1589">
        <v>1</v>
      </c>
    </row>
    <row r="1590" spans="1:13" x14ac:dyDescent="0.3">
      <c r="A1590" t="s">
        <v>1799</v>
      </c>
      <c r="B1590">
        <v>97</v>
      </c>
      <c r="C1590" s="1">
        <v>45373</v>
      </c>
      <c r="D1590">
        <v>2024</v>
      </c>
      <c r="E1590" t="s">
        <v>190</v>
      </c>
      <c r="F1590" t="s">
        <v>13</v>
      </c>
      <c r="G1590" t="s">
        <v>191</v>
      </c>
      <c r="H1590" t="s">
        <v>206</v>
      </c>
      <c r="I1590">
        <v>16</v>
      </c>
      <c r="J1590">
        <v>2531.6</v>
      </c>
      <c r="K1590">
        <v>0</v>
      </c>
      <c r="L1590" t="s">
        <v>201</v>
      </c>
      <c r="M1590">
        <v>0</v>
      </c>
    </row>
    <row r="1591" spans="1:13" x14ac:dyDescent="0.3">
      <c r="A1591" t="s">
        <v>1800</v>
      </c>
      <c r="B1591">
        <v>97</v>
      </c>
      <c r="C1591" s="1">
        <v>45500</v>
      </c>
      <c r="D1591">
        <v>2024</v>
      </c>
      <c r="E1591" t="s">
        <v>190</v>
      </c>
      <c r="F1591" t="s">
        <v>12</v>
      </c>
      <c r="G1591" t="s">
        <v>212</v>
      </c>
      <c r="H1591" t="s">
        <v>204</v>
      </c>
      <c r="I1591">
        <v>18</v>
      </c>
      <c r="J1591">
        <v>458.5</v>
      </c>
      <c r="K1591">
        <v>0</v>
      </c>
      <c r="L1591" t="s">
        <v>193</v>
      </c>
      <c r="M1591">
        <v>1</v>
      </c>
    </row>
    <row r="1592" spans="1:13" x14ac:dyDescent="0.3">
      <c r="A1592" t="s">
        <v>1801</v>
      </c>
      <c r="B1592">
        <v>97</v>
      </c>
      <c r="C1592" s="1">
        <v>45557</v>
      </c>
      <c r="D1592">
        <v>2024</v>
      </c>
      <c r="E1592" t="s">
        <v>214</v>
      </c>
      <c r="F1592" t="s">
        <v>199</v>
      </c>
      <c r="G1592" t="s">
        <v>203</v>
      </c>
      <c r="H1592" t="s">
        <v>195</v>
      </c>
      <c r="I1592">
        <v>15</v>
      </c>
      <c r="J1592">
        <v>5450.87</v>
      </c>
      <c r="K1592">
        <v>0</v>
      </c>
      <c r="L1592" t="s">
        <v>201</v>
      </c>
      <c r="M1592">
        <v>0</v>
      </c>
    </row>
    <row r="1593" spans="1:13" x14ac:dyDescent="0.3">
      <c r="A1593" t="s">
        <v>1802</v>
      </c>
      <c r="B1593">
        <v>97</v>
      </c>
      <c r="C1593" s="1">
        <v>45759</v>
      </c>
      <c r="D1593">
        <v>2025</v>
      </c>
      <c r="E1593" t="s">
        <v>198</v>
      </c>
      <c r="F1593" t="s">
        <v>199</v>
      </c>
      <c r="G1593" t="s">
        <v>203</v>
      </c>
      <c r="H1593" t="s">
        <v>192</v>
      </c>
      <c r="I1593">
        <v>10</v>
      </c>
      <c r="J1593">
        <v>6248.3</v>
      </c>
      <c r="K1593">
        <v>1</v>
      </c>
      <c r="L1593" t="s">
        <v>196</v>
      </c>
      <c r="M1593">
        <v>0</v>
      </c>
    </row>
    <row r="1594" spans="1:13" x14ac:dyDescent="0.3">
      <c r="A1594" t="s">
        <v>1803</v>
      </c>
      <c r="B1594">
        <v>97</v>
      </c>
      <c r="C1594" s="1">
        <v>45886</v>
      </c>
      <c r="D1594">
        <v>2025</v>
      </c>
      <c r="E1594" t="s">
        <v>198</v>
      </c>
      <c r="F1594" t="s">
        <v>199</v>
      </c>
      <c r="G1594" t="s">
        <v>203</v>
      </c>
      <c r="H1594" t="s">
        <v>192</v>
      </c>
      <c r="I1594">
        <v>15</v>
      </c>
      <c r="J1594">
        <v>3703.46</v>
      </c>
      <c r="K1594">
        <v>1</v>
      </c>
      <c r="L1594" t="s">
        <v>196</v>
      </c>
      <c r="M1594">
        <v>0</v>
      </c>
    </row>
    <row r="1595" spans="1:13" x14ac:dyDescent="0.3">
      <c r="A1595" t="s">
        <v>1804</v>
      </c>
      <c r="B1595">
        <v>97</v>
      </c>
      <c r="C1595" s="1">
        <v>45946</v>
      </c>
      <c r="D1595">
        <v>2025</v>
      </c>
      <c r="E1595" t="s">
        <v>227</v>
      </c>
      <c r="F1595" t="s">
        <v>12</v>
      </c>
      <c r="G1595" t="s">
        <v>203</v>
      </c>
      <c r="H1595" t="s">
        <v>195</v>
      </c>
      <c r="I1595">
        <v>13</v>
      </c>
      <c r="J1595">
        <v>1234.1099999999999</v>
      </c>
      <c r="K1595">
        <v>1</v>
      </c>
      <c r="L1595" t="s">
        <v>215</v>
      </c>
      <c r="M1595">
        <v>1</v>
      </c>
    </row>
    <row r="1596" spans="1:13" x14ac:dyDescent="0.3">
      <c r="A1596" t="s">
        <v>1805</v>
      </c>
      <c r="B1596">
        <v>97</v>
      </c>
      <c r="C1596" s="1">
        <v>46011</v>
      </c>
      <c r="D1596">
        <v>2025</v>
      </c>
      <c r="E1596" t="s">
        <v>219</v>
      </c>
      <c r="F1596" t="s">
        <v>13</v>
      </c>
      <c r="G1596" t="s">
        <v>191</v>
      </c>
      <c r="H1596" t="s">
        <v>192</v>
      </c>
      <c r="I1596">
        <v>8</v>
      </c>
      <c r="J1596">
        <v>2908.34</v>
      </c>
      <c r="K1596">
        <v>1</v>
      </c>
      <c r="L1596" t="s">
        <v>215</v>
      </c>
      <c r="M1596">
        <v>1</v>
      </c>
    </row>
    <row r="1597" spans="1:13" x14ac:dyDescent="0.3">
      <c r="A1597" t="s">
        <v>1806</v>
      </c>
      <c r="B1597">
        <v>98</v>
      </c>
      <c r="C1597" s="1">
        <v>44392</v>
      </c>
      <c r="D1597">
        <v>2021</v>
      </c>
      <c r="E1597" t="s">
        <v>225</v>
      </c>
      <c r="F1597" t="s">
        <v>209</v>
      </c>
      <c r="G1597" t="s">
        <v>212</v>
      </c>
      <c r="H1597" t="s">
        <v>206</v>
      </c>
      <c r="I1597">
        <v>4</v>
      </c>
      <c r="J1597">
        <v>370.26</v>
      </c>
      <c r="K1597">
        <v>0</v>
      </c>
      <c r="L1597" t="s">
        <v>215</v>
      </c>
      <c r="M1597">
        <v>1</v>
      </c>
    </row>
    <row r="1598" spans="1:13" x14ac:dyDescent="0.3">
      <c r="A1598" t="s">
        <v>1807</v>
      </c>
      <c r="B1598">
        <v>98</v>
      </c>
      <c r="C1598" s="1">
        <v>44701</v>
      </c>
      <c r="D1598">
        <v>2022</v>
      </c>
      <c r="E1598" t="s">
        <v>214</v>
      </c>
      <c r="F1598" t="s">
        <v>13</v>
      </c>
      <c r="G1598" t="s">
        <v>200</v>
      </c>
      <c r="H1598" t="s">
        <v>195</v>
      </c>
      <c r="I1598">
        <v>2</v>
      </c>
      <c r="J1598">
        <v>2923.98</v>
      </c>
      <c r="K1598">
        <v>0</v>
      </c>
      <c r="L1598" t="s">
        <v>201</v>
      </c>
      <c r="M1598">
        <v>0</v>
      </c>
    </row>
    <row r="1599" spans="1:13" x14ac:dyDescent="0.3">
      <c r="A1599" t="s">
        <v>1808</v>
      </c>
      <c r="B1599">
        <v>98</v>
      </c>
      <c r="C1599" s="1">
        <v>45040</v>
      </c>
      <c r="D1599">
        <v>2023</v>
      </c>
      <c r="E1599" t="s">
        <v>227</v>
      </c>
      <c r="F1599" t="s">
        <v>199</v>
      </c>
      <c r="G1599" t="s">
        <v>212</v>
      </c>
      <c r="H1599" t="s">
        <v>192</v>
      </c>
      <c r="I1599">
        <v>2</v>
      </c>
      <c r="J1599">
        <v>6550.19</v>
      </c>
      <c r="K1599">
        <v>0</v>
      </c>
      <c r="L1599" t="s">
        <v>193</v>
      </c>
      <c r="M1599">
        <v>1</v>
      </c>
    </row>
    <row r="1600" spans="1:13" x14ac:dyDescent="0.3">
      <c r="A1600" t="s">
        <v>1809</v>
      </c>
      <c r="B1600">
        <v>98</v>
      </c>
      <c r="C1600" s="1">
        <v>44970</v>
      </c>
      <c r="D1600">
        <v>2023</v>
      </c>
      <c r="E1600" t="s">
        <v>190</v>
      </c>
      <c r="F1600" t="s">
        <v>199</v>
      </c>
      <c r="G1600" t="s">
        <v>200</v>
      </c>
      <c r="H1600" t="s">
        <v>204</v>
      </c>
      <c r="I1600">
        <v>4</v>
      </c>
      <c r="J1600">
        <v>5665.84</v>
      </c>
      <c r="K1600">
        <v>0</v>
      </c>
      <c r="L1600" t="s">
        <v>196</v>
      </c>
      <c r="M1600">
        <v>1</v>
      </c>
    </row>
    <row r="1601" spans="1:13" x14ac:dyDescent="0.3">
      <c r="A1601" t="s">
        <v>1810</v>
      </c>
      <c r="B1601">
        <v>98</v>
      </c>
      <c r="C1601" s="1">
        <v>44990</v>
      </c>
      <c r="D1601">
        <v>2023</v>
      </c>
      <c r="E1601" t="s">
        <v>219</v>
      </c>
      <c r="F1601" t="s">
        <v>13</v>
      </c>
      <c r="G1601" t="s">
        <v>191</v>
      </c>
      <c r="H1601" t="s">
        <v>204</v>
      </c>
      <c r="I1601">
        <v>9</v>
      </c>
      <c r="J1601">
        <v>3316.88</v>
      </c>
      <c r="K1601">
        <v>0</v>
      </c>
      <c r="L1601" t="s">
        <v>201</v>
      </c>
      <c r="M1601">
        <v>0</v>
      </c>
    </row>
    <row r="1602" spans="1:13" x14ac:dyDescent="0.3">
      <c r="A1602" t="s">
        <v>1811</v>
      </c>
      <c r="B1602">
        <v>98</v>
      </c>
      <c r="C1602" s="1">
        <v>44945</v>
      </c>
      <c r="D1602">
        <v>2023</v>
      </c>
      <c r="E1602" t="s">
        <v>190</v>
      </c>
      <c r="F1602" t="s">
        <v>13</v>
      </c>
      <c r="G1602" t="s">
        <v>203</v>
      </c>
      <c r="H1602" t="s">
        <v>192</v>
      </c>
      <c r="I1602">
        <v>15</v>
      </c>
      <c r="J1602">
        <v>3864.75</v>
      </c>
      <c r="K1602">
        <v>0</v>
      </c>
      <c r="L1602" t="s">
        <v>193</v>
      </c>
      <c r="M1602">
        <v>1</v>
      </c>
    </row>
    <row r="1603" spans="1:13" x14ac:dyDescent="0.3">
      <c r="A1603" t="s">
        <v>1812</v>
      </c>
      <c r="B1603">
        <v>98</v>
      </c>
      <c r="C1603" s="1">
        <v>45047</v>
      </c>
      <c r="D1603">
        <v>2023</v>
      </c>
      <c r="E1603" t="s">
        <v>190</v>
      </c>
      <c r="F1603" t="s">
        <v>12</v>
      </c>
      <c r="G1603" t="s">
        <v>203</v>
      </c>
      <c r="H1603" t="s">
        <v>195</v>
      </c>
      <c r="I1603">
        <v>5</v>
      </c>
      <c r="J1603">
        <v>1298.1300000000001</v>
      </c>
      <c r="K1603">
        <v>0</v>
      </c>
      <c r="L1603" t="s">
        <v>215</v>
      </c>
      <c r="M1603">
        <v>1</v>
      </c>
    </row>
    <row r="1604" spans="1:13" x14ac:dyDescent="0.3">
      <c r="A1604" t="s">
        <v>1813</v>
      </c>
      <c r="B1604">
        <v>98</v>
      </c>
      <c r="C1604" s="1">
        <v>45103</v>
      </c>
      <c r="D1604">
        <v>2023</v>
      </c>
      <c r="E1604" t="s">
        <v>198</v>
      </c>
      <c r="F1604" t="s">
        <v>12</v>
      </c>
      <c r="G1604" t="s">
        <v>212</v>
      </c>
      <c r="H1604" t="s">
        <v>195</v>
      </c>
      <c r="I1604">
        <v>15</v>
      </c>
      <c r="J1604">
        <v>657.87</v>
      </c>
      <c r="K1604">
        <v>1</v>
      </c>
      <c r="L1604" t="s">
        <v>210</v>
      </c>
      <c r="M1604">
        <v>1</v>
      </c>
    </row>
    <row r="1605" spans="1:13" x14ac:dyDescent="0.3">
      <c r="A1605" t="s">
        <v>1814</v>
      </c>
      <c r="B1605">
        <v>98</v>
      </c>
      <c r="C1605" s="1">
        <v>45401</v>
      </c>
      <c r="D1605">
        <v>2024</v>
      </c>
      <c r="E1605" t="s">
        <v>198</v>
      </c>
      <c r="F1605" t="s">
        <v>199</v>
      </c>
      <c r="G1605" t="s">
        <v>203</v>
      </c>
      <c r="H1605" t="s">
        <v>192</v>
      </c>
      <c r="I1605">
        <v>13</v>
      </c>
      <c r="J1605">
        <v>6612.56</v>
      </c>
      <c r="K1605">
        <v>1</v>
      </c>
      <c r="L1605" t="s">
        <v>193</v>
      </c>
      <c r="M1605">
        <v>0</v>
      </c>
    </row>
    <row r="1606" spans="1:13" x14ac:dyDescent="0.3">
      <c r="A1606" t="s">
        <v>1815</v>
      </c>
      <c r="B1606">
        <v>98</v>
      </c>
      <c r="C1606" s="1">
        <v>45353</v>
      </c>
      <c r="D1606">
        <v>2024</v>
      </c>
      <c r="E1606" t="s">
        <v>190</v>
      </c>
      <c r="F1606" t="s">
        <v>12</v>
      </c>
      <c r="G1606" t="s">
        <v>212</v>
      </c>
      <c r="H1606" t="s">
        <v>206</v>
      </c>
      <c r="I1606">
        <v>4</v>
      </c>
      <c r="J1606">
        <v>328.71</v>
      </c>
      <c r="K1606">
        <v>0</v>
      </c>
      <c r="L1606" t="s">
        <v>193</v>
      </c>
      <c r="M1606">
        <v>1</v>
      </c>
    </row>
    <row r="1607" spans="1:13" x14ac:dyDescent="0.3">
      <c r="A1607" t="s">
        <v>1816</v>
      </c>
      <c r="B1607">
        <v>98</v>
      </c>
      <c r="C1607" s="1">
        <v>45562</v>
      </c>
      <c r="D1607">
        <v>2024</v>
      </c>
      <c r="E1607" t="s">
        <v>225</v>
      </c>
      <c r="F1607" t="s">
        <v>13</v>
      </c>
      <c r="G1607" t="s">
        <v>200</v>
      </c>
      <c r="H1607" t="s">
        <v>195</v>
      </c>
      <c r="I1607">
        <v>3</v>
      </c>
      <c r="J1607">
        <v>3213.59</v>
      </c>
      <c r="K1607">
        <v>0</v>
      </c>
      <c r="L1607" t="s">
        <v>193</v>
      </c>
      <c r="M1607">
        <v>1</v>
      </c>
    </row>
    <row r="1608" spans="1:13" x14ac:dyDescent="0.3">
      <c r="A1608" t="s">
        <v>1817</v>
      </c>
      <c r="B1608">
        <v>98</v>
      </c>
      <c r="C1608" s="1">
        <v>45454</v>
      </c>
      <c r="D1608">
        <v>2024</v>
      </c>
      <c r="E1608" t="s">
        <v>198</v>
      </c>
      <c r="F1608" t="s">
        <v>13</v>
      </c>
      <c r="G1608" t="s">
        <v>212</v>
      </c>
      <c r="H1608" t="s">
        <v>204</v>
      </c>
      <c r="I1608">
        <v>10</v>
      </c>
      <c r="J1608">
        <v>3582.69</v>
      </c>
      <c r="K1608">
        <v>1</v>
      </c>
      <c r="L1608" t="s">
        <v>193</v>
      </c>
      <c r="M1608">
        <v>1</v>
      </c>
    </row>
    <row r="1609" spans="1:13" x14ac:dyDescent="0.3">
      <c r="A1609" t="s">
        <v>1818</v>
      </c>
      <c r="B1609">
        <v>98</v>
      </c>
      <c r="C1609" s="1">
        <v>45461</v>
      </c>
      <c r="D1609">
        <v>2024</v>
      </c>
      <c r="E1609" t="s">
        <v>198</v>
      </c>
      <c r="F1609" t="s">
        <v>199</v>
      </c>
      <c r="G1609" t="s">
        <v>203</v>
      </c>
      <c r="H1609" t="s">
        <v>204</v>
      </c>
      <c r="I1609">
        <v>9</v>
      </c>
      <c r="J1609">
        <v>3696.49</v>
      </c>
      <c r="K1609">
        <v>1</v>
      </c>
      <c r="L1609" t="s">
        <v>193</v>
      </c>
      <c r="M1609">
        <v>0</v>
      </c>
    </row>
    <row r="1610" spans="1:13" x14ac:dyDescent="0.3">
      <c r="A1610" t="s">
        <v>1819</v>
      </c>
      <c r="B1610">
        <v>98</v>
      </c>
      <c r="C1610" s="1">
        <v>45801</v>
      </c>
      <c r="D1610">
        <v>2025</v>
      </c>
      <c r="E1610" t="s">
        <v>214</v>
      </c>
      <c r="F1610" t="s">
        <v>12</v>
      </c>
      <c r="G1610" t="s">
        <v>212</v>
      </c>
      <c r="H1610" t="s">
        <v>192</v>
      </c>
      <c r="I1610">
        <v>2</v>
      </c>
      <c r="J1610">
        <v>1288.99</v>
      </c>
      <c r="K1610">
        <v>0</v>
      </c>
      <c r="L1610" t="s">
        <v>210</v>
      </c>
      <c r="M1610">
        <v>1</v>
      </c>
    </row>
    <row r="1611" spans="1:13" x14ac:dyDescent="0.3">
      <c r="A1611" t="s">
        <v>1820</v>
      </c>
      <c r="B1611">
        <v>98</v>
      </c>
      <c r="C1611" s="1">
        <v>45953</v>
      </c>
      <c r="D1611">
        <v>2025</v>
      </c>
      <c r="E1611" t="s">
        <v>219</v>
      </c>
      <c r="F1611" t="s">
        <v>209</v>
      </c>
      <c r="G1611" t="s">
        <v>212</v>
      </c>
      <c r="H1611" t="s">
        <v>195</v>
      </c>
      <c r="I1611">
        <v>7</v>
      </c>
      <c r="J1611">
        <v>224.79</v>
      </c>
      <c r="K1611">
        <v>0</v>
      </c>
      <c r="L1611" t="s">
        <v>201</v>
      </c>
      <c r="M1611">
        <v>1</v>
      </c>
    </row>
    <row r="1612" spans="1:13" x14ac:dyDescent="0.3">
      <c r="A1612" t="s">
        <v>1821</v>
      </c>
      <c r="B1612">
        <v>99</v>
      </c>
      <c r="C1612" s="1">
        <v>44326</v>
      </c>
      <c r="D1612">
        <v>2021</v>
      </c>
      <c r="E1612" t="s">
        <v>214</v>
      </c>
      <c r="F1612" t="s">
        <v>12</v>
      </c>
      <c r="G1612" t="s">
        <v>212</v>
      </c>
      <c r="H1612" t="s">
        <v>206</v>
      </c>
      <c r="I1612">
        <v>4</v>
      </c>
      <c r="J1612">
        <v>1090.23</v>
      </c>
      <c r="K1612">
        <v>0</v>
      </c>
      <c r="L1612" t="s">
        <v>215</v>
      </c>
      <c r="M1612">
        <v>1</v>
      </c>
    </row>
    <row r="1613" spans="1:13" x14ac:dyDescent="0.3">
      <c r="A1613" t="s">
        <v>1822</v>
      </c>
      <c r="B1613">
        <v>99</v>
      </c>
      <c r="C1613" s="1">
        <v>44445</v>
      </c>
      <c r="D1613">
        <v>2021</v>
      </c>
      <c r="E1613" t="s">
        <v>219</v>
      </c>
      <c r="F1613" t="s">
        <v>12</v>
      </c>
      <c r="G1613" t="s">
        <v>203</v>
      </c>
      <c r="H1613" t="s">
        <v>204</v>
      </c>
      <c r="I1613">
        <v>4</v>
      </c>
      <c r="J1613">
        <v>670.43</v>
      </c>
      <c r="K1613">
        <v>0</v>
      </c>
      <c r="L1613" t="s">
        <v>210</v>
      </c>
      <c r="M1613">
        <v>0</v>
      </c>
    </row>
    <row r="1614" spans="1:13" x14ac:dyDescent="0.3">
      <c r="A1614" t="s">
        <v>1823</v>
      </c>
      <c r="B1614">
        <v>99</v>
      </c>
      <c r="C1614" s="1">
        <v>44360</v>
      </c>
      <c r="D1614">
        <v>2021</v>
      </c>
      <c r="E1614" t="s">
        <v>190</v>
      </c>
      <c r="F1614" t="s">
        <v>12</v>
      </c>
      <c r="G1614" t="s">
        <v>200</v>
      </c>
      <c r="H1614" t="s">
        <v>192</v>
      </c>
      <c r="I1614">
        <v>4</v>
      </c>
      <c r="J1614">
        <v>657.68</v>
      </c>
      <c r="K1614">
        <v>0</v>
      </c>
      <c r="L1614" t="s">
        <v>215</v>
      </c>
      <c r="M1614">
        <v>1</v>
      </c>
    </row>
    <row r="1615" spans="1:13" x14ac:dyDescent="0.3">
      <c r="A1615" t="s">
        <v>1824</v>
      </c>
      <c r="B1615">
        <v>99</v>
      </c>
      <c r="C1615" s="1">
        <v>44892</v>
      </c>
      <c r="D1615">
        <v>2022</v>
      </c>
      <c r="E1615" t="s">
        <v>225</v>
      </c>
      <c r="F1615" t="s">
        <v>199</v>
      </c>
      <c r="G1615" t="s">
        <v>203</v>
      </c>
      <c r="H1615" t="s">
        <v>195</v>
      </c>
      <c r="I1615">
        <v>7</v>
      </c>
      <c r="J1615">
        <v>5209.46</v>
      </c>
      <c r="K1615">
        <v>0</v>
      </c>
      <c r="L1615" t="s">
        <v>193</v>
      </c>
      <c r="M1615">
        <v>0</v>
      </c>
    </row>
    <row r="1616" spans="1:13" x14ac:dyDescent="0.3">
      <c r="A1616" t="s">
        <v>1825</v>
      </c>
      <c r="B1616">
        <v>99</v>
      </c>
      <c r="C1616" s="1">
        <v>44644</v>
      </c>
      <c r="D1616">
        <v>2022</v>
      </c>
      <c r="E1616" t="s">
        <v>227</v>
      </c>
      <c r="F1616" t="s">
        <v>13</v>
      </c>
      <c r="G1616" t="s">
        <v>191</v>
      </c>
      <c r="H1616" t="s">
        <v>195</v>
      </c>
      <c r="I1616">
        <v>16</v>
      </c>
      <c r="J1616">
        <v>1161.3</v>
      </c>
      <c r="K1616">
        <v>0</v>
      </c>
      <c r="L1616" t="s">
        <v>196</v>
      </c>
      <c r="M1616">
        <v>0</v>
      </c>
    </row>
    <row r="1617" spans="1:13" x14ac:dyDescent="0.3">
      <c r="A1617" t="s">
        <v>1826</v>
      </c>
      <c r="B1617">
        <v>99</v>
      </c>
      <c r="C1617" s="1">
        <v>44604</v>
      </c>
      <c r="D1617">
        <v>2022</v>
      </c>
      <c r="E1617" t="s">
        <v>214</v>
      </c>
      <c r="F1617" t="s">
        <v>13</v>
      </c>
      <c r="G1617" t="s">
        <v>212</v>
      </c>
      <c r="H1617" t="s">
        <v>195</v>
      </c>
      <c r="I1617">
        <v>16</v>
      </c>
      <c r="J1617">
        <v>2991.97</v>
      </c>
      <c r="K1617">
        <v>0</v>
      </c>
      <c r="L1617" t="s">
        <v>210</v>
      </c>
      <c r="M1617">
        <v>1</v>
      </c>
    </row>
    <row r="1618" spans="1:13" x14ac:dyDescent="0.3">
      <c r="A1618" t="s">
        <v>1827</v>
      </c>
      <c r="B1618">
        <v>99</v>
      </c>
      <c r="C1618" s="1">
        <v>44874</v>
      </c>
      <c r="D1618">
        <v>2022</v>
      </c>
      <c r="E1618" t="s">
        <v>219</v>
      </c>
      <c r="F1618" t="s">
        <v>199</v>
      </c>
      <c r="G1618" t="s">
        <v>191</v>
      </c>
      <c r="H1618" t="s">
        <v>204</v>
      </c>
      <c r="I1618">
        <v>14</v>
      </c>
      <c r="J1618">
        <v>3945.57</v>
      </c>
      <c r="K1618">
        <v>0</v>
      </c>
      <c r="L1618" t="s">
        <v>196</v>
      </c>
      <c r="M1618">
        <v>0</v>
      </c>
    </row>
    <row r="1619" spans="1:13" x14ac:dyDescent="0.3">
      <c r="A1619" t="s">
        <v>1828</v>
      </c>
      <c r="B1619">
        <v>99</v>
      </c>
      <c r="C1619" s="1">
        <v>44991</v>
      </c>
      <c r="D1619">
        <v>2023</v>
      </c>
      <c r="E1619" t="s">
        <v>225</v>
      </c>
      <c r="F1619" t="s">
        <v>199</v>
      </c>
      <c r="G1619" t="s">
        <v>203</v>
      </c>
      <c r="H1619" t="s">
        <v>192</v>
      </c>
      <c r="I1619">
        <v>11</v>
      </c>
      <c r="J1619">
        <v>3987</v>
      </c>
      <c r="K1619">
        <v>1</v>
      </c>
      <c r="L1619" t="s">
        <v>193</v>
      </c>
      <c r="M1619">
        <v>0</v>
      </c>
    </row>
    <row r="1620" spans="1:13" x14ac:dyDescent="0.3">
      <c r="A1620" t="s">
        <v>1829</v>
      </c>
      <c r="B1620">
        <v>99</v>
      </c>
      <c r="C1620" s="1">
        <v>45125</v>
      </c>
      <c r="D1620">
        <v>2023</v>
      </c>
      <c r="E1620" t="s">
        <v>190</v>
      </c>
      <c r="F1620" t="s">
        <v>13</v>
      </c>
      <c r="G1620" t="s">
        <v>203</v>
      </c>
      <c r="H1620" t="s">
        <v>195</v>
      </c>
      <c r="I1620">
        <v>7</v>
      </c>
      <c r="J1620">
        <v>1433.7</v>
      </c>
      <c r="K1620">
        <v>0</v>
      </c>
      <c r="L1620" t="s">
        <v>201</v>
      </c>
      <c r="M1620">
        <v>0</v>
      </c>
    </row>
    <row r="1621" spans="1:13" x14ac:dyDescent="0.3">
      <c r="A1621" t="s">
        <v>1830</v>
      </c>
      <c r="B1621">
        <v>99</v>
      </c>
      <c r="C1621" s="1">
        <v>45254</v>
      </c>
      <c r="D1621">
        <v>2023</v>
      </c>
      <c r="E1621" t="s">
        <v>287</v>
      </c>
      <c r="F1621" t="s">
        <v>12</v>
      </c>
      <c r="G1621" t="s">
        <v>203</v>
      </c>
      <c r="H1621" t="s">
        <v>195</v>
      </c>
      <c r="I1621">
        <v>7</v>
      </c>
      <c r="J1621">
        <v>1409.96</v>
      </c>
      <c r="K1621">
        <v>0</v>
      </c>
      <c r="L1621" t="s">
        <v>201</v>
      </c>
      <c r="M1621">
        <v>0</v>
      </c>
    </row>
    <row r="1622" spans="1:13" x14ac:dyDescent="0.3">
      <c r="A1622" t="s">
        <v>1831</v>
      </c>
      <c r="B1622">
        <v>99</v>
      </c>
      <c r="C1622" s="1">
        <v>45194</v>
      </c>
      <c r="D1622">
        <v>2023</v>
      </c>
      <c r="E1622" t="s">
        <v>190</v>
      </c>
      <c r="F1622" t="s">
        <v>13</v>
      </c>
      <c r="G1622" t="s">
        <v>191</v>
      </c>
      <c r="H1622" t="s">
        <v>195</v>
      </c>
      <c r="I1622">
        <v>1</v>
      </c>
      <c r="J1622">
        <v>3886.99</v>
      </c>
      <c r="K1622">
        <v>1</v>
      </c>
      <c r="L1622" t="s">
        <v>193</v>
      </c>
      <c r="M1622">
        <v>0</v>
      </c>
    </row>
    <row r="1623" spans="1:13" x14ac:dyDescent="0.3">
      <c r="A1623" t="s">
        <v>1832</v>
      </c>
      <c r="B1623">
        <v>99</v>
      </c>
      <c r="C1623" s="1">
        <v>44966</v>
      </c>
      <c r="D1623">
        <v>2023</v>
      </c>
      <c r="E1623" t="s">
        <v>219</v>
      </c>
      <c r="F1623" t="s">
        <v>199</v>
      </c>
      <c r="G1623" t="s">
        <v>200</v>
      </c>
      <c r="H1623" t="s">
        <v>206</v>
      </c>
      <c r="I1623">
        <v>12</v>
      </c>
      <c r="J1623">
        <v>5209.8500000000004</v>
      </c>
      <c r="K1623">
        <v>0</v>
      </c>
      <c r="L1623" t="s">
        <v>196</v>
      </c>
      <c r="M1623">
        <v>1</v>
      </c>
    </row>
    <row r="1624" spans="1:13" x14ac:dyDescent="0.3">
      <c r="A1624" t="s">
        <v>1833</v>
      </c>
      <c r="B1624">
        <v>99</v>
      </c>
      <c r="C1624" s="1">
        <v>45268</v>
      </c>
      <c r="D1624">
        <v>2023</v>
      </c>
      <c r="E1624" t="s">
        <v>214</v>
      </c>
      <c r="F1624" t="s">
        <v>13</v>
      </c>
      <c r="G1624" t="s">
        <v>212</v>
      </c>
      <c r="H1624" t="s">
        <v>195</v>
      </c>
      <c r="I1624">
        <v>13</v>
      </c>
      <c r="J1624">
        <v>3816.49</v>
      </c>
      <c r="K1624">
        <v>1</v>
      </c>
      <c r="L1624" t="s">
        <v>201</v>
      </c>
      <c r="M1624">
        <v>1</v>
      </c>
    </row>
    <row r="1625" spans="1:13" x14ac:dyDescent="0.3">
      <c r="A1625" t="s">
        <v>1834</v>
      </c>
      <c r="B1625">
        <v>99</v>
      </c>
      <c r="C1625" s="1">
        <v>45337</v>
      </c>
      <c r="D1625">
        <v>2024</v>
      </c>
      <c r="E1625" t="s">
        <v>227</v>
      </c>
      <c r="F1625" t="s">
        <v>13</v>
      </c>
      <c r="G1625" t="s">
        <v>203</v>
      </c>
      <c r="H1625" t="s">
        <v>204</v>
      </c>
      <c r="I1625">
        <v>2</v>
      </c>
      <c r="J1625">
        <v>2380.35</v>
      </c>
      <c r="K1625">
        <v>0</v>
      </c>
      <c r="L1625" t="s">
        <v>215</v>
      </c>
      <c r="M1625">
        <v>1</v>
      </c>
    </row>
    <row r="1626" spans="1:13" x14ac:dyDescent="0.3">
      <c r="A1626" t="s">
        <v>1835</v>
      </c>
      <c r="B1626">
        <v>99</v>
      </c>
      <c r="C1626" s="1">
        <v>45337</v>
      </c>
      <c r="D1626">
        <v>2024</v>
      </c>
      <c r="E1626" t="s">
        <v>190</v>
      </c>
      <c r="F1626" t="s">
        <v>199</v>
      </c>
      <c r="G1626" t="s">
        <v>203</v>
      </c>
      <c r="H1626" t="s">
        <v>195</v>
      </c>
      <c r="I1626">
        <v>12</v>
      </c>
      <c r="J1626">
        <v>3983.41</v>
      </c>
      <c r="K1626">
        <v>0</v>
      </c>
      <c r="L1626" t="s">
        <v>196</v>
      </c>
      <c r="M1626">
        <v>1</v>
      </c>
    </row>
    <row r="1627" spans="1:13" x14ac:dyDescent="0.3">
      <c r="A1627" t="s">
        <v>1836</v>
      </c>
      <c r="B1627">
        <v>99</v>
      </c>
      <c r="C1627" s="1">
        <v>45368</v>
      </c>
      <c r="D1627">
        <v>2024</v>
      </c>
      <c r="E1627" t="s">
        <v>225</v>
      </c>
      <c r="F1627" t="s">
        <v>13</v>
      </c>
      <c r="G1627" t="s">
        <v>203</v>
      </c>
      <c r="H1627" t="s">
        <v>204</v>
      </c>
      <c r="I1627">
        <v>13</v>
      </c>
      <c r="J1627">
        <v>1329.53</v>
      </c>
      <c r="K1627">
        <v>0</v>
      </c>
      <c r="L1627" t="s">
        <v>196</v>
      </c>
      <c r="M1627">
        <v>1</v>
      </c>
    </row>
    <row r="1628" spans="1:13" x14ac:dyDescent="0.3">
      <c r="A1628" t="s">
        <v>1837</v>
      </c>
      <c r="B1628">
        <v>99</v>
      </c>
      <c r="C1628" s="1">
        <v>45614</v>
      </c>
      <c r="D1628">
        <v>2024</v>
      </c>
      <c r="E1628" t="s">
        <v>190</v>
      </c>
      <c r="F1628" t="s">
        <v>199</v>
      </c>
      <c r="G1628" t="s">
        <v>203</v>
      </c>
      <c r="H1628" t="s">
        <v>192</v>
      </c>
      <c r="I1628">
        <v>17</v>
      </c>
      <c r="J1628">
        <v>3874.93</v>
      </c>
      <c r="K1628">
        <v>0</v>
      </c>
      <c r="L1628" t="s">
        <v>193</v>
      </c>
      <c r="M1628">
        <v>0</v>
      </c>
    </row>
    <row r="1629" spans="1:13" x14ac:dyDescent="0.3">
      <c r="A1629" t="s">
        <v>1838</v>
      </c>
      <c r="B1629">
        <v>99</v>
      </c>
      <c r="C1629" s="1">
        <v>45830</v>
      </c>
      <c r="D1629">
        <v>2025</v>
      </c>
      <c r="E1629" t="s">
        <v>190</v>
      </c>
      <c r="F1629" t="s">
        <v>13</v>
      </c>
      <c r="G1629" t="s">
        <v>212</v>
      </c>
      <c r="H1629" t="s">
        <v>195</v>
      </c>
      <c r="I1629">
        <v>8</v>
      </c>
      <c r="J1629">
        <v>1173.3800000000001</v>
      </c>
      <c r="K1629">
        <v>0</v>
      </c>
      <c r="L1629" t="s">
        <v>215</v>
      </c>
      <c r="M1629">
        <v>1</v>
      </c>
    </row>
    <row r="1630" spans="1:13" x14ac:dyDescent="0.3">
      <c r="A1630" t="s">
        <v>1839</v>
      </c>
      <c r="B1630">
        <v>99</v>
      </c>
      <c r="C1630" s="1">
        <v>45756</v>
      </c>
      <c r="D1630">
        <v>2025</v>
      </c>
      <c r="E1630" t="s">
        <v>190</v>
      </c>
      <c r="F1630" t="s">
        <v>199</v>
      </c>
      <c r="G1630" t="s">
        <v>203</v>
      </c>
      <c r="H1630" t="s">
        <v>195</v>
      </c>
      <c r="I1630">
        <v>1</v>
      </c>
      <c r="J1630">
        <v>3085.59</v>
      </c>
      <c r="K1630">
        <v>0</v>
      </c>
      <c r="L1630" t="s">
        <v>193</v>
      </c>
      <c r="M1630">
        <v>0</v>
      </c>
    </row>
    <row r="1631" spans="1:13" x14ac:dyDescent="0.3">
      <c r="A1631" t="s">
        <v>1840</v>
      </c>
      <c r="B1631">
        <v>99</v>
      </c>
      <c r="C1631" s="1">
        <v>45677</v>
      </c>
      <c r="D1631">
        <v>2025</v>
      </c>
      <c r="E1631" t="s">
        <v>219</v>
      </c>
      <c r="F1631" t="s">
        <v>199</v>
      </c>
      <c r="G1631" t="s">
        <v>200</v>
      </c>
      <c r="H1631" t="s">
        <v>195</v>
      </c>
      <c r="I1631">
        <v>7</v>
      </c>
      <c r="J1631">
        <v>7865.69</v>
      </c>
      <c r="K1631">
        <v>0</v>
      </c>
      <c r="L1631" t="s">
        <v>196</v>
      </c>
      <c r="M1631">
        <v>0</v>
      </c>
    </row>
    <row r="1632" spans="1:13" x14ac:dyDescent="0.3">
      <c r="A1632" t="s">
        <v>1841</v>
      </c>
      <c r="B1632">
        <v>99</v>
      </c>
      <c r="C1632" s="1">
        <v>45758</v>
      </c>
      <c r="D1632">
        <v>2025</v>
      </c>
      <c r="E1632" t="s">
        <v>219</v>
      </c>
      <c r="F1632" t="s">
        <v>13</v>
      </c>
      <c r="G1632" t="s">
        <v>212</v>
      </c>
      <c r="H1632" t="s">
        <v>195</v>
      </c>
      <c r="I1632">
        <v>10</v>
      </c>
      <c r="J1632">
        <v>3460.55</v>
      </c>
      <c r="K1632">
        <v>0</v>
      </c>
      <c r="L1632" t="s">
        <v>193</v>
      </c>
      <c r="M1632">
        <v>1</v>
      </c>
    </row>
    <row r="1633" spans="1:13" x14ac:dyDescent="0.3">
      <c r="A1633" t="s">
        <v>1842</v>
      </c>
      <c r="B1633">
        <v>100</v>
      </c>
      <c r="C1633" s="1">
        <v>44203</v>
      </c>
      <c r="D1633">
        <v>2021</v>
      </c>
      <c r="E1633" t="s">
        <v>219</v>
      </c>
      <c r="F1633" t="s">
        <v>13</v>
      </c>
      <c r="G1633" t="s">
        <v>191</v>
      </c>
      <c r="H1633" t="s">
        <v>206</v>
      </c>
      <c r="I1633">
        <v>8</v>
      </c>
      <c r="J1633">
        <v>1154.6500000000001</v>
      </c>
      <c r="K1633">
        <v>0</v>
      </c>
      <c r="L1633" t="s">
        <v>215</v>
      </c>
      <c r="M1633">
        <v>1</v>
      </c>
    </row>
    <row r="1634" spans="1:13" x14ac:dyDescent="0.3">
      <c r="A1634" t="s">
        <v>1843</v>
      </c>
      <c r="B1634">
        <v>100</v>
      </c>
      <c r="C1634" s="1">
        <v>44514</v>
      </c>
      <c r="D1634">
        <v>2021</v>
      </c>
      <c r="E1634" t="s">
        <v>190</v>
      </c>
      <c r="F1634" t="s">
        <v>12</v>
      </c>
      <c r="G1634" t="s">
        <v>203</v>
      </c>
      <c r="H1634" t="s">
        <v>192</v>
      </c>
      <c r="I1634">
        <v>4</v>
      </c>
      <c r="J1634">
        <v>892.08</v>
      </c>
      <c r="K1634">
        <v>0</v>
      </c>
      <c r="L1634" t="s">
        <v>210</v>
      </c>
      <c r="M1634">
        <v>1</v>
      </c>
    </row>
    <row r="1635" spans="1:13" x14ac:dyDescent="0.3">
      <c r="A1635" t="s">
        <v>1844</v>
      </c>
      <c r="B1635">
        <v>100</v>
      </c>
      <c r="C1635" s="1">
        <v>44514</v>
      </c>
      <c r="D1635">
        <v>2021</v>
      </c>
      <c r="E1635" t="s">
        <v>214</v>
      </c>
      <c r="F1635" t="s">
        <v>12</v>
      </c>
      <c r="G1635" t="s">
        <v>212</v>
      </c>
      <c r="H1635" t="s">
        <v>192</v>
      </c>
      <c r="I1635">
        <v>2</v>
      </c>
      <c r="J1635">
        <v>1134.43</v>
      </c>
      <c r="K1635">
        <v>0</v>
      </c>
      <c r="L1635" t="s">
        <v>210</v>
      </c>
      <c r="M1635">
        <v>1</v>
      </c>
    </row>
    <row r="1636" spans="1:13" x14ac:dyDescent="0.3">
      <c r="A1636" t="s">
        <v>1845</v>
      </c>
      <c r="B1636">
        <v>100</v>
      </c>
      <c r="C1636" s="1">
        <v>44761</v>
      </c>
      <c r="D1636">
        <v>2022</v>
      </c>
      <c r="E1636" t="s">
        <v>198</v>
      </c>
      <c r="F1636" t="s">
        <v>199</v>
      </c>
      <c r="G1636" t="s">
        <v>191</v>
      </c>
      <c r="H1636" t="s">
        <v>195</v>
      </c>
      <c r="I1636">
        <v>5</v>
      </c>
      <c r="J1636">
        <v>6882.2</v>
      </c>
      <c r="K1636">
        <v>1</v>
      </c>
      <c r="L1636" t="s">
        <v>210</v>
      </c>
      <c r="M1636">
        <v>0</v>
      </c>
    </row>
    <row r="1637" spans="1:13" x14ac:dyDescent="0.3">
      <c r="A1637" t="s">
        <v>1846</v>
      </c>
      <c r="B1637">
        <v>100</v>
      </c>
      <c r="C1637" s="1">
        <v>44740</v>
      </c>
      <c r="D1637">
        <v>2022</v>
      </c>
      <c r="E1637" t="s">
        <v>198</v>
      </c>
      <c r="F1637" t="s">
        <v>12</v>
      </c>
      <c r="G1637" t="s">
        <v>212</v>
      </c>
      <c r="H1637" t="s">
        <v>192</v>
      </c>
      <c r="I1637">
        <v>3</v>
      </c>
      <c r="J1637">
        <v>933.19</v>
      </c>
      <c r="K1637">
        <v>1</v>
      </c>
      <c r="L1637" t="s">
        <v>210</v>
      </c>
      <c r="M1637">
        <v>1</v>
      </c>
    </row>
    <row r="1638" spans="1:13" x14ac:dyDescent="0.3">
      <c r="A1638" t="s">
        <v>1847</v>
      </c>
      <c r="B1638">
        <v>100</v>
      </c>
      <c r="C1638" s="1">
        <v>44738</v>
      </c>
      <c r="D1638">
        <v>2022</v>
      </c>
      <c r="E1638" t="s">
        <v>225</v>
      </c>
      <c r="F1638" t="s">
        <v>199</v>
      </c>
      <c r="G1638" t="s">
        <v>203</v>
      </c>
      <c r="H1638" t="s">
        <v>195</v>
      </c>
      <c r="I1638">
        <v>7</v>
      </c>
      <c r="J1638">
        <v>5960.14</v>
      </c>
      <c r="K1638">
        <v>0</v>
      </c>
      <c r="L1638" t="s">
        <v>193</v>
      </c>
      <c r="M1638">
        <v>0</v>
      </c>
    </row>
    <row r="1639" spans="1:13" x14ac:dyDescent="0.3">
      <c r="A1639" t="s">
        <v>1848</v>
      </c>
      <c r="B1639">
        <v>100</v>
      </c>
      <c r="C1639" s="1">
        <v>44734</v>
      </c>
      <c r="D1639">
        <v>2022</v>
      </c>
      <c r="E1639" t="s">
        <v>214</v>
      </c>
      <c r="F1639" t="s">
        <v>199</v>
      </c>
      <c r="G1639" t="s">
        <v>200</v>
      </c>
      <c r="H1639" t="s">
        <v>192</v>
      </c>
      <c r="I1639">
        <v>15</v>
      </c>
      <c r="J1639">
        <v>5427.78</v>
      </c>
      <c r="K1639">
        <v>1</v>
      </c>
      <c r="L1639" t="s">
        <v>196</v>
      </c>
      <c r="M1639">
        <v>0</v>
      </c>
    </row>
    <row r="1640" spans="1:13" x14ac:dyDescent="0.3">
      <c r="A1640" t="s">
        <v>1849</v>
      </c>
      <c r="B1640">
        <v>100</v>
      </c>
      <c r="C1640" s="1">
        <v>44664</v>
      </c>
      <c r="D1640">
        <v>2022</v>
      </c>
      <c r="E1640" t="s">
        <v>214</v>
      </c>
      <c r="F1640" t="s">
        <v>199</v>
      </c>
      <c r="G1640" t="s">
        <v>200</v>
      </c>
      <c r="H1640" t="s">
        <v>204</v>
      </c>
      <c r="I1640">
        <v>3</v>
      </c>
      <c r="J1640">
        <v>7040.41</v>
      </c>
      <c r="K1640">
        <v>0</v>
      </c>
      <c r="L1640" t="s">
        <v>193</v>
      </c>
      <c r="M1640">
        <v>0</v>
      </c>
    </row>
    <row r="1641" spans="1:13" x14ac:dyDescent="0.3">
      <c r="A1641" t="s">
        <v>1850</v>
      </c>
      <c r="B1641">
        <v>100</v>
      </c>
      <c r="C1641" s="1">
        <v>44800</v>
      </c>
      <c r="D1641">
        <v>2022</v>
      </c>
      <c r="E1641" t="s">
        <v>225</v>
      </c>
      <c r="F1641" t="s">
        <v>12</v>
      </c>
      <c r="G1641" t="s">
        <v>203</v>
      </c>
      <c r="H1641" t="s">
        <v>195</v>
      </c>
      <c r="I1641">
        <v>3</v>
      </c>
      <c r="J1641">
        <v>350.34</v>
      </c>
      <c r="K1641">
        <v>1</v>
      </c>
      <c r="L1641" t="s">
        <v>201</v>
      </c>
      <c r="M1641">
        <v>0</v>
      </c>
    </row>
    <row r="1642" spans="1:13" x14ac:dyDescent="0.3">
      <c r="A1642" t="s">
        <v>1851</v>
      </c>
      <c r="B1642">
        <v>100</v>
      </c>
      <c r="C1642" s="1">
        <v>45068</v>
      </c>
      <c r="D1642">
        <v>2023</v>
      </c>
      <c r="E1642" t="s">
        <v>219</v>
      </c>
      <c r="F1642" t="s">
        <v>209</v>
      </c>
      <c r="G1642" t="s">
        <v>212</v>
      </c>
      <c r="H1642" t="s">
        <v>195</v>
      </c>
      <c r="I1642">
        <v>7</v>
      </c>
      <c r="J1642">
        <v>539.64</v>
      </c>
      <c r="K1642">
        <v>0</v>
      </c>
      <c r="L1642" t="s">
        <v>210</v>
      </c>
      <c r="M1642">
        <v>1</v>
      </c>
    </row>
    <row r="1643" spans="1:13" x14ac:dyDescent="0.3">
      <c r="A1643" t="s">
        <v>1852</v>
      </c>
      <c r="B1643">
        <v>100</v>
      </c>
      <c r="C1643" s="1">
        <v>45839</v>
      </c>
      <c r="D1643">
        <v>2025</v>
      </c>
      <c r="E1643" t="s">
        <v>214</v>
      </c>
      <c r="F1643" t="s">
        <v>13</v>
      </c>
      <c r="G1643" t="s">
        <v>191</v>
      </c>
      <c r="H1643" t="s">
        <v>192</v>
      </c>
      <c r="I1643">
        <v>2</v>
      </c>
      <c r="J1643">
        <v>1873.24</v>
      </c>
      <c r="K1643">
        <v>0</v>
      </c>
      <c r="L1643" t="s">
        <v>201</v>
      </c>
      <c r="M1643">
        <v>0</v>
      </c>
    </row>
    <row r="1644" spans="1:13" x14ac:dyDescent="0.3">
      <c r="A1644" t="s">
        <v>1853</v>
      </c>
      <c r="B1644">
        <v>100</v>
      </c>
      <c r="C1644" s="1">
        <v>45860</v>
      </c>
      <c r="D1644">
        <v>2025</v>
      </c>
      <c r="E1644" t="s">
        <v>190</v>
      </c>
      <c r="F1644" t="s">
        <v>12</v>
      </c>
      <c r="G1644" t="s">
        <v>191</v>
      </c>
      <c r="H1644" t="s">
        <v>195</v>
      </c>
      <c r="I1644">
        <v>13</v>
      </c>
      <c r="J1644">
        <v>831.29</v>
      </c>
      <c r="K1644">
        <v>0</v>
      </c>
      <c r="L1644" t="s">
        <v>215</v>
      </c>
      <c r="M1644">
        <v>0</v>
      </c>
    </row>
    <row r="1645" spans="1:13" x14ac:dyDescent="0.3">
      <c r="A1645" t="s">
        <v>1854</v>
      </c>
      <c r="B1645">
        <v>100</v>
      </c>
      <c r="C1645" s="1">
        <v>45859</v>
      </c>
      <c r="D1645">
        <v>2025</v>
      </c>
      <c r="E1645" t="s">
        <v>219</v>
      </c>
      <c r="F1645" t="s">
        <v>199</v>
      </c>
      <c r="G1645" t="s">
        <v>212</v>
      </c>
      <c r="H1645" t="s">
        <v>195</v>
      </c>
      <c r="I1645">
        <v>7</v>
      </c>
      <c r="J1645">
        <v>3015.95</v>
      </c>
      <c r="K1645">
        <v>0</v>
      </c>
      <c r="L1645" t="s">
        <v>201</v>
      </c>
      <c r="M1645">
        <v>1</v>
      </c>
    </row>
    <row r="1646" spans="1:13" x14ac:dyDescent="0.3">
      <c r="A1646" t="s">
        <v>1855</v>
      </c>
      <c r="B1646">
        <v>100</v>
      </c>
      <c r="C1646" s="1">
        <v>45928</v>
      </c>
      <c r="D1646">
        <v>2025</v>
      </c>
      <c r="E1646" t="s">
        <v>219</v>
      </c>
      <c r="F1646" t="s">
        <v>13</v>
      </c>
      <c r="G1646" t="s">
        <v>212</v>
      </c>
      <c r="H1646" t="s">
        <v>206</v>
      </c>
      <c r="I1646">
        <v>2</v>
      </c>
      <c r="J1646">
        <v>2169.79</v>
      </c>
      <c r="K1646">
        <v>0</v>
      </c>
      <c r="L1646" t="s">
        <v>201</v>
      </c>
      <c r="M1646">
        <v>1</v>
      </c>
    </row>
    <row r="1647" spans="1:13" x14ac:dyDescent="0.3">
      <c r="A1647" t="s">
        <v>1856</v>
      </c>
      <c r="B1647">
        <v>100</v>
      </c>
      <c r="C1647" s="1">
        <v>45967</v>
      </c>
      <c r="D1647">
        <v>2025</v>
      </c>
      <c r="E1647" t="s">
        <v>225</v>
      </c>
      <c r="F1647" t="s">
        <v>12</v>
      </c>
      <c r="G1647" t="s">
        <v>203</v>
      </c>
      <c r="H1647" t="s">
        <v>206</v>
      </c>
      <c r="I1647">
        <v>3</v>
      </c>
      <c r="J1647">
        <v>1018.45</v>
      </c>
      <c r="K1647">
        <v>0</v>
      </c>
      <c r="L1647" t="s">
        <v>201</v>
      </c>
      <c r="M1647">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925D0-6400-43DF-8972-72C9D5B3655E}">
  <dimension ref="A1:P480"/>
  <sheetViews>
    <sheetView workbookViewId="0">
      <selection activeCell="E9" sqref="A1:XFD1048576"/>
    </sheetView>
  </sheetViews>
  <sheetFormatPr defaultRowHeight="14.4" x14ac:dyDescent="0.3"/>
  <cols>
    <col min="1" max="1" width="10.5546875" bestFit="1" customWidth="1"/>
    <col min="2" max="2" width="13.33203125" bestFit="1" customWidth="1"/>
    <col min="3" max="3" width="14" bestFit="1" customWidth="1"/>
    <col min="4" max="4" width="17.6640625" bestFit="1" customWidth="1"/>
    <col min="5" max="5" width="18" bestFit="1" customWidth="1"/>
    <col min="6" max="6" width="17.33203125" bestFit="1" customWidth="1"/>
    <col min="7" max="7" width="14.109375" bestFit="1" customWidth="1"/>
    <col min="8" max="8" width="20.77734375" bestFit="1" customWidth="1"/>
    <col min="9" max="9" width="24.109375" bestFit="1" customWidth="1"/>
    <col min="10" max="10" width="25.109375" bestFit="1" customWidth="1"/>
    <col min="11" max="11" width="23.109375" bestFit="1" customWidth="1"/>
    <col min="12" max="12" width="12.33203125" bestFit="1" customWidth="1"/>
    <col min="13" max="13" width="21.33203125" bestFit="1" customWidth="1"/>
    <col min="14" max="14" width="17.88671875" bestFit="1" customWidth="1"/>
    <col min="15" max="15" width="19.44140625" bestFit="1" customWidth="1"/>
    <col min="16" max="16" width="26.33203125" bestFit="1" customWidth="1"/>
  </cols>
  <sheetData>
    <row r="1" spans="1:16" x14ac:dyDescent="0.3">
      <c r="A1" t="s">
        <v>14</v>
      </c>
      <c r="B1" t="s">
        <v>160</v>
      </c>
      <c r="C1" t="s">
        <v>161</v>
      </c>
      <c r="D1" t="s">
        <v>162</v>
      </c>
      <c r="E1" t="s">
        <v>163</v>
      </c>
      <c r="F1" t="s">
        <v>164</v>
      </c>
      <c r="G1" t="s">
        <v>165</v>
      </c>
      <c r="H1" t="s">
        <v>166</v>
      </c>
      <c r="I1" t="s">
        <v>167</v>
      </c>
      <c r="J1" t="s">
        <v>168</v>
      </c>
      <c r="K1" t="s">
        <v>169</v>
      </c>
      <c r="L1" t="s">
        <v>170</v>
      </c>
      <c r="M1" t="s">
        <v>171</v>
      </c>
      <c r="N1" t="s">
        <v>172</v>
      </c>
      <c r="O1" t="s">
        <v>173</v>
      </c>
      <c r="P1" t="s">
        <v>174</v>
      </c>
    </row>
    <row r="2" spans="1:16" x14ac:dyDescent="0.3">
      <c r="A2">
        <v>1</v>
      </c>
      <c r="B2">
        <v>2021</v>
      </c>
      <c r="C2">
        <v>1639</v>
      </c>
      <c r="D2">
        <v>93</v>
      </c>
      <c r="E2">
        <v>72</v>
      </c>
      <c r="F2">
        <v>4476.59</v>
      </c>
      <c r="G2">
        <v>4.3929000000000003E-2</v>
      </c>
      <c r="H2">
        <v>12</v>
      </c>
      <c r="I2">
        <v>33</v>
      </c>
      <c r="J2">
        <v>11</v>
      </c>
      <c r="K2">
        <v>7</v>
      </c>
      <c r="L2">
        <v>1</v>
      </c>
      <c r="M2">
        <v>4</v>
      </c>
      <c r="N2">
        <v>4</v>
      </c>
      <c r="O2">
        <v>3</v>
      </c>
      <c r="P2" t="s">
        <v>85</v>
      </c>
    </row>
    <row r="3" spans="1:16" x14ac:dyDescent="0.3">
      <c r="A3">
        <v>2</v>
      </c>
      <c r="B3">
        <v>2021</v>
      </c>
      <c r="C3">
        <v>2638</v>
      </c>
      <c r="D3">
        <v>254</v>
      </c>
      <c r="E3">
        <v>224</v>
      </c>
      <c r="F3">
        <v>9826.34</v>
      </c>
      <c r="G3">
        <v>8.4913000000000002E-2</v>
      </c>
      <c r="H3">
        <v>26</v>
      </c>
      <c r="I3">
        <v>83</v>
      </c>
      <c r="J3">
        <v>21</v>
      </c>
      <c r="K3">
        <v>11</v>
      </c>
      <c r="L3">
        <v>1</v>
      </c>
      <c r="M3">
        <v>4</v>
      </c>
      <c r="N3">
        <v>5</v>
      </c>
      <c r="O3">
        <v>8</v>
      </c>
      <c r="P3" t="s">
        <v>85</v>
      </c>
    </row>
    <row r="4" spans="1:16" x14ac:dyDescent="0.3">
      <c r="A4">
        <v>3</v>
      </c>
      <c r="B4">
        <v>2021</v>
      </c>
      <c r="C4">
        <v>747</v>
      </c>
      <c r="D4">
        <v>70</v>
      </c>
      <c r="E4">
        <v>61</v>
      </c>
      <c r="F4">
        <v>4657.6000000000004</v>
      </c>
      <c r="G4">
        <v>8.1659999999999996E-2</v>
      </c>
      <c r="H4">
        <v>20</v>
      </c>
      <c r="I4">
        <v>25</v>
      </c>
      <c r="J4">
        <v>14</v>
      </c>
      <c r="K4">
        <v>12</v>
      </c>
      <c r="L4">
        <v>1</v>
      </c>
      <c r="M4">
        <v>7</v>
      </c>
      <c r="N4">
        <v>6</v>
      </c>
      <c r="O4">
        <v>2</v>
      </c>
      <c r="P4" t="s">
        <v>85</v>
      </c>
    </row>
    <row r="5" spans="1:16" x14ac:dyDescent="0.3">
      <c r="A5">
        <v>4</v>
      </c>
      <c r="B5">
        <v>2021</v>
      </c>
      <c r="C5">
        <v>480</v>
      </c>
      <c r="D5">
        <v>41</v>
      </c>
      <c r="E5">
        <v>36</v>
      </c>
      <c r="F5">
        <v>2011.28</v>
      </c>
      <c r="G5">
        <v>7.4999999999999997E-2</v>
      </c>
      <c r="H5">
        <v>19</v>
      </c>
      <c r="I5">
        <v>19</v>
      </c>
      <c r="J5">
        <v>9</v>
      </c>
      <c r="K5">
        <v>8</v>
      </c>
      <c r="L5">
        <v>1</v>
      </c>
      <c r="M5">
        <v>6</v>
      </c>
      <c r="N5">
        <v>6</v>
      </c>
      <c r="O5">
        <v>5</v>
      </c>
      <c r="P5" t="s">
        <v>85</v>
      </c>
    </row>
    <row r="6" spans="1:16" x14ac:dyDescent="0.3">
      <c r="A6">
        <v>5</v>
      </c>
      <c r="B6">
        <v>2021</v>
      </c>
      <c r="C6">
        <v>80</v>
      </c>
      <c r="D6">
        <v>9</v>
      </c>
      <c r="E6">
        <v>7</v>
      </c>
      <c r="F6">
        <v>570.73</v>
      </c>
      <c r="G6">
        <v>8.7499999999999994E-2</v>
      </c>
      <c r="H6">
        <v>13</v>
      </c>
      <c r="I6">
        <v>13</v>
      </c>
      <c r="J6">
        <v>4</v>
      </c>
      <c r="K6">
        <v>5</v>
      </c>
      <c r="L6">
        <v>1</v>
      </c>
      <c r="M6">
        <v>4</v>
      </c>
      <c r="N6">
        <v>3</v>
      </c>
      <c r="O6">
        <v>2</v>
      </c>
      <c r="P6" t="s">
        <v>85</v>
      </c>
    </row>
    <row r="7" spans="1:16" x14ac:dyDescent="0.3">
      <c r="A7">
        <v>6</v>
      </c>
      <c r="B7">
        <v>2021</v>
      </c>
      <c r="C7">
        <v>881</v>
      </c>
      <c r="D7">
        <v>51</v>
      </c>
      <c r="E7">
        <v>46</v>
      </c>
      <c r="F7">
        <v>1423.51</v>
      </c>
      <c r="G7">
        <v>5.2213000000000002E-2</v>
      </c>
      <c r="H7">
        <v>14</v>
      </c>
      <c r="I7">
        <v>24</v>
      </c>
      <c r="J7">
        <v>7</v>
      </c>
      <c r="K7">
        <v>9</v>
      </c>
      <c r="L7">
        <v>0</v>
      </c>
      <c r="M7">
        <v>3</v>
      </c>
      <c r="N7">
        <v>4</v>
      </c>
      <c r="O7">
        <v>3</v>
      </c>
      <c r="P7" t="s">
        <v>175</v>
      </c>
    </row>
    <row r="8" spans="1:16" x14ac:dyDescent="0.3">
      <c r="A8">
        <v>7</v>
      </c>
      <c r="B8">
        <v>2021</v>
      </c>
      <c r="C8">
        <v>792</v>
      </c>
      <c r="D8">
        <v>69</v>
      </c>
      <c r="E8">
        <v>65</v>
      </c>
      <c r="F8">
        <v>6991.26</v>
      </c>
      <c r="G8">
        <v>8.2071000000000005E-2</v>
      </c>
      <c r="H8">
        <v>30</v>
      </c>
      <c r="I8">
        <v>30</v>
      </c>
      <c r="J8">
        <v>13</v>
      </c>
      <c r="K8">
        <v>12</v>
      </c>
      <c r="L8">
        <v>1</v>
      </c>
      <c r="M8">
        <v>5</v>
      </c>
      <c r="N8">
        <v>7</v>
      </c>
      <c r="O8">
        <v>3</v>
      </c>
      <c r="P8" t="s">
        <v>85</v>
      </c>
    </row>
    <row r="9" spans="1:16" x14ac:dyDescent="0.3">
      <c r="A9">
        <v>8</v>
      </c>
      <c r="B9">
        <v>2021</v>
      </c>
      <c r="C9">
        <v>575</v>
      </c>
      <c r="D9">
        <v>47</v>
      </c>
      <c r="E9">
        <v>38</v>
      </c>
      <c r="F9">
        <v>2474.85</v>
      </c>
      <c r="G9">
        <v>6.6087000000000007E-2</v>
      </c>
      <c r="H9">
        <v>8</v>
      </c>
      <c r="I9">
        <v>16</v>
      </c>
      <c r="J9">
        <v>8</v>
      </c>
      <c r="K9">
        <v>5</v>
      </c>
      <c r="L9">
        <v>1</v>
      </c>
      <c r="M9">
        <v>5</v>
      </c>
      <c r="N9">
        <v>3</v>
      </c>
      <c r="O9">
        <v>4</v>
      </c>
      <c r="P9" t="s">
        <v>85</v>
      </c>
    </row>
    <row r="10" spans="1:16" x14ac:dyDescent="0.3">
      <c r="A10">
        <v>9</v>
      </c>
      <c r="B10">
        <v>2021</v>
      </c>
      <c r="C10">
        <v>892</v>
      </c>
      <c r="D10">
        <v>47</v>
      </c>
      <c r="E10">
        <v>38</v>
      </c>
      <c r="F10">
        <v>3271.85</v>
      </c>
      <c r="G10">
        <v>4.2601E-2</v>
      </c>
      <c r="H10">
        <v>13</v>
      </c>
      <c r="I10">
        <v>24</v>
      </c>
      <c r="J10">
        <v>8</v>
      </c>
      <c r="K10">
        <v>3</v>
      </c>
      <c r="L10">
        <v>1</v>
      </c>
      <c r="M10">
        <v>2</v>
      </c>
      <c r="N10">
        <v>3</v>
      </c>
      <c r="O10">
        <v>3</v>
      </c>
      <c r="P10" t="s">
        <v>68</v>
      </c>
    </row>
    <row r="11" spans="1:16" x14ac:dyDescent="0.3">
      <c r="A11">
        <v>10</v>
      </c>
      <c r="B11">
        <v>2021</v>
      </c>
      <c r="C11">
        <v>1054</v>
      </c>
      <c r="D11">
        <v>64</v>
      </c>
      <c r="E11">
        <v>49</v>
      </c>
      <c r="F11">
        <v>4827.25</v>
      </c>
      <c r="G11">
        <v>4.6489999999999997E-2</v>
      </c>
      <c r="H11">
        <v>19</v>
      </c>
      <c r="I11">
        <v>23</v>
      </c>
      <c r="J11">
        <v>8</v>
      </c>
      <c r="K11">
        <v>9</v>
      </c>
      <c r="L11">
        <v>0</v>
      </c>
      <c r="M11">
        <v>3</v>
      </c>
      <c r="N11">
        <v>3</v>
      </c>
      <c r="O11">
        <v>4</v>
      </c>
      <c r="P11" t="s">
        <v>175</v>
      </c>
    </row>
    <row r="12" spans="1:16" x14ac:dyDescent="0.3">
      <c r="A12">
        <v>12</v>
      </c>
      <c r="B12">
        <v>2021</v>
      </c>
      <c r="C12">
        <v>1863</v>
      </c>
      <c r="D12">
        <v>169</v>
      </c>
      <c r="E12">
        <v>126</v>
      </c>
      <c r="F12">
        <v>5399.95</v>
      </c>
      <c r="G12">
        <v>6.7632999999999999E-2</v>
      </c>
      <c r="H12">
        <v>41</v>
      </c>
      <c r="I12">
        <v>61</v>
      </c>
      <c r="J12">
        <v>13</v>
      </c>
      <c r="K12">
        <v>21</v>
      </c>
      <c r="L12">
        <v>1</v>
      </c>
      <c r="M12">
        <v>6</v>
      </c>
      <c r="N12">
        <v>9</v>
      </c>
      <c r="O12">
        <v>6</v>
      </c>
      <c r="P12" t="s">
        <v>85</v>
      </c>
    </row>
    <row r="13" spans="1:16" x14ac:dyDescent="0.3">
      <c r="A13">
        <v>13</v>
      </c>
      <c r="B13">
        <v>2021</v>
      </c>
      <c r="C13">
        <v>241</v>
      </c>
      <c r="D13">
        <v>24</v>
      </c>
      <c r="E13">
        <v>19</v>
      </c>
      <c r="F13">
        <v>2150.92</v>
      </c>
      <c r="G13">
        <v>7.8838000000000005E-2</v>
      </c>
      <c r="H13">
        <v>15</v>
      </c>
      <c r="I13">
        <v>16</v>
      </c>
      <c r="J13">
        <v>7</v>
      </c>
      <c r="K13">
        <v>6</v>
      </c>
      <c r="L13">
        <v>0</v>
      </c>
      <c r="M13">
        <v>1</v>
      </c>
      <c r="N13">
        <v>4</v>
      </c>
      <c r="O13">
        <v>1</v>
      </c>
      <c r="P13" t="s">
        <v>85</v>
      </c>
    </row>
    <row r="14" spans="1:16" x14ac:dyDescent="0.3">
      <c r="A14">
        <v>14</v>
      </c>
      <c r="B14">
        <v>2021</v>
      </c>
      <c r="C14">
        <v>551</v>
      </c>
      <c r="D14">
        <v>35</v>
      </c>
      <c r="E14">
        <v>26</v>
      </c>
      <c r="F14">
        <v>1241.72</v>
      </c>
      <c r="G14">
        <v>4.7187E-2</v>
      </c>
      <c r="H14">
        <v>7</v>
      </c>
      <c r="I14">
        <v>21</v>
      </c>
      <c r="J14">
        <v>5</v>
      </c>
      <c r="K14">
        <v>6</v>
      </c>
      <c r="L14">
        <v>1</v>
      </c>
      <c r="M14">
        <v>6</v>
      </c>
      <c r="N14">
        <v>3</v>
      </c>
      <c r="O14">
        <v>3</v>
      </c>
      <c r="P14" t="s">
        <v>85</v>
      </c>
    </row>
    <row r="15" spans="1:16" x14ac:dyDescent="0.3">
      <c r="A15">
        <v>15</v>
      </c>
      <c r="B15">
        <v>2021</v>
      </c>
      <c r="C15">
        <v>623</v>
      </c>
      <c r="D15">
        <v>36</v>
      </c>
      <c r="E15">
        <v>32</v>
      </c>
      <c r="F15">
        <v>1677.46</v>
      </c>
      <c r="G15">
        <v>5.1364E-2</v>
      </c>
      <c r="H15">
        <v>10</v>
      </c>
      <c r="I15">
        <v>12</v>
      </c>
      <c r="J15">
        <v>5</v>
      </c>
      <c r="K15">
        <v>6</v>
      </c>
      <c r="L15">
        <v>0</v>
      </c>
      <c r="M15">
        <v>1</v>
      </c>
      <c r="N15">
        <v>3</v>
      </c>
      <c r="O15">
        <v>1</v>
      </c>
      <c r="P15" t="s">
        <v>175</v>
      </c>
    </row>
    <row r="16" spans="1:16" x14ac:dyDescent="0.3">
      <c r="A16">
        <v>16</v>
      </c>
      <c r="B16">
        <v>2021</v>
      </c>
      <c r="C16">
        <v>1028</v>
      </c>
      <c r="D16">
        <v>94</v>
      </c>
      <c r="E16">
        <v>84</v>
      </c>
      <c r="F16">
        <v>8282.14</v>
      </c>
      <c r="G16">
        <v>8.1712000000000007E-2</v>
      </c>
      <c r="H16">
        <v>17</v>
      </c>
      <c r="I16">
        <v>38</v>
      </c>
      <c r="J16">
        <v>15</v>
      </c>
      <c r="K16">
        <v>9</v>
      </c>
      <c r="L16">
        <v>1</v>
      </c>
      <c r="M16">
        <v>6</v>
      </c>
      <c r="N16">
        <v>6</v>
      </c>
      <c r="O16">
        <v>7</v>
      </c>
      <c r="P16" t="s">
        <v>85</v>
      </c>
    </row>
    <row r="17" spans="1:16" x14ac:dyDescent="0.3">
      <c r="A17">
        <v>17</v>
      </c>
      <c r="B17">
        <v>2021</v>
      </c>
      <c r="C17">
        <v>1452</v>
      </c>
      <c r="D17">
        <v>117</v>
      </c>
      <c r="E17">
        <v>93</v>
      </c>
      <c r="F17">
        <v>6754.89</v>
      </c>
      <c r="G17">
        <v>6.4049999999999996E-2</v>
      </c>
      <c r="H17">
        <v>13</v>
      </c>
      <c r="I17">
        <v>47</v>
      </c>
      <c r="J17">
        <v>17</v>
      </c>
      <c r="K17">
        <v>7</v>
      </c>
      <c r="L17">
        <v>1</v>
      </c>
      <c r="M17">
        <v>4</v>
      </c>
      <c r="N17">
        <v>5</v>
      </c>
      <c r="O17">
        <v>8</v>
      </c>
      <c r="P17" t="s">
        <v>85</v>
      </c>
    </row>
    <row r="18" spans="1:16" x14ac:dyDescent="0.3">
      <c r="A18">
        <v>18</v>
      </c>
      <c r="B18">
        <v>2021</v>
      </c>
      <c r="C18">
        <v>371</v>
      </c>
      <c r="D18">
        <v>31</v>
      </c>
      <c r="E18">
        <v>27</v>
      </c>
      <c r="F18">
        <v>1292.32</v>
      </c>
      <c r="G18">
        <v>7.2775999999999993E-2</v>
      </c>
      <c r="H18">
        <v>12</v>
      </c>
      <c r="I18">
        <v>12</v>
      </c>
      <c r="J18">
        <v>5</v>
      </c>
      <c r="K18">
        <v>5</v>
      </c>
      <c r="L18">
        <v>1</v>
      </c>
      <c r="M18">
        <v>4</v>
      </c>
      <c r="N18">
        <v>4</v>
      </c>
      <c r="O18">
        <v>3</v>
      </c>
      <c r="P18" t="s">
        <v>85</v>
      </c>
    </row>
    <row r="19" spans="1:16" x14ac:dyDescent="0.3">
      <c r="A19">
        <v>19</v>
      </c>
      <c r="B19">
        <v>2021</v>
      </c>
      <c r="C19">
        <v>1266</v>
      </c>
      <c r="D19">
        <v>68</v>
      </c>
      <c r="E19">
        <v>63</v>
      </c>
      <c r="F19">
        <v>4030.82</v>
      </c>
      <c r="G19">
        <v>4.9763000000000002E-2</v>
      </c>
      <c r="H19">
        <v>14</v>
      </c>
      <c r="I19">
        <v>35</v>
      </c>
      <c r="J19">
        <v>8</v>
      </c>
      <c r="K19">
        <v>13</v>
      </c>
      <c r="L19">
        <v>1</v>
      </c>
      <c r="M19">
        <v>5</v>
      </c>
      <c r="N19">
        <v>6</v>
      </c>
      <c r="O19">
        <v>3</v>
      </c>
      <c r="P19" t="s">
        <v>85</v>
      </c>
    </row>
    <row r="20" spans="1:16" x14ac:dyDescent="0.3">
      <c r="A20">
        <v>20</v>
      </c>
      <c r="B20">
        <v>2021</v>
      </c>
      <c r="C20">
        <v>1085</v>
      </c>
      <c r="D20">
        <v>62</v>
      </c>
      <c r="E20">
        <v>59</v>
      </c>
      <c r="F20">
        <v>6174.17</v>
      </c>
      <c r="G20">
        <v>5.4378000000000003E-2</v>
      </c>
      <c r="H20">
        <v>14</v>
      </c>
      <c r="I20">
        <v>22</v>
      </c>
      <c r="J20">
        <v>13</v>
      </c>
      <c r="K20">
        <v>5</v>
      </c>
      <c r="L20">
        <v>0</v>
      </c>
      <c r="M20">
        <v>2</v>
      </c>
      <c r="N20">
        <v>4</v>
      </c>
      <c r="O20">
        <v>1</v>
      </c>
      <c r="P20" t="s">
        <v>175</v>
      </c>
    </row>
    <row r="21" spans="1:16" x14ac:dyDescent="0.3">
      <c r="A21">
        <v>21</v>
      </c>
      <c r="B21">
        <v>2021</v>
      </c>
      <c r="C21">
        <v>1079</v>
      </c>
      <c r="D21">
        <v>84</v>
      </c>
      <c r="E21">
        <v>70</v>
      </c>
      <c r="F21">
        <v>4551.34</v>
      </c>
      <c r="G21">
        <v>6.4875000000000002E-2</v>
      </c>
      <c r="H21">
        <v>24</v>
      </c>
      <c r="I21">
        <v>34</v>
      </c>
      <c r="J21">
        <v>11</v>
      </c>
      <c r="K21">
        <v>9</v>
      </c>
      <c r="L21">
        <v>1</v>
      </c>
      <c r="M21">
        <v>5</v>
      </c>
      <c r="N21">
        <v>5</v>
      </c>
      <c r="O21">
        <v>6</v>
      </c>
      <c r="P21" t="s">
        <v>85</v>
      </c>
    </row>
    <row r="22" spans="1:16" x14ac:dyDescent="0.3">
      <c r="A22">
        <v>22</v>
      </c>
      <c r="B22">
        <v>2021</v>
      </c>
      <c r="C22">
        <v>583</v>
      </c>
      <c r="D22">
        <v>34</v>
      </c>
      <c r="E22">
        <v>28</v>
      </c>
      <c r="F22">
        <v>2889.84</v>
      </c>
      <c r="G22">
        <v>4.8027E-2</v>
      </c>
      <c r="H22">
        <v>17</v>
      </c>
      <c r="I22">
        <v>17</v>
      </c>
      <c r="J22">
        <v>5</v>
      </c>
      <c r="K22">
        <v>13</v>
      </c>
      <c r="L22">
        <v>0</v>
      </c>
      <c r="M22">
        <v>4</v>
      </c>
      <c r="N22">
        <v>3</v>
      </c>
      <c r="O22">
        <v>2</v>
      </c>
      <c r="P22" t="s">
        <v>175</v>
      </c>
    </row>
    <row r="23" spans="1:16" x14ac:dyDescent="0.3">
      <c r="A23">
        <v>23</v>
      </c>
      <c r="B23">
        <v>2021</v>
      </c>
      <c r="C23">
        <v>1409</v>
      </c>
      <c r="D23">
        <v>93</v>
      </c>
      <c r="E23">
        <v>73</v>
      </c>
      <c r="F23">
        <v>3251.12</v>
      </c>
      <c r="G23">
        <v>5.1810000000000002E-2</v>
      </c>
      <c r="H23">
        <v>26</v>
      </c>
      <c r="I23">
        <v>42</v>
      </c>
      <c r="J23">
        <v>13</v>
      </c>
      <c r="K23">
        <v>18</v>
      </c>
      <c r="L23">
        <v>0</v>
      </c>
      <c r="M23">
        <v>6</v>
      </c>
      <c r="N23">
        <v>7</v>
      </c>
      <c r="O23">
        <v>4</v>
      </c>
      <c r="P23" t="s">
        <v>175</v>
      </c>
    </row>
    <row r="24" spans="1:16" x14ac:dyDescent="0.3">
      <c r="A24">
        <v>24</v>
      </c>
      <c r="B24">
        <v>2021</v>
      </c>
      <c r="C24">
        <v>1008</v>
      </c>
      <c r="D24">
        <v>92</v>
      </c>
      <c r="E24">
        <v>81</v>
      </c>
      <c r="F24">
        <v>4003.8</v>
      </c>
      <c r="G24">
        <v>8.0356999999999998E-2</v>
      </c>
      <c r="H24">
        <v>23</v>
      </c>
      <c r="I24">
        <v>33</v>
      </c>
      <c r="J24">
        <v>19</v>
      </c>
      <c r="K24">
        <v>10</v>
      </c>
      <c r="L24">
        <v>1</v>
      </c>
      <c r="M24">
        <v>5</v>
      </c>
      <c r="N24">
        <v>6</v>
      </c>
      <c r="O24">
        <v>7</v>
      </c>
      <c r="P24" t="s">
        <v>85</v>
      </c>
    </row>
    <row r="25" spans="1:16" x14ac:dyDescent="0.3">
      <c r="A25">
        <v>25</v>
      </c>
      <c r="B25">
        <v>2021</v>
      </c>
      <c r="C25">
        <v>719</v>
      </c>
      <c r="D25">
        <v>17</v>
      </c>
      <c r="E25">
        <v>15</v>
      </c>
      <c r="F25">
        <v>1297.83</v>
      </c>
      <c r="G25">
        <v>2.0861999999999999E-2</v>
      </c>
      <c r="H25">
        <v>6</v>
      </c>
      <c r="I25">
        <v>13</v>
      </c>
      <c r="J25">
        <v>3</v>
      </c>
      <c r="K25">
        <v>3</v>
      </c>
      <c r="L25">
        <v>0</v>
      </c>
      <c r="M25">
        <v>1</v>
      </c>
      <c r="N25">
        <v>2</v>
      </c>
      <c r="O25">
        <v>0</v>
      </c>
      <c r="P25" t="s">
        <v>68</v>
      </c>
    </row>
    <row r="26" spans="1:16" x14ac:dyDescent="0.3">
      <c r="A26">
        <v>26</v>
      </c>
      <c r="B26">
        <v>2021</v>
      </c>
      <c r="C26">
        <v>1932</v>
      </c>
      <c r="D26">
        <v>197</v>
      </c>
      <c r="E26">
        <v>186</v>
      </c>
      <c r="F26">
        <v>15383.7</v>
      </c>
      <c r="G26">
        <v>9.6272999999999997E-2</v>
      </c>
      <c r="H26">
        <v>21</v>
      </c>
      <c r="I26">
        <v>58</v>
      </c>
      <c r="J26">
        <v>31</v>
      </c>
      <c r="K26">
        <v>11</v>
      </c>
      <c r="L26">
        <v>1</v>
      </c>
      <c r="M26">
        <v>5</v>
      </c>
      <c r="N26">
        <v>5</v>
      </c>
      <c r="O26">
        <v>7</v>
      </c>
      <c r="P26" t="s">
        <v>85</v>
      </c>
    </row>
    <row r="27" spans="1:16" x14ac:dyDescent="0.3">
      <c r="A27">
        <v>27</v>
      </c>
      <c r="B27">
        <v>2021</v>
      </c>
      <c r="C27">
        <v>124</v>
      </c>
      <c r="D27">
        <v>6</v>
      </c>
      <c r="E27">
        <v>4</v>
      </c>
      <c r="F27">
        <v>345.09</v>
      </c>
      <c r="G27">
        <v>3.2258000000000002E-2</v>
      </c>
      <c r="H27">
        <v>3</v>
      </c>
      <c r="I27">
        <v>3</v>
      </c>
      <c r="J27">
        <v>2</v>
      </c>
      <c r="K27">
        <v>2</v>
      </c>
      <c r="L27">
        <v>0</v>
      </c>
      <c r="M27">
        <v>0</v>
      </c>
      <c r="N27">
        <v>1</v>
      </c>
      <c r="O27">
        <v>0</v>
      </c>
      <c r="P27" t="s">
        <v>176</v>
      </c>
    </row>
    <row r="28" spans="1:16" x14ac:dyDescent="0.3">
      <c r="A28">
        <v>28</v>
      </c>
      <c r="B28">
        <v>2021</v>
      </c>
      <c r="C28">
        <v>1522</v>
      </c>
      <c r="D28">
        <v>89</v>
      </c>
      <c r="E28">
        <v>83</v>
      </c>
      <c r="F28">
        <v>6172.72</v>
      </c>
      <c r="G28">
        <v>5.4533999999999999E-2</v>
      </c>
      <c r="H28">
        <v>21</v>
      </c>
      <c r="I28">
        <v>31</v>
      </c>
      <c r="J28">
        <v>18</v>
      </c>
      <c r="K28">
        <v>7</v>
      </c>
      <c r="L28">
        <v>0</v>
      </c>
      <c r="M28">
        <v>2</v>
      </c>
      <c r="N28">
        <v>4</v>
      </c>
      <c r="O28">
        <v>3</v>
      </c>
      <c r="P28" t="s">
        <v>68</v>
      </c>
    </row>
    <row r="29" spans="1:16" x14ac:dyDescent="0.3">
      <c r="A29">
        <v>29</v>
      </c>
      <c r="B29">
        <v>2021</v>
      </c>
      <c r="C29">
        <v>749</v>
      </c>
      <c r="D29">
        <v>38</v>
      </c>
      <c r="E29">
        <v>29</v>
      </c>
      <c r="F29">
        <v>2425.2199999999998</v>
      </c>
      <c r="G29">
        <v>3.8718000000000002E-2</v>
      </c>
      <c r="H29">
        <v>8</v>
      </c>
      <c r="I29">
        <v>21</v>
      </c>
      <c r="J29">
        <v>6</v>
      </c>
      <c r="K29">
        <v>4</v>
      </c>
      <c r="L29">
        <v>0</v>
      </c>
      <c r="M29">
        <v>1</v>
      </c>
      <c r="N29">
        <v>2</v>
      </c>
      <c r="O29">
        <v>1</v>
      </c>
      <c r="P29" t="s">
        <v>175</v>
      </c>
    </row>
    <row r="30" spans="1:16" x14ac:dyDescent="0.3">
      <c r="A30">
        <v>30</v>
      </c>
      <c r="B30">
        <v>2021</v>
      </c>
      <c r="C30">
        <v>1092</v>
      </c>
      <c r="D30">
        <v>82</v>
      </c>
      <c r="E30">
        <v>78</v>
      </c>
      <c r="F30">
        <v>4335.71</v>
      </c>
      <c r="G30">
        <v>7.1429000000000006E-2</v>
      </c>
      <c r="H30">
        <v>13</v>
      </c>
      <c r="I30">
        <v>35</v>
      </c>
      <c r="J30">
        <v>17</v>
      </c>
      <c r="K30">
        <v>6</v>
      </c>
      <c r="L30">
        <v>1</v>
      </c>
      <c r="M30">
        <v>4</v>
      </c>
      <c r="N30">
        <v>3</v>
      </c>
      <c r="O30">
        <v>4</v>
      </c>
      <c r="P30" t="s">
        <v>85</v>
      </c>
    </row>
    <row r="31" spans="1:16" x14ac:dyDescent="0.3">
      <c r="A31">
        <v>31</v>
      </c>
      <c r="B31">
        <v>2021</v>
      </c>
      <c r="C31">
        <v>1296</v>
      </c>
      <c r="D31">
        <v>81</v>
      </c>
      <c r="E31">
        <v>59</v>
      </c>
      <c r="F31">
        <v>2856.59</v>
      </c>
      <c r="G31">
        <v>4.5525000000000003E-2</v>
      </c>
      <c r="H31">
        <v>19</v>
      </c>
      <c r="I31">
        <v>33</v>
      </c>
      <c r="J31">
        <v>11</v>
      </c>
      <c r="K31">
        <v>9</v>
      </c>
      <c r="L31">
        <v>0</v>
      </c>
      <c r="M31">
        <v>3</v>
      </c>
      <c r="N31">
        <v>4</v>
      </c>
      <c r="O31">
        <v>4</v>
      </c>
      <c r="P31" t="s">
        <v>68</v>
      </c>
    </row>
    <row r="32" spans="1:16" x14ac:dyDescent="0.3">
      <c r="A32">
        <v>32</v>
      </c>
      <c r="B32">
        <v>2021</v>
      </c>
      <c r="C32">
        <v>632</v>
      </c>
      <c r="D32">
        <v>34</v>
      </c>
      <c r="E32">
        <v>27</v>
      </c>
      <c r="F32">
        <v>2169.0500000000002</v>
      </c>
      <c r="G32">
        <v>4.2722000000000003E-2</v>
      </c>
      <c r="H32">
        <v>9</v>
      </c>
      <c r="I32">
        <v>18</v>
      </c>
      <c r="J32">
        <v>7</v>
      </c>
      <c r="K32">
        <v>4</v>
      </c>
      <c r="L32">
        <v>0</v>
      </c>
      <c r="M32">
        <v>1</v>
      </c>
      <c r="N32">
        <v>2</v>
      </c>
      <c r="O32">
        <v>2</v>
      </c>
      <c r="P32" t="s">
        <v>68</v>
      </c>
    </row>
    <row r="33" spans="1:16" x14ac:dyDescent="0.3">
      <c r="A33">
        <v>33</v>
      </c>
      <c r="B33">
        <v>2021</v>
      </c>
      <c r="C33">
        <v>1252</v>
      </c>
      <c r="D33">
        <v>130</v>
      </c>
      <c r="E33">
        <v>102</v>
      </c>
      <c r="F33">
        <v>6870.32</v>
      </c>
      <c r="G33">
        <v>8.1470000000000001E-2</v>
      </c>
      <c r="H33">
        <v>50</v>
      </c>
      <c r="I33">
        <v>50</v>
      </c>
      <c r="J33">
        <v>13</v>
      </c>
      <c r="K33">
        <v>17</v>
      </c>
      <c r="L33">
        <v>1</v>
      </c>
      <c r="M33">
        <v>9</v>
      </c>
      <c r="N33">
        <v>11</v>
      </c>
      <c r="O33">
        <v>6</v>
      </c>
      <c r="P33" t="s">
        <v>85</v>
      </c>
    </row>
    <row r="34" spans="1:16" x14ac:dyDescent="0.3">
      <c r="A34">
        <v>34</v>
      </c>
      <c r="B34">
        <v>2021</v>
      </c>
      <c r="C34">
        <v>766</v>
      </c>
      <c r="D34">
        <v>69</v>
      </c>
      <c r="E34">
        <v>57</v>
      </c>
      <c r="F34">
        <v>2230.79</v>
      </c>
      <c r="G34">
        <v>7.4413000000000007E-2</v>
      </c>
      <c r="H34">
        <v>14</v>
      </c>
      <c r="I34">
        <v>26</v>
      </c>
      <c r="J34">
        <v>12</v>
      </c>
      <c r="K34">
        <v>6</v>
      </c>
      <c r="L34">
        <v>1</v>
      </c>
      <c r="M34">
        <v>4</v>
      </c>
      <c r="N34">
        <v>4</v>
      </c>
      <c r="O34">
        <v>4</v>
      </c>
      <c r="P34" t="s">
        <v>85</v>
      </c>
    </row>
    <row r="35" spans="1:16" x14ac:dyDescent="0.3">
      <c r="A35">
        <v>35</v>
      </c>
      <c r="B35">
        <v>2021</v>
      </c>
      <c r="C35">
        <v>2654</v>
      </c>
      <c r="D35">
        <v>262</v>
      </c>
      <c r="E35">
        <v>228</v>
      </c>
      <c r="F35">
        <v>25669.82</v>
      </c>
      <c r="G35">
        <v>8.5907999999999998E-2</v>
      </c>
      <c r="H35">
        <v>38</v>
      </c>
      <c r="I35">
        <v>89</v>
      </c>
      <c r="J35">
        <v>41</v>
      </c>
      <c r="K35">
        <v>17</v>
      </c>
      <c r="L35">
        <v>1</v>
      </c>
      <c r="M35">
        <v>6</v>
      </c>
      <c r="N35">
        <v>8</v>
      </c>
      <c r="O35">
        <v>8</v>
      </c>
      <c r="P35" t="s">
        <v>85</v>
      </c>
    </row>
    <row r="36" spans="1:16" x14ac:dyDescent="0.3">
      <c r="A36">
        <v>36</v>
      </c>
      <c r="B36">
        <v>2021</v>
      </c>
      <c r="C36">
        <v>2383</v>
      </c>
      <c r="D36">
        <v>235</v>
      </c>
      <c r="E36">
        <v>189</v>
      </c>
      <c r="F36">
        <v>10928.63</v>
      </c>
      <c r="G36">
        <v>7.9311999999999994E-2</v>
      </c>
      <c r="H36">
        <v>35</v>
      </c>
      <c r="I36">
        <v>71</v>
      </c>
      <c r="J36">
        <v>28</v>
      </c>
      <c r="K36">
        <v>10</v>
      </c>
      <c r="L36">
        <v>1</v>
      </c>
      <c r="M36">
        <v>5</v>
      </c>
      <c r="N36">
        <v>6</v>
      </c>
      <c r="O36">
        <v>16</v>
      </c>
      <c r="P36" t="s">
        <v>85</v>
      </c>
    </row>
    <row r="37" spans="1:16" x14ac:dyDescent="0.3">
      <c r="A37">
        <v>37</v>
      </c>
      <c r="B37">
        <v>2021</v>
      </c>
      <c r="C37">
        <v>874</v>
      </c>
      <c r="D37">
        <v>48</v>
      </c>
      <c r="E37">
        <v>37</v>
      </c>
      <c r="F37">
        <v>2119.1999999999998</v>
      </c>
      <c r="G37">
        <v>4.2333999999999997E-2</v>
      </c>
      <c r="H37">
        <v>8</v>
      </c>
      <c r="I37">
        <v>18</v>
      </c>
      <c r="J37">
        <v>9</v>
      </c>
      <c r="K37">
        <v>5</v>
      </c>
      <c r="L37">
        <v>0</v>
      </c>
      <c r="M37">
        <v>1</v>
      </c>
      <c r="N37">
        <v>2</v>
      </c>
      <c r="O37">
        <v>2</v>
      </c>
      <c r="P37" t="s">
        <v>175</v>
      </c>
    </row>
    <row r="38" spans="1:16" x14ac:dyDescent="0.3">
      <c r="A38">
        <v>38</v>
      </c>
      <c r="B38">
        <v>2021</v>
      </c>
      <c r="C38">
        <v>856</v>
      </c>
      <c r="D38">
        <v>88</v>
      </c>
      <c r="E38">
        <v>63</v>
      </c>
      <c r="F38">
        <v>2918.6</v>
      </c>
      <c r="G38">
        <v>7.3597999999999997E-2</v>
      </c>
      <c r="H38">
        <v>21</v>
      </c>
      <c r="I38">
        <v>33</v>
      </c>
      <c r="J38">
        <v>11</v>
      </c>
      <c r="K38">
        <v>8</v>
      </c>
      <c r="L38">
        <v>1</v>
      </c>
      <c r="M38">
        <v>5</v>
      </c>
      <c r="N38">
        <v>7</v>
      </c>
      <c r="O38">
        <v>5</v>
      </c>
      <c r="P38" t="s">
        <v>85</v>
      </c>
    </row>
    <row r="39" spans="1:16" x14ac:dyDescent="0.3">
      <c r="A39">
        <v>39</v>
      </c>
      <c r="B39">
        <v>2021</v>
      </c>
      <c r="C39">
        <v>901</v>
      </c>
      <c r="D39">
        <v>72</v>
      </c>
      <c r="E39">
        <v>63</v>
      </c>
      <c r="F39">
        <v>6358.76</v>
      </c>
      <c r="G39">
        <v>6.9921999999999998E-2</v>
      </c>
      <c r="H39">
        <v>18</v>
      </c>
      <c r="I39">
        <v>34</v>
      </c>
      <c r="J39">
        <v>11</v>
      </c>
      <c r="K39">
        <v>10</v>
      </c>
      <c r="L39">
        <v>0</v>
      </c>
      <c r="M39">
        <v>2</v>
      </c>
      <c r="N39">
        <v>6</v>
      </c>
      <c r="O39">
        <v>2</v>
      </c>
      <c r="P39" t="s">
        <v>175</v>
      </c>
    </row>
    <row r="40" spans="1:16" x14ac:dyDescent="0.3">
      <c r="A40">
        <v>40</v>
      </c>
      <c r="B40">
        <v>2021</v>
      </c>
      <c r="C40">
        <v>1231</v>
      </c>
      <c r="D40">
        <v>138</v>
      </c>
      <c r="E40">
        <v>109</v>
      </c>
      <c r="F40">
        <v>6176.14</v>
      </c>
      <c r="G40">
        <v>8.8546E-2</v>
      </c>
      <c r="H40">
        <v>28</v>
      </c>
      <c r="I40">
        <v>44</v>
      </c>
      <c r="J40">
        <v>15</v>
      </c>
      <c r="K40">
        <v>12</v>
      </c>
      <c r="L40">
        <v>1</v>
      </c>
      <c r="M40">
        <v>4</v>
      </c>
      <c r="N40">
        <v>6</v>
      </c>
      <c r="O40">
        <v>5</v>
      </c>
      <c r="P40" t="s">
        <v>85</v>
      </c>
    </row>
    <row r="41" spans="1:16" x14ac:dyDescent="0.3">
      <c r="A41">
        <v>41</v>
      </c>
      <c r="B41">
        <v>2021</v>
      </c>
      <c r="C41">
        <v>483</v>
      </c>
      <c r="D41">
        <v>44</v>
      </c>
      <c r="E41">
        <v>37</v>
      </c>
      <c r="F41">
        <v>1427.6</v>
      </c>
      <c r="G41">
        <v>7.6605000000000006E-2</v>
      </c>
      <c r="H41">
        <v>18</v>
      </c>
      <c r="I41">
        <v>20</v>
      </c>
      <c r="J41">
        <v>6</v>
      </c>
      <c r="K41">
        <v>7</v>
      </c>
      <c r="L41">
        <v>1</v>
      </c>
      <c r="M41">
        <v>5</v>
      </c>
      <c r="N41">
        <v>4</v>
      </c>
      <c r="O41">
        <v>2</v>
      </c>
      <c r="P41" t="s">
        <v>85</v>
      </c>
    </row>
    <row r="42" spans="1:16" x14ac:dyDescent="0.3">
      <c r="A42">
        <v>42</v>
      </c>
      <c r="B42">
        <v>2021</v>
      </c>
      <c r="C42">
        <v>296</v>
      </c>
      <c r="D42">
        <v>25</v>
      </c>
      <c r="E42">
        <v>19</v>
      </c>
      <c r="F42">
        <v>837.73</v>
      </c>
      <c r="G42">
        <v>6.4188999999999996E-2</v>
      </c>
      <c r="H42">
        <v>18</v>
      </c>
      <c r="I42">
        <v>18</v>
      </c>
      <c r="J42">
        <v>6</v>
      </c>
      <c r="K42">
        <v>7</v>
      </c>
      <c r="L42">
        <v>1</v>
      </c>
      <c r="M42">
        <v>3</v>
      </c>
      <c r="N42">
        <v>6</v>
      </c>
      <c r="O42">
        <v>2</v>
      </c>
      <c r="P42" t="s">
        <v>85</v>
      </c>
    </row>
    <row r="43" spans="1:16" x14ac:dyDescent="0.3">
      <c r="A43">
        <v>43</v>
      </c>
      <c r="B43">
        <v>2021</v>
      </c>
      <c r="C43">
        <v>857</v>
      </c>
      <c r="D43">
        <v>44</v>
      </c>
      <c r="E43">
        <v>41</v>
      </c>
      <c r="F43">
        <v>2727.47</v>
      </c>
      <c r="G43">
        <v>4.7841000000000002E-2</v>
      </c>
      <c r="H43">
        <v>20</v>
      </c>
      <c r="I43">
        <v>20</v>
      </c>
      <c r="J43">
        <v>9</v>
      </c>
      <c r="K43">
        <v>7</v>
      </c>
      <c r="L43">
        <v>0</v>
      </c>
      <c r="M43">
        <v>1</v>
      </c>
      <c r="N43">
        <v>4</v>
      </c>
      <c r="O43">
        <v>2</v>
      </c>
      <c r="P43" t="s">
        <v>175</v>
      </c>
    </row>
    <row r="44" spans="1:16" x14ac:dyDescent="0.3">
      <c r="A44">
        <v>44</v>
      </c>
      <c r="B44">
        <v>2021</v>
      </c>
      <c r="C44">
        <v>553</v>
      </c>
      <c r="D44">
        <v>27</v>
      </c>
      <c r="E44">
        <v>22</v>
      </c>
      <c r="F44">
        <v>1342.54</v>
      </c>
      <c r="G44">
        <v>3.9782999999999999E-2</v>
      </c>
      <c r="H44">
        <v>15</v>
      </c>
      <c r="I44">
        <v>18</v>
      </c>
      <c r="J44">
        <v>3</v>
      </c>
      <c r="K44">
        <v>5</v>
      </c>
      <c r="L44">
        <v>0</v>
      </c>
      <c r="M44">
        <v>1</v>
      </c>
      <c r="N44">
        <v>3</v>
      </c>
      <c r="O44">
        <v>1</v>
      </c>
      <c r="P44" t="s">
        <v>175</v>
      </c>
    </row>
    <row r="45" spans="1:16" x14ac:dyDescent="0.3">
      <c r="A45">
        <v>45</v>
      </c>
      <c r="B45">
        <v>2021</v>
      </c>
      <c r="C45">
        <v>903</v>
      </c>
      <c r="D45">
        <v>43</v>
      </c>
      <c r="E45">
        <v>36</v>
      </c>
      <c r="F45">
        <v>1625.13</v>
      </c>
      <c r="G45">
        <v>3.9867E-2</v>
      </c>
      <c r="H45">
        <v>9</v>
      </c>
      <c r="I45">
        <v>24</v>
      </c>
      <c r="J45">
        <v>6</v>
      </c>
      <c r="K45">
        <v>6</v>
      </c>
      <c r="L45">
        <v>0</v>
      </c>
      <c r="M45">
        <v>2</v>
      </c>
      <c r="N45">
        <v>2</v>
      </c>
      <c r="O45">
        <v>1</v>
      </c>
      <c r="P45" t="s">
        <v>175</v>
      </c>
    </row>
    <row r="46" spans="1:16" x14ac:dyDescent="0.3">
      <c r="A46">
        <v>46</v>
      </c>
      <c r="B46">
        <v>2021</v>
      </c>
      <c r="C46">
        <v>1026</v>
      </c>
      <c r="D46">
        <v>112</v>
      </c>
      <c r="E46">
        <v>98</v>
      </c>
      <c r="F46">
        <v>10643.63</v>
      </c>
      <c r="G46">
        <v>9.5517000000000005E-2</v>
      </c>
      <c r="H46">
        <v>25</v>
      </c>
      <c r="I46">
        <v>40</v>
      </c>
      <c r="J46">
        <v>19</v>
      </c>
      <c r="K46">
        <v>13</v>
      </c>
      <c r="L46">
        <v>1</v>
      </c>
      <c r="M46">
        <v>6</v>
      </c>
      <c r="N46">
        <v>8</v>
      </c>
      <c r="O46">
        <v>4</v>
      </c>
      <c r="P46" t="s">
        <v>85</v>
      </c>
    </row>
    <row r="47" spans="1:16" x14ac:dyDescent="0.3">
      <c r="A47">
        <v>47</v>
      </c>
      <c r="B47">
        <v>2021</v>
      </c>
      <c r="C47">
        <v>1287</v>
      </c>
      <c r="D47">
        <v>89</v>
      </c>
      <c r="E47">
        <v>77</v>
      </c>
      <c r="F47">
        <v>3960.48</v>
      </c>
      <c r="G47">
        <v>5.9829E-2</v>
      </c>
      <c r="H47">
        <v>18</v>
      </c>
      <c r="I47">
        <v>29</v>
      </c>
      <c r="J47">
        <v>10</v>
      </c>
      <c r="K47">
        <v>9</v>
      </c>
      <c r="L47">
        <v>0</v>
      </c>
      <c r="M47">
        <v>3</v>
      </c>
      <c r="N47">
        <v>4</v>
      </c>
      <c r="O47">
        <v>3</v>
      </c>
      <c r="P47" t="s">
        <v>175</v>
      </c>
    </row>
    <row r="48" spans="1:16" x14ac:dyDescent="0.3">
      <c r="A48">
        <v>48</v>
      </c>
      <c r="B48">
        <v>2021</v>
      </c>
      <c r="C48">
        <v>702</v>
      </c>
      <c r="D48">
        <v>74</v>
      </c>
      <c r="E48">
        <v>66</v>
      </c>
      <c r="F48">
        <v>3357.7</v>
      </c>
      <c r="G48">
        <v>9.4017000000000003E-2</v>
      </c>
      <c r="H48">
        <v>17</v>
      </c>
      <c r="I48">
        <v>26</v>
      </c>
      <c r="J48">
        <v>11</v>
      </c>
      <c r="K48">
        <v>9</v>
      </c>
      <c r="L48">
        <v>1</v>
      </c>
      <c r="M48">
        <v>5</v>
      </c>
      <c r="N48">
        <v>6</v>
      </c>
      <c r="O48">
        <v>6</v>
      </c>
      <c r="P48" t="s">
        <v>85</v>
      </c>
    </row>
    <row r="49" spans="1:16" x14ac:dyDescent="0.3">
      <c r="A49">
        <v>49</v>
      </c>
      <c r="B49">
        <v>2021</v>
      </c>
      <c r="C49">
        <v>2373</v>
      </c>
      <c r="D49">
        <v>254</v>
      </c>
      <c r="E49">
        <v>243</v>
      </c>
      <c r="F49">
        <v>19407.95</v>
      </c>
      <c r="G49">
        <v>0.10240200000000001</v>
      </c>
      <c r="H49">
        <v>44</v>
      </c>
      <c r="I49">
        <v>83</v>
      </c>
      <c r="J49">
        <v>56</v>
      </c>
      <c r="K49">
        <v>15</v>
      </c>
      <c r="L49">
        <v>1</v>
      </c>
      <c r="M49">
        <v>5</v>
      </c>
      <c r="N49">
        <v>10</v>
      </c>
      <c r="O49">
        <v>14</v>
      </c>
      <c r="P49" t="s">
        <v>85</v>
      </c>
    </row>
    <row r="50" spans="1:16" x14ac:dyDescent="0.3">
      <c r="A50">
        <v>50</v>
      </c>
      <c r="B50">
        <v>2021</v>
      </c>
      <c r="C50">
        <v>995</v>
      </c>
      <c r="D50">
        <v>86</v>
      </c>
      <c r="E50">
        <v>67</v>
      </c>
      <c r="F50">
        <v>4841.6000000000004</v>
      </c>
      <c r="G50">
        <v>6.7336999999999994E-2</v>
      </c>
      <c r="H50">
        <v>20</v>
      </c>
      <c r="I50">
        <v>29</v>
      </c>
      <c r="J50">
        <v>10</v>
      </c>
      <c r="K50">
        <v>6</v>
      </c>
      <c r="L50">
        <v>0</v>
      </c>
      <c r="M50">
        <v>2</v>
      </c>
      <c r="N50">
        <v>2</v>
      </c>
      <c r="O50">
        <v>3</v>
      </c>
      <c r="P50" t="s">
        <v>175</v>
      </c>
    </row>
    <row r="51" spans="1:16" x14ac:dyDescent="0.3">
      <c r="A51">
        <v>51</v>
      </c>
      <c r="B51">
        <v>2021</v>
      </c>
      <c r="C51">
        <v>450</v>
      </c>
      <c r="D51">
        <v>22</v>
      </c>
      <c r="E51">
        <v>21</v>
      </c>
      <c r="F51">
        <v>1280.44</v>
      </c>
      <c r="G51">
        <v>4.6667E-2</v>
      </c>
      <c r="H51">
        <v>8</v>
      </c>
      <c r="I51">
        <v>14</v>
      </c>
      <c r="J51">
        <v>5</v>
      </c>
      <c r="K51">
        <v>4</v>
      </c>
      <c r="L51">
        <v>1</v>
      </c>
      <c r="M51">
        <v>1</v>
      </c>
      <c r="N51">
        <v>2</v>
      </c>
      <c r="O51">
        <v>1</v>
      </c>
      <c r="P51" t="s">
        <v>68</v>
      </c>
    </row>
    <row r="52" spans="1:16" x14ac:dyDescent="0.3">
      <c r="A52">
        <v>52</v>
      </c>
      <c r="B52">
        <v>2021</v>
      </c>
      <c r="C52">
        <v>1114</v>
      </c>
      <c r="D52">
        <v>54</v>
      </c>
      <c r="E52">
        <v>40</v>
      </c>
      <c r="F52">
        <v>1113.03</v>
      </c>
      <c r="G52">
        <v>3.5907000000000001E-2</v>
      </c>
      <c r="H52">
        <v>26</v>
      </c>
      <c r="I52">
        <v>26</v>
      </c>
      <c r="J52">
        <v>5</v>
      </c>
      <c r="K52">
        <v>8</v>
      </c>
      <c r="L52">
        <v>0</v>
      </c>
      <c r="M52">
        <v>2</v>
      </c>
      <c r="N52">
        <v>6</v>
      </c>
      <c r="O52">
        <v>3</v>
      </c>
      <c r="P52" t="s">
        <v>175</v>
      </c>
    </row>
    <row r="53" spans="1:16" x14ac:dyDescent="0.3">
      <c r="A53">
        <v>53</v>
      </c>
      <c r="B53">
        <v>2021</v>
      </c>
      <c r="C53">
        <v>558</v>
      </c>
      <c r="D53">
        <v>49</v>
      </c>
      <c r="E53">
        <v>41</v>
      </c>
      <c r="F53">
        <v>3864.45</v>
      </c>
      <c r="G53">
        <v>7.3477000000000001E-2</v>
      </c>
      <c r="H53">
        <v>22</v>
      </c>
      <c r="I53">
        <v>25</v>
      </c>
      <c r="J53">
        <v>10</v>
      </c>
      <c r="K53">
        <v>9</v>
      </c>
      <c r="L53">
        <v>1</v>
      </c>
      <c r="M53">
        <v>6</v>
      </c>
      <c r="N53">
        <v>6</v>
      </c>
      <c r="O53">
        <v>2</v>
      </c>
      <c r="P53" t="s">
        <v>85</v>
      </c>
    </row>
    <row r="54" spans="1:16" x14ac:dyDescent="0.3">
      <c r="A54">
        <v>54</v>
      </c>
      <c r="B54">
        <v>2021</v>
      </c>
      <c r="C54">
        <v>1177</v>
      </c>
      <c r="D54">
        <v>115</v>
      </c>
      <c r="E54">
        <v>103</v>
      </c>
      <c r="F54">
        <v>9836.89</v>
      </c>
      <c r="G54">
        <v>8.7511000000000005E-2</v>
      </c>
      <c r="H54">
        <v>31</v>
      </c>
      <c r="I54">
        <v>35</v>
      </c>
      <c r="J54">
        <v>16</v>
      </c>
      <c r="K54">
        <v>15</v>
      </c>
      <c r="L54">
        <v>1</v>
      </c>
      <c r="M54">
        <v>6</v>
      </c>
      <c r="N54">
        <v>7</v>
      </c>
      <c r="O54">
        <v>4</v>
      </c>
      <c r="P54" t="s">
        <v>85</v>
      </c>
    </row>
    <row r="55" spans="1:16" x14ac:dyDescent="0.3">
      <c r="A55">
        <v>55</v>
      </c>
      <c r="B55">
        <v>2021</v>
      </c>
      <c r="C55">
        <v>2177</v>
      </c>
      <c r="D55">
        <v>210</v>
      </c>
      <c r="E55">
        <v>178</v>
      </c>
      <c r="F55">
        <v>6917.92</v>
      </c>
      <c r="G55">
        <v>8.1764000000000003E-2</v>
      </c>
      <c r="H55">
        <v>34</v>
      </c>
      <c r="I55">
        <v>68</v>
      </c>
      <c r="J55">
        <v>29</v>
      </c>
      <c r="K55">
        <v>13</v>
      </c>
      <c r="L55">
        <v>1</v>
      </c>
      <c r="M55">
        <v>4</v>
      </c>
      <c r="N55">
        <v>7</v>
      </c>
      <c r="O55">
        <v>5</v>
      </c>
      <c r="P55" t="s">
        <v>85</v>
      </c>
    </row>
    <row r="56" spans="1:16" x14ac:dyDescent="0.3">
      <c r="A56">
        <v>56</v>
      </c>
      <c r="B56">
        <v>2021</v>
      </c>
      <c r="C56">
        <v>1136</v>
      </c>
      <c r="D56">
        <v>89</v>
      </c>
      <c r="E56">
        <v>81</v>
      </c>
      <c r="F56">
        <v>7437.66</v>
      </c>
      <c r="G56">
        <v>7.1303000000000005E-2</v>
      </c>
      <c r="H56">
        <v>31</v>
      </c>
      <c r="I56">
        <v>31</v>
      </c>
      <c r="J56">
        <v>10</v>
      </c>
      <c r="K56">
        <v>10</v>
      </c>
      <c r="L56">
        <v>0</v>
      </c>
      <c r="M56">
        <v>3</v>
      </c>
      <c r="N56">
        <v>6</v>
      </c>
      <c r="O56">
        <v>2</v>
      </c>
      <c r="P56" t="s">
        <v>175</v>
      </c>
    </row>
    <row r="57" spans="1:16" x14ac:dyDescent="0.3">
      <c r="A57">
        <v>57</v>
      </c>
      <c r="B57">
        <v>2021</v>
      </c>
      <c r="C57">
        <v>304</v>
      </c>
      <c r="D57">
        <v>8</v>
      </c>
      <c r="E57">
        <v>8</v>
      </c>
      <c r="F57">
        <v>259.05</v>
      </c>
      <c r="G57">
        <v>2.6315999999999999E-2</v>
      </c>
      <c r="H57">
        <v>4</v>
      </c>
      <c r="I57">
        <v>8</v>
      </c>
      <c r="J57">
        <v>1</v>
      </c>
      <c r="K57">
        <v>2</v>
      </c>
      <c r="L57">
        <v>0</v>
      </c>
      <c r="M57">
        <v>1</v>
      </c>
      <c r="N57">
        <v>1</v>
      </c>
      <c r="O57">
        <v>1</v>
      </c>
      <c r="P57" t="s">
        <v>176</v>
      </c>
    </row>
    <row r="58" spans="1:16" x14ac:dyDescent="0.3">
      <c r="A58">
        <v>58</v>
      </c>
      <c r="B58">
        <v>2021</v>
      </c>
      <c r="C58">
        <v>777</v>
      </c>
      <c r="D58">
        <v>67</v>
      </c>
      <c r="E58">
        <v>60</v>
      </c>
      <c r="F58">
        <v>6268.1</v>
      </c>
      <c r="G58">
        <v>7.7219999999999997E-2</v>
      </c>
      <c r="H58">
        <v>23</v>
      </c>
      <c r="I58">
        <v>23</v>
      </c>
      <c r="J58">
        <v>11</v>
      </c>
      <c r="K58">
        <v>11</v>
      </c>
      <c r="L58">
        <v>0</v>
      </c>
      <c r="M58">
        <v>2</v>
      </c>
      <c r="N58">
        <v>5</v>
      </c>
      <c r="O58">
        <v>4</v>
      </c>
      <c r="P58" t="s">
        <v>68</v>
      </c>
    </row>
    <row r="59" spans="1:16" x14ac:dyDescent="0.3">
      <c r="A59">
        <v>59</v>
      </c>
      <c r="B59">
        <v>2021</v>
      </c>
      <c r="C59">
        <v>824</v>
      </c>
      <c r="D59">
        <v>66</v>
      </c>
      <c r="E59">
        <v>53</v>
      </c>
      <c r="F59">
        <v>3803.38</v>
      </c>
      <c r="G59">
        <v>6.4320000000000002E-2</v>
      </c>
      <c r="H59">
        <v>17</v>
      </c>
      <c r="I59">
        <v>25</v>
      </c>
      <c r="J59">
        <v>7</v>
      </c>
      <c r="K59">
        <v>8</v>
      </c>
      <c r="L59">
        <v>1</v>
      </c>
      <c r="M59">
        <v>5</v>
      </c>
      <c r="N59">
        <v>5</v>
      </c>
      <c r="O59">
        <v>3</v>
      </c>
      <c r="P59" t="s">
        <v>85</v>
      </c>
    </row>
    <row r="60" spans="1:16" x14ac:dyDescent="0.3">
      <c r="A60">
        <v>60</v>
      </c>
      <c r="B60">
        <v>2021</v>
      </c>
      <c r="C60">
        <v>1133</v>
      </c>
      <c r="D60">
        <v>98</v>
      </c>
      <c r="E60">
        <v>93</v>
      </c>
      <c r="F60">
        <v>5615.41</v>
      </c>
      <c r="G60">
        <v>8.2083000000000003E-2</v>
      </c>
      <c r="H60">
        <v>19</v>
      </c>
      <c r="I60">
        <v>37</v>
      </c>
      <c r="J60">
        <v>16</v>
      </c>
      <c r="K60">
        <v>14</v>
      </c>
      <c r="L60">
        <v>1</v>
      </c>
      <c r="M60">
        <v>5</v>
      </c>
      <c r="N60">
        <v>8</v>
      </c>
      <c r="O60">
        <v>8</v>
      </c>
      <c r="P60" t="s">
        <v>85</v>
      </c>
    </row>
    <row r="61" spans="1:16" x14ac:dyDescent="0.3">
      <c r="A61">
        <v>61</v>
      </c>
      <c r="B61">
        <v>2021</v>
      </c>
      <c r="C61">
        <v>1986</v>
      </c>
      <c r="D61">
        <v>137</v>
      </c>
      <c r="E61">
        <v>126</v>
      </c>
      <c r="F61">
        <v>5589.6</v>
      </c>
      <c r="G61">
        <v>6.3444E-2</v>
      </c>
      <c r="H61">
        <v>17</v>
      </c>
      <c r="I61">
        <v>47</v>
      </c>
      <c r="J61">
        <v>27</v>
      </c>
      <c r="K61">
        <v>8</v>
      </c>
      <c r="L61">
        <v>1</v>
      </c>
      <c r="M61">
        <v>3</v>
      </c>
      <c r="N61">
        <v>5</v>
      </c>
      <c r="O61">
        <v>8</v>
      </c>
      <c r="P61" t="s">
        <v>85</v>
      </c>
    </row>
    <row r="62" spans="1:16" x14ac:dyDescent="0.3">
      <c r="A62">
        <v>62</v>
      </c>
      <c r="B62">
        <v>2021</v>
      </c>
      <c r="C62">
        <v>2824</v>
      </c>
      <c r="D62">
        <v>227</v>
      </c>
      <c r="E62">
        <v>214</v>
      </c>
      <c r="F62">
        <v>10655.51</v>
      </c>
      <c r="G62">
        <v>7.5778999999999999E-2</v>
      </c>
      <c r="H62">
        <v>51</v>
      </c>
      <c r="I62">
        <v>69</v>
      </c>
      <c r="J62">
        <v>29</v>
      </c>
      <c r="K62">
        <v>12</v>
      </c>
      <c r="L62">
        <v>0</v>
      </c>
      <c r="M62">
        <v>5</v>
      </c>
      <c r="N62">
        <v>6</v>
      </c>
      <c r="O62">
        <v>14</v>
      </c>
      <c r="P62" t="s">
        <v>175</v>
      </c>
    </row>
    <row r="63" spans="1:16" x14ac:dyDescent="0.3">
      <c r="A63">
        <v>63</v>
      </c>
      <c r="B63">
        <v>2021</v>
      </c>
      <c r="C63">
        <v>909</v>
      </c>
      <c r="D63">
        <v>46</v>
      </c>
      <c r="E63">
        <v>36</v>
      </c>
      <c r="F63">
        <v>3138.55</v>
      </c>
      <c r="G63">
        <v>3.9604E-2</v>
      </c>
      <c r="H63">
        <v>15</v>
      </c>
      <c r="I63">
        <v>20</v>
      </c>
      <c r="J63">
        <v>6</v>
      </c>
      <c r="K63">
        <v>7</v>
      </c>
      <c r="L63">
        <v>0</v>
      </c>
      <c r="M63">
        <v>2</v>
      </c>
      <c r="N63">
        <v>3</v>
      </c>
      <c r="O63">
        <v>2</v>
      </c>
      <c r="P63" t="s">
        <v>68</v>
      </c>
    </row>
    <row r="64" spans="1:16" x14ac:dyDescent="0.3">
      <c r="A64">
        <v>64</v>
      </c>
      <c r="B64">
        <v>2021</v>
      </c>
      <c r="C64">
        <v>589</v>
      </c>
      <c r="D64">
        <v>58</v>
      </c>
      <c r="E64">
        <v>43</v>
      </c>
      <c r="F64">
        <v>2662.53</v>
      </c>
      <c r="G64">
        <v>7.3005E-2</v>
      </c>
      <c r="H64">
        <v>16</v>
      </c>
      <c r="I64">
        <v>16</v>
      </c>
      <c r="J64">
        <v>8</v>
      </c>
      <c r="K64">
        <v>8</v>
      </c>
      <c r="L64">
        <v>1</v>
      </c>
      <c r="M64">
        <v>4</v>
      </c>
      <c r="N64">
        <v>4</v>
      </c>
      <c r="O64">
        <v>3</v>
      </c>
      <c r="P64" t="s">
        <v>85</v>
      </c>
    </row>
    <row r="65" spans="1:16" x14ac:dyDescent="0.3">
      <c r="A65">
        <v>65</v>
      </c>
      <c r="B65">
        <v>2021</v>
      </c>
      <c r="C65">
        <v>2790</v>
      </c>
      <c r="D65">
        <v>259</v>
      </c>
      <c r="E65">
        <v>227</v>
      </c>
      <c r="F65">
        <v>12955.7</v>
      </c>
      <c r="G65">
        <v>8.1362000000000004E-2</v>
      </c>
      <c r="H65">
        <v>50</v>
      </c>
      <c r="I65">
        <v>78</v>
      </c>
      <c r="J65">
        <v>24</v>
      </c>
      <c r="K65">
        <v>16</v>
      </c>
      <c r="L65">
        <v>0</v>
      </c>
      <c r="M65">
        <v>6</v>
      </c>
      <c r="N65">
        <v>9</v>
      </c>
      <c r="O65">
        <v>5</v>
      </c>
      <c r="P65" t="s">
        <v>175</v>
      </c>
    </row>
    <row r="66" spans="1:16" x14ac:dyDescent="0.3">
      <c r="A66">
        <v>66</v>
      </c>
      <c r="B66">
        <v>2021</v>
      </c>
      <c r="C66">
        <v>526</v>
      </c>
      <c r="D66">
        <v>30</v>
      </c>
      <c r="E66">
        <v>22</v>
      </c>
      <c r="F66">
        <v>2061.15</v>
      </c>
      <c r="G66">
        <v>4.1825000000000001E-2</v>
      </c>
      <c r="H66">
        <v>18</v>
      </c>
      <c r="I66">
        <v>18</v>
      </c>
      <c r="J66">
        <v>6</v>
      </c>
      <c r="K66">
        <v>6</v>
      </c>
      <c r="L66">
        <v>0</v>
      </c>
      <c r="M66">
        <v>1</v>
      </c>
      <c r="N66">
        <v>3</v>
      </c>
      <c r="O66">
        <v>2</v>
      </c>
      <c r="P66" t="s">
        <v>175</v>
      </c>
    </row>
    <row r="67" spans="1:16" x14ac:dyDescent="0.3">
      <c r="A67">
        <v>68</v>
      </c>
      <c r="B67">
        <v>2021</v>
      </c>
      <c r="C67">
        <v>2018</v>
      </c>
      <c r="D67">
        <v>204</v>
      </c>
      <c r="E67">
        <v>183</v>
      </c>
      <c r="F67">
        <v>11022.22</v>
      </c>
      <c r="G67">
        <v>9.0684000000000001E-2</v>
      </c>
      <c r="H67">
        <v>23</v>
      </c>
      <c r="I67">
        <v>60</v>
      </c>
      <c r="J67">
        <v>26</v>
      </c>
      <c r="K67">
        <v>12</v>
      </c>
      <c r="L67">
        <v>0</v>
      </c>
      <c r="M67">
        <v>5</v>
      </c>
      <c r="N67">
        <v>7</v>
      </c>
      <c r="O67">
        <v>4</v>
      </c>
      <c r="P67" t="s">
        <v>68</v>
      </c>
    </row>
    <row r="68" spans="1:16" x14ac:dyDescent="0.3">
      <c r="A68">
        <v>69</v>
      </c>
      <c r="B68">
        <v>2021</v>
      </c>
      <c r="C68">
        <v>1368</v>
      </c>
      <c r="D68">
        <v>117</v>
      </c>
      <c r="E68">
        <v>103</v>
      </c>
      <c r="F68">
        <v>9506.14</v>
      </c>
      <c r="G68">
        <v>7.5291999999999998E-2</v>
      </c>
      <c r="H68">
        <v>24</v>
      </c>
      <c r="I68">
        <v>45</v>
      </c>
      <c r="J68">
        <v>24</v>
      </c>
      <c r="K68">
        <v>14</v>
      </c>
      <c r="L68">
        <v>1</v>
      </c>
      <c r="M68">
        <v>6</v>
      </c>
      <c r="N68">
        <v>8</v>
      </c>
      <c r="O68">
        <v>6</v>
      </c>
      <c r="P68" t="s">
        <v>85</v>
      </c>
    </row>
    <row r="69" spans="1:16" x14ac:dyDescent="0.3">
      <c r="A69">
        <v>71</v>
      </c>
      <c r="B69">
        <v>2021</v>
      </c>
      <c r="C69">
        <v>766</v>
      </c>
      <c r="D69">
        <v>40</v>
      </c>
      <c r="E69">
        <v>34</v>
      </c>
      <c r="F69">
        <v>1393.63</v>
      </c>
      <c r="G69">
        <v>4.4386000000000002E-2</v>
      </c>
      <c r="H69">
        <v>7</v>
      </c>
      <c r="I69">
        <v>21</v>
      </c>
      <c r="J69">
        <v>4</v>
      </c>
      <c r="K69">
        <v>2</v>
      </c>
      <c r="L69">
        <v>0</v>
      </c>
      <c r="M69">
        <v>1</v>
      </c>
      <c r="N69">
        <v>2</v>
      </c>
      <c r="O69">
        <v>2</v>
      </c>
      <c r="P69" t="s">
        <v>68</v>
      </c>
    </row>
    <row r="70" spans="1:16" x14ac:dyDescent="0.3">
      <c r="A70">
        <v>72</v>
      </c>
      <c r="B70">
        <v>2021</v>
      </c>
      <c r="C70">
        <v>395</v>
      </c>
      <c r="D70">
        <v>33</v>
      </c>
      <c r="E70">
        <v>31</v>
      </c>
      <c r="F70">
        <v>2065.5500000000002</v>
      </c>
      <c r="G70">
        <v>7.8480999999999995E-2</v>
      </c>
      <c r="H70">
        <v>15</v>
      </c>
      <c r="I70">
        <v>19</v>
      </c>
      <c r="J70">
        <v>9</v>
      </c>
      <c r="K70">
        <v>5</v>
      </c>
      <c r="L70">
        <v>1</v>
      </c>
      <c r="M70">
        <v>4</v>
      </c>
      <c r="N70">
        <v>3</v>
      </c>
      <c r="O70">
        <v>2</v>
      </c>
      <c r="P70" t="s">
        <v>85</v>
      </c>
    </row>
    <row r="71" spans="1:16" x14ac:dyDescent="0.3">
      <c r="A71">
        <v>73</v>
      </c>
      <c r="B71">
        <v>2021</v>
      </c>
      <c r="C71">
        <v>655</v>
      </c>
      <c r="D71">
        <v>50</v>
      </c>
      <c r="E71">
        <v>44</v>
      </c>
      <c r="F71">
        <v>4049.31</v>
      </c>
      <c r="G71">
        <v>6.7176E-2</v>
      </c>
      <c r="H71">
        <v>21</v>
      </c>
      <c r="I71">
        <v>22</v>
      </c>
      <c r="J71">
        <v>8</v>
      </c>
      <c r="K71">
        <v>8</v>
      </c>
      <c r="L71">
        <v>1</v>
      </c>
      <c r="M71">
        <v>4</v>
      </c>
      <c r="N71">
        <v>6</v>
      </c>
      <c r="O71">
        <v>3</v>
      </c>
      <c r="P71" t="s">
        <v>85</v>
      </c>
    </row>
    <row r="72" spans="1:16" x14ac:dyDescent="0.3">
      <c r="A72">
        <v>74</v>
      </c>
      <c r="B72">
        <v>2021</v>
      </c>
      <c r="C72">
        <v>369</v>
      </c>
      <c r="D72">
        <v>19</v>
      </c>
      <c r="E72">
        <v>17</v>
      </c>
      <c r="F72">
        <v>1315.93</v>
      </c>
      <c r="G72">
        <v>4.607E-2</v>
      </c>
      <c r="H72">
        <v>15</v>
      </c>
      <c r="I72">
        <v>15</v>
      </c>
      <c r="J72">
        <v>3</v>
      </c>
      <c r="K72">
        <v>5</v>
      </c>
      <c r="L72">
        <v>0</v>
      </c>
      <c r="M72">
        <v>2</v>
      </c>
      <c r="N72">
        <v>2</v>
      </c>
      <c r="O72">
        <v>0</v>
      </c>
      <c r="P72" t="s">
        <v>175</v>
      </c>
    </row>
    <row r="73" spans="1:16" x14ac:dyDescent="0.3">
      <c r="A73">
        <v>75</v>
      </c>
      <c r="B73">
        <v>2021</v>
      </c>
      <c r="C73">
        <v>562</v>
      </c>
      <c r="D73">
        <v>28</v>
      </c>
      <c r="E73">
        <v>24</v>
      </c>
      <c r="F73">
        <v>2428.86</v>
      </c>
      <c r="G73">
        <v>4.2705E-2</v>
      </c>
      <c r="H73">
        <v>16</v>
      </c>
      <c r="I73">
        <v>18</v>
      </c>
      <c r="J73">
        <v>5</v>
      </c>
      <c r="K73">
        <v>7</v>
      </c>
      <c r="L73">
        <v>0</v>
      </c>
      <c r="M73">
        <v>2</v>
      </c>
      <c r="N73">
        <v>4</v>
      </c>
      <c r="O73">
        <v>1</v>
      </c>
      <c r="P73" t="s">
        <v>68</v>
      </c>
    </row>
    <row r="74" spans="1:16" x14ac:dyDescent="0.3">
      <c r="A74">
        <v>76</v>
      </c>
      <c r="B74">
        <v>2021</v>
      </c>
      <c r="C74">
        <v>2339</v>
      </c>
      <c r="D74">
        <v>171</v>
      </c>
      <c r="E74">
        <v>126</v>
      </c>
      <c r="F74">
        <v>9015.7900000000009</v>
      </c>
      <c r="G74">
        <v>5.3869E-2</v>
      </c>
      <c r="H74">
        <v>46</v>
      </c>
      <c r="I74">
        <v>64</v>
      </c>
      <c r="J74">
        <v>19</v>
      </c>
      <c r="K74">
        <v>18</v>
      </c>
      <c r="L74">
        <v>0</v>
      </c>
      <c r="M74">
        <v>3</v>
      </c>
      <c r="N74">
        <v>8</v>
      </c>
      <c r="O74">
        <v>8</v>
      </c>
      <c r="P74" t="s">
        <v>175</v>
      </c>
    </row>
    <row r="75" spans="1:16" x14ac:dyDescent="0.3">
      <c r="A75">
        <v>77</v>
      </c>
      <c r="B75">
        <v>2021</v>
      </c>
      <c r="C75">
        <v>1321</v>
      </c>
      <c r="D75">
        <v>86</v>
      </c>
      <c r="E75">
        <v>79</v>
      </c>
      <c r="F75">
        <v>4487.67</v>
      </c>
      <c r="G75">
        <v>5.9803000000000002E-2</v>
      </c>
      <c r="H75">
        <v>12</v>
      </c>
      <c r="I75">
        <v>34</v>
      </c>
      <c r="J75">
        <v>15</v>
      </c>
      <c r="K75">
        <v>4</v>
      </c>
      <c r="L75">
        <v>0</v>
      </c>
      <c r="M75">
        <v>2</v>
      </c>
      <c r="N75">
        <v>1</v>
      </c>
      <c r="O75">
        <v>6</v>
      </c>
      <c r="P75" t="s">
        <v>175</v>
      </c>
    </row>
    <row r="76" spans="1:16" x14ac:dyDescent="0.3">
      <c r="A76">
        <v>78</v>
      </c>
      <c r="B76">
        <v>2021</v>
      </c>
      <c r="C76">
        <v>1530</v>
      </c>
      <c r="D76">
        <v>102</v>
      </c>
      <c r="E76">
        <v>84</v>
      </c>
      <c r="F76">
        <v>2728.15</v>
      </c>
      <c r="G76">
        <v>5.4901999999999999E-2</v>
      </c>
      <c r="H76">
        <v>24</v>
      </c>
      <c r="I76">
        <v>35</v>
      </c>
      <c r="J76">
        <v>15</v>
      </c>
      <c r="K76">
        <v>9</v>
      </c>
      <c r="L76">
        <v>0</v>
      </c>
      <c r="M76">
        <v>4</v>
      </c>
      <c r="N76">
        <v>3</v>
      </c>
      <c r="O76">
        <v>3</v>
      </c>
      <c r="P76" t="s">
        <v>175</v>
      </c>
    </row>
    <row r="77" spans="1:16" x14ac:dyDescent="0.3">
      <c r="A77">
        <v>79</v>
      </c>
      <c r="B77">
        <v>2021</v>
      </c>
      <c r="C77">
        <v>1072</v>
      </c>
      <c r="D77">
        <v>76</v>
      </c>
      <c r="E77">
        <v>69</v>
      </c>
      <c r="F77">
        <v>2897.01</v>
      </c>
      <c r="G77">
        <v>6.4366000000000007E-2</v>
      </c>
      <c r="H77">
        <v>22</v>
      </c>
      <c r="I77">
        <v>26</v>
      </c>
      <c r="J77">
        <v>11</v>
      </c>
      <c r="K77">
        <v>7</v>
      </c>
      <c r="L77">
        <v>0</v>
      </c>
      <c r="M77">
        <v>2</v>
      </c>
      <c r="N77">
        <v>4</v>
      </c>
      <c r="O77">
        <v>3</v>
      </c>
      <c r="P77" t="s">
        <v>68</v>
      </c>
    </row>
    <row r="78" spans="1:16" x14ac:dyDescent="0.3">
      <c r="A78">
        <v>80</v>
      </c>
      <c r="B78">
        <v>2021</v>
      </c>
      <c r="C78">
        <v>440</v>
      </c>
      <c r="D78">
        <v>20</v>
      </c>
      <c r="E78">
        <v>15</v>
      </c>
      <c r="F78">
        <v>1437.25</v>
      </c>
      <c r="G78">
        <v>3.4091000000000003E-2</v>
      </c>
      <c r="H78">
        <v>5</v>
      </c>
      <c r="I78">
        <v>9</v>
      </c>
      <c r="J78">
        <v>4</v>
      </c>
      <c r="K78">
        <v>3</v>
      </c>
      <c r="L78">
        <v>0</v>
      </c>
      <c r="M78">
        <v>1</v>
      </c>
      <c r="N78">
        <v>2</v>
      </c>
      <c r="O78">
        <v>0</v>
      </c>
      <c r="P78" t="s">
        <v>175</v>
      </c>
    </row>
    <row r="79" spans="1:16" x14ac:dyDescent="0.3">
      <c r="A79">
        <v>81</v>
      </c>
      <c r="B79">
        <v>2021</v>
      </c>
      <c r="C79">
        <v>222</v>
      </c>
      <c r="D79">
        <v>19</v>
      </c>
      <c r="E79">
        <v>17</v>
      </c>
      <c r="F79">
        <v>1839.25</v>
      </c>
      <c r="G79">
        <v>7.6577000000000006E-2</v>
      </c>
      <c r="H79">
        <v>12</v>
      </c>
      <c r="I79">
        <v>12</v>
      </c>
      <c r="J79">
        <v>4</v>
      </c>
      <c r="K79">
        <v>5</v>
      </c>
      <c r="L79">
        <v>1</v>
      </c>
      <c r="M79">
        <v>5</v>
      </c>
      <c r="N79">
        <v>4</v>
      </c>
      <c r="O79">
        <v>3</v>
      </c>
      <c r="P79" t="s">
        <v>85</v>
      </c>
    </row>
    <row r="80" spans="1:16" x14ac:dyDescent="0.3">
      <c r="A80">
        <v>82</v>
      </c>
      <c r="B80">
        <v>2021</v>
      </c>
      <c r="C80">
        <v>1079</v>
      </c>
      <c r="D80">
        <v>60</v>
      </c>
      <c r="E80">
        <v>50</v>
      </c>
      <c r="F80">
        <v>2082.5300000000002</v>
      </c>
      <c r="G80">
        <v>4.6338999999999998E-2</v>
      </c>
      <c r="H80">
        <v>9</v>
      </c>
      <c r="I80">
        <v>29</v>
      </c>
      <c r="J80">
        <v>7</v>
      </c>
      <c r="K80">
        <v>5</v>
      </c>
      <c r="L80">
        <v>1</v>
      </c>
      <c r="M80">
        <v>1</v>
      </c>
      <c r="N80">
        <v>2</v>
      </c>
      <c r="O80">
        <v>2</v>
      </c>
      <c r="P80" t="s">
        <v>85</v>
      </c>
    </row>
    <row r="81" spans="1:16" x14ac:dyDescent="0.3">
      <c r="A81">
        <v>83</v>
      </c>
      <c r="B81">
        <v>2021</v>
      </c>
      <c r="C81">
        <v>492</v>
      </c>
      <c r="D81">
        <v>41</v>
      </c>
      <c r="E81">
        <v>37</v>
      </c>
      <c r="F81">
        <v>3815.66</v>
      </c>
      <c r="G81">
        <v>7.5203000000000006E-2</v>
      </c>
      <c r="H81">
        <v>9</v>
      </c>
      <c r="I81">
        <v>13</v>
      </c>
      <c r="J81">
        <v>6</v>
      </c>
      <c r="K81">
        <v>6</v>
      </c>
      <c r="L81">
        <v>1</v>
      </c>
      <c r="M81">
        <v>5</v>
      </c>
      <c r="N81">
        <v>4</v>
      </c>
      <c r="O81">
        <v>3</v>
      </c>
      <c r="P81" t="s">
        <v>85</v>
      </c>
    </row>
    <row r="82" spans="1:16" x14ac:dyDescent="0.3">
      <c r="A82">
        <v>84</v>
      </c>
      <c r="B82">
        <v>2021</v>
      </c>
      <c r="C82">
        <v>579</v>
      </c>
      <c r="D82">
        <v>29</v>
      </c>
      <c r="E82">
        <v>28</v>
      </c>
      <c r="F82">
        <v>2580.8200000000002</v>
      </c>
      <c r="G82">
        <v>4.8358999999999999E-2</v>
      </c>
      <c r="H82">
        <v>12</v>
      </c>
      <c r="I82">
        <v>20</v>
      </c>
      <c r="J82">
        <v>6</v>
      </c>
      <c r="K82">
        <v>11</v>
      </c>
      <c r="L82">
        <v>0</v>
      </c>
      <c r="M82">
        <v>3</v>
      </c>
      <c r="N82">
        <v>4</v>
      </c>
      <c r="O82">
        <v>2</v>
      </c>
      <c r="P82" t="s">
        <v>175</v>
      </c>
    </row>
    <row r="83" spans="1:16" x14ac:dyDescent="0.3">
      <c r="A83">
        <v>85</v>
      </c>
      <c r="B83">
        <v>2021</v>
      </c>
      <c r="C83">
        <v>379</v>
      </c>
      <c r="D83">
        <v>17</v>
      </c>
      <c r="E83">
        <v>13</v>
      </c>
      <c r="F83">
        <v>1100.29</v>
      </c>
      <c r="G83">
        <v>3.4300999999999998E-2</v>
      </c>
      <c r="H83">
        <v>6</v>
      </c>
      <c r="I83">
        <v>16</v>
      </c>
      <c r="J83">
        <v>3</v>
      </c>
      <c r="K83">
        <v>3</v>
      </c>
      <c r="L83">
        <v>0</v>
      </c>
      <c r="M83">
        <v>1</v>
      </c>
      <c r="N83">
        <v>2</v>
      </c>
      <c r="O83">
        <v>0</v>
      </c>
      <c r="P83" t="s">
        <v>175</v>
      </c>
    </row>
    <row r="84" spans="1:16" x14ac:dyDescent="0.3">
      <c r="A84">
        <v>86</v>
      </c>
      <c r="B84">
        <v>2021</v>
      </c>
      <c r="C84">
        <v>707</v>
      </c>
      <c r="D84">
        <v>62</v>
      </c>
      <c r="E84">
        <v>59</v>
      </c>
      <c r="F84">
        <v>5279.71</v>
      </c>
      <c r="G84">
        <v>8.3450999999999997E-2</v>
      </c>
      <c r="H84">
        <v>16</v>
      </c>
      <c r="I84">
        <v>23</v>
      </c>
      <c r="J84">
        <v>10</v>
      </c>
      <c r="K84">
        <v>9</v>
      </c>
      <c r="L84">
        <v>0</v>
      </c>
      <c r="M84">
        <v>1</v>
      </c>
      <c r="N84">
        <v>4</v>
      </c>
      <c r="O84">
        <v>4</v>
      </c>
      <c r="P84" t="s">
        <v>85</v>
      </c>
    </row>
    <row r="85" spans="1:16" x14ac:dyDescent="0.3">
      <c r="A85">
        <v>87</v>
      </c>
      <c r="B85">
        <v>2021</v>
      </c>
      <c r="C85">
        <v>1478</v>
      </c>
      <c r="D85">
        <v>123</v>
      </c>
      <c r="E85">
        <v>109</v>
      </c>
      <c r="F85">
        <v>10962.52</v>
      </c>
      <c r="G85">
        <v>7.3747999999999994E-2</v>
      </c>
      <c r="H85">
        <v>22</v>
      </c>
      <c r="I85">
        <v>46</v>
      </c>
      <c r="J85">
        <v>21</v>
      </c>
      <c r="K85">
        <v>11</v>
      </c>
      <c r="L85">
        <v>1</v>
      </c>
      <c r="M85">
        <v>5</v>
      </c>
      <c r="N85">
        <v>8</v>
      </c>
      <c r="O85">
        <v>5</v>
      </c>
      <c r="P85" t="s">
        <v>85</v>
      </c>
    </row>
    <row r="86" spans="1:16" x14ac:dyDescent="0.3">
      <c r="A86">
        <v>88</v>
      </c>
      <c r="B86">
        <v>2021</v>
      </c>
      <c r="C86">
        <v>842</v>
      </c>
      <c r="D86">
        <v>56</v>
      </c>
      <c r="E86">
        <v>50</v>
      </c>
      <c r="F86">
        <v>1892.58</v>
      </c>
      <c r="G86">
        <v>5.9381999999999997E-2</v>
      </c>
      <c r="H86">
        <v>12</v>
      </c>
      <c r="I86">
        <v>25</v>
      </c>
      <c r="J86">
        <v>12</v>
      </c>
      <c r="K86">
        <v>7</v>
      </c>
      <c r="L86">
        <v>1</v>
      </c>
      <c r="M86">
        <v>3</v>
      </c>
      <c r="N86">
        <v>6</v>
      </c>
      <c r="O86">
        <v>3</v>
      </c>
      <c r="P86" t="s">
        <v>85</v>
      </c>
    </row>
    <row r="87" spans="1:16" x14ac:dyDescent="0.3">
      <c r="A87">
        <v>89</v>
      </c>
      <c r="B87">
        <v>2021</v>
      </c>
      <c r="C87">
        <v>844</v>
      </c>
      <c r="D87">
        <v>69</v>
      </c>
      <c r="E87">
        <v>50</v>
      </c>
      <c r="F87">
        <v>4526.75</v>
      </c>
      <c r="G87">
        <v>5.9242000000000003E-2</v>
      </c>
      <c r="H87">
        <v>15</v>
      </c>
      <c r="I87">
        <v>27</v>
      </c>
      <c r="J87">
        <v>13</v>
      </c>
      <c r="K87">
        <v>6</v>
      </c>
      <c r="L87">
        <v>1</v>
      </c>
      <c r="M87">
        <v>4</v>
      </c>
      <c r="N87">
        <v>3</v>
      </c>
      <c r="O87">
        <v>2</v>
      </c>
      <c r="P87" t="s">
        <v>85</v>
      </c>
    </row>
    <row r="88" spans="1:16" x14ac:dyDescent="0.3">
      <c r="A88">
        <v>90</v>
      </c>
      <c r="B88">
        <v>2021</v>
      </c>
      <c r="C88">
        <v>978</v>
      </c>
      <c r="D88">
        <v>84</v>
      </c>
      <c r="E88">
        <v>68</v>
      </c>
      <c r="F88">
        <v>5380.26</v>
      </c>
      <c r="G88">
        <v>6.9529999999999995E-2</v>
      </c>
      <c r="H88">
        <v>25</v>
      </c>
      <c r="I88">
        <v>35</v>
      </c>
      <c r="J88">
        <v>8</v>
      </c>
      <c r="K88">
        <v>10</v>
      </c>
      <c r="L88">
        <v>0</v>
      </c>
      <c r="M88">
        <v>3</v>
      </c>
      <c r="N88">
        <v>5</v>
      </c>
      <c r="O88">
        <v>4</v>
      </c>
      <c r="P88" t="s">
        <v>68</v>
      </c>
    </row>
    <row r="89" spans="1:16" x14ac:dyDescent="0.3">
      <c r="A89">
        <v>91</v>
      </c>
      <c r="B89">
        <v>2021</v>
      </c>
      <c r="C89">
        <v>234</v>
      </c>
      <c r="D89">
        <v>20</v>
      </c>
      <c r="E89">
        <v>16</v>
      </c>
      <c r="F89">
        <v>970.13</v>
      </c>
      <c r="G89">
        <v>6.8376000000000006E-2</v>
      </c>
      <c r="H89">
        <v>9</v>
      </c>
      <c r="I89">
        <v>15</v>
      </c>
      <c r="J89">
        <v>4</v>
      </c>
      <c r="K89">
        <v>4</v>
      </c>
      <c r="L89">
        <v>0</v>
      </c>
      <c r="M89">
        <v>1</v>
      </c>
      <c r="N89">
        <v>3</v>
      </c>
      <c r="O89">
        <v>0</v>
      </c>
      <c r="P89" t="s">
        <v>68</v>
      </c>
    </row>
    <row r="90" spans="1:16" x14ac:dyDescent="0.3">
      <c r="A90">
        <v>92</v>
      </c>
      <c r="B90">
        <v>2021</v>
      </c>
      <c r="C90">
        <v>1822</v>
      </c>
      <c r="D90">
        <v>153</v>
      </c>
      <c r="E90">
        <v>130</v>
      </c>
      <c r="F90">
        <v>12625.26</v>
      </c>
      <c r="G90">
        <v>7.1349999999999997E-2</v>
      </c>
      <c r="H90">
        <v>15</v>
      </c>
      <c r="I90">
        <v>53</v>
      </c>
      <c r="J90">
        <v>18</v>
      </c>
      <c r="K90">
        <v>7</v>
      </c>
      <c r="L90">
        <v>0</v>
      </c>
      <c r="M90">
        <v>2</v>
      </c>
      <c r="N90">
        <v>4</v>
      </c>
      <c r="O90">
        <v>9</v>
      </c>
      <c r="P90" t="s">
        <v>68</v>
      </c>
    </row>
    <row r="91" spans="1:16" x14ac:dyDescent="0.3">
      <c r="A91">
        <v>93</v>
      </c>
      <c r="B91">
        <v>2021</v>
      </c>
      <c r="C91">
        <v>935</v>
      </c>
      <c r="D91">
        <v>95</v>
      </c>
      <c r="E91">
        <v>74</v>
      </c>
      <c r="F91">
        <v>3842.36</v>
      </c>
      <c r="G91">
        <v>7.9144000000000006E-2</v>
      </c>
      <c r="H91">
        <v>19</v>
      </c>
      <c r="I91">
        <v>30</v>
      </c>
      <c r="J91">
        <v>16</v>
      </c>
      <c r="K91">
        <v>10</v>
      </c>
      <c r="L91">
        <v>1</v>
      </c>
      <c r="M91">
        <v>6</v>
      </c>
      <c r="N91">
        <v>5</v>
      </c>
      <c r="O91">
        <v>5</v>
      </c>
      <c r="P91" t="s">
        <v>85</v>
      </c>
    </row>
    <row r="92" spans="1:16" x14ac:dyDescent="0.3">
      <c r="A92">
        <v>94</v>
      </c>
      <c r="B92">
        <v>2021</v>
      </c>
      <c r="C92">
        <v>369</v>
      </c>
      <c r="D92">
        <v>32</v>
      </c>
      <c r="E92">
        <v>27</v>
      </c>
      <c r="F92">
        <v>1591.93</v>
      </c>
      <c r="G92">
        <v>7.3171E-2</v>
      </c>
      <c r="H92">
        <v>23</v>
      </c>
      <c r="I92">
        <v>23</v>
      </c>
      <c r="J92">
        <v>8</v>
      </c>
      <c r="K92">
        <v>11</v>
      </c>
      <c r="L92">
        <v>0</v>
      </c>
      <c r="M92">
        <v>3</v>
      </c>
      <c r="N92">
        <v>4</v>
      </c>
      <c r="O92">
        <v>2</v>
      </c>
      <c r="P92" t="s">
        <v>68</v>
      </c>
    </row>
    <row r="93" spans="1:16" x14ac:dyDescent="0.3">
      <c r="A93">
        <v>95</v>
      </c>
      <c r="B93">
        <v>2021</v>
      </c>
      <c r="C93">
        <v>710</v>
      </c>
      <c r="D93">
        <v>67</v>
      </c>
      <c r="E93">
        <v>62</v>
      </c>
      <c r="F93">
        <v>5433.42</v>
      </c>
      <c r="G93">
        <v>8.7323999999999999E-2</v>
      </c>
      <c r="H93">
        <v>25</v>
      </c>
      <c r="I93">
        <v>28</v>
      </c>
      <c r="J93">
        <v>9</v>
      </c>
      <c r="K93">
        <v>9</v>
      </c>
      <c r="L93">
        <v>1</v>
      </c>
      <c r="M93">
        <v>6</v>
      </c>
      <c r="N93">
        <v>5</v>
      </c>
      <c r="O93">
        <v>4</v>
      </c>
      <c r="P93" t="s">
        <v>85</v>
      </c>
    </row>
    <row r="94" spans="1:16" x14ac:dyDescent="0.3">
      <c r="A94">
        <v>96</v>
      </c>
      <c r="B94">
        <v>2021</v>
      </c>
      <c r="C94">
        <v>588</v>
      </c>
      <c r="D94">
        <v>21</v>
      </c>
      <c r="E94">
        <v>20</v>
      </c>
      <c r="F94">
        <v>1045.73</v>
      </c>
      <c r="G94">
        <v>3.4014000000000003E-2</v>
      </c>
      <c r="H94">
        <v>12</v>
      </c>
      <c r="I94">
        <v>12</v>
      </c>
      <c r="J94">
        <v>5</v>
      </c>
      <c r="K94">
        <v>7</v>
      </c>
      <c r="L94">
        <v>1</v>
      </c>
      <c r="M94">
        <v>2</v>
      </c>
      <c r="N94">
        <v>3</v>
      </c>
      <c r="O94">
        <v>1</v>
      </c>
      <c r="P94" t="s">
        <v>85</v>
      </c>
    </row>
    <row r="95" spans="1:16" x14ac:dyDescent="0.3">
      <c r="A95">
        <v>97</v>
      </c>
      <c r="B95">
        <v>2021</v>
      </c>
      <c r="C95">
        <v>1188</v>
      </c>
      <c r="D95">
        <v>115</v>
      </c>
      <c r="E95">
        <v>93</v>
      </c>
      <c r="F95">
        <v>3844.36</v>
      </c>
      <c r="G95">
        <v>7.8283000000000005E-2</v>
      </c>
      <c r="H95">
        <v>35</v>
      </c>
      <c r="I95">
        <v>37</v>
      </c>
      <c r="J95">
        <v>19</v>
      </c>
      <c r="K95">
        <v>14</v>
      </c>
      <c r="L95">
        <v>1</v>
      </c>
      <c r="M95">
        <v>8</v>
      </c>
      <c r="N95">
        <v>6</v>
      </c>
      <c r="O95">
        <v>3</v>
      </c>
      <c r="P95" t="s">
        <v>85</v>
      </c>
    </row>
    <row r="96" spans="1:16" x14ac:dyDescent="0.3">
      <c r="A96">
        <v>98</v>
      </c>
      <c r="B96">
        <v>2021</v>
      </c>
      <c r="C96">
        <v>1355</v>
      </c>
      <c r="D96">
        <v>53</v>
      </c>
      <c r="E96">
        <v>43</v>
      </c>
      <c r="F96">
        <v>2073.5500000000002</v>
      </c>
      <c r="G96">
        <v>3.1733999999999998E-2</v>
      </c>
      <c r="H96">
        <v>14</v>
      </c>
      <c r="I96">
        <v>25</v>
      </c>
      <c r="J96">
        <v>9</v>
      </c>
      <c r="K96">
        <v>9</v>
      </c>
      <c r="L96">
        <v>0</v>
      </c>
      <c r="M96">
        <v>3</v>
      </c>
      <c r="N96">
        <v>4</v>
      </c>
      <c r="O96">
        <v>3</v>
      </c>
      <c r="P96" t="s">
        <v>175</v>
      </c>
    </row>
    <row r="97" spans="1:16" x14ac:dyDescent="0.3">
      <c r="A97">
        <v>99</v>
      </c>
      <c r="B97">
        <v>2021</v>
      </c>
      <c r="C97">
        <v>426</v>
      </c>
      <c r="D97">
        <v>20</v>
      </c>
      <c r="E97">
        <v>16</v>
      </c>
      <c r="F97">
        <v>1488.41</v>
      </c>
      <c r="G97">
        <v>3.7559000000000002E-2</v>
      </c>
      <c r="H97">
        <v>6</v>
      </c>
      <c r="I97">
        <v>13</v>
      </c>
      <c r="J97">
        <v>4</v>
      </c>
      <c r="K97">
        <v>3</v>
      </c>
      <c r="L97">
        <v>0</v>
      </c>
      <c r="M97">
        <v>1</v>
      </c>
      <c r="N97">
        <v>1</v>
      </c>
      <c r="O97">
        <v>1</v>
      </c>
      <c r="P97" t="s">
        <v>175</v>
      </c>
    </row>
    <row r="98" spans="1:16" x14ac:dyDescent="0.3">
      <c r="A98">
        <v>100</v>
      </c>
      <c r="B98">
        <v>2021</v>
      </c>
      <c r="C98">
        <v>209</v>
      </c>
      <c r="D98">
        <v>10</v>
      </c>
      <c r="E98">
        <v>9</v>
      </c>
      <c r="F98">
        <v>726.14</v>
      </c>
      <c r="G98">
        <v>4.3062000000000003E-2</v>
      </c>
      <c r="H98">
        <v>6</v>
      </c>
      <c r="I98">
        <v>6</v>
      </c>
      <c r="J98">
        <v>2</v>
      </c>
      <c r="K98">
        <v>3</v>
      </c>
      <c r="L98">
        <v>0</v>
      </c>
      <c r="M98">
        <v>0</v>
      </c>
      <c r="N98">
        <v>1</v>
      </c>
      <c r="O98">
        <v>0</v>
      </c>
      <c r="P98" t="s">
        <v>175</v>
      </c>
    </row>
    <row r="99" spans="1:16" x14ac:dyDescent="0.3">
      <c r="A99">
        <v>1</v>
      </c>
      <c r="B99">
        <v>2022</v>
      </c>
      <c r="C99">
        <v>806</v>
      </c>
      <c r="D99">
        <v>70</v>
      </c>
      <c r="E99">
        <v>64</v>
      </c>
      <c r="F99">
        <v>5048.0200000000004</v>
      </c>
      <c r="G99">
        <v>7.9404000000000002E-2</v>
      </c>
      <c r="H99">
        <v>18</v>
      </c>
      <c r="I99">
        <v>26</v>
      </c>
      <c r="J99">
        <v>10</v>
      </c>
      <c r="K99">
        <v>6</v>
      </c>
      <c r="L99">
        <v>1</v>
      </c>
      <c r="M99">
        <v>6</v>
      </c>
      <c r="N99">
        <v>6</v>
      </c>
      <c r="O99">
        <v>4</v>
      </c>
      <c r="P99" t="s">
        <v>85</v>
      </c>
    </row>
    <row r="100" spans="1:16" x14ac:dyDescent="0.3">
      <c r="A100">
        <v>2</v>
      </c>
      <c r="B100">
        <v>2022</v>
      </c>
      <c r="C100">
        <v>1666</v>
      </c>
      <c r="D100">
        <v>160</v>
      </c>
      <c r="E100">
        <v>146</v>
      </c>
      <c r="F100">
        <v>6387.33</v>
      </c>
      <c r="G100">
        <v>8.7635000000000005E-2</v>
      </c>
      <c r="H100">
        <v>30</v>
      </c>
      <c r="I100">
        <v>46</v>
      </c>
      <c r="J100">
        <v>14</v>
      </c>
      <c r="K100">
        <v>15</v>
      </c>
      <c r="L100">
        <v>0</v>
      </c>
      <c r="M100">
        <v>4</v>
      </c>
      <c r="N100">
        <v>7</v>
      </c>
      <c r="O100">
        <v>3</v>
      </c>
      <c r="P100" t="s">
        <v>68</v>
      </c>
    </row>
    <row r="101" spans="1:16" x14ac:dyDescent="0.3">
      <c r="A101">
        <v>3</v>
      </c>
      <c r="B101">
        <v>2022</v>
      </c>
      <c r="C101">
        <v>1199</v>
      </c>
      <c r="D101">
        <v>121</v>
      </c>
      <c r="E101">
        <v>102</v>
      </c>
      <c r="F101">
        <v>5475.16</v>
      </c>
      <c r="G101">
        <v>8.5070999999999994E-2</v>
      </c>
      <c r="H101">
        <v>29</v>
      </c>
      <c r="I101">
        <v>39</v>
      </c>
      <c r="J101">
        <v>17</v>
      </c>
      <c r="K101">
        <v>16</v>
      </c>
      <c r="L101">
        <v>1</v>
      </c>
      <c r="M101">
        <v>5</v>
      </c>
      <c r="N101">
        <v>8</v>
      </c>
      <c r="O101">
        <v>8</v>
      </c>
      <c r="P101" t="s">
        <v>85</v>
      </c>
    </row>
    <row r="102" spans="1:16" x14ac:dyDescent="0.3">
      <c r="A102">
        <v>4</v>
      </c>
      <c r="B102">
        <v>2022</v>
      </c>
      <c r="C102">
        <v>923</v>
      </c>
      <c r="D102">
        <v>74</v>
      </c>
      <c r="E102">
        <v>63</v>
      </c>
      <c r="F102">
        <v>6976.75</v>
      </c>
      <c r="G102">
        <v>6.8255999999999997E-2</v>
      </c>
      <c r="H102">
        <v>22</v>
      </c>
      <c r="I102">
        <v>32</v>
      </c>
      <c r="J102">
        <v>8</v>
      </c>
      <c r="K102">
        <v>7</v>
      </c>
      <c r="L102">
        <v>1</v>
      </c>
      <c r="M102">
        <v>5</v>
      </c>
      <c r="N102">
        <v>6</v>
      </c>
      <c r="O102">
        <v>4</v>
      </c>
      <c r="P102" t="s">
        <v>85</v>
      </c>
    </row>
    <row r="103" spans="1:16" x14ac:dyDescent="0.3">
      <c r="A103">
        <v>5</v>
      </c>
      <c r="B103">
        <v>2022</v>
      </c>
      <c r="C103">
        <v>2081</v>
      </c>
      <c r="D103">
        <v>146</v>
      </c>
      <c r="E103">
        <v>117</v>
      </c>
      <c r="F103">
        <v>4049.36</v>
      </c>
      <c r="G103">
        <v>5.6223000000000002E-2</v>
      </c>
      <c r="H103">
        <v>25</v>
      </c>
      <c r="I103">
        <v>52</v>
      </c>
      <c r="J103">
        <v>14</v>
      </c>
      <c r="K103">
        <v>14</v>
      </c>
      <c r="L103">
        <v>0</v>
      </c>
      <c r="M103">
        <v>4</v>
      </c>
      <c r="N103">
        <v>5</v>
      </c>
      <c r="O103">
        <v>6</v>
      </c>
      <c r="P103" t="s">
        <v>68</v>
      </c>
    </row>
    <row r="104" spans="1:16" x14ac:dyDescent="0.3">
      <c r="A104">
        <v>6</v>
      </c>
      <c r="B104">
        <v>2022</v>
      </c>
      <c r="C104">
        <v>1425</v>
      </c>
      <c r="D104">
        <v>115</v>
      </c>
      <c r="E104">
        <v>86</v>
      </c>
      <c r="F104">
        <v>8076.26</v>
      </c>
      <c r="G104">
        <v>6.0351000000000002E-2</v>
      </c>
      <c r="H104">
        <v>24</v>
      </c>
      <c r="I104">
        <v>42</v>
      </c>
      <c r="J104">
        <v>16</v>
      </c>
      <c r="K104">
        <v>9</v>
      </c>
      <c r="L104">
        <v>1</v>
      </c>
      <c r="M104">
        <v>5</v>
      </c>
      <c r="N104">
        <v>7</v>
      </c>
      <c r="O104">
        <v>4</v>
      </c>
      <c r="P104" t="s">
        <v>85</v>
      </c>
    </row>
    <row r="105" spans="1:16" x14ac:dyDescent="0.3">
      <c r="A105">
        <v>7</v>
      </c>
      <c r="B105">
        <v>2022</v>
      </c>
      <c r="C105">
        <v>307</v>
      </c>
      <c r="D105">
        <v>25</v>
      </c>
      <c r="E105">
        <v>21</v>
      </c>
      <c r="F105">
        <v>2048.9699999999998</v>
      </c>
      <c r="G105">
        <v>6.8404000000000006E-2</v>
      </c>
      <c r="H105">
        <v>9</v>
      </c>
      <c r="I105">
        <v>9</v>
      </c>
      <c r="J105">
        <v>5</v>
      </c>
      <c r="K105">
        <v>5</v>
      </c>
      <c r="L105">
        <v>1</v>
      </c>
      <c r="M105">
        <v>5</v>
      </c>
      <c r="N105">
        <v>4</v>
      </c>
      <c r="O105">
        <v>3</v>
      </c>
      <c r="P105" t="s">
        <v>85</v>
      </c>
    </row>
    <row r="106" spans="1:16" x14ac:dyDescent="0.3">
      <c r="A106">
        <v>8</v>
      </c>
      <c r="B106">
        <v>2022</v>
      </c>
      <c r="C106">
        <v>346</v>
      </c>
      <c r="D106">
        <v>17</v>
      </c>
      <c r="E106">
        <v>15</v>
      </c>
      <c r="F106">
        <v>586.4</v>
      </c>
      <c r="G106">
        <v>4.3353000000000003E-2</v>
      </c>
      <c r="H106">
        <v>13</v>
      </c>
      <c r="I106">
        <v>13</v>
      </c>
      <c r="J106">
        <v>2</v>
      </c>
      <c r="K106">
        <v>4</v>
      </c>
      <c r="L106">
        <v>0</v>
      </c>
      <c r="M106">
        <v>1</v>
      </c>
      <c r="N106">
        <v>2</v>
      </c>
      <c r="O106">
        <v>1</v>
      </c>
      <c r="P106" t="s">
        <v>68</v>
      </c>
    </row>
    <row r="107" spans="1:16" x14ac:dyDescent="0.3">
      <c r="A107">
        <v>9</v>
      </c>
      <c r="B107">
        <v>2022</v>
      </c>
      <c r="C107">
        <v>1418</v>
      </c>
      <c r="D107">
        <v>134</v>
      </c>
      <c r="E107">
        <v>120</v>
      </c>
      <c r="F107">
        <v>10515.14</v>
      </c>
      <c r="G107">
        <v>8.4626000000000007E-2</v>
      </c>
      <c r="H107">
        <v>32</v>
      </c>
      <c r="I107">
        <v>45</v>
      </c>
      <c r="J107">
        <v>15</v>
      </c>
      <c r="K107">
        <v>11</v>
      </c>
      <c r="L107">
        <v>1</v>
      </c>
      <c r="M107">
        <v>5</v>
      </c>
      <c r="N107">
        <v>6</v>
      </c>
      <c r="O107">
        <v>8</v>
      </c>
      <c r="P107" t="s">
        <v>85</v>
      </c>
    </row>
    <row r="108" spans="1:16" x14ac:dyDescent="0.3">
      <c r="A108">
        <v>10</v>
      </c>
      <c r="B108">
        <v>2022</v>
      </c>
      <c r="C108">
        <v>1476</v>
      </c>
      <c r="D108">
        <v>149</v>
      </c>
      <c r="E108">
        <v>141</v>
      </c>
      <c r="F108">
        <v>15099.72</v>
      </c>
      <c r="G108">
        <v>9.5528000000000002E-2</v>
      </c>
      <c r="H108">
        <v>31</v>
      </c>
      <c r="I108">
        <v>46</v>
      </c>
      <c r="J108">
        <v>16</v>
      </c>
      <c r="K108">
        <v>11</v>
      </c>
      <c r="L108">
        <v>1</v>
      </c>
      <c r="M108">
        <v>6</v>
      </c>
      <c r="N108">
        <v>9</v>
      </c>
      <c r="O108">
        <v>10</v>
      </c>
      <c r="P108" t="s">
        <v>85</v>
      </c>
    </row>
    <row r="109" spans="1:16" x14ac:dyDescent="0.3">
      <c r="A109">
        <v>11</v>
      </c>
      <c r="B109">
        <v>2022</v>
      </c>
      <c r="C109">
        <v>965</v>
      </c>
      <c r="D109">
        <v>55</v>
      </c>
      <c r="E109">
        <v>42</v>
      </c>
      <c r="F109">
        <v>2247.85</v>
      </c>
      <c r="G109">
        <v>4.3522999999999999E-2</v>
      </c>
      <c r="H109">
        <v>14</v>
      </c>
      <c r="I109">
        <v>19</v>
      </c>
      <c r="J109">
        <v>6</v>
      </c>
      <c r="K109">
        <v>7</v>
      </c>
      <c r="L109">
        <v>1</v>
      </c>
      <c r="M109">
        <v>4</v>
      </c>
      <c r="N109">
        <v>5</v>
      </c>
      <c r="O109">
        <v>2</v>
      </c>
      <c r="P109" t="s">
        <v>85</v>
      </c>
    </row>
    <row r="110" spans="1:16" x14ac:dyDescent="0.3">
      <c r="A110">
        <v>12</v>
      </c>
      <c r="B110">
        <v>2022</v>
      </c>
      <c r="C110">
        <v>1012</v>
      </c>
      <c r="D110">
        <v>48</v>
      </c>
      <c r="E110">
        <v>42</v>
      </c>
      <c r="F110">
        <v>2101.9499999999998</v>
      </c>
      <c r="G110">
        <v>4.1501999999999997E-2</v>
      </c>
      <c r="H110">
        <v>15</v>
      </c>
      <c r="I110">
        <v>18</v>
      </c>
      <c r="J110">
        <v>8</v>
      </c>
      <c r="K110">
        <v>6</v>
      </c>
      <c r="L110">
        <v>0</v>
      </c>
      <c r="M110">
        <v>1</v>
      </c>
      <c r="N110">
        <v>4</v>
      </c>
      <c r="O110">
        <v>2</v>
      </c>
      <c r="P110" t="s">
        <v>175</v>
      </c>
    </row>
    <row r="111" spans="1:16" x14ac:dyDescent="0.3">
      <c r="A111">
        <v>13</v>
      </c>
      <c r="B111">
        <v>2022</v>
      </c>
      <c r="C111">
        <v>333</v>
      </c>
      <c r="D111">
        <v>24</v>
      </c>
      <c r="E111">
        <v>19</v>
      </c>
      <c r="F111">
        <v>1393.13</v>
      </c>
      <c r="G111">
        <v>5.7056999999999997E-2</v>
      </c>
      <c r="H111">
        <v>9</v>
      </c>
      <c r="I111">
        <v>9</v>
      </c>
      <c r="J111">
        <v>6</v>
      </c>
      <c r="K111">
        <v>5</v>
      </c>
      <c r="L111">
        <v>0</v>
      </c>
      <c r="M111">
        <v>1</v>
      </c>
      <c r="N111">
        <v>3</v>
      </c>
      <c r="O111">
        <v>1</v>
      </c>
      <c r="P111" t="s">
        <v>68</v>
      </c>
    </row>
    <row r="112" spans="1:16" x14ac:dyDescent="0.3">
      <c r="A112">
        <v>14</v>
      </c>
      <c r="B112">
        <v>2022</v>
      </c>
      <c r="C112">
        <v>2394</v>
      </c>
      <c r="D112">
        <v>202</v>
      </c>
      <c r="E112">
        <v>164</v>
      </c>
      <c r="F112">
        <v>13403.72</v>
      </c>
      <c r="G112">
        <v>6.8504999999999996E-2</v>
      </c>
      <c r="H112">
        <v>20</v>
      </c>
      <c r="I112">
        <v>67</v>
      </c>
      <c r="J112">
        <v>19</v>
      </c>
      <c r="K112">
        <v>12</v>
      </c>
      <c r="L112">
        <v>1</v>
      </c>
      <c r="M112">
        <v>6</v>
      </c>
      <c r="N112">
        <v>6</v>
      </c>
      <c r="O112">
        <v>4</v>
      </c>
      <c r="P112" t="s">
        <v>85</v>
      </c>
    </row>
    <row r="113" spans="1:16" x14ac:dyDescent="0.3">
      <c r="A113">
        <v>15</v>
      </c>
      <c r="B113">
        <v>2022</v>
      </c>
      <c r="C113">
        <v>1095</v>
      </c>
      <c r="D113">
        <v>78</v>
      </c>
      <c r="E113">
        <v>63</v>
      </c>
      <c r="F113">
        <v>3552.25</v>
      </c>
      <c r="G113">
        <v>5.7534000000000002E-2</v>
      </c>
      <c r="H113">
        <v>11</v>
      </c>
      <c r="I113">
        <v>27</v>
      </c>
      <c r="J113">
        <v>15</v>
      </c>
      <c r="K113">
        <v>6</v>
      </c>
      <c r="L113">
        <v>1</v>
      </c>
      <c r="M113">
        <v>5</v>
      </c>
      <c r="N113">
        <v>4</v>
      </c>
      <c r="O113">
        <v>3</v>
      </c>
      <c r="P113" t="s">
        <v>85</v>
      </c>
    </row>
    <row r="114" spans="1:16" x14ac:dyDescent="0.3">
      <c r="A114">
        <v>16</v>
      </c>
      <c r="B114">
        <v>2022</v>
      </c>
      <c r="C114">
        <v>896</v>
      </c>
      <c r="D114">
        <v>48</v>
      </c>
      <c r="E114">
        <v>42</v>
      </c>
      <c r="F114">
        <v>2247.92</v>
      </c>
      <c r="G114">
        <v>4.6875E-2</v>
      </c>
      <c r="H114">
        <v>14</v>
      </c>
      <c r="I114">
        <v>16</v>
      </c>
      <c r="J114">
        <v>10</v>
      </c>
      <c r="K114">
        <v>7</v>
      </c>
      <c r="L114">
        <v>0</v>
      </c>
      <c r="M114">
        <v>2</v>
      </c>
      <c r="N114">
        <v>2</v>
      </c>
      <c r="O114">
        <v>2</v>
      </c>
      <c r="P114" t="s">
        <v>68</v>
      </c>
    </row>
    <row r="115" spans="1:16" x14ac:dyDescent="0.3">
      <c r="A115">
        <v>17</v>
      </c>
      <c r="B115">
        <v>2022</v>
      </c>
      <c r="C115">
        <v>521</v>
      </c>
      <c r="D115">
        <v>29</v>
      </c>
      <c r="E115">
        <v>22</v>
      </c>
      <c r="F115">
        <v>875.03</v>
      </c>
      <c r="G115">
        <v>4.2226E-2</v>
      </c>
      <c r="H115">
        <v>13</v>
      </c>
      <c r="I115">
        <v>13</v>
      </c>
      <c r="J115">
        <v>5</v>
      </c>
      <c r="K115">
        <v>6</v>
      </c>
      <c r="L115">
        <v>1</v>
      </c>
      <c r="M115">
        <v>3</v>
      </c>
      <c r="N115">
        <v>4</v>
      </c>
      <c r="O115">
        <v>3</v>
      </c>
      <c r="P115" t="s">
        <v>85</v>
      </c>
    </row>
    <row r="116" spans="1:16" x14ac:dyDescent="0.3">
      <c r="A116">
        <v>18</v>
      </c>
      <c r="B116">
        <v>2022</v>
      </c>
      <c r="C116">
        <v>773</v>
      </c>
      <c r="D116">
        <v>30</v>
      </c>
      <c r="E116">
        <v>29</v>
      </c>
      <c r="F116">
        <v>2508.1799999999998</v>
      </c>
      <c r="G116">
        <v>3.7516000000000001E-2</v>
      </c>
      <c r="H116">
        <v>13</v>
      </c>
      <c r="I116">
        <v>23</v>
      </c>
      <c r="J116">
        <v>7</v>
      </c>
      <c r="K116">
        <v>3</v>
      </c>
      <c r="L116">
        <v>0</v>
      </c>
      <c r="M116">
        <v>1</v>
      </c>
      <c r="N116">
        <v>2</v>
      </c>
      <c r="O116">
        <v>1</v>
      </c>
      <c r="P116" t="s">
        <v>175</v>
      </c>
    </row>
    <row r="117" spans="1:16" x14ac:dyDescent="0.3">
      <c r="A117">
        <v>19</v>
      </c>
      <c r="B117">
        <v>2022</v>
      </c>
      <c r="C117">
        <v>1829</v>
      </c>
      <c r="D117">
        <v>192</v>
      </c>
      <c r="E117">
        <v>152</v>
      </c>
      <c r="F117">
        <v>14783.24</v>
      </c>
      <c r="G117">
        <v>8.3105999999999999E-2</v>
      </c>
      <c r="H117">
        <v>35</v>
      </c>
      <c r="I117">
        <v>65</v>
      </c>
      <c r="J117">
        <v>30</v>
      </c>
      <c r="K117">
        <v>12</v>
      </c>
      <c r="L117">
        <v>1</v>
      </c>
      <c r="M117">
        <v>3</v>
      </c>
      <c r="N117">
        <v>7</v>
      </c>
      <c r="O117">
        <v>12</v>
      </c>
      <c r="P117" t="s">
        <v>85</v>
      </c>
    </row>
    <row r="118" spans="1:16" x14ac:dyDescent="0.3">
      <c r="A118">
        <v>20</v>
      </c>
      <c r="B118">
        <v>2022</v>
      </c>
      <c r="C118">
        <v>1148</v>
      </c>
      <c r="D118">
        <v>63</v>
      </c>
      <c r="E118">
        <v>53</v>
      </c>
      <c r="F118">
        <v>3965.9</v>
      </c>
      <c r="G118">
        <v>4.6167E-2</v>
      </c>
      <c r="H118">
        <v>10</v>
      </c>
      <c r="I118">
        <v>24</v>
      </c>
      <c r="J118">
        <v>10</v>
      </c>
      <c r="K118">
        <v>3</v>
      </c>
      <c r="L118">
        <v>0</v>
      </c>
      <c r="M118">
        <v>1</v>
      </c>
      <c r="N118">
        <v>1</v>
      </c>
      <c r="O118">
        <v>4</v>
      </c>
      <c r="P118" t="s">
        <v>175</v>
      </c>
    </row>
    <row r="119" spans="1:16" x14ac:dyDescent="0.3">
      <c r="A119">
        <v>21</v>
      </c>
      <c r="B119">
        <v>2022</v>
      </c>
      <c r="C119">
        <v>1390</v>
      </c>
      <c r="D119">
        <v>81</v>
      </c>
      <c r="E119">
        <v>76</v>
      </c>
      <c r="F119">
        <v>7396.43</v>
      </c>
      <c r="G119">
        <v>5.4676000000000002E-2</v>
      </c>
      <c r="H119">
        <v>29</v>
      </c>
      <c r="I119">
        <v>39</v>
      </c>
      <c r="J119">
        <v>15</v>
      </c>
      <c r="K119">
        <v>13</v>
      </c>
      <c r="L119">
        <v>0</v>
      </c>
      <c r="M119">
        <v>3</v>
      </c>
      <c r="N119">
        <v>4</v>
      </c>
      <c r="O119">
        <v>4</v>
      </c>
      <c r="P119" t="s">
        <v>175</v>
      </c>
    </row>
    <row r="120" spans="1:16" x14ac:dyDescent="0.3">
      <c r="A120">
        <v>22</v>
      </c>
      <c r="B120">
        <v>2022</v>
      </c>
      <c r="C120">
        <v>1266</v>
      </c>
      <c r="D120">
        <v>120</v>
      </c>
      <c r="E120">
        <v>98</v>
      </c>
      <c r="F120">
        <v>7969.79</v>
      </c>
      <c r="G120">
        <v>7.7409000000000006E-2</v>
      </c>
      <c r="H120">
        <v>46</v>
      </c>
      <c r="I120">
        <v>46</v>
      </c>
      <c r="J120">
        <v>15</v>
      </c>
      <c r="K120">
        <v>13</v>
      </c>
      <c r="L120">
        <v>1</v>
      </c>
      <c r="M120">
        <v>5</v>
      </c>
      <c r="N120">
        <v>11</v>
      </c>
      <c r="O120">
        <v>8</v>
      </c>
      <c r="P120" t="s">
        <v>85</v>
      </c>
    </row>
    <row r="121" spans="1:16" x14ac:dyDescent="0.3">
      <c r="A121">
        <v>23</v>
      </c>
      <c r="B121">
        <v>2022</v>
      </c>
      <c r="C121">
        <v>940</v>
      </c>
      <c r="D121">
        <v>77</v>
      </c>
      <c r="E121">
        <v>61</v>
      </c>
      <c r="F121">
        <v>3350.6</v>
      </c>
      <c r="G121">
        <v>6.4893999999999993E-2</v>
      </c>
      <c r="H121">
        <v>39</v>
      </c>
      <c r="I121">
        <v>39</v>
      </c>
      <c r="J121">
        <v>8</v>
      </c>
      <c r="K121">
        <v>19</v>
      </c>
      <c r="L121">
        <v>1</v>
      </c>
      <c r="M121">
        <v>9</v>
      </c>
      <c r="N121">
        <v>10</v>
      </c>
      <c r="O121">
        <v>4</v>
      </c>
      <c r="P121" t="s">
        <v>85</v>
      </c>
    </row>
    <row r="122" spans="1:16" x14ac:dyDescent="0.3">
      <c r="A122">
        <v>24</v>
      </c>
      <c r="B122">
        <v>2022</v>
      </c>
      <c r="C122">
        <v>812</v>
      </c>
      <c r="D122">
        <v>50</v>
      </c>
      <c r="E122">
        <v>48</v>
      </c>
      <c r="F122">
        <v>1424.19</v>
      </c>
      <c r="G122">
        <v>5.9112999999999999E-2</v>
      </c>
      <c r="H122">
        <v>23</v>
      </c>
      <c r="I122">
        <v>24</v>
      </c>
      <c r="J122">
        <v>11</v>
      </c>
      <c r="K122">
        <v>8</v>
      </c>
      <c r="L122">
        <v>0</v>
      </c>
      <c r="M122">
        <v>3</v>
      </c>
      <c r="N122">
        <v>4</v>
      </c>
      <c r="O122">
        <v>1</v>
      </c>
      <c r="P122" t="s">
        <v>175</v>
      </c>
    </row>
    <row r="123" spans="1:16" x14ac:dyDescent="0.3">
      <c r="A123">
        <v>25</v>
      </c>
      <c r="B123">
        <v>2022</v>
      </c>
      <c r="C123">
        <v>791</v>
      </c>
      <c r="D123">
        <v>49</v>
      </c>
      <c r="E123">
        <v>43</v>
      </c>
      <c r="F123">
        <v>1609.34</v>
      </c>
      <c r="G123">
        <v>5.4362000000000001E-2</v>
      </c>
      <c r="H123">
        <v>20</v>
      </c>
      <c r="I123">
        <v>20</v>
      </c>
      <c r="J123">
        <v>10</v>
      </c>
      <c r="K123">
        <v>8</v>
      </c>
      <c r="L123">
        <v>0</v>
      </c>
      <c r="M123">
        <v>1</v>
      </c>
      <c r="N123">
        <v>3</v>
      </c>
      <c r="O123">
        <v>3</v>
      </c>
      <c r="P123" t="s">
        <v>175</v>
      </c>
    </row>
    <row r="124" spans="1:16" x14ac:dyDescent="0.3">
      <c r="A124">
        <v>26</v>
      </c>
      <c r="B124">
        <v>2022</v>
      </c>
      <c r="C124">
        <v>957</v>
      </c>
      <c r="D124">
        <v>94</v>
      </c>
      <c r="E124">
        <v>75</v>
      </c>
      <c r="F124">
        <v>4268.7</v>
      </c>
      <c r="G124">
        <v>7.8369999999999995E-2</v>
      </c>
      <c r="H124">
        <v>24</v>
      </c>
      <c r="I124">
        <v>36</v>
      </c>
      <c r="J124">
        <v>18</v>
      </c>
      <c r="K124">
        <v>6</v>
      </c>
      <c r="L124">
        <v>0</v>
      </c>
      <c r="M124">
        <v>1</v>
      </c>
      <c r="N124">
        <v>4</v>
      </c>
      <c r="O124">
        <v>5</v>
      </c>
      <c r="P124" t="s">
        <v>68</v>
      </c>
    </row>
    <row r="125" spans="1:16" x14ac:dyDescent="0.3">
      <c r="A125">
        <v>27</v>
      </c>
      <c r="B125">
        <v>2022</v>
      </c>
      <c r="C125">
        <v>940</v>
      </c>
      <c r="D125">
        <v>52</v>
      </c>
      <c r="E125">
        <v>43</v>
      </c>
      <c r="F125">
        <v>3524.78</v>
      </c>
      <c r="G125">
        <v>4.5745000000000001E-2</v>
      </c>
      <c r="H125">
        <v>16</v>
      </c>
      <c r="I125">
        <v>23</v>
      </c>
      <c r="J125">
        <v>5</v>
      </c>
      <c r="K125">
        <v>6</v>
      </c>
      <c r="L125">
        <v>0</v>
      </c>
      <c r="M125">
        <v>2</v>
      </c>
      <c r="N125">
        <v>3</v>
      </c>
      <c r="O125">
        <v>1</v>
      </c>
      <c r="P125" t="s">
        <v>175</v>
      </c>
    </row>
    <row r="126" spans="1:16" x14ac:dyDescent="0.3">
      <c r="A126">
        <v>28</v>
      </c>
      <c r="B126">
        <v>2022</v>
      </c>
      <c r="C126">
        <v>1948</v>
      </c>
      <c r="D126">
        <v>109</v>
      </c>
      <c r="E126">
        <v>87</v>
      </c>
      <c r="F126">
        <v>7299.46</v>
      </c>
      <c r="G126">
        <v>4.4660999999999999E-2</v>
      </c>
      <c r="H126">
        <v>24</v>
      </c>
      <c r="I126">
        <v>42</v>
      </c>
      <c r="J126">
        <v>16</v>
      </c>
      <c r="K126">
        <v>7</v>
      </c>
      <c r="L126">
        <v>0</v>
      </c>
      <c r="M126">
        <v>1</v>
      </c>
      <c r="N126">
        <v>4</v>
      </c>
      <c r="O126">
        <v>4</v>
      </c>
      <c r="P126" t="s">
        <v>175</v>
      </c>
    </row>
    <row r="127" spans="1:16" x14ac:dyDescent="0.3">
      <c r="A127">
        <v>29</v>
      </c>
      <c r="B127">
        <v>2022</v>
      </c>
      <c r="C127">
        <v>1303</v>
      </c>
      <c r="D127">
        <v>103</v>
      </c>
      <c r="E127">
        <v>91</v>
      </c>
      <c r="F127">
        <v>6390.06</v>
      </c>
      <c r="G127">
        <v>6.9838999999999998E-2</v>
      </c>
      <c r="H127">
        <v>23</v>
      </c>
      <c r="I127">
        <v>41</v>
      </c>
      <c r="J127">
        <v>16</v>
      </c>
      <c r="K127">
        <v>9</v>
      </c>
      <c r="L127">
        <v>0</v>
      </c>
      <c r="M127">
        <v>3</v>
      </c>
      <c r="N127">
        <v>5</v>
      </c>
      <c r="O127">
        <v>5</v>
      </c>
      <c r="P127" t="s">
        <v>68</v>
      </c>
    </row>
    <row r="128" spans="1:16" x14ac:dyDescent="0.3">
      <c r="A128">
        <v>30</v>
      </c>
      <c r="B128">
        <v>2022</v>
      </c>
      <c r="C128">
        <v>932</v>
      </c>
      <c r="D128">
        <v>45</v>
      </c>
      <c r="E128">
        <v>37</v>
      </c>
      <c r="F128">
        <v>2056.92</v>
      </c>
      <c r="G128">
        <v>3.9699999999999999E-2</v>
      </c>
      <c r="H128">
        <v>12</v>
      </c>
      <c r="I128">
        <v>24</v>
      </c>
      <c r="J128">
        <v>8</v>
      </c>
      <c r="K128">
        <v>12</v>
      </c>
      <c r="L128">
        <v>1</v>
      </c>
      <c r="M128">
        <v>6</v>
      </c>
      <c r="N128">
        <v>4</v>
      </c>
      <c r="O128">
        <v>3</v>
      </c>
      <c r="P128" t="s">
        <v>85</v>
      </c>
    </row>
    <row r="129" spans="1:16" x14ac:dyDescent="0.3">
      <c r="A129">
        <v>31</v>
      </c>
      <c r="B129">
        <v>2022</v>
      </c>
      <c r="C129">
        <v>801</v>
      </c>
      <c r="D129">
        <v>73</v>
      </c>
      <c r="E129">
        <v>53</v>
      </c>
      <c r="F129">
        <v>2653.88</v>
      </c>
      <c r="G129">
        <v>6.6167000000000004E-2</v>
      </c>
      <c r="H129">
        <v>16</v>
      </c>
      <c r="I129">
        <v>29</v>
      </c>
      <c r="J129">
        <v>12</v>
      </c>
      <c r="K129">
        <v>6</v>
      </c>
      <c r="L129">
        <v>1</v>
      </c>
      <c r="M129">
        <v>6</v>
      </c>
      <c r="N129">
        <v>5</v>
      </c>
      <c r="O129">
        <v>4</v>
      </c>
      <c r="P129" t="s">
        <v>85</v>
      </c>
    </row>
    <row r="130" spans="1:16" x14ac:dyDescent="0.3">
      <c r="A130">
        <v>32</v>
      </c>
      <c r="B130">
        <v>2022</v>
      </c>
      <c r="C130">
        <v>772</v>
      </c>
      <c r="D130">
        <v>70</v>
      </c>
      <c r="E130">
        <v>52</v>
      </c>
      <c r="F130">
        <v>3471.22</v>
      </c>
      <c r="G130">
        <v>6.7358000000000001E-2</v>
      </c>
      <c r="H130">
        <v>28</v>
      </c>
      <c r="I130">
        <v>28</v>
      </c>
      <c r="J130">
        <v>11</v>
      </c>
      <c r="K130">
        <v>12</v>
      </c>
      <c r="L130">
        <v>0</v>
      </c>
      <c r="M130">
        <v>4</v>
      </c>
      <c r="N130">
        <v>8</v>
      </c>
      <c r="O130">
        <v>1</v>
      </c>
      <c r="P130" t="s">
        <v>68</v>
      </c>
    </row>
    <row r="131" spans="1:16" x14ac:dyDescent="0.3">
      <c r="A131">
        <v>33</v>
      </c>
      <c r="B131">
        <v>2022</v>
      </c>
      <c r="C131">
        <v>773</v>
      </c>
      <c r="D131">
        <v>44</v>
      </c>
      <c r="E131">
        <v>32</v>
      </c>
      <c r="F131">
        <v>2226.79</v>
      </c>
      <c r="G131">
        <v>4.1397000000000003E-2</v>
      </c>
      <c r="H131">
        <v>19</v>
      </c>
      <c r="I131">
        <v>22</v>
      </c>
      <c r="J131">
        <v>4</v>
      </c>
      <c r="K131">
        <v>8</v>
      </c>
      <c r="L131">
        <v>0</v>
      </c>
      <c r="M131">
        <v>2</v>
      </c>
      <c r="N131">
        <v>4</v>
      </c>
      <c r="O131">
        <v>3</v>
      </c>
      <c r="P131" t="s">
        <v>175</v>
      </c>
    </row>
    <row r="132" spans="1:16" x14ac:dyDescent="0.3">
      <c r="A132">
        <v>34</v>
      </c>
      <c r="B132">
        <v>2022</v>
      </c>
      <c r="C132">
        <v>1552</v>
      </c>
      <c r="D132">
        <v>141</v>
      </c>
      <c r="E132">
        <v>115</v>
      </c>
      <c r="F132">
        <v>10346.56</v>
      </c>
      <c r="G132">
        <v>7.4097999999999997E-2</v>
      </c>
      <c r="H132">
        <v>27</v>
      </c>
      <c r="I132">
        <v>49</v>
      </c>
      <c r="J132">
        <v>14</v>
      </c>
      <c r="K132">
        <v>11</v>
      </c>
      <c r="L132">
        <v>0</v>
      </c>
      <c r="M132">
        <v>3</v>
      </c>
      <c r="N132">
        <v>5</v>
      </c>
      <c r="O132">
        <v>8</v>
      </c>
      <c r="P132" t="s">
        <v>175</v>
      </c>
    </row>
    <row r="133" spans="1:16" x14ac:dyDescent="0.3">
      <c r="A133">
        <v>36</v>
      </c>
      <c r="B133">
        <v>2022</v>
      </c>
      <c r="C133">
        <v>1855</v>
      </c>
      <c r="D133">
        <v>132</v>
      </c>
      <c r="E133">
        <v>121</v>
      </c>
      <c r="F133">
        <v>6203.15</v>
      </c>
      <c r="G133">
        <v>6.5228999999999995E-2</v>
      </c>
      <c r="H133">
        <v>27</v>
      </c>
      <c r="I133">
        <v>41</v>
      </c>
      <c r="J133">
        <v>22</v>
      </c>
      <c r="K133">
        <v>11</v>
      </c>
      <c r="L133">
        <v>0</v>
      </c>
      <c r="M133">
        <v>4</v>
      </c>
      <c r="N133">
        <v>6</v>
      </c>
      <c r="O133">
        <v>5</v>
      </c>
      <c r="P133" t="s">
        <v>175</v>
      </c>
    </row>
    <row r="134" spans="1:16" x14ac:dyDescent="0.3">
      <c r="A134">
        <v>37</v>
      </c>
      <c r="B134">
        <v>2022</v>
      </c>
      <c r="C134">
        <v>816</v>
      </c>
      <c r="D134">
        <v>37</v>
      </c>
      <c r="E134">
        <v>32</v>
      </c>
      <c r="F134">
        <v>2916.82</v>
      </c>
      <c r="G134">
        <v>3.9216000000000001E-2</v>
      </c>
      <c r="H134">
        <v>11</v>
      </c>
      <c r="I134">
        <v>23</v>
      </c>
      <c r="J134">
        <v>7</v>
      </c>
      <c r="K134">
        <v>4</v>
      </c>
      <c r="L134">
        <v>0</v>
      </c>
      <c r="M134">
        <v>0</v>
      </c>
      <c r="N134">
        <v>2</v>
      </c>
      <c r="O134">
        <v>1</v>
      </c>
      <c r="P134" t="s">
        <v>175</v>
      </c>
    </row>
    <row r="135" spans="1:16" x14ac:dyDescent="0.3">
      <c r="A135">
        <v>38</v>
      </c>
      <c r="B135">
        <v>2022</v>
      </c>
      <c r="C135">
        <v>960</v>
      </c>
      <c r="D135">
        <v>79</v>
      </c>
      <c r="E135">
        <v>69</v>
      </c>
      <c r="F135">
        <v>4705.13</v>
      </c>
      <c r="G135">
        <v>7.1874999999999994E-2</v>
      </c>
      <c r="H135">
        <v>14</v>
      </c>
      <c r="I135">
        <v>30</v>
      </c>
      <c r="J135">
        <v>15</v>
      </c>
      <c r="K135">
        <v>6</v>
      </c>
      <c r="L135">
        <v>1</v>
      </c>
      <c r="M135">
        <v>5</v>
      </c>
      <c r="N135">
        <v>3</v>
      </c>
      <c r="O135">
        <v>2</v>
      </c>
      <c r="P135" t="s">
        <v>85</v>
      </c>
    </row>
    <row r="136" spans="1:16" x14ac:dyDescent="0.3">
      <c r="A136">
        <v>39</v>
      </c>
      <c r="B136">
        <v>2022</v>
      </c>
      <c r="C136">
        <v>402</v>
      </c>
      <c r="D136">
        <v>30</v>
      </c>
      <c r="E136">
        <v>23</v>
      </c>
      <c r="F136">
        <v>1916.21</v>
      </c>
      <c r="G136">
        <v>5.7214000000000001E-2</v>
      </c>
      <c r="H136">
        <v>9</v>
      </c>
      <c r="I136">
        <v>11</v>
      </c>
      <c r="J136">
        <v>7</v>
      </c>
      <c r="K136">
        <v>6</v>
      </c>
      <c r="L136">
        <v>1</v>
      </c>
      <c r="M136">
        <v>6</v>
      </c>
      <c r="N136">
        <v>3</v>
      </c>
      <c r="O136">
        <v>2</v>
      </c>
      <c r="P136" t="s">
        <v>85</v>
      </c>
    </row>
    <row r="137" spans="1:16" x14ac:dyDescent="0.3">
      <c r="A137">
        <v>40</v>
      </c>
      <c r="B137">
        <v>2022</v>
      </c>
      <c r="C137">
        <v>1342</v>
      </c>
      <c r="D137">
        <v>133</v>
      </c>
      <c r="E137">
        <v>123</v>
      </c>
      <c r="F137">
        <v>9593.8799999999992</v>
      </c>
      <c r="G137">
        <v>9.1653999999999999E-2</v>
      </c>
      <c r="H137">
        <v>23</v>
      </c>
      <c r="I137">
        <v>44</v>
      </c>
      <c r="J137">
        <v>17</v>
      </c>
      <c r="K137">
        <v>9</v>
      </c>
      <c r="L137">
        <v>1</v>
      </c>
      <c r="M137">
        <v>4</v>
      </c>
      <c r="N137">
        <v>6</v>
      </c>
      <c r="O137">
        <v>8</v>
      </c>
      <c r="P137" t="s">
        <v>85</v>
      </c>
    </row>
    <row r="138" spans="1:16" x14ac:dyDescent="0.3">
      <c r="A138">
        <v>41</v>
      </c>
      <c r="B138">
        <v>2022</v>
      </c>
      <c r="C138">
        <v>1432</v>
      </c>
      <c r="D138">
        <v>118</v>
      </c>
      <c r="E138">
        <v>109</v>
      </c>
      <c r="F138">
        <v>6570.59</v>
      </c>
      <c r="G138">
        <v>7.6117000000000004E-2</v>
      </c>
      <c r="H138">
        <v>22</v>
      </c>
      <c r="I138">
        <v>45</v>
      </c>
      <c r="J138">
        <v>19</v>
      </c>
      <c r="K138">
        <v>8</v>
      </c>
      <c r="L138">
        <v>1</v>
      </c>
      <c r="M138">
        <v>6</v>
      </c>
      <c r="N138">
        <v>5</v>
      </c>
      <c r="O138">
        <v>7</v>
      </c>
      <c r="P138" t="s">
        <v>85</v>
      </c>
    </row>
    <row r="139" spans="1:16" x14ac:dyDescent="0.3">
      <c r="A139">
        <v>42</v>
      </c>
      <c r="B139">
        <v>2022</v>
      </c>
      <c r="C139">
        <v>1359</v>
      </c>
      <c r="D139">
        <v>81</v>
      </c>
      <c r="E139">
        <v>59</v>
      </c>
      <c r="F139">
        <v>5107.78</v>
      </c>
      <c r="G139">
        <v>4.3414000000000001E-2</v>
      </c>
      <c r="H139">
        <v>8</v>
      </c>
      <c r="I139">
        <v>29</v>
      </c>
      <c r="J139">
        <v>7</v>
      </c>
      <c r="K139">
        <v>7</v>
      </c>
      <c r="L139">
        <v>0</v>
      </c>
      <c r="M139">
        <v>2</v>
      </c>
      <c r="N139">
        <v>2</v>
      </c>
      <c r="O139">
        <v>3</v>
      </c>
      <c r="P139" t="s">
        <v>175</v>
      </c>
    </row>
    <row r="140" spans="1:16" x14ac:dyDescent="0.3">
      <c r="A140">
        <v>43</v>
      </c>
      <c r="B140">
        <v>2022</v>
      </c>
      <c r="C140">
        <v>651</v>
      </c>
      <c r="D140">
        <v>29</v>
      </c>
      <c r="E140">
        <v>23</v>
      </c>
      <c r="F140">
        <v>608.04999999999995</v>
      </c>
      <c r="G140">
        <v>3.533E-2</v>
      </c>
      <c r="H140">
        <v>16</v>
      </c>
      <c r="I140">
        <v>16</v>
      </c>
      <c r="J140">
        <v>3</v>
      </c>
      <c r="K140">
        <v>4</v>
      </c>
      <c r="L140">
        <v>0</v>
      </c>
      <c r="M140">
        <v>1</v>
      </c>
      <c r="N140">
        <v>3</v>
      </c>
      <c r="O140">
        <v>1</v>
      </c>
      <c r="P140" t="s">
        <v>175</v>
      </c>
    </row>
    <row r="141" spans="1:16" x14ac:dyDescent="0.3">
      <c r="A141">
        <v>44</v>
      </c>
      <c r="B141">
        <v>2022</v>
      </c>
      <c r="C141">
        <v>1563</v>
      </c>
      <c r="D141">
        <v>163</v>
      </c>
      <c r="E141">
        <v>134</v>
      </c>
      <c r="F141">
        <v>12990.59</v>
      </c>
      <c r="G141">
        <v>8.5733000000000004E-2</v>
      </c>
      <c r="H141">
        <v>34</v>
      </c>
      <c r="I141">
        <v>52</v>
      </c>
      <c r="J141">
        <v>17</v>
      </c>
      <c r="K141">
        <v>17</v>
      </c>
      <c r="L141">
        <v>0</v>
      </c>
      <c r="M141">
        <v>3</v>
      </c>
      <c r="N141">
        <v>7</v>
      </c>
      <c r="O141">
        <v>11</v>
      </c>
      <c r="P141" t="s">
        <v>68</v>
      </c>
    </row>
    <row r="142" spans="1:16" x14ac:dyDescent="0.3">
      <c r="A142">
        <v>45</v>
      </c>
      <c r="B142">
        <v>2022</v>
      </c>
      <c r="C142">
        <v>1254</v>
      </c>
      <c r="D142">
        <v>76</v>
      </c>
      <c r="E142">
        <v>64</v>
      </c>
      <c r="F142">
        <v>5874.37</v>
      </c>
      <c r="G142">
        <v>5.1036999999999999E-2</v>
      </c>
      <c r="H142">
        <v>21</v>
      </c>
      <c r="I142">
        <v>29</v>
      </c>
      <c r="J142">
        <v>12</v>
      </c>
      <c r="K142">
        <v>14</v>
      </c>
      <c r="L142">
        <v>0</v>
      </c>
      <c r="M142">
        <v>2</v>
      </c>
      <c r="N142">
        <v>5</v>
      </c>
      <c r="O142">
        <v>4</v>
      </c>
      <c r="P142" t="s">
        <v>175</v>
      </c>
    </row>
    <row r="143" spans="1:16" x14ac:dyDescent="0.3">
      <c r="A143">
        <v>46</v>
      </c>
      <c r="B143">
        <v>2022</v>
      </c>
      <c r="C143">
        <v>1091</v>
      </c>
      <c r="D143">
        <v>84</v>
      </c>
      <c r="E143">
        <v>65</v>
      </c>
      <c r="F143">
        <v>5083.1899999999996</v>
      </c>
      <c r="G143">
        <v>5.9577999999999999E-2</v>
      </c>
      <c r="H143">
        <v>17</v>
      </c>
      <c r="I143">
        <v>33</v>
      </c>
      <c r="J143">
        <v>9</v>
      </c>
      <c r="K143">
        <v>8</v>
      </c>
      <c r="L143">
        <v>1</v>
      </c>
      <c r="M143">
        <v>4</v>
      </c>
      <c r="N143">
        <v>6</v>
      </c>
      <c r="O143">
        <v>5</v>
      </c>
      <c r="P143" t="s">
        <v>85</v>
      </c>
    </row>
    <row r="144" spans="1:16" x14ac:dyDescent="0.3">
      <c r="A144">
        <v>47</v>
      </c>
      <c r="B144">
        <v>2022</v>
      </c>
      <c r="C144">
        <v>1088</v>
      </c>
      <c r="D144">
        <v>56</v>
      </c>
      <c r="E144">
        <v>41</v>
      </c>
      <c r="F144">
        <v>3599.93</v>
      </c>
      <c r="G144">
        <v>3.7684000000000002E-2</v>
      </c>
      <c r="H144">
        <v>10</v>
      </c>
      <c r="I144">
        <v>24</v>
      </c>
      <c r="J144">
        <v>7</v>
      </c>
      <c r="K144">
        <v>8</v>
      </c>
      <c r="L144">
        <v>0</v>
      </c>
      <c r="M144">
        <v>3</v>
      </c>
      <c r="N144">
        <v>5</v>
      </c>
      <c r="O144">
        <v>2</v>
      </c>
      <c r="P144" t="s">
        <v>175</v>
      </c>
    </row>
    <row r="145" spans="1:16" x14ac:dyDescent="0.3">
      <c r="A145">
        <v>48</v>
      </c>
      <c r="B145">
        <v>2022</v>
      </c>
      <c r="C145">
        <v>468</v>
      </c>
      <c r="D145">
        <v>30</v>
      </c>
      <c r="E145">
        <v>28</v>
      </c>
      <c r="F145">
        <v>1313.88</v>
      </c>
      <c r="G145">
        <v>5.9829E-2</v>
      </c>
      <c r="H145">
        <v>11</v>
      </c>
      <c r="I145">
        <v>15</v>
      </c>
      <c r="J145">
        <v>5</v>
      </c>
      <c r="K145">
        <v>5</v>
      </c>
      <c r="L145">
        <v>1</v>
      </c>
      <c r="M145">
        <v>5</v>
      </c>
      <c r="N145">
        <v>3</v>
      </c>
      <c r="O145">
        <v>2</v>
      </c>
      <c r="P145" t="s">
        <v>85</v>
      </c>
    </row>
    <row r="146" spans="1:16" x14ac:dyDescent="0.3">
      <c r="A146">
        <v>49</v>
      </c>
      <c r="B146">
        <v>2022</v>
      </c>
      <c r="C146">
        <v>1105</v>
      </c>
      <c r="D146">
        <v>80</v>
      </c>
      <c r="E146">
        <v>69</v>
      </c>
      <c r="F146">
        <v>6181.46</v>
      </c>
      <c r="G146">
        <v>6.2442999999999999E-2</v>
      </c>
      <c r="H146">
        <v>11</v>
      </c>
      <c r="I146">
        <v>27</v>
      </c>
      <c r="J146">
        <v>8</v>
      </c>
      <c r="K146">
        <v>4</v>
      </c>
      <c r="L146">
        <v>1</v>
      </c>
      <c r="M146">
        <v>4</v>
      </c>
      <c r="N146">
        <v>4</v>
      </c>
      <c r="O146">
        <v>5</v>
      </c>
      <c r="P146" t="s">
        <v>85</v>
      </c>
    </row>
    <row r="147" spans="1:16" x14ac:dyDescent="0.3">
      <c r="A147">
        <v>50</v>
      </c>
      <c r="B147">
        <v>2022</v>
      </c>
      <c r="C147">
        <v>1267</v>
      </c>
      <c r="D147">
        <v>124</v>
      </c>
      <c r="E147">
        <v>112</v>
      </c>
      <c r="F147">
        <v>5768.55</v>
      </c>
      <c r="G147">
        <v>8.8398000000000004E-2</v>
      </c>
      <c r="H147">
        <v>40</v>
      </c>
      <c r="I147">
        <v>45</v>
      </c>
      <c r="J147">
        <v>26</v>
      </c>
      <c r="K147">
        <v>17</v>
      </c>
      <c r="L147">
        <v>1</v>
      </c>
      <c r="M147">
        <v>7</v>
      </c>
      <c r="N147">
        <v>10</v>
      </c>
      <c r="O147">
        <v>10</v>
      </c>
      <c r="P147" t="s">
        <v>85</v>
      </c>
    </row>
    <row r="148" spans="1:16" x14ac:dyDescent="0.3">
      <c r="A148">
        <v>51</v>
      </c>
      <c r="B148">
        <v>2022</v>
      </c>
      <c r="C148">
        <v>1244</v>
      </c>
      <c r="D148">
        <v>99</v>
      </c>
      <c r="E148">
        <v>72</v>
      </c>
      <c r="F148">
        <v>5206.47</v>
      </c>
      <c r="G148">
        <v>5.7877999999999999E-2</v>
      </c>
      <c r="H148">
        <v>15</v>
      </c>
      <c r="I148">
        <v>36</v>
      </c>
      <c r="J148">
        <v>10</v>
      </c>
      <c r="K148">
        <v>8</v>
      </c>
      <c r="L148">
        <v>1</v>
      </c>
      <c r="M148">
        <v>5</v>
      </c>
      <c r="N148">
        <v>6</v>
      </c>
      <c r="O148">
        <v>6</v>
      </c>
      <c r="P148" t="s">
        <v>85</v>
      </c>
    </row>
    <row r="149" spans="1:16" x14ac:dyDescent="0.3">
      <c r="A149">
        <v>52</v>
      </c>
      <c r="B149">
        <v>2022</v>
      </c>
      <c r="C149">
        <v>769</v>
      </c>
      <c r="D149">
        <v>47</v>
      </c>
      <c r="E149">
        <v>37</v>
      </c>
      <c r="F149">
        <v>2225.4499999999998</v>
      </c>
      <c r="G149">
        <v>4.8113999999999997E-2</v>
      </c>
      <c r="H149">
        <v>20</v>
      </c>
      <c r="I149">
        <v>21</v>
      </c>
      <c r="J149">
        <v>8</v>
      </c>
      <c r="K149">
        <v>10</v>
      </c>
      <c r="L149">
        <v>0</v>
      </c>
      <c r="M149">
        <v>2</v>
      </c>
      <c r="N149">
        <v>4</v>
      </c>
      <c r="O149">
        <v>2</v>
      </c>
      <c r="P149" t="s">
        <v>175</v>
      </c>
    </row>
    <row r="150" spans="1:16" x14ac:dyDescent="0.3">
      <c r="A150">
        <v>53</v>
      </c>
      <c r="B150">
        <v>2022</v>
      </c>
      <c r="C150">
        <v>508</v>
      </c>
      <c r="D150">
        <v>44</v>
      </c>
      <c r="E150">
        <v>38</v>
      </c>
      <c r="F150">
        <v>2187.16</v>
      </c>
      <c r="G150">
        <v>7.4802999999999994E-2</v>
      </c>
      <c r="H150">
        <v>8</v>
      </c>
      <c r="I150">
        <v>18</v>
      </c>
      <c r="J150">
        <v>10</v>
      </c>
      <c r="K150">
        <v>3</v>
      </c>
      <c r="L150">
        <v>1</v>
      </c>
      <c r="M150">
        <v>3</v>
      </c>
      <c r="N150">
        <v>4</v>
      </c>
      <c r="O150">
        <v>2</v>
      </c>
      <c r="P150" t="s">
        <v>85</v>
      </c>
    </row>
    <row r="151" spans="1:16" x14ac:dyDescent="0.3">
      <c r="A151">
        <v>54</v>
      </c>
      <c r="B151">
        <v>2022</v>
      </c>
      <c r="C151">
        <v>1573</v>
      </c>
      <c r="D151">
        <v>105</v>
      </c>
      <c r="E151">
        <v>76</v>
      </c>
      <c r="F151">
        <v>3077.75</v>
      </c>
      <c r="G151">
        <v>4.8314999999999997E-2</v>
      </c>
      <c r="H151">
        <v>45</v>
      </c>
      <c r="I151">
        <v>45</v>
      </c>
      <c r="J151">
        <v>17</v>
      </c>
      <c r="K151">
        <v>23</v>
      </c>
      <c r="L151">
        <v>1</v>
      </c>
      <c r="M151">
        <v>7</v>
      </c>
      <c r="N151">
        <v>9</v>
      </c>
      <c r="O151">
        <v>6</v>
      </c>
      <c r="P151" t="s">
        <v>85</v>
      </c>
    </row>
    <row r="152" spans="1:16" x14ac:dyDescent="0.3">
      <c r="A152">
        <v>55</v>
      </c>
      <c r="B152">
        <v>2022</v>
      </c>
      <c r="C152">
        <v>275</v>
      </c>
      <c r="D152">
        <v>14</v>
      </c>
      <c r="E152">
        <v>13</v>
      </c>
      <c r="F152">
        <v>996.21</v>
      </c>
      <c r="G152">
        <v>4.7273000000000003E-2</v>
      </c>
      <c r="H152">
        <v>8</v>
      </c>
      <c r="I152">
        <v>8</v>
      </c>
      <c r="J152">
        <v>3</v>
      </c>
      <c r="K152">
        <v>4</v>
      </c>
      <c r="L152">
        <v>0</v>
      </c>
      <c r="M152">
        <v>1</v>
      </c>
      <c r="N152">
        <v>1</v>
      </c>
      <c r="O152">
        <v>1</v>
      </c>
      <c r="P152" t="s">
        <v>175</v>
      </c>
    </row>
    <row r="153" spans="1:16" x14ac:dyDescent="0.3">
      <c r="A153">
        <v>56</v>
      </c>
      <c r="B153">
        <v>2022</v>
      </c>
      <c r="C153">
        <v>1088</v>
      </c>
      <c r="D153">
        <v>47</v>
      </c>
      <c r="E153">
        <v>39</v>
      </c>
      <c r="F153">
        <v>1090.32</v>
      </c>
      <c r="G153">
        <v>3.5846000000000003E-2</v>
      </c>
      <c r="H153">
        <v>7</v>
      </c>
      <c r="I153">
        <v>21</v>
      </c>
      <c r="J153">
        <v>8</v>
      </c>
      <c r="K153">
        <v>5</v>
      </c>
      <c r="L153">
        <v>0</v>
      </c>
      <c r="M153">
        <v>2</v>
      </c>
      <c r="N153">
        <v>2</v>
      </c>
      <c r="O153">
        <v>2</v>
      </c>
      <c r="P153" t="s">
        <v>68</v>
      </c>
    </row>
    <row r="154" spans="1:16" x14ac:dyDescent="0.3">
      <c r="A154">
        <v>57</v>
      </c>
      <c r="B154">
        <v>2022</v>
      </c>
      <c r="C154">
        <v>2062</v>
      </c>
      <c r="D154">
        <v>162</v>
      </c>
      <c r="E154">
        <v>131</v>
      </c>
      <c r="F154">
        <v>6534.83</v>
      </c>
      <c r="G154">
        <v>6.3531000000000004E-2</v>
      </c>
      <c r="H154">
        <v>31</v>
      </c>
      <c r="I154">
        <v>52</v>
      </c>
      <c r="J154">
        <v>29</v>
      </c>
      <c r="K154">
        <v>10</v>
      </c>
      <c r="L154">
        <v>0</v>
      </c>
      <c r="M154">
        <v>2</v>
      </c>
      <c r="N154">
        <v>5</v>
      </c>
      <c r="O154">
        <v>10</v>
      </c>
      <c r="P154" t="s">
        <v>175</v>
      </c>
    </row>
    <row r="155" spans="1:16" x14ac:dyDescent="0.3">
      <c r="A155">
        <v>58</v>
      </c>
      <c r="B155">
        <v>2022</v>
      </c>
      <c r="C155">
        <v>1061</v>
      </c>
      <c r="D155">
        <v>52</v>
      </c>
      <c r="E155">
        <v>43</v>
      </c>
      <c r="F155">
        <v>2148.16</v>
      </c>
      <c r="G155">
        <v>4.0528000000000002E-2</v>
      </c>
      <c r="H155">
        <v>24</v>
      </c>
      <c r="I155">
        <v>26</v>
      </c>
      <c r="J155">
        <v>10</v>
      </c>
      <c r="K155">
        <v>11</v>
      </c>
      <c r="L155">
        <v>1</v>
      </c>
      <c r="M155">
        <v>6</v>
      </c>
      <c r="N155">
        <v>7</v>
      </c>
      <c r="O155">
        <v>3</v>
      </c>
      <c r="P155" t="s">
        <v>85</v>
      </c>
    </row>
    <row r="156" spans="1:16" x14ac:dyDescent="0.3">
      <c r="A156">
        <v>59</v>
      </c>
      <c r="B156">
        <v>2022</v>
      </c>
      <c r="C156">
        <v>1528</v>
      </c>
      <c r="D156">
        <v>79</v>
      </c>
      <c r="E156">
        <v>63</v>
      </c>
      <c r="F156">
        <v>2379.42</v>
      </c>
      <c r="G156">
        <v>4.1230000000000003E-2</v>
      </c>
      <c r="H156">
        <v>15</v>
      </c>
      <c r="I156">
        <v>30</v>
      </c>
      <c r="J156">
        <v>8</v>
      </c>
      <c r="K156">
        <v>6</v>
      </c>
      <c r="L156">
        <v>0</v>
      </c>
      <c r="M156">
        <v>2</v>
      </c>
      <c r="N156">
        <v>3</v>
      </c>
      <c r="O156">
        <v>5</v>
      </c>
      <c r="P156" t="s">
        <v>175</v>
      </c>
    </row>
    <row r="157" spans="1:16" x14ac:dyDescent="0.3">
      <c r="A157">
        <v>60</v>
      </c>
      <c r="B157">
        <v>2022</v>
      </c>
      <c r="C157">
        <v>588</v>
      </c>
      <c r="D157">
        <v>31</v>
      </c>
      <c r="E157">
        <v>25</v>
      </c>
      <c r="F157">
        <v>1261.48</v>
      </c>
      <c r="G157">
        <v>4.2516999999999999E-2</v>
      </c>
      <c r="H157">
        <v>15</v>
      </c>
      <c r="I157">
        <v>21</v>
      </c>
      <c r="J157">
        <v>6</v>
      </c>
      <c r="K157">
        <v>5</v>
      </c>
      <c r="L157">
        <v>0</v>
      </c>
      <c r="M157">
        <v>1</v>
      </c>
      <c r="N157">
        <v>3</v>
      </c>
      <c r="O157">
        <v>2</v>
      </c>
      <c r="P157" t="s">
        <v>175</v>
      </c>
    </row>
    <row r="158" spans="1:16" x14ac:dyDescent="0.3">
      <c r="A158">
        <v>61</v>
      </c>
      <c r="B158">
        <v>2022</v>
      </c>
      <c r="C158">
        <v>248</v>
      </c>
      <c r="D158">
        <v>7</v>
      </c>
      <c r="E158">
        <v>5</v>
      </c>
      <c r="F158">
        <v>402.07</v>
      </c>
      <c r="G158">
        <v>2.0160999999999998E-2</v>
      </c>
      <c r="H158">
        <v>3</v>
      </c>
      <c r="I158">
        <v>12</v>
      </c>
      <c r="J158">
        <v>1</v>
      </c>
      <c r="K158">
        <v>2</v>
      </c>
      <c r="L158">
        <v>0</v>
      </c>
      <c r="M158">
        <v>0</v>
      </c>
      <c r="N158">
        <v>0</v>
      </c>
      <c r="O158">
        <v>0</v>
      </c>
      <c r="P158" t="s">
        <v>176</v>
      </c>
    </row>
    <row r="159" spans="1:16" x14ac:dyDescent="0.3">
      <c r="A159">
        <v>62</v>
      </c>
      <c r="B159">
        <v>2022</v>
      </c>
      <c r="C159">
        <v>410</v>
      </c>
      <c r="D159">
        <v>35</v>
      </c>
      <c r="E159">
        <v>25</v>
      </c>
      <c r="F159">
        <v>1324.53</v>
      </c>
      <c r="G159">
        <v>6.0976000000000002E-2</v>
      </c>
      <c r="H159">
        <v>13</v>
      </c>
      <c r="I159">
        <v>13</v>
      </c>
      <c r="J159">
        <v>7</v>
      </c>
      <c r="K159">
        <v>7</v>
      </c>
      <c r="L159">
        <v>0</v>
      </c>
      <c r="M159">
        <v>1</v>
      </c>
      <c r="N159">
        <v>4</v>
      </c>
      <c r="O159">
        <v>1</v>
      </c>
      <c r="P159" t="s">
        <v>68</v>
      </c>
    </row>
    <row r="160" spans="1:16" x14ac:dyDescent="0.3">
      <c r="A160">
        <v>63</v>
      </c>
      <c r="B160">
        <v>2022</v>
      </c>
      <c r="C160">
        <v>475</v>
      </c>
      <c r="D160">
        <v>22</v>
      </c>
      <c r="E160">
        <v>16</v>
      </c>
      <c r="F160">
        <v>1287.06</v>
      </c>
      <c r="G160">
        <v>3.3683999999999999E-2</v>
      </c>
      <c r="H160">
        <v>21</v>
      </c>
      <c r="I160">
        <v>21</v>
      </c>
      <c r="J160">
        <v>4</v>
      </c>
      <c r="K160">
        <v>5</v>
      </c>
      <c r="L160">
        <v>1</v>
      </c>
      <c r="M160">
        <v>3</v>
      </c>
      <c r="N160">
        <v>4</v>
      </c>
      <c r="O160">
        <v>1</v>
      </c>
      <c r="P160" t="s">
        <v>85</v>
      </c>
    </row>
    <row r="161" spans="1:16" x14ac:dyDescent="0.3">
      <c r="A161">
        <v>64</v>
      </c>
      <c r="B161">
        <v>2022</v>
      </c>
      <c r="C161">
        <v>808</v>
      </c>
      <c r="D161">
        <v>45</v>
      </c>
      <c r="E161">
        <v>33</v>
      </c>
      <c r="F161">
        <v>2594.04</v>
      </c>
      <c r="G161">
        <v>4.0842000000000003E-2</v>
      </c>
      <c r="H161">
        <v>11</v>
      </c>
      <c r="I161">
        <v>19</v>
      </c>
      <c r="J161">
        <v>7</v>
      </c>
      <c r="K161">
        <v>5</v>
      </c>
      <c r="L161">
        <v>0</v>
      </c>
      <c r="M161">
        <v>1</v>
      </c>
      <c r="N161">
        <v>3</v>
      </c>
      <c r="O161">
        <v>2</v>
      </c>
      <c r="P161" t="s">
        <v>175</v>
      </c>
    </row>
    <row r="162" spans="1:16" x14ac:dyDescent="0.3">
      <c r="A162">
        <v>65</v>
      </c>
      <c r="B162">
        <v>2022</v>
      </c>
      <c r="C162">
        <v>316</v>
      </c>
      <c r="D162">
        <v>27</v>
      </c>
      <c r="E162">
        <v>24</v>
      </c>
      <c r="F162">
        <v>1172.9100000000001</v>
      </c>
      <c r="G162">
        <v>7.5949000000000003E-2</v>
      </c>
      <c r="H162">
        <v>14</v>
      </c>
      <c r="I162">
        <v>17</v>
      </c>
      <c r="J162">
        <v>6</v>
      </c>
      <c r="K162">
        <v>6</v>
      </c>
      <c r="L162">
        <v>0</v>
      </c>
      <c r="M162">
        <v>1</v>
      </c>
      <c r="N162">
        <v>3</v>
      </c>
      <c r="O162">
        <v>1</v>
      </c>
      <c r="P162" t="s">
        <v>85</v>
      </c>
    </row>
    <row r="163" spans="1:16" x14ac:dyDescent="0.3">
      <c r="A163">
        <v>67</v>
      </c>
      <c r="B163">
        <v>2022</v>
      </c>
      <c r="C163">
        <v>1529</v>
      </c>
      <c r="D163">
        <v>101</v>
      </c>
      <c r="E163">
        <v>93</v>
      </c>
      <c r="F163">
        <v>7685.2</v>
      </c>
      <c r="G163">
        <v>6.0824000000000003E-2</v>
      </c>
      <c r="H163">
        <v>29</v>
      </c>
      <c r="I163">
        <v>34</v>
      </c>
      <c r="J163">
        <v>15</v>
      </c>
      <c r="K163">
        <v>14</v>
      </c>
      <c r="L163">
        <v>0</v>
      </c>
      <c r="M163">
        <v>4</v>
      </c>
      <c r="N163">
        <v>6</v>
      </c>
      <c r="O163">
        <v>3</v>
      </c>
      <c r="P163" t="s">
        <v>175</v>
      </c>
    </row>
    <row r="164" spans="1:16" x14ac:dyDescent="0.3">
      <c r="A164">
        <v>68</v>
      </c>
      <c r="B164">
        <v>2022</v>
      </c>
      <c r="C164">
        <v>425</v>
      </c>
      <c r="D164">
        <v>42</v>
      </c>
      <c r="E164">
        <v>34</v>
      </c>
      <c r="F164">
        <v>3950.64</v>
      </c>
      <c r="G164">
        <v>0.08</v>
      </c>
      <c r="H164">
        <v>15</v>
      </c>
      <c r="I164">
        <v>19</v>
      </c>
      <c r="J164">
        <v>7</v>
      </c>
      <c r="K164">
        <v>6</v>
      </c>
      <c r="L164">
        <v>1</v>
      </c>
      <c r="M164">
        <v>5</v>
      </c>
      <c r="N164">
        <v>3</v>
      </c>
      <c r="O164">
        <v>1</v>
      </c>
      <c r="P164" t="s">
        <v>85</v>
      </c>
    </row>
    <row r="165" spans="1:16" x14ac:dyDescent="0.3">
      <c r="A165">
        <v>69</v>
      </c>
      <c r="B165">
        <v>2022</v>
      </c>
      <c r="C165">
        <v>885</v>
      </c>
      <c r="D165">
        <v>55</v>
      </c>
      <c r="E165">
        <v>44</v>
      </c>
      <c r="F165">
        <v>3699.24</v>
      </c>
      <c r="G165">
        <v>4.9717999999999998E-2</v>
      </c>
      <c r="H165">
        <v>16</v>
      </c>
      <c r="I165">
        <v>26</v>
      </c>
      <c r="J165">
        <v>8</v>
      </c>
      <c r="K165">
        <v>5</v>
      </c>
      <c r="L165">
        <v>1</v>
      </c>
      <c r="M165">
        <v>3</v>
      </c>
      <c r="N165">
        <v>3</v>
      </c>
      <c r="O165">
        <v>3</v>
      </c>
      <c r="P165" t="s">
        <v>85</v>
      </c>
    </row>
    <row r="166" spans="1:16" x14ac:dyDescent="0.3">
      <c r="A166">
        <v>70</v>
      </c>
      <c r="B166">
        <v>2022</v>
      </c>
      <c r="C166">
        <v>515</v>
      </c>
      <c r="D166">
        <v>46</v>
      </c>
      <c r="E166">
        <v>34</v>
      </c>
      <c r="F166">
        <v>3051.92</v>
      </c>
      <c r="G166">
        <v>6.6018999999999994E-2</v>
      </c>
      <c r="H166">
        <v>25</v>
      </c>
      <c r="I166">
        <v>25</v>
      </c>
      <c r="J166">
        <v>6</v>
      </c>
      <c r="K166">
        <v>8</v>
      </c>
      <c r="L166">
        <v>1</v>
      </c>
      <c r="M166">
        <v>4</v>
      </c>
      <c r="N166">
        <v>4</v>
      </c>
      <c r="O166">
        <v>3</v>
      </c>
      <c r="P166" t="s">
        <v>85</v>
      </c>
    </row>
    <row r="167" spans="1:16" x14ac:dyDescent="0.3">
      <c r="A167">
        <v>71</v>
      </c>
      <c r="B167">
        <v>2022</v>
      </c>
      <c r="C167">
        <v>1023</v>
      </c>
      <c r="D167">
        <v>96</v>
      </c>
      <c r="E167">
        <v>83</v>
      </c>
      <c r="F167">
        <v>7574.29</v>
      </c>
      <c r="G167">
        <v>8.1133999999999998E-2</v>
      </c>
      <c r="H167">
        <v>31</v>
      </c>
      <c r="I167">
        <v>34</v>
      </c>
      <c r="J167">
        <v>17</v>
      </c>
      <c r="K167">
        <v>12</v>
      </c>
      <c r="L167">
        <v>1</v>
      </c>
      <c r="M167">
        <v>3</v>
      </c>
      <c r="N167">
        <v>8</v>
      </c>
      <c r="O167">
        <v>6</v>
      </c>
      <c r="P167" t="s">
        <v>85</v>
      </c>
    </row>
    <row r="168" spans="1:16" x14ac:dyDescent="0.3">
      <c r="A168">
        <v>72</v>
      </c>
      <c r="B168">
        <v>2022</v>
      </c>
      <c r="C168">
        <v>694</v>
      </c>
      <c r="D168">
        <v>54</v>
      </c>
      <c r="E168">
        <v>41</v>
      </c>
      <c r="F168">
        <v>3658.48</v>
      </c>
      <c r="G168">
        <v>5.9077999999999999E-2</v>
      </c>
      <c r="H168">
        <v>13</v>
      </c>
      <c r="I168">
        <v>24</v>
      </c>
      <c r="J168">
        <v>9</v>
      </c>
      <c r="K168">
        <v>6</v>
      </c>
      <c r="L168">
        <v>1</v>
      </c>
      <c r="M168">
        <v>4</v>
      </c>
      <c r="N168">
        <v>3</v>
      </c>
      <c r="O168">
        <v>5</v>
      </c>
      <c r="P168" t="s">
        <v>85</v>
      </c>
    </row>
    <row r="169" spans="1:16" x14ac:dyDescent="0.3">
      <c r="A169">
        <v>74</v>
      </c>
      <c r="B169">
        <v>2022</v>
      </c>
      <c r="C169">
        <v>731</v>
      </c>
      <c r="D169">
        <v>53</v>
      </c>
      <c r="E169">
        <v>43</v>
      </c>
      <c r="F169">
        <v>3190.67</v>
      </c>
      <c r="G169">
        <v>5.8824000000000001E-2</v>
      </c>
      <c r="H169">
        <v>13</v>
      </c>
      <c r="I169">
        <v>22</v>
      </c>
      <c r="J169">
        <v>8</v>
      </c>
      <c r="K169">
        <v>5</v>
      </c>
      <c r="L169">
        <v>1</v>
      </c>
      <c r="M169">
        <v>4</v>
      </c>
      <c r="N169">
        <v>5</v>
      </c>
      <c r="O169">
        <v>3</v>
      </c>
      <c r="P169" t="s">
        <v>85</v>
      </c>
    </row>
    <row r="170" spans="1:16" x14ac:dyDescent="0.3">
      <c r="A170">
        <v>75</v>
      </c>
      <c r="B170">
        <v>2022</v>
      </c>
      <c r="C170">
        <v>2308</v>
      </c>
      <c r="D170">
        <v>189</v>
      </c>
      <c r="E170">
        <v>162</v>
      </c>
      <c r="F170">
        <v>8617.09</v>
      </c>
      <c r="G170">
        <v>7.0191000000000003E-2</v>
      </c>
      <c r="H170">
        <v>25</v>
      </c>
      <c r="I170">
        <v>73</v>
      </c>
      <c r="J170">
        <v>18</v>
      </c>
      <c r="K170">
        <v>15</v>
      </c>
      <c r="L170">
        <v>1</v>
      </c>
      <c r="M170">
        <v>4</v>
      </c>
      <c r="N170">
        <v>9</v>
      </c>
      <c r="O170">
        <v>9</v>
      </c>
      <c r="P170" t="s">
        <v>85</v>
      </c>
    </row>
    <row r="171" spans="1:16" x14ac:dyDescent="0.3">
      <c r="A171">
        <v>76</v>
      </c>
      <c r="B171">
        <v>2022</v>
      </c>
      <c r="C171">
        <v>874</v>
      </c>
      <c r="D171">
        <v>54</v>
      </c>
      <c r="E171">
        <v>42</v>
      </c>
      <c r="F171">
        <v>4358.16</v>
      </c>
      <c r="G171">
        <v>4.8055E-2</v>
      </c>
      <c r="H171">
        <v>21</v>
      </c>
      <c r="I171">
        <v>27</v>
      </c>
      <c r="J171">
        <v>9</v>
      </c>
      <c r="K171">
        <v>11</v>
      </c>
      <c r="L171">
        <v>0</v>
      </c>
      <c r="M171">
        <v>4</v>
      </c>
      <c r="N171">
        <v>4</v>
      </c>
      <c r="O171">
        <v>2</v>
      </c>
      <c r="P171" t="s">
        <v>85</v>
      </c>
    </row>
    <row r="172" spans="1:16" x14ac:dyDescent="0.3">
      <c r="A172">
        <v>77</v>
      </c>
      <c r="B172">
        <v>2022</v>
      </c>
      <c r="C172">
        <v>415</v>
      </c>
      <c r="D172">
        <v>32</v>
      </c>
      <c r="E172">
        <v>29</v>
      </c>
      <c r="F172">
        <v>1559.54</v>
      </c>
      <c r="G172">
        <v>6.9879999999999998E-2</v>
      </c>
      <c r="H172">
        <v>14</v>
      </c>
      <c r="I172">
        <v>14</v>
      </c>
      <c r="J172">
        <v>5</v>
      </c>
      <c r="K172">
        <v>8</v>
      </c>
      <c r="L172">
        <v>0</v>
      </c>
      <c r="M172">
        <v>1</v>
      </c>
      <c r="N172">
        <v>4</v>
      </c>
      <c r="O172">
        <v>2</v>
      </c>
      <c r="P172" t="s">
        <v>68</v>
      </c>
    </row>
    <row r="173" spans="1:16" x14ac:dyDescent="0.3">
      <c r="A173">
        <v>78</v>
      </c>
      <c r="B173">
        <v>2022</v>
      </c>
      <c r="C173">
        <v>1664</v>
      </c>
      <c r="D173">
        <v>187</v>
      </c>
      <c r="E173">
        <v>161</v>
      </c>
      <c r="F173">
        <v>14709.05</v>
      </c>
      <c r="G173">
        <v>9.6754999999999994E-2</v>
      </c>
      <c r="H173">
        <v>37</v>
      </c>
      <c r="I173">
        <v>55</v>
      </c>
      <c r="J173">
        <v>18</v>
      </c>
      <c r="K173">
        <v>15</v>
      </c>
      <c r="L173">
        <v>1</v>
      </c>
      <c r="M173">
        <v>6</v>
      </c>
      <c r="N173">
        <v>12</v>
      </c>
      <c r="O173">
        <v>11</v>
      </c>
      <c r="P173" t="s">
        <v>85</v>
      </c>
    </row>
    <row r="174" spans="1:16" x14ac:dyDescent="0.3">
      <c r="A174">
        <v>79</v>
      </c>
      <c r="B174">
        <v>2022</v>
      </c>
      <c r="C174">
        <v>1907</v>
      </c>
      <c r="D174">
        <v>211</v>
      </c>
      <c r="E174">
        <v>169</v>
      </c>
      <c r="F174">
        <v>15928.43</v>
      </c>
      <c r="G174">
        <v>8.8621000000000005E-2</v>
      </c>
      <c r="H174">
        <v>37</v>
      </c>
      <c r="I174">
        <v>69</v>
      </c>
      <c r="J174">
        <v>31</v>
      </c>
      <c r="K174">
        <v>13</v>
      </c>
      <c r="L174">
        <v>1</v>
      </c>
      <c r="M174">
        <v>7</v>
      </c>
      <c r="N174">
        <v>7</v>
      </c>
      <c r="O174">
        <v>11</v>
      </c>
      <c r="P174" t="s">
        <v>85</v>
      </c>
    </row>
    <row r="175" spans="1:16" x14ac:dyDescent="0.3">
      <c r="A175">
        <v>80</v>
      </c>
      <c r="B175">
        <v>2022</v>
      </c>
      <c r="C175">
        <v>955</v>
      </c>
      <c r="D175">
        <v>58</v>
      </c>
      <c r="E175">
        <v>47</v>
      </c>
      <c r="F175">
        <v>3613.66</v>
      </c>
      <c r="G175">
        <v>4.9215000000000002E-2</v>
      </c>
      <c r="H175">
        <v>37</v>
      </c>
      <c r="I175">
        <v>37</v>
      </c>
      <c r="J175">
        <v>6</v>
      </c>
      <c r="K175">
        <v>14</v>
      </c>
      <c r="L175">
        <v>0</v>
      </c>
      <c r="M175">
        <v>4</v>
      </c>
      <c r="N175">
        <v>5</v>
      </c>
      <c r="O175">
        <v>3</v>
      </c>
      <c r="P175" t="s">
        <v>175</v>
      </c>
    </row>
    <row r="176" spans="1:16" x14ac:dyDescent="0.3">
      <c r="A176">
        <v>81</v>
      </c>
      <c r="B176">
        <v>2022</v>
      </c>
      <c r="C176">
        <v>951</v>
      </c>
      <c r="D176">
        <v>82</v>
      </c>
      <c r="E176">
        <v>77</v>
      </c>
      <c r="F176">
        <v>2809.43</v>
      </c>
      <c r="G176">
        <v>8.0966999999999997E-2</v>
      </c>
      <c r="H176">
        <v>17</v>
      </c>
      <c r="I176">
        <v>32</v>
      </c>
      <c r="J176">
        <v>17</v>
      </c>
      <c r="K176">
        <v>8</v>
      </c>
      <c r="L176">
        <v>1</v>
      </c>
      <c r="M176">
        <v>5</v>
      </c>
      <c r="N176">
        <v>5</v>
      </c>
      <c r="O176">
        <v>3</v>
      </c>
      <c r="P176" t="s">
        <v>85</v>
      </c>
    </row>
    <row r="177" spans="1:16" x14ac:dyDescent="0.3">
      <c r="A177">
        <v>82</v>
      </c>
      <c r="B177">
        <v>2022</v>
      </c>
      <c r="C177">
        <v>1440</v>
      </c>
      <c r="D177">
        <v>81</v>
      </c>
      <c r="E177">
        <v>60</v>
      </c>
      <c r="F177">
        <v>6138.52</v>
      </c>
      <c r="G177">
        <v>4.1667000000000003E-2</v>
      </c>
      <c r="H177">
        <v>26</v>
      </c>
      <c r="I177">
        <v>29</v>
      </c>
      <c r="J177">
        <v>8</v>
      </c>
      <c r="K177">
        <v>9</v>
      </c>
      <c r="L177">
        <v>0</v>
      </c>
      <c r="M177">
        <v>2</v>
      </c>
      <c r="N177">
        <v>6</v>
      </c>
      <c r="O177">
        <v>4</v>
      </c>
      <c r="P177" t="s">
        <v>68</v>
      </c>
    </row>
    <row r="178" spans="1:16" x14ac:dyDescent="0.3">
      <c r="A178">
        <v>83</v>
      </c>
      <c r="B178">
        <v>2022</v>
      </c>
      <c r="C178">
        <v>686</v>
      </c>
      <c r="D178">
        <v>49</v>
      </c>
      <c r="E178">
        <v>35</v>
      </c>
      <c r="F178">
        <v>1497.16</v>
      </c>
      <c r="G178">
        <v>5.1020000000000003E-2</v>
      </c>
      <c r="H178">
        <v>16</v>
      </c>
      <c r="I178">
        <v>22</v>
      </c>
      <c r="J178">
        <v>7</v>
      </c>
      <c r="K178">
        <v>6</v>
      </c>
      <c r="L178">
        <v>0</v>
      </c>
      <c r="M178">
        <v>2</v>
      </c>
      <c r="N178">
        <v>4</v>
      </c>
      <c r="O178">
        <v>2</v>
      </c>
      <c r="P178" t="s">
        <v>85</v>
      </c>
    </row>
    <row r="179" spans="1:16" x14ac:dyDescent="0.3">
      <c r="A179">
        <v>84</v>
      </c>
      <c r="B179">
        <v>2022</v>
      </c>
      <c r="C179">
        <v>908</v>
      </c>
      <c r="D179">
        <v>42</v>
      </c>
      <c r="E179">
        <v>36</v>
      </c>
      <c r="F179">
        <v>2582.3000000000002</v>
      </c>
      <c r="G179">
        <v>3.9648000000000003E-2</v>
      </c>
      <c r="H179">
        <v>12</v>
      </c>
      <c r="I179">
        <v>22</v>
      </c>
      <c r="J179">
        <v>5</v>
      </c>
      <c r="K179">
        <v>7</v>
      </c>
      <c r="L179">
        <v>0</v>
      </c>
      <c r="M179">
        <v>1</v>
      </c>
      <c r="N179">
        <v>3</v>
      </c>
      <c r="O179">
        <v>2</v>
      </c>
      <c r="P179" t="s">
        <v>175</v>
      </c>
    </row>
    <row r="180" spans="1:16" x14ac:dyDescent="0.3">
      <c r="A180">
        <v>85</v>
      </c>
      <c r="B180">
        <v>2022</v>
      </c>
      <c r="C180">
        <v>316</v>
      </c>
      <c r="D180">
        <v>15</v>
      </c>
      <c r="E180">
        <v>13</v>
      </c>
      <c r="F180">
        <v>464.97</v>
      </c>
      <c r="G180">
        <v>4.1139000000000002E-2</v>
      </c>
      <c r="H180">
        <v>3</v>
      </c>
      <c r="I180">
        <v>7</v>
      </c>
      <c r="J180">
        <v>3</v>
      </c>
      <c r="K180">
        <v>1</v>
      </c>
      <c r="L180">
        <v>0</v>
      </c>
      <c r="M180">
        <v>0</v>
      </c>
      <c r="N180">
        <v>0</v>
      </c>
      <c r="O180">
        <v>0</v>
      </c>
      <c r="P180" t="s">
        <v>176</v>
      </c>
    </row>
    <row r="181" spans="1:16" x14ac:dyDescent="0.3">
      <c r="A181">
        <v>86</v>
      </c>
      <c r="B181">
        <v>2022</v>
      </c>
      <c r="C181">
        <v>1576</v>
      </c>
      <c r="D181">
        <v>163</v>
      </c>
      <c r="E181">
        <v>149</v>
      </c>
      <c r="F181">
        <v>5914.36</v>
      </c>
      <c r="G181">
        <v>9.4543000000000002E-2</v>
      </c>
      <c r="H181">
        <v>22</v>
      </c>
      <c r="I181">
        <v>52</v>
      </c>
      <c r="J181">
        <v>25</v>
      </c>
      <c r="K181">
        <v>15</v>
      </c>
      <c r="L181">
        <v>0</v>
      </c>
      <c r="M181">
        <v>2</v>
      </c>
      <c r="N181">
        <v>5</v>
      </c>
      <c r="O181">
        <v>11</v>
      </c>
      <c r="P181" t="s">
        <v>68</v>
      </c>
    </row>
    <row r="182" spans="1:16" x14ac:dyDescent="0.3">
      <c r="A182">
        <v>87</v>
      </c>
      <c r="B182">
        <v>2022</v>
      </c>
      <c r="C182">
        <v>589</v>
      </c>
      <c r="D182">
        <v>48</v>
      </c>
      <c r="E182">
        <v>42</v>
      </c>
      <c r="F182">
        <v>2817.96</v>
      </c>
      <c r="G182">
        <v>7.1306999999999995E-2</v>
      </c>
      <c r="H182">
        <v>16</v>
      </c>
      <c r="I182">
        <v>16</v>
      </c>
      <c r="J182">
        <v>8</v>
      </c>
      <c r="K182">
        <v>8</v>
      </c>
      <c r="L182">
        <v>0</v>
      </c>
      <c r="M182">
        <v>3</v>
      </c>
      <c r="N182">
        <v>6</v>
      </c>
      <c r="O182">
        <v>1</v>
      </c>
      <c r="P182" t="s">
        <v>85</v>
      </c>
    </row>
    <row r="183" spans="1:16" x14ac:dyDescent="0.3">
      <c r="A183">
        <v>88</v>
      </c>
      <c r="B183">
        <v>2022</v>
      </c>
      <c r="C183">
        <v>836</v>
      </c>
      <c r="D183">
        <v>77</v>
      </c>
      <c r="E183">
        <v>60</v>
      </c>
      <c r="F183">
        <v>4142.34</v>
      </c>
      <c r="G183">
        <v>7.177E-2</v>
      </c>
      <c r="H183">
        <v>20</v>
      </c>
      <c r="I183">
        <v>28</v>
      </c>
      <c r="J183">
        <v>8</v>
      </c>
      <c r="K183">
        <v>11</v>
      </c>
      <c r="L183">
        <v>0</v>
      </c>
      <c r="M183">
        <v>3</v>
      </c>
      <c r="N183">
        <v>4</v>
      </c>
      <c r="O183">
        <v>4</v>
      </c>
      <c r="P183" t="s">
        <v>68</v>
      </c>
    </row>
    <row r="184" spans="1:16" x14ac:dyDescent="0.3">
      <c r="A184">
        <v>89</v>
      </c>
      <c r="B184">
        <v>2022</v>
      </c>
      <c r="C184">
        <v>1025</v>
      </c>
      <c r="D184">
        <v>104</v>
      </c>
      <c r="E184">
        <v>99</v>
      </c>
      <c r="F184">
        <v>8867.25</v>
      </c>
      <c r="G184">
        <v>9.6585000000000004E-2</v>
      </c>
      <c r="H184">
        <v>25</v>
      </c>
      <c r="I184">
        <v>31</v>
      </c>
      <c r="J184">
        <v>14</v>
      </c>
      <c r="K184">
        <v>12</v>
      </c>
      <c r="L184">
        <v>1</v>
      </c>
      <c r="M184">
        <v>7</v>
      </c>
      <c r="N184">
        <v>8</v>
      </c>
      <c r="O184">
        <v>7</v>
      </c>
      <c r="P184" t="s">
        <v>85</v>
      </c>
    </row>
    <row r="185" spans="1:16" x14ac:dyDescent="0.3">
      <c r="A185">
        <v>90</v>
      </c>
      <c r="B185">
        <v>2022</v>
      </c>
      <c r="C185">
        <v>770</v>
      </c>
      <c r="D185">
        <v>41</v>
      </c>
      <c r="E185">
        <v>32</v>
      </c>
      <c r="F185">
        <v>1118.98</v>
      </c>
      <c r="G185">
        <v>4.1557999999999998E-2</v>
      </c>
      <c r="H185">
        <v>12</v>
      </c>
      <c r="I185">
        <v>16</v>
      </c>
      <c r="J185">
        <v>4</v>
      </c>
      <c r="K185">
        <v>4</v>
      </c>
      <c r="L185">
        <v>0</v>
      </c>
      <c r="M185">
        <v>2</v>
      </c>
      <c r="N185">
        <v>2</v>
      </c>
      <c r="O185">
        <v>2</v>
      </c>
      <c r="P185" t="s">
        <v>175</v>
      </c>
    </row>
    <row r="186" spans="1:16" x14ac:dyDescent="0.3">
      <c r="A186">
        <v>91</v>
      </c>
      <c r="B186">
        <v>2022</v>
      </c>
      <c r="C186">
        <v>576</v>
      </c>
      <c r="D186">
        <v>53</v>
      </c>
      <c r="E186">
        <v>51</v>
      </c>
      <c r="F186">
        <v>4703.4799999999996</v>
      </c>
      <c r="G186">
        <v>8.8541999999999996E-2</v>
      </c>
      <c r="H186">
        <v>18</v>
      </c>
      <c r="I186">
        <v>22</v>
      </c>
      <c r="J186">
        <v>11</v>
      </c>
      <c r="K186">
        <v>7</v>
      </c>
      <c r="L186">
        <v>0</v>
      </c>
      <c r="M186">
        <v>2</v>
      </c>
      <c r="N186">
        <v>3</v>
      </c>
      <c r="O186">
        <v>4</v>
      </c>
      <c r="P186" t="s">
        <v>68</v>
      </c>
    </row>
    <row r="187" spans="1:16" x14ac:dyDescent="0.3">
      <c r="A187">
        <v>92</v>
      </c>
      <c r="B187">
        <v>2022</v>
      </c>
      <c r="C187">
        <v>1197</v>
      </c>
      <c r="D187">
        <v>99</v>
      </c>
      <c r="E187">
        <v>80</v>
      </c>
      <c r="F187">
        <v>6699.57</v>
      </c>
      <c r="G187">
        <v>6.6834000000000005E-2</v>
      </c>
      <c r="H187">
        <v>17</v>
      </c>
      <c r="I187">
        <v>34</v>
      </c>
      <c r="J187">
        <v>9</v>
      </c>
      <c r="K187">
        <v>10</v>
      </c>
      <c r="L187">
        <v>1</v>
      </c>
      <c r="M187">
        <v>4</v>
      </c>
      <c r="N187">
        <v>5</v>
      </c>
      <c r="O187">
        <v>3</v>
      </c>
      <c r="P187" t="s">
        <v>85</v>
      </c>
    </row>
    <row r="188" spans="1:16" x14ac:dyDescent="0.3">
      <c r="A188">
        <v>93</v>
      </c>
      <c r="B188">
        <v>2022</v>
      </c>
      <c r="C188">
        <v>118</v>
      </c>
      <c r="D188">
        <v>11</v>
      </c>
      <c r="E188">
        <v>10</v>
      </c>
      <c r="F188">
        <v>560.27</v>
      </c>
      <c r="G188">
        <v>8.4746000000000002E-2</v>
      </c>
      <c r="H188">
        <v>13</v>
      </c>
      <c r="I188">
        <v>13</v>
      </c>
      <c r="J188">
        <v>5</v>
      </c>
      <c r="K188">
        <v>8</v>
      </c>
      <c r="L188">
        <v>1</v>
      </c>
      <c r="M188">
        <v>3</v>
      </c>
      <c r="N188">
        <v>4</v>
      </c>
      <c r="O188">
        <v>1</v>
      </c>
      <c r="P188" t="s">
        <v>85</v>
      </c>
    </row>
    <row r="189" spans="1:16" x14ac:dyDescent="0.3">
      <c r="A189">
        <v>94</v>
      </c>
      <c r="B189">
        <v>2022</v>
      </c>
      <c r="C189">
        <v>622</v>
      </c>
      <c r="D189">
        <v>56</v>
      </c>
      <c r="E189">
        <v>42</v>
      </c>
      <c r="F189">
        <v>1704.09</v>
      </c>
      <c r="G189">
        <v>6.7524000000000001E-2</v>
      </c>
      <c r="H189">
        <v>16</v>
      </c>
      <c r="I189">
        <v>24</v>
      </c>
      <c r="J189">
        <v>10</v>
      </c>
      <c r="K189">
        <v>8</v>
      </c>
      <c r="L189">
        <v>1</v>
      </c>
      <c r="M189">
        <v>5</v>
      </c>
      <c r="N189">
        <v>5</v>
      </c>
      <c r="O189">
        <v>3</v>
      </c>
      <c r="P189" t="s">
        <v>85</v>
      </c>
    </row>
    <row r="190" spans="1:16" x14ac:dyDescent="0.3">
      <c r="A190">
        <v>95</v>
      </c>
      <c r="B190">
        <v>2022</v>
      </c>
      <c r="C190">
        <v>1091</v>
      </c>
      <c r="D190">
        <v>46</v>
      </c>
      <c r="E190">
        <v>43</v>
      </c>
      <c r="F190">
        <v>1753.3</v>
      </c>
      <c r="G190">
        <v>3.9412999999999997E-2</v>
      </c>
      <c r="H190">
        <v>11</v>
      </c>
      <c r="I190">
        <v>26</v>
      </c>
      <c r="J190">
        <v>8</v>
      </c>
      <c r="K190">
        <v>3</v>
      </c>
      <c r="L190">
        <v>0</v>
      </c>
      <c r="M190">
        <v>0</v>
      </c>
      <c r="N190">
        <v>1</v>
      </c>
      <c r="O190">
        <v>1</v>
      </c>
      <c r="P190" t="s">
        <v>175</v>
      </c>
    </row>
    <row r="191" spans="1:16" x14ac:dyDescent="0.3">
      <c r="A191">
        <v>96</v>
      </c>
      <c r="B191">
        <v>2022</v>
      </c>
      <c r="C191">
        <v>409</v>
      </c>
      <c r="D191">
        <v>17</v>
      </c>
      <c r="E191">
        <v>13</v>
      </c>
      <c r="F191">
        <v>1242.78</v>
      </c>
      <c r="G191">
        <v>3.1785000000000001E-2</v>
      </c>
      <c r="H191">
        <v>7</v>
      </c>
      <c r="I191">
        <v>16</v>
      </c>
      <c r="J191">
        <v>3</v>
      </c>
      <c r="K191">
        <v>4</v>
      </c>
      <c r="L191">
        <v>1</v>
      </c>
      <c r="M191">
        <v>3</v>
      </c>
      <c r="N191">
        <v>3</v>
      </c>
      <c r="O191">
        <v>2</v>
      </c>
      <c r="P191" t="s">
        <v>68</v>
      </c>
    </row>
    <row r="192" spans="1:16" x14ac:dyDescent="0.3">
      <c r="A192">
        <v>97</v>
      </c>
      <c r="B192">
        <v>2022</v>
      </c>
      <c r="C192">
        <v>337</v>
      </c>
      <c r="D192">
        <v>27</v>
      </c>
      <c r="E192">
        <v>24</v>
      </c>
      <c r="F192">
        <v>2271.9699999999998</v>
      </c>
      <c r="G192">
        <v>7.1217000000000003E-2</v>
      </c>
      <c r="H192">
        <v>15</v>
      </c>
      <c r="I192">
        <v>15</v>
      </c>
      <c r="J192">
        <v>5</v>
      </c>
      <c r="K192">
        <v>5</v>
      </c>
      <c r="L192">
        <v>1</v>
      </c>
      <c r="M192">
        <v>5</v>
      </c>
      <c r="N192">
        <v>5</v>
      </c>
      <c r="O192">
        <v>2</v>
      </c>
      <c r="P192" t="s">
        <v>85</v>
      </c>
    </row>
    <row r="193" spans="1:16" x14ac:dyDescent="0.3">
      <c r="A193">
        <v>98</v>
      </c>
      <c r="B193">
        <v>2022</v>
      </c>
      <c r="C193">
        <v>323</v>
      </c>
      <c r="D193">
        <v>12</v>
      </c>
      <c r="E193">
        <v>11</v>
      </c>
      <c r="F193">
        <v>488.52</v>
      </c>
      <c r="G193">
        <v>3.4056000000000003E-2</v>
      </c>
      <c r="H193">
        <v>6</v>
      </c>
      <c r="I193">
        <v>9</v>
      </c>
      <c r="J193">
        <v>3</v>
      </c>
      <c r="K193">
        <v>2</v>
      </c>
      <c r="L193">
        <v>0</v>
      </c>
      <c r="M193">
        <v>1</v>
      </c>
      <c r="N193">
        <v>1</v>
      </c>
      <c r="O193">
        <v>1</v>
      </c>
      <c r="P193" t="s">
        <v>176</v>
      </c>
    </row>
    <row r="194" spans="1:16" x14ac:dyDescent="0.3">
      <c r="A194">
        <v>99</v>
      </c>
      <c r="B194">
        <v>2022</v>
      </c>
      <c r="C194">
        <v>428</v>
      </c>
      <c r="D194">
        <v>29</v>
      </c>
      <c r="E194">
        <v>24</v>
      </c>
      <c r="F194">
        <v>2014.68</v>
      </c>
      <c r="G194">
        <v>5.6075E-2</v>
      </c>
      <c r="H194">
        <v>11</v>
      </c>
      <c r="I194">
        <v>15</v>
      </c>
      <c r="J194">
        <v>4</v>
      </c>
      <c r="K194">
        <v>4</v>
      </c>
      <c r="L194">
        <v>0</v>
      </c>
      <c r="M194">
        <v>2</v>
      </c>
      <c r="N194">
        <v>4</v>
      </c>
      <c r="O194">
        <v>2</v>
      </c>
      <c r="P194" t="s">
        <v>85</v>
      </c>
    </row>
    <row r="195" spans="1:16" x14ac:dyDescent="0.3">
      <c r="A195">
        <v>100</v>
      </c>
      <c r="B195">
        <v>2022</v>
      </c>
      <c r="C195">
        <v>1046</v>
      </c>
      <c r="D195">
        <v>93</v>
      </c>
      <c r="E195">
        <v>69</v>
      </c>
      <c r="F195">
        <v>3599.75</v>
      </c>
      <c r="G195">
        <v>6.5965999999999997E-2</v>
      </c>
      <c r="H195">
        <v>26</v>
      </c>
      <c r="I195">
        <v>30</v>
      </c>
      <c r="J195">
        <v>13</v>
      </c>
      <c r="K195">
        <v>7</v>
      </c>
      <c r="L195">
        <v>1</v>
      </c>
      <c r="M195">
        <v>5</v>
      </c>
      <c r="N195">
        <v>6</v>
      </c>
      <c r="O195">
        <v>5</v>
      </c>
      <c r="P195" t="s">
        <v>85</v>
      </c>
    </row>
    <row r="196" spans="1:16" x14ac:dyDescent="0.3">
      <c r="A196">
        <v>1</v>
      </c>
      <c r="B196">
        <v>2023</v>
      </c>
      <c r="C196">
        <v>398</v>
      </c>
      <c r="D196">
        <v>20</v>
      </c>
      <c r="E196">
        <v>15</v>
      </c>
      <c r="F196">
        <v>518.55999999999995</v>
      </c>
      <c r="G196">
        <v>3.7687999999999999E-2</v>
      </c>
      <c r="H196">
        <v>10</v>
      </c>
      <c r="I196">
        <v>10</v>
      </c>
      <c r="J196">
        <v>4</v>
      </c>
      <c r="K196">
        <v>4</v>
      </c>
      <c r="L196">
        <v>0</v>
      </c>
      <c r="M196">
        <v>1</v>
      </c>
      <c r="N196">
        <v>2</v>
      </c>
      <c r="O196">
        <v>0</v>
      </c>
      <c r="P196" t="s">
        <v>175</v>
      </c>
    </row>
    <row r="197" spans="1:16" x14ac:dyDescent="0.3">
      <c r="A197">
        <v>2</v>
      </c>
      <c r="B197">
        <v>2023</v>
      </c>
      <c r="C197">
        <v>713</v>
      </c>
      <c r="D197">
        <v>68</v>
      </c>
      <c r="E197">
        <v>64</v>
      </c>
      <c r="F197">
        <v>2858.51</v>
      </c>
      <c r="G197">
        <v>8.9761999999999995E-2</v>
      </c>
      <c r="H197">
        <v>30</v>
      </c>
      <c r="I197">
        <v>30</v>
      </c>
      <c r="J197">
        <v>13</v>
      </c>
      <c r="K197">
        <v>11</v>
      </c>
      <c r="L197">
        <v>1</v>
      </c>
      <c r="M197">
        <v>6</v>
      </c>
      <c r="N197">
        <v>6</v>
      </c>
      <c r="O197">
        <v>3</v>
      </c>
      <c r="P197" t="s">
        <v>85</v>
      </c>
    </row>
    <row r="198" spans="1:16" x14ac:dyDescent="0.3">
      <c r="A198">
        <v>3</v>
      </c>
      <c r="B198">
        <v>2023</v>
      </c>
      <c r="C198">
        <v>547</v>
      </c>
      <c r="D198">
        <v>49</v>
      </c>
      <c r="E198">
        <v>39</v>
      </c>
      <c r="F198">
        <v>3621.02</v>
      </c>
      <c r="G198">
        <v>7.1298E-2</v>
      </c>
      <c r="H198">
        <v>20</v>
      </c>
      <c r="I198">
        <v>23</v>
      </c>
      <c r="J198">
        <v>10</v>
      </c>
      <c r="K198">
        <v>7</v>
      </c>
      <c r="L198">
        <v>1</v>
      </c>
      <c r="M198">
        <v>5</v>
      </c>
      <c r="N198">
        <v>6</v>
      </c>
      <c r="O198">
        <v>4</v>
      </c>
      <c r="P198" t="s">
        <v>85</v>
      </c>
    </row>
    <row r="199" spans="1:16" x14ac:dyDescent="0.3">
      <c r="A199">
        <v>4</v>
      </c>
      <c r="B199">
        <v>2023</v>
      </c>
      <c r="C199">
        <v>1603</v>
      </c>
      <c r="D199">
        <v>147</v>
      </c>
      <c r="E199">
        <v>121</v>
      </c>
      <c r="F199">
        <v>13785.04</v>
      </c>
      <c r="G199">
        <v>7.5482999999999995E-2</v>
      </c>
      <c r="H199">
        <v>21</v>
      </c>
      <c r="I199">
        <v>52</v>
      </c>
      <c r="J199">
        <v>18</v>
      </c>
      <c r="K199">
        <v>7</v>
      </c>
      <c r="L199">
        <v>1</v>
      </c>
      <c r="M199">
        <v>5</v>
      </c>
      <c r="N199">
        <v>5</v>
      </c>
      <c r="O199">
        <v>11</v>
      </c>
      <c r="P199" t="s">
        <v>85</v>
      </c>
    </row>
    <row r="200" spans="1:16" x14ac:dyDescent="0.3">
      <c r="A200">
        <v>5</v>
      </c>
      <c r="B200">
        <v>2023</v>
      </c>
      <c r="C200">
        <v>631</v>
      </c>
      <c r="D200">
        <v>50</v>
      </c>
      <c r="E200">
        <v>47</v>
      </c>
      <c r="F200">
        <v>3658.1</v>
      </c>
      <c r="G200">
        <v>7.4484999999999996E-2</v>
      </c>
      <c r="H200">
        <v>31</v>
      </c>
      <c r="I200">
        <v>31</v>
      </c>
      <c r="J200">
        <v>8</v>
      </c>
      <c r="K200">
        <v>13</v>
      </c>
      <c r="L200">
        <v>1</v>
      </c>
      <c r="M200">
        <v>5</v>
      </c>
      <c r="N200">
        <v>8</v>
      </c>
      <c r="O200">
        <v>4</v>
      </c>
      <c r="P200" t="s">
        <v>85</v>
      </c>
    </row>
    <row r="201" spans="1:16" x14ac:dyDescent="0.3">
      <c r="A201">
        <v>6</v>
      </c>
      <c r="B201">
        <v>2023</v>
      </c>
      <c r="C201">
        <v>1043</v>
      </c>
      <c r="D201">
        <v>84</v>
      </c>
      <c r="E201">
        <v>62</v>
      </c>
      <c r="F201">
        <v>5478.44</v>
      </c>
      <c r="G201">
        <v>5.9443999999999997E-2</v>
      </c>
      <c r="H201">
        <v>16</v>
      </c>
      <c r="I201">
        <v>30</v>
      </c>
      <c r="J201">
        <v>10</v>
      </c>
      <c r="K201">
        <v>6</v>
      </c>
      <c r="L201">
        <v>1</v>
      </c>
      <c r="M201">
        <v>5</v>
      </c>
      <c r="N201">
        <v>5</v>
      </c>
      <c r="O201">
        <v>5</v>
      </c>
      <c r="P201" t="s">
        <v>85</v>
      </c>
    </row>
    <row r="202" spans="1:16" x14ac:dyDescent="0.3">
      <c r="A202">
        <v>7</v>
      </c>
      <c r="B202">
        <v>2023</v>
      </c>
      <c r="C202">
        <v>1308</v>
      </c>
      <c r="D202">
        <v>126</v>
      </c>
      <c r="E202">
        <v>100</v>
      </c>
      <c r="F202">
        <v>4483.95</v>
      </c>
      <c r="G202">
        <v>7.6452999999999993E-2</v>
      </c>
      <c r="H202">
        <v>23</v>
      </c>
      <c r="I202">
        <v>41</v>
      </c>
      <c r="J202">
        <v>17</v>
      </c>
      <c r="K202">
        <v>11</v>
      </c>
      <c r="L202">
        <v>1</v>
      </c>
      <c r="M202">
        <v>5</v>
      </c>
      <c r="N202">
        <v>9</v>
      </c>
      <c r="O202">
        <v>4</v>
      </c>
      <c r="P202" t="s">
        <v>85</v>
      </c>
    </row>
    <row r="203" spans="1:16" x14ac:dyDescent="0.3">
      <c r="A203">
        <v>8</v>
      </c>
      <c r="B203">
        <v>2023</v>
      </c>
      <c r="C203">
        <v>1504</v>
      </c>
      <c r="D203">
        <v>117</v>
      </c>
      <c r="E203">
        <v>94</v>
      </c>
      <c r="F203">
        <v>9386.99</v>
      </c>
      <c r="G203">
        <v>6.25E-2</v>
      </c>
      <c r="H203">
        <v>23</v>
      </c>
      <c r="I203">
        <v>45</v>
      </c>
      <c r="J203">
        <v>14</v>
      </c>
      <c r="K203">
        <v>12</v>
      </c>
      <c r="L203">
        <v>1</v>
      </c>
      <c r="M203">
        <v>7</v>
      </c>
      <c r="N203">
        <v>8</v>
      </c>
      <c r="O203">
        <v>6</v>
      </c>
      <c r="P203" t="s">
        <v>85</v>
      </c>
    </row>
    <row r="204" spans="1:16" x14ac:dyDescent="0.3">
      <c r="A204">
        <v>9</v>
      </c>
      <c r="B204">
        <v>2023</v>
      </c>
      <c r="C204">
        <v>1304</v>
      </c>
      <c r="D204">
        <v>116</v>
      </c>
      <c r="E204">
        <v>91</v>
      </c>
      <c r="F204">
        <v>4173.96</v>
      </c>
      <c r="G204">
        <v>6.9785E-2</v>
      </c>
      <c r="H204">
        <v>11</v>
      </c>
      <c r="I204">
        <v>37</v>
      </c>
      <c r="J204">
        <v>22</v>
      </c>
      <c r="K204">
        <v>5</v>
      </c>
      <c r="L204">
        <v>0</v>
      </c>
      <c r="M204">
        <v>2</v>
      </c>
      <c r="N204">
        <v>3</v>
      </c>
      <c r="O204">
        <v>4</v>
      </c>
      <c r="P204" t="s">
        <v>68</v>
      </c>
    </row>
    <row r="205" spans="1:16" x14ac:dyDescent="0.3">
      <c r="A205">
        <v>10</v>
      </c>
      <c r="B205">
        <v>2023</v>
      </c>
      <c r="C205">
        <v>733</v>
      </c>
      <c r="D205">
        <v>48</v>
      </c>
      <c r="E205">
        <v>40</v>
      </c>
      <c r="F205">
        <v>1448.88</v>
      </c>
      <c r="G205">
        <v>5.457E-2</v>
      </c>
      <c r="H205">
        <v>21</v>
      </c>
      <c r="I205">
        <v>21</v>
      </c>
      <c r="J205">
        <v>5</v>
      </c>
      <c r="K205">
        <v>8</v>
      </c>
      <c r="L205">
        <v>0</v>
      </c>
      <c r="M205">
        <v>1</v>
      </c>
      <c r="N205">
        <v>6</v>
      </c>
      <c r="O205">
        <v>3</v>
      </c>
      <c r="P205" t="s">
        <v>175</v>
      </c>
    </row>
    <row r="206" spans="1:16" x14ac:dyDescent="0.3">
      <c r="A206">
        <v>11</v>
      </c>
      <c r="B206">
        <v>2023</v>
      </c>
      <c r="C206">
        <v>862</v>
      </c>
      <c r="D206">
        <v>68</v>
      </c>
      <c r="E206">
        <v>62</v>
      </c>
      <c r="F206">
        <v>5774.28</v>
      </c>
      <c r="G206">
        <v>7.1926000000000004E-2</v>
      </c>
      <c r="H206">
        <v>18</v>
      </c>
      <c r="I206">
        <v>22</v>
      </c>
      <c r="J206">
        <v>10</v>
      </c>
      <c r="K206">
        <v>5</v>
      </c>
      <c r="L206">
        <v>0</v>
      </c>
      <c r="M206">
        <v>2</v>
      </c>
      <c r="N206">
        <v>3</v>
      </c>
      <c r="O206">
        <v>4</v>
      </c>
      <c r="P206" t="s">
        <v>68</v>
      </c>
    </row>
    <row r="207" spans="1:16" x14ac:dyDescent="0.3">
      <c r="A207">
        <v>12</v>
      </c>
      <c r="B207">
        <v>2023</v>
      </c>
      <c r="C207">
        <v>1164</v>
      </c>
      <c r="D207">
        <v>113</v>
      </c>
      <c r="E207">
        <v>103</v>
      </c>
      <c r="F207">
        <v>6600.73</v>
      </c>
      <c r="G207">
        <v>8.8487999999999997E-2</v>
      </c>
      <c r="H207">
        <v>22</v>
      </c>
      <c r="I207">
        <v>35</v>
      </c>
      <c r="J207">
        <v>16</v>
      </c>
      <c r="K207">
        <v>12</v>
      </c>
      <c r="L207">
        <v>1</v>
      </c>
      <c r="M207">
        <v>6</v>
      </c>
      <c r="N207">
        <v>9</v>
      </c>
      <c r="O207">
        <v>7</v>
      </c>
      <c r="P207" t="s">
        <v>85</v>
      </c>
    </row>
    <row r="208" spans="1:16" x14ac:dyDescent="0.3">
      <c r="A208">
        <v>13</v>
      </c>
      <c r="B208">
        <v>2023</v>
      </c>
      <c r="C208">
        <v>991</v>
      </c>
      <c r="D208">
        <v>59</v>
      </c>
      <c r="E208">
        <v>45</v>
      </c>
      <c r="F208">
        <v>2492.59</v>
      </c>
      <c r="G208">
        <v>4.5408999999999998E-2</v>
      </c>
      <c r="H208">
        <v>19</v>
      </c>
      <c r="I208">
        <v>28</v>
      </c>
      <c r="J208">
        <v>8</v>
      </c>
      <c r="K208">
        <v>11</v>
      </c>
      <c r="L208">
        <v>1</v>
      </c>
      <c r="M208">
        <v>2</v>
      </c>
      <c r="N208">
        <v>6</v>
      </c>
      <c r="O208">
        <v>1</v>
      </c>
      <c r="P208" t="s">
        <v>85</v>
      </c>
    </row>
    <row r="209" spans="1:16" x14ac:dyDescent="0.3">
      <c r="A209">
        <v>14</v>
      </c>
      <c r="B209">
        <v>2023</v>
      </c>
      <c r="C209">
        <v>80</v>
      </c>
      <c r="D209">
        <v>3</v>
      </c>
      <c r="E209">
        <v>2</v>
      </c>
      <c r="F209">
        <v>61.41</v>
      </c>
      <c r="G209">
        <v>2.5000000000000001E-2</v>
      </c>
      <c r="H209">
        <v>4</v>
      </c>
      <c r="I209">
        <v>10</v>
      </c>
      <c r="J209">
        <v>1</v>
      </c>
      <c r="K209">
        <v>1</v>
      </c>
      <c r="L209">
        <v>0</v>
      </c>
      <c r="M209">
        <v>0</v>
      </c>
      <c r="N209">
        <v>1</v>
      </c>
      <c r="O209">
        <v>0</v>
      </c>
      <c r="P209" t="s">
        <v>176</v>
      </c>
    </row>
    <row r="210" spans="1:16" x14ac:dyDescent="0.3">
      <c r="A210">
        <v>15</v>
      </c>
      <c r="B210">
        <v>2023</v>
      </c>
      <c r="C210">
        <v>1671</v>
      </c>
      <c r="D210">
        <v>108</v>
      </c>
      <c r="E210">
        <v>80</v>
      </c>
      <c r="F210">
        <v>4045.77</v>
      </c>
      <c r="G210">
        <v>4.7876000000000002E-2</v>
      </c>
      <c r="H210">
        <v>17</v>
      </c>
      <c r="I210">
        <v>42</v>
      </c>
      <c r="J210">
        <v>15</v>
      </c>
      <c r="K210">
        <v>7</v>
      </c>
      <c r="L210">
        <v>1</v>
      </c>
      <c r="M210">
        <v>4</v>
      </c>
      <c r="N210">
        <v>5</v>
      </c>
      <c r="O210">
        <v>4</v>
      </c>
      <c r="P210" t="s">
        <v>85</v>
      </c>
    </row>
    <row r="211" spans="1:16" x14ac:dyDescent="0.3">
      <c r="A211">
        <v>16</v>
      </c>
      <c r="B211">
        <v>2023</v>
      </c>
      <c r="C211">
        <v>1252</v>
      </c>
      <c r="D211">
        <v>106</v>
      </c>
      <c r="E211">
        <v>86</v>
      </c>
      <c r="F211">
        <v>8302.68</v>
      </c>
      <c r="G211">
        <v>6.8690000000000001E-2</v>
      </c>
      <c r="H211">
        <v>23</v>
      </c>
      <c r="I211">
        <v>38</v>
      </c>
      <c r="J211">
        <v>13</v>
      </c>
      <c r="K211">
        <v>7</v>
      </c>
      <c r="L211">
        <v>1</v>
      </c>
      <c r="M211">
        <v>5</v>
      </c>
      <c r="N211">
        <v>5</v>
      </c>
      <c r="O211">
        <v>4</v>
      </c>
      <c r="P211" t="s">
        <v>85</v>
      </c>
    </row>
    <row r="212" spans="1:16" x14ac:dyDescent="0.3">
      <c r="A212">
        <v>17</v>
      </c>
      <c r="B212">
        <v>2023</v>
      </c>
      <c r="C212">
        <v>1054</v>
      </c>
      <c r="D212">
        <v>80</v>
      </c>
      <c r="E212">
        <v>64</v>
      </c>
      <c r="F212">
        <v>4545.45</v>
      </c>
      <c r="G212">
        <v>6.0720999999999997E-2</v>
      </c>
      <c r="H212">
        <v>11</v>
      </c>
      <c r="I212">
        <v>31</v>
      </c>
      <c r="J212">
        <v>7</v>
      </c>
      <c r="K212">
        <v>6</v>
      </c>
      <c r="L212">
        <v>1</v>
      </c>
      <c r="M212">
        <v>6</v>
      </c>
      <c r="N212">
        <v>4</v>
      </c>
      <c r="O212">
        <v>5</v>
      </c>
      <c r="P212" t="s">
        <v>85</v>
      </c>
    </row>
    <row r="213" spans="1:16" x14ac:dyDescent="0.3">
      <c r="A213">
        <v>19</v>
      </c>
      <c r="B213">
        <v>2023</v>
      </c>
      <c r="C213">
        <v>594</v>
      </c>
      <c r="D213">
        <v>27</v>
      </c>
      <c r="E213">
        <v>22</v>
      </c>
      <c r="F213">
        <v>1856.19</v>
      </c>
      <c r="G213">
        <v>3.7037E-2</v>
      </c>
      <c r="H213">
        <v>12</v>
      </c>
      <c r="I213">
        <v>14</v>
      </c>
      <c r="J213">
        <v>6</v>
      </c>
      <c r="K213">
        <v>6</v>
      </c>
      <c r="L213">
        <v>0</v>
      </c>
      <c r="M213">
        <v>2</v>
      </c>
      <c r="N213">
        <v>3</v>
      </c>
      <c r="O213">
        <v>0</v>
      </c>
      <c r="P213" t="s">
        <v>175</v>
      </c>
    </row>
    <row r="214" spans="1:16" x14ac:dyDescent="0.3">
      <c r="A214">
        <v>20</v>
      </c>
      <c r="B214">
        <v>2023</v>
      </c>
      <c r="C214">
        <v>2017</v>
      </c>
      <c r="D214">
        <v>184</v>
      </c>
      <c r="E214">
        <v>163</v>
      </c>
      <c r="F214">
        <v>6824.46</v>
      </c>
      <c r="G214">
        <v>8.0812999999999996E-2</v>
      </c>
      <c r="H214">
        <v>21</v>
      </c>
      <c r="I214">
        <v>60</v>
      </c>
      <c r="J214">
        <v>35</v>
      </c>
      <c r="K214">
        <v>6</v>
      </c>
      <c r="L214">
        <v>1</v>
      </c>
      <c r="M214">
        <v>5</v>
      </c>
      <c r="N214">
        <v>5</v>
      </c>
      <c r="O214">
        <v>11</v>
      </c>
      <c r="P214" t="s">
        <v>85</v>
      </c>
    </row>
    <row r="215" spans="1:16" x14ac:dyDescent="0.3">
      <c r="A215">
        <v>21</v>
      </c>
      <c r="B215">
        <v>2023</v>
      </c>
      <c r="C215">
        <v>1841</v>
      </c>
      <c r="D215">
        <v>149</v>
      </c>
      <c r="E215">
        <v>141</v>
      </c>
      <c r="F215">
        <v>5393.52</v>
      </c>
      <c r="G215">
        <v>7.6589000000000004E-2</v>
      </c>
      <c r="H215">
        <v>26</v>
      </c>
      <c r="I215">
        <v>45</v>
      </c>
      <c r="J215">
        <v>30</v>
      </c>
      <c r="K215">
        <v>11</v>
      </c>
      <c r="L215">
        <v>0</v>
      </c>
      <c r="M215">
        <v>1</v>
      </c>
      <c r="N215">
        <v>5</v>
      </c>
      <c r="O215">
        <v>7</v>
      </c>
      <c r="P215" t="s">
        <v>175</v>
      </c>
    </row>
    <row r="216" spans="1:16" x14ac:dyDescent="0.3">
      <c r="A216">
        <v>22</v>
      </c>
      <c r="B216">
        <v>2023</v>
      </c>
      <c r="C216">
        <v>844</v>
      </c>
      <c r="D216">
        <v>37</v>
      </c>
      <c r="E216">
        <v>31</v>
      </c>
      <c r="F216">
        <v>2418.1</v>
      </c>
      <c r="G216">
        <v>3.6729999999999999E-2</v>
      </c>
      <c r="H216">
        <v>5</v>
      </c>
      <c r="I216">
        <v>24</v>
      </c>
      <c r="J216">
        <v>4</v>
      </c>
      <c r="K216">
        <v>3</v>
      </c>
      <c r="L216">
        <v>0</v>
      </c>
      <c r="M216">
        <v>1</v>
      </c>
      <c r="N216">
        <v>2</v>
      </c>
      <c r="O216">
        <v>1</v>
      </c>
      <c r="P216" t="s">
        <v>175</v>
      </c>
    </row>
    <row r="217" spans="1:16" x14ac:dyDescent="0.3">
      <c r="A217">
        <v>23</v>
      </c>
      <c r="B217">
        <v>2023</v>
      </c>
      <c r="C217">
        <v>1064</v>
      </c>
      <c r="D217">
        <v>69</v>
      </c>
      <c r="E217">
        <v>53</v>
      </c>
      <c r="F217">
        <v>4955.26</v>
      </c>
      <c r="G217">
        <v>4.9812000000000002E-2</v>
      </c>
      <c r="H217">
        <v>19</v>
      </c>
      <c r="I217">
        <v>24</v>
      </c>
      <c r="J217">
        <v>12</v>
      </c>
      <c r="K217">
        <v>10</v>
      </c>
      <c r="L217">
        <v>0</v>
      </c>
      <c r="M217">
        <v>3</v>
      </c>
      <c r="N217">
        <v>6</v>
      </c>
      <c r="O217">
        <v>3</v>
      </c>
      <c r="P217" t="s">
        <v>175</v>
      </c>
    </row>
    <row r="218" spans="1:16" x14ac:dyDescent="0.3">
      <c r="A218">
        <v>24</v>
      </c>
      <c r="B218">
        <v>2023</v>
      </c>
      <c r="C218">
        <v>2408</v>
      </c>
      <c r="D218">
        <v>147</v>
      </c>
      <c r="E218">
        <v>137</v>
      </c>
      <c r="F218">
        <v>8710.77</v>
      </c>
      <c r="G218">
        <v>5.6894E-2</v>
      </c>
      <c r="H218">
        <v>17</v>
      </c>
      <c r="I218">
        <v>50</v>
      </c>
      <c r="J218">
        <v>14</v>
      </c>
      <c r="K218">
        <v>8</v>
      </c>
      <c r="L218">
        <v>1</v>
      </c>
      <c r="M218">
        <v>3</v>
      </c>
      <c r="N218">
        <v>7</v>
      </c>
      <c r="O218">
        <v>8</v>
      </c>
      <c r="P218" t="s">
        <v>85</v>
      </c>
    </row>
    <row r="219" spans="1:16" x14ac:dyDescent="0.3">
      <c r="A219">
        <v>25</v>
      </c>
      <c r="B219">
        <v>2023</v>
      </c>
      <c r="C219">
        <v>1222</v>
      </c>
      <c r="D219">
        <v>73</v>
      </c>
      <c r="E219">
        <v>70</v>
      </c>
      <c r="F219">
        <v>5231.34</v>
      </c>
      <c r="G219">
        <v>5.7283000000000001E-2</v>
      </c>
      <c r="H219">
        <v>20</v>
      </c>
      <c r="I219">
        <v>32</v>
      </c>
      <c r="J219">
        <v>15</v>
      </c>
      <c r="K219">
        <v>8</v>
      </c>
      <c r="L219">
        <v>0</v>
      </c>
      <c r="M219">
        <v>3</v>
      </c>
      <c r="N219">
        <v>5</v>
      </c>
      <c r="O219">
        <v>5</v>
      </c>
      <c r="P219" t="s">
        <v>175</v>
      </c>
    </row>
    <row r="220" spans="1:16" x14ac:dyDescent="0.3">
      <c r="A220">
        <v>26</v>
      </c>
      <c r="B220">
        <v>2023</v>
      </c>
      <c r="C220">
        <v>869</v>
      </c>
      <c r="D220">
        <v>88</v>
      </c>
      <c r="E220">
        <v>69</v>
      </c>
      <c r="F220">
        <v>4960.01</v>
      </c>
      <c r="G220">
        <v>7.9402E-2</v>
      </c>
      <c r="H220">
        <v>26</v>
      </c>
      <c r="I220">
        <v>27</v>
      </c>
      <c r="J220">
        <v>10</v>
      </c>
      <c r="K220">
        <v>13</v>
      </c>
      <c r="L220">
        <v>1</v>
      </c>
      <c r="M220">
        <v>4</v>
      </c>
      <c r="N220">
        <v>7</v>
      </c>
      <c r="O220">
        <v>3</v>
      </c>
      <c r="P220" t="s">
        <v>85</v>
      </c>
    </row>
    <row r="221" spans="1:16" x14ac:dyDescent="0.3">
      <c r="A221">
        <v>27</v>
      </c>
      <c r="B221">
        <v>2023</v>
      </c>
      <c r="C221">
        <v>799</v>
      </c>
      <c r="D221">
        <v>83</v>
      </c>
      <c r="E221">
        <v>65</v>
      </c>
      <c r="F221">
        <v>6184.87</v>
      </c>
      <c r="G221">
        <v>8.1351999999999994E-2</v>
      </c>
      <c r="H221">
        <v>35</v>
      </c>
      <c r="I221">
        <v>35</v>
      </c>
      <c r="J221">
        <v>9</v>
      </c>
      <c r="K221">
        <v>15</v>
      </c>
      <c r="L221">
        <v>0</v>
      </c>
      <c r="M221">
        <v>5</v>
      </c>
      <c r="N221">
        <v>8</v>
      </c>
      <c r="O221">
        <v>4</v>
      </c>
      <c r="P221" t="s">
        <v>175</v>
      </c>
    </row>
    <row r="222" spans="1:16" x14ac:dyDescent="0.3">
      <c r="A222">
        <v>28</v>
      </c>
      <c r="B222">
        <v>2023</v>
      </c>
      <c r="C222">
        <v>1877</v>
      </c>
      <c r="D222">
        <v>99</v>
      </c>
      <c r="E222">
        <v>81</v>
      </c>
      <c r="F222">
        <v>8193.5</v>
      </c>
      <c r="G222">
        <v>4.3153999999999998E-2</v>
      </c>
      <c r="H222">
        <v>18</v>
      </c>
      <c r="I222">
        <v>33</v>
      </c>
      <c r="J222">
        <v>10</v>
      </c>
      <c r="K222">
        <v>8</v>
      </c>
      <c r="L222">
        <v>1</v>
      </c>
      <c r="M222">
        <v>4</v>
      </c>
      <c r="N222">
        <v>5</v>
      </c>
      <c r="O222">
        <v>4</v>
      </c>
      <c r="P222" t="s">
        <v>85</v>
      </c>
    </row>
    <row r="223" spans="1:16" x14ac:dyDescent="0.3">
      <c r="A223">
        <v>29</v>
      </c>
      <c r="B223">
        <v>2023</v>
      </c>
      <c r="C223">
        <v>817</v>
      </c>
      <c r="D223">
        <v>58</v>
      </c>
      <c r="E223">
        <v>43</v>
      </c>
      <c r="F223">
        <v>1736.68</v>
      </c>
      <c r="G223">
        <v>5.2631999999999998E-2</v>
      </c>
      <c r="H223">
        <v>23</v>
      </c>
      <c r="I223">
        <v>23</v>
      </c>
      <c r="J223">
        <v>6</v>
      </c>
      <c r="K223">
        <v>13</v>
      </c>
      <c r="L223">
        <v>0</v>
      </c>
      <c r="M223">
        <v>2</v>
      </c>
      <c r="N223">
        <v>3</v>
      </c>
      <c r="O223">
        <v>1</v>
      </c>
      <c r="P223" t="s">
        <v>175</v>
      </c>
    </row>
    <row r="224" spans="1:16" x14ac:dyDescent="0.3">
      <c r="A224">
        <v>30</v>
      </c>
      <c r="B224">
        <v>2023</v>
      </c>
      <c r="C224">
        <v>164</v>
      </c>
      <c r="D224">
        <v>9</v>
      </c>
      <c r="E224">
        <v>8</v>
      </c>
      <c r="F224">
        <v>817.46</v>
      </c>
      <c r="G224">
        <v>4.8779999999999997E-2</v>
      </c>
      <c r="H224">
        <v>10</v>
      </c>
      <c r="I224">
        <v>10</v>
      </c>
      <c r="J224">
        <v>2</v>
      </c>
      <c r="K224">
        <v>5</v>
      </c>
      <c r="L224">
        <v>1</v>
      </c>
      <c r="M224">
        <v>3</v>
      </c>
      <c r="N224">
        <v>4</v>
      </c>
      <c r="O224">
        <v>2</v>
      </c>
      <c r="P224" t="s">
        <v>85</v>
      </c>
    </row>
    <row r="225" spans="1:16" x14ac:dyDescent="0.3">
      <c r="A225">
        <v>31</v>
      </c>
      <c r="B225">
        <v>2023</v>
      </c>
      <c r="C225">
        <v>1521</v>
      </c>
      <c r="D225">
        <v>151</v>
      </c>
      <c r="E225">
        <v>130</v>
      </c>
      <c r="F225">
        <v>12820.56</v>
      </c>
      <c r="G225">
        <v>8.5470000000000004E-2</v>
      </c>
      <c r="H225">
        <v>21</v>
      </c>
      <c r="I225">
        <v>49</v>
      </c>
      <c r="J225">
        <v>30</v>
      </c>
      <c r="K225">
        <v>7</v>
      </c>
      <c r="L225">
        <v>1</v>
      </c>
      <c r="M225">
        <v>3</v>
      </c>
      <c r="N225">
        <v>7</v>
      </c>
      <c r="O225">
        <v>8</v>
      </c>
      <c r="P225" t="s">
        <v>85</v>
      </c>
    </row>
    <row r="226" spans="1:16" x14ac:dyDescent="0.3">
      <c r="A226">
        <v>32</v>
      </c>
      <c r="B226">
        <v>2023</v>
      </c>
      <c r="C226">
        <v>905</v>
      </c>
      <c r="D226">
        <v>51</v>
      </c>
      <c r="E226">
        <v>39</v>
      </c>
      <c r="F226">
        <v>1913.91</v>
      </c>
      <c r="G226">
        <v>4.3094E-2</v>
      </c>
      <c r="H226">
        <v>14</v>
      </c>
      <c r="I226">
        <v>24</v>
      </c>
      <c r="J226">
        <v>8</v>
      </c>
      <c r="K226">
        <v>7</v>
      </c>
      <c r="L226">
        <v>0</v>
      </c>
      <c r="M226">
        <v>1</v>
      </c>
      <c r="N226">
        <v>3</v>
      </c>
      <c r="O226">
        <v>3</v>
      </c>
      <c r="P226" t="s">
        <v>175</v>
      </c>
    </row>
    <row r="227" spans="1:16" x14ac:dyDescent="0.3">
      <c r="A227">
        <v>33</v>
      </c>
      <c r="B227">
        <v>2023</v>
      </c>
      <c r="C227">
        <v>636</v>
      </c>
      <c r="D227">
        <v>62</v>
      </c>
      <c r="E227">
        <v>51</v>
      </c>
      <c r="F227">
        <v>5563.37</v>
      </c>
      <c r="G227">
        <v>8.0188999999999996E-2</v>
      </c>
      <c r="H227">
        <v>18</v>
      </c>
      <c r="I227">
        <v>24</v>
      </c>
      <c r="J227">
        <v>13</v>
      </c>
      <c r="K227">
        <v>8</v>
      </c>
      <c r="L227">
        <v>1</v>
      </c>
      <c r="M227">
        <v>6</v>
      </c>
      <c r="N227">
        <v>5</v>
      </c>
      <c r="O227">
        <v>5</v>
      </c>
      <c r="P227" t="s">
        <v>85</v>
      </c>
    </row>
    <row r="228" spans="1:16" x14ac:dyDescent="0.3">
      <c r="A228">
        <v>35</v>
      </c>
      <c r="B228">
        <v>2023</v>
      </c>
      <c r="C228">
        <v>344</v>
      </c>
      <c r="D228">
        <v>26</v>
      </c>
      <c r="E228">
        <v>20</v>
      </c>
      <c r="F228">
        <v>1777.15</v>
      </c>
      <c r="G228">
        <v>5.8139999999999997E-2</v>
      </c>
      <c r="H228">
        <v>8</v>
      </c>
      <c r="I228">
        <v>12</v>
      </c>
      <c r="J228">
        <v>4</v>
      </c>
      <c r="K228">
        <v>4</v>
      </c>
      <c r="L228">
        <v>1</v>
      </c>
      <c r="M228">
        <v>4</v>
      </c>
      <c r="N228">
        <v>3</v>
      </c>
      <c r="O228">
        <v>2</v>
      </c>
      <c r="P228" t="s">
        <v>68</v>
      </c>
    </row>
    <row r="229" spans="1:16" x14ac:dyDescent="0.3">
      <c r="A229">
        <v>36</v>
      </c>
      <c r="B229">
        <v>2023</v>
      </c>
      <c r="C229">
        <v>781</v>
      </c>
      <c r="D229">
        <v>44</v>
      </c>
      <c r="E229">
        <v>37</v>
      </c>
      <c r="F229">
        <v>1435.89</v>
      </c>
      <c r="G229">
        <v>4.7375E-2</v>
      </c>
      <c r="H229">
        <v>15</v>
      </c>
      <c r="I229">
        <v>15</v>
      </c>
      <c r="J229">
        <v>7</v>
      </c>
      <c r="K229">
        <v>7</v>
      </c>
      <c r="L229">
        <v>0</v>
      </c>
      <c r="M229">
        <v>1</v>
      </c>
      <c r="N229">
        <v>2</v>
      </c>
      <c r="O229">
        <v>2</v>
      </c>
      <c r="P229" t="s">
        <v>175</v>
      </c>
    </row>
    <row r="230" spans="1:16" x14ac:dyDescent="0.3">
      <c r="A230">
        <v>37</v>
      </c>
      <c r="B230">
        <v>2023</v>
      </c>
      <c r="C230">
        <v>1621</v>
      </c>
      <c r="D230">
        <v>171</v>
      </c>
      <c r="E230">
        <v>127</v>
      </c>
      <c r="F230">
        <v>6607.85</v>
      </c>
      <c r="G230">
        <v>7.8347E-2</v>
      </c>
      <c r="H230">
        <v>36</v>
      </c>
      <c r="I230">
        <v>51</v>
      </c>
      <c r="J230">
        <v>28</v>
      </c>
      <c r="K230">
        <v>14</v>
      </c>
      <c r="L230">
        <v>0</v>
      </c>
      <c r="M230">
        <v>3</v>
      </c>
      <c r="N230">
        <v>9</v>
      </c>
      <c r="O230">
        <v>3</v>
      </c>
      <c r="P230" t="s">
        <v>85</v>
      </c>
    </row>
    <row r="231" spans="1:16" x14ac:dyDescent="0.3">
      <c r="A231">
        <v>38</v>
      </c>
      <c r="B231">
        <v>2023</v>
      </c>
      <c r="C231">
        <v>1861</v>
      </c>
      <c r="D231">
        <v>178</v>
      </c>
      <c r="E231">
        <v>143</v>
      </c>
      <c r="F231">
        <v>9852.93</v>
      </c>
      <c r="G231">
        <v>7.6840000000000006E-2</v>
      </c>
      <c r="H231">
        <v>25</v>
      </c>
      <c r="I231">
        <v>56</v>
      </c>
      <c r="J231">
        <v>29</v>
      </c>
      <c r="K231">
        <v>7</v>
      </c>
      <c r="L231">
        <v>1</v>
      </c>
      <c r="M231">
        <v>4</v>
      </c>
      <c r="N231">
        <v>7</v>
      </c>
      <c r="O231">
        <v>6</v>
      </c>
      <c r="P231" t="s">
        <v>85</v>
      </c>
    </row>
    <row r="232" spans="1:16" x14ac:dyDescent="0.3">
      <c r="A232">
        <v>40</v>
      </c>
      <c r="B232">
        <v>2023</v>
      </c>
      <c r="C232">
        <v>831</v>
      </c>
      <c r="D232">
        <v>69</v>
      </c>
      <c r="E232">
        <v>65</v>
      </c>
      <c r="F232">
        <v>3623.07</v>
      </c>
      <c r="G232">
        <v>7.8218999999999997E-2</v>
      </c>
      <c r="H232">
        <v>9</v>
      </c>
      <c r="I232">
        <v>22</v>
      </c>
      <c r="J232">
        <v>15</v>
      </c>
      <c r="K232">
        <v>5</v>
      </c>
      <c r="L232">
        <v>1</v>
      </c>
      <c r="M232">
        <v>4</v>
      </c>
      <c r="N232">
        <v>4</v>
      </c>
      <c r="O232">
        <v>5</v>
      </c>
      <c r="P232" t="s">
        <v>85</v>
      </c>
    </row>
    <row r="233" spans="1:16" x14ac:dyDescent="0.3">
      <c r="A233">
        <v>41</v>
      </c>
      <c r="B233">
        <v>2023</v>
      </c>
      <c r="C233">
        <v>218</v>
      </c>
      <c r="D233">
        <v>11</v>
      </c>
      <c r="E233">
        <v>9</v>
      </c>
      <c r="F233">
        <v>623.83000000000004</v>
      </c>
      <c r="G233">
        <v>4.1284000000000001E-2</v>
      </c>
      <c r="H233">
        <v>11</v>
      </c>
      <c r="I233">
        <v>11</v>
      </c>
      <c r="J233">
        <v>2</v>
      </c>
      <c r="K233">
        <v>3</v>
      </c>
      <c r="L233">
        <v>0</v>
      </c>
      <c r="M233">
        <v>0</v>
      </c>
      <c r="N233">
        <v>2</v>
      </c>
      <c r="O233">
        <v>0</v>
      </c>
      <c r="P233" t="s">
        <v>68</v>
      </c>
    </row>
    <row r="234" spans="1:16" x14ac:dyDescent="0.3">
      <c r="A234">
        <v>42</v>
      </c>
      <c r="B234">
        <v>2023</v>
      </c>
      <c r="C234">
        <v>985</v>
      </c>
      <c r="D234">
        <v>82</v>
      </c>
      <c r="E234">
        <v>69</v>
      </c>
      <c r="F234">
        <v>7629.3</v>
      </c>
      <c r="G234">
        <v>7.0051000000000002E-2</v>
      </c>
      <c r="H234">
        <v>13</v>
      </c>
      <c r="I234">
        <v>31</v>
      </c>
      <c r="J234">
        <v>10</v>
      </c>
      <c r="K234">
        <v>6</v>
      </c>
      <c r="L234">
        <v>1</v>
      </c>
      <c r="M234">
        <v>5</v>
      </c>
      <c r="N234">
        <v>5</v>
      </c>
      <c r="O234">
        <v>4</v>
      </c>
      <c r="P234" t="s">
        <v>85</v>
      </c>
    </row>
    <row r="235" spans="1:16" x14ac:dyDescent="0.3">
      <c r="A235">
        <v>43</v>
      </c>
      <c r="B235">
        <v>2023</v>
      </c>
      <c r="C235">
        <v>903</v>
      </c>
      <c r="D235">
        <v>49</v>
      </c>
      <c r="E235">
        <v>39</v>
      </c>
      <c r="F235">
        <v>2995.45</v>
      </c>
      <c r="G235">
        <v>4.3188999999999998E-2</v>
      </c>
      <c r="H235">
        <v>11</v>
      </c>
      <c r="I235">
        <v>22</v>
      </c>
      <c r="J235">
        <v>5</v>
      </c>
      <c r="K235">
        <v>10</v>
      </c>
      <c r="L235">
        <v>1</v>
      </c>
      <c r="M235">
        <v>5</v>
      </c>
      <c r="N235">
        <v>4</v>
      </c>
      <c r="O235">
        <v>4</v>
      </c>
      <c r="P235" t="s">
        <v>85</v>
      </c>
    </row>
    <row r="236" spans="1:16" x14ac:dyDescent="0.3">
      <c r="A236">
        <v>44</v>
      </c>
      <c r="B236">
        <v>2023</v>
      </c>
      <c r="C236">
        <v>610</v>
      </c>
      <c r="D236">
        <v>22</v>
      </c>
      <c r="E236">
        <v>17</v>
      </c>
      <c r="F236">
        <v>695.27</v>
      </c>
      <c r="G236">
        <v>2.7869000000000001E-2</v>
      </c>
      <c r="H236">
        <v>11</v>
      </c>
      <c r="I236">
        <v>11</v>
      </c>
      <c r="J236">
        <v>4</v>
      </c>
      <c r="K236">
        <v>5</v>
      </c>
      <c r="L236">
        <v>0</v>
      </c>
      <c r="M236">
        <v>1</v>
      </c>
      <c r="N236">
        <v>2</v>
      </c>
      <c r="O236">
        <v>1</v>
      </c>
      <c r="P236" t="s">
        <v>175</v>
      </c>
    </row>
    <row r="237" spans="1:16" x14ac:dyDescent="0.3">
      <c r="A237">
        <v>45</v>
      </c>
      <c r="B237">
        <v>2023</v>
      </c>
      <c r="C237">
        <v>1779</v>
      </c>
      <c r="D237">
        <v>92</v>
      </c>
      <c r="E237">
        <v>76</v>
      </c>
      <c r="F237">
        <v>4038.47</v>
      </c>
      <c r="G237">
        <v>4.2721000000000002E-2</v>
      </c>
      <c r="H237">
        <v>12</v>
      </c>
      <c r="I237">
        <v>36</v>
      </c>
      <c r="J237">
        <v>7</v>
      </c>
      <c r="K237">
        <v>5</v>
      </c>
      <c r="L237">
        <v>0</v>
      </c>
      <c r="M237">
        <v>1</v>
      </c>
      <c r="N237">
        <v>2</v>
      </c>
      <c r="O237">
        <v>5</v>
      </c>
      <c r="P237" t="s">
        <v>175</v>
      </c>
    </row>
    <row r="238" spans="1:16" x14ac:dyDescent="0.3">
      <c r="A238">
        <v>46</v>
      </c>
      <c r="B238">
        <v>2023</v>
      </c>
      <c r="C238">
        <v>612</v>
      </c>
      <c r="D238">
        <v>26</v>
      </c>
      <c r="E238">
        <v>22</v>
      </c>
      <c r="F238">
        <v>1076.1500000000001</v>
      </c>
      <c r="G238">
        <v>3.5948000000000001E-2</v>
      </c>
      <c r="H238">
        <v>6</v>
      </c>
      <c r="I238">
        <v>20</v>
      </c>
      <c r="J238">
        <v>5</v>
      </c>
      <c r="K238">
        <v>2</v>
      </c>
      <c r="L238">
        <v>1</v>
      </c>
      <c r="M238">
        <v>2</v>
      </c>
      <c r="N238">
        <v>1</v>
      </c>
      <c r="O238">
        <v>1</v>
      </c>
      <c r="P238" t="s">
        <v>176</v>
      </c>
    </row>
    <row r="239" spans="1:16" x14ac:dyDescent="0.3">
      <c r="A239">
        <v>47</v>
      </c>
      <c r="B239">
        <v>2023</v>
      </c>
      <c r="C239">
        <v>2614</v>
      </c>
      <c r="D239">
        <v>262</v>
      </c>
      <c r="E239">
        <v>191</v>
      </c>
      <c r="F239">
        <v>18818.82</v>
      </c>
      <c r="G239">
        <v>7.3067999999999994E-2</v>
      </c>
      <c r="H239">
        <v>36</v>
      </c>
      <c r="I239">
        <v>83</v>
      </c>
      <c r="J239">
        <v>34</v>
      </c>
      <c r="K239">
        <v>22</v>
      </c>
      <c r="L239">
        <v>1</v>
      </c>
      <c r="M239">
        <v>8</v>
      </c>
      <c r="N239">
        <v>12</v>
      </c>
      <c r="O239">
        <v>13</v>
      </c>
      <c r="P239" t="s">
        <v>85</v>
      </c>
    </row>
    <row r="240" spans="1:16" x14ac:dyDescent="0.3">
      <c r="A240">
        <v>48</v>
      </c>
      <c r="B240">
        <v>2023</v>
      </c>
      <c r="C240">
        <v>537</v>
      </c>
      <c r="D240">
        <v>40</v>
      </c>
      <c r="E240">
        <v>37</v>
      </c>
      <c r="F240">
        <v>2032.1</v>
      </c>
      <c r="G240">
        <v>6.8901000000000004E-2</v>
      </c>
      <c r="H240">
        <v>16</v>
      </c>
      <c r="I240">
        <v>19</v>
      </c>
      <c r="J240">
        <v>7</v>
      </c>
      <c r="K240">
        <v>5</v>
      </c>
      <c r="L240">
        <v>1</v>
      </c>
      <c r="M240">
        <v>5</v>
      </c>
      <c r="N240">
        <v>5</v>
      </c>
      <c r="O240">
        <v>1</v>
      </c>
      <c r="P240" t="s">
        <v>85</v>
      </c>
    </row>
    <row r="241" spans="1:16" x14ac:dyDescent="0.3">
      <c r="A241">
        <v>49</v>
      </c>
      <c r="B241">
        <v>2023</v>
      </c>
      <c r="C241">
        <v>1110</v>
      </c>
      <c r="D241">
        <v>106</v>
      </c>
      <c r="E241">
        <v>96</v>
      </c>
      <c r="F241">
        <v>6230.63</v>
      </c>
      <c r="G241">
        <v>8.6485999999999993E-2</v>
      </c>
      <c r="H241">
        <v>30</v>
      </c>
      <c r="I241">
        <v>36</v>
      </c>
      <c r="J241">
        <v>10</v>
      </c>
      <c r="K241">
        <v>15</v>
      </c>
      <c r="L241">
        <v>1</v>
      </c>
      <c r="M241">
        <v>7</v>
      </c>
      <c r="N241">
        <v>5</v>
      </c>
      <c r="O241">
        <v>5</v>
      </c>
      <c r="P241" t="s">
        <v>85</v>
      </c>
    </row>
    <row r="242" spans="1:16" x14ac:dyDescent="0.3">
      <c r="A242">
        <v>50</v>
      </c>
      <c r="B242">
        <v>2023</v>
      </c>
      <c r="C242">
        <v>761</v>
      </c>
      <c r="D242">
        <v>45</v>
      </c>
      <c r="E242">
        <v>33</v>
      </c>
      <c r="F242">
        <v>2301.79</v>
      </c>
      <c r="G242">
        <v>4.3364E-2</v>
      </c>
      <c r="H242">
        <v>20</v>
      </c>
      <c r="I242">
        <v>20</v>
      </c>
      <c r="J242">
        <v>7</v>
      </c>
      <c r="K242">
        <v>7</v>
      </c>
      <c r="L242">
        <v>0</v>
      </c>
      <c r="M242">
        <v>1</v>
      </c>
      <c r="N242">
        <v>3</v>
      </c>
      <c r="O242">
        <v>1</v>
      </c>
      <c r="P242" t="s">
        <v>175</v>
      </c>
    </row>
    <row r="243" spans="1:16" x14ac:dyDescent="0.3">
      <c r="A243">
        <v>51</v>
      </c>
      <c r="B243">
        <v>2023</v>
      </c>
      <c r="C243">
        <v>1780</v>
      </c>
      <c r="D243">
        <v>104</v>
      </c>
      <c r="E243">
        <v>90</v>
      </c>
      <c r="F243">
        <v>6471.19</v>
      </c>
      <c r="G243">
        <v>5.0562000000000003E-2</v>
      </c>
      <c r="H243">
        <v>30</v>
      </c>
      <c r="I243">
        <v>40</v>
      </c>
      <c r="J243">
        <v>13</v>
      </c>
      <c r="K243">
        <v>13</v>
      </c>
      <c r="L243">
        <v>0</v>
      </c>
      <c r="M243">
        <v>4</v>
      </c>
      <c r="N243">
        <v>7</v>
      </c>
      <c r="O243">
        <v>5</v>
      </c>
      <c r="P243" t="s">
        <v>68</v>
      </c>
    </row>
    <row r="244" spans="1:16" x14ac:dyDescent="0.3">
      <c r="A244">
        <v>52</v>
      </c>
      <c r="B244">
        <v>2023</v>
      </c>
      <c r="C244">
        <v>687</v>
      </c>
      <c r="D244">
        <v>66</v>
      </c>
      <c r="E244">
        <v>55</v>
      </c>
      <c r="F244">
        <v>3993.65</v>
      </c>
      <c r="G244">
        <v>8.0058000000000004E-2</v>
      </c>
      <c r="H244">
        <v>23</v>
      </c>
      <c r="I244">
        <v>23</v>
      </c>
      <c r="J244">
        <v>12</v>
      </c>
      <c r="K244">
        <v>8</v>
      </c>
      <c r="L244">
        <v>1</v>
      </c>
      <c r="M244">
        <v>5</v>
      </c>
      <c r="N244">
        <v>6</v>
      </c>
      <c r="O244">
        <v>4</v>
      </c>
      <c r="P244" t="s">
        <v>85</v>
      </c>
    </row>
    <row r="245" spans="1:16" x14ac:dyDescent="0.3">
      <c r="A245">
        <v>53</v>
      </c>
      <c r="B245">
        <v>2023</v>
      </c>
      <c r="C245">
        <v>705</v>
      </c>
      <c r="D245">
        <v>51</v>
      </c>
      <c r="E245">
        <v>45</v>
      </c>
      <c r="F245">
        <v>3242.24</v>
      </c>
      <c r="G245">
        <v>6.3829999999999998E-2</v>
      </c>
      <c r="H245">
        <v>9</v>
      </c>
      <c r="I245">
        <v>26</v>
      </c>
      <c r="J245">
        <v>8</v>
      </c>
      <c r="K245">
        <v>3</v>
      </c>
      <c r="L245">
        <v>1</v>
      </c>
      <c r="M245">
        <v>3</v>
      </c>
      <c r="N245">
        <v>4</v>
      </c>
      <c r="O245">
        <v>2</v>
      </c>
      <c r="P245" t="s">
        <v>68</v>
      </c>
    </row>
    <row r="246" spans="1:16" x14ac:dyDescent="0.3">
      <c r="A246">
        <v>54</v>
      </c>
      <c r="B246">
        <v>2023</v>
      </c>
      <c r="C246">
        <v>1799</v>
      </c>
      <c r="D246">
        <v>185</v>
      </c>
      <c r="E246">
        <v>144</v>
      </c>
      <c r="F246">
        <v>11074.3</v>
      </c>
      <c r="G246">
        <v>8.0044000000000004E-2</v>
      </c>
      <c r="H246">
        <v>41</v>
      </c>
      <c r="I246">
        <v>60</v>
      </c>
      <c r="J246">
        <v>33</v>
      </c>
      <c r="K246">
        <v>12</v>
      </c>
      <c r="L246">
        <v>1</v>
      </c>
      <c r="M246">
        <v>7</v>
      </c>
      <c r="N246">
        <v>6</v>
      </c>
      <c r="O246">
        <v>10</v>
      </c>
      <c r="P246" t="s">
        <v>85</v>
      </c>
    </row>
    <row r="247" spans="1:16" x14ac:dyDescent="0.3">
      <c r="A247">
        <v>55</v>
      </c>
      <c r="B247">
        <v>2023</v>
      </c>
      <c r="C247">
        <v>1116</v>
      </c>
      <c r="D247">
        <v>99</v>
      </c>
      <c r="E247">
        <v>83</v>
      </c>
      <c r="F247">
        <v>3507.6</v>
      </c>
      <c r="G247">
        <v>7.4372999999999995E-2</v>
      </c>
      <c r="H247">
        <v>22</v>
      </c>
      <c r="I247">
        <v>33</v>
      </c>
      <c r="J247">
        <v>15</v>
      </c>
      <c r="K247">
        <v>12</v>
      </c>
      <c r="L247">
        <v>1</v>
      </c>
      <c r="M247">
        <v>6</v>
      </c>
      <c r="N247">
        <v>6</v>
      </c>
      <c r="O247">
        <v>4</v>
      </c>
      <c r="P247" t="s">
        <v>85</v>
      </c>
    </row>
    <row r="248" spans="1:16" x14ac:dyDescent="0.3">
      <c r="A248">
        <v>56</v>
      </c>
      <c r="B248">
        <v>2023</v>
      </c>
      <c r="C248">
        <v>1085</v>
      </c>
      <c r="D248">
        <v>54</v>
      </c>
      <c r="E248">
        <v>41</v>
      </c>
      <c r="F248">
        <v>2779.91</v>
      </c>
      <c r="G248">
        <v>3.7788000000000002E-2</v>
      </c>
      <c r="H248">
        <v>22</v>
      </c>
      <c r="I248">
        <v>28</v>
      </c>
      <c r="J248">
        <v>9</v>
      </c>
      <c r="K248">
        <v>7</v>
      </c>
      <c r="L248">
        <v>1</v>
      </c>
      <c r="M248">
        <v>4</v>
      </c>
      <c r="N248">
        <v>4</v>
      </c>
      <c r="O248">
        <v>4</v>
      </c>
      <c r="P248" t="s">
        <v>85</v>
      </c>
    </row>
    <row r="249" spans="1:16" x14ac:dyDescent="0.3">
      <c r="A249">
        <v>57</v>
      </c>
      <c r="B249">
        <v>2023</v>
      </c>
      <c r="C249">
        <v>787</v>
      </c>
      <c r="D249">
        <v>49</v>
      </c>
      <c r="E249">
        <v>37</v>
      </c>
      <c r="F249">
        <v>3637.13</v>
      </c>
      <c r="G249">
        <v>4.7014E-2</v>
      </c>
      <c r="H249">
        <v>10</v>
      </c>
      <c r="I249">
        <v>20</v>
      </c>
      <c r="J249">
        <v>6</v>
      </c>
      <c r="K249">
        <v>5</v>
      </c>
      <c r="L249">
        <v>1</v>
      </c>
      <c r="M249">
        <v>4</v>
      </c>
      <c r="N249">
        <v>4</v>
      </c>
      <c r="O249">
        <v>3</v>
      </c>
      <c r="P249" t="s">
        <v>85</v>
      </c>
    </row>
    <row r="250" spans="1:16" x14ac:dyDescent="0.3">
      <c r="A250">
        <v>58</v>
      </c>
      <c r="B250">
        <v>2023</v>
      </c>
      <c r="C250">
        <v>536</v>
      </c>
      <c r="D250">
        <v>46</v>
      </c>
      <c r="E250">
        <v>35</v>
      </c>
      <c r="F250">
        <v>2828.41</v>
      </c>
      <c r="G250">
        <v>6.5298999999999996E-2</v>
      </c>
      <c r="H250">
        <v>14</v>
      </c>
      <c r="I250">
        <v>22</v>
      </c>
      <c r="J250">
        <v>6</v>
      </c>
      <c r="K250">
        <v>10</v>
      </c>
      <c r="L250">
        <v>1</v>
      </c>
      <c r="M250">
        <v>7</v>
      </c>
      <c r="N250">
        <v>7</v>
      </c>
      <c r="O250">
        <v>3</v>
      </c>
      <c r="P250" t="s">
        <v>85</v>
      </c>
    </row>
    <row r="251" spans="1:16" x14ac:dyDescent="0.3">
      <c r="A251">
        <v>59</v>
      </c>
      <c r="B251">
        <v>2023</v>
      </c>
      <c r="C251">
        <v>1046</v>
      </c>
      <c r="D251">
        <v>93</v>
      </c>
      <c r="E251">
        <v>82</v>
      </c>
      <c r="F251">
        <v>7175.16</v>
      </c>
      <c r="G251">
        <v>7.8394000000000005E-2</v>
      </c>
      <c r="H251">
        <v>14</v>
      </c>
      <c r="I251">
        <v>29</v>
      </c>
      <c r="J251">
        <v>9</v>
      </c>
      <c r="K251">
        <v>6</v>
      </c>
      <c r="L251">
        <v>1</v>
      </c>
      <c r="M251">
        <v>4</v>
      </c>
      <c r="N251">
        <v>4</v>
      </c>
      <c r="O251">
        <v>4</v>
      </c>
      <c r="P251" t="s">
        <v>85</v>
      </c>
    </row>
    <row r="252" spans="1:16" x14ac:dyDescent="0.3">
      <c r="A252">
        <v>60</v>
      </c>
      <c r="B252">
        <v>2023</v>
      </c>
      <c r="C252">
        <v>641</v>
      </c>
      <c r="D252">
        <v>30</v>
      </c>
      <c r="E252">
        <v>22</v>
      </c>
      <c r="F252">
        <v>904.04</v>
      </c>
      <c r="G252">
        <v>3.4320999999999997E-2</v>
      </c>
      <c r="H252">
        <v>9</v>
      </c>
      <c r="I252">
        <v>19</v>
      </c>
      <c r="J252">
        <v>6</v>
      </c>
      <c r="K252">
        <v>3</v>
      </c>
      <c r="L252">
        <v>0</v>
      </c>
      <c r="M252">
        <v>1</v>
      </c>
      <c r="N252">
        <v>2</v>
      </c>
      <c r="O252">
        <v>1</v>
      </c>
      <c r="P252" t="s">
        <v>175</v>
      </c>
    </row>
    <row r="253" spans="1:16" x14ac:dyDescent="0.3">
      <c r="A253">
        <v>61</v>
      </c>
      <c r="B253">
        <v>2023</v>
      </c>
      <c r="C253">
        <v>610</v>
      </c>
      <c r="D253">
        <v>31</v>
      </c>
      <c r="E253">
        <v>29</v>
      </c>
      <c r="F253">
        <v>1043.05</v>
      </c>
      <c r="G253">
        <v>4.7541E-2</v>
      </c>
      <c r="H253">
        <v>12</v>
      </c>
      <c r="I253">
        <v>14</v>
      </c>
      <c r="J253">
        <v>4</v>
      </c>
      <c r="K253">
        <v>10</v>
      </c>
      <c r="L253">
        <v>0</v>
      </c>
      <c r="M253">
        <v>3</v>
      </c>
      <c r="N253">
        <v>4</v>
      </c>
      <c r="O253">
        <v>1</v>
      </c>
      <c r="P253" t="s">
        <v>175</v>
      </c>
    </row>
    <row r="254" spans="1:16" x14ac:dyDescent="0.3">
      <c r="A254">
        <v>62</v>
      </c>
      <c r="B254">
        <v>2023</v>
      </c>
      <c r="C254">
        <v>113</v>
      </c>
      <c r="D254">
        <v>11</v>
      </c>
      <c r="E254">
        <v>9</v>
      </c>
      <c r="F254">
        <v>513.79</v>
      </c>
      <c r="G254">
        <v>7.9645999999999995E-2</v>
      </c>
      <c r="H254">
        <v>11</v>
      </c>
      <c r="I254">
        <v>11</v>
      </c>
      <c r="J254">
        <v>5</v>
      </c>
      <c r="K254">
        <v>4</v>
      </c>
      <c r="L254">
        <v>1</v>
      </c>
      <c r="M254">
        <v>3</v>
      </c>
      <c r="N254">
        <v>3</v>
      </c>
      <c r="O254">
        <v>1</v>
      </c>
      <c r="P254" t="s">
        <v>68</v>
      </c>
    </row>
    <row r="255" spans="1:16" x14ac:dyDescent="0.3">
      <c r="A255">
        <v>63</v>
      </c>
      <c r="B255">
        <v>2023</v>
      </c>
      <c r="C255">
        <v>1926</v>
      </c>
      <c r="D255">
        <v>212</v>
      </c>
      <c r="E255">
        <v>196</v>
      </c>
      <c r="F255">
        <v>17109.48</v>
      </c>
      <c r="G255">
        <v>0.10176499999999999</v>
      </c>
      <c r="H255">
        <v>67</v>
      </c>
      <c r="I255">
        <v>67</v>
      </c>
      <c r="J255">
        <v>31</v>
      </c>
      <c r="K255">
        <v>32</v>
      </c>
      <c r="L255">
        <v>1</v>
      </c>
      <c r="M255">
        <v>8</v>
      </c>
      <c r="N255">
        <v>11</v>
      </c>
      <c r="O255">
        <v>15</v>
      </c>
      <c r="P255" t="s">
        <v>85</v>
      </c>
    </row>
    <row r="256" spans="1:16" x14ac:dyDescent="0.3">
      <c r="A256">
        <v>64</v>
      </c>
      <c r="B256">
        <v>2023</v>
      </c>
      <c r="C256">
        <v>1767</v>
      </c>
      <c r="D256">
        <v>182</v>
      </c>
      <c r="E256">
        <v>149</v>
      </c>
      <c r="F256">
        <v>8459.07</v>
      </c>
      <c r="G256">
        <v>8.4323999999999996E-2</v>
      </c>
      <c r="H256">
        <v>41</v>
      </c>
      <c r="I256">
        <v>51</v>
      </c>
      <c r="J256">
        <v>32</v>
      </c>
      <c r="K256">
        <v>11</v>
      </c>
      <c r="L256">
        <v>1</v>
      </c>
      <c r="M256">
        <v>6</v>
      </c>
      <c r="N256">
        <v>7</v>
      </c>
      <c r="O256">
        <v>9</v>
      </c>
      <c r="P256" t="s">
        <v>85</v>
      </c>
    </row>
    <row r="257" spans="1:16" x14ac:dyDescent="0.3">
      <c r="A257">
        <v>65</v>
      </c>
      <c r="B257">
        <v>2023</v>
      </c>
      <c r="C257">
        <v>1824</v>
      </c>
      <c r="D257">
        <v>106</v>
      </c>
      <c r="E257">
        <v>80</v>
      </c>
      <c r="F257">
        <v>2914.16</v>
      </c>
      <c r="G257">
        <v>4.3860000000000003E-2</v>
      </c>
      <c r="H257">
        <v>17</v>
      </c>
      <c r="I257">
        <v>43</v>
      </c>
      <c r="J257">
        <v>13</v>
      </c>
      <c r="K257">
        <v>9</v>
      </c>
      <c r="L257">
        <v>0</v>
      </c>
      <c r="M257">
        <v>3</v>
      </c>
      <c r="N257">
        <v>4</v>
      </c>
      <c r="O257">
        <v>5</v>
      </c>
      <c r="P257" t="s">
        <v>175</v>
      </c>
    </row>
    <row r="258" spans="1:16" x14ac:dyDescent="0.3">
      <c r="A258">
        <v>66</v>
      </c>
      <c r="B258">
        <v>2023</v>
      </c>
      <c r="C258">
        <v>388</v>
      </c>
      <c r="D258">
        <v>15</v>
      </c>
      <c r="E258">
        <v>12</v>
      </c>
      <c r="F258">
        <v>298.33</v>
      </c>
      <c r="G258">
        <v>3.0928000000000001E-2</v>
      </c>
      <c r="H258">
        <v>2</v>
      </c>
      <c r="I258">
        <v>14</v>
      </c>
      <c r="J258">
        <v>3</v>
      </c>
      <c r="K258">
        <v>3</v>
      </c>
      <c r="L258">
        <v>1</v>
      </c>
      <c r="M258">
        <v>2</v>
      </c>
      <c r="N258">
        <v>2</v>
      </c>
      <c r="O258">
        <v>1</v>
      </c>
      <c r="P258" t="s">
        <v>68</v>
      </c>
    </row>
    <row r="259" spans="1:16" x14ac:dyDescent="0.3">
      <c r="A259">
        <v>67</v>
      </c>
      <c r="B259">
        <v>2023</v>
      </c>
      <c r="C259">
        <v>582</v>
      </c>
      <c r="D259">
        <v>27</v>
      </c>
      <c r="E259">
        <v>26</v>
      </c>
      <c r="F259">
        <v>2564.4699999999998</v>
      </c>
      <c r="G259">
        <v>4.4673999999999998E-2</v>
      </c>
      <c r="H259">
        <v>12</v>
      </c>
      <c r="I259">
        <v>17</v>
      </c>
      <c r="J259">
        <v>6</v>
      </c>
      <c r="K259">
        <v>7</v>
      </c>
      <c r="L259">
        <v>0</v>
      </c>
      <c r="M259">
        <v>2</v>
      </c>
      <c r="N259">
        <v>3</v>
      </c>
      <c r="O259">
        <v>1</v>
      </c>
      <c r="P259" t="s">
        <v>175</v>
      </c>
    </row>
    <row r="260" spans="1:16" x14ac:dyDescent="0.3">
      <c r="A260">
        <v>68</v>
      </c>
      <c r="B260">
        <v>2023</v>
      </c>
      <c r="C260">
        <v>686</v>
      </c>
      <c r="D260">
        <v>75</v>
      </c>
      <c r="E260">
        <v>67</v>
      </c>
      <c r="F260">
        <v>7603.41</v>
      </c>
      <c r="G260">
        <v>9.7668000000000005E-2</v>
      </c>
      <c r="H260">
        <v>19</v>
      </c>
      <c r="I260">
        <v>30</v>
      </c>
      <c r="J260">
        <v>14</v>
      </c>
      <c r="K260">
        <v>11</v>
      </c>
      <c r="L260">
        <v>1</v>
      </c>
      <c r="M260">
        <v>5</v>
      </c>
      <c r="N260">
        <v>8</v>
      </c>
      <c r="O260">
        <v>4</v>
      </c>
      <c r="P260" t="s">
        <v>85</v>
      </c>
    </row>
    <row r="261" spans="1:16" x14ac:dyDescent="0.3">
      <c r="A261">
        <v>69</v>
      </c>
      <c r="B261">
        <v>2023</v>
      </c>
      <c r="C261">
        <v>1542</v>
      </c>
      <c r="D261">
        <v>134</v>
      </c>
      <c r="E261">
        <v>99</v>
      </c>
      <c r="F261">
        <v>9993.89</v>
      </c>
      <c r="G261">
        <v>6.4201999999999995E-2</v>
      </c>
      <c r="H261">
        <v>18</v>
      </c>
      <c r="I261">
        <v>46</v>
      </c>
      <c r="J261">
        <v>14</v>
      </c>
      <c r="K261">
        <v>12</v>
      </c>
      <c r="L261">
        <v>1</v>
      </c>
      <c r="M261">
        <v>4</v>
      </c>
      <c r="N261">
        <v>7</v>
      </c>
      <c r="O261">
        <v>6</v>
      </c>
      <c r="P261" t="s">
        <v>85</v>
      </c>
    </row>
    <row r="262" spans="1:16" x14ac:dyDescent="0.3">
      <c r="A262">
        <v>70</v>
      </c>
      <c r="B262">
        <v>2023</v>
      </c>
      <c r="C262">
        <v>1070</v>
      </c>
      <c r="D262">
        <v>98</v>
      </c>
      <c r="E262">
        <v>86</v>
      </c>
      <c r="F262">
        <v>7498.62</v>
      </c>
      <c r="G262">
        <v>8.0374000000000001E-2</v>
      </c>
      <c r="H262">
        <v>19</v>
      </c>
      <c r="I262">
        <v>40</v>
      </c>
      <c r="J262">
        <v>20</v>
      </c>
      <c r="K262">
        <v>8</v>
      </c>
      <c r="L262">
        <v>1</v>
      </c>
      <c r="M262">
        <v>5</v>
      </c>
      <c r="N262">
        <v>5</v>
      </c>
      <c r="O262">
        <v>2</v>
      </c>
      <c r="P262" t="s">
        <v>85</v>
      </c>
    </row>
    <row r="263" spans="1:16" x14ac:dyDescent="0.3">
      <c r="A263">
        <v>72</v>
      </c>
      <c r="B263">
        <v>2023</v>
      </c>
      <c r="C263">
        <v>894</v>
      </c>
      <c r="D263">
        <v>54</v>
      </c>
      <c r="E263">
        <v>47</v>
      </c>
      <c r="F263">
        <v>4664.16</v>
      </c>
      <c r="G263">
        <v>5.2573000000000002E-2</v>
      </c>
      <c r="H263">
        <v>32</v>
      </c>
      <c r="I263">
        <v>32</v>
      </c>
      <c r="J263">
        <v>7</v>
      </c>
      <c r="K263">
        <v>11</v>
      </c>
      <c r="L263">
        <v>0</v>
      </c>
      <c r="M263">
        <v>4</v>
      </c>
      <c r="N263">
        <v>6</v>
      </c>
      <c r="O263">
        <v>3</v>
      </c>
      <c r="P263" t="s">
        <v>175</v>
      </c>
    </row>
    <row r="264" spans="1:16" x14ac:dyDescent="0.3">
      <c r="A264">
        <v>73</v>
      </c>
      <c r="B264">
        <v>2023</v>
      </c>
      <c r="C264">
        <v>455</v>
      </c>
      <c r="D264">
        <v>43</v>
      </c>
      <c r="E264">
        <v>33</v>
      </c>
      <c r="F264">
        <v>2711.6</v>
      </c>
      <c r="G264">
        <v>7.2526999999999994E-2</v>
      </c>
      <c r="H264">
        <v>26</v>
      </c>
      <c r="I264">
        <v>26</v>
      </c>
      <c r="J264">
        <v>8</v>
      </c>
      <c r="K264">
        <v>13</v>
      </c>
      <c r="L264">
        <v>1</v>
      </c>
      <c r="M264">
        <v>5</v>
      </c>
      <c r="N264">
        <v>4</v>
      </c>
      <c r="O264">
        <v>2</v>
      </c>
      <c r="P264" t="s">
        <v>85</v>
      </c>
    </row>
    <row r="265" spans="1:16" x14ac:dyDescent="0.3">
      <c r="A265">
        <v>74</v>
      </c>
      <c r="B265">
        <v>2023</v>
      </c>
      <c r="C265">
        <v>695</v>
      </c>
      <c r="D265">
        <v>56</v>
      </c>
      <c r="E265">
        <v>50</v>
      </c>
      <c r="F265">
        <v>5215.5</v>
      </c>
      <c r="G265">
        <v>7.1942000000000006E-2</v>
      </c>
      <c r="H265">
        <v>17</v>
      </c>
      <c r="I265">
        <v>21</v>
      </c>
      <c r="J265">
        <v>10</v>
      </c>
      <c r="K265">
        <v>12</v>
      </c>
      <c r="L265">
        <v>1</v>
      </c>
      <c r="M265">
        <v>4</v>
      </c>
      <c r="N265">
        <v>5</v>
      </c>
      <c r="O265">
        <v>3</v>
      </c>
      <c r="P265" t="s">
        <v>85</v>
      </c>
    </row>
    <row r="266" spans="1:16" x14ac:dyDescent="0.3">
      <c r="A266">
        <v>76</v>
      </c>
      <c r="B266">
        <v>2023</v>
      </c>
      <c r="C266">
        <v>1281</v>
      </c>
      <c r="D266">
        <v>124</v>
      </c>
      <c r="E266">
        <v>107</v>
      </c>
      <c r="F266">
        <v>11240.78</v>
      </c>
      <c r="G266">
        <v>8.3528000000000005E-2</v>
      </c>
      <c r="H266">
        <v>33</v>
      </c>
      <c r="I266">
        <v>41</v>
      </c>
      <c r="J266">
        <v>21</v>
      </c>
      <c r="K266">
        <v>18</v>
      </c>
      <c r="L266">
        <v>1</v>
      </c>
      <c r="M266">
        <v>5</v>
      </c>
      <c r="N266">
        <v>8</v>
      </c>
      <c r="O266">
        <v>3</v>
      </c>
      <c r="P266" t="s">
        <v>85</v>
      </c>
    </row>
    <row r="267" spans="1:16" x14ac:dyDescent="0.3">
      <c r="A267">
        <v>77</v>
      </c>
      <c r="B267">
        <v>2023</v>
      </c>
      <c r="C267">
        <v>1944</v>
      </c>
      <c r="D267">
        <v>125</v>
      </c>
      <c r="E267">
        <v>110</v>
      </c>
      <c r="F267">
        <v>8151.46</v>
      </c>
      <c r="G267">
        <v>5.6584000000000002E-2</v>
      </c>
      <c r="H267">
        <v>19</v>
      </c>
      <c r="I267">
        <v>42</v>
      </c>
      <c r="J267">
        <v>11</v>
      </c>
      <c r="K267">
        <v>11</v>
      </c>
      <c r="L267">
        <v>0</v>
      </c>
      <c r="M267">
        <v>2</v>
      </c>
      <c r="N267">
        <v>4</v>
      </c>
      <c r="O267">
        <v>9</v>
      </c>
      <c r="P267" t="s">
        <v>175</v>
      </c>
    </row>
    <row r="268" spans="1:16" x14ac:dyDescent="0.3">
      <c r="A268">
        <v>78</v>
      </c>
      <c r="B268">
        <v>2023</v>
      </c>
      <c r="C268">
        <v>573</v>
      </c>
      <c r="D268">
        <v>38</v>
      </c>
      <c r="E268">
        <v>28</v>
      </c>
      <c r="F268">
        <v>1016.42</v>
      </c>
      <c r="G268">
        <v>4.8866E-2</v>
      </c>
      <c r="H268">
        <v>15</v>
      </c>
      <c r="I268">
        <v>22</v>
      </c>
      <c r="J268">
        <v>4</v>
      </c>
      <c r="K268">
        <v>6</v>
      </c>
      <c r="L268">
        <v>1</v>
      </c>
      <c r="M268">
        <v>4</v>
      </c>
      <c r="N268">
        <v>2</v>
      </c>
      <c r="O268">
        <v>1</v>
      </c>
      <c r="P268" t="s">
        <v>85</v>
      </c>
    </row>
    <row r="269" spans="1:16" x14ac:dyDescent="0.3">
      <c r="A269">
        <v>80</v>
      </c>
      <c r="B269">
        <v>2023</v>
      </c>
      <c r="C269">
        <v>749</v>
      </c>
      <c r="D269">
        <v>39</v>
      </c>
      <c r="E269">
        <v>29</v>
      </c>
      <c r="F269">
        <v>1891.16</v>
      </c>
      <c r="G269">
        <v>3.8718000000000002E-2</v>
      </c>
      <c r="H269">
        <v>13</v>
      </c>
      <c r="I269">
        <v>15</v>
      </c>
      <c r="J269">
        <v>6</v>
      </c>
      <c r="K269">
        <v>7</v>
      </c>
      <c r="L269">
        <v>0</v>
      </c>
      <c r="M269">
        <v>2</v>
      </c>
      <c r="N269">
        <v>3</v>
      </c>
      <c r="O269">
        <v>2</v>
      </c>
      <c r="P269" t="s">
        <v>175</v>
      </c>
    </row>
    <row r="270" spans="1:16" x14ac:dyDescent="0.3">
      <c r="A270">
        <v>81</v>
      </c>
      <c r="B270">
        <v>2023</v>
      </c>
      <c r="C270">
        <v>258</v>
      </c>
      <c r="D270">
        <v>10</v>
      </c>
      <c r="E270">
        <v>8</v>
      </c>
      <c r="F270">
        <v>671.93</v>
      </c>
      <c r="G270">
        <v>3.1008000000000001E-2</v>
      </c>
      <c r="H270">
        <v>12</v>
      </c>
      <c r="I270">
        <v>12</v>
      </c>
      <c r="J270">
        <v>2</v>
      </c>
      <c r="K270">
        <v>6</v>
      </c>
      <c r="L270">
        <v>0</v>
      </c>
      <c r="M270">
        <v>1</v>
      </c>
      <c r="N270">
        <v>2</v>
      </c>
      <c r="O270">
        <v>0</v>
      </c>
      <c r="P270" t="s">
        <v>175</v>
      </c>
    </row>
    <row r="271" spans="1:16" x14ac:dyDescent="0.3">
      <c r="A271">
        <v>82</v>
      </c>
      <c r="B271">
        <v>2023</v>
      </c>
      <c r="C271">
        <v>292</v>
      </c>
      <c r="D271">
        <v>24</v>
      </c>
      <c r="E271">
        <v>20</v>
      </c>
      <c r="F271">
        <v>2014.53</v>
      </c>
      <c r="G271">
        <v>6.8492999999999998E-2</v>
      </c>
      <c r="H271">
        <v>9</v>
      </c>
      <c r="I271">
        <v>17</v>
      </c>
      <c r="J271">
        <v>6</v>
      </c>
      <c r="K271">
        <v>5</v>
      </c>
      <c r="L271">
        <v>1</v>
      </c>
      <c r="M271">
        <v>5</v>
      </c>
      <c r="N271">
        <v>5</v>
      </c>
      <c r="O271">
        <v>2</v>
      </c>
      <c r="P271" t="s">
        <v>85</v>
      </c>
    </row>
    <row r="272" spans="1:16" x14ac:dyDescent="0.3">
      <c r="A272">
        <v>83</v>
      </c>
      <c r="B272">
        <v>2023</v>
      </c>
      <c r="C272">
        <v>587</v>
      </c>
      <c r="D272">
        <v>60</v>
      </c>
      <c r="E272">
        <v>52</v>
      </c>
      <c r="F272">
        <v>4947.55</v>
      </c>
      <c r="G272">
        <v>8.8585999999999998E-2</v>
      </c>
      <c r="H272">
        <v>20</v>
      </c>
      <c r="I272">
        <v>21</v>
      </c>
      <c r="J272">
        <v>9</v>
      </c>
      <c r="K272">
        <v>6</v>
      </c>
      <c r="L272">
        <v>1</v>
      </c>
      <c r="M272">
        <v>5</v>
      </c>
      <c r="N272">
        <v>5</v>
      </c>
      <c r="O272">
        <v>2</v>
      </c>
      <c r="P272" t="s">
        <v>85</v>
      </c>
    </row>
    <row r="273" spans="1:16" x14ac:dyDescent="0.3">
      <c r="A273">
        <v>84</v>
      </c>
      <c r="B273">
        <v>2023</v>
      </c>
      <c r="C273">
        <v>365</v>
      </c>
      <c r="D273">
        <v>31</v>
      </c>
      <c r="E273">
        <v>23</v>
      </c>
      <c r="F273">
        <v>1246.75</v>
      </c>
      <c r="G273">
        <v>6.3014000000000001E-2</v>
      </c>
      <c r="H273">
        <v>12</v>
      </c>
      <c r="I273">
        <v>19</v>
      </c>
      <c r="J273">
        <v>6</v>
      </c>
      <c r="K273">
        <v>8</v>
      </c>
      <c r="L273">
        <v>1</v>
      </c>
      <c r="M273">
        <v>3</v>
      </c>
      <c r="N273">
        <v>4</v>
      </c>
      <c r="O273">
        <v>2</v>
      </c>
      <c r="P273" t="s">
        <v>85</v>
      </c>
    </row>
    <row r="274" spans="1:16" x14ac:dyDescent="0.3">
      <c r="A274">
        <v>85</v>
      </c>
      <c r="B274">
        <v>2023</v>
      </c>
      <c r="C274">
        <v>919</v>
      </c>
      <c r="D274">
        <v>50</v>
      </c>
      <c r="E274">
        <v>47</v>
      </c>
      <c r="F274">
        <v>4719.0200000000004</v>
      </c>
      <c r="G274">
        <v>5.1143000000000001E-2</v>
      </c>
      <c r="H274">
        <v>26</v>
      </c>
      <c r="I274">
        <v>26</v>
      </c>
      <c r="J274">
        <v>8</v>
      </c>
      <c r="K274">
        <v>10</v>
      </c>
      <c r="L274">
        <v>0</v>
      </c>
      <c r="M274">
        <v>2</v>
      </c>
      <c r="N274">
        <v>6</v>
      </c>
      <c r="O274">
        <v>1</v>
      </c>
      <c r="P274" t="s">
        <v>175</v>
      </c>
    </row>
    <row r="275" spans="1:16" x14ac:dyDescent="0.3">
      <c r="A275">
        <v>86</v>
      </c>
      <c r="B275">
        <v>2023</v>
      </c>
      <c r="C275">
        <v>1559</v>
      </c>
      <c r="D275">
        <v>130</v>
      </c>
      <c r="E275">
        <v>99</v>
      </c>
      <c r="F275">
        <v>9656.85</v>
      </c>
      <c r="G275">
        <v>6.3502000000000003E-2</v>
      </c>
      <c r="H275">
        <v>25</v>
      </c>
      <c r="I275">
        <v>53</v>
      </c>
      <c r="J275">
        <v>16</v>
      </c>
      <c r="K275">
        <v>15</v>
      </c>
      <c r="L275">
        <v>1</v>
      </c>
      <c r="M275">
        <v>7</v>
      </c>
      <c r="N275">
        <v>7</v>
      </c>
      <c r="O275">
        <v>5</v>
      </c>
      <c r="P275" t="s">
        <v>85</v>
      </c>
    </row>
    <row r="276" spans="1:16" x14ac:dyDescent="0.3">
      <c r="A276">
        <v>87</v>
      </c>
      <c r="B276">
        <v>2023</v>
      </c>
      <c r="C276">
        <v>777</v>
      </c>
      <c r="D276">
        <v>83</v>
      </c>
      <c r="E276">
        <v>70</v>
      </c>
      <c r="F276">
        <v>3585.12</v>
      </c>
      <c r="G276">
        <v>9.0090000000000003E-2</v>
      </c>
      <c r="H276">
        <v>23</v>
      </c>
      <c r="I276">
        <v>26</v>
      </c>
      <c r="J276">
        <v>15</v>
      </c>
      <c r="K276">
        <v>9</v>
      </c>
      <c r="L276">
        <v>1</v>
      </c>
      <c r="M276">
        <v>7</v>
      </c>
      <c r="N276">
        <v>6</v>
      </c>
      <c r="O276">
        <v>2</v>
      </c>
      <c r="P276" t="s">
        <v>85</v>
      </c>
    </row>
    <row r="277" spans="1:16" x14ac:dyDescent="0.3">
      <c r="A277">
        <v>88</v>
      </c>
      <c r="B277">
        <v>2023</v>
      </c>
      <c r="C277">
        <v>853</v>
      </c>
      <c r="D277">
        <v>46</v>
      </c>
      <c r="E277">
        <v>34</v>
      </c>
      <c r="F277">
        <v>3459.02</v>
      </c>
      <c r="G277">
        <v>3.9858999999999999E-2</v>
      </c>
      <c r="H277">
        <v>14</v>
      </c>
      <c r="I277">
        <v>18</v>
      </c>
      <c r="J277">
        <v>7</v>
      </c>
      <c r="K277">
        <v>6</v>
      </c>
      <c r="L277">
        <v>0</v>
      </c>
      <c r="M277">
        <v>1</v>
      </c>
      <c r="N277">
        <v>3</v>
      </c>
      <c r="O277">
        <v>2</v>
      </c>
      <c r="P277" t="s">
        <v>175</v>
      </c>
    </row>
    <row r="278" spans="1:16" x14ac:dyDescent="0.3">
      <c r="A278">
        <v>89</v>
      </c>
      <c r="B278">
        <v>2023</v>
      </c>
      <c r="C278">
        <v>260</v>
      </c>
      <c r="D278">
        <v>10</v>
      </c>
      <c r="E278">
        <v>9</v>
      </c>
      <c r="F278">
        <v>480.6</v>
      </c>
      <c r="G278">
        <v>3.4615E-2</v>
      </c>
      <c r="H278">
        <v>7</v>
      </c>
      <c r="I278">
        <v>7</v>
      </c>
      <c r="J278">
        <v>2</v>
      </c>
      <c r="K278">
        <v>5</v>
      </c>
      <c r="L278">
        <v>0</v>
      </c>
      <c r="M278">
        <v>1</v>
      </c>
      <c r="N278">
        <v>2</v>
      </c>
      <c r="O278">
        <v>1</v>
      </c>
      <c r="P278" t="s">
        <v>175</v>
      </c>
    </row>
    <row r="279" spans="1:16" x14ac:dyDescent="0.3">
      <c r="A279">
        <v>90</v>
      </c>
      <c r="B279">
        <v>2023</v>
      </c>
      <c r="C279">
        <v>405</v>
      </c>
      <c r="D279">
        <v>22</v>
      </c>
      <c r="E279">
        <v>18</v>
      </c>
      <c r="F279">
        <v>581.51</v>
      </c>
      <c r="G279">
        <v>4.4443999999999997E-2</v>
      </c>
      <c r="H279">
        <v>8</v>
      </c>
      <c r="I279">
        <v>11</v>
      </c>
      <c r="J279">
        <v>4</v>
      </c>
      <c r="K279">
        <v>4</v>
      </c>
      <c r="L279">
        <v>1</v>
      </c>
      <c r="M279">
        <v>4</v>
      </c>
      <c r="N279">
        <v>3</v>
      </c>
      <c r="O279">
        <v>3</v>
      </c>
      <c r="P279" t="s">
        <v>68</v>
      </c>
    </row>
    <row r="280" spans="1:16" x14ac:dyDescent="0.3">
      <c r="A280">
        <v>91</v>
      </c>
      <c r="B280">
        <v>2023</v>
      </c>
      <c r="C280">
        <v>80</v>
      </c>
      <c r="D280">
        <v>8</v>
      </c>
      <c r="E280">
        <v>7</v>
      </c>
      <c r="F280">
        <v>428.79</v>
      </c>
      <c r="G280">
        <v>8.7499999999999994E-2</v>
      </c>
      <c r="H280">
        <v>11</v>
      </c>
      <c r="I280">
        <v>11</v>
      </c>
      <c r="J280">
        <v>3</v>
      </c>
      <c r="K280">
        <v>7</v>
      </c>
      <c r="L280">
        <v>1</v>
      </c>
      <c r="M280">
        <v>4</v>
      </c>
      <c r="N280">
        <v>5</v>
      </c>
      <c r="O280">
        <v>1</v>
      </c>
      <c r="P280" t="s">
        <v>85</v>
      </c>
    </row>
    <row r="281" spans="1:16" x14ac:dyDescent="0.3">
      <c r="A281">
        <v>92</v>
      </c>
      <c r="B281">
        <v>2023</v>
      </c>
      <c r="C281">
        <v>1310</v>
      </c>
      <c r="D281">
        <v>99</v>
      </c>
      <c r="E281">
        <v>77</v>
      </c>
      <c r="F281">
        <v>4908.8599999999997</v>
      </c>
      <c r="G281">
        <v>5.8778999999999998E-2</v>
      </c>
      <c r="H281">
        <v>26</v>
      </c>
      <c r="I281">
        <v>35</v>
      </c>
      <c r="J281">
        <v>10</v>
      </c>
      <c r="K281">
        <v>19</v>
      </c>
      <c r="L281">
        <v>1</v>
      </c>
      <c r="M281">
        <v>7</v>
      </c>
      <c r="N281">
        <v>7</v>
      </c>
      <c r="O281">
        <v>5</v>
      </c>
      <c r="P281" t="s">
        <v>85</v>
      </c>
    </row>
    <row r="282" spans="1:16" x14ac:dyDescent="0.3">
      <c r="A282">
        <v>93</v>
      </c>
      <c r="B282">
        <v>2023</v>
      </c>
      <c r="C282">
        <v>1353</v>
      </c>
      <c r="D282">
        <v>77</v>
      </c>
      <c r="E282">
        <v>67</v>
      </c>
      <c r="F282">
        <v>3495.82</v>
      </c>
      <c r="G282">
        <v>4.9520000000000002E-2</v>
      </c>
      <c r="H282">
        <v>19</v>
      </c>
      <c r="I282">
        <v>29</v>
      </c>
      <c r="J282">
        <v>10</v>
      </c>
      <c r="K282">
        <v>11</v>
      </c>
      <c r="L282">
        <v>0</v>
      </c>
      <c r="M282">
        <v>1</v>
      </c>
      <c r="N282">
        <v>5</v>
      </c>
      <c r="O282">
        <v>3</v>
      </c>
      <c r="P282" t="s">
        <v>175</v>
      </c>
    </row>
    <row r="283" spans="1:16" x14ac:dyDescent="0.3">
      <c r="A283">
        <v>94</v>
      </c>
      <c r="B283">
        <v>2023</v>
      </c>
      <c r="C283">
        <v>531</v>
      </c>
      <c r="D283">
        <v>22</v>
      </c>
      <c r="E283">
        <v>17</v>
      </c>
      <c r="F283">
        <v>729.53</v>
      </c>
      <c r="G283">
        <v>3.2015000000000002E-2</v>
      </c>
      <c r="H283">
        <v>8</v>
      </c>
      <c r="I283">
        <v>18</v>
      </c>
      <c r="J283">
        <v>4</v>
      </c>
      <c r="K283">
        <v>3</v>
      </c>
      <c r="L283">
        <v>0</v>
      </c>
      <c r="M283">
        <v>1</v>
      </c>
      <c r="N283">
        <v>2</v>
      </c>
      <c r="O283">
        <v>1</v>
      </c>
      <c r="P283" t="s">
        <v>68</v>
      </c>
    </row>
    <row r="284" spans="1:16" x14ac:dyDescent="0.3">
      <c r="A284">
        <v>95</v>
      </c>
      <c r="B284">
        <v>2023</v>
      </c>
      <c r="C284">
        <v>676</v>
      </c>
      <c r="D284">
        <v>37</v>
      </c>
      <c r="E284">
        <v>33</v>
      </c>
      <c r="F284">
        <v>2982.38</v>
      </c>
      <c r="G284">
        <v>4.8816999999999999E-2</v>
      </c>
      <c r="H284">
        <v>13</v>
      </c>
      <c r="I284">
        <v>16</v>
      </c>
      <c r="J284">
        <v>4</v>
      </c>
      <c r="K284">
        <v>7</v>
      </c>
      <c r="L284">
        <v>0</v>
      </c>
      <c r="M284">
        <v>2</v>
      </c>
      <c r="N284">
        <v>2</v>
      </c>
      <c r="O284">
        <v>2</v>
      </c>
      <c r="P284" t="s">
        <v>68</v>
      </c>
    </row>
    <row r="285" spans="1:16" x14ac:dyDescent="0.3">
      <c r="A285">
        <v>96</v>
      </c>
      <c r="B285">
        <v>2023</v>
      </c>
      <c r="C285">
        <v>1070</v>
      </c>
      <c r="D285">
        <v>88</v>
      </c>
      <c r="E285">
        <v>76</v>
      </c>
      <c r="F285">
        <v>8557.0400000000009</v>
      </c>
      <c r="G285">
        <v>7.1027999999999994E-2</v>
      </c>
      <c r="H285">
        <v>18</v>
      </c>
      <c r="I285">
        <v>31</v>
      </c>
      <c r="J285">
        <v>19</v>
      </c>
      <c r="K285">
        <v>7</v>
      </c>
      <c r="L285">
        <v>1</v>
      </c>
      <c r="M285">
        <v>4</v>
      </c>
      <c r="N285">
        <v>5</v>
      </c>
      <c r="O285">
        <v>5</v>
      </c>
      <c r="P285" t="s">
        <v>85</v>
      </c>
    </row>
    <row r="286" spans="1:16" x14ac:dyDescent="0.3">
      <c r="A286">
        <v>97</v>
      </c>
      <c r="B286">
        <v>2023</v>
      </c>
      <c r="C286">
        <v>170</v>
      </c>
      <c r="D286">
        <v>15</v>
      </c>
      <c r="E286">
        <v>14</v>
      </c>
      <c r="F286">
        <v>1114.6400000000001</v>
      </c>
      <c r="G286">
        <v>8.2352999999999996E-2</v>
      </c>
      <c r="H286">
        <v>16</v>
      </c>
      <c r="I286">
        <v>16</v>
      </c>
      <c r="J286">
        <v>4</v>
      </c>
      <c r="K286">
        <v>7</v>
      </c>
      <c r="L286">
        <v>1</v>
      </c>
      <c r="M286">
        <v>6</v>
      </c>
      <c r="N286">
        <v>6</v>
      </c>
      <c r="O286">
        <v>2</v>
      </c>
      <c r="P286" t="s">
        <v>85</v>
      </c>
    </row>
    <row r="287" spans="1:16" x14ac:dyDescent="0.3">
      <c r="A287">
        <v>98</v>
      </c>
      <c r="B287">
        <v>2023</v>
      </c>
      <c r="C287">
        <v>457</v>
      </c>
      <c r="D287">
        <v>41</v>
      </c>
      <c r="E287">
        <v>33</v>
      </c>
      <c r="F287">
        <v>3184.11</v>
      </c>
      <c r="G287">
        <v>7.2209999999999996E-2</v>
      </c>
      <c r="H287">
        <v>17</v>
      </c>
      <c r="I287">
        <v>17</v>
      </c>
      <c r="J287">
        <v>9</v>
      </c>
      <c r="K287">
        <v>8</v>
      </c>
      <c r="L287">
        <v>1</v>
      </c>
      <c r="M287">
        <v>5</v>
      </c>
      <c r="N287">
        <v>3</v>
      </c>
      <c r="O287">
        <v>1</v>
      </c>
      <c r="P287" t="s">
        <v>85</v>
      </c>
    </row>
    <row r="288" spans="1:16" x14ac:dyDescent="0.3">
      <c r="A288">
        <v>99</v>
      </c>
      <c r="B288">
        <v>2023</v>
      </c>
      <c r="C288">
        <v>174</v>
      </c>
      <c r="D288">
        <v>13</v>
      </c>
      <c r="E288">
        <v>9</v>
      </c>
      <c r="F288">
        <v>421.1</v>
      </c>
      <c r="G288">
        <v>5.1723999999999999E-2</v>
      </c>
      <c r="H288">
        <v>11</v>
      </c>
      <c r="I288">
        <v>11</v>
      </c>
      <c r="J288">
        <v>3</v>
      </c>
      <c r="K288">
        <v>6</v>
      </c>
      <c r="L288">
        <v>1</v>
      </c>
      <c r="M288">
        <v>6</v>
      </c>
      <c r="N288">
        <v>4</v>
      </c>
      <c r="O288">
        <v>2</v>
      </c>
      <c r="P288" t="s">
        <v>85</v>
      </c>
    </row>
    <row r="289" spans="1:16" x14ac:dyDescent="0.3">
      <c r="A289">
        <v>100</v>
      </c>
      <c r="B289">
        <v>2023</v>
      </c>
      <c r="C289">
        <v>1110</v>
      </c>
      <c r="D289">
        <v>72</v>
      </c>
      <c r="E289">
        <v>64</v>
      </c>
      <c r="F289">
        <v>5043.08</v>
      </c>
      <c r="G289">
        <v>5.7658000000000001E-2</v>
      </c>
      <c r="H289">
        <v>20</v>
      </c>
      <c r="I289">
        <v>26</v>
      </c>
      <c r="J289">
        <v>10</v>
      </c>
      <c r="K289">
        <v>10</v>
      </c>
      <c r="L289">
        <v>0</v>
      </c>
      <c r="M289">
        <v>3</v>
      </c>
      <c r="N289">
        <v>4</v>
      </c>
      <c r="O289">
        <v>4</v>
      </c>
      <c r="P289" t="s">
        <v>175</v>
      </c>
    </row>
    <row r="290" spans="1:16" x14ac:dyDescent="0.3">
      <c r="A290">
        <v>1</v>
      </c>
      <c r="B290">
        <v>2024</v>
      </c>
      <c r="C290">
        <v>80</v>
      </c>
      <c r="D290">
        <v>2</v>
      </c>
      <c r="E290">
        <v>2</v>
      </c>
      <c r="F290">
        <v>92.54</v>
      </c>
      <c r="G290">
        <v>2.5000000000000001E-2</v>
      </c>
      <c r="H290">
        <v>1</v>
      </c>
      <c r="I290">
        <v>1</v>
      </c>
      <c r="J290">
        <v>1</v>
      </c>
      <c r="K290">
        <v>1</v>
      </c>
      <c r="L290">
        <v>0</v>
      </c>
      <c r="M290">
        <v>0</v>
      </c>
      <c r="N290">
        <v>1</v>
      </c>
      <c r="O290">
        <v>0</v>
      </c>
      <c r="P290" t="s">
        <v>176</v>
      </c>
    </row>
    <row r="291" spans="1:16" x14ac:dyDescent="0.3">
      <c r="A291">
        <v>2</v>
      </c>
      <c r="B291">
        <v>2024</v>
      </c>
      <c r="C291">
        <v>715</v>
      </c>
      <c r="D291">
        <v>67</v>
      </c>
      <c r="E291">
        <v>61</v>
      </c>
      <c r="F291">
        <v>6166.17</v>
      </c>
      <c r="G291">
        <v>8.5315000000000002E-2</v>
      </c>
      <c r="H291">
        <v>16</v>
      </c>
      <c r="I291">
        <v>21</v>
      </c>
      <c r="J291">
        <v>9</v>
      </c>
      <c r="K291">
        <v>8</v>
      </c>
      <c r="L291">
        <v>0</v>
      </c>
      <c r="M291">
        <v>2</v>
      </c>
      <c r="N291">
        <v>4</v>
      </c>
      <c r="O291">
        <v>4</v>
      </c>
      <c r="P291" t="s">
        <v>68</v>
      </c>
    </row>
    <row r="292" spans="1:16" x14ac:dyDescent="0.3">
      <c r="A292">
        <v>3</v>
      </c>
      <c r="B292">
        <v>2024</v>
      </c>
      <c r="C292">
        <v>1520</v>
      </c>
      <c r="D292">
        <v>154</v>
      </c>
      <c r="E292">
        <v>141</v>
      </c>
      <c r="F292">
        <v>12904.42</v>
      </c>
      <c r="G292">
        <v>9.2762999999999998E-2</v>
      </c>
      <c r="H292">
        <v>42</v>
      </c>
      <c r="I292">
        <v>51</v>
      </c>
      <c r="J292">
        <v>27</v>
      </c>
      <c r="K292">
        <v>16</v>
      </c>
      <c r="L292">
        <v>1</v>
      </c>
      <c r="M292">
        <v>7</v>
      </c>
      <c r="N292">
        <v>7</v>
      </c>
      <c r="O292">
        <v>12</v>
      </c>
      <c r="P292" t="s">
        <v>85</v>
      </c>
    </row>
    <row r="293" spans="1:16" x14ac:dyDescent="0.3">
      <c r="A293">
        <v>4</v>
      </c>
      <c r="B293">
        <v>2024</v>
      </c>
      <c r="C293">
        <v>1520</v>
      </c>
      <c r="D293">
        <v>82</v>
      </c>
      <c r="E293">
        <v>65</v>
      </c>
      <c r="F293">
        <v>6104.62</v>
      </c>
      <c r="G293">
        <v>4.2763000000000002E-2</v>
      </c>
      <c r="H293">
        <v>24</v>
      </c>
      <c r="I293">
        <v>32</v>
      </c>
      <c r="J293">
        <v>13</v>
      </c>
      <c r="K293">
        <v>10</v>
      </c>
      <c r="L293">
        <v>1</v>
      </c>
      <c r="M293">
        <v>3</v>
      </c>
      <c r="N293">
        <v>7</v>
      </c>
      <c r="O293">
        <v>4</v>
      </c>
      <c r="P293" t="s">
        <v>85</v>
      </c>
    </row>
    <row r="294" spans="1:16" x14ac:dyDescent="0.3">
      <c r="A294">
        <v>5</v>
      </c>
      <c r="B294">
        <v>2024</v>
      </c>
      <c r="C294">
        <v>1146</v>
      </c>
      <c r="D294">
        <v>96</v>
      </c>
      <c r="E294">
        <v>92</v>
      </c>
      <c r="F294">
        <v>6953.46</v>
      </c>
      <c r="G294">
        <v>8.0279000000000003E-2</v>
      </c>
      <c r="H294">
        <v>21</v>
      </c>
      <c r="I294">
        <v>40</v>
      </c>
      <c r="J294">
        <v>16</v>
      </c>
      <c r="K294">
        <v>11</v>
      </c>
      <c r="L294">
        <v>0</v>
      </c>
      <c r="M294">
        <v>1</v>
      </c>
      <c r="N294">
        <v>6</v>
      </c>
      <c r="O294">
        <v>2</v>
      </c>
      <c r="P294" t="s">
        <v>68</v>
      </c>
    </row>
    <row r="295" spans="1:16" x14ac:dyDescent="0.3">
      <c r="A295">
        <v>6</v>
      </c>
      <c r="B295">
        <v>2024</v>
      </c>
      <c r="C295">
        <v>142</v>
      </c>
      <c r="D295">
        <v>3</v>
      </c>
      <c r="E295">
        <v>3</v>
      </c>
      <c r="F295">
        <v>68.150000000000006</v>
      </c>
      <c r="G295">
        <v>2.1127E-2</v>
      </c>
      <c r="H295">
        <v>4</v>
      </c>
      <c r="I295">
        <v>5</v>
      </c>
      <c r="J295">
        <v>1</v>
      </c>
      <c r="K295">
        <v>3</v>
      </c>
      <c r="L295">
        <v>0</v>
      </c>
      <c r="M295">
        <v>0</v>
      </c>
      <c r="N295">
        <v>1</v>
      </c>
      <c r="O295">
        <v>0</v>
      </c>
      <c r="P295" t="s">
        <v>175</v>
      </c>
    </row>
    <row r="296" spans="1:16" x14ac:dyDescent="0.3">
      <c r="A296">
        <v>7</v>
      </c>
      <c r="B296">
        <v>2024</v>
      </c>
      <c r="C296">
        <v>979</v>
      </c>
      <c r="D296">
        <v>45</v>
      </c>
      <c r="E296">
        <v>35</v>
      </c>
      <c r="F296">
        <v>1568.86</v>
      </c>
      <c r="G296">
        <v>3.5750999999999998E-2</v>
      </c>
      <c r="H296">
        <v>9</v>
      </c>
      <c r="I296">
        <v>19</v>
      </c>
      <c r="J296">
        <v>6</v>
      </c>
      <c r="K296">
        <v>7</v>
      </c>
      <c r="L296">
        <v>0</v>
      </c>
      <c r="M296">
        <v>3</v>
      </c>
      <c r="N296">
        <v>3</v>
      </c>
      <c r="O296">
        <v>2</v>
      </c>
      <c r="P296" t="s">
        <v>175</v>
      </c>
    </row>
    <row r="297" spans="1:16" x14ac:dyDescent="0.3">
      <c r="A297">
        <v>8</v>
      </c>
      <c r="B297">
        <v>2024</v>
      </c>
      <c r="C297">
        <v>862</v>
      </c>
      <c r="D297">
        <v>80</v>
      </c>
      <c r="E297">
        <v>73</v>
      </c>
      <c r="F297">
        <v>5984.42</v>
      </c>
      <c r="G297">
        <v>8.4686999999999998E-2</v>
      </c>
      <c r="H297">
        <v>26</v>
      </c>
      <c r="I297">
        <v>29</v>
      </c>
      <c r="J297">
        <v>10</v>
      </c>
      <c r="K297">
        <v>11</v>
      </c>
      <c r="L297">
        <v>1</v>
      </c>
      <c r="M297">
        <v>5</v>
      </c>
      <c r="N297">
        <v>6</v>
      </c>
      <c r="O297">
        <v>2</v>
      </c>
      <c r="P297" t="s">
        <v>85</v>
      </c>
    </row>
    <row r="298" spans="1:16" x14ac:dyDescent="0.3">
      <c r="A298">
        <v>9</v>
      </c>
      <c r="B298">
        <v>2024</v>
      </c>
      <c r="C298">
        <v>891</v>
      </c>
      <c r="D298">
        <v>57</v>
      </c>
      <c r="E298">
        <v>54</v>
      </c>
      <c r="F298">
        <v>4553.0200000000004</v>
      </c>
      <c r="G298">
        <v>6.0606E-2</v>
      </c>
      <c r="H298">
        <v>14</v>
      </c>
      <c r="I298">
        <v>25</v>
      </c>
      <c r="J298">
        <v>10</v>
      </c>
      <c r="K298">
        <v>7</v>
      </c>
      <c r="L298">
        <v>0</v>
      </c>
      <c r="M298">
        <v>2</v>
      </c>
      <c r="N298">
        <v>2</v>
      </c>
      <c r="O298">
        <v>1</v>
      </c>
      <c r="P298" t="s">
        <v>175</v>
      </c>
    </row>
    <row r="299" spans="1:16" x14ac:dyDescent="0.3">
      <c r="A299">
        <v>10</v>
      </c>
      <c r="B299">
        <v>2024</v>
      </c>
      <c r="C299">
        <v>483</v>
      </c>
      <c r="D299">
        <v>41</v>
      </c>
      <c r="E299">
        <v>31</v>
      </c>
      <c r="F299">
        <v>1964.53</v>
      </c>
      <c r="G299">
        <v>6.4182000000000003E-2</v>
      </c>
      <c r="H299">
        <v>20</v>
      </c>
      <c r="I299">
        <v>20</v>
      </c>
      <c r="J299">
        <v>9</v>
      </c>
      <c r="K299">
        <v>11</v>
      </c>
      <c r="L299">
        <v>1</v>
      </c>
      <c r="M299">
        <v>7</v>
      </c>
      <c r="N299">
        <v>6</v>
      </c>
      <c r="O299">
        <v>1</v>
      </c>
      <c r="P299" t="s">
        <v>85</v>
      </c>
    </row>
    <row r="300" spans="1:16" x14ac:dyDescent="0.3">
      <c r="A300">
        <v>11</v>
      </c>
      <c r="B300">
        <v>2024</v>
      </c>
      <c r="C300">
        <v>1441</v>
      </c>
      <c r="D300">
        <v>92</v>
      </c>
      <c r="E300">
        <v>88</v>
      </c>
      <c r="F300">
        <v>5349.04</v>
      </c>
      <c r="G300">
        <v>6.1068999999999998E-2</v>
      </c>
      <c r="H300">
        <v>35</v>
      </c>
      <c r="I300">
        <v>40</v>
      </c>
      <c r="J300">
        <v>13</v>
      </c>
      <c r="K300">
        <v>15</v>
      </c>
      <c r="L300">
        <v>0</v>
      </c>
      <c r="M300">
        <v>4</v>
      </c>
      <c r="N300">
        <v>5</v>
      </c>
      <c r="O300">
        <v>5</v>
      </c>
      <c r="P300" t="s">
        <v>175</v>
      </c>
    </row>
    <row r="301" spans="1:16" x14ac:dyDescent="0.3">
      <c r="A301">
        <v>13</v>
      </c>
      <c r="B301">
        <v>2024</v>
      </c>
      <c r="C301">
        <v>676</v>
      </c>
      <c r="D301">
        <v>71</v>
      </c>
      <c r="E301">
        <v>67</v>
      </c>
      <c r="F301">
        <v>5673.45</v>
      </c>
      <c r="G301">
        <v>9.9112000000000006E-2</v>
      </c>
      <c r="H301">
        <v>39</v>
      </c>
      <c r="I301">
        <v>39</v>
      </c>
      <c r="J301">
        <v>9</v>
      </c>
      <c r="K301">
        <v>21</v>
      </c>
      <c r="L301">
        <v>1</v>
      </c>
      <c r="M301">
        <v>6</v>
      </c>
      <c r="N301">
        <v>11</v>
      </c>
      <c r="O301">
        <v>4</v>
      </c>
      <c r="P301" t="s">
        <v>85</v>
      </c>
    </row>
    <row r="302" spans="1:16" x14ac:dyDescent="0.3">
      <c r="A302">
        <v>14</v>
      </c>
      <c r="B302">
        <v>2024</v>
      </c>
      <c r="C302">
        <v>421</v>
      </c>
      <c r="D302">
        <v>19</v>
      </c>
      <c r="E302">
        <v>15</v>
      </c>
      <c r="F302">
        <v>1390.97</v>
      </c>
      <c r="G302">
        <v>3.5629000000000001E-2</v>
      </c>
      <c r="H302">
        <v>8</v>
      </c>
      <c r="I302">
        <v>14</v>
      </c>
      <c r="J302">
        <v>2</v>
      </c>
      <c r="K302">
        <v>6</v>
      </c>
      <c r="L302">
        <v>0</v>
      </c>
      <c r="M302">
        <v>2</v>
      </c>
      <c r="N302">
        <v>2</v>
      </c>
      <c r="O302">
        <v>1</v>
      </c>
      <c r="P302" t="s">
        <v>175</v>
      </c>
    </row>
    <row r="303" spans="1:16" x14ac:dyDescent="0.3">
      <c r="A303">
        <v>15</v>
      </c>
      <c r="B303">
        <v>2024</v>
      </c>
      <c r="C303">
        <v>1910</v>
      </c>
      <c r="D303">
        <v>194</v>
      </c>
      <c r="E303">
        <v>146</v>
      </c>
      <c r="F303">
        <v>9294.44</v>
      </c>
      <c r="G303">
        <v>7.6439999999999994E-2</v>
      </c>
      <c r="H303">
        <v>31</v>
      </c>
      <c r="I303">
        <v>55</v>
      </c>
      <c r="J303">
        <v>20</v>
      </c>
      <c r="K303">
        <v>15</v>
      </c>
      <c r="L303">
        <v>1</v>
      </c>
      <c r="M303">
        <v>4</v>
      </c>
      <c r="N303">
        <v>7</v>
      </c>
      <c r="O303">
        <v>6</v>
      </c>
      <c r="P303" t="s">
        <v>85</v>
      </c>
    </row>
    <row r="304" spans="1:16" x14ac:dyDescent="0.3">
      <c r="A304">
        <v>16</v>
      </c>
      <c r="B304">
        <v>2024</v>
      </c>
      <c r="C304">
        <v>1014</v>
      </c>
      <c r="D304">
        <v>98</v>
      </c>
      <c r="E304">
        <v>81</v>
      </c>
      <c r="F304">
        <v>7626.47</v>
      </c>
      <c r="G304">
        <v>7.9881999999999995E-2</v>
      </c>
      <c r="H304">
        <v>23</v>
      </c>
      <c r="I304">
        <v>33</v>
      </c>
      <c r="J304">
        <v>18</v>
      </c>
      <c r="K304">
        <v>8</v>
      </c>
      <c r="L304">
        <v>0</v>
      </c>
      <c r="M304">
        <v>2</v>
      </c>
      <c r="N304">
        <v>5</v>
      </c>
      <c r="O304">
        <v>2</v>
      </c>
      <c r="P304" t="s">
        <v>85</v>
      </c>
    </row>
    <row r="305" spans="1:16" x14ac:dyDescent="0.3">
      <c r="A305">
        <v>17</v>
      </c>
      <c r="B305">
        <v>2024</v>
      </c>
      <c r="C305">
        <v>1152</v>
      </c>
      <c r="D305">
        <v>105</v>
      </c>
      <c r="E305">
        <v>83</v>
      </c>
      <c r="F305">
        <v>4842.93</v>
      </c>
      <c r="G305">
        <v>7.2049000000000002E-2</v>
      </c>
      <c r="H305">
        <v>24</v>
      </c>
      <c r="I305">
        <v>32</v>
      </c>
      <c r="J305">
        <v>14</v>
      </c>
      <c r="K305">
        <v>12</v>
      </c>
      <c r="L305">
        <v>0</v>
      </c>
      <c r="M305">
        <v>3</v>
      </c>
      <c r="N305">
        <v>6</v>
      </c>
      <c r="O305">
        <v>3</v>
      </c>
      <c r="P305" t="s">
        <v>68</v>
      </c>
    </row>
    <row r="306" spans="1:16" x14ac:dyDescent="0.3">
      <c r="A306">
        <v>18</v>
      </c>
      <c r="B306">
        <v>2024</v>
      </c>
      <c r="C306">
        <v>827</v>
      </c>
      <c r="D306">
        <v>38</v>
      </c>
      <c r="E306">
        <v>33</v>
      </c>
      <c r="F306">
        <v>3090.15</v>
      </c>
      <c r="G306">
        <v>3.9903000000000001E-2</v>
      </c>
      <c r="H306">
        <v>10</v>
      </c>
      <c r="I306">
        <v>19</v>
      </c>
      <c r="J306">
        <v>5</v>
      </c>
      <c r="K306">
        <v>9</v>
      </c>
      <c r="L306">
        <v>0</v>
      </c>
      <c r="M306">
        <v>3</v>
      </c>
      <c r="N306">
        <v>4</v>
      </c>
      <c r="O306">
        <v>2</v>
      </c>
      <c r="P306" t="s">
        <v>175</v>
      </c>
    </row>
    <row r="307" spans="1:16" x14ac:dyDescent="0.3">
      <c r="A307">
        <v>19</v>
      </c>
      <c r="B307">
        <v>2024</v>
      </c>
      <c r="C307">
        <v>2185</v>
      </c>
      <c r="D307">
        <v>248</v>
      </c>
      <c r="E307">
        <v>188</v>
      </c>
      <c r="F307">
        <v>14317.93</v>
      </c>
      <c r="G307">
        <v>8.6041000000000006E-2</v>
      </c>
      <c r="H307">
        <v>52</v>
      </c>
      <c r="I307">
        <v>80</v>
      </c>
      <c r="J307">
        <v>20</v>
      </c>
      <c r="K307">
        <v>15</v>
      </c>
      <c r="L307">
        <v>1</v>
      </c>
      <c r="M307">
        <v>5</v>
      </c>
      <c r="N307">
        <v>10</v>
      </c>
      <c r="O307">
        <v>7</v>
      </c>
      <c r="P307" t="s">
        <v>85</v>
      </c>
    </row>
    <row r="308" spans="1:16" x14ac:dyDescent="0.3">
      <c r="A308">
        <v>20</v>
      </c>
      <c r="B308">
        <v>2024</v>
      </c>
      <c r="C308">
        <v>1108</v>
      </c>
      <c r="D308">
        <v>84</v>
      </c>
      <c r="E308">
        <v>80</v>
      </c>
      <c r="F308">
        <v>6114.36</v>
      </c>
      <c r="G308">
        <v>7.2202000000000002E-2</v>
      </c>
      <c r="H308">
        <v>18</v>
      </c>
      <c r="I308">
        <v>36</v>
      </c>
      <c r="J308">
        <v>10</v>
      </c>
      <c r="K308">
        <v>5</v>
      </c>
      <c r="L308">
        <v>0</v>
      </c>
      <c r="M308">
        <v>1</v>
      </c>
      <c r="N308">
        <v>3</v>
      </c>
      <c r="O308">
        <v>3</v>
      </c>
      <c r="P308" t="s">
        <v>68</v>
      </c>
    </row>
    <row r="309" spans="1:16" x14ac:dyDescent="0.3">
      <c r="A309">
        <v>21</v>
      </c>
      <c r="B309">
        <v>2024</v>
      </c>
      <c r="C309">
        <v>1962</v>
      </c>
      <c r="D309">
        <v>181</v>
      </c>
      <c r="E309">
        <v>169</v>
      </c>
      <c r="F309">
        <v>16802.5</v>
      </c>
      <c r="G309">
        <v>8.6137000000000005E-2</v>
      </c>
      <c r="H309">
        <v>27</v>
      </c>
      <c r="I309">
        <v>58</v>
      </c>
      <c r="J309">
        <v>26</v>
      </c>
      <c r="K309">
        <v>12</v>
      </c>
      <c r="L309">
        <v>1</v>
      </c>
      <c r="M309">
        <v>7</v>
      </c>
      <c r="N309">
        <v>7</v>
      </c>
      <c r="O309">
        <v>13</v>
      </c>
      <c r="P309" t="s">
        <v>85</v>
      </c>
    </row>
    <row r="310" spans="1:16" x14ac:dyDescent="0.3">
      <c r="A310">
        <v>22</v>
      </c>
      <c r="B310">
        <v>2024</v>
      </c>
      <c r="C310">
        <v>723</v>
      </c>
      <c r="D310">
        <v>38</v>
      </c>
      <c r="E310">
        <v>31</v>
      </c>
      <c r="F310">
        <v>2303.17</v>
      </c>
      <c r="G310">
        <v>4.2876999999999998E-2</v>
      </c>
      <c r="H310">
        <v>12</v>
      </c>
      <c r="I310">
        <v>18</v>
      </c>
      <c r="J310">
        <v>4</v>
      </c>
      <c r="K310">
        <v>7</v>
      </c>
      <c r="L310">
        <v>1</v>
      </c>
      <c r="M310">
        <v>4</v>
      </c>
      <c r="N310">
        <v>4</v>
      </c>
      <c r="O310">
        <v>3</v>
      </c>
      <c r="P310" t="s">
        <v>85</v>
      </c>
    </row>
    <row r="311" spans="1:16" x14ac:dyDescent="0.3">
      <c r="A311">
        <v>23</v>
      </c>
      <c r="B311">
        <v>2024</v>
      </c>
      <c r="C311">
        <v>426</v>
      </c>
      <c r="D311">
        <v>21</v>
      </c>
      <c r="E311">
        <v>20</v>
      </c>
      <c r="F311">
        <v>1925.98</v>
      </c>
      <c r="G311">
        <v>4.6947999999999997E-2</v>
      </c>
      <c r="H311">
        <v>15</v>
      </c>
      <c r="I311">
        <v>15</v>
      </c>
      <c r="J311">
        <v>4</v>
      </c>
      <c r="K311">
        <v>5</v>
      </c>
      <c r="L311">
        <v>1</v>
      </c>
      <c r="M311">
        <v>2</v>
      </c>
      <c r="N311">
        <v>3</v>
      </c>
      <c r="O311">
        <v>1</v>
      </c>
      <c r="P311" t="s">
        <v>85</v>
      </c>
    </row>
    <row r="312" spans="1:16" x14ac:dyDescent="0.3">
      <c r="A312">
        <v>24</v>
      </c>
      <c r="B312">
        <v>2024</v>
      </c>
      <c r="C312">
        <v>872</v>
      </c>
      <c r="D312">
        <v>49</v>
      </c>
      <c r="E312">
        <v>45</v>
      </c>
      <c r="F312">
        <v>3543.49</v>
      </c>
      <c r="G312">
        <v>5.1605999999999999E-2</v>
      </c>
      <c r="H312">
        <v>15</v>
      </c>
      <c r="I312">
        <v>18</v>
      </c>
      <c r="J312">
        <v>5</v>
      </c>
      <c r="K312">
        <v>8</v>
      </c>
      <c r="L312">
        <v>0</v>
      </c>
      <c r="M312">
        <v>2</v>
      </c>
      <c r="N312">
        <v>2</v>
      </c>
      <c r="O312">
        <v>3</v>
      </c>
      <c r="P312" t="s">
        <v>175</v>
      </c>
    </row>
    <row r="313" spans="1:16" x14ac:dyDescent="0.3">
      <c r="A313">
        <v>25</v>
      </c>
      <c r="B313">
        <v>2024</v>
      </c>
      <c r="C313">
        <v>1583</v>
      </c>
      <c r="D313">
        <v>109</v>
      </c>
      <c r="E313">
        <v>96</v>
      </c>
      <c r="F313">
        <v>7518.14</v>
      </c>
      <c r="G313">
        <v>6.0644000000000003E-2</v>
      </c>
      <c r="H313">
        <v>18</v>
      </c>
      <c r="I313">
        <v>40</v>
      </c>
      <c r="J313">
        <v>11</v>
      </c>
      <c r="K313">
        <v>18</v>
      </c>
      <c r="L313">
        <v>1</v>
      </c>
      <c r="M313">
        <v>6</v>
      </c>
      <c r="N313">
        <v>9</v>
      </c>
      <c r="O313">
        <v>8</v>
      </c>
      <c r="P313" t="s">
        <v>85</v>
      </c>
    </row>
    <row r="314" spans="1:16" x14ac:dyDescent="0.3">
      <c r="A314">
        <v>26</v>
      </c>
      <c r="B314">
        <v>2024</v>
      </c>
      <c r="C314">
        <v>892</v>
      </c>
      <c r="D314">
        <v>91</v>
      </c>
      <c r="E314">
        <v>66</v>
      </c>
      <c r="F314">
        <v>3591.2</v>
      </c>
      <c r="G314">
        <v>7.3991000000000001E-2</v>
      </c>
      <c r="H314">
        <v>29</v>
      </c>
      <c r="I314">
        <v>34</v>
      </c>
      <c r="J314">
        <v>10</v>
      </c>
      <c r="K314">
        <v>10</v>
      </c>
      <c r="L314">
        <v>0</v>
      </c>
      <c r="M314">
        <v>3</v>
      </c>
      <c r="N314">
        <v>6</v>
      </c>
      <c r="O314">
        <v>2</v>
      </c>
      <c r="P314" t="s">
        <v>68</v>
      </c>
    </row>
    <row r="315" spans="1:16" x14ac:dyDescent="0.3">
      <c r="A315">
        <v>27</v>
      </c>
      <c r="B315">
        <v>2024</v>
      </c>
      <c r="C315">
        <v>603</v>
      </c>
      <c r="D315">
        <v>56</v>
      </c>
      <c r="E315">
        <v>46</v>
      </c>
      <c r="F315">
        <v>1951.27</v>
      </c>
      <c r="G315">
        <v>7.6285000000000006E-2</v>
      </c>
      <c r="H315">
        <v>18</v>
      </c>
      <c r="I315">
        <v>23</v>
      </c>
      <c r="J315">
        <v>7</v>
      </c>
      <c r="K315">
        <v>8</v>
      </c>
      <c r="L315">
        <v>1</v>
      </c>
      <c r="M315">
        <v>5</v>
      </c>
      <c r="N315">
        <v>6</v>
      </c>
      <c r="O315">
        <v>5</v>
      </c>
      <c r="P315" t="s">
        <v>85</v>
      </c>
    </row>
    <row r="316" spans="1:16" x14ac:dyDescent="0.3">
      <c r="A316">
        <v>29</v>
      </c>
      <c r="B316">
        <v>2024</v>
      </c>
      <c r="C316">
        <v>251</v>
      </c>
      <c r="D316">
        <v>12</v>
      </c>
      <c r="E316">
        <v>11</v>
      </c>
      <c r="F316">
        <v>987.38</v>
      </c>
      <c r="G316">
        <v>4.3825000000000003E-2</v>
      </c>
      <c r="H316">
        <v>11</v>
      </c>
      <c r="I316">
        <v>11</v>
      </c>
      <c r="J316">
        <v>2</v>
      </c>
      <c r="K316">
        <v>5</v>
      </c>
      <c r="L316">
        <v>0</v>
      </c>
      <c r="M316">
        <v>1</v>
      </c>
      <c r="N316">
        <v>3</v>
      </c>
      <c r="O316">
        <v>1</v>
      </c>
      <c r="P316" t="s">
        <v>68</v>
      </c>
    </row>
    <row r="317" spans="1:16" x14ac:dyDescent="0.3">
      <c r="A317">
        <v>30</v>
      </c>
      <c r="B317">
        <v>2024</v>
      </c>
      <c r="C317">
        <v>208</v>
      </c>
      <c r="D317">
        <v>10</v>
      </c>
      <c r="E317">
        <v>8</v>
      </c>
      <c r="F317">
        <v>722.6</v>
      </c>
      <c r="G317">
        <v>3.8462000000000003E-2</v>
      </c>
      <c r="H317">
        <v>17</v>
      </c>
      <c r="I317">
        <v>17</v>
      </c>
      <c r="J317">
        <v>2</v>
      </c>
      <c r="K317">
        <v>6</v>
      </c>
      <c r="L317">
        <v>0</v>
      </c>
      <c r="M317">
        <v>2</v>
      </c>
      <c r="N317">
        <v>3</v>
      </c>
      <c r="O317">
        <v>0</v>
      </c>
      <c r="P317" t="s">
        <v>175</v>
      </c>
    </row>
    <row r="318" spans="1:16" x14ac:dyDescent="0.3">
      <c r="A318">
        <v>31</v>
      </c>
      <c r="B318">
        <v>2024</v>
      </c>
      <c r="C318">
        <v>725</v>
      </c>
      <c r="D318">
        <v>45</v>
      </c>
      <c r="E318">
        <v>34</v>
      </c>
      <c r="F318">
        <v>1994.8</v>
      </c>
      <c r="G318">
        <v>4.6897000000000001E-2</v>
      </c>
      <c r="H318">
        <v>24</v>
      </c>
      <c r="I318">
        <v>24</v>
      </c>
      <c r="J318">
        <v>6</v>
      </c>
      <c r="K318">
        <v>10</v>
      </c>
      <c r="L318">
        <v>0</v>
      </c>
      <c r="M318">
        <v>4</v>
      </c>
      <c r="N318">
        <v>6</v>
      </c>
      <c r="O318">
        <v>2</v>
      </c>
      <c r="P318" t="s">
        <v>175</v>
      </c>
    </row>
    <row r="319" spans="1:16" x14ac:dyDescent="0.3">
      <c r="A319">
        <v>32</v>
      </c>
      <c r="B319">
        <v>2024</v>
      </c>
      <c r="C319">
        <v>1320</v>
      </c>
      <c r="D319">
        <v>79</v>
      </c>
      <c r="E319">
        <v>72</v>
      </c>
      <c r="F319">
        <v>3602.38</v>
      </c>
      <c r="G319">
        <v>5.4545000000000003E-2</v>
      </c>
      <c r="H319">
        <v>19</v>
      </c>
      <c r="I319">
        <v>34</v>
      </c>
      <c r="J319">
        <v>11</v>
      </c>
      <c r="K319">
        <v>11</v>
      </c>
      <c r="L319">
        <v>0</v>
      </c>
      <c r="M319">
        <v>2</v>
      </c>
      <c r="N319">
        <v>3</v>
      </c>
      <c r="O319">
        <v>5</v>
      </c>
      <c r="P319" t="s">
        <v>175</v>
      </c>
    </row>
    <row r="320" spans="1:16" x14ac:dyDescent="0.3">
      <c r="A320">
        <v>33</v>
      </c>
      <c r="B320">
        <v>2024</v>
      </c>
      <c r="C320">
        <v>663</v>
      </c>
      <c r="D320">
        <v>29</v>
      </c>
      <c r="E320">
        <v>21</v>
      </c>
      <c r="F320">
        <v>1984.94</v>
      </c>
      <c r="G320">
        <v>3.1674000000000001E-2</v>
      </c>
      <c r="H320">
        <v>7</v>
      </c>
      <c r="I320">
        <v>16</v>
      </c>
      <c r="J320">
        <v>5</v>
      </c>
      <c r="K320">
        <v>3</v>
      </c>
      <c r="L320">
        <v>0</v>
      </c>
      <c r="M320">
        <v>1</v>
      </c>
      <c r="N320">
        <v>1</v>
      </c>
      <c r="O320">
        <v>2</v>
      </c>
      <c r="P320" t="s">
        <v>175</v>
      </c>
    </row>
    <row r="321" spans="1:16" x14ac:dyDescent="0.3">
      <c r="A321">
        <v>34</v>
      </c>
      <c r="B321">
        <v>2024</v>
      </c>
      <c r="C321">
        <v>1130</v>
      </c>
      <c r="D321">
        <v>117</v>
      </c>
      <c r="E321">
        <v>100</v>
      </c>
      <c r="F321">
        <v>5153.66</v>
      </c>
      <c r="G321">
        <v>8.8496000000000005E-2</v>
      </c>
      <c r="H321">
        <v>20</v>
      </c>
      <c r="I321">
        <v>41</v>
      </c>
      <c r="J321">
        <v>18</v>
      </c>
      <c r="K321">
        <v>17</v>
      </c>
      <c r="L321">
        <v>1</v>
      </c>
      <c r="M321">
        <v>8</v>
      </c>
      <c r="N321">
        <v>8</v>
      </c>
      <c r="O321">
        <v>5</v>
      </c>
      <c r="P321" t="s">
        <v>85</v>
      </c>
    </row>
    <row r="322" spans="1:16" x14ac:dyDescent="0.3">
      <c r="A322">
        <v>35</v>
      </c>
      <c r="B322">
        <v>2024</v>
      </c>
      <c r="C322">
        <v>493</v>
      </c>
      <c r="D322">
        <v>43</v>
      </c>
      <c r="E322">
        <v>31</v>
      </c>
      <c r="F322">
        <v>2454.1799999999998</v>
      </c>
      <c r="G322">
        <v>6.2880000000000005E-2</v>
      </c>
      <c r="H322">
        <v>12</v>
      </c>
      <c r="I322">
        <v>20</v>
      </c>
      <c r="J322">
        <v>7</v>
      </c>
      <c r="K322">
        <v>7</v>
      </c>
      <c r="L322">
        <v>1</v>
      </c>
      <c r="M322">
        <v>6</v>
      </c>
      <c r="N322">
        <v>6</v>
      </c>
      <c r="O322">
        <v>1</v>
      </c>
      <c r="P322" t="s">
        <v>85</v>
      </c>
    </row>
    <row r="323" spans="1:16" x14ac:dyDescent="0.3">
      <c r="A323">
        <v>36</v>
      </c>
      <c r="B323">
        <v>2024</v>
      </c>
      <c r="C323">
        <v>1291</v>
      </c>
      <c r="D323">
        <v>67</v>
      </c>
      <c r="E323">
        <v>62</v>
      </c>
      <c r="F323">
        <v>1917.7</v>
      </c>
      <c r="G323">
        <v>4.8024999999999998E-2</v>
      </c>
      <c r="H323">
        <v>15</v>
      </c>
      <c r="I323">
        <v>31</v>
      </c>
      <c r="J323">
        <v>8</v>
      </c>
      <c r="K323">
        <v>12</v>
      </c>
      <c r="L323">
        <v>1</v>
      </c>
      <c r="M323">
        <v>4</v>
      </c>
      <c r="N323">
        <v>5</v>
      </c>
      <c r="O323">
        <v>5</v>
      </c>
      <c r="P323" t="s">
        <v>85</v>
      </c>
    </row>
    <row r="324" spans="1:16" x14ac:dyDescent="0.3">
      <c r="A324">
        <v>37</v>
      </c>
      <c r="B324">
        <v>2024</v>
      </c>
      <c r="C324">
        <v>556</v>
      </c>
      <c r="D324">
        <v>26</v>
      </c>
      <c r="E324">
        <v>21</v>
      </c>
      <c r="F324">
        <v>812.81</v>
      </c>
      <c r="G324">
        <v>3.7769999999999998E-2</v>
      </c>
      <c r="H324">
        <v>15</v>
      </c>
      <c r="I324">
        <v>15</v>
      </c>
      <c r="J324">
        <v>5</v>
      </c>
      <c r="K324">
        <v>6</v>
      </c>
      <c r="L324">
        <v>0</v>
      </c>
      <c r="M324">
        <v>1</v>
      </c>
      <c r="N324">
        <v>3</v>
      </c>
      <c r="O324">
        <v>1</v>
      </c>
      <c r="P324" t="s">
        <v>175</v>
      </c>
    </row>
    <row r="325" spans="1:16" x14ac:dyDescent="0.3">
      <c r="A325">
        <v>38</v>
      </c>
      <c r="B325">
        <v>2024</v>
      </c>
      <c r="C325">
        <v>722</v>
      </c>
      <c r="D325">
        <v>37</v>
      </c>
      <c r="E325">
        <v>29</v>
      </c>
      <c r="F325">
        <v>1688.51</v>
      </c>
      <c r="G325">
        <v>4.0166E-2</v>
      </c>
      <c r="H325">
        <v>7</v>
      </c>
      <c r="I325">
        <v>13</v>
      </c>
      <c r="J325">
        <v>5</v>
      </c>
      <c r="K325">
        <v>6</v>
      </c>
      <c r="L325">
        <v>0</v>
      </c>
      <c r="M325">
        <v>2</v>
      </c>
      <c r="N325">
        <v>3</v>
      </c>
      <c r="O325">
        <v>2</v>
      </c>
      <c r="P325" t="s">
        <v>175</v>
      </c>
    </row>
    <row r="326" spans="1:16" x14ac:dyDescent="0.3">
      <c r="A326">
        <v>39</v>
      </c>
      <c r="B326">
        <v>2024</v>
      </c>
      <c r="C326">
        <v>1168</v>
      </c>
      <c r="D326">
        <v>112</v>
      </c>
      <c r="E326">
        <v>94</v>
      </c>
      <c r="F326">
        <v>10694.74</v>
      </c>
      <c r="G326">
        <v>8.0478999999999995E-2</v>
      </c>
      <c r="H326">
        <v>24</v>
      </c>
      <c r="I326">
        <v>34</v>
      </c>
      <c r="J326">
        <v>13</v>
      </c>
      <c r="K326">
        <v>9</v>
      </c>
      <c r="L326">
        <v>1</v>
      </c>
      <c r="M326">
        <v>5</v>
      </c>
      <c r="N326">
        <v>6</v>
      </c>
      <c r="O326">
        <v>6</v>
      </c>
      <c r="P326" t="s">
        <v>85</v>
      </c>
    </row>
    <row r="327" spans="1:16" x14ac:dyDescent="0.3">
      <c r="A327">
        <v>40</v>
      </c>
      <c r="B327">
        <v>2024</v>
      </c>
      <c r="C327">
        <v>859</v>
      </c>
      <c r="D327">
        <v>48</v>
      </c>
      <c r="E327">
        <v>38</v>
      </c>
      <c r="F327">
        <v>2955.94</v>
      </c>
      <c r="G327">
        <v>4.4236999999999999E-2</v>
      </c>
      <c r="H327">
        <v>16</v>
      </c>
      <c r="I327">
        <v>18</v>
      </c>
      <c r="J327">
        <v>9</v>
      </c>
      <c r="K327">
        <v>9</v>
      </c>
      <c r="L327">
        <v>1</v>
      </c>
      <c r="M327">
        <v>2</v>
      </c>
      <c r="N327">
        <v>2</v>
      </c>
      <c r="O327">
        <v>1</v>
      </c>
      <c r="P327" t="s">
        <v>85</v>
      </c>
    </row>
    <row r="328" spans="1:16" x14ac:dyDescent="0.3">
      <c r="A328">
        <v>41</v>
      </c>
      <c r="B328">
        <v>2024</v>
      </c>
      <c r="C328">
        <v>1781</v>
      </c>
      <c r="D328">
        <v>112</v>
      </c>
      <c r="E328">
        <v>92</v>
      </c>
      <c r="F328">
        <v>5141.79</v>
      </c>
      <c r="G328">
        <v>5.1656000000000001E-2</v>
      </c>
      <c r="H328">
        <v>30</v>
      </c>
      <c r="I328">
        <v>41</v>
      </c>
      <c r="J328">
        <v>14</v>
      </c>
      <c r="K328">
        <v>17</v>
      </c>
      <c r="L328">
        <v>0</v>
      </c>
      <c r="M328">
        <v>4</v>
      </c>
      <c r="N328">
        <v>7</v>
      </c>
      <c r="O328">
        <v>3</v>
      </c>
      <c r="P328" t="s">
        <v>175</v>
      </c>
    </row>
    <row r="329" spans="1:16" x14ac:dyDescent="0.3">
      <c r="A329">
        <v>42</v>
      </c>
      <c r="B329">
        <v>2024</v>
      </c>
      <c r="C329">
        <v>745</v>
      </c>
      <c r="D329">
        <v>53</v>
      </c>
      <c r="E329">
        <v>46</v>
      </c>
      <c r="F329">
        <v>2766.77</v>
      </c>
      <c r="G329">
        <v>6.1745000000000001E-2</v>
      </c>
      <c r="H329">
        <v>14</v>
      </c>
      <c r="I329">
        <v>21</v>
      </c>
      <c r="J329">
        <v>6</v>
      </c>
      <c r="K329">
        <v>9</v>
      </c>
      <c r="L329">
        <v>1</v>
      </c>
      <c r="M329">
        <v>4</v>
      </c>
      <c r="N329">
        <v>5</v>
      </c>
      <c r="O329">
        <v>1</v>
      </c>
      <c r="P329" t="s">
        <v>85</v>
      </c>
    </row>
    <row r="330" spans="1:16" x14ac:dyDescent="0.3">
      <c r="A330">
        <v>43</v>
      </c>
      <c r="B330">
        <v>2024</v>
      </c>
      <c r="C330">
        <v>415</v>
      </c>
      <c r="D330">
        <v>32</v>
      </c>
      <c r="E330">
        <v>26</v>
      </c>
      <c r="F330">
        <v>2153.7199999999998</v>
      </c>
      <c r="G330">
        <v>6.2650999999999998E-2</v>
      </c>
      <c r="H330">
        <v>12</v>
      </c>
      <c r="I330">
        <v>20</v>
      </c>
      <c r="J330">
        <v>5</v>
      </c>
      <c r="K330">
        <v>6</v>
      </c>
      <c r="L330">
        <v>0</v>
      </c>
      <c r="M330">
        <v>1</v>
      </c>
      <c r="N330">
        <v>3</v>
      </c>
      <c r="O330">
        <v>1</v>
      </c>
      <c r="P330" t="s">
        <v>68</v>
      </c>
    </row>
    <row r="331" spans="1:16" x14ac:dyDescent="0.3">
      <c r="A331">
        <v>44</v>
      </c>
      <c r="B331">
        <v>2024</v>
      </c>
      <c r="C331">
        <v>544</v>
      </c>
      <c r="D331">
        <v>44</v>
      </c>
      <c r="E331">
        <v>40</v>
      </c>
      <c r="F331">
        <v>1780.4</v>
      </c>
      <c r="G331">
        <v>7.3528999999999997E-2</v>
      </c>
      <c r="H331">
        <v>18</v>
      </c>
      <c r="I331">
        <v>24</v>
      </c>
      <c r="J331">
        <v>10</v>
      </c>
      <c r="K331">
        <v>10</v>
      </c>
      <c r="L331">
        <v>1</v>
      </c>
      <c r="M331">
        <v>4</v>
      </c>
      <c r="N331">
        <v>5</v>
      </c>
      <c r="O331">
        <v>2</v>
      </c>
      <c r="P331" t="s">
        <v>85</v>
      </c>
    </row>
    <row r="332" spans="1:16" x14ac:dyDescent="0.3">
      <c r="A332">
        <v>45</v>
      </c>
      <c r="B332">
        <v>2024</v>
      </c>
      <c r="C332">
        <v>1117</v>
      </c>
      <c r="D332">
        <v>62</v>
      </c>
      <c r="E332">
        <v>46</v>
      </c>
      <c r="F332">
        <v>1406.23</v>
      </c>
      <c r="G332">
        <v>4.1182000000000003E-2</v>
      </c>
      <c r="H332">
        <v>23</v>
      </c>
      <c r="I332">
        <v>28</v>
      </c>
      <c r="J332">
        <v>10</v>
      </c>
      <c r="K332">
        <v>10</v>
      </c>
      <c r="L332">
        <v>1</v>
      </c>
      <c r="M332">
        <v>4</v>
      </c>
      <c r="N332">
        <v>4</v>
      </c>
      <c r="O332">
        <v>3</v>
      </c>
      <c r="P332" t="s">
        <v>85</v>
      </c>
    </row>
    <row r="333" spans="1:16" x14ac:dyDescent="0.3">
      <c r="A333">
        <v>46</v>
      </c>
      <c r="B333">
        <v>2024</v>
      </c>
      <c r="C333">
        <v>617</v>
      </c>
      <c r="D333">
        <v>34</v>
      </c>
      <c r="E333">
        <v>26</v>
      </c>
      <c r="F333">
        <v>1002.68</v>
      </c>
      <c r="G333">
        <v>4.2139000000000003E-2</v>
      </c>
      <c r="H333">
        <v>17</v>
      </c>
      <c r="I333">
        <v>19</v>
      </c>
      <c r="J333">
        <v>6</v>
      </c>
      <c r="K333">
        <v>6</v>
      </c>
      <c r="L333">
        <v>0</v>
      </c>
      <c r="M333">
        <v>2</v>
      </c>
      <c r="N333">
        <v>5</v>
      </c>
      <c r="O333">
        <v>2</v>
      </c>
      <c r="P333" t="s">
        <v>175</v>
      </c>
    </row>
    <row r="334" spans="1:16" x14ac:dyDescent="0.3">
      <c r="A334">
        <v>47</v>
      </c>
      <c r="B334">
        <v>2024</v>
      </c>
      <c r="C334">
        <v>2029</v>
      </c>
      <c r="D334">
        <v>197</v>
      </c>
      <c r="E334">
        <v>177</v>
      </c>
      <c r="F334">
        <v>14862.3</v>
      </c>
      <c r="G334">
        <v>8.7234999999999993E-2</v>
      </c>
      <c r="H334">
        <v>34</v>
      </c>
      <c r="I334">
        <v>67</v>
      </c>
      <c r="J334">
        <v>18</v>
      </c>
      <c r="K334">
        <v>13</v>
      </c>
      <c r="L334">
        <v>1</v>
      </c>
      <c r="M334">
        <v>5</v>
      </c>
      <c r="N334">
        <v>8</v>
      </c>
      <c r="O334">
        <v>5</v>
      </c>
      <c r="P334" t="s">
        <v>85</v>
      </c>
    </row>
    <row r="335" spans="1:16" x14ac:dyDescent="0.3">
      <c r="A335">
        <v>48</v>
      </c>
      <c r="B335">
        <v>2024</v>
      </c>
      <c r="C335">
        <v>608</v>
      </c>
      <c r="D335">
        <v>58</v>
      </c>
      <c r="E335">
        <v>51</v>
      </c>
      <c r="F335">
        <v>5216</v>
      </c>
      <c r="G335">
        <v>8.3881999999999998E-2</v>
      </c>
      <c r="H335">
        <v>18</v>
      </c>
      <c r="I335">
        <v>26</v>
      </c>
      <c r="J335">
        <v>7</v>
      </c>
      <c r="K335">
        <v>9</v>
      </c>
      <c r="L335">
        <v>1</v>
      </c>
      <c r="M335">
        <v>5</v>
      </c>
      <c r="N335">
        <v>6</v>
      </c>
      <c r="O335">
        <v>2</v>
      </c>
      <c r="P335" t="s">
        <v>85</v>
      </c>
    </row>
    <row r="336" spans="1:16" x14ac:dyDescent="0.3">
      <c r="A336">
        <v>49</v>
      </c>
      <c r="B336">
        <v>2024</v>
      </c>
      <c r="C336">
        <v>1661</v>
      </c>
      <c r="D336">
        <v>161</v>
      </c>
      <c r="E336">
        <v>135</v>
      </c>
      <c r="F336">
        <v>11874.48</v>
      </c>
      <c r="G336">
        <v>8.1276000000000001E-2</v>
      </c>
      <c r="H336">
        <v>31</v>
      </c>
      <c r="I336">
        <v>53</v>
      </c>
      <c r="J336">
        <v>20</v>
      </c>
      <c r="K336">
        <v>14</v>
      </c>
      <c r="L336">
        <v>1</v>
      </c>
      <c r="M336">
        <v>7</v>
      </c>
      <c r="N336">
        <v>8</v>
      </c>
      <c r="O336">
        <v>7</v>
      </c>
      <c r="P336" t="s">
        <v>85</v>
      </c>
    </row>
    <row r="337" spans="1:16" x14ac:dyDescent="0.3">
      <c r="A337">
        <v>50</v>
      </c>
      <c r="B337">
        <v>2024</v>
      </c>
      <c r="C337">
        <v>130</v>
      </c>
      <c r="D337">
        <v>10</v>
      </c>
      <c r="E337">
        <v>8</v>
      </c>
      <c r="F337">
        <v>398.78</v>
      </c>
      <c r="G337">
        <v>6.1538000000000002E-2</v>
      </c>
      <c r="H337">
        <v>9</v>
      </c>
      <c r="I337">
        <v>9</v>
      </c>
      <c r="J337">
        <v>3</v>
      </c>
      <c r="K337">
        <v>6</v>
      </c>
      <c r="L337">
        <v>1</v>
      </c>
      <c r="M337">
        <v>6</v>
      </c>
      <c r="N337">
        <v>4</v>
      </c>
      <c r="O337">
        <v>1</v>
      </c>
      <c r="P337" t="s">
        <v>85</v>
      </c>
    </row>
    <row r="338" spans="1:16" x14ac:dyDescent="0.3">
      <c r="A338">
        <v>51</v>
      </c>
      <c r="B338">
        <v>2024</v>
      </c>
      <c r="C338">
        <v>1246</v>
      </c>
      <c r="D338">
        <v>109</v>
      </c>
      <c r="E338">
        <v>94</v>
      </c>
      <c r="F338">
        <v>6908.62</v>
      </c>
      <c r="G338">
        <v>7.5440999999999994E-2</v>
      </c>
      <c r="H338">
        <v>22</v>
      </c>
      <c r="I338">
        <v>42</v>
      </c>
      <c r="J338">
        <v>12</v>
      </c>
      <c r="K338">
        <v>12</v>
      </c>
      <c r="L338">
        <v>1</v>
      </c>
      <c r="M338">
        <v>5</v>
      </c>
      <c r="N338">
        <v>7</v>
      </c>
      <c r="O338">
        <v>6</v>
      </c>
      <c r="P338" t="s">
        <v>85</v>
      </c>
    </row>
    <row r="339" spans="1:16" x14ac:dyDescent="0.3">
      <c r="A339">
        <v>52</v>
      </c>
      <c r="B339">
        <v>2024</v>
      </c>
      <c r="C339">
        <v>2555</v>
      </c>
      <c r="D339">
        <v>269</v>
      </c>
      <c r="E339">
        <v>231</v>
      </c>
      <c r="F339">
        <v>24837.49</v>
      </c>
      <c r="G339">
        <v>9.0411000000000005E-2</v>
      </c>
      <c r="H339">
        <v>32</v>
      </c>
      <c r="I339">
        <v>84</v>
      </c>
      <c r="J339">
        <v>35</v>
      </c>
      <c r="K339">
        <v>19</v>
      </c>
      <c r="L339">
        <v>1</v>
      </c>
      <c r="M339">
        <v>10</v>
      </c>
      <c r="N339">
        <v>8</v>
      </c>
      <c r="O339">
        <v>14</v>
      </c>
      <c r="P339" t="s">
        <v>85</v>
      </c>
    </row>
    <row r="340" spans="1:16" x14ac:dyDescent="0.3">
      <c r="A340">
        <v>53</v>
      </c>
      <c r="B340">
        <v>2024</v>
      </c>
      <c r="C340">
        <v>1719</v>
      </c>
      <c r="D340">
        <v>154</v>
      </c>
      <c r="E340">
        <v>124</v>
      </c>
      <c r="F340">
        <v>10715.34</v>
      </c>
      <c r="G340">
        <v>7.2135000000000005E-2</v>
      </c>
      <c r="H340">
        <v>27</v>
      </c>
      <c r="I340">
        <v>46</v>
      </c>
      <c r="J340">
        <v>15</v>
      </c>
      <c r="K340">
        <v>10</v>
      </c>
      <c r="L340">
        <v>1</v>
      </c>
      <c r="M340">
        <v>6</v>
      </c>
      <c r="N340">
        <v>6</v>
      </c>
      <c r="O340">
        <v>6</v>
      </c>
      <c r="P340" t="s">
        <v>85</v>
      </c>
    </row>
    <row r="341" spans="1:16" x14ac:dyDescent="0.3">
      <c r="A341">
        <v>54</v>
      </c>
      <c r="B341">
        <v>2024</v>
      </c>
      <c r="C341">
        <v>645</v>
      </c>
      <c r="D341">
        <v>34</v>
      </c>
      <c r="E341">
        <v>27</v>
      </c>
      <c r="F341">
        <v>1584.8</v>
      </c>
      <c r="G341">
        <v>4.1860000000000001E-2</v>
      </c>
      <c r="H341">
        <v>17</v>
      </c>
      <c r="I341">
        <v>19</v>
      </c>
      <c r="J341">
        <v>5</v>
      </c>
      <c r="K341">
        <v>6</v>
      </c>
      <c r="L341">
        <v>0</v>
      </c>
      <c r="M341">
        <v>1</v>
      </c>
      <c r="N341">
        <v>3</v>
      </c>
      <c r="O341">
        <v>2</v>
      </c>
      <c r="P341" t="s">
        <v>175</v>
      </c>
    </row>
    <row r="342" spans="1:16" x14ac:dyDescent="0.3">
      <c r="A342">
        <v>55</v>
      </c>
      <c r="B342">
        <v>2024</v>
      </c>
      <c r="C342">
        <v>1354</v>
      </c>
      <c r="D342">
        <v>80</v>
      </c>
      <c r="E342">
        <v>74</v>
      </c>
      <c r="F342">
        <v>2951.3</v>
      </c>
      <c r="G342">
        <v>5.4653E-2</v>
      </c>
      <c r="H342">
        <v>20</v>
      </c>
      <c r="I342">
        <v>35</v>
      </c>
      <c r="J342">
        <v>7</v>
      </c>
      <c r="K342">
        <v>6</v>
      </c>
      <c r="L342">
        <v>0</v>
      </c>
      <c r="M342">
        <v>1</v>
      </c>
      <c r="N342">
        <v>3</v>
      </c>
      <c r="O342">
        <v>2</v>
      </c>
      <c r="P342" t="s">
        <v>175</v>
      </c>
    </row>
    <row r="343" spans="1:16" x14ac:dyDescent="0.3">
      <c r="A343">
        <v>56</v>
      </c>
      <c r="B343">
        <v>2024</v>
      </c>
      <c r="C343">
        <v>612</v>
      </c>
      <c r="D343">
        <v>32</v>
      </c>
      <c r="E343">
        <v>25</v>
      </c>
      <c r="F343">
        <v>1035.3</v>
      </c>
      <c r="G343">
        <v>4.0849999999999997E-2</v>
      </c>
      <c r="H343">
        <v>17</v>
      </c>
      <c r="I343">
        <v>17</v>
      </c>
      <c r="J343">
        <v>6</v>
      </c>
      <c r="K343">
        <v>6</v>
      </c>
      <c r="L343">
        <v>0</v>
      </c>
      <c r="M343">
        <v>2</v>
      </c>
      <c r="N343">
        <v>3</v>
      </c>
      <c r="O343">
        <v>1</v>
      </c>
      <c r="P343" t="s">
        <v>68</v>
      </c>
    </row>
    <row r="344" spans="1:16" x14ac:dyDescent="0.3">
      <c r="A344">
        <v>57</v>
      </c>
      <c r="B344">
        <v>2024</v>
      </c>
      <c r="C344">
        <v>391</v>
      </c>
      <c r="D344">
        <v>38</v>
      </c>
      <c r="E344">
        <v>33</v>
      </c>
      <c r="F344">
        <v>3377.7</v>
      </c>
      <c r="G344">
        <v>8.4399000000000002E-2</v>
      </c>
      <c r="H344">
        <v>8</v>
      </c>
      <c r="I344">
        <v>18</v>
      </c>
      <c r="J344">
        <v>8</v>
      </c>
      <c r="K344">
        <v>4</v>
      </c>
      <c r="L344">
        <v>1</v>
      </c>
      <c r="M344">
        <v>4</v>
      </c>
      <c r="N344">
        <v>3</v>
      </c>
      <c r="O344">
        <v>3</v>
      </c>
      <c r="P344" t="s">
        <v>68</v>
      </c>
    </row>
    <row r="345" spans="1:16" x14ac:dyDescent="0.3">
      <c r="A345">
        <v>58</v>
      </c>
      <c r="B345">
        <v>2024</v>
      </c>
      <c r="C345">
        <v>1367</v>
      </c>
      <c r="D345">
        <v>116</v>
      </c>
      <c r="E345">
        <v>102</v>
      </c>
      <c r="F345">
        <v>6078.7</v>
      </c>
      <c r="G345">
        <v>7.4616000000000002E-2</v>
      </c>
      <c r="H345">
        <v>12</v>
      </c>
      <c r="I345">
        <v>41</v>
      </c>
      <c r="J345">
        <v>17</v>
      </c>
      <c r="K345">
        <v>6</v>
      </c>
      <c r="L345">
        <v>1</v>
      </c>
      <c r="M345">
        <v>5</v>
      </c>
      <c r="N345">
        <v>5</v>
      </c>
      <c r="O345">
        <v>9</v>
      </c>
      <c r="P345" t="s">
        <v>85</v>
      </c>
    </row>
    <row r="346" spans="1:16" x14ac:dyDescent="0.3">
      <c r="A346">
        <v>59</v>
      </c>
      <c r="B346">
        <v>2024</v>
      </c>
      <c r="C346">
        <v>197</v>
      </c>
      <c r="D346">
        <v>7</v>
      </c>
      <c r="E346">
        <v>7</v>
      </c>
      <c r="F346">
        <v>380.42</v>
      </c>
      <c r="G346">
        <v>3.5533000000000002E-2</v>
      </c>
      <c r="H346">
        <v>6</v>
      </c>
      <c r="I346">
        <v>6</v>
      </c>
      <c r="J346">
        <v>2</v>
      </c>
      <c r="K346">
        <v>2</v>
      </c>
      <c r="L346">
        <v>1</v>
      </c>
      <c r="M346">
        <v>4</v>
      </c>
      <c r="N346">
        <v>3</v>
      </c>
      <c r="O346">
        <v>2</v>
      </c>
      <c r="P346" t="s">
        <v>175</v>
      </c>
    </row>
    <row r="347" spans="1:16" x14ac:dyDescent="0.3">
      <c r="A347">
        <v>60</v>
      </c>
      <c r="B347">
        <v>2024</v>
      </c>
      <c r="C347">
        <v>1063</v>
      </c>
      <c r="D347">
        <v>89</v>
      </c>
      <c r="E347">
        <v>72</v>
      </c>
      <c r="F347">
        <v>5845.79</v>
      </c>
      <c r="G347">
        <v>6.7733000000000002E-2</v>
      </c>
      <c r="H347">
        <v>18</v>
      </c>
      <c r="I347">
        <v>38</v>
      </c>
      <c r="J347">
        <v>17</v>
      </c>
      <c r="K347">
        <v>9</v>
      </c>
      <c r="L347">
        <v>1</v>
      </c>
      <c r="M347">
        <v>3</v>
      </c>
      <c r="N347">
        <v>5</v>
      </c>
      <c r="O347">
        <v>6</v>
      </c>
      <c r="P347" t="s">
        <v>85</v>
      </c>
    </row>
    <row r="348" spans="1:16" x14ac:dyDescent="0.3">
      <c r="A348">
        <v>61</v>
      </c>
      <c r="B348">
        <v>2024</v>
      </c>
      <c r="C348">
        <v>1481</v>
      </c>
      <c r="D348">
        <v>168</v>
      </c>
      <c r="E348">
        <v>140</v>
      </c>
      <c r="F348">
        <v>9353.26</v>
      </c>
      <c r="G348">
        <v>9.4531000000000004E-2</v>
      </c>
      <c r="H348">
        <v>25</v>
      </c>
      <c r="I348">
        <v>54</v>
      </c>
      <c r="J348">
        <v>31</v>
      </c>
      <c r="K348">
        <v>13</v>
      </c>
      <c r="L348">
        <v>0</v>
      </c>
      <c r="M348">
        <v>3</v>
      </c>
      <c r="N348">
        <v>6</v>
      </c>
      <c r="O348">
        <v>10</v>
      </c>
      <c r="P348" t="s">
        <v>175</v>
      </c>
    </row>
    <row r="349" spans="1:16" x14ac:dyDescent="0.3">
      <c r="A349">
        <v>62</v>
      </c>
      <c r="B349">
        <v>2024</v>
      </c>
      <c r="C349">
        <v>1390</v>
      </c>
      <c r="D349">
        <v>96</v>
      </c>
      <c r="E349">
        <v>92</v>
      </c>
      <c r="F349">
        <v>6211.99</v>
      </c>
      <c r="G349">
        <v>6.6186999999999996E-2</v>
      </c>
      <c r="H349">
        <v>38</v>
      </c>
      <c r="I349">
        <v>38</v>
      </c>
      <c r="J349">
        <v>20</v>
      </c>
      <c r="K349">
        <v>13</v>
      </c>
      <c r="L349">
        <v>1</v>
      </c>
      <c r="M349">
        <v>7</v>
      </c>
      <c r="N349">
        <v>8</v>
      </c>
      <c r="O349">
        <v>5</v>
      </c>
      <c r="P349" t="s">
        <v>85</v>
      </c>
    </row>
    <row r="350" spans="1:16" x14ac:dyDescent="0.3">
      <c r="A350">
        <v>63</v>
      </c>
      <c r="B350">
        <v>2024</v>
      </c>
      <c r="C350">
        <v>1336</v>
      </c>
      <c r="D350">
        <v>123</v>
      </c>
      <c r="E350">
        <v>110</v>
      </c>
      <c r="F350">
        <v>8661.51</v>
      </c>
      <c r="G350">
        <v>8.2335000000000005E-2</v>
      </c>
      <c r="H350">
        <v>22</v>
      </c>
      <c r="I350">
        <v>47</v>
      </c>
      <c r="J350">
        <v>22</v>
      </c>
      <c r="K350">
        <v>15</v>
      </c>
      <c r="L350">
        <v>1</v>
      </c>
      <c r="M350">
        <v>6</v>
      </c>
      <c r="N350">
        <v>7</v>
      </c>
      <c r="O350">
        <v>10</v>
      </c>
      <c r="P350" t="s">
        <v>85</v>
      </c>
    </row>
    <row r="351" spans="1:16" x14ac:dyDescent="0.3">
      <c r="A351">
        <v>64</v>
      </c>
      <c r="B351">
        <v>2024</v>
      </c>
      <c r="C351">
        <v>445</v>
      </c>
      <c r="D351">
        <v>24</v>
      </c>
      <c r="E351">
        <v>18</v>
      </c>
      <c r="F351">
        <v>1051.6099999999999</v>
      </c>
      <c r="G351">
        <v>4.0448999999999999E-2</v>
      </c>
      <c r="H351">
        <v>9</v>
      </c>
      <c r="I351">
        <v>13</v>
      </c>
      <c r="J351">
        <v>4</v>
      </c>
      <c r="K351">
        <v>3</v>
      </c>
      <c r="L351">
        <v>1</v>
      </c>
      <c r="M351">
        <v>4</v>
      </c>
      <c r="N351">
        <v>3</v>
      </c>
      <c r="O351">
        <v>2</v>
      </c>
      <c r="P351" t="s">
        <v>68</v>
      </c>
    </row>
    <row r="352" spans="1:16" x14ac:dyDescent="0.3">
      <c r="A352">
        <v>65</v>
      </c>
      <c r="B352">
        <v>2024</v>
      </c>
      <c r="C352">
        <v>638</v>
      </c>
      <c r="D352">
        <v>60</v>
      </c>
      <c r="E352">
        <v>47</v>
      </c>
      <c r="F352">
        <v>3329.97</v>
      </c>
      <c r="G352">
        <v>7.3667999999999997E-2</v>
      </c>
      <c r="H352">
        <v>17</v>
      </c>
      <c r="I352">
        <v>19</v>
      </c>
      <c r="J352">
        <v>12</v>
      </c>
      <c r="K352">
        <v>9</v>
      </c>
      <c r="L352">
        <v>1</v>
      </c>
      <c r="M352">
        <v>4</v>
      </c>
      <c r="N352">
        <v>6</v>
      </c>
      <c r="O352">
        <v>4</v>
      </c>
      <c r="P352" t="s">
        <v>85</v>
      </c>
    </row>
    <row r="353" spans="1:16" x14ac:dyDescent="0.3">
      <c r="A353">
        <v>66</v>
      </c>
      <c r="B353">
        <v>2024</v>
      </c>
      <c r="C353">
        <v>987</v>
      </c>
      <c r="D353">
        <v>100</v>
      </c>
      <c r="E353">
        <v>90</v>
      </c>
      <c r="F353">
        <v>6731.54</v>
      </c>
      <c r="G353">
        <v>9.1185000000000002E-2</v>
      </c>
      <c r="H353">
        <v>16</v>
      </c>
      <c r="I353">
        <v>29</v>
      </c>
      <c r="J353">
        <v>18</v>
      </c>
      <c r="K353">
        <v>10</v>
      </c>
      <c r="L353">
        <v>0</v>
      </c>
      <c r="M353">
        <v>1</v>
      </c>
      <c r="N353">
        <v>4</v>
      </c>
      <c r="O353">
        <v>3</v>
      </c>
      <c r="P353" t="s">
        <v>85</v>
      </c>
    </row>
    <row r="354" spans="1:16" x14ac:dyDescent="0.3">
      <c r="A354">
        <v>67</v>
      </c>
      <c r="B354">
        <v>2024</v>
      </c>
      <c r="C354">
        <v>1359</v>
      </c>
      <c r="D354">
        <v>87</v>
      </c>
      <c r="E354">
        <v>72</v>
      </c>
      <c r="F354">
        <v>7231.03</v>
      </c>
      <c r="G354">
        <v>5.2979999999999999E-2</v>
      </c>
      <c r="H354">
        <v>23</v>
      </c>
      <c r="I354">
        <v>34</v>
      </c>
      <c r="J354">
        <v>8</v>
      </c>
      <c r="K354">
        <v>14</v>
      </c>
      <c r="L354">
        <v>0</v>
      </c>
      <c r="M354">
        <v>5</v>
      </c>
      <c r="N354">
        <v>5</v>
      </c>
      <c r="O354">
        <v>5</v>
      </c>
      <c r="P354" t="s">
        <v>175</v>
      </c>
    </row>
    <row r="355" spans="1:16" x14ac:dyDescent="0.3">
      <c r="A355">
        <v>68</v>
      </c>
      <c r="B355">
        <v>2024</v>
      </c>
      <c r="C355">
        <v>893</v>
      </c>
      <c r="D355">
        <v>76</v>
      </c>
      <c r="E355">
        <v>57</v>
      </c>
      <c r="F355">
        <v>3265.75</v>
      </c>
      <c r="G355">
        <v>6.3829999999999998E-2</v>
      </c>
      <c r="H355">
        <v>22</v>
      </c>
      <c r="I355">
        <v>28</v>
      </c>
      <c r="J355">
        <v>13</v>
      </c>
      <c r="K355">
        <v>14</v>
      </c>
      <c r="L355">
        <v>0</v>
      </c>
      <c r="M355">
        <v>5</v>
      </c>
      <c r="N355">
        <v>6</v>
      </c>
      <c r="O355">
        <v>3</v>
      </c>
      <c r="P355" t="s">
        <v>85</v>
      </c>
    </row>
    <row r="356" spans="1:16" x14ac:dyDescent="0.3">
      <c r="A356">
        <v>69</v>
      </c>
      <c r="B356">
        <v>2024</v>
      </c>
      <c r="C356">
        <v>1270</v>
      </c>
      <c r="D356">
        <v>125</v>
      </c>
      <c r="E356">
        <v>105</v>
      </c>
      <c r="F356">
        <v>11444.19</v>
      </c>
      <c r="G356">
        <v>8.2677E-2</v>
      </c>
      <c r="H356">
        <v>32</v>
      </c>
      <c r="I356">
        <v>43</v>
      </c>
      <c r="J356">
        <v>17</v>
      </c>
      <c r="K356">
        <v>18</v>
      </c>
      <c r="L356">
        <v>1</v>
      </c>
      <c r="M356">
        <v>5</v>
      </c>
      <c r="N356">
        <v>5</v>
      </c>
      <c r="O356">
        <v>5</v>
      </c>
      <c r="P356" t="s">
        <v>85</v>
      </c>
    </row>
    <row r="357" spans="1:16" x14ac:dyDescent="0.3">
      <c r="A357">
        <v>70</v>
      </c>
      <c r="B357">
        <v>2024</v>
      </c>
      <c r="C357">
        <v>216</v>
      </c>
      <c r="D357">
        <v>11</v>
      </c>
      <c r="E357">
        <v>10</v>
      </c>
      <c r="F357">
        <v>1000.53</v>
      </c>
      <c r="G357">
        <v>4.6295999999999997E-2</v>
      </c>
      <c r="H357">
        <v>9</v>
      </c>
      <c r="I357">
        <v>9</v>
      </c>
      <c r="J357">
        <v>3</v>
      </c>
      <c r="K357">
        <v>5</v>
      </c>
      <c r="L357">
        <v>0</v>
      </c>
      <c r="M357">
        <v>2</v>
      </c>
      <c r="N357">
        <v>2</v>
      </c>
      <c r="O357">
        <v>0</v>
      </c>
      <c r="P357" t="s">
        <v>175</v>
      </c>
    </row>
    <row r="358" spans="1:16" x14ac:dyDescent="0.3">
      <c r="A358">
        <v>71</v>
      </c>
      <c r="B358">
        <v>2024</v>
      </c>
      <c r="C358">
        <v>844</v>
      </c>
      <c r="D358">
        <v>54</v>
      </c>
      <c r="E358">
        <v>43</v>
      </c>
      <c r="F358">
        <v>2079.11</v>
      </c>
      <c r="G358">
        <v>5.0948E-2</v>
      </c>
      <c r="H358">
        <v>13</v>
      </c>
      <c r="I358">
        <v>22</v>
      </c>
      <c r="J358">
        <v>7</v>
      </c>
      <c r="K358">
        <v>7</v>
      </c>
      <c r="L358">
        <v>1</v>
      </c>
      <c r="M358">
        <v>5</v>
      </c>
      <c r="N358">
        <v>4</v>
      </c>
      <c r="O358">
        <v>5</v>
      </c>
      <c r="P358" t="s">
        <v>85</v>
      </c>
    </row>
    <row r="359" spans="1:16" x14ac:dyDescent="0.3">
      <c r="A359">
        <v>72</v>
      </c>
      <c r="B359">
        <v>2024</v>
      </c>
      <c r="C359">
        <v>570</v>
      </c>
      <c r="D359">
        <v>38</v>
      </c>
      <c r="E359">
        <v>35</v>
      </c>
      <c r="F359">
        <v>2073.23</v>
      </c>
      <c r="G359">
        <v>6.1404E-2</v>
      </c>
      <c r="H359">
        <v>18</v>
      </c>
      <c r="I359">
        <v>18</v>
      </c>
      <c r="J359">
        <v>6</v>
      </c>
      <c r="K359">
        <v>9</v>
      </c>
      <c r="L359">
        <v>1</v>
      </c>
      <c r="M359">
        <v>4</v>
      </c>
      <c r="N359">
        <v>5</v>
      </c>
      <c r="O359">
        <v>3</v>
      </c>
      <c r="P359" t="s">
        <v>85</v>
      </c>
    </row>
    <row r="360" spans="1:16" x14ac:dyDescent="0.3">
      <c r="A360">
        <v>73</v>
      </c>
      <c r="B360">
        <v>2024</v>
      </c>
      <c r="C360">
        <v>362</v>
      </c>
      <c r="D360">
        <v>14</v>
      </c>
      <c r="E360">
        <v>10</v>
      </c>
      <c r="F360">
        <v>669.17</v>
      </c>
      <c r="G360">
        <v>2.7623999999999999E-2</v>
      </c>
      <c r="H360">
        <v>3</v>
      </c>
      <c r="I360">
        <v>13</v>
      </c>
      <c r="J360">
        <v>2</v>
      </c>
      <c r="K360">
        <v>3</v>
      </c>
      <c r="L360">
        <v>0</v>
      </c>
      <c r="M360">
        <v>0</v>
      </c>
      <c r="N360">
        <v>2</v>
      </c>
      <c r="O360">
        <v>0</v>
      </c>
      <c r="P360" t="s">
        <v>68</v>
      </c>
    </row>
    <row r="361" spans="1:16" x14ac:dyDescent="0.3">
      <c r="A361">
        <v>74</v>
      </c>
      <c r="B361">
        <v>2024</v>
      </c>
      <c r="C361">
        <v>456</v>
      </c>
      <c r="D361">
        <v>24</v>
      </c>
      <c r="E361">
        <v>19</v>
      </c>
      <c r="F361">
        <v>1173.6500000000001</v>
      </c>
      <c r="G361">
        <v>4.1667000000000003E-2</v>
      </c>
      <c r="H361">
        <v>12</v>
      </c>
      <c r="I361">
        <v>12</v>
      </c>
      <c r="J361">
        <v>4</v>
      </c>
      <c r="K361">
        <v>3</v>
      </c>
      <c r="L361">
        <v>0</v>
      </c>
      <c r="M361">
        <v>1</v>
      </c>
      <c r="N361">
        <v>2</v>
      </c>
      <c r="O361">
        <v>1</v>
      </c>
      <c r="P361" t="s">
        <v>175</v>
      </c>
    </row>
    <row r="362" spans="1:16" x14ac:dyDescent="0.3">
      <c r="A362">
        <v>75</v>
      </c>
      <c r="B362">
        <v>2024</v>
      </c>
      <c r="C362">
        <v>80</v>
      </c>
      <c r="D362">
        <v>7</v>
      </c>
      <c r="E362">
        <v>6</v>
      </c>
      <c r="F362">
        <v>249.77</v>
      </c>
      <c r="G362">
        <v>7.4999999999999997E-2</v>
      </c>
      <c r="H362">
        <v>11</v>
      </c>
      <c r="I362">
        <v>11</v>
      </c>
      <c r="J362">
        <v>4</v>
      </c>
      <c r="K362">
        <v>6</v>
      </c>
      <c r="L362">
        <v>1</v>
      </c>
      <c r="M362">
        <v>4</v>
      </c>
      <c r="N362">
        <v>3</v>
      </c>
      <c r="O362">
        <v>1</v>
      </c>
      <c r="P362" t="s">
        <v>85</v>
      </c>
    </row>
    <row r="363" spans="1:16" x14ac:dyDescent="0.3">
      <c r="A363">
        <v>76</v>
      </c>
      <c r="B363">
        <v>2024</v>
      </c>
      <c r="C363">
        <v>387</v>
      </c>
      <c r="D363">
        <v>11</v>
      </c>
      <c r="E363">
        <v>10</v>
      </c>
      <c r="F363">
        <v>947.46</v>
      </c>
      <c r="G363">
        <v>2.5839999999999998E-2</v>
      </c>
      <c r="H363">
        <v>3</v>
      </c>
      <c r="I363">
        <v>12</v>
      </c>
      <c r="J363">
        <v>2</v>
      </c>
      <c r="K363">
        <v>1</v>
      </c>
      <c r="L363">
        <v>0</v>
      </c>
      <c r="M363">
        <v>0</v>
      </c>
      <c r="N363">
        <v>1</v>
      </c>
      <c r="O363">
        <v>1</v>
      </c>
      <c r="P363" t="s">
        <v>176</v>
      </c>
    </row>
    <row r="364" spans="1:16" x14ac:dyDescent="0.3">
      <c r="A364">
        <v>77</v>
      </c>
      <c r="B364">
        <v>2024</v>
      </c>
      <c r="C364">
        <v>193</v>
      </c>
      <c r="D364">
        <v>15</v>
      </c>
      <c r="E364">
        <v>12</v>
      </c>
      <c r="F364">
        <v>1285.21</v>
      </c>
      <c r="G364">
        <v>6.2176000000000002E-2</v>
      </c>
      <c r="H364">
        <v>13</v>
      </c>
      <c r="I364">
        <v>14</v>
      </c>
      <c r="J364">
        <v>3</v>
      </c>
      <c r="K364">
        <v>6</v>
      </c>
      <c r="L364">
        <v>1</v>
      </c>
      <c r="M364">
        <v>4</v>
      </c>
      <c r="N364">
        <v>4</v>
      </c>
      <c r="O364">
        <v>3</v>
      </c>
      <c r="P364" t="s">
        <v>85</v>
      </c>
    </row>
    <row r="365" spans="1:16" x14ac:dyDescent="0.3">
      <c r="A365">
        <v>78</v>
      </c>
      <c r="B365">
        <v>2024</v>
      </c>
      <c r="C365">
        <v>759</v>
      </c>
      <c r="D365">
        <v>46</v>
      </c>
      <c r="E365">
        <v>36</v>
      </c>
      <c r="F365">
        <v>2681.63</v>
      </c>
      <c r="G365">
        <v>4.7431000000000001E-2</v>
      </c>
      <c r="H365">
        <v>19</v>
      </c>
      <c r="I365">
        <v>19</v>
      </c>
      <c r="J365">
        <v>6</v>
      </c>
      <c r="K365">
        <v>10</v>
      </c>
      <c r="L365">
        <v>0</v>
      </c>
      <c r="M365">
        <v>3</v>
      </c>
      <c r="N365">
        <v>6</v>
      </c>
      <c r="O365">
        <v>1</v>
      </c>
      <c r="P365" t="s">
        <v>68</v>
      </c>
    </row>
    <row r="366" spans="1:16" x14ac:dyDescent="0.3">
      <c r="A366">
        <v>79</v>
      </c>
      <c r="B366">
        <v>2024</v>
      </c>
      <c r="C366">
        <v>81</v>
      </c>
      <c r="D366">
        <v>6</v>
      </c>
      <c r="E366">
        <v>5</v>
      </c>
      <c r="F366">
        <v>423.65</v>
      </c>
      <c r="G366">
        <v>6.1727999999999998E-2</v>
      </c>
      <c r="H366">
        <v>8</v>
      </c>
      <c r="I366">
        <v>9</v>
      </c>
      <c r="J366">
        <v>3</v>
      </c>
      <c r="K366">
        <v>3</v>
      </c>
      <c r="L366">
        <v>0</v>
      </c>
      <c r="M366">
        <v>0</v>
      </c>
      <c r="N366">
        <v>2</v>
      </c>
      <c r="O366">
        <v>0</v>
      </c>
      <c r="P366" t="s">
        <v>68</v>
      </c>
    </row>
    <row r="367" spans="1:16" x14ac:dyDescent="0.3">
      <c r="A367">
        <v>80</v>
      </c>
      <c r="B367">
        <v>2024</v>
      </c>
      <c r="C367">
        <v>107</v>
      </c>
      <c r="D367">
        <v>9</v>
      </c>
      <c r="E367">
        <v>8</v>
      </c>
      <c r="F367">
        <v>663.75</v>
      </c>
      <c r="G367">
        <v>7.4765999999999999E-2</v>
      </c>
      <c r="H367">
        <v>8</v>
      </c>
      <c r="I367">
        <v>8</v>
      </c>
      <c r="J367">
        <v>3</v>
      </c>
      <c r="K367">
        <v>5</v>
      </c>
      <c r="L367">
        <v>1</v>
      </c>
      <c r="M367">
        <v>5</v>
      </c>
      <c r="N367">
        <v>3</v>
      </c>
      <c r="O367">
        <v>1</v>
      </c>
      <c r="P367" t="s">
        <v>85</v>
      </c>
    </row>
    <row r="368" spans="1:16" x14ac:dyDescent="0.3">
      <c r="A368">
        <v>81</v>
      </c>
      <c r="B368">
        <v>2024</v>
      </c>
      <c r="C368">
        <v>438</v>
      </c>
      <c r="D368">
        <v>24</v>
      </c>
      <c r="E368">
        <v>17</v>
      </c>
      <c r="F368">
        <v>1496.69</v>
      </c>
      <c r="G368">
        <v>3.8813E-2</v>
      </c>
      <c r="H368">
        <v>15</v>
      </c>
      <c r="I368">
        <v>15</v>
      </c>
      <c r="J368">
        <v>3</v>
      </c>
      <c r="K368">
        <v>7</v>
      </c>
      <c r="L368">
        <v>0</v>
      </c>
      <c r="M368">
        <v>2</v>
      </c>
      <c r="N368">
        <v>2</v>
      </c>
      <c r="O368">
        <v>1</v>
      </c>
      <c r="P368" t="s">
        <v>175</v>
      </c>
    </row>
    <row r="369" spans="1:16" x14ac:dyDescent="0.3">
      <c r="A369">
        <v>82</v>
      </c>
      <c r="B369">
        <v>2024</v>
      </c>
      <c r="C369">
        <v>650</v>
      </c>
      <c r="D369">
        <v>43</v>
      </c>
      <c r="E369">
        <v>34</v>
      </c>
      <c r="F369">
        <v>3496.23</v>
      </c>
      <c r="G369">
        <v>5.2308E-2</v>
      </c>
      <c r="H369">
        <v>17</v>
      </c>
      <c r="I369">
        <v>20</v>
      </c>
      <c r="J369">
        <v>9</v>
      </c>
      <c r="K369">
        <v>5</v>
      </c>
      <c r="L369">
        <v>1</v>
      </c>
      <c r="M369">
        <v>4</v>
      </c>
      <c r="N369">
        <v>4</v>
      </c>
      <c r="O369">
        <v>3</v>
      </c>
      <c r="P369" t="s">
        <v>85</v>
      </c>
    </row>
    <row r="370" spans="1:16" x14ac:dyDescent="0.3">
      <c r="A370">
        <v>83</v>
      </c>
      <c r="B370">
        <v>2024</v>
      </c>
      <c r="C370">
        <v>1395</v>
      </c>
      <c r="D370">
        <v>111</v>
      </c>
      <c r="E370">
        <v>98</v>
      </c>
      <c r="F370">
        <v>5300.06</v>
      </c>
      <c r="G370">
        <v>7.0250999999999994E-2</v>
      </c>
      <c r="H370">
        <v>32</v>
      </c>
      <c r="I370">
        <v>45</v>
      </c>
      <c r="J370">
        <v>21</v>
      </c>
      <c r="K370">
        <v>9</v>
      </c>
      <c r="L370">
        <v>1</v>
      </c>
      <c r="M370">
        <v>7</v>
      </c>
      <c r="N370">
        <v>6</v>
      </c>
      <c r="O370">
        <v>4</v>
      </c>
      <c r="P370" t="s">
        <v>85</v>
      </c>
    </row>
    <row r="371" spans="1:16" x14ac:dyDescent="0.3">
      <c r="A371">
        <v>84</v>
      </c>
      <c r="B371">
        <v>2024</v>
      </c>
      <c r="C371">
        <v>563</v>
      </c>
      <c r="D371">
        <v>34</v>
      </c>
      <c r="E371">
        <v>27</v>
      </c>
      <c r="F371">
        <v>1258.5</v>
      </c>
      <c r="G371">
        <v>4.7957E-2</v>
      </c>
      <c r="H371">
        <v>17</v>
      </c>
      <c r="I371">
        <v>20</v>
      </c>
      <c r="J371">
        <v>6</v>
      </c>
      <c r="K371">
        <v>6</v>
      </c>
      <c r="L371">
        <v>0</v>
      </c>
      <c r="M371">
        <v>2</v>
      </c>
      <c r="N371">
        <v>3</v>
      </c>
      <c r="O371">
        <v>1</v>
      </c>
      <c r="P371" t="s">
        <v>175</v>
      </c>
    </row>
    <row r="372" spans="1:16" x14ac:dyDescent="0.3">
      <c r="A372">
        <v>85</v>
      </c>
      <c r="B372">
        <v>2024</v>
      </c>
      <c r="C372">
        <v>1196</v>
      </c>
      <c r="D372">
        <v>108</v>
      </c>
      <c r="E372">
        <v>91</v>
      </c>
      <c r="F372">
        <v>6808.59</v>
      </c>
      <c r="G372">
        <v>7.6087000000000002E-2</v>
      </c>
      <c r="H372">
        <v>23</v>
      </c>
      <c r="I372">
        <v>39</v>
      </c>
      <c r="J372">
        <v>18</v>
      </c>
      <c r="K372">
        <v>12</v>
      </c>
      <c r="L372">
        <v>0</v>
      </c>
      <c r="M372">
        <v>2</v>
      </c>
      <c r="N372">
        <v>6</v>
      </c>
      <c r="O372">
        <v>6</v>
      </c>
      <c r="P372" t="s">
        <v>85</v>
      </c>
    </row>
    <row r="373" spans="1:16" x14ac:dyDescent="0.3">
      <c r="A373">
        <v>86</v>
      </c>
      <c r="B373">
        <v>2024</v>
      </c>
      <c r="C373">
        <v>156</v>
      </c>
      <c r="D373">
        <v>7</v>
      </c>
      <c r="E373">
        <v>5</v>
      </c>
      <c r="F373">
        <v>422.91</v>
      </c>
      <c r="G373">
        <v>3.2051000000000003E-2</v>
      </c>
      <c r="H373">
        <v>5</v>
      </c>
      <c r="I373">
        <v>9</v>
      </c>
      <c r="J373">
        <v>2</v>
      </c>
      <c r="K373">
        <v>2</v>
      </c>
      <c r="L373">
        <v>0</v>
      </c>
      <c r="M373">
        <v>0</v>
      </c>
      <c r="N373">
        <v>1</v>
      </c>
      <c r="O373">
        <v>0</v>
      </c>
      <c r="P373" t="s">
        <v>176</v>
      </c>
    </row>
    <row r="374" spans="1:16" x14ac:dyDescent="0.3">
      <c r="A374">
        <v>87</v>
      </c>
      <c r="B374">
        <v>2024</v>
      </c>
      <c r="C374">
        <v>332</v>
      </c>
      <c r="D374">
        <v>33</v>
      </c>
      <c r="E374">
        <v>29</v>
      </c>
      <c r="F374">
        <v>1566.39</v>
      </c>
      <c r="G374">
        <v>8.7348999999999996E-2</v>
      </c>
      <c r="H374">
        <v>27</v>
      </c>
      <c r="I374">
        <v>27</v>
      </c>
      <c r="J374">
        <v>8</v>
      </c>
      <c r="K374">
        <v>8</v>
      </c>
      <c r="L374">
        <v>1</v>
      </c>
      <c r="M374">
        <v>5</v>
      </c>
      <c r="N374">
        <v>4</v>
      </c>
      <c r="O374">
        <v>2</v>
      </c>
      <c r="P374" t="s">
        <v>85</v>
      </c>
    </row>
    <row r="375" spans="1:16" x14ac:dyDescent="0.3">
      <c r="A375">
        <v>88</v>
      </c>
      <c r="B375">
        <v>2024</v>
      </c>
      <c r="C375">
        <v>416</v>
      </c>
      <c r="D375">
        <v>15</v>
      </c>
      <c r="E375">
        <v>11</v>
      </c>
      <c r="F375">
        <v>640.12</v>
      </c>
      <c r="G375">
        <v>2.6442E-2</v>
      </c>
      <c r="H375">
        <v>7</v>
      </c>
      <c r="I375">
        <v>15</v>
      </c>
      <c r="J375">
        <v>2</v>
      </c>
      <c r="K375">
        <v>5</v>
      </c>
      <c r="L375">
        <v>0</v>
      </c>
      <c r="M375">
        <v>1</v>
      </c>
      <c r="N375">
        <v>3</v>
      </c>
      <c r="O375">
        <v>0</v>
      </c>
      <c r="P375" t="s">
        <v>175</v>
      </c>
    </row>
    <row r="376" spans="1:16" x14ac:dyDescent="0.3">
      <c r="A376">
        <v>89</v>
      </c>
      <c r="B376">
        <v>2024</v>
      </c>
      <c r="C376">
        <v>765</v>
      </c>
      <c r="D376">
        <v>57</v>
      </c>
      <c r="E376">
        <v>49</v>
      </c>
      <c r="F376">
        <v>2047.67</v>
      </c>
      <c r="G376">
        <v>6.4051999999999998E-2</v>
      </c>
      <c r="H376">
        <v>20</v>
      </c>
      <c r="I376">
        <v>27</v>
      </c>
      <c r="J376">
        <v>11</v>
      </c>
      <c r="K376">
        <v>10</v>
      </c>
      <c r="L376">
        <v>0</v>
      </c>
      <c r="M376">
        <v>1</v>
      </c>
      <c r="N376">
        <v>6</v>
      </c>
      <c r="O376">
        <v>3</v>
      </c>
      <c r="P376" t="s">
        <v>68</v>
      </c>
    </row>
    <row r="377" spans="1:16" x14ac:dyDescent="0.3">
      <c r="A377">
        <v>90</v>
      </c>
      <c r="B377">
        <v>2024</v>
      </c>
      <c r="C377">
        <v>1390</v>
      </c>
      <c r="D377">
        <v>85</v>
      </c>
      <c r="E377">
        <v>81</v>
      </c>
      <c r="F377">
        <v>5303.8</v>
      </c>
      <c r="G377">
        <v>5.8272999999999998E-2</v>
      </c>
      <c r="H377">
        <v>15</v>
      </c>
      <c r="I377">
        <v>37</v>
      </c>
      <c r="J377">
        <v>9</v>
      </c>
      <c r="K377">
        <v>7</v>
      </c>
      <c r="L377">
        <v>1</v>
      </c>
      <c r="M377">
        <v>3</v>
      </c>
      <c r="N377">
        <v>4</v>
      </c>
      <c r="O377">
        <v>5</v>
      </c>
      <c r="P377" t="s">
        <v>85</v>
      </c>
    </row>
    <row r="378" spans="1:16" x14ac:dyDescent="0.3">
      <c r="A378">
        <v>91</v>
      </c>
      <c r="B378">
        <v>2024</v>
      </c>
      <c r="C378">
        <v>1217</v>
      </c>
      <c r="D378">
        <v>64</v>
      </c>
      <c r="E378">
        <v>54</v>
      </c>
      <c r="F378">
        <v>5647.25</v>
      </c>
      <c r="G378">
        <v>4.4371000000000001E-2</v>
      </c>
      <c r="H378">
        <v>14</v>
      </c>
      <c r="I378">
        <v>29</v>
      </c>
      <c r="J378">
        <v>8</v>
      </c>
      <c r="K378">
        <v>6</v>
      </c>
      <c r="L378">
        <v>0</v>
      </c>
      <c r="M378">
        <v>2</v>
      </c>
      <c r="N378">
        <v>4</v>
      </c>
      <c r="O378">
        <v>3</v>
      </c>
      <c r="P378" t="s">
        <v>175</v>
      </c>
    </row>
    <row r="379" spans="1:16" x14ac:dyDescent="0.3">
      <c r="A379">
        <v>92</v>
      </c>
      <c r="B379">
        <v>2024</v>
      </c>
      <c r="C379">
        <v>598</v>
      </c>
      <c r="D379">
        <v>29</v>
      </c>
      <c r="E379">
        <v>24</v>
      </c>
      <c r="F379">
        <v>2070.17</v>
      </c>
      <c r="G379">
        <v>4.0134000000000003E-2</v>
      </c>
      <c r="H379">
        <v>19</v>
      </c>
      <c r="I379">
        <v>19</v>
      </c>
      <c r="J379">
        <v>4</v>
      </c>
      <c r="K379">
        <v>7</v>
      </c>
      <c r="L379">
        <v>0</v>
      </c>
      <c r="M379">
        <v>1</v>
      </c>
      <c r="N379">
        <v>4</v>
      </c>
      <c r="O379">
        <v>1</v>
      </c>
      <c r="P379" t="s">
        <v>175</v>
      </c>
    </row>
    <row r="380" spans="1:16" x14ac:dyDescent="0.3">
      <c r="A380">
        <v>93</v>
      </c>
      <c r="B380">
        <v>2024</v>
      </c>
      <c r="C380">
        <v>666</v>
      </c>
      <c r="D380">
        <v>67</v>
      </c>
      <c r="E380">
        <v>54</v>
      </c>
      <c r="F380">
        <v>3361.17</v>
      </c>
      <c r="G380">
        <v>8.1081E-2</v>
      </c>
      <c r="H380">
        <v>18</v>
      </c>
      <c r="I380">
        <v>19</v>
      </c>
      <c r="J380">
        <v>11</v>
      </c>
      <c r="K380">
        <v>13</v>
      </c>
      <c r="L380">
        <v>1</v>
      </c>
      <c r="M380">
        <v>6</v>
      </c>
      <c r="N380">
        <v>7</v>
      </c>
      <c r="O380">
        <v>4</v>
      </c>
      <c r="P380" t="s">
        <v>85</v>
      </c>
    </row>
    <row r="381" spans="1:16" x14ac:dyDescent="0.3">
      <c r="A381">
        <v>94</v>
      </c>
      <c r="B381">
        <v>2024</v>
      </c>
      <c r="C381">
        <v>294</v>
      </c>
      <c r="D381">
        <v>23</v>
      </c>
      <c r="E381">
        <v>21</v>
      </c>
      <c r="F381">
        <v>2284.83</v>
      </c>
      <c r="G381">
        <v>7.1429000000000006E-2</v>
      </c>
      <c r="H381">
        <v>12</v>
      </c>
      <c r="I381">
        <v>16</v>
      </c>
      <c r="J381">
        <v>6</v>
      </c>
      <c r="K381">
        <v>5</v>
      </c>
      <c r="L381">
        <v>1</v>
      </c>
      <c r="M381">
        <v>5</v>
      </c>
      <c r="N381">
        <v>5</v>
      </c>
      <c r="O381">
        <v>1</v>
      </c>
      <c r="P381" t="s">
        <v>85</v>
      </c>
    </row>
    <row r="382" spans="1:16" x14ac:dyDescent="0.3">
      <c r="A382">
        <v>95</v>
      </c>
      <c r="B382">
        <v>2024</v>
      </c>
      <c r="C382">
        <v>455</v>
      </c>
      <c r="D382">
        <v>37</v>
      </c>
      <c r="E382">
        <v>33</v>
      </c>
      <c r="F382">
        <v>2124.9499999999998</v>
      </c>
      <c r="G382">
        <v>7.2526999999999994E-2</v>
      </c>
      <c r="H382">
        <v>19</v>
      </c>
      <c r="I382">
        <v>19</v>
      </c>
      <c r="J382">
        <v>7</v>
      </c>
      <c r="K382">
        <v>8</v>
      </c>
      <c r="L382">
        <v>1</v>
      </c>
      <c r="M382">
        <v>4</v>
      </c>
      <c r="N382">
        <v>4</v>
      </c>
      <c r="O382">
        <v>2</v>
      </c>
      <c r="P382" t="s">
        <v>85</v>
      </c>
    </row>
    <row r="383" spans="1:16" x14ac:dyDescent="0.3">
      <c r="A383">
        <v>96</v>
      </c>
      <c r="B383">
        <v>2024</v>
      </c>
      <c r="C383">
        <v>810</v>
      </c>
      <c r="D383">
        <v>64</v>
      </c>
      <c r="E383">
        <v>54</v>
      </c>
      <c r="F383">
        <v>4156.21</v>
      </c>
      <c r="G383">
        <v>6.6667000000000004E-2</v>
      </c>
      <c r="H383">
        <v>16</v>
      </c>
      <c r="I383">
        <v>29</v>
      </c>
      <c r="J383">
        <v>9</v>
      </c>
      <c r="K383">
        <v>7</v>
      </c>
      <c r="L383">
        <v>1</v>
      </c>
      <c r="M383">
        <v>4</v>
      </c>
      <c r="N383">
        <v>5</v>
      </c>
      <c r="O383">
        <v>3</v>
      </c>
      <c r="P383" t="s">
        <v>85</v>
      </c>
    </row>
    <row r="384" spans="1:16" x14ac:dyDescent="0.3">
      <c r="A384">
        <v>97</v>
      </c>
      <c r="B384">
        <v>2024</v>
      </c>
      <c r="C384">
        <v>1033</v>
      </c>
      <c r="D384">
        <v>101</v>
      </c>
      <c r="E384">
        <v>86</v>
      </c>
      <c r="F384">
        <v>8953.68</v>
      </c>
      <c r="G384">
        <v>8.3252999999999994E-2</v>
      </c>
      <c r="H384">
        <v>31</v>
      </c>
      <c r="I384">
        <v>34</v>
      </c>
      <c r="J384">
        <v>13</v>
      </c>
      <c r="K384">
        <v>13</v>
      </c>
      <c r="L384">
        <v>0</v>
      </c>
      <c r="M384">
        <v>2</v>
      </c>
      <c r="N384">
        <v>5</v>
      </c>
      <c r="O384">
        <v>2</v>
      </c>
      <c r="P384" t="s">
        <v>85</v>
      </c>
    </row>
    <row r="385" spans="1:16" x14ac:dyDescent="0.3">
      <c r="A385">
        <v>98</v>
      </c>
      <c r="B385">
        <v>2024</v>
      </c>
      <c r="C385">
        <v>1511</v>
      </c>
      <c r="D385">
        <v>141</v>
      </c>
      <c r="E385">
        <v>131</v>
      </c>
      <c r="F385">
        <v>10953.71</v>
      </c>
      <c r="G385">
        <v>8.6697999999999997E-2</v>
      </c>
      <c r="H385">
        <v>37</v>
      </c>
      <c r="I385">
        <v>53</v>
      </c>
      <c r="J385">
        <v>15</v>
      </c>
      <c r="K385">
        <v>9</v>
      </c>
      <c r="L385">
        <v>1</v>
      </c>
      <c r="M385">
        <v>5</v>
      </c>
      <c r="N385">
        <v>5</v>
      </c>
      <c r="O385">
        <v>6</v>
      </c>
      <c r="P385" t="s">
        <v>85</v>
      </c>
    </row>
    <row r="386" spans="1:16" x14ac:dyDescent="0.3">
      <c r="A386">
        <v>99</v>
      </c>
      <c r="B386">
        <v>2024</v>
      </c>
      <c r="C386">
        <v>1653</v>
      </c>
      <c r="D386">
        <v>175</v>
      </c>
      <c r="E386">
        <v>153</v>
      </c>
      <c r="F386">
        <v>7777.68</v>
      </c>
      <c r="G386">
        <v>9.2559000000000002E-2</v>
      </c>
      <c r="H386">
        <v>29</v>
      </c>
      <c r="I386">
        <v>58</v>
      </c>
      <c r="J386">
        <v>22</v>
      </c>
      <c r="K386">
        <v>22</v>
      </c>
      <c r="L386">
        <v>0</v>
      </c>
      <c r="M386">
        <v>6</v>
      </c>
      <c r="N386">
        <v>10</v>
      </c>
      <c r="O386">
        <v>11</v>
      </c>
      <c r="P386" t="s">
        <v>85</v>
      </c>
    </row>
    <row r="387" spans="1:16" x14ac:dyDescent="0.3">
      <c r="A387">
        <v>1</v>
      </c>
      <c r="B387">
        <v>2025</v>
      </c>
      <c r="C387">
        <v>791</v>
      </c>
      <c r="D387">
        <v>65</v>
      </c>
      <c r="E387">
        <v>56</v>
      </c>
      <c r="F387">
        <v>2300.1</v>
      </c>
      <c r="G387">
        <v>7.0795999999999998E-2</v>
      </c>
      <c r="H387">
        <v>12</v>
      </c>
      <c r="I387">
        <v>21</v>
      </c>
      <c r="J387">
        <v>11</v>
      </c>
      <c r="K387">
        <v>7</v>
      </c>
      <c r="L387">
        <v>1</v>
      </c>
      <c r="M387">
        <v>5</v>
      </c>
      <c r="N387">
        <v>4</v>
      </c>
      <c r="O387">
        <v>2</v>
      </c>
      <c r="P387" t="s">
        <v>85</v>
      </c>
    </row>
    <row r="388" spans="1:16" x14ac:dyDescent="0.3">
      <c r="A388">
        <v>2</v>
      </c>
      <c r="B388">
        <v>2025</v>
      </c>
      <c r="C388">
        <v>690</v>
      </c>
      <c r="D388">
        <v>35</v>
      </c>
      <c r="E388">
        <v>30</v>
      </c>
      <c r="F388">
        <v>2785.56</v>
      </c>
      <c r="G388">
        <v>4.3478000000000003E-2</v>
      </c>
      <c r="H388">
        <v>13</v>
      </c>
      <c r="I388">
        <v>13</v>
      </c>
      <c r="J388">
        <v>4</v>
      </c>
      <c r="K388">
        <v>5</v>
      </c>
      <c r="L388">
        <v>0</v>
      </c>
      <c r="M388">
        <v>1</v>
      </c>
      <c r="N388">
        <v>2</v>
      </c>
      <c r="O388">
        <v>1</v>
      </c>
      <c r="P388" t="s">
        <v>175</v>
      </c>
    </row>
    <row r="389" spans="1:16" x14ac:dyDescent="0.3">
      <c r="A389">
        <v>3</v>
      </c>
      <c r="B389">
        <v>2025</v>
      </c>
      <c r="C389">
        <v>1322</v>
      </c>
      <c r="D389">
        <v>129</v>
      </c>
      <c r="E389">
        <v>119</v>
      </c>
      <c r="F389">
        <v>6049.66</v>
      </c>
      <c r="G389">
        <v>9.0014999999999998E-2</v>
      </c>
      <c r="H389">
        <v>53</v>
      </c>
      <c r="I389">
        <v>53</v>
      </c>
      <c r="J389">
        <v>27</v>
      </c>
      <c r="K389">
        <v>13</v>
      </c>
      <c r="L389">
        <v>1</v>
      </c>
      <c r="M389">
        <v>6</v>
      </c>
      <c r="N389">
        <v>8</v>
      </c>
      <c r="O389">
        <v>10</v>
      </c>
      <c r="P389" t="s">
        <v>85</v>
      </c>
    </row>
    <row r="390" spans="1:16" x14ac:dyDescent="0.3">
      <c r="A390">
        <v>4</v>
      </c>
      <c r="B390">
        <v>2025</v>
      </c>
      <c r="C390">
        <v>555</v>
      </c>
      <c r="D390">
        <v>43</v>
      </c>
      <c r="E390">
        <v>35</v>
      </c>
      <c r="F390">
        <v>3451.03</v>
      </c>
      <c r="G390">
        <v>6.3062999999999994E-2</v>
      </c>
      <c r="H390">
        <v>16</v>
      </c>
      <c r="I390">
        <v>16</v>
      </c>
      <c r="J390">
        <v>9</v>
      </c>
      <c r="K390">
        <v>7</v>
      </c>
      <c r="L390">
        <v>1</v>
      </c>
      <c r="M390">
        <v>5</v>
      </c>
      <c r="N390">
        <v>6</v>
      </c>
      <c r="O390">
        <v>2</v>
      </c>
      <c r="P390" t="s">
        <v>85</v>
      </c>
    </row>
    <row r="391" spans="1:16" x14ac:dyDescent="0.3">
      <c r="A391">
        <v>5</v>
      </c>
      <c r="B391">
        <v>2025</v>
      </c>
      <c r="C391">
        <v>1176</v>
      </c>
      <c r="D391">
        <v>112</v>
      </c>
      <c r="E391">
        <v>99</v>
      </c>
      <c r="F391">
        <v>6679.11</v>
      </c>
      <c r="G391">
        <v>8.4183999999999995E-2</v>
      </c>
      <c r="H391">
        <v>22</v>
      </c>
      <c r="I391">
        <v>43</v>
      </c>
      <c r="J391">
        <v>15</v>
      </c>
      <c r="K391">
        <v>20</v>
      </c>
      <c r="L391">
        <v>1</v>
      </c>
      <c r="M391">
        <v>11</v>
      </c>
      <c r="N391">
        <v>9</v>
      </c>
      <c r="O391">
        <v>8</v>
      </c>
      <c r="P391" t="s">
        <v>85</v>
      </c>
    </row>
    <row r="392" spans="1:16" x14ac:dyDescent="0.3">
      <c r="A392">
        <v>6</v>
      </c>
      <c r="B392">
        <v>2025</v>
      </c>
      <c r="C392">
        <v>860</v>
      </c>
      <c r="D392">
        <v>66</v>
      </c>
      <c r="E392">
        <v>55</v>
      </c>
      <c r="F392">
        <v>4743.3999999999996</v>
      </c>
      <c r="G392">
        <v>6.3952999999999996E-2</v>
      </c>
      <c r="H392">
        <v>13</v>
      </c>
      <c r="I392">
        <v>29</v>
      </c>
      <c r="J392">
        <v>12</v>
      </c>
      <c r="K392">
        <v>7</v>
      </c>
      <c r="L392">
        <v>1</v>
      </c>
      <c r="M392">
        <v>7</v>
      </c>
      <c r="N392">
        <v>4</v>
      </c>
      <c r="O392">
        <v>2</v>
      </c>
      <c r="P392" t="s">
        <v>85</v>
      </c>
    </row>
    <row r="393" spans="1:16" x14ac:dyDescent="0.3">
      <c r="A393">
        <v>7</v>
      </c>
      <c r="B393">
        <v>2025</v>
      </c>
      <c r="C393">
        <v>1215</v>
      </c>
      <c r="D393">
        <v>72</v>
      </c>
      <c r="E393">
        <v>52</v>
      </c>
      <c r="F393">
        <v>5371.71</v>
      </c>
      <c r="G393">
        <v>4.2798000000000003E-2</v>
      </c>
      <c r="H393">
        <v>17</v>
      </c>
      <c r="I393">
        <v>35</v>
      </c>
      <c r="J393">
        <v>7</v>
      </c>
      <c r="K393">
        <v>7</v>
      </c>
      <c r="L393">
        <v>1</v>
      </c>
      <c r="M393">
        <v>5</v>
      </c>
      <c r="N393">
        <v>5</v>
      </c>
      <c r="O393">
        <v>5</v>
      </c>
      <c r="P393" t="s">
        <v>85</v>
      </c>
    </row>
    <row r="394" spans="1:16" x14ac:dyDescent="0.3">
      <c r="A394">
        <v>9</v>
      </c>
      <c r="B394">
        <v>2025</v>
      </c>
      <c r="C394">
        <v>1086</v>
      </c>
      <c r="D394">
        <v>109</v>
      </c>
      <c r="E394">
        <v>89</v>
      </c>
      <c r="F394">
        <v>9879.52</v>
      </c>
      <c r="G394">
        <v>8.1951999999999997E-2</v>
      </c>
      <c r="H394">
        <v>31</v>
      </c>
      <c r="I394">
        <v>35</v>
      </c>
      <c r="J394">
        <v>12</v>
      </c>
      <c r="K394">
        <v>15</v>
      </c>
      <c r="L394">
        <v>1</v>
      </c>
      <c r="M394">
        <v>7</v>
      </c>
      <c r="N394">
        <v>8</v>
      </c>
      <c r="O394">
        <v>8</v>
      </c>
      <c r="P394" t="s">
        <v>85</v>
      </c>
    </row>
    <row r="395" spans="1:16" x14ac:dyDescent="0.3">
      <c r="A395">
        <v>10</v>
      </c>
      <c r="B395">
        <v>2025</v>
      </c>
      <c r="C395">
        <v>1898</v>
      </c>
      <c r="D395">
        <v>207</v>
      </c>
      <c r="E395">
        <v>176</v>
      </c>
      <c r="F395">
        <v>14201.85</v>
      </c>
      <c r="G395">
        <v>9.2729000000000006E-2</v>
      </c>
      <c r="H395">
        <v>41</v>
      </c>
      <c r="I395">
        <v>69</v>
      </c>
      <c r="J395">
        <v>22</v>
      </c>
      <c r="K395">
        <v>15</v>
      </c>
      <c r="L395">
        <v>1</v>
      </c>
      <c r="M395">
        <v>5</v>
      </c>
      <c r="N395">
        <v>8</v>
      </c>
      <c r="O395">
        <v>9</v>
      </c>
      <c r="P395" t="s">
        <v>85</v>
      </c>
    </row>
    <row r="396" spans="1:16" x14ac:dyDescent="0.3">
      <c r="A396">
        <v>11</v>
      </c>
      <c r="B396">
        <v>2025</v>
      </c>
      <c r="C396">
        <v>316</v>
      </c>
      <c r="D396">
        <v>20</v>
      </c>
      <c r="E396">
        <v>16</v>
      </c>
      <c r="F396">
        <v>1364.43</v>
      </c>
      <c r="G396">
        <v>5.0632999999999997E-2</v>
      </c>
      <c r="H396">
        <v>7</v>
      </c>
      <c r="I396">
        <v>13</v>
      </c>
      <c r="J396">
        <v>5</v>
      </c>
      <c r="K396">
        <v>4</v>
      </c>
      <c r="L396">
        <v>1</v>
      </c>
      <c r="M396">
        <v>4</v>
      </c>
      <c r="N396">
        <v>3</v>
      </c>
      <c r="O396">
        <v>2</v>
      </c>
      <c r="P396" t="s">
        <v>68</v>
      </c>
    </row>
    <row r="397" spans="1:16" x14ac:dyDescent="0.3">
      <c r="A397">
        <v>12</v>
      </c>
      <c r="B397">
        <v>2025</v>
      </c>
      <c r="C397">
        <v>1045</v>
      </c>
      <c r="D397">
        <v>92</v>
      </c>
      <c r="E397">
        <v>71</v>
      </c>
      <c r="F397">
        <v>6332.21</v>
      </c>
      <c r="G397">
        <v>6.7943000000000003E-2</v>
      </c>
      <c r="H397">
        <v>30</v>
      </c>
      <c r="I397">
        <v>38</v>
      </c>
      <c r="J397">
        <v>9</v>
      </c>
      <c r="K397">
        <v>13</v>
      </c>
      <c r="L397">
        <v>1</v>
      </c>
      <c r="M397">
        <v>5</v>
      </c>
      <c r="N397">
        <v>9</v>
      </c>
      <c r="O397">
        <v>6</v>
      </c>
      <c r="P397" t="s">
        <v>85</v>
      </c>
    </row>
    <row r="398" spans="1:16" x14ac:dyDescent="0.3">
      <c r="A398">
        <v>13</v>
      </c>
      <c r="B398">
        <v>2025</v>
      </c>
      <c r="C398">
        <v>334</v>
      </c>
      <c r="D398">
        <v>29</v>
      </c>
      <c r="E398">
        <v>26</v>
      </c>
      <c r="F398">
        <v>2191.79</v>
      </c>
      <c r="G398">
        <v>7.7843999999999997E-2</v>
      </c>
      <c r="H398">
        <v>18</v>
      </c>
      <c r="I398">
        <v>18</v>
      </c>
      <c r="J398">
        <v>4</v>
      </c>
      <c r="K398">
        <v>8</v>
      </c>
      <c r="L398">
        <v>1</v>
      </c>
      <c r="M398">
        <v>5</v>
      </c>
      <c r="N398">
        <v>5</v>
      </c>
      <c r="O398">
        <v>3</v>
      </c>
      <c r="P398" t="s">
        <v>85</v>
      </c>
    </row>
    <row r="399" spans="1:16" x14ac:dyDescent="0.3">
      <c r="A399">
        <v>14</v>
      </c>
      <c r="B399">
        <v>2025</v>
      </c>
      <c r="C399">
        <v>860</v>
      </c>
      <c r="D399">
        <v>54</v>
      </c>
      <c r="E399">
        <v>39</v>
      </c>
      <c r="F399">
        <v>1950.97</v>
      </c>
      <c r="G399">
        <v>4.5349E-2</v>
      </c>
      <c r="H399">
        <v>23</v>
      </c>
      <c r="I399">
        <v>23</v>
      </c>
      <c r="J399">
        <v>6</v>
      </c>
      <c r="K399">
        <v>11</v>
      </c>
      <c r="L399">
        <v>0</v>
      </c>
      <c r="M399">
        <v>3</v>
      </c>
      <c r="N399">
        <v>5</v>
      </c>
      <c r="O399">
        <v>2</v>
      </c>
      <c r="P399" t="s">
        <v>175</v>
      </c>
    </row>
    <row r="400" spans="1:16" x14ac:dyDescent="0.3">
      <c r="A400">
        <v>15</v>
      </c>
      <c r="B400">
        <v>2025</v>
      </c>
      <c r="C400">
        <v>1724</v>
      </c>
      <c r="D400">
        <v>185</v>
      </c>
      <c r="E400">
        <v>159</v>
      </c>
      <c r="F400">
        <v>13541.17</v>
      </c>
      <c r="G400">
        <v>9.2227000000000003E-2</v>
      </c>
      <c r="H400">
        <v>48</v>
      </c>
      <c r="I400">
        <v>60</v>
      </c>
      <c r="J400">
        <v>37</v>
      </c>
      <c r="K400">
        <v>19</v>
      </c>
      <c r="L400">
        <v>1</v>
      </c>
      <c r="M400">
        <v>6</v>
      </c>
      <c r="N400">
        <v>14</v>
      </c>
      <c r="O400">
        <v>8</v>
      </c>
      <c r="P400" t="s">
        <v>85</v>
      </c>
    </row>
    <row r="401" spans="1:16" x14ac:dyDescent="0.3">
      <c r="A401">
        <v>16</v>
      </c>
      <c r="B401">
        <v>2025</v>
      </c>
      <c r="C401">
        <v>1193</v>
      </c>
      <c r="D401">
        <v>60</v>
      </c>
      <c r="E401">
        <v>49</v>
      </c>
      <c r="F401">
        <v>2091.34</v>
      </c>
      <c r="G401">
        <v>4.1072999999999998E-2</v>
      </c>
      <c r="H401">
        <v>18</v>
      </c>
      <c r="I401">
        <v>27</v>
      </c>
      <c r="J401">
        <v>5</v>
      </c>
      <c r="K401">
        <v>8</v>
      </c>
      <c r="L401">
        <v>0</v>
      </c>
      <c r="M401">
        <v>2</v>
      </c>
      <c r="N401">
        <v>3</v>
      </c>
      <c r="O401">
        <v>3</v>
      </c>
      <c r="P401" t="s">
        <v>175</v>
      </c>
    </row>
    <row r="402" spans="1:16" x14ac:dyDescent="0.3">
      <c r="A402">
        <v>17</v>
      </c>
      <c r="B402">
        <v>2025</v>
      </c>
      <c r="C402">
        <v>927</v>
      </c>
      <c r="D402">
        <v>76</v>
      </c>
      <c r="E402">
        <v>73</v>
      </c>
      <c r="F402">
        <v>3187.66</v>
      </c>
      <c r="G402">
        <v>7.8749E-2</v>
      </c>
      <c r="H402">
        <v>16</v>
      </c>
      <c r="I402">
        <v>31</v>
      </c>
      <c r="J402">
        <v>11</v>
      </c>
      <c r="K402">
        <v>8</v>
      </c>
      <c r="L402">
        <v>1</v>
      </c>
      <c r="M402">
        <v>4</v>
      </c>
      <c r="N402">
        <v>6</v>
      </c>
      <c r="O402">
        <v>4</v>
      </c>
      <c r="P402" t="s">
        <v>85</v>
      </c>
    </row>
    <row r="403" spans="1:16" x14ac:dyDescent="0.3">
      <c r="A403">
        <v>18</v>
      </c>
      <c r="B403">
        <v>2025</v>
      </c>
      <c r="C403">
        <v>514</v>
      </c>
      <c r="D403">
        <v>35</v>
      </c>
      <c r="E403">
        <v>30</v>
      </c>
      <c r="F403">
        <v>1532.85</v>
      </c>
      <c r="G403">
        <v>5.8366000000000001E-2</v>
      </c>
      <c r="H403">
        <v>13</v>
      </c>
      <c r="I403">
        <v>14</v>
      </c>
      <c r="J403">
        <v>5</v>
      </c>
      <c r="K403">
        <v>7</v>
      </c>
      <c r="L403">
        <v>1</v>
      </c>
      <c r="M403">
        <v>4</v>
      </c>
      <c r="N403">
        <v>4</v>
      </c>
      <c r="O403">
        <v>1</v>
      </c>
      <c r="P403" t="s">
        <v>85</v>
      </c>
    </row>
    <row r="404" spans="1:16" x14ac:dyDescent="0.3">
      <c r="A404">
        <v>19</v>
      </c>
      <c r="B404">
        <v>2025</v>
      </c>
      <c r="C404">
        <v>133</v>
      </c>
      <c r="D404">
        <v>11</v>
      </c>
      <c r="E404">
        <v>10</v>
      </c>
      <c r="F404">
        <v>898.37</v>
      </c>
      <c r="G404">
        <v>7.5188000000000005E-2</v>
      </c>
      <c r="H404">
        <v>11</v>
      </c>
      <c r="I404">
        <v>11</v>
      </c>
      <c r="J404">
        <v>3</v>
      </c>
      <c r="K404">
        <v>5</v>
      </c>
      <c r="L404">
        <v>1</v>
      </c>
      <c r="M404">
        <v>5</v>
      </c>
      <c r="N404">
        <v>4</v>
      </c>
      <c r="O404">
        <v>1</v>
      </c>
      <c r="P404" t="s">
        <v>85</v>
      </c>
    </row>
    <row r="405" spans="1:16" x14ac:dyDescent="0.3">
      <c r="A405">
        <v>21</v>
      </c>
      <c r="B405">
        <v>2025</v>
      </c>
      <c r="C405">
        <v>469</v>
      </c>
      <c r="D405">
        <v>42</v>
      </c>
      <c r="E405">
        <v>35</v>
      </c>
      <c r="F405">
        <v>1548.47</v>
      </c>
      <c r="G405">
        <v>7.4626999999999999E-2</v>
      </c>
      <c r="H405">
        <v>24</v>
      </c>
      <c r="I405">
        <v>24</v>
      </c>
      <c r="J405">
        <v>6</v>
      </c>
      <c r="K405">
        <v>11</v>
      </c>
      <c r="L405">
        <v>0</v>
      </c>
      <c r="M405">
        <v>3</v>
      </c>
      <c r="N405">
        <v>6</v>
      </c>
      <c r="O405">
        <v>1</v>
      </c>
      <c r="P405" t="s">
        <v>68</v>
      </c>
    </row>
    <row r="406" spans="1:16" x14ac:dyDescent="0.3">
      <c r="A406">
        <v>22</v>
      </c>
      <c r="B406">
        <v>2025</v>
      </c>
      <c r="C406">
        <v>1146</v>
      </c>
      <c r="D406">
        <v>101</v>
      </c>
      <c r="E406">
        <v>87</v>
      </c>
      <c r="F406">
        <v>8968.33</v>
      </c>
      <c r="G406">
        <v>7.5915999999999997E-2</v>
      </c>
      <c r="H406">
        <v>17</v>
      </c>
      <c r="I406">
        <v>33</v>
      </c>
      <c r="J406">
        <v>18</v>
      </c>
      <c r="K406">
        <v>6</v>
      </c>
      <c r="L406">
        <v>1</v>
      </c>
      <c r="M406">
        <v>3</v>
      </c>
      <c r="N406">
        <v>4</v>
      </c>
      <c r="O406">
        <v>4</v>
      </c>
      <c r="P406" t="s">
        <v>85</v>
      </c>
    </row>
    <row r="407" spans="1:16" x14ac:dyDescent="0.3">
      <c r="A407">
        <v>23</v>
      </c>
      <c r="B407">
        <v>2025</v>
      </c>
      <c r="C407">
        <v>2011</v>
      </c>
      <c r="D407">
        <v>126</v>
      </c>
      <c r="E407">
        <v>91</v>
      </c>
      <c r="F407">
        <v>6980.18</v>
      </c>
      <c r="G407">
        <v>4.5251E-2</v>
      </c>
      <c r="H407">
        <v>39</v>
      </c>
      <c r="I407">
        <v>51</v>
      </c>
      <c r="J407">
        <v>20</v>
      </c>
      <c r="K407">
        <v>18</v>
      </c>
      <c r="L407">
        <v>0</v>
      </c>
      <c r="M407">
        <v>4</v>
      </c>
      <c r="N407">
        <v>6</v>
      </c>
      <c r="O407">
        <v>3</v>
      </c>
      <c r="P407" t="s">
        <v>175</v>
      </c>
    </row>
    <row r="408" spans="1:16" x14ac:dyDescent="0.3">
      <c r="A408">
        <v>24</v>
      </c>
      <c r="B408">
        <v>2025</v>
      </c>
      <c r="C408">
        <v>807</v>
      </c>
      <c r="D408">
        <v>46</v>
      </c>
      <c r="E408">
        <v>40</v>
      </c>
      <c r="F408">
        <v>2616.0300000000002</v>
      </c>
      <c r="G408">
        <v>4.9565999999999999E-2</v>
      </c>
      <c r="H408">
        <v>8</v>
      </c>
      <c r="I408">
        <v>25</v>
      </c>
      <c r="J408">
        <v>5</v>
      </c>
      <c r="K408">
        <v>7</v>
      </c>
      <c r="L408">
        <v>1</v>
      </c>
      <c r="M408">
        <v>2</v>
      </c>
      <c r="N408">
        <v>5</v>
      </c>
      <c r="O408">
        <v>3</v>
      </c>
      <c r="P408" t="s">
        <v>85</v>
      </c>
    </row>
    <row r="409" spans="1:16" x14ac:dyDescent="0.3">
      <c r="A409">
        <v>25</v>
      </c>
      <c r="B409">
        <v>2025</v>
      </c>
      <c r="C409">
        <v>600</v>
      </c>
      <c r="D409">
        <v>55</v>
      </c>
      <c r="E409">
        <v>52</v>
      </c>
      <c r="F409">
        <v>2176.15</v>
      </c>
      <c r="G409">
        <v>8.6666999999999994E-2</v>
      </c>
      <c r="H409">
        <v>8</v>
      </c>
      <c r="I409">
        <v>20</v>
      </c>
      <c r="J409">
        <v>9</v>
      </c>
      <c r="K409">
        <v>4</v>
      </c>
      <c r="L409">
        <v>1</v>
      </c>
      <c r="M409">
        <v>4</v>
      </c>
      <c r="N409">
        <v>3</v>
      </c>
      <c r="O409">
        <v>3</v>
      </c>
      <c r="P409" t="s">
        <v>68</v>
      </c>
    </row>
    <row r="410" spans="1:16" x14ac:dyDescent="0.3">
      <c r="A410">
        <v>26</v>
      </c>
      <c r="B410">
        <v>2025</v>
      </c>
      <c r="C410">
        <v>421</v>
      </c>
      <c r="D410">
        <v>36</v>
      </c>
      <c r="E410">
        <v>33</v>
      </c>
      <c r="F410">
        <v>2777.03</v>
      </c>
      <c r="G410">
        <v>7.8384999999999996E-2</v>
      </c>
      <c r="H410">
        <v>10</v>
      </c>
      <c r="I410">
        <v>13</v>
      </c>
      <c r="J410">
        <v>9</v>
      </c>
      <c r="K410">
        <v>6</v>
      </c>
      <c r="L410">
        <v>1</v>
      </c>
      <c r="M410">
        <v>6</v>
      </c>
      <c r="N410">
        <v>4</v>
      </c>
      <c r="O410">
        <v>4</v>
      </c>
      <c r="P410" t="s">
        <v>85</v>
      </c>
    </row>
    <row r="411" spans="1:16" x14ac:dyDescent="0.3">
      <c r="A411">
        <v>27</v>
      </c>
      <c r="B411">
        <v>2025</v>
      </c>
      <c r="C411">
        <v>1176</v>
      </c>
      <c r="D411">
        <v>69</v>
      </c>
      <c r="E411">
        <v>52</v>
      </c>
      <c r="F411">
        <v>2680.59</v>
      </c>
      <c r="G411">
        <v>4.4218E-2</v>
      </c>
      <c r="H411">
        <v>30</v>
      </c>
      <c r="I411">
        <v>33</v>
      </c>
      <c r="J411">
        <v>7</v>
      </c>
      <c r="K411">
        <v>13</v>
      </c>
      <c r="L411">
        <v>0</v>
      </c>
      <c r="M411">
        <v>2</v>
      </c>
      <c r="N411">
        <v>6</v>
      </c>
      <c r="O411">
        <v>2</v>
      </c>
      <c r="P411" t="s">
        <v>175</v>
      </c>
    </row>
    <row r="412" spans="1:16" x14ac:dyDescent="0.3">
      <c r="A412">
        <v>28</v>
      </c>
      <c r="B412">
        <v>2025</v>
      </c>
      <c r="C412">
        <v>578</v>
      </c>
      <c r="D412">
        <v>44</v>
      </c>
      <c r="E412">
        <v>38</v>
      </c>
      <c r="F412">
        <v>1821.86</v>
      </c>
      <c r="G412">
        <v>6.5743999999999997E-2</v>
      </c>
      <c r="H412">
        <v>16</v>
      </c>
      <c r="I412">
        <v>17</v>
      </c>
      <c r="J412">
        <v>7</v>
      </c>
      <c r="K412">
        <v>7</v>
      </c>
      <c r="L412">
        <v>1</v>
      </c>
      <c r="M412">
        <v>4</v>
      </c>
      <c r="N412">
        <v>6</v>
      </c>
      <c r="O412">
        <v>2</v>
      </c>
      <c r="P412" t="s">
        <v>85</v>
      </c>
    </row>
    <row r="413" spans="1:16" x14ac:dyDescent="0.3">
      <c r="A413">
        <v>29</v>
      </c>
      <c r="B413">
        <v>2025</v>
      </c>
      <c r="C413">
        <v>1451</v>
      </c>
      <c r="D413">
        <v>84</v>
      </c>
      <c r="E413">
        <v>77</v>
      </c>
      <c r="F413">
        <v>4185.0200000000004</v>
      </c>
      <c r="G413">
        <v>5.3067000000000003E-2</v>
      </c>
      <c r="H413">
        <v>22</v>
      </c>
      <c r="I413">
        <v>31</v>
      </c>
      <c r="J413">
        <v>16</v>
      </c>
      <c r="K413">
        <v>6</v>
      </c>
      <c r="L413">
        <v>0</v>
      </c>
      <c r="M413">
        <v>2</v>
      </c>
      <c r="N413">
        <v>3</v>
      </c>
      <c r="O413">
        <v>6</v>
      </c>
      <c r="P413" t="s">
        <v>68</v>
      </c>
    </row>
    <row r="414" spans="1:16" x14ac:dyDescent="0.3">
      <c r="A414">
        <v>30</v>
      </c>
      <c r="B414">
        <v>2025</v>
      </c>
      <c r="C414">
        <v>873</v>
      </c>
      <c r="D414">
        <v>47</v>
      </c>
      <c r="E414">
        <v>39</v>
      </c>
      <c r="F414">
        <v>1364.14</v>
      </c>
      <c r="G414">
        <v>4.4673999999999998E-2</v>
      </c>
      <c r="H414">
        <v>5</v>
      </c>
      <c r="I414">
        <v>21</v>
      </c>
      <c r="J414">
        <v>5</v>
      </c>
      <c r="K414">
        <v>3</v>
      </c>
      <c r="L414">
        <v>0</v>
      </c>
      <c r="M414">
        <v>0</v>
      </c>
      <c r="N414">
        <v>1</v>
      </c>
      <c r="O414">
        <v>2</v>
      </c>
      <c r="P414" t="s">
        <v>68</v>
      </c>
    </row>
    <row r="415" spans="1:16" x14ac:dyDescent="0.3">
      <c r="A415">
        <v>32</v>
      </c>
      <c r="B415">
        <v>2025</v>
      </c>
      <c r="C415">
        <v>1778</v>
      </c>
      <c r="D415">
        <v>167</v>
      </c>
      <c r="E415">
        <v>146</v>
      </c>
      <c r="F415">
        <v>14092.19</v>
      </c>
      <c r="G415">
        <v>8.2114999999999994E-2</v>
      </c>
      <c r="H415">
        <v>20</v>
      </c>
      <c r="I415">
        <v>55</v>
      </c>
      <c r="J415">
        <v>30</v>
      </c>
      <c r="K415">
        <v>11</v>
      </c>
      <c r="L415">
        <v>1</v>
      </c>
      <c r="M415">
        <v>4</v>
      </c>
      <c r="N415">
        <v>5</v>
      </c>
      <c r="O415">
        <v>7</v>
      </c>
      <c r="P415" t="s">
        <v>85</v>
      </c>
    </row>
    <row r="416" spans="1:16" x14ac:dyDescent="0.3">
      <c r="A416">
        <v>33</v>
      </c>
      <c r="B416">
        <v>2025</v>
      </c>
      <c r="C416">
        <v>1025</v>
      </c>
      <c r="D416">
        <v>101</v>
      </c>
      <c r="E416">
        <v>96</v>
      </c>
      <c r="F416">
        <v>9539.2999999999993</v>
      </c>
      <c r="G416">
        <v>9.3659000000000006E-2</v>
      </c>
      <c r="H416">
        <v>33</v>
      </c>
      <c r="I416">
        <v>39</v>
      </c>
      <c r="J416">
        <v>20</v>
      </c>
      <c r="K416">
        <v>10</v>
      </c>
      <c r="L416">
        <v>1</v>
      </c>
      <c r="M416">
        <v>3</v>
      </c>
      <c r="N416">
        <v>7</v>
      </c>
      <c r="O416">
        <v>6</v>
      </c>
      <c r="P416" t="s">
        <v>85</v>
      </c>
    </row>
    <row r="417" spans="1:16" x14ac:dyDescent="0.3">
      <c r="A417">
        <v>34</v>
      </c>
      <c r="B417">
        <v>2025</v>
      </c>
      <c r="C417">
        <v>781</v>
      </c>
      <c r="D417">
        <v>59</v>
      </c>
      <c r="E417">
        <v>45</v>
      </c>
      <c r="F417">
        <v>4386.83</v>
      </c>
      <c r="G417">
        <v>5.7618000000000003E-2</v>
      </c>
      <c r="H417">
        <v>22</v>
      </c>
      <c r="I417">
        <v>28</v>
      </c>
      <c r="J417">
        <v>12</v>
      </c>
      <c r="K417">
        <v>11</v>
      </c>
      <c r="L417">
        <v>1</v>
      </c>
      <c r="M417">
        <v>4</v>
      </c>
      <c r="N417">
        <v>4</v>
      </c>
      <c r="O417">
        <v>3</v>
      </c>
      <c r="P417" t="s">
        <v>85</v>
      </c>
    </row>
    <row r="418" spans="1:16" x14ac:dyDescent="0.3">
      <c r="A418">
        <v>35</v>
      </c>
      <c r="B418">
        <v>2025</v>
      </c>
      <c r="C418">
        <v>80</v>
      </c>
      <c r="D418">
        <v>4</v>
      </c>
      <c r="E418">
        <v>3</v>
      </c>
      <c r="F418">
        <v>196.99</v>
      </c>
      <c r="G418">
        <v>3.7499999999999999E-2</v>
      </c>
      <c r="H418">
        <v>6</v>
      </c>
      <c r="I418">
        <v>6</v>
      </c>
      <c r="J418">
        <v>1</v>
      </c>
      <c r="K418">
        <v>4</v>
      </c>
      <c r="L418">
        <v>0</v>
      </c>
      <c r="M418">
        <v>1</v>
      </c>
      <c r="N418">
        <v>2</v>
      </c>
      <c r="O418">
        <v>0</v>
      </c>
      <c r="P418" t="s">
        <v>68</v>
      </c>
    </row>
    <row r="419" spans="1:16" x14ac:dyDescent="0.3">
      <c r="A419">
        <v>36</v>
      </c>
      <c r="B419">
        <v>2025</v>
      </c>
      <c r="C419">
        <v>1600</v>
      </c>
      <c r="D419">
        <v>107</v>
      </c>
      <c r="E419">
        <v>84</v>
      </c>
      <c r="F419">
        <v>3131.24</v>
      </c>
      <c r="G419">
        <v>5.2499999999999998E-2</v>
      </c>
      <c r="H419">
        <v>19</v>
      </c>
      <c r="I419">
        <v>43</v>
      </c>
      <c r="J419">
        <v>18</v>
      </c>
      <c r="K419">
        <v>7</v>
      </c>
      <c r="L419">
        <v>1</v>
      </c>
      <c r="M419">
        <v>2</v>
      </c>
      <c r="N419">
        <v>3</v>
      </c>
      <c r="O419">
        <v>3</v>
      </c>
      <c r="P419" t="s">
        <v>85</v>
      </c>
    </row>
    <row r="420" spans="1:16" x14ac:dyDescent="0.3">
      <c r="A420">
        <v>37</v>
      </c>
      <c r="B420">
        <v>2025</v>
      </c>
      <c r="C420">
        <v>1439</v>
      </c>
      <c r="D420">
        <v>142</v>
      </c>
      <c r="E420">
        <v>114</v>
      </c>
      <c r="F420">
        <v>10985.61</v>
      </c>
      <c r="G420">
        <v>7.9222000000000001E-2</v>
      </c>
      <c r="H420">
        <v>36</v>
      </c>
      <c r="I420">
        <v>53</v>
      </c>
      <c r="J420">
        <v>22</v>
      </c>
      <c r="K420">
        <v>17</v>
      </c>
      <c r="L420">
        <v>1</v>
      </c>
      <c r="M420">
        <v>7</v>
      </c>
      <c r="N420">
        <v>8</v>
      </c>
      <c r="O420">
        <v>7</v>
      </c>
      <c r="P420" t="s">
        <v>85</v>
      </c>
    </row>
    <row r="421" spans="1:16" x14ac:dyDescent="0.3">
      <c r="A421">
        <v>38</v>
      </c>
      <c r="B421">
        <v>2025</v>
      </c>
      <c r="C421">
        <v>1294</v>
      </c>
      <c r="D421">
        <v>88</v>
      </c>
      <c r="E421">
        <v>73</v>
      </c>
      <c r="F421">
        <v>4734.08</v>
      </c>
      <c r="G421">
        <v>5.6413999999999999E-2</v>
      </c>
      <c r="H421">
        <v>19</v>
      </c>
      <c r="I421">
        <v>26</v>
      </c>
      <c r="J421">
        <v>8</v>
      </c>
      <c r="K421">
        <v>5</v>
      </c>
      <c r="L421">
        <v>0</v>
      </c>
      <c r="M421">
        <v>2</v>
      </c>
      <c r="N421">
        <v>2</v>
      </c>
      <c r="O421">
        <v>4</v>
      </c>
      <c r="P421" t="s">
        <v>175</v>
      </c>
    </row>
    <row r="422" spans="1:16" x14ac:dyDescent="0.3">
      <c r="A422">
        <v>39</v>
      </c>
      <c r="B422">
        <v>2025</v>
      </c>
      <c r="C422">
        <v>1707</v>
      </c>
      <c r="D422">
        <v>165</v>
      </c>
      <c r="E422">
        <v>146</v>
      </c>
      <c r="F422">
        <v>6059.01</v>
      </c>
      <c r="G422">
        <v>8.5529999999999995E-2</v>
      </c>
      <c r="H422">
        <v>28</v>
      </c>
      <c r="I422">
        <v>56</v>
      </c>
      <c r="J422">
        <v>21</v>
      </c>
      <c r="K422">
        <v>17</v>
      </c>
      <c r="L422">
        <v>1</v>
      </c>
      <c r="M422">
        <v>6</v>
      </c>
      <c r="N422">
        <v>9</v>
      </c>
      <c r="O422">
        <v>8</v>
      </c>
      <c r="P422" t="s">
        <v>85</v>
      </c>
    </row>
    <row r="423" spans="1:16" x14ac:dyDescent="0.3">
      <c r="A423">
        <v>40</v>
      </c>
      <c r="B423">
        <v>2025</v>
      </c>
      <c r="C423">
        <v>1175</v>
      </c>
      <c r="D423">
        <v>103</v>
      </c>
      <c r="E423">
        <v>85</v>
      </c>
      <c r="F423">
        <v>8958.89</v>
      </c>
      <c r="G423">
        <v>7.2340000000000002E-2</v>
      </c>
      <c r="H423">
        <v>24</v>
      </c>
      <c r="I423">
        <v>39</v>
      </c>
      <c r="J423">
        <v>21</v>
      </c>
      <c r="K423">
        <v>11</v>
      </c>
      <c r="L423">
        <v>1</v>
      </c>
      <c r="M423">
        <v>4</v>
      </c>
      <c r="N423">
        <v>9</v>
      </c>
      <c r="O423">
        <v>2</v>
      </c>
      <c r="P423" t="s">
        <v>85</v>
      </c>
    </row>
    <row r="424" spans="1:16" x14ac:dyDescent="0.3">
      <c r="A424">
        <v>41</v>
      </c>
      <c r="B424">
        <v>2025</v>
      </c>
      <c r="C424">
        <v>440</v>
      </c>
      <c r="D424">
        <v>49</v>
      </c>
      <c r="E424">
        <v>45</v>
      </c>
      <c r="F424">
        <v>4269.47</v>
      </c>
      <c r="G424">
        <v>0.102273</v>
      </c>
      <c r="H424">
        <v>17</v>
      </c>
      <c r="I424">
        <v>21</v>
      </c>
      <c r="J424">
        <v>11</v>
      </c>
      <c r="K424">
        <v>8</v>
      </c>
      <c r="L424">
        <v>0</v>
      </c>
      <c r="M424">
        <v>1</v>
      </c>
      <c r="N424">
        <v>4</v>
      </c>
      <c r="O424">
        <v>3</v>
      </c>
      <c r="P424" t="s">
        <v>85</v>
      </c>
    </row>
    <row r="425" spans="1:16" x14ac:dyDescent="0.3">
      <c r="A425">
        <v>42</v>
      </c>
      <c r="B425">
        <v>2025</v>
      </c>
      <c r="C425">
        <v>943</v>
      </c>
      <c r="D425">
        <v>61</v>
      </c>
      <c r="E425">
        <v>59</v>
      </c>
      <c r="F425">
        <v>4527.21</v>
      </c>
      <c r="G425">
        <v>6.2565999999999997E-2</v>
      </c>
      <c r="H425">
        <v>9</v>
      </c>
      <c r="I425">
        <v>24</v>
      </c>
      <c r="J425">
        <v>12</v>
      </c>
      <c r="K425">
        <v>7</v>
      </c>
      <c r="L425">
        <v>1</v>
      </c>
      <c r="M425">
        <v>4</v>
      </c>
      <c r="N425">
        <v>5</v>
      </c>
      <c r="O425">
        <v>3</v>
      </c>
      <c r="P425" t="s">
        <v>85</v>
      </c>
    </row>
    <row r="426" spans="1:16" x14ac:dyDescent="0.3">
      <c r="A426">
        <v>43</v>
      </c>
      <c r="B426">
        <v>2025</v>
      </c>
      <c r="C426">
        <v>1159</v>
      </c>
      <c r="D426">
        <v>81</v>
      </c>
      <c r="E426">
        <v>59</v>
      </c>
      <c r="F426">
        <v>2323.6</v>
      </c>
      <c r="G426">
        <v>5.0906E-2</v>
      </c>
      <c r="H426">
        <v>10</v>
      </c>
      <c r="I426">
        <v>37</v>
      </c>
      <c r="J426">
        <v>14</v>
      </c>
      <c r="K426">
        <v>4</v>
      </c>
      <c r="L426">
        <v>0</v>
      </c>
      <c r="M426">
        <v>1</v>
      </c>
      <c r="N426">
        <v>1</v>
      </c>
      <c r="O426">
        <v>2</v>
      </c>
      <c r="P426" t="s">
        <v>68</v>
      </c>
    </row>
    <row r="427" spans="1:16" x14ac:dyDescent="0.3">
      <c r="A427">
        <v>44</v>
      </c>
      <c r="B427">
        <v>2025</v>
      </c>
      <c r="C427">
        <v>895</v>
      </c>
      <c r="D427">
        <v>63</v>
      </c>
      <c r="E427">
        <v>46</v>
      </c>
      <c r="F427">
        <v>4349.17</v>
      </c>
      <c r="G427">
        <v>5.1396999999999998E-2</v>
      </c>
      <c r="H427">
        <v>14</v>
      </c>
      <c r="I427">
        <v>30</v>
      </c>
      <c r="J427">
        <v>8</v>
      </c>
      <c r="K427">
        <v>8</v>
      </c>
      <c r="L427">
        <v>0</v>
      </c>
      <c r="M427">
        <v>1</v>
      </c>
      <c r="N427">
        <v>2</v>
      </c>
      <c r="O427">
        <v>2</v>
      </c>
      <c r="P427" t="s">
        <v>68</v>
      </c>
    </row>
    <row r="428" spans="1:16" x14ac:dyDescent="0.3">
      <c r="A428">
        <v>45</v>
      </c>
      <c r="B428">
        <v>2025</v>
      </c>
      <c r="C428">
        <v>677</v>
      </c>
      <c r="D428">
        <v>28</v>
      </c>
      <c r="E428">
        <v>25</v>
      </c>
      <c r="F428">
        <v>877.02</v>
      </c>
      <c r="G428">
        <v>3.6928000000000002E-2</v>
      </c>
      <c r="H428">
        <v>5</v>
      </c>
      <c r="I428">
        <v>11</v>
      </c>
      <c r="J428">
        <v>5</v>
      </c>
      <c r="K428">
        <v>2</v>
      </c>
      <c r="L428">
        <v>1</v>
      </c>
      <c r="M428">
        <v>2</v>
      </c>
      <c r="N428">
        <v>2</v>
      </c>
      <c r="O428">
        <v>1</v>
      </c>
      <c r="P428" t="s">
        <v>175</v>
      </c>
    </row>
    <row r="429" spans="1:16" x14ac:dyDescent="0.3">
      <c r="A429">
        <v>46</v>
      </c>
      <c r="B429">
        <v>2025</v>
      </c>
      <c r="C429">
        <v>707</v>
      </c>
      <c r="D429">
        <v>66</v>
      </c>
      <c r="E429">
        <v>49</v>
      </c>
      <c r="F429">
        <v>2997.07</v>
      </c>
      <c r="G429">
        <v>6.9306999999999994E-2</v>
      </c>
      <c r="H429">
        <v>19</v>
      </c>
      <c r="I429">
        <v>26</v>
      </c>
      <c r="J429">
        <v>11</v>
      </c>
      <c r="K429">
        <v>8</v>
      </c>
      <c r="L429">
        <v>1</v>
      </c>
      <c r="M429">
        <v>5</v>
      </c>
      <c r="N429">
        <v>7</v>
      </c>
      <c r="O429">
        <v>3</v>
      </c>
      <c r="P429" t="s">
        <v>85</v>
      </c>
    </row>
    <row r="430" spans="1:16" x14ac:dyDescent="0.3">
      <c r="A430">
        <v>47</v>
      </c>
      <c r="B430">
        <v>2025</v>
      </c>
      <c r="C430">
        <v>877</v>
      </c>
      <c r="D430">
        <v>68</v>
      </c>
      <c r="E430">
        <v>61</v>
      </c>
      <c r="F430">
        <v>2671.06</v>
      </c>
      <c r="G430">
        <v>6.9555000000000006E-2</v>
      </c>
      <c r="H430">
        <v>17</v>
      </c>
      <c r="I430">
        <v>31</v>
      </c>
      <c r="J430">
        <v>13</v>
      </c>
      <c r="K430">
        <v>5</v>
      </c>
      <c r="L430">
        <v>1</v>
      </c>
      <c r="M430">
        <v>3</v>
      </c>
      <c r="N430">
        <v>4</v>
      </c>
      <c r="O430">
        <v>3</v>
      </c>
      <c r="P430" t="s">
        <v>85</v>
      </c>
    </row>
    <row r="431" spans="1:16" x14ac:dyDescent="0.3">
      <c r="A431">
        <v>48</v>
      </c>
      <c r="B431">
        <v>2025</v>
      </c>
      <c r="C431">
        <v>1408</v>
      </c>
      <c r="D431">
        <v>105</v>
      </c>
      <c r="E431">
        <v>83</v>
      </c>
      <c r="F431">
        <v>5370.77</v>
      </c>
      <c r="G431">
        <v>5.8949000000000001E-2</v>
      </c>
      <c r="H431">
        <v>11</v>
      </c>
      <c r="I431">
        <v>37</v>
      </c>
      <c r="J431">
        <v>14</v>
      </c>
      <c r="K431">
        <v>5</v>
      </c>
      <c r="L431">
        <v>1</v>
      </c>
      <c r="M431">
        <v>4</v>
      </c>
      <c r="N431">
        <v>4</v>
      </c>
      <c r="O431">
        <v>6</v>
      </c>
      <c r="P431" t="s">
        <v>85</v>
      </c>
    </row>
    <row r="432" spans="1:16" x14ac:dyDescent="0.3">
      <c r="A432">
        <v>49</v>
      </c>
      <c r="B432">
        <v>2025</v>
      </c>
      <c r="C432">
        <v>215</v>
      </c>
      <c r="D432">
        <v>20</v>
      </c>
      <c r="E432">
        <v>16</v>
      </c>
      <c r="F432">
        <v>1791.04</v>
      </c>
      <c r="G432">
        <v>7.4418999999999999E-2</v>
      </c>
      <c r="H432">
        <v>13</v>
      </c>
      <c r="I432">
        <v>13</v>
      </c>
      <c r="J432">
        <v>6</v>
      </c>
      <c r="K432">
        <v>6</v>
      </c>
      <c r="L432">
        <v>1</v>
      </c>
      <c r="M432">
        <v>3</v>
      </c>
      <c r="N432">
        <v>4</v>
      </c>
      <c r="O432">
        <v>1</v>
      </c>
      <c r="P432" t="s">
        <v>85</v>
      </c>
    </row>
    <row r="433" spans="1:16" x14ac:dyDescent="0.3">
      <c r="A433">
        <v>50</v>
      </c>
      <c r="B433">
        <v>2025</v>
      </c>
      <c r="C433">
        <v>1320</v>
      </c>
      <c r="D433">
        <v>73</v>
      </c>
      <c r="E433">
        <v>60</v>
      </c>
      <c r="F433">
        <v>2681.78</v>
      </c>
      <c r="G433">
        <v>4.5455000000000002E-2</v>
      </c>
      <c r="H433">
        <v>22</v>
      </c>
      <c r="I433">
        <v>34</v>
      </c>
      <c r="J433">
        <v>13</v>
      </c>
      <c r="K433">
        <v>11</v>
      </c>
      <c r="L433">
        <v>1</v>
      </c>
      <c r="M433">
        <v>2</v>
      </c>
      <c r="N433">
        <v>6</v>
      </c>
      <c r="O433">
        <v>5</v>
      </c>
      <c r="P433" t="s">
        <v>85</v>
      </c>
    </row>
    <row r="434" spans="1:16" x14ac:dyDescent="0.3">
      <c r="A434">
        <v>51</v>
      </c>
      <c r="B434">
        <v>2025</v>
      </c>
      <c r="C434">
        <v>1861</v>
      </c>
      <c r="D434">
        <v>188</v>
      </c>
      <c r="E434">
        <v>164</v>
      </c>
      <c r="F434">
        <v>6447.14</v>
      </c>
      <c r="G434">
        <v>8.8124999999999995E-2</v>
      </c>
      <c r="H434">
        <v>23</v>
      </c>
      <c r="I434">
        <v>54</v>
      </c>
      <c r="J434">
        <v>28</v>
      </c>
      <c r="K434">
        <v>13</v>
      </c>
      <c r="L434">
        <v>1</v>
      </c>
      <c r="M434">
        <v>4</v>
      </c>
      <c r="N434">
        <v>7</v>
      </c>
      <c r="O434">
        <v>8</v>
      </c>
      <c r="P434" t="s">
        <v>85</v>
      </c>
    </row>
    <row r="435" spans="1:16" x14ac:dyDescent="0.3">
      <c r="A435">
        <v>52</v>
      </c>
      <c r="B435">
        <v>2025</v>
      </c>
      <c r="C435">
        <v>2054</v>
      </c>
      <c r="D435">
        <v>207</v>
      </c>
      <c r="E435">
        <v>188</v>
      </c>
      <c r="F435">
        <v>14013.56</v>
      </c>
      <c r="G435">
        <v>9.1528999999999999E-2</v>
      </c>
      <c r="H435">
        <v>18</v>
      </c>
      <c r="I435">
        <v>66</v>
      </c>
      <c r="J435">
        <v>20</v>
      </c>
      <c r="K435">
        <v>10</v>
      </c>
      <c r="L435">
        <v>1</v>
      </c>
      <c r="M435">
        <v>4</v>
      </c>
      <c r="N435">
        <v>5</v>
      </c>
      <c r="O435">
        <v>4</v>
      </c>
      <c r="P435" t="s">
        <v>85</v>
      </c>
    </row>
    <row r="436" spans="1:16" x14ac:dyDescent="0.3">
      <c r="A436">
        <v>53</v>
      </c>
      <c r="B436">
        <v>2025</v>
      </c>
      <c r="C436">
        <v>630</v>
      </c>
      <c r="D436">
        <v>57</v>
      </c>
      <c r="E436">
        <v>47</v>
      </c>
      <c r="F436">
        <v>4148.66</v>
      </c>
      <c r="G436">
        <v>7.4603000000000003E-2</v>
      </c>
      <c r="H436">
        <v>22</v>
      </c>
      <c r="I436">
        <v>23</v>
      </c>
      <c r="J436">
        <v>6</v>
      </c>
      <c r="K436">
        <v>10</v>
      </c>
      <c r="L436">
        <v>1</v>
      </c>
      <c r="M436">
        <v>6</v>
      </c>
      <c r="N436">
        <v>8</v>
      </c>
      <c r="O436">
        <v>2</v>
      </c>
      <c r="P436" t="s">
        <v>85</v>
      </c>
    </row>
    <row r="437" spans="1:16" x14ac:dyDescent="0.3">
      <c r="A437">
        <v>54</v>
      </c>
      <c r="B437">
        <v>2025</v>
      </c>
      <c r="C437">
        <v>516</v>
      </c>
      <c r="D437">
        <v>39</v>
      </c>
      <c r="E437">
        <v>32</v>
      </c>
      <c r="F437">
        <v>3344.17</v>
      </c>
      <c r="G437">
        <v>6.2016000000000002E-2</v>
      </c>
      <c r="H437">
        <v>15</v>
      </c>
      <c r="I437">
        <v>19</v>
      </c>
      <c r="J437">
        <v>9</v>
      </c>
      <c r="K437">
        <v>9</v>
      </c>
      <c r="L437">
        <v>1</v>
      </c>
      <c r="M437">
        <v>6</v>
      </c>
      <c r="N437">
        <v>6</v>
      </c>
      <c r="O437">
        <v>2</v>
      </c>
      <c r="P437" t="s">
        <v>85</v>
      </c>
    </row>
    <row r="438" spans="1:16" x14ac:dyDescent="0.3">
      <c r="A438">
        <v>55</v>
      </c>
      <c r="B438">
        <v>2025</v>
      </c>
      <c r="C438">
        <v>2864</v>
      </c>
      <c r="D438">
        <v>322</v>
      </c>
      <c r="E438">
        <v>245</v>
      </c>
      <c r="F438">
        <v>22227.63</v>
      </c>
      <c r="G438">
        <v>8.5544999999999996E-2</v>
      </c>
      <c r="H438">
        <v>66</v>
      </c>
      <c r="I438">
        <v>97</v>
      </c>
      <c r="J438">
        <v>40</v>
      </c>
      <c r="K438">
        <v>32</v>
      </c>
      <c r="L438">
        <v>1</v>
      </c>
      <c r="M438">
        <v>13</v>
      </c>
      <c r="N438">
        <v>23</v>
      </c>
      <c r="O438">
        <v>12</v>
      </c>
      <c r="P438" t="s">
        <v>85</v>
      </c>
    </row>
    <row r="439" spans="1:16" x14ac:dyDescent="0.3">
      <c r="A439">
        <v>57</v>
      </c>
      <c r="B439">
        <v>2025</v>
      </c>
      <c r="C439">
        <v>1018</v>
      </c>
      <c r="D439">
        <v>86</v>
      </c>
      <c r="E439">
        <v>63</v>
      </c>
      <c r="F439">
        <v>4801.78</v>
      </c>
      <c r="G439">
        <v>6.1885999999999997E-2</v>
      </c>
      <c r="H439">
        <v>21</v>
      </c>
      <c r="I439">
        <v>33</v>
      </c>
      <c r="J439">
        <v>14</v>
      </c>
      <c r="K439">
        <v>9</v>
      </c>
      <c r="L439">
        <v>1</v>
      </c>
      <c r="M439">
        <v>5</v>
      </c>
      <c r="N439">
        <v>7</v>
      </c>
      <c r="O439">
        <v>4</v>
      </c>
      <c r="P439" t="s">
        <v>85</v>
      </c>
    </row>
    <row r="440" spans="1:16" x14ac:dyDescent="0.3">
      <c r="A440">
        <v>58</v>
      </c>
      <c r="B440">
        <v>2025</v>
      </c>
      <c r="C440">
        <v>488</v>
      </c>
      <c r="D440">
        <v>17</v>
      </c>
      <c r="E440">
        <v>16</v>
      </c>
      <c r="F440">
        <v>961.53</v>
      </c>
      <c r="G440">
        <v>3.2786999999999997E-2</v>
      </c>
      <c r="H440">
        <v>4</v>
      </c>
      <c r="I440">
        <v>17</v>
      </c>
      <c r="J440">
        <v>3</v>
      </c>
      <c r="K440">
        <v>4</v>
      </c>
      <c r="L440">
        <v>1</v>
      </c>
      <c r="M440">
        <v>3</v>
      </c>
      <c r="N440">
        <v>3</v>
      </c>
      <c r="O440">
        <v>2</v>
      </c>
      <c r="P440" t="s">
        <v>68</v>
      </c>
    </row>
    <row r="441" spans="1:16" x14ac:dyDescent="0.3">
      <c r="A441">
        <v>59</v>
      </c>
      <c r="B441">
        <v>2025</v>
      </c>
      <c r="C441">
        <v>412</v>
      </c>
      <c r="D441">
        <v>32</v>
      </c>
      <c r="E441">
        <v>27</v>
      </c>
      <c r="F441">
        <v>2882.47</v>
      </c>
      <c r="G441">
        <v>6.5533999999999995E-2</v>
      </c>
      <c r="H441">
        <v>15</v>
      </c>
      <c r="I441">
        <v>18</v>
      </c>
      <c r="J441">
        <v>7</v>
      </c>
      <c r="K441">
        <v>8</v>
      </c>
      <c r="L441">
        <v>1</v>
      </c>
      <c r="M441">
        <v>5</v>
      </c>
      <c r="N441">
        <v>6</v>
      </c>
      <c r="O441">
        <v>1</v>
      </c>
      <c r="P441" t="s">
        <v>85</v>
      </c>
    </row>
    <row r="442" spans="1:16" x14ac:dyDescent="0.3">
      <c r="A442">
        <v>60</v>
      </c>
      <c r="B442">
        <v>2025</v>
      </c>
      <c r="C442">
        <v>1295</v>
      </c>
      <c r="D442">
        <v>112</v>
      </c>
      <c r="E442">
        <v>94</v>
      </c>
      <c r="F442">
        <v>8530.99</v>
      </c>
      <c r="G442">
        <v>7.2586999999999999E-2</v>
      </c>
      <c r="H442">
        <v>22</v>
      </c>
      <c r="I442">
        <v>36</v>
      </c>
      <c r="J442">
        <v>13</v>
      </c>
      <c r="K442">
        <v>16</v>
      </c>
      <c r="L442">
        <v>1</v>
      </c>
      <c r="M442">
        <v>7</v>
      </c>
      <c r="N442">
        <v>10</v>
      </c>
      <c r="O442">
        <v>6</v>
      </c>
      <c r="P442" t="s">
        <v>85</v>
      </c>
    </row>
    <row r="443" spans="1:16" x14ac:dyDescent="0.3">
      <c r="A443">
        <v>61</v>
      </c>
      <c r="B443">
        <v>2025</v>
      </c>
      <c r="C443">
        <v>900</v>
      </c>
      <c r="D443">
        <v>64</v>
      </c>
      <c r="E443">
        <v>47</v>
      </c>
      <c r="F443">
        <v>4145.0200000000004</v>
      </c>
      <c r="G443">
        <v>5.2221999999999998E-2</v>
      </c>
      <c r="H443">
        <v>25</v>
      </c>
      <c r="I443">
        <v>25</v>
      </c>
      <c r="J443">
        <v>11</v>
      </c>
      <c r="K443">
        <v>11</v>
      </c>
      <c r="L443">
        <v>1</v>
      </c>
      <c r="M443">
        <v>4</v>
      </c>
      <c r="N443">
        <v>5</v>
      </c>
      <c r="O443">
        <v>2</v>
      </c>
      <c r="P443" t="s">
        <v>85</v>
      </c>
    </row>
    <row r="444" spans="1:16" x14ac:dyDescent="0.3">
      <c r="A444">
        <v>62</v>
      </c>
      <c r="B444">
        <v>2025</v>
      </c>
      <c r="C444">
        <v>983</v>
      </c>
      <c r="D444">
        <v>56</v>
      </c>
      <c r="E444">
        <v>42</v>
      </c>
      <c r="F444">
        <v>2609.4699999999998</v>
      </c>
      <c r="G444">
        <v>4.2726E-2</v>
      </c>
      <c r="H444">
        <v>28</v>
      </c>
      <c r="I444">
        <v>28</v>
      </c>
      <c r="J444">
        <v>10</v>
      </c>
      <c r="K444">
        <v>18</v>
      </c>
      <c r="L444">
        <v>1</v>
      </c>
      <c r="M444">
        <v>9</v>
      </c>
      <c r="N444">
        <v>12</v>
      </c>
      <c r="O444">
        <v>4</v>
      </c>
      <c r="P444" t="s">
        <v>85</v>
      </c>
    </row>
    <row r="445" spans="1:16" x14ac:dyDescent="0.3">
      <c r="A445">
        <v>63</v>
      </c>
      <c r="B445">
        <v>2025</v>
      </c>
      <c r="C445">
        <v>688</v>
      </c>
      <c r="D445">
        <v>61</v>
      </c>
      <c r="E445">
        <v>44</v>
      </c>
      <c r="F445">
        <v>1880.3</v>
      </c>
      <c r="G445">
        <v>6.3952999999999996E-2</v>
      </c>
      <c r="H445">
        <v>27</v>
      </c>
      <c r="I445">
        <v>27</v>
      </c>
      <c r="J445">
        <v>11</v>
      </c>
      <c r="K445">
        <v>7</v>
      </c>
      <c r="L445">
        <v>0</v>
      </c>
      <c r="M445">
        <v>1</v>
      </c>
      <c r="N445">
        <v>3</v>
      </c>
      <c r="O445">
        <v>3</v>
      </c>
      <c r="P445" t="s">
        <v>175</v>
      </c>
    </row>
    <row r="446" spans="1:16" x14ac:dyDescent="0.3">
      <c r="A446">
        <v>64</v>
      </c>
      <c r="B446">
        <v>2025</v>
      </c>
      <c r="C446">
        <v>1328</v>
      </c>
      <c r="D446">
        <v>91</v>
      </c>
      <c r="E446">
        <v>82</v>
      </c>
      <c r="F446">
        <v>5313.32</v>
      </c>
      <c r="G446">
        <v>6.1747000000000003E-2</v>
      </c>
      <c r="H446">
        <v>30</v>
      </c>
      <c r="I446">
        <v>35</v>
      </c>
      <c r="J446">
        <v>14</v>
      </c>
      <c r="K446">
        <v>12</v>
      </c>
      <c r="L446">
        <v>1</v>
      </c>
      <c r="M446">
        <v>4</v>
      </c>
      <c r="N446">
        <v>6</v>
      </c>
      <c r="O446">
        <v>6</v>
      </c>
      <c r="P446" t="s">
        <v>85</v>
      </c>
    </row>
    <row r="447" spans="1:16" x14ac:dyDescent="0.3">
      <c r="A447">
        <v>65</v>
      </c>
      <c r="B447">
        <v>2025</v>
      </c>
      <c r="C447">
        <v>914</v>
      </c>
      <c r="D447">
        <v>50</v>
      </c>
      <c r="E447">
        <v>40</v>
      </c>
      <c r="F447">
        <v>3233.21</v>
      </c>
      <c r="G447">
        <v>4.3763999999999997E-2</v>
      </c>
      <c r="H447">
        <v>6</v>
      </c>
      <c r="I447">
        <v>15</v>
      </c>
      <c r="J447">
        <v>9</v>
      </c>
      <c r="K447">
        <v>3</v>
      </c>
      <c r="L447">
        <v>0</v>
      </c>
      <c r="M447">
        <v>1</v>
      </c>
      <c r="N447">
        <v>2</v>
      </c>
      <c r="O447">
        <v>2</v>
      </c>
      <c r="P447" t="s">
        <v>175</v>
      </c>
    </row>
    <row r="448" spans="1:16" x14ac:dyDescent="0.3">
      <c r="A448">
        <v>67</v>
      </c>
      <c r="B448">
        <v>2025</v>
      </c>
      <c r="C448">
        <v>1040</v>
      </c>
      <c r="D448">
        <v>87</v>
      </c>
      <c r="E448">
        <v>71</v>
      </c>
      <c r="F448">
        <v>4753.04</v>
      </c>
      <c r="G448">
        <v>6.8268999999999996E-2</v>
      </c>
      <c r="H448">
        <v>14</v>
      </c>
      <c r="I448">
        <v>29</v>
      </c>
      <c r="J448">
        <v>10</v>
      </c>
      <c r="K448">
        <v>8</v>
      </c>
      <c r="L448">
        <v>0</v>
      </c>
      <c r="M448">
        <v>2</v>
      </c>
      <c r="N448">
        <v>2</v>
      </c>
      <c r="O448">
        <v>3</v>
      </c>
      <c r="P448" t="s">
        <v>175</v>
      </c>
    </row>
    <row r="449" spans="1:16" x14ac:dyDescent="0.3">
      <c r="A449">
        <v>68</v>
      </c>
      <c r="B449">
        <v>2025</v>
      </c>
      <c r="C449">
        <v>1050</v>
      </c>
      <c r="D449">
        <v>59</v>
      </c>
      <c r="E449">
        <v>55</v>
      </c>
      <c r="F449">
        <v>2463.42</v>
      </c>
      <c r="G449">
        <v>5.2380999999999997E-2</v>
      </c>
      <c r="H449">
        <v>20</v>
      </c>
      <c r="I449">
        <v>27</v>
      </c>
      <c r="J449">
        <v>8</v>
      </c>
      <c r="K449">
        <v>17</v>
      </c>
      <c r="L449">
        <v>0</v>
      </c>
      <c r="M449">
        <v>5</v>
      </c>
      <c r="N449">
        <v>7</v>
      </c>
      <c r="O449">
        <v>1</v>
      </c>
      <c r="P449" t="s">
        <v>175</v>
      </c>
    </row>
    <row r="450" spans="1:16" x14ac:dyDescent="0.3">
      <c r="A450">
        <v>69</v>
      </c>
      <c r="B450">
        <v>2025</v>
      </c>
      <c r="C450">
        <v>1155</v>
      </c>
      <c r="D450">
        <v>114</v>
      </c>
      <c r="E450">
        <v>99</v>
      </c>
      <c r="F450">
        <v>8049.58</v>
      </c>
      <c r="G450">
        <v>8.5713999999999999E-2</v>
      </c>
      <c r="H450">
        <v>28</v>
      </c>
      <c r="I450">
        <v>39</v>
      </c>
      <c r="J450">
        <v>23</v>
      </c>
      <c r="K450">
        <v>15</v>
      </c>
      <c r="L450">
        <v>1</v>
      </c>
      <c r="M450">
        <v>5</v>
      </c>
      <c r="N450">
        <v>9</v>
      </c>
      <c r="O450">
        <v>2</v>
      </c>
      <c r="P450" t="s">
        <v>85</v>
      </c>
    </row>
    <row r="451" spans="1:16" x14ac:dyDescent="0.3">
      <c r="A451">
        <v>70</v>
      </c>
      <c r="B451">
        <v>2025</v>
      </c>
      <c r="C451">
        <v>1222</v>
      </c>
      <c r="D451">
        <v>115</v>
      </c>
      <c r="E451">
        <v>89</v>
      </c>
      <c r="F451">
        <v>7792.71</v>
      </c>
      <c r="G451">
        <v>7.2831000000000007E-2</v>
      </c>
      <c r="H451">
        <v>24</v>
      </c>
      <c r="I451">
        <v>37</v>
      </c>
      <c r="J451">
        <v>17</v>
      </c>
      <c r="K451">
        <v>12</v>
      </c>
      <c r="L451">
        <v>1</v>
      </c>
      <c r="M451">
        <v>4</v>
      </c>
      <c r="N451">
        <v>5</v>
      </c>
      <c r="O451">
        <v>4</v>
      </c>
      <c r="P451" t="s">
        <v>85</v>
      </c>
    </row>
    <row r="452" spans="1:16" x14ac:dyDescent="0.3">
      <c r="A452">
        <v>71</v>
      </c>
      <c r="B452">
        <v>2025</v>
      </c>
      <c r="C452">
        <v>555</v>
      </c>
      <c r="D452">
        <v>32</v>
      </c>
      <c r="E452">
        <v>29</v>
      </c>
      <c r="F452">
        <v>2581.9899999999998</v>
      </c>
      <c r="G452">
        <v>5.2252E-2</v>
      </c>
      <c r="H452">
        <v>17</v>
      </c>
      <c r="I452">
        <v>17</v>
      </c>
      <c r="J452">
        <v>5</v>
      </c>
      <c r="K452">
        <v>8</v>
      </c>
      <c r="L452">
        <v>0</v>
      </c>
      <c r="M452">
        <v>1</v>
      </c>
      <c r="N452">
        <v>3</v>
      </c>
      <c r="O452">
        <v>2</v>
      </c>
      <c r="P452" t="s">
        <v>68</v>
      </c>
    </row>
    <row r="453" spans="1:16" x14ac:dyDescent="0.3">
      <c r="A453">
        <v>72</v>
      </c>
      <c r="B453">
        <v>2025</v>
      </c>
      <c r="C453">
        <v>375</v>
      </c>
      <c r="D453">
        <v>32</v>
      </c>
      <c r="E453">
        <v>29</v>
      </c>
      <c r="F453">
        <v>1816.14</v>
      </c>
      <c r="G453">
        <v>7.7332999999999999E-2</v>
      </c>
      <c r="H453">
        <v>11</v>
      </c>
      <c r="I453">
        <v>11</v>
      </c>
      <c r="J453">
        <v>4</v>
      </c>
      <c r="K453">
        <v>6</v>
      </c>
      <c r="L453">
        <v>0</v>
      </c>
      <c r="M453">
        <v>1</v>
      </c>
      <c r="N453">
        <v>2</v>
      </c>
      <c r="O453">
        <v>2</v>
      </c>
      <c r="P453" t="s">
        <v>175</v>
      </c>
    </row>
    <row r="454" spans="1:16" x14ac:dyDescent="0.3">
      <c r="A454">
        <v>73</v>
      </c>
      <c r="B454">
        <v>2025</v>
      </c>
      <c r="C454">
        <v>787</v>
      </c>
      <c r="D454">
        <v>70</v>
      </c>
      <c r="E454">
        <v>51</v>
      </c>
      <c r="F454">
        <v>4545.1400000000003</v>
      </c>
      <c r="G454">
        <v>6.4802999999999999E-2</v>
      </c>
      <c r="H454">
        <v>16</v>
      </c>
      <c r="I454">
        <v>25</v>
      </c>
      <c r="J454">
        <v>12</v>
      </c>
      <c r="K454">
        <v>9</v>
      </c>
      <c r="L454">
        <v>1</v>
      </c>
      <c r="M454">
        <v>5</v>
      </c>
      <c r="N454">
        <v>5</v>
      </c>
      <c r="O454">
        <v>3</v>
      </c>
      <c r="P454" t="s">
        <v>85</v>
      </c>
    </row>
    <row r="455" spans="1:16" x14ac:dyDescent="0.3">
      <c r="A455">
        <v>74</v>
      </c>
      <c r="B455">
        <v>2025</v>
      </c>
      <c r="C455">
        <v>914</v>
      </c>
      <c r="D455">
        <v>47</v>
      </c>
      <c r="E455">
        <v>44</v>
      </c>
      <c r="F455">
        <v>3826.68</v>
      </c>
      <c r="G455">
        <v>4.8140000000000002E-2</v>
      </c>
      <c r="H455">
        <v>12</v>
      </c>
      <c r="I455">
        <v>23</v>
      </c>
      <c r="J455">
        <v>8</v>
      </c>
      <c r="K455">
        <v>7</v>
      </c>
      <c r="L455">
        <v>0</v>
      </c>
      <c r="M455">
        <v>2</v>
      </c>
      <c r="N455">
        <v>4</v>
      </c>
      <c r="O455">
        <v>3</v>
      </c>
      <c r="P455" t="s">
        <v>68</v>
      </c>
    </row>
    <row r="456" spans="1:16" x14ac:dyDescent="0.3">
      <c r="A456">
        <v>75</v>
      </c>
      <c r="B456">
        <v>2025</v>
      </c>
      <c r="C456">
        <v>1342</v>
      </c>
      <c r="D456">
        <v>134</v>
      </c>
      <c r="E456">
        <v>107</v>
      </c>
      <c r="F456">
        <v>4575.51</v>
      </c>
      <c r="G456">
        <v>7.9731999999999997E-2</v>
      </c>
      <c r="H456">
        <v>23</v>
      </c>
      <c r="I456">
        <v>43</v>
      </c>
      <c r="J456">
        <v>16</v>
      </c>
      <c r="K456">
        <v>14</v>
      </c>
      <c r="L456">
        <v>1</v>
      </c>
      <c r="M456">
        <v>6</v>
      </c>
      <c r="N456">
        <v>6</v>
      </c>
      <c r="O456">
        <v>7</v>
      </c>
      <c r="P456" t="s">
        <v>85</v>
      </c>
    </row>
    <row r="457" spans="1:16" x14ac:dyDescent="0.3">
      <c r="A457">
        <v>76</v>
      </c>
      <c r="B457">
        <v>2025</v>
      </c>
      <c r="C457">
        <v>372</v>
      </c>
      <c r="D457">
        <v>26</v>
      </c>
      <c r="E457">
        <v>22</v>
      </c>
      <c r="F457">
        <v>2312.6999999999998</v>
      </c>
      <c r="G457">
        <v>5.9139999999999998E-2</v>
      </c>
      <c r="H457">
        <v>18</v>
      </c>
      <c r="I457">
        <v>18</v>
      </c>
      <c r="J457">
        <v>7</v>
      </c>
      <c r="K457">
        <v>8</v>
      </c>
      <c r="L457">
        <v>1</v>
      </c>
      <c r="M457">
        <v>7</v>
      </c>
      <c r="N457">
        <v>4</v>
      </c>
      <c r="O457">
        <v>2</v>
      </c>
      <c r="P457" t="s">
        <v>85</v>
      </c>
    </row>
    <row r="458" spans="1:16" x14ac:dyDescent="0.3">
      <c r="A458">
        <v>78</v>
      </c>
      <c r="B458">
        <v>2025</v>
      </c>
      <c r="C458">
        <v>612</v>
      </c>
      <c r="D458">
        <v>44</v>
      </c>
      <c r="E458">
        <v>40</v>
      </c>
      <c r="F458">
        <v>2024.41</v>
      </c>
      <c r="G458">
        <v>6.5359E-2</v>
      </c>
      <c r="H458">
        <v>18</v>
      </c>
      <c r="I458">
        <v>22</v>
      </c>
      <c r="J458">
        <v>7</v>
      </c>
      <c r="K458">
        <v>7</v>
      </c>
      <c r="L458">
        <v>1</v>
      </c>
      <c r="M458">
        <v>5</v>
      </c>
      <c r="N458">
        <v>4</v>
      </c>
      <c r="O458">
        <v>2</v>
      </c>
      <c r="P458" t="s">
        <v>85</v>
      </c>
    </row>
    <row r="459" spans="1:16" x14ac:dyDescent="0.3">
      <c r="A459">
        <v>79</v>
      </c>
      <c r="B459">
        <v>2025</v>
      </c>
      <c r="C459">
        <v>772</v>
      </c>
      <c r="D459">
        <v>48</v>
      </c>
      <c r="E459">
        <v>43</v>
      </c>
      <c r="F459">
        <v>1430.96</v>
      </c>
      <c r="G459">
        <v>5.5698999999999999E-2</v>
      </c>
      <c r="H459">
        <v>15</v>
      </c>
      <c r="I459">
        <v>18</v>
      </c>
      <c r="J459">
        <v>6</v>
      </c>
      <c r="K459">
        <v>15</v>
      </c>
      <c r="L459">
        <v>0</v>
      </c>
      <c r="M459">
        <v>3</v>
      </c>
      <c r="N459">
        <v>3</v>
      </c>
      <c r="O459">
        <v>3</v>
      </c>
      <c r="P459" t="s">
        <v>175</v>
      </c>
    </row>
    <row r="460" spans="1:16" x14ac:dyDescent="0.3">
      <c r="A460">
        <v>80</v>
      </c>
      <c r="B460">
        <v>2025</v>
      </c>
      <c r="C460">
        <v>726</v>
      </c>
      <c r="D460">
        <v>38</v>
      </c>
      <c r="E460">
        <v>33</v>
      </c>
      <c r="F460">
        <v>2114.3200000000002</v>
      </c>
      <c r="G460">
        <v>4.5455000000000002E-2</v>
      </c>
      <c r="H460">
        <v>16</v>
      </c>
      <c r="I460">
        <v>18</v>
      </c>
      <c r="J460">
        <v>6</v>
      </c>
      <c r="K460">
        <v>6</v>
      </c>
      <c r="L460">
        <v>1</v>
      </c>
      <c r="M460">
        <v>2</v>
      </c>
      <c r="N460">
        <v>2</v>
      </c>
      <c r="O460">
        <v>1</v>
      </c>
      <c r="P460" t="s">
        <v>85</v>
      </c>
    </row>
    <row r="461" spans="1:16" x14ac:dyDescent="0.3">
      <c r="A461">
        <v>81</v>
      </c>
      <c r="B461">
        <v>2025</v>
      </c>
      <c r="C461">
        <v>1365</v>
      </c>
      <c r="D461">
        <v>134</v>
      </c>
      <c r="E461">
        <v>116</v>
      </c>
      <c r="F461">
        <v>10072.27</v>
      </c>
      <c r="G461">
        <v>8.4982000000000002E-2</v>
      </c>
      <c r="H461">
        <v>43</v>
      </c>
      <c r="I461">
        <v>49</v>
      </c>
      <c r="J461">
        <v>15</v>
      </c>
      <c r="K461">
        <v>15</v>
      </c>
      <c r="L461">
        <v>1</v>
      </c>
      <c r="M461">
        <v>4</v>
      </c>
      <c r="N461">
        <v>10</v>
      </c>
      <c r="O461">
        <v>3</v>
      </c>
      <c r="P461" t="s">
        <v>85</v>
      </c>
    </row>
    <row r="462" spans="1:16" x14ac:dyDescent="0.3">
      <c r="A462">
        <v>82</v>
      </c>
      <c r="B462">
        <v>2025</v>
      </c>
      <c r="C462">
        <v>1465</v>
      </c>
      <c r="D462">
        <v>127</v>
      </c>
      <c r="E462">
        <v>98</v>
      </c>
      <c r="F462">
        <v>7276.42</v>
      </c>
      <c r="G462">
        <v>6.6893999999999995E-2</v>
      </c>
      <c r="H462">
        <v>35</v>
      </c>
      <c r="I462">
        <v>43</v>
      </c>
      <c r="J462">
        <v>24</v>
      </c>
      <c r="K462">
        <v>8</v>
      </c>
      <c r="L462">
        <v>1</v>
      </c>
      <c r="M462">
        <v>4</v>
      </c>
      <c r="N462">
        <v>6</v>
      </c>
      <c r="O462">
        <v>5</v>
      </c>
      <c r="P462" t="s">
        <v>85</v>
      </c>
    </row>
    <row r="463" spans="1:16" x14ac:dyDescent="0.3">
      <c r="A463">
        <v>83</v>
      </c>
      <c r="B463">
        <v>2025</v>
      </c>
      <c r="C463">
        <v>1895</v>
      </c>
      <c r="D463">
        <v>185</v>
      </c>
      <c r="E463">
        <v>149</v>
      </c>
      <c r="F463">
        <v>8284.83</v>
      </c>
      <c r="G463">
        <v>7.8628000000000003E-2</v>
      </c>
      <c r="H463">
        <v>41</v>
      </c>
      <c r="I463">
        <v>61</v>
      </c>
      <c r="J463">
        <v>23</v>
      </c>
      <c r="K463">
        <v>20</v>
      </c>
      <c r="L463">
        <v>1</v>
      </c>
      <c r="M463">
        <v>9</v>
      </c>
      <c r="N463">
        <v>7</v>
      </c>
      <c r="O463">
        <v>7</v>
      </c>
      <c r="P463" t="s">
        <v>85</v>
      </c>
    </row>
    <row r="464" spans="1:16" x14ac:dyDescent="0.3">
      <c r="A464">
        <v>84</v>
      </c>
      <c r="B464">
        <v>2025</v>
      </c>
      <c r="C464">
        <v>1041</v>
      </c>
      <c r="D464">
        <v>111</v>
      </c>
      <c r="E464">
        <v>84</v>
      </c>
      <c r="F464">
        <v>4896.47</v>
      </c>
      <c r="G464">
        <v>8.0692E-2</v>
      </c>
      <c r="H464">
        <v>23</v>
      </c>
      <c r="I464">
        <v>38</v>
      </c>
      <c r="J464">
        <v>19</v>
      </c>
      <c r="K464">
        <v>18</v>
      </c>
      <c r="L464">
        <v>1</v>
      </c>
      <c r="M464">
        <v>6</v>
      </c>
      <c r="N464">
        <v>9</v>
      </c>
      <c r="O464">
        <v>3</v>
      </c>
      <c r="P464" t="s">
        <v>85</v>
      </c>
    </row>
    <row r="465" spans="1:16" x14ac:dyDescent="0.3">
      <c r="A465">
        <v>85</v>
      </c>
      <c r="B465">
        <v>2025</v>
      </c>
      <c r="C465">
        <v>498</v>
      </c>
      <c r="D465">
        <v>38</v>
      </c>
      <c r="E465">
        <v>30</v>
      </c>
      <c r="F465">
        <v>2386.64</v>
      </c>
      <c r="G465">
        <v>6.0241000000000003E-2</v>
      </c>
      <c r="H465">
        <v>8</v>
      </c>
      <c r="I465">
        <v>20</v>
      </c>
      <c r="J465">
        <v>4</v>
      </c>
      <c r="K465">
        <v>3</v>
      </c>
      <c r="L465">
        <v>1</v>
      </c>
      <c r="M465">
        <v>3</v>
      </c>
      <c r="N465">
        <v>3</v>
      </c>
      <c r="O465">
        <v>2</v>
      </c>
      <c r="P465" t="s">
        <v>68</v>
      </c>
    </row>
    <row r="466" spans="1:16" x14ac:dyDescent="0.3">
      <c r="A466">
        <v>86</v>
      </c>
      <c r="B466">
        <v>2025</v>
      </c>
      <c r="C466">
        <v>479</v>
      </c>
      <c r="D466">
        <v>26</v>
      </c>
      <c r="E466">
        <v>25</v>
      </c>
      <c r="F466">
        <v>2219.59</v>
      </c>
      <c r="G466">
        <v>5.2192000000000002E-2</v>
      </c>
      <c r="H466">
        <v>13</v>
      </c>
      <c r="I466">
        <v>15</v>
      </c>
      <c r="J466">
        <v>4</v>
      </c>
      <c r="K466">
        <v>3</v>
      </c>
      <c r="L466">
        <v>0</v>
      </c>
      <c r="M466">
        <v>1</v>
      </c>
      <c r="N466">
        <v>2</v>
      </c>
      <c r="O466">
        <v>2</v>
      </c>
      <c r="P466" t="s">
        <v>175</v>
      </c>
    </row>
    <row r="467" spans="1:16" x14ac:dyDescent="0.3">
      <c r="A467">
        <v>87</v>
      </c>
      <c r="B467">
        <v>2025</v>
      </c>
      <c r="C467">
        <v>870</v>
      </c>
      <c r="D467">
        <v>54</v>
      </c>
      <c r="E467">
        <v>49</v>
      </c>
      <c r="F467">
        <v>3629.65</v>
      </c>
      <c r="G467">
        <v>5.6321999999999997E-2</v>
      </c>
      <c r="H467">
        <v>14</v>
      </c>
      <c r="I467">
        <v>20</v>
      </c>
      <c r="J467">
        <v>10</v>
      </c>
      <c r="K467">
        <v>7</v>
      </c>
      <c r="L467">
        <v>0</v>
      </c>
      <c r="M467">
        <v>2</v>
      </c>
      <c r="N467">
        <v>4</v>
      </c>
      <c r="O467">
        <v>1</v>
      </c>
      <c r="P467" t="s">
        <v>68</v>
      </c>
    </row>
    <row r="468" spans="1:16" x14ac:dyDescent="0.3">
      <c r="A468">
        <v>88</v>
      </c>
      <c r="B468">
        <v>2025</v>
      </c>
      <c r="C468">
        <v>1139</v>
      </c>
      <c r="D468">
        <v>65</v>
      </c>
      <c r="E468">
        <v>60</v>
      </c>
      <c r="F468">
        <v>3653.3</v>
      </c>
      <c r="G468">
        <v>5.2678000000000003E-2</v>
      </c>
      <c r="H468">
        <v>16</v>
      </c>
      <c r="I468">
        <v>31</v>
      </c>
      <c r="J468">
        <v>11</v>
      </c>
      <c r="K468">
        <v>13</v>
      </c>
      <c r="L468">
        <v>0</v>
      </c>
      <c r="M468">
        <v>4</v>
      </c>
      <c r="N468">
        <v>3</v>
      </c>
      <c r="O468">
        <v>2</v>
      </c>
      <c r="P468" t="s">
        <v>175</v>
      </c>
    </row>
    <row r="469" spans="1:16" x14ac:dyDescent="0.3">
      <c r="A469">
        <v>89</v>
      </c>
      <c r="B469">
        <v>2025</v>
      </c>
      <c r="C469">
        <v>858</v>
      </c>
      <c r="D469">
        <v>63</v>
      </c>
      <c r="E469">
        <v>57</v>
      </c>
      <c r="F469">
        <v>6280.95</v>
      </c>
      <c r="G469">
        <v>6.6433999999999993E-2</v>
      </c>
      <c r="H469">
        <v>18</v>
      </c>
      <c r="I469">
        <v>24</v>
      </c>
      <c r="J469">
        <v>11</v>
      </c>
      <c r="K469">
        <v>5</v>
      </c>
      <c r="L469">
        <v>1</v>
      </c>
      <c r="M469">
        <v>4</v>
      </c>
      <c r="N469">
        <v>3</v>
      </c>
      <c r="O469">
        <v>5</v>
      </c>
      <c r="P469" t="s">
        <v>85</v>
      </c>
    </row>
    <row r="470" spans="1:16" x14ac:dyDescent="0.3">
      <c r="A470">
        <v>90</v>
      </c>
      <c r="B470">
        <v>2025</v>
      </c>
      <c r="C470">
        <v>1819</v>
      </c>
      <c r="D470">
        <v>116</v>
      </c>
      <c r="E470">
        <v>110</v>
      </c>
      <c r="F470">
        <v>6672.31</v>
      </c>
      <c r="G470">
        <v>6.0472999999999999E-2</v>
      </c>
      <c r="H470">
        <v>21</v>
      </c>
      <c r="I470">
        <v>48</v>
      </c>
      <c r="J470">
        <v>13</v>
      </c>
      <c r="K470">
        <v>17</v>
      </c>
      <c r="L470">
        <v>0</v>
      </c>
      <c r="M470">
        <v>6</v>
      </c>
      <c r="N470">
        <v>8</v>
      </c>
      <c r="O470">
        <v>6</v>
      </c>
      <c r="P470" t="s">
        <v>175</v>
      </c>
    </row>
    <row r="471" spans="1:16" x14ac:dyDescent="0.3">
      <c r="A471">
        <v>91</v>
      </c>
      <c r="B471">
        <v>2025</v>
      </c>
      <c r="C471">
        <v>226</v>
      </c>
      <c r="D471">
        <v>23</v>
      </c>
      <c r="E471">
        <v>20</v>
      </c>
      <c r="F471">
        <v>1781.77</v>
      </c>
      <c r="G471">
        <v>8.8496000000000005E-2</v>
      </c>
      <c r="H471">
        <v>17</v>
      </c>
      <c r="I471">
        <v>17</v>
      </c>
      <c r="J471">
        <v>7</v>
      </c>
      <c r="K471">
        <v>6</v>
      </c>
      <c r="L471">
        <v>1</v>
      </c>
      <c r="M471">
        <v>3</v>
      </c>
      <c r="N471">
        <v>5</v>
      </c>
      <c r="O471">
        <v>2</v>
      </c>
      <c r="P471" t="s">
        <v>85</v>
      </c>
    </row>
    <row r="472" spans="1:16" x14ac:dyDescent="0.3">
      <c r="A472">
        <v>92</v>
      </c>
      <c r="B472">
        <v>2025</v>
      </c>
      <c r="C472">
        <v>80</v>
      </c>
      <c r="D472">
        <v>8</v>
      </c>
      <c r="E472">
        <v>7</v>
      </c>
      <c r="F472">
        <v>475.94</v>
      </c>
      <c r="G472">
        <v>8.7499999999999994E-2</v>
      </c>
      <c r="H472">
        <v>12</v>
      </c>
      <c r="I472">
        <v>12</v>
      </c>
      <c r="J472">
        <v>3</v>
      </c>
      <c r="K472">
        <v>5</v>
      </c>
      <c r="L472">
        <v>1</v>
      </c>
      <c r="M472">
        <v>4</v>
      </c>
      <c r="N472">
        <v>4</v>
      </c>
      <c r="O472">
        <v>1</v>
      </c>
      <c r="P472" t="s">
        <v>85</v>
      </c>
    </row>
    <row r="473" spans="1:16" x14ac:dyDescent="0.3">
      <c r="A473">
        <v>93</v>
      </c>
      <c r="B473">
        <v>2025</v>
      </c>
      <c r="C473">
        <v>344</v>
      </c>
      <c r="D473">
        <v>24</v>
      </c>
      <c r="E473">
        <v>22</v>
      </c>
      <c r="F473">
        <v>975.5</v>
      </c>
      <c r="G473">
        <v>6.3952999999999996E-2</v>
      </c>
      <c r="H473">
        <v>16</v>
      </c>
      <c r="I473">
        <v>18</v>
      </c>
      <c r="J473">
        <v>6</v>
      </c>
      <c r="K473">
        <v>6</v>
      </c>
      <c r="L473">
        <v>1</v>
      </c>
      <c r="M473">
        <v>4</v>
      </c>
      <c r="N473">
        <v>3</v>
      </c>
      <c r="O473">
        <v>2</v>
      </c>
      <c r="P473" t="s">
        <v>85</v>
      </c>
    </row>
    <row r="474" spans="1:16" x14ac:dyDescent="0.3">
      <c r="A474">
        <v>94</v>
      </c>
      <c r="B474">
        <v>2025</v>
      </c>
      <c r="C474">
        <v>701</v>
      </c>
      <c r="D474">
        <v>29</v>
      </c>
      <c r="E474">
        <v>25</v>
      </c>
      <c r="F474">
        <v>1239.08</v>
      </c>
      <c r="G474">
        <v>3.5663E-2</v>
      </c>
      <c r="H474">
        <v>3</v>
      </c>
      <c r="I474">
        <v>19</v>
      </c>
      <c r="J474">
        <v>6</v>
      </c>
      <c r="K474">
        <v>2</v>
      </c>
      <c r="L474">
        <v>0</v>
      </c>
      <c r="M474">
        <v>0</v>
      </c>
      <c r="N474">
        <v>1</v>
      </c>
      <c r="O474">
        <v>2</v>
      </c>
      <c r="P474" t="s">
        <v>176</v>
      </c>
    </row>
    <row r="475" spans="1:16" x14ac:dyDescent="0.3">
      <c r="A475">
        <v>95</v>
      </c>
      <c r="B475">
        <v>2025</v>
      </c>
      <c r="C475">
        <v>483</v>
      </c>
      <c r="D475">
        <v>40</v>
      </c>
      <c r="E475">
        <v>34</v>
      </c>
      <c r="F475">
        <v>3461.37</v>
      </c>
      <c r="G475">
        <v>7.0392999999999997E-2</v>
      </c>
      <c r="H475">
        <v>18</v>
      </c>
      <c r="I475">
        <v>22</v>
      </c>
      <c r="J475">
        <v>5</v>
      </c>
      <c r="K475">
        <v>10</v>
      </c>
      <c r="L475">
        <v>1</v>
      </c>
      <c r="M475">
        <v>6</v>
      </c>
      <c r="N475">
        <v>7</v>
      </c>
      <c r="O475">
        <v>3</v>
      </c>
      <c r="P475" t="s">
        <v>85</v>
      </c>
    </row>
    <row r="476" spans="1:16" x14ac:dyDescent="0.3">
      <c r="A476">
        <v>96</v>
      </c>
      <c r="B476">
        <v>2025</v>
      </c>
      <c r="C476">
        <v>1208</v>
      </c>
      <c r="D476">
        <v>117</v>
      </c>
      <c r="E476">
        <v>110</v>
      </c>
      <c r="F476">
        <v>4656.3100000000004</v>
      </c>
      <c r="G476">
        <v>9.1060000000000002E-2</v>
      </c>
      <c r="H476">
        <v>19</v>
      </c>
      <c r="I476">
        <v>41</v>
      </c>
      <c r="J476">
        <v>24</v>
      </c>
      <c r="K476">
        <v>11</v>
      </c>
      <c r="L476">
        <v>1</v>
      </c>
      <c r="M476">
        <v>4</v>
      </c>
      <c r="N476">
        <v>8</v>
      </c>
      <c r="O476">
        <v>8</v>
      </c>
      <c r="P476" t="s">
        <v>85</v>
      </c>
    </row>
    <row r="477" spans="1:16" x14ac:dyDescent="0.3">
      <c r="A477">
        <v>97</v>
      </c>
      <c r="B477">
        <v>2025</v>
      </c>
      <c r="C477">
        <v>713</v>
      </c>
      <c r="D477">
        <v>66</v>
      </c>
      <c r="E477">
        <v>56</v>
      </c>
      <c r="F477">
        <v>2556.59</v>
      </c>
      <c r="G477">
        <v>7.8541E-2</v>
      </c>
      <c r="H477">
        <v>19</v>
      </c>
      <c r="I477">
        <v>29</v>
      </c>
      <c r="J477">
        <v>9</v>
      </c>
      <c r="K477">
        <v>8</v>
      </c>
      <c r="L477">
        <v>1</v>
      </c>
      <c r="M477">
        <v>4</v>
      </c>
      <c r="N477">
        <v>6</v>
      </c>
      <c r="O477">
        <v>4</v>
      </c>
      <c r="P477" t="s">
        <v>85</v>
      </c>
    </row>
    <row r="478" spans="1:16" x14ac:dyDescent="0.3">
      <c r="A478">
        <v>98</v>
      </c>
      <c r="B478">
        <v>2025</v>
      </c>
      <c r="C478">
        <v>1588</v>
      </c>
      <c r="D478">
        <v>63</v>
      </c>
      <c r="E478">
        <v>59</v>
      </c>
      <c r="F478">
        <v>4434.46</v>
      </c>
      <c r="G478">
        <v>3.7154E-2</v>
      </c>
      <c r="H478">
        <v>9</v>
      </c>
      <c r="I478">
        <v>27</v>
      </c>
      <c r="J478">
        <v>10</v>
      </c>
      <c r="K478">
        <v>4</v>
      </c>
      <c r="L478">
        <v>0</v>
      </c>
      <c r="M478">
        <v>1</v>
      </c>
      <c r="N478">
        <v>2</v>
      </c>
      <c r="O478">
        <v>4</v>
      </c>
      <c r="P478" t="s">
        <v>175</v>
      </c>
    </row>
    <row r="479" spans="1:16" x14ac:dyDescent="0.3">
      <c r="A479">
        <v>99</v>
      </c>
      <c r="B479">
        <v>2025</v>
      </c>
      <c r="C479">
        <v>315</v>
      </c>
      <c r="D479">
        <v>19</v>
      </c>
      <c r="E479">
        <v>16</v>
      </c>
      <c r="F479">
        <v>1081.24</v>
      </c>
      <c r="G479">
        <v>5.0793999999999999E-2</v>
      </c>
      <c r="H479">
        <v>11</v>
      </c>
      <c r="I479">
        <v>11</v>
      </c>
      <c r="J479">
        <v>4</v>
      </c>
      <c r="K479">
        <v>4</v>
      </c>
      <c r="L479">
        <v>0</v>
      </c>
      <c r="M479">
        <v>1</v>
      </c>
      <c r="N479">
        <v>4</v>
      </c>
      <c r="O479">
        <v>1</v>
      </c>
      <c r="P479" t="s">
        <v>85</v>
      </c>
    </row>
    <row r="480" spans="1:16" x14ac:dyDescent="0.3">
      <c r="A480">
        <v>100</v>
      </c>
      <c r="B480">
        <v>2025</v>
      </c>
      <c r="C480">
        <v>1277</v>
      </c>
      <c r="D480">
        <v>141</v>
      </c>
      <c r="E480">
        <v>116</v>
      </c>
      <c r="F480">
        <v>7559.22</v>
      </c>
      <c r="G480">
        <v>9.0838000000000002E-2</v>
      </c>
      <c r="H480">
        <v>36</v>
      </c>
      <c r="I480">
        <v>50</v>
      </c>
      <c r="J480">
        <v>26</v>
      </c>
      <c r="K480">
        <v>21</v>
      </c>
      <c r="L480">
        <v>0</v>
      </c>
      <c r="M480">
        <v>3</v>
      </c>
      <c r="N480">
        <v>9</v>
      </c>
      <c r="O480">
        <v>8</v>
      </c>
      <c r="P480" t="s">
        <v>68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EC0C-22DB-41B8-9E27-C38442296D5D}">
  <dimension ref="A1:P480"/>
  <sheetViews>
    <sheetView workbookViewId="0">
      <selection activeCell="C1" sqref="C1"/>
    </sheetView>
  </sheetViews>
  <sheetFormatPr defaultRowHeight="14.4" x14ac:dyDescent="0.3"/>
  <cols>
    <col min="1" max="1" width="10.5546875" bestFit="1" customWidth="1"/>
    <col min="2" max="2" width="13.33203125" bestFit="1" customWidth="1"/>
    <col min="3" max="3" width="14" bestFit="1" customWidth="1"/>
    <col min="4" max="4" width="17.6640625" bestFit="1" customWidth="1"/>
    <col min="5" max="5" width="18" bestFit="1" customWidth="1"/>
    <col min="6" max="6" width="17.33203125" bestFit="1" customWidth="1"/>
    <col min="7" max="7" width="14.109375" bestFit="1" customWidth="1"/>
    <col min="8" max="8" width="20.77734375" bestFit="1" customWidth="1"/>
    <col min="9" max="9" width="24.109375" bestFit="1" customWidth="1"/>
    <col min="10" max="10" width="25.109375" bestFit="1" customWidth="1"/>
    <col min="11" max="11" width="23.109375" bestFit="1" customWidth="1"/>
    <col min="12" max="12" width="12.33203125" bestFit="1" customWidth="1"/>
    <col min="13" max="13" width="21.33203125" bestFit="1" customWidth="1"/>
    <col min="14" max="14" width="17.88671875" bestFit="1" customWidth="1"/>
    <col min="15" max="15" width="19.44140625" bestFit="1" customWidth="1"/>
    <col min="16" max="16" width="26.33203125" bestFit="1" customWidth="1"/>
  </cols>
  <sheetData>
    <row r="1" spans="1:16" x14ac:dyDescent="0.3">
      <c r="A1" t="s">
        <v>14</v>
      </c>
      <c r="B1" t="s">
        <v>160</v>
      </c>
      <c r="C1" t="s">
        <v>161</v>
      </c>
      <c r="D1" t="s">
        <v>162</v>
      </c>
      <c r="E1" t="s">
        <v>163</v>
      </c>
      <c r="F1" t="s">
        <v>164</v>
      </c>
      <c r="G1" t="s">
        <v>165</v>
      </c>
      <c r="H1" t="s">
        <v>166</v>
      </c>
      <c r="I1" t="s">
        <v>167</v>
      </c>
      <c r="J1" t="s">
        <v>168</v>
      </c>
      <c r="K1" t="s">
        <v>169</v>
      </c>
      <c r="L1" t="s">
        <v>170</v>
      </c>
      <c r="M1" t="s">
        <v>171</v>
      </c>
      <c r="N1" t="s">
        <v>172</v>
      </c>
      <c r="O1" t="s">
        <v>173</v>
      </c>
      <c r="P1" t="s">
        <v>174</v>
      </c>
    </row>
    <row r="2" spans="1:16" x14ac:dyDescent="0.3">
      <c r="A2">
        <v>1</v>
      </c>
      <c r="B2">
        <v>2021</v>
      </c>
      <c r="C2">
        <v>1639</v>
      </c>
      <c r="D2">
        <v>93</v>
      </c>
      <c r="E2">
        <v>72</v>
      </c>
      <c r="F2">
        <v>4476.59</v>
      </c>
      <c r="G2">
        <v>4.3929000000000003E-2</v>
      </c>
      <c r="H2">
        <v>12</v>
      </c>
      <c r="I2">
        <v>33</v>
      </c>
      <c r="J2">
        <v>11</v>
      </c>
      <c r="K2">
        <v>7</v>
      </c>
      <c r="L2">
        <v>1</v>
      </c>
      <c r="M2">
        <v>4</v>
      </c>
      <c r="N2">
        <v>4</v>
      </c>
      <c r="O2">
        <v>3</v>
      </c>
      <c r="P2" t="s">
        <v>85</v>
      </c>
    </row>
    <row r="3" spans="1:16" x14ac:dyDescent="0.3">
      <c r="A3">
        <v>1</v>
      </c>
      <c r="B3">
        <v>2022</v>
      </c>
      <c r="C3">
        <v>806</v>
      </c>
      <c r="D3">
        <v>70</v>
      </c>
      <c r="E3">
        <v>64</v>
      </c>
      <c r="F3">
        <v>5048.0200000000004</v>
      </c>
      <c r="G3">
        <v>7.9404000000000002E-2</v>
      </c>
      <c r="H3">
        <v>18</v>
      </c>
      <c r="I3">
        <v>26</v>
      </c>
      <c r="J3">
        <v>10</v>
      </c>
      <c r="K3">
        <v>6</v>
      </c>
      <c r="L3">
        <v>1</v>
      </c>
      <c r="M3">
        <v>6</v>
      </c>
      <c r="N3">
        <v>6</v>
      </c>
      <c r="O3">
        <v>4</v>
      </c>
      <c r="P3" t="s">
        <v>85</v>
      </c>
    </row>
    <row r="4" spans="1:16" x14ac:dyDescent="0.3">
      <c r="A4">
        <v>1</v>
      </c>
      <c r="B4">
        <v>2023</v>
      </c>
      <c r="C4">
        <v>398</v>
      </c>
      <c r="D4">
        <v>20</v>
      </c>
      <c r="E4">
        <v>15</v>
      </c>
      <c r="F4">
        <v>518.55999999999995</v>
      </c>
      <c r="G4">
        <v>3.7687999999999999E-2</v>
      </c>
      <c r="H4">
        <v>10</v>
      </c>
      <c r="I4">
        <v>10</v>
      </c>
      <c r="J4">
        <v>4</v>
      </c>
      <c r="K4">
        <v>4</v>
      </c>
      <c r="L4">
        <v>0</v>
      </c>
      <c r="M4">
        <v>1</v>
      </c>
      <c r="N4">
        <v>2</v>
      </c>
      <c r="O4">
        <v>0</v>
      </c>
      <c r="P4" t="s">
        <v>175</v>
      </c>
    </row>
    <row r="5" spans="1:16" x14ac:dyDescent="0.3">
      <c r="A5">
        <v>1</v>
      </c>
      <c r="B5">
        <v>2024</v>
      </c>
      <c r="C5">
        <v>80</v>
      </c>
      <c r="D5">
        <v>2</v>
      </c>
      <c r="E5">
        <v>2</v>
      </c>
      <c r="F5">
        <v>92.54</v>
      </c>
      <c r="G5">
        <v>2.5000000000000001E-2</v>
      </c>
      <c r="H5">
        <v>1</v>
      </c>
      <c r="I5">
        <v>1</v>
      </c>
      <c r="J5">
        <v>1</v>
      </c>
      <c r="K5">
        <v>1</v>
      </c>
      <c r="L5">
        <v>0</v>
      </c>
      <c r="M5">
        <v>0</v>
      </c>
      <c r="N5">
        <v>1</v>
      </c>
      <c r="O5">
        <v>0</v>
      </c>
      <c r="P5" t="s">
        <v>176</v>
      </c>
    </row>
    <row r="6" spans="1:16" x14ac:dyDescent="0.3">
      <c r="A6">
        <v>1</v>
      </c>
      <c r="B6">
        <v>2025</v>
      </c>
      <c r="C6">
        <v>791</v>
      </c>
      <c r="D6">
        <v>65</v>
      </c>
      <c r="E6">
        <v>56</v>
      </c>
      <c r="F6">
        <v>2300.1</v>
      </c>
      <c r="G6">
        <v>7.0795999999999998E-2</v>
      </c>
      <c r="H6">
        <v>12</v>
      </c>
      <c r="I6">
        <v>21</v>
      </c>
      <c r="J6">
        <v>11</v>
      </c>
      <c r="K6">
        <v>7</v>
      </c>
      <c r="L6">
        <v>1</v>
      </c>
      <c r="M6">
        <v>5</v>
      </c>
      <c r="N6">
        <v>4</v>
      </c>
      <c r="O6">
        <v>2</v>
      </c>
      <c r="P6" t="s">
        <v>85</v>
      </c>
    </row>
    <row r="7" spans="1:16" x14ac:dyDescent="0.3">
      <c r="A7">
        <v>2</v>
      </c>
      <c r="B7">
        <v>2021</v>
      </c>
      <c r="C7">
        <v>2638</v>
      </c>
      <c r="D7">
        <v>254</v>
      </c>
      <c r="E7">
        <v>224</v>
      </c>
      <c r="F7">
        <v>9826.34</v>
      </c>
      <c r="G7">
        <v>8.4913000000000002E-2</v>
      </c>
      <c r="H7">
        <v>26</v>
      </c>
      <c r="I7">
        <v>83</v>
      </c>
      <c r="J7">
        <v>21</v>
      </c>
      <c r="K7">
        <v>11</v>
      </c>
      <c r="L7">
        <v>1</v>
      </c>
      <c r="M7">
        <v>4</v>
      </c>
      <c r="N7">
        <v>5</v>
      </c>
      <c r="O7">
        <v>8</v>
      </c>
      <c r="P7" t="s">
        <v>85</v>
      </c>
    </row>
    <row r="8" spans="1:16" x14ac:dyDescent="0.3">
      <c r="A8">
        <v>2</v>
      </c>
      <c r="B8">
        <v>2022</v>
      </c>
      <c r="C8">
        <v>1666</v>
      </c>
      <c r="D8">
        <v>160</v>
      </c>
      <c r="E8">
        <v>146</v>
      </c>
      <c r="F8">
        <v>6387.33</v>
      </c>
      <c r="G8">
        <v>8.7635000000000005E-2</v>
      </c>
      <c r="H8">
        <v>30</v>
      </c>
      <c r="I8">
        <v>46</v>
      </c>
      <c r="J8">
        <v>14</v>
      </c>
      <c r="K8">
        <v>15</v>
      </c>
      <c r="L8">
        <v>0</v>
      </c>
      <c r="M8">
        <v>4</v>
      </c>
      <c r="N8">
        <v>7</v>
      </c>
      <c r="O8">
        <v>3</v>
      </c>
      <c r="P8" t="s">
        <v>68</v>
      </c>
    </row>
    <row r="9" spans="1:16" x14ac:dyDescent="0.3">
      <c r="A9">
        <v>2</v>
      </c>
      <c r="B9">
        <v>2023</v>
      </c>
      <c r="C9">
        <v>713</v>
      </c>
      <c r="D9">
        <v>68</v>
      </c>
      <c r="E9">
        <v>64</v>
      </c>
      <c r="F9">
        <v>2858.51</v>
      </c>
      <c r="G9">
        <v>8.9761999999999995E-2</v>
      </c>
      <c r="H9">
        <v>30</v>
      </c>
      <c r="I9">
        <v>30</v>
      </c>
      <c r="J9">
        <v>13</v>
      </c>
      <c r="K9">
        <v>11</v>
      </c>
      <c r="L9">
        <v>1</v>
      </c>
      <c r="M9">
        <v>6</v>
      </c>
      <c r="N9">
        <v>6</v>
      </c>
      <c r="O9">
        <v>3</v>
      </c>
      <c r="P9" t="s">
        <v>85</v>
      </c>
    </row>
    <row r="10" spans="1:16" x14ac:dyDescent="0.3">
      <c r="A10">
        <v>2</v>
      </c>
      <c r="B10">
        <v>2024</v>
      </c>
      <c r="C10">
        <v>715</v>
      </c>
      <c r="D10">
        <v>67</v>
      </c>
      <c r="E10">
        <v>61</v>
      </c>
      <c r="F10">
        <v>6166.17</v>
      </c>
      <c r="G10">
        <v>8.5315000000000002E-2</v>
      </c>
      <c r="H10">
        <v>16</v>
      </c>
      <c r="I10">
        <v>21</v>
      </c>
      <c r="J10">
        <v>9</v>
      </c>
      <c r="K10">
        <v>8</v>
      </c>
      <c r="L10">
        <v>0</v>
      </c>
      <c r="M10">
        <v>2</v>
      </c>
      <c r="N10">
        <v>4</v>
      </c>
      <c r="O10">
        <v>4</v>
      </c>
      <c r="P10" t="s">
        <v>68</v>
      </c>
    </row>
    <row r="11" spans="1:16" x14ac:dyDescent="0.3">
      <c r="A11">
        <v>2</v>
      </c>
      <c r="B11">
        <v>2025</v>
      </c>
      <c r="C11">
        <v>690</v>
      </c>
      <c r="D11">
        <v>35</v>
      </c>
      <c r="E11">
        <v>30</v>
      </c>
      <c r="F11">
        <v>2785.56</v>
      </c>
      <c r="G11">
        <v>4.3478000000000003E-2</v>
      </c>
      <c r="H11">
        <v>13</v>
      </c>
      <c r="I11">
        <v>13</v>
      </c>
      <c r="J11">
        <v>4</v>
      </c>
      <c r="K11">
        <v>5</v>
      </c>
      <c r="L11">
        <v>0</v>
      </c>
      <c r="M11">
        <v>1</v>
      </c>
      <c r="N11">
        <v>2</v>
      </c>
      <c r="O11">
        <v>1</v>
      </c>
      <c r="P11" t="s">
        <v>175</v>
      </c>
    </row>
    <row r="12" spans="1:16" x14ac:dyDescent="0.3">
      <c r="A12">
        <v>3</v>
      </c>
      <c r="B12">
        <v>2021</v>
      </c>
      <c r="C12">
        <v>747</v>
      </c>
      <c r="D12">
        <v>70</v>
      </c>
      <c r="E12">
        <v>61</v>
      </c>
      <c r="F12">
        <v>4657.6000000000004</v>
      </c>
      <c r="G12">
        <v>8.1659999999999996E-2</v>
      </c>
      <c r="H12">
        <v>20</v>
      </c>
      <c r="I12">
        <v>25</v>
      </c>
      <c r="J12">
        <v>14</v>
      </c>
      <c r="K12">
        <v>12</v>
      </c>
      <c r="L12">
        <v>1</v>
      </c>
      <c r="M12">
        <v>7</v>
      </c>
      <c r="N12">
        <v>6</v>
      </c>
      <c r="O12">
        <v>2</v>
      </c>
      <c r="P12" t="s">
        <v>85</v>
      </c>
    </row>
    <row r="13" spans="1:16" x14ac:dyDescent="0.3">
      <c r="A13">
        <v>3</v>
      </c>
      <c r="B13">
        <v>2022</v>
      </c>
      <c r="C13">
        <v>1199</v>
      </c>
      <c r="D13">
        <v>121</v>
      </c>
      <c r="E13">
        <v>102</v>
      </c>
      <c r="F13">
        <v>5475.16</v>
      </c>
      <c r="G13">
        <v>8.5070999999999994E-2</v>
      </c>
      <c r="H13">
        <v>29</v>
      </c>
      <c r="I13">
        <v>39</v>
      </c>
      <c r="J13">
        <v>17</v>
      </c>
      <c r="K13">
        <v>16</v>
      </c>
      <c r="L13">
        <v>1</v>
      </c>
      <c r="M13">
        <v>5</v>
      </c>
      <c r="N13">
        <v>8</v>
      </c>
      <c r="O13">
        <v>8</v>
      </c>
      <c r="P13" t="s">
        <v>85</v>
      </c>
    </row>
    <row r="14" spans="1:16" x14ac:dyDescent="0.3">
      <c r="A14">
        <v>3</v>
      </c>
      <c r="B14">
        <v>2023</v>
      </c>
      <c r="C14">
        <v>547</v>
      </c>
      <c r="D14">
        <v>49</v>
      </c>
      <c r="E14">
        <v>39</v>
      </c>
      <c r="F14">
        <v>3621.02</v>
      </c>
      <c r="G14">
        <v>7.1298E-2</v>
      </c>
      <c r="H14">
        <v>20</v>
      </c>
      <c r="I14">
        <v>23</v>
      </c>
      <c r="J14">
        <v>10</v>
      </c>
      <c r="K14">
        <v>7</v>
      </c>
      <c r="L14">
        <v>1</v>
      </c>
      <c r="M14">
        <v>5</v>
      </c>
      <c r="N14">
        <v>6</v>
      </c>
      <c r="O14">
        <v>4</v>
      </c>
      <c r="P14" t="s">
        <v>85</v>
      </c>
    </row>
    <row r="15" spans="1:16" x14ac:dyDescent="0.3">
      <c r="A15">
        <v>3</v>
      </c>
      <c r="B15">
        <v>2024</v>
      </c>
      <c r="C15">
        <v>1520</v>
      </c>
      <c r="D15">
        <v>154</v>
      </c>
      <c r="E15">
        <v>141</v>
      </c>
      <c r="F15">
        <v>12904.42</v>
      </c>
      <c r="G15">
        <v>9.2762999999999998E-2</v>
      </c>
      <c r="H15">
        <v>42</v>
      </c>
      <c r="I15">
        <v>51</v>
      </c>
      <c r="J15">
        <v>27</v>
      </c>
      <c r="K15">
        <v>16</v>
      </c>
      <c r="L15">
        <v>1</v>
      </c>
      <c r="M15">
        <v>7</v>
      </c>
      <c r="N15">
        <v>7</v>
      </c>
      <c r="O15">
        <v>12</v>
      </c>
      <c r="P15" t="s">
        <v>85</v>
      </c>
    </row>
    <row r="16" spans="1:16" x14ac:dyDescent="0.3">
      <c r="A16">
        <v>3</v>
      </c>
      <c r="B16">
        <v>2025</v>
      </c>
      <c r="C16">
        <v>1322</v>
      </c>
      <c r="D16">
        <v>129</v>
      </c>
      <c r="E16">
        <v>119</v>
      </c>
      <c r="F16">
        <v>6049.66</v>
      </c>
      <c r="G16">
        <v>9.0014999999999998E-2</v>
      </c>
      <c r="H16">
        <v>53</v>
      </c>
      <c r="I16">
        <v>53</v>
      </c>
      <c r="J16">
        <v>27</v>
      </c>
      <c r="K16">
        <v>13</v>
      </c>
      <c r="L16">
        <v>1</v>
      </c>
      <c r="M16">
        <v>6</v>
      </c>
      <c r="N16">
        <v>8</v>
      </c>
      <c r="O16">
        <v>10</v>
      </c>
      <c r="P16" t="s">
        <v>85</v>
      </c>
    </row>
    <row r="17" spans="1:16" x14ac:dyDescent="0.3">
      <c r="A17">
        <v>4</v>
      </c>
      <c r="B17">
        <v>2021</v>
      </c>
      <c r="C17">
        <v>480</v>
      </c>
      <c r="D17">
        <v>41</v>
      </c>
      <c r="E17">
        <v>36</v>
      </c>
      <c r="F17">
        <v>2011.28</v>
      </c>
      <c r="G17">
        <v>7.4999999999999997E-2</v>
      </c>
      <c r="H17">
        <v>19</v>
      </c>
      <c r="I17">
        <v>19</v>
      </c>
      <c r="J17">
        <v>9</v>
      </c>
      <c r="K17">
        <v>8</v>
      </c>
      <c r="L17">
        <v>1</v>
      </c>
      <c r="M17">
        <v>6</v>
      </c>
      <c r="N17">
        <v>6</v>
      </c>
      <c r="O17">
        <v>5</v>
      </c>
      <c r="P17" t="s">
        <v>85</v>
      </c>
    </row>
    <row r="18" spans="1:16" x14ac:dyDescent="0.3">
      <c r="A18">
        <v>4</v>
      </c>
      <c r="B18">
        <v>2022</v>
      </c>
      <c r="C18">
        <v>923</v>
      </c>
      <c r="D18">
        <v>74</v>
      </c>
      <c r="E18">
        <v>63</v>
      </c>
      <c r="F18">
        <v>6976.75</v>
      </c>
      <c r="G18">
        <v>6.8255999999999997E-2</v>
      </c>
      <c r="H18">
        <v>22</v>
      </c>
      <c r="I18">
        <v>32</v>
      </c>
      <c r="J18">
        <v>8</v>
      </c>
      <c r="K18">
        <v>7</v>
      </c>
      <c r="L18">
        <v>1</v>
      </c>
      <c r="M18">
        <v>5</v>
      </c>
      <c r="N18">
        <v>6</v>
      </c>
      <c r="O18">
        <v>4</v>
      </c>
      <c r="P18" t="s">
        <v>85</v>
      </c>
    </row>
    <row r="19" spans="1:16" x14ac:dyDescent="0.3">
      <c r="A19">
        <v>4</v>
      </c>
      <c r="B19">
        <v>2023</v>
      </c>
      <c r="C19">
        <v>1603</v>
      </c>
      <c r="D19">
        <v>147</v>
      </c>
      <c r="E19">
        <v>121</v>
      </c>
      <c r="F19">
        <v>13785.04</v>
      </c>
      <c r="G19">
        <v>7.5482999999999995E-2</v>
      </c>
      <c r="H19">
        <v>21</v>
      </c>
      <c r="I19">
        <v>52</v>
      </c>
      <c r="J19">
        <v>18</v>
      </c>
      <c r="K19">
        <v>7</v>
      </c>
      <c r="L19">
        <v>1</v>
      </c>
      <c r="M19">
        <v>5</v>
      </c>
      <c r="N19">
        <v>5</v>
      </c>
      <c r="O19">
        <v>11</v>
      </c>
      <c r="P19" t="s">
        <v>85</v>
      </c>
    </row>
    <row r="20" spans="1:16" x14ac:dyDescent="0.3">
      <c r="A20">
        <v>4</v>
      </c>
      <c r="B20">
        <v>2024</v>
      </c>
      <c r="C20">
        <v>1520</v>
      </c>
      <c r="D20">
        <v>82</v>
      </c>
      <c r="E20">
        <v>65</v>
      </c>
      <c r="F20">
        <v>6104.62</v>
      </c>
      <c r="G20">
        <v>4.2763000000000002E-2</v>
      </c>
      <c r="H20">
        <v>24</v>
      </c>
      <c r="I20">
        <v>32</v>
      </c>
      <c r="J20">
        <v>13</v>
      </c>
      <c r="K20">
        <v>10</v>
      </c>
      <c r="L20">
        <v>1</v>
      </c>
      <c r="M20">
        <v>3</v>
      </c>
      <c r="N20">
        <v>7</v>
      </c>
      <c r="O20">
        <v>4</v>
      </c>
      <c r="P20" t="s">
        <v>85</v>
      </c>
    </row>
    <row r="21" spans="1:16" x14ac:dyDescent="0.3">
      <c r="A21">
        <v>4</v>
      </c>
      <c r="B21">
        <v>2025</v>
      </c>
      <c r="C21">
        <v>555</v>
      </c>
      <c r="D21">
        <v>43</v>
      </c>
      <c r="E21">
        <v>35</v>
      </c>
      <c r="F21">
        <v>3451.03</v>
      </c>
      <c r="G21">
        <v>6.3062999999999994E-2</v>
      </c>
      <c r="H21">
        <v>16</v>
      </c>
      <c r="I21">
        <v>16</v>
      </c>
      <c r="J21">
        <v>9</v>
      </c>
      <c r="K21">
        <v>7</v>
      </c>
      <c r="L21">
        <v>1</v>
      </c>
      <c r="M21">
        <v>5</v>
      </c>
      <c r="N21">
        <v>6</v>
      </c>
      <c r="O21">
        <v>2</v>
      </c>
      <c r="P21" t="s">
        <v>85</v>
      </c>
    </row>
    <row r="22" spans="1:16" x14ac:dyDescent="0.3">
      <c r="A22">
        <v>5</v>
      </c>
      <c r="B22">
        <v>2021</v>
      </c>
      <c r="C22">
        <v>80</v>
      </c>
      <c r="D22">
        <v>9</v>
      </c>
      <c r="E22">
        <v>7</v>
      </c>
      <c r="F22">
        <v>570.73</v>
      </c>
      <c r="G22">
        <v>8.7499999999999994E-2</v>
      </c>
      <c r="H22">
        <v>13</v>
      </c>
      <c r="I22">
        <v>13</v>
      </c>
      <c r="J22">
        <v>4</v>
      </c>
      <c r="K22">
        <v>5</v>
      </c>
      <c r="L22">
        <v>1</v>
      </c>
      <c r="M22">
        <v>4</v>
      </c>
      <c r="N22">
        <v>3</v>
      </c>
      <c r="O22">
        <v>2</v>
      </c>
      <c r="P22" t="s">
        <v>85</v>
      </c>
    </row>
    <row r="23" spans="1:16" x14ac:dyDescent="0.3">
      <c r="A23">
        <v>5</v>
      </c>
      <c r="B23">
        <v>2022</v>
      </c>
      <c r="C23">
        <v>2081</v>
      </c>
      <c r="D23">
        <v>146</v>
      </c>
      <c r="E23">
        <v>117</v>
      </c>
      <c r="F23">
        <v>4049.36</v>
      </c>
      <c r="G23">
        <v>5.6223000000000002E-2</v>
      </c>
      <c r="H23">
        <v>25</v>
      </c>
      <c r="I23">
        <v>52</v>
      </c>
      <c r="J23">
        <v>14</v>
      </c>
      <c r="K23">
        <v>14</v>
      </c>
      <c r="L23">
        <v>0</v>
      </c>
      <c r="M23">
        <v>4</v>
      </c>
      <c r="N23">
        <v>5</v>
      </c>
      <c r="O23">
        <v>6</v>
      </c>
      <c r="P23" t="s">
        <v>68</v>
      </c>
    </row>
    <row r="24" spans="1:16" x14ac:dyDescent="0.3">
      <c r="A24">
        <v>5</v>
      </c>
      <c r="B24">
        <v>2023</v>
      </c>
      <c r="C24">
        <v>631</v>
      </c>
      <c r="D24">
        <v>50</v>
      </c>
      <c r="E24">
        <v>47</v>
      </c>
      <c r="F24">
        <v>3658.1</v>
      </c>
      <c r="G24">
        <v>7.4484999999999996E-2</v>
      </c>
      <c r="H24">
        <v>31</v>
      </c>
      <c r="I24">
        <v>31</v>
      </c>
      <c r="J24">
        <v>8</v>
      </c>
      <c r="K24">
        <v>13</v>
      </c>
      <c r="L24">
        <v>1</v>
      </c>
      <c r="M24">
        <v>5</v>
      </c>
      <c r="N24">
        <v>8</v>
      </c>
      <c r="O24">
        <v>4</v>
      </c>
      <c r="P24" t="s">
        <v>85</v>
      </c>
    </row>
    <row r="25" spans="1:16" x14ac:dyDescent="0.3">
      <c r="A25">
        <v>5</v>
      </c>
      <c r="B25">
        <v>2024</v>
      </c>
      <c r="C25">
        <v>1146</v>
      </c>
      <c r="D25">
        <v>96</v>
      </c>
      <c r="E25">
        <v>92</v>
      </c>
      <c r="F25">
        <v>6953.46</v>
      </c>
      <c r="G25">
        <v>8.0279000000000003E-2</v>
      </c>
      <c r="H25">
        <v>21</v>
      </c>
      <c r="I25">
        <v>40</v>
      </c>
      <c r="J25">
        <v>16</v>
      </c>
      <c r="K25">
        <v>11</v>
      </c>
      <c r="L25">
        <v>0</v>
      </c>
      <c r="M25">
        <v>1</v>
      </c>
      <c r="N25">
        <v>6</v>
      </c>
      <c r="O25">
        <v>2</v>
      </c>
      <c r="P25" t="s">
        <v>68</v>
      </c>
    </row>
    <row r="26" spans="1:16" x14ac:dyDescent="0.3">
      <c r="A26">
        <v>5</v>
      </c>
      <c r="B26">
        <v>2025</v>
      </c>
      <c r="C26">
        <v>1176</v>
      </c>
      <c r="D26">
        <v>112</v>
      </c>
      <c r="E26">
        <v>99</v>
      </c>
      <c r="F26">
        <v>6679.11</v>
      </c>
      <c r="G26">
        <v>8.4183999999999995E-2</v>
      </c>
      <c r="H26">
        <v>22</v>
      </c>
      <c r="I26">
        <v>43</v>
      </c>
      <c r="J26">
        <v>15</v>
      </c>
      <c r="K26">
        <v>20</v>
      </c>
      <c r="L26">
        <v>1</v>
      </c>
      <c r="M26">
        <v>11</v>
      </c>
      <c r="N26">
        <v>9</v>
      </c>
      <c r="O26">
        <v>8</v>
      </c>
      <c r="P26" t="s">
        <v>85</v>
      </c>
    </row>
    <row r="27" spans="1:16" x14ac:dyDescent="0.3">
      <c r="A27">
        <v>6</v>
      </c>
      <c r="B27">
        <v>2021</v>
      </c>
      <c r="C27">
        <v>881</v>
      </c>
      <c r="D27">
        <v>51</v>
      </c>
      <c r="E27">
        <v>46</v>
      </c>
      <c r="F27">
        <v>1423.51</v>
      </c>
      <c r="G27">
        <v>5.2213000000000002E-2</v>
      </c>
      <c r="H27">
        <v>14</v>
      </c>
      <c r="I27">
        <v>24</v>
      </c>
      <c r="J27">
        <v>7</v>
      </c>
      <c r="K27">
        <v>9</v>
      </c>
      <c r="L27">
        <v>0</v>
      </c>
      <c r="M27">
        <v>3</v>
      </c>
      <c r="N27">
        <v>4</v>
      </c>
      <c r="O27">
        <v>3</v>
      </c>
      <c r="P27" t="s">
        <v>175</v>
      </c>
    </row>
    <row r="28" spans="1:16" x14ac:dyDescent="0.3">
      <c r="A28">
        <v>6</v>
      </c>
      <c r="B28">
        <v>2022</v>
      </c>
      <c r="C28">
        <v>1425</v>
      </c>
      <c r="D28">
        <v>115</v>
      </c>
      <c r="E28">
        <v>86</v>
      </c>
      <c r="F28">
        <v>8076.26</v>
      </c>
      <c r="G28">
        <v>6.0351000000000002E-2</v>
      </c>
      <c r="H28">
        <v>24</v>
      </c>
      <c r="I28">
        <v>42</v>
      </c>
      <c r="J28">
        <v>16</v>
      </c>
      <c r="K28">
        <v>9</v>
      </c>
      <c r="L28">
        <v>1</v>
      </c>
      <c r="M28">
        <v>5</v>
      </c>
      <c r="N28">
        <v>7</v>
      </c>
      <c r="O28">
        <v>4</v>
      </c>
      <c r="P28" t="s">
        <v>85</v>
      </c>
    </row>
    <row r="29" spans="1:16" x14ac:dyDescent="0.3">
      <c r="A29">
        <v>6</v>
      </c>
      <c r="B29">
        <v>2023</v>
      </c>
      <c r="C29">
        <v>1043</v>
      </c>
      <c r="D29">
        <v>84</v>
      </c>
      <c r="E29">
        <v>62</v>
      </c>
      <c r="F29">
        <v>5478.44</v>
      </c>
      <c r="G29">
        <v>5.9443999999999997E-2</v>
      </c>
      <c r="H29">
        <v>16</v>
      </c>
      <c r="I29">
        <v>30</v>
      </c>
      <c r="J29">
        <v>10</v>
      </c>
      <c r="K29">
        <v>6</v>
      </c>
      <c r="L29">
        <v>1</v>
      </c>
      <c r="M29">
        <v>5</v>
      </c>
      <c r="N29">
        <v>5</v>
      </c>
      <c r="O29">
        <v>5</v>
      </c>
      <c r="P29" t="s">
        <v>85</v>
      </c>
    </row>
    <row r="30" spans="1:16" x14ac:dyDescent="0.3">
      <c r="A30">
        <v>6</v>
      </c>
      <c r="B30">
        <v>2024</v>
      </c>
      <c r="C30">
        <v>142</v>
      </c>
      <c r="D30">
        <v>3</v>
      </c>
      <c r="E30">
        <v>3</v>
      </c>
      <c r="F30">
        <v>68.150000000000006</v>
      </c>
      <c r="G30">
        <v>2.1127E-2</v>
      </c>
      <c r="H30">
        <v>4</v>
      </c>
      <c r="I30">
        <v>5</v>
      </c>
      <c r="J30">
        <v>1</v>
      </c>
      <c r="K30">
        <v>3</v>
      </c>
      <c r="L30">
        <v>0</v>
      </c>
      <c r="M30">
        <v>0</v>
      </c>
      <c r="N30">
        <v>1</v>
      </c>
      <c r="O30">
        <v>0</v>
      </c>
      <c r="P30" t="s">
        <v>175</v>
      </c>
    </row>
    <row r="31" spans="1:16" x14ac:dyDescent="0.3">
      <c r="A31">
        <v>6</v>
      </c>
      <c r="B31">
        <v>2025</v>
      </c>
      <c r="C31">
        <v>860</v>
      </c>
      <c r="D31">
        <v>66</v>
      </c>
      <c r="E31">
        <v>55</v>
      </c>
      <c r="F31">
        <v>4743.3999999999996</v>
      </c>
      <c r="G31">
        <v>6.3952999999999996E-2</v>
      </c>
      <c r="H31">
        <v>13</v>
      </c>
      <c r="I31">
        <v>29</v>
      </c>
      <c r="J31">
        <v>12</v>
      </c>
      <c r="K31">
        <v>7</v>
      </c>
      <c r="L31">
        <v>1</v>
      </c>
      <c r="M31">
        <v>7</v>
      </c>
      <c r="N31">
        <v>4</v>
      </c>
      <c r="O31">
        <v>2</v>
      </c>
      <c r="P31" t="s">
        <v>85</v>
      </c>
    </row>
    <row r="32" spans="1:16" x14ac:dyDescent="0.3">
      <c r="A32">
        <v>7</v>
      </c>
      <c r="B32">
        <v>2021</v>
      </c>
      <c r="C32">
        <v>792</v>
      </c>
      <c r="D32">
        <v>69</v>
      </c>
      <c r="E32">
        <v>65</v>
      </c>
      <c r="F32">
        <v>6991.26</v>
      </c>
      <c r="G32">
        <v>8.2071000000000005E-2</v>
      </c>
      <c r="H32">
        <v>30</v>
      </c>
      <c r="I32">
        <v>30</v>
      </c>
      <c r="J32">
        <v>13</v>
      </c>
      <c r="K32">
        <v>12</v>
      </c>
      <c r="L32">
        <v>1</v>
      </c>
      <c r="M32">
        <v>5</v>
      </c>
      <c r="N32">
        <v>7</v>
      </c>
      <c r="O32">
        <v>3</v>
      </c>
      <c r="P32" t="s">
        <v>85</v>
      </c>
    </row>
    <row r="33" spans="1:16" x14ac:dyDescent="0.3">
      <c r="A33">
        <v>7</v>
      </c>
      <c r="B33">
        <v>2022</v>
      </c>
      <c r="C33">
        <v>307</v>
      </c>
      <c r="D33">
        <v>25</v>
      </c>
      <c r="E33">
        <v>21</v>
      </c>
      <c r="F33">
        <v>2048.9699999999998</v>
      </c>
      <c r="G33">
        <v>6.8404000000000006E-2</v>
      </c>
      <c r="H33">
        <v>9</v>
      </c>
      <c r="I33">
        <v>9</v>
      </c>
      <c r="J33">
        <v>5</v>
      </c>
      <c r="K33">
        <v>5</v>
      </c>
      <c r="L33">
        <v>1</v>
      </c>
      <c r="M33">
        <v>5</v>
      </c>
      <c r="N33">
        <v>4</v>
      </c>
      <c r="O33">
        <v>3</v>
      </c>
      <c r="P33" t="s">
        <v>85</v>
      </c>
    </row>
    <row r="34" spans="1:16" x14ac:dyDescent="0.3">
      <c r="A34">
        <v>7</v>
      </c>
      <c r="B34">
        <v>2023</v>
      </c>
      <c r="C34">
        <v>1308</v>
      </c>
      <c r="D34">
        <v>126</v>
      </c>
      <c r="E34">
        <v>100</v>
      </c>
      <c r="F34">
        <v>4483.95</v>
      </c>
      <c r="G34">
        <v>7.6452999999999993E-2</v>
      </c>
      <c r="H34">
        <v>23</v>
      </c>
      <c r="I34">
        <v>41</v>
      </c>
      <c r="J34">
        <v>17</v>
      </c>
      <c r="K34">
        <v>11</v>
      </c>
      <c r="L34">
        <v>1</v>
      </c>
      <c r="M34">
        <v>5</v>
      </c>
      <c r="N34">
        <v>9</v>
      </c>
      <c r="O34">
        <v>4</v>
      </c>
      <c r="P34" t="s">
        <v>85</v>
      </c>
    </row>
    <row r="35" spans="1:16" x14ac:dyDescent="0.3">
      <c r="A35">
        <v>7</v>
      </c>
      <c r="B35">
        <v>2024</v>
      </c>
      <c r="C35">
        <v>979</v>
      </c>
      <c r="D35">
        <v>45</v>
      </c>
      <c r="E35">
        <v>35</v>
      </c>
      <c r="F35">
        <v>1568.86</v>
      </c>
      <c r="G35">
        <v>3.5750999999999998E-2</v>
      </c>
      <c r="H35">
        <v>9</v>
      </c>
      <c r="I35">
        <v>19</v>
      </c>
      <c r="J35">
        <v>6</v>
      </c>
      <c r="K35">
        <v>7</v>
      </c>
      <c r="L35">
        <v>0</v>
      </c>
      <c r="M35">
        <v>3</v>
      </c>
      <c r="N35">
        <v>3</v>
      </c>
      <c r="O35">
        <v>2</v>
      </c>
      <c r="P35" t="s">
        <v>175</v>
      </c>
    </row>
    <row r="36" spans="1:16" x14ac:dyDescent="0.3">
      <c r="A36">
        <v>7</v>
      </c>
      <c r="B36">
        <v>2025</v>
      </c>
      <c r="C36">
        <v>1215</v>
      </c>
      <c r="D36">
        <v>72</v>
      </c>
      <c r="E36">
        <v>52</v>
      </c>
      <c r="F36">
        <v>5371.71</v>
      </c>
      <c r="G36">
        <v>4.2798000000000003E-2</v>
      </c>
      <c r="H36">
        <v>17</v>
      </c>
      <c r="I36">
        <v>35</v>
      </c>
      <c r="J36">
        <v>7</v>
      </c>
      <c r="K36">
        <v>7</v>
      </c>
      <c r="L36">
        <v>1</v>
      </c>
      <c r="M36">
        <v>5</v>
      </c>
      <c r="N36">
        <v>5</v>
      </c>
      <c r="O36">
        <v>5</v>
      </c>
      <c r="P36" t="s">
        <v>85</v>
      </c>
    </row>
    <row r="37" spans="1:16" x14ac:dyDescent="0.3">
      <c r="A37">
        <v>8</v>
      </c>
      <c r="B37">
        <v>2021</v>
      </c>
      <c r="C37">
        <v>575</v>
      </c>
      <c r="D37">
        <v>47</v>
      </c>
      <c r="E37">
        <v>38</v>
      </c>
      <c r="F37">
        <v>2474.85</v>
      </c>
      <c r="G37">
        <v>6.6087000000000007E-2</v>
      </c>
      <c r="H37">
        <v>8</v>
      </c>
      <c r="I37">
        <v>16</v>
      </c>
      <c r="J37">
        <v>8</v>
      </c>
      <c r="K37">
        <v>5</v>
      </c>
      <c r="L37">
        <v>1</v>
      </c>
      <c r="M37">
        <v>5</v>
      </c>
      <c r="N37">
        <v>3</v>
      </c>
      <c r="O37">
        <v>4</v>
      </c>
      <c r="P37" t="s">
        <v>85</v>
      </c>
    </row>
    <row r="38" spans="1:16" x14ac:dyDescent="0.3">
      <c r="A38">
        <v>8</v>
      </c>
      <c r="B38">
        <v>2022</v>
      </c>
      <c r="C38">
        <v>346</v>
      </c>
      <c r="D38">
        <v>17</v>
      </c>
      <c r="E38">
        <v>15</v>
      </c>
      <c r="F38">
        <v>586.4</v>
      </c>
      <c r="G38">
        <v>4.3353000000000003E-2</v>
      </c>
      <c r="H38">
        <v>13</v>
      </c>
      <c r="I38">
        <v>13</v>
      </c>
      <c r="J38">
        <v>2</v>
      </c>
      <c r="K38">
        <v>4</v>
      </c>
      <c r="L38">
        <v>0</v>
      </c>
      <c r="M38">
        <v>1</v>
      </c>
      <c r="N38">
        <v>2</v>
      </c>
      <c r="O38">
        <v>1</v>
      </c>
      <c r="P38" t="s">
        <v>68</v>
      </c>
    </row>
    <row r="39" spans="1:16" x14ac:dyDescent="0.3">
      <c r="A39">
        <v>8</v>
      </c>
      <c r="B39">
        <v>2023</v>
      </c>
      <c r="C39">
        <v>1504</v>
      </c>
      <c r="D39">
        <v>117</v>
      </c>
      <c r="E39">
        <v>94</v>
      </c>
      <c r="F39">
        <v>9386.99</v>
      </c>
      <c r="G39">
        <v>6.25E-2</v>
      </c>
      <c r="H39">
        <v>23</v>
      </c>
      <c r="I39">
        <v>45</v>
      </c>
      <c r="J39">
        <v>14</v>
      </c>
      <c r="K39">
        <v>12</v>
      </c>
      <c r="L39">
        <v>1</v>
      </c>
      <c r="M39">
        <v>7</v>
      </c>
      <c r="N39">
        <v>8</v>
      </c>
      <c r="O39">
        <v>6</v>
      </c>
      <c r="P39" t="s">
        <v>85</v>
      </c>
    </row>
    <row r="40" spans="1:16" x14ac:dyDescent="0.3">
      <c r="A40">
        <v>8</v>
      </c>
      <c r="B40">
        <v>2024</v>
      </c>
      <c r="C40">
        <v>862</v>
      </c>
      <c r="D40">
        <v>80</v>
      </c>
      <c r="E40">
        <v>73</v>
      </c>
      <c r="F40">
        <v>5984.42</v>
      </c>
      <c r="G40">
        <v>8.4686999999999998E-2</v>
      </c>
      <c r="H40">
        <v>26</v>
      </c>
      <c r="I40">
        <v>29</v>
      </c>
      <c r="J40">
        <v>10</v>
      </c>
      <c r="K40">
        <v>11</v>
      </c>
      <c r="L40">
        <v>1</v>
      </c>
      <c r="M40">
        <v>5</v>
      </c>
      <c r="N40">
        <v>6</v>
      </c>
      <c r="O40">
        <v>2</v>
      </c>
      <c r="P40" t="s">
        <v>85</v>
      </c>
    </row>
    <row r="41" spans="1:16" x14ac:dyDescent="0.3">
      <c r="A41">
        <v>9</v>
      </c>
      <c r="B41">
        <v>2021</v>
      </c>
      <c r="C41">
        <v>892</v>
      </c>
      <c r="D41">
        <v>47</v>
      </c>
      <c r="E41">
        <v>38</v>
      </c>
      <c r="F41">
        <v>3271.85</v>
      </c>
      <c r="G41">
        <v>4.2601E-2</v>
      </c>
      <c r="H41">
        <v>13</v>
      </c>
      <c r="I41">
        <v>24</v>
      </c>
      <c r="J41">
        <v>8</v>
      </c>
      <c r="K41">
        <v>3</v>
      </c>
      <c r="L41">
        <v>1</v>
      </c>
      <c r="M41">
        <v>2</v>
      </c>
      <c r="N41">
        <v>3</v>
      </c>
      <c r="O41">
        <v>3</v>
      </c>
      <c r="P41" t="s">
        <v>68</v>
      </c>
    </row>
    <row r="42" spans="1:16" x14ac:dyDescent="0.3">
      <c r="A42">
        <v>9</v>
      </c>
      <c r="B42">
        <v>2022</v>
      </c>
      <c r="C42">
        <v>1418</v>
      </c>
      <c r="D42">
        <v>134</v>
      </c>
      <c r="E42">
        <v>120</v>
      </c>
      <c r="F42">
        <v>10515.14</v>
      </c>
      <c r="G42">
        <v>8.4626000000000007E-2</v>
      </c>
      <c r="H42">
        <v>32</v>
      </c>
      <c r="I42">
        <v>45</v>
      </c>
      <c r="J42">
        <v>15</v>
      </c>
      <c r="K42">
        <v>11</v>
      </c>
      <c r="L42">
        <v>1</v>
      </c>
      <c r="M42">
        <v>5</v>
      </c>
      <c r="N42">
        <v>6</v>
      </c>
      <c r="O42">
        <v>8</v>
      </c>
      <c r="P42" t="s">
        <v>85</v>
      </c>
    </row>
    <row r="43" spans="1:16" x14ac:dyDescent="0.3">
      <c r="A43">
        <v>9</v>
      </c>
      <c r="B43">
        <v>2023</v>
      </c>
      <c r="C43">
        <v>1304</v>
      </c>
      <c r="D43">
        <v>116</v>
      </c>
      <c r="E43">
        <v>91</v>
      </c>
      <c r="F43">
        <v>4173.96</v>
      </c>
      <c r="G43">
        <v>6.9785E-2</v>
      </c>
      <c r="H43">
        <v>11</v>
      </c>
      <c r="I43">
        <v>37</v>
      </c>
      <c r="J43">
        <v>22</v>
      </c>
      <c r="K43">
        <v>5</v>
      </c>
      <c r="L43">
        <v>0</v>
      </c>
      <c r="M43">
        <v>2</v>
      </c>
      <c r="N43">
        <v>3</v>
      </c>
      <c r="O43">
        <v>4</v>
      </c>
      <c r="P43" t="s">
        <v>68</v>
      </c>
    </row>
    <row r="44" spans="1:16" x14ac:dyDescent="0.3">
      <c r="A44">
        <v>9</v>
      </c>
      <c r="B44">
        <v>2024</v>
      </c>
      <c r="C44">
        <v>891</v>
      </c>
      <c r="D44">
        <v>57</v>
      </c>
      <c r="E44">
        <v>54</v>
      </c>
      <c r="F44">
        <v>4553.0200000000004</v>
      </c>
      <c r="G44">
        <v>6.0606E-2</v>
      </c>
      <c r="H44">
        <v>14</v>
      </c>
      <c r="I44">
        <v>25</v>
      </c>
      <c r="J44">
        <v>10</v>
      </c>
      <c r="K44">
        <v>7</v>
      </c>
      <c r="L44">
        <v>0</v>
      </c>
      <c r="M44">
        <v>2</v>
      </c>
      <c r="N44">
        <v>2</v>
      </c>
      <c r="O44">
        <v>1</v>
      </c>
      <c r="P44" t="s">
        <v>175</v>
      </c>
    </row>
    <row r="45" spans="1:16" x14ac:dyDescent="0.3">
      <c r="A45">
        <v>9</v>
      </c>
      <c r="B45">
        <v>2025</v>
      </c>
      <c r="C45">
        <v>1086</v>
      </c>
      <c r="D45">
        <v>109</v>
      </c>
      <c r="E45">
        <v>89</v>
      </c>
      <c r="F45">
        <v>9879.52</v>
      </c>
      <c r="G45">
        <v>8.1951999999999997E-2</v>
      </c>
      <c r="H45">
        <v>31</v>
      </c>
      <c r="I45">
        <v>35</v>
      </c>
      <c r="J45">
        <v>12</v>
      </c>
      <c r="K45">
        <v>15</v>
      </c>
      <c r="L45">
        <v>1</v>
      </c>
      <c r="M45">
        <v>7</v>
      </c>
      <c r="N45">
        <v>8</v>
      </c>
      <c r="O45">
        <v>8</v>
      </c>
      <c r="P45" t="s">
        <v>85</v>
      </c>
    </row>
    <row r="46" spans="1:16" x14ac:dyDescent="0.3">
      <c r="A46">
        <v>10</v>
      </c>
      <c r="B46">
        <v>2021</v>
      </c>
      <c r="C46">
        <v>1054</v>
      </c>
      <c r="D46">
        <v>64</v>
      </c>
      <c r="E46">
        <v>49</v>
      </c>
      <c r="F46">
        <v>4827.25</v>
      </c>
      <c r="G46">
        <v>4.6489999999999997E-2</v>
      </c>
      <c r="H46">
        <v>19</v>
      </c>
      <c r="I46">
        <v>23</v>
      </c>
      <c r="J46">
        <v>8</v>
      </c>
      <c r="K46">
        <v>9</v>
      </c>
      <c r="L46">
        <v>0</v>
      </c>
      <c r="M46">
        <v>3</v>
      </c>
      <c r="N46">
        <v>3</v>
      </c>
      <c r="O46">
        <v>4</v>
      </c>
      <c r="P46" t="s">
        <v>175</v>
      </c>
    </row>
    <row r="47" spans="1:16" x14ac:dyDescent="0.3">
      <c r="A47">
        <v>10</v>
      </c>
      <c r="B47">
        <v>2022</v>
      </c>
      <c r="C47">
        <v>1476</v>
      </c>
      <c r="D47">
        <v>149</v>
      </c>
      <c r="E47">
        <v>141</v>
      </c>
      <c r="F47">
        <v>15099.72</v>
      </c>
      <c r="G47">
        <v>9.5528000000000002E-2</v>
      </c>
      <c r="H47">
        <v>31</v>
      </c>
      <c r="I47">
        <v>46</v>
      </c>
      <c r="J47">
        <v>16</v>
      </c>
      <c r="K47">
        <v>11</v>
      </c>
      <c r="L47">
        <v>1</v>
      </c>
      <c r="M47">
        <v>6</v>
      </c>
      <c r="N47">
        <v>9</v>
      </c>
      <c r="O47">
        <v>10</v>
      </c>
      <c r="P47" t="s">
        <v>85</v>
      </c>
    </row>
    <row r="48" spans="1:16" x14ac:dyDescent="0.3">
      <c r="A48">
        <v>10</v>
      </c>
      <c r="B48">
        <v>2023</v>
      </c>
      <c r="C48">
        <v>733</v>
      </c>
      <c r="D48">
        <v>48</v>
      </c>
      <c r="E48">
        <v>40</v>
      </c>
      <c r="F48">
        <v>1448.88</v>
      </c>
      <c r="G48">
        <v>5.457E-2</v>
      </c>
      <c r="H48">
        <v>21</v>
      </c>
      <c r="I48">
        <v>21</v>
      </c>
      <c r="J48">
        <v>5</v>
      </c>
      <c r="K48">
        <v>8</v>
      </c>
      <c r="L48">
        <v>0</v>
      </c>
      <c r="M48">
        <v>1</v>
      </c>
      <c r="N48">
        <v>6</v>
      </c>
      <c r="O48">
        <v>3</v>
      </c>
      <c r="P48" t="s">
        <v>175</v>
      </c>
    </row>
    <row r="49" spans="1:16" x14ac:dyDescent="0.3">
      <c r="A49">
        <v>10</v>
      </c>
      <c r="B49">
        <v>2024</v>
      </c>
      <c r="C49">
        <v>483</v>
      </c>
      <c r="D49">
        <v>41</v>
      </c>
      <c r="E49">
        <v>31</v>
      </c>
      <c r="F49">
        <v>1964.53</v>
      </c>
      <c r="G49">
        <v>6.4182000000000003E-2</v>
      </c>
      <c r="H49">
        <v>20</v>
      </c>
      <c r="I49">
        <v>20</v>
      </c>
      <c r="J49">
        <v>9</v>
      </c>
      <c r="K49">
        <v>11</v>
      </c>
      <c r="L49">
        <v>1</v>
      </c>
      <c r="M49">
        <v>7</v>
      </c>
      <c r="N49">
        <v>6</v>
      </c>
      <c r="O49">
        <v>1</v>
      </c>
      <c r="P49" t="s">
        <v>85</v>
      </c>
    </row>
    <row r="50" spans="1:16" x14ac:dyDescent="0.3">
      <c r="A50">
        <v>10</v>
      </c>
      <c r="B50">
        <v>2025</v>
      </c>
      <c r="C50">
        <v>1898</v>
      </c>
      <c r="D50">
        <v>207</v>
      </c>
      <c r="E50">
        <v>176</v>
      </c>
      <c r="F50">
        <v>14201.85</v>
      </c>
      <c r="G50">
        <v>9.2729000000000006E-2</v>
      </c>
      <c r="H50">
        <v>41</v>
      </c>
      <c r="I50">
        <v>69</v>
      </c>
      <c r="J50">
        <v>22</v>
      </c>
      <c r="K50">
        <v>15</v>
      </c>
      <c r="L50">
        <v>1</v>
      </c>
      <c r="M50">
        <v>5</v>
      </c>
      <c r="N50">
        <v>8</v>
      </c>
      <c r="O50">
        <v>9</v>
      </c>
      <c r="P50" t="s">
        <v>85</v>
      </c>
    </row>
    <row r="51" spans="1:16" x14ac:dyDescent="0.3">
      <c r="A51">
        <v>11</v>
      </c>
      <c r="B51">
        <v>2022</v>
      </c>
      <c r="C51">
        <v>965</v>
      </c>
      <c r="D51">
        <v>55</v>
      </c>
      <c r="E51">
        <v>42</v>
      </c>
      <c r="F51">
        <v>2247.85</v>
      </c>
      <c r="G51">
        <v>4.3522999999999999E-2</v>
      </c>
      <c r="H51">
        <v>14</v>
      </c>
      <c r="I51">
        <v>19</v>
      </c>
      <c r="J51">
        <v>6</v>
      </c>
      <c r="K51">
        <v>7</v>
      </c>
      <c r="L51">
        <v>1</v>
      </c>
      <c r="M51">
        <v>4</v>
      </c>
      <c r="N51">
        <v>5</v>
      </c>
      <c r="O51">
        <v>2</v>
      </c>
      <c r="P51" t="s">
        <v>85</v>
      </c>
    </row>
    <row r="52" spans="1:16" x14ac:dyDescent="0.3">
      <c r="A52">
        <v>11</v>
      </c>
      <c r="B52">
        <v>2023</v>
      </c>
      <c r="C52">
        <v>862</v>
      </c>
      <c r="D52">
        <v>68</v>
      </c>
      <c r="E52">
        <v>62</v>
      </c>
      <c r="F52">
        <v>5774.28</v>
      </c>
      <c r="G52">
        <v>7.1926000000000004E-2</v>
      </c>
      <c r="H52">
        <v>18</v>
      </c>
      <c r="I52">
        <v>22</v>
      </c>
      <c r="J52">
        <v>10</v>
      </c>
      <c r="K52">
        <v>5</v>
      </c>
      <c r="L52">
        <v>0</v>
      </c>
      <c r="M52">
        <v>2</v>
      </c>
      <c r="N52">
        <v>3</v>
      </c>
      <c r="O52">
        <v>4</v>
      </c>
      <c r="P52" t="s">
        <v>68</v>
      </c>
    </row>
    <row r="53" spans="1:16" x14ac:dyDescent="0.3">
      <c r="A53">
        <v>11</v>
      </c>
      <c r="B53">
        <v>2024</v>
      </c>
      <c r="C53">
        <v>1441</v>
      </c>
      <c r="D53">
        <v>92</v>
      </c>
      <c r="E53">
        <v>88</v>
      </c>
      <c r="F53">
        <v>5349.04</v>
      </c>
      <c r="G53">
        <v>6.1068999999999998E-2</v>
      </c>
      <c r="H53">
        <v>35</v>
      </c>
      <c r="I53">
        <v>40</v>
      </c>
      <c r="J53">
        <v>13</v>
      </c>
      <c r="K53">
        <v>15</v>
      </c>
      <c r="L53">
        <v>0</v>
      </c>
      <c r="M53">
        <v>4</v>
      </c>
      <c r="N53">
        <v>5</v>
      </c>
      <c r="O53">
        <v>5</v>
      </c>
      <c r="P53" t="s">
        <v>175</v>
      </c>
    </row>
    <row r="54" spans="1:16" x14ac:dyDescent="0.3">
      <c r="A54">
        <v>11</v>
      </c>
      <c r="B54">
        <v>2025</v>
      </c>
      <c r="C54">
        <v>316</v>
      </c>
      <c r="D54">
        <v>20</v>
      </c>
      <c r="E54">
        <v>16</v>
      </c>
      <c r="F54">
        <v>1364.43</v>
      </c>
      <c r="G54">
        <v>5.0632999999999997E-2</v>
      </c>
      <c r="H54">
        <v>7</v>
      </c>
      <c r="I54">
        <v>13</v>
      </c>
      <c r="J54">
        <v>5</v>
      </c>
      <c r="K54">
        <v>4</v>
      </c>
      <c r="L54">
        <v>1</v>
      </c>
      <c r="M54">
        <v>4</v>
      </c>
      <c r="N54">
        <v>3</v>
      </c>
      <c r="O54">
        <v>2</v>
      </c>
      <c r="P54" t="s">
        <v>68</v>
      </c>
    </row>
    <row r="55" spans="1:16" x14ac:dyDescent="0.3">
      <c r="A55">
        <v>12</v>
      </c>
      <c r="B55">
        <v>2021</v>
      </c>
      <c r="C55">
        <v>1863</v>
      </c>
      <c r="D55">
        <v>169</v>
      </c>
      <c r="E55">
        <v>126</v>
      </c>
      <c r="F55">
        <v>5399.95</v>
      </c>
      <c r="G55">
        <v>6.7632999999999999E-2</v>
      </c>
      <c r="H55">
        <v>41</v>
      </c>
      <c r="I55">
        <v>61</v>
      </c>
      <c r="J55">
        <v>13</v>
      </c>
      <c r="K55">
        <v>21</v>
      </c>
      <c r="L55">
        <v>1</v>
      </c>
      <c r="M55">
        <v>6</v>
      </c>
      <c r="N55">
        <v>9</v>
      </c>
      <c r="O55">
        <v>6</v>
      </c>
      <c r="P55" t="s">
        <v>85</v>
      </c>
    </row>
    <row r="56" spans="1:16" x14ac:dyDescent="0.3">
      <c r="A56">
        <v>12</v>
      </c>
      <c r="B56">
        <v>2022</v>
      </c>
      <c r="C56">
        <v>1012</v>
      </c>
      <c r="D56">
        <v>48</v>
      </c>
      <c r="E56">
        <v>42</v>
      </c>
      <c r="F56">
        <v>2101.9499999999998</v>
      </c>
      <c r="G56">
        <v>4.1501999999999997E-2</v>
      </c>
      <c r="H56">
        <v>15</v>
      </c>
      <c r="I56">
        <v>18</v>
      </c>
      <c r="J56">
        <v>8</v>
      </c>
      <c r="K56">
        <v>6</v>
      </c>
      <c r="L56">
        <v>0</v>
      </c>
      <c r="M56">
        <v>1</v>
      </c>
      <c r="N56">
        <v>4</v>
      </c>
      <c r="O56">
        <v>2</v>
      </c>
      <c r="P56" t="s">
        <v>175</v>
      </c>
    </row>
    <row r="57" spans="1:16" x14ac:dyDescent="0.3">
      <c r="A57">
        <v>12</v>
      </c>
      <c r="B57">
        <v>2023</v>
      </c>
      <c r="C57">
        <v>1164</v>
      </c>
      <c r="D57">
        <v>113</v>
      </c>
      <c r="E57">
        <v>103</v>
      </c>
      <c r="F57">
        <v>6600.73</v>
      </c>
      <c r="G57">
        <v>8.8487999999999997E-2</v>
      </c>
      <c r="H57">
        <v>22</v>
      </c>
      <c r="I57">
        <v>35</v>
      </c>
      <c r="J57">
        <v>16</v>
      </c>
      <c r="K57">
        <v>12</v>
      </c>
      <c r="L57">
        <v>1</v>
      </c>
      <c r="M57">
        <v>6</v>
      </c>
      <c r="N57">
        <v>9</v>
      </c>
      <c r="O57">
        <v>7</v>
      </c>
      <c r="P57" t="s">
        <v>85</v>
      </c>
    </row>
    <row r="58" spans="1:16" x14ac:dyDescent="0.3">
      <c r="A58">
        <v>12</v>
      </c>
      <c r="B58">
        <v>2025</v>
      </c>
      <c r="C58">
        <v>1045</v>
      </c>
      <c r="D58">
        <v>92</v>
      </c>
      <c r="E58">
        <v>71</v>
      </c>
      <c r="F58">
        <v>6332.21</v>
      </c>
      <c r="G58">
        <v>6.7943000000000003E-2</v>
      </c>
      <c r="H58">
        <v>30</v>
      </c>
      <c r="I58">
        <v>38</v>
      </c>
      <c r="J58">
        <v>9</v>
      </c>
      <c r="K58">
        <v>13</v>
      </c>
      <c r="L58">
        <v>1</v>
      </c>
      <c r="M58">
        <v>5</v>
      </c>
      <c r="N58">
        <v>9</v>
      </c>
      <c r="O58">
        <v>6</v>
      </c>
      <c r="P58" t="s">
        <v>85</v>
      </c>
    </row>
    <row r="59" spans="1:16" x14ac:dyDescent="0.3">
      <c r="A59">
        <v>13</v>
      </c>
      <c r="B59">
        <v>2021</v>
      </c>
      <c r="C59">
        <v>241</v>
      </c>
      <c r="D59">
        <v>24</v>
      </c>
      <c r="E59">
        <v>19</v>
      </c>
      <c r="F59">
        <v>2150.92</v>
      </c>
      <c r="G59">
        <v>7.8838000000000005E-2</v>
      </c>
      <c r="H59">
        <v>15</v>
      </c>
      <c r="I59">
        <v>16</v>
      </c>
      <c r="J59">
        <v>7</v>
      </c>
      <c r="K59">
        <v>6</v>
      </c>
      <c r="L59">
        <v>0</v>
      </c>
      <c r="M59">
        <v>1</v>
      </c>
      <c r="N59">
        <v>4</v>
      </c>
      <c r="O59">
        <v>1</v>
      </c>
      <c r="P59" t="s">
        <v>85</v>
      </c>
    </row>
    <row r="60" spans="1:16" x14ac:dyDescent="0.3">
      <c r="A60">
        <v>13</v>
      </c>
      <c r="B60">
        <v>2022</v>
      </c>
      <c r="C60">
        <v>333</v>
      </c>
      <c r="D60">
        <v>24</v>
      </c>
      <c r="E60">
        <v>19</v>
      </c>
      <c r="F60">
        <v>1393.13</v>
      </c>
      <c r="G60">
        <v>5.7056999999999997E-2</v>
      </c>
      <c r="H60">
        <v>9</v>
      </c>
      <c r="I60">
        <v>9</v>
      </c>
      <c r="J60">
        <v>6</v>
      </c>
      <c r="K60">
        <v>5</v>
      </c>
      <c r="L60">
        <v>0</v>
      </c>
      <c r="M60">
        <v>1</v>
      </c>
      <c r="N60">
        <v>3</v>
      </c>
      <c r="O60">
        <v>1</v>
      </c>
      <c r="P60" t="s">
        <v>68</v>
      </c>
    </row>
    <row r="61" spans="1:16" x14ac:dyDescent="0.3">
      <c r="A61">
        <v>13</v>
      </c>
      <c r="B61">
        <v>2023</v>
      </c>
      <c r="C61">
        <v>991</v>
      </c>
      <c r="D61">
        <v>59</v>
      </c>
      <c r="E61">
        <v>45</v>
      </c>
      <c r="F61">
        <v>2492.59</v>
      </c>
      <c r="G61">
        <v>4.5408999999999998E-2</v>
      </c>
      <c r="H61">
        <v>19</v>
      </c>
      <c r="I61">
        <v>28</v>
      </c>
      <c r="J61">
        <v>8</v>
      </c>
      <c r="K61">
        <v>11</v>
      </c>
      <c r="L61">
        <v>1</v>
      </c>
      <c r="M61">
        <v>2</v>
      </c>
      <c r="N61">
        <v>6</v>
      </c>
      <c r="O61">
        <v>1</v>
      </c>
      <c r="P61" t="s">
        <v>85</v>
      </c>
    </row>
    <row r="62" spans="1:16" x14ac:dyDescent="0.3">
      <c r="A62">
        <v>13</v>
      </c>
      <c r="B62">
        <v>2024</v>
      </c>
      <c r="C62">
        <v>676</v>
      </c>
      <c r="D62">
        <v>71</v>
      </c>
      <c r="E62">
        <v>67</v>
      </c>
      <c r="F62">
        <v>5673.45</v>
      </c>
      <c r="G62">
        <v>9.9112000000000006E-2</v>
      </c>
      <c r="H62">
        <v>39</v>
      </c>
      <c r="I62">
        <v>39</v>
      </c>
      <c r="J62">
        <v>9</v>
      </c>
      <c r="K62">
        <v>21</v>
      </c>
      <c r="L62">
        <v>1</v>
      </c>
      <c r="M62">
        <v>6</v>
      </c>
      <c r="N62">
        <v>11</v>
      </c>
      <c r="O62">
        <v>4</v>
      </c>
      <c r="P62" t="s">
        <v>85</v>
      </c>
    </row>
    <row r="63" spans="1:16" x14ac:dyDescent="0.3">
      <c r="A63">
        <v>13</v>
      </c>
      <c r="B63">
        <v>2025</v>
      </c>
      <c r="C63">
        <v>334</v>
      </c>
      <c r="D63">
        <v>29</v>
      </c>
      <c r="E63">
        <v>26</v>
      </c>
      <c r="F63">
        <v>2191.79</v>
      </c>
      <c r="G63">
        <v>7.7843999999999997E-2</v>
      </c>
      <c r="H63">
        <v>18</v>
      </c>
      <c r="I63">
        <v>18</v>
      </c>
      <c r="J63">
        <v>4</v>
      </c>
      <c r="K63">
        <v>8</v>
      </c>
      <c r="L63">
        <v>1</v>
      </c>
      <c r="M63">
        <v>5</v>
      </c>
      <c r="N63">
        <v>5</v>
      </c>
      <c r="O63">
        <v>3</v>
      </c>
      <c r="P63" t="s">
        <v>85</v>
      </c>
    </row>
    <row r="64" spans="1:16" x14ac:dyDescent="0.3">
      <c r="A64">
        <v>14</v>
      </c>
      <c r="B64">
        <v>2021</v>
      </c>
      <c r="C64">
        <v>551</v>
      </c>
      <c r="D64">
        <v>35</v>
      </c>
      <c r="E64">
        <v>26</v>
      </c>
      <c r="F64">
        <v>1241.72</v>
      </c>
      <c r="G64">
        <v>4.7187E-2</v>
      </c>
      <c r="H64">
        <v>7</v>
      </c>
      <c r="I64">
        <v>21</v>
      </c>
      <c r="J64">
        <v>5</v>
      </c>
      <c r="K64">
        <v>6</v>
      </c>
      <c r="L64">
        <v>1</v>
      </c>
      <c r="M64">
        <v>6</v>
      </c>
      <c r="N64">
        <v>3</v>
      </c>
      <c r="O64">
        <v>3</v>
      </c>
      <c r="P64" t="s">
        <v>85</v>
      </c>
    </row>
    <row r="65" spans="1:16" x14ac:dyDescent="0.3">
      <c r="A65">
        <v>14</v>
      </c>
      <c r="B65">
        <v>2022</v>
      </c>
      <c r="C65">
        <v>2394</v>
      </c>
      <c r="D65">
        <v>202</v>
      </c>
      <c r="E65">
        <v>164</v>
      </c>
      <c r="F65">
        <v>13403.72</v>
      </c>
      <c r="G65">
        <v>6.8504999999999996E-2</v>
      </c>
      <c r="H65">
        <v>20</v>
      </c>
      <c r="I65">
        <v>67</v>
      </c>
      <c r="J65">
        <v>19</v>
      </c>
      <c r="K65">
        <v>12</v>
      </c>
      <c r="L65">
        <v>1</v>
      </c>
      <c r="M65">
        <v>6</v>
      </c>
      <c r="N65">
        <v>6</v>
      </c>
      <c r="O65">
        <v>4</v>
      </c>
      <c r="P65" t="s">
        <v>85</v>
      </c>
    </row>
    <row r="66" spans="1:16" x14ac:dyDescent="0.3">
      <c r="A66">
        <v>14</v>
      </c>
      <c r="B66">
        <v>2023</v>
      </c>
      <c r="C66">
        <v>80</v>
      </c>
      <c r="D66">
        <v>3</v>
      </c>
      <c r="E66">
        <v>2</v>
      </c>
      <c r="F66">
        <v>61.41</v>
      </c>
      <c r="G66">
        <v>2.5000000000000001E-2</v>
      </c>
      <c r="H66">
        <v>4</v>
      </c>
      <c r="I66">
        <v>10</v>
      </c>
      <c r="J66">
        <v>1</v>
      </c>
      <c r="K66">
        <v>1</v>
      </c>
      <c r="L66">
        <v>0</v>
      </c>
      <c r="M66">
        <v>0</v>
      </c>
      <c r="N66">
        <v>1</v>
      </c>
      <c r="O66">
        <v>0</v>
      </c>
      <c r="P66" t="s">
        <v>176</v>
      </c>
    </row>
    <row r="67" spans="1:16" x14ac:dyDescent="0.3">
      <c r="A67">
        <v>14</v>
      </c>
      <c r="B67">
        <v>2024</v>
      </c>
      <c r="C67">
        <v>421</v>
      </c>
      <c r="D67">
        <v>19</v>
      </c>
      <c r="E67">
        <v>15</v>
      </c>
      <c r="F67">
        <v>1390.97</v>
      </c>
      <c r="G67">
        <v>3.5629000000000001E-2</v>
      </c>
      <c r="H67">
        <v>8</v>
      </c>
      <c r="I67">
        <v>14</v>
      </c>
      <c r="J67">
        <v>2</v>
      </c>
      <c r="K67">
        <v>6</v>
      </c>
      <c r="L67">
        <v>0</v>
      </c>
      <c r="M67">
        <v>2</v>
      </c>
      <c r="N67">
        <v>2</v>
      </c>
      <c r="O67">
        <v>1</v>
      </c>
      <c r="P67" t="s">
        <v>175</v>
      </c>
    </row>
    <row r="68" spans="1:16" x14ac:dyDescent="0.3">
      <c r="A68">
        <v>14</v>
      </c>
      <c r="B68">
        <v>2025</v>
      </c>
      <c r="C68">
        <v>860</v>
      </c>
      <c r="D68">
        <v>54</v>
      </c>
      <c r="E68">
        <v>39</v>
      </c>
      <c r="F68">
        <v>1950.97</v>
      </c>
      <c r="G68">
        <v>4.5349E-2</v>
      </c>
      <c r="H68">
        <v>23</v>
      </c>
      <c r="I68">
        <v>23</v>
      </c>
      <c r="J68">
        <v>6</v>
      </c>
      <c r="K68">
        <v>11</v>
      </c>
      <c r="L68">
        <v>0</v>
      </c>
      <c r="M68">
        <v>3</v>
      </c>
      <c r="N68">
        <v>5</v>
      </c>
      <c r="O68">
        <v>2</v>
      </c>
      <c r="P68" t="s">
        <v>175</v>
      </c>
    </row>
    <row r="69" spans="1:16" x14ac:dyDescent="0.3">
      <c r="A69">
        <v>15</v>
      </c>
      <c r="B69">
        <v>2021</v>
      </c>
      <c r="C69">
        <v>623</v>
      </c>
      <c r="D69">
        <v>36</v>
      </c>
      <c r="E69">
        <v>32</v>
      </c>
      <c r="F69">
        <v>1677.46</v>
      </c>
      <c r="G69">
        <v>5.1364E-2</v>
      </c>
      <c r="H69">
        <v>10</v>
      </c>
      <c r="I69">
        <v>12</v>
      </c>
      <c r="J69">
        <v>5</v>
      </c>
      <c r="K69">
        <v>6</v>
      </c>
      <c r="L69">
        <v>0</v>
      </c>
      <c r="M69">
        <v>1</v>
      </c>
      <c r="N69">
        <v>3</v>
      </c>
      <c r="O69">
        <v>1</v>
      </c>
      <c r="P69" t="s">
        <v>175</v>
      </c>
    </row>
    <row r="70" spans="1:16" x14ac:dyDescent="0.3">
      <c r="A70">
        <v>15</v>
      </c>
      <c r="B70">
        <v>2022</v>
      </c>
      <c r="C70">
        <v>1095</v>
      </c>
      <c r="D70">
        <v>78</v>
      </c>
      <c r="E70">
        <v>63</v>
      </c>
      <c r="F70">
        <v>3552.25</v>
      </c>
      <c r="G70">
        <v>5.7534000000000002E-2</v>
      </c>
      <c r="H70">
        <v>11</v>
      </c>
      <c r="I70">
        <v>27</v>
      </c>
      <c r="J70">
        <v>15</v>
      </c>
      <c r="K70">
        <v>6</v>
      </c>
      <c r="L70">
        <v>1</v>
      </c>
      <c r="M70">
        <v>5</v>
      </c>
      <c r="N70">
        <v>4</v>
      </c>
      <c r="O70">
        <v>3</v>
      </c>
      <c r="P70" t="s">
        <v>85</v>
      </c>
    </row>
    <row r="71" spans="1:16" x14ac:dyDescent="0.3">
      <c r="A71">
        <v>15</v>
      </c>
      <c r="B71">
        <v>2023</v>
      </c>
      <c r="C71">
        <v>1671</v>
      </c>
      <c r="D71">
        <v>108</v>
      </c>
      <c r="E71">
        <v>80</v>
      </c>
      <c r="F71">
        <v>4045.77</v>
      </c>
      <c r="G71">
        <v>4.7876000000000002E-2</v>
      </c>
      <c r="H71">
        <v>17</v>
      </c>
      <c r="I71">
        <v>42</v>
      </c>
      <c r="J71">
        <v>15</v>
      </c>
      <c r="K71">
        <v>7</v>
      </c>
      <c r="L71">
        <v>1</v>
      </c>
      <c r="M71">
        <v>4</v>
      </c>
      <c r="N71">
        <v>5</v>
      </c>
      <c r="O71">
        <v>4</v>
      </c>
      <c r="P71" t="s">
        <v>85</v>
      </c>
    </row>
    <row r="72" spans="1:16" x14ac:dyDescent="0.3">
      <c r="A72">
        <v>15</v>
      </c>
      <c r="B72">
        <v>2024</v>
      </c>
      <c r="C72">
        <v>1910</v>
      </c>
      <c r="D72">
        <v>194</v>
      </c>
      <c r="E72">
        <v>146</v>
      </c>
      <c r="F72">
        <v>9294.44</v>
      </c>
      <c r="G72">
        <v>7.6439999999999994E-2</v>
      </c>
      <c r="H72">
        <v>31</v>
      </c>
      <c r="I72">
        <v>55</v>
      </c>
      <c r="J72">
        <v>20</v>
      </c>
      <c r="K72">
        <v>15</v>
      </c>
      <c r="L72">
        <v>1</v>
      </c>
      <c r="M72">
        <v>4</v>
      </c>
      <c r="N72">
        <v>7</v>
      </c>
      <c r="O72">
        <v>6</v>
      </c>
      <c r="P72" t="s">
        <v>85</v>
      </c>
    </row>
    <row r="73" spans="1:16" x14ac:dyDescent="0.3">
      <c r="A73">
        <v>15</v>
      </c>
      <c r="B73">
        <v>2025</v>
      </c>
      <c r="C73">
        <v>1724</v>
      </c>
      <c r="D73">
        <v>185</v>
      </c>
      <c r="E73">
        <v>159</v>
      </c>
      <c r="F73">
        <v>13541.17</v>
      </c>
      <c r="G73">
        <v>9.2227000000000003E-2</v>
      </c>
      <c r="H73">
        <v>48</v>
      </c>
      <c r="I73">
        <v>60</v>
      </c>
      <c r="J73">
        <v>37</v>
      </c>
      <c r="K73">
        <v>19</v>
      </c>
      <c r="L73">
        <v>1</v>
      </c>
      <c r="M73">
        <v>6</v>
      </c>
      <c r="N73">
        <v>14</v>
      </c>
      <c r="O73">
        <v>8</v>
      </c>
      <c r="P73" t="s">
        <v>85</v>
      </c>
    </row>
    <row r="74" spans="1:16" x14ac:dyDescent="0.3">
      <c r="A74">
        <v>16</v>
      </c>
      <c r="B74">
        <v>2021</v>
      </c>
      <c r="C74">
        <v>1028</v>
      </c>
      <c r="D74">
        <v>94</v>
      </c>
      <c r="E74">
        <v>84</v>
      </c>
      <c r="F74">
        <v>8282.14</v>
      </c>
      <c r="G74">
        <v>8.1712000000000007E-2</v>
      </c>
      <c r="H74">
        <v>17</v>
      </c>
      <c r="I74">
        <v>38</v>
      </c>
      <c r="J74">
        <v>15</v>
      </c>
      <c r="K74">
        <v>9</v>
      </c>
      <c r="L74">
        <v>1</v>
      </c>
      <c r="M74">
        <v>6</v>
      </c>
      <c r="N74">
        <v>6</v>
      </c>
      <c r="O74">
        <v>7</v>
      </c>
      <c r="P74" t="s">
        <v>85</v>
      </c>
    </row>
    <row r="75" spans="1:16" x14ac:dyDescent="0.3">
      <c r="A75">
        <v>16</v>
      </c>
      <c r="B75">
        <v>2022</v>
      </c>
      <c r="C75">
        <v>896</v>
      </c>
      <c r="D75">
        <v>48</v>
      </c>
      <c r="E75">
        <v>42</v>
      </c>
      <c r="F75">
        <v>2247.92</v>
      </c>
      <c r="G75">
        <v>4.6875E-2</v>
      </c>
      <c r="H75">
        <v>14</v>
      </c>
      <c r="I75">
        <v>16</v>
      </c>
      <c r="J75">
        <v>10</v>
      </c>
      <c r="K75">
        <v>7</v>
      </c>
      <c r="L75">
        <v>0</v>
      </c>
      <c r="M75">
        <v>2</v>
      </c>
      <c r="N75">
        <v>2</v>
      </c>
      <c r="O75">
        <v>2</v>
      </c>
      <c r="P75" t="s">
        <v>68</v>
      </c>
    </row>
    <row r="76" spans="1:16" x14ac:dyDescent="0.3">
      <c r="A76">
        <v>16</v>
      </c>
      <c r="B76">
        <v>2023</v>
      </c>
      <c r="C76">
        <v>1252</v>
      </c>
      <c r="D76">
        <v>106</v>
      </c>
      <c r="E76">
        <v>86</v>
      </c>
      <c r="F76">
        <v>8302.68</v>
      </c>
      <c r="G76">
        <v>6.8690000000000001E-2</v>
      </c>
      <c r="H76">
        <v>23</v>
      </c>
      <c r="I76">
        <v>38</v>
      </c>
      <c r="J76">
        <v>13</v>
      </c>
      <c r="K76">
        <v>7</v>
      </c>
      <c r="L76">
        <v>1</v>
      </c>
      <c r="M76">
        <v>5</v>
      </c>
      <c r="N76">
        <v>5</v>
      </c>
      <c r="O76">
        <v>4</v>
      </c>
      <c r="P76" t="s">
        <v>85</v>
      </c>
    </row>
    <row r="77" spans="1:16" x14ac:dyDescent="0.3">
      <c r="A77">
        <v>16</v>
      </c>
      <c r="B77">
        <v>2024</v>
      </c>
      <c r="C77">
        <v>1014</v>
      </c>
      <c r="D77">
        <v>98</v>
      </c>
      <c r="E77">
        <v>81</v>
      </c>
      <c r="F77">
        <v>7626.47</v>
      </c>
      <c r="G77">
        <v>7.9881999999999995E-2</v>
      </c>
      <c r="H77">
        <v>23</v>
      </c>
      <c r="I77">
        <v>33</v>
      </c>
      <c r="J77">
        <v>18</v>
      </c>
      <c r="K77">
        <v>8</v>
      </c>
      <c r="L77">
        <v>0</v>
      </c>
      <c r="M77">
        <v>2</v>
      </c>
      <c r="N77">
        <v>5</v>
      </c>
      <c r="O77">
        <v>2</v>
      </c>
      <c r="P77" t="s">
        <v>85</v>
      </c>
    </row>
    <row r="78" spans="1:16" x14ac:dyDescent="0.3">
      <c r="A78">
        <v>16</v>
      </c>
      <c r="B78">
        <v>2025</v>
      </c>
      <c r="C78">
        <v>1193</v>
      </c>
      <c r="D78">
        <v>60</v>
      </c>
      <c r="E78">
        <v>49</v>
      </c>
      <c r="F78">
        <v>2091.34</v>
      </c>
      <c r="G78">
        <v>4.1072999999999998E-2</v>
      </c>
      <c r="H78">
        <v>18</v>
      </c>
      <c r="I78">
        <v>27</v>
      </c>
      <c r="J78">
        <v>5</v>
      </c>
      <c r="K78">
        <v>8</v>
      </c>
      <c r="L78">
        <v>0</v>
      </c>
      <c r="M78">
        <v>2</v>
      </c>
      <c r="N78">
        <v>3</v>
      </c>
      <c r="O78">
        <v>3</v>
      </c>
      <c r="P78" t="s">
        <v>175</v>
      </c>
    </row>
    <row r="79" spans="1:16" x14ac:dyDescent="0.3">
      <c r="A79">
        <v>17</v>
      </c>
      <c r="B79">
        <v>2021</v>
      </c>
      <c r="C79">
        <v>1452</v>
      </c>
      <c r="D79">
        <v>117</v>
      </c>
      <c r="E79">
        <v>93</v>
      </c>
      <c r="F79">
        <v>6754.89</v>
      </c>
      <c r="G79">
        <v>6.4049999999999996E-2</v>
      </c>
      <c r="H79">
        <v>13</v>
      </c>
      <c r="I79">
        <v>47</v>
      </c>
      <c r="J79">
        <v>17</v>
      </c>
      <c r="K79">
        <v>7</v>
      </c>
      <c r="L79">
        <v>1</v>
      </c>
      <c r="M79">
        <v>4</v>
      </c>
      <c r="N79">
        <v>5</v>
      </c>
      <c r="O79">
        <v>8</v>
      </c>
      <c r="P79" t="s">
        <v>85</v>
      </c>
    </row>
    <row r="80" spans="1:16" x14ac:dyDescent="0.3">
      <c r="A80">
        <v>17</v>
      </c>
      <c r="B80">
        <v>2022</v>
      </c>
      <c r="C80">
        <v>521</v>
      </c>
      <c r="D80">
        <v>29</v>
      </c>
      <c r="E80">
        <v>22</v>
      </c>
      <c r="F80">
        <v>875.03</v>
      </c>
      <c r="G80">
        <v>4.2226E-2</v>
      </c>
      <c r="H80">
        <v>13</v>
      </c>
      <c r="I80">
        <v>13</v>
      </c>
      <c r="J80">
        <v>5</v>
      </c>
      <c r="K80">
        <v>6</v>
      </c>
      <c r="L80">
        <v>1</v>
      </c>
      <c r="M80">
        <v>3</v>
      </c>
      <c r="N80">
        <v>4</v>
      </c>
      <c r="O80">
        <v>3</v>
      </c>
      <c r="P80" t="s">
        <v>85</v>
      </c>
    </row>
    <row r="81" spans="1:16" x14ac:dyDescent="0.3">
      <c r="A81">
        <v>17</v>
      </c>
      <c r="B81">
        <v>2023</v>
      </c>
      <c r="C81">
        <v>1054</v>
      </c>
      <c r="D81">
        <v>80</v>
      </c>
      <c r="E81">
        <v>64</v>
      </c>
      <c r="F81">
        <v>4545.45</v>
      </c>
      <c r="G81">
        <v>6.0720999999999997E-2</v>
      </c>
      <c r="H81">
        <v>11</v>
      </c>
      <c r="I81">
        <v>31</v>
      </c>
      <c r="J81">
        <v>7</v>
      </c>
      <c r="K81">
        <v>6</v>
      </c>
      <c r="L81">
        <v>1</v>
      </c>
      <c r="M81">
        <v>6</v>
      </c>
      <c r="N81">
        <v>4</v>
      </c>
      <c r="O81">
        <v>5</v>
      </c>
      <c r="P81" t="s">
        <v>85</v>
      </c>
    </row>
    <row r="82" spans="1:16" x14ac:dyDescent="0.3">
      <c r="A82">
        <v>17</v>
      </c>
      <c r="B82">
        <v>2024</v>
      </c>
      <c r="C82">
        <v>1152</v>
      </c>
      <c r="D82">
        <v>105</v>
      </c>
      <c r="E82">
        <v>83</v>
      </c>
      <c r="F82">
        <v>4842.93</v>
      </c>
      <c r="G82">
        <v>7.2049000000000002E-2</v>
      </c>
      <c r="H82">
        <v>24</v>
      </c>
      <c r="I82">
        <v>32</v>
      </c>
      <c r="J82">
        <v>14</v>
      </c>
      <c r="K82">
        <v>12</v>
      </c>
      <c r="L82">
        <v>0</v>
      </c>
      <c r="M82">
        <v>3</v>
      </c>
      <c r="N82">
        <v>6</v>
      </c>
      <c r="O82">
        <v>3</v>
      </c>
      <c r="P82" t="s">
        <v>68</v>
      </c>
    </row>
    <row r="83" spans="1:16" x14ac:dyDescent="0.3">
      <c r="A83">
        <v>17</v>
      </c>
      <c r="B83">
        <v>2025</v>
      </c>
      <c r="C83">
        <v>927</v>
      </c>
      <c r="D83">
        <v>76</v>
      </c>
      <c r="E83">
        <v>73</v>
      </c>
      <c r="F83">
        <v>3187.66</v>
      </c>
      <c r="G83">
        <v>7.8749E-2</v>
      </c>
      <c r="H83">
        <v>16</v>
      </c>
      <c r="I83">
        <v>31</v>
      </c>
      <c r="J83">
        <v>11</v>
      </c>
      <c r="K83">
        <v>8</v>
      </c>
      <c r="L83">
        <v>1</v>
      </c>
      <c r="M83">
        <v>4</v>
      </c>
      <c r="N83">
        <v>6</v>
      </c>
      <c r="O83">
        <v>4</v>
      </c>
      <c r="P83" t="s">
        <v>85</v>
      </c>
    </row>
    <row r="84" spans="1:16" x14ac:dyDescent="0.3">
      <c r="A84">
        <v>18</v>
      </c>
      <c r="B84">
        <v>2021</v>
      </c>
      <c r="C84">
        <v>371</v>
      </c>
      <c r="D84">
        <v>31</v>
      </c>
      <c r="E84">
        <v>27</v>
      </c>
      <c r="F84">
        <v>1292.32</v>
      </c>
      <c r="G84">
        <v>7.2775999999999993E-2</v>
      </c>
      <c r="H84">
        <v>12</v>
      </c>
      <c r="I84">
        <v>12</v>
      </c>
      <c r="J84">
        <v>5</v>
      </c>
      <c r="K84">
        <v>5</v>
      </c>
      <c r="L84">
        <v>1</v>
      </c>
      <c r="M84">
        <v>4</v>
      </c>
      <c r="N84">
        <v>4</v>
      </c>
      <c r="O84">
        <v>3</v>
      </c>
      <c r="P84" t="s">
        <v>85</v>
      </c>
    </row>
    <row r="85" spans="1:16" x14ac:dyDescent="0.3">
      <c r="A85">
        <v>18</v>
      </c>
      <c r="B85">
        <v>2022</v>
      </c>
      <c r="C85">
        <v>773</v>
      </c>
      <c r="D85">
        <v>30</v>
      </c>
      <c r="E85">
        <v>29</v>
      </c>
      <c r="F85">
        <v>2508.1799999999998</v>
      </c>
      <c r="G85">
        <v>3.7516000000000001E-2</v>
      </c>
      <c r="H85">
        <v>13</v>
      </c>
      <c r="I85">
        <v>23</v>
      </c>
      <c r="J85">
        <v>7</v>
      </c>
      <c r="K85">
        <v>3</v>
      </c>
      <c r="L85">
        <v>0</v>
      </c>
      <c r="M85">
        <v>1</v>
      </c>
      <c r="N85">
        <v>2</v>
      </c>
      <c r="O85">
        <v>1</v>
      </c>
      <c r="P85" t="s">
        <v>175</v>
      </c>
    </row>
    <row r="86" spans="1:16" x14ac:dyDescent="0.3">
      <c r="A86">
        <v>18</v>
      </c>
      <c r="B86">
        <v>2024</v>
      </c>
      <c r="C86">
        <v>827</v>
      </c>
      <c r="D86">
        <v>38</v>
      </c>
      <c r="E86">
        <v>33</v>
      </c>
      <c r="F86">
        <v>3090.15</v>
      </c>
      <c r="G86">
        <v>3.9903000000000001E-2</v>
      </c>
      <c r="H86">
        <v>10</v>
      </c>
      <c r="I86">
        <v>19</v>
      </c>
      <c r="J86">
        <v>5</v>
      </c>
      <c r="K86">
        <v>9</v>
      </c>
      <c r="L86">
        <v>0</v>
      </c>
      <c r="M86">
        <v>3</v>
      </c>
      <c r="N86">
        <v>4</v>
      </c>
      <c r="O86">
        <v>2</v>
      </c>
      <c r="P86" t="s">
        <v>175</v>
      </c>
    </row>
    <row r="87" spans="1:16" x14ac:dyDescent="0.3">
      <c r="A87">
        <v>18</v>
      </c>
      <c r="B87">
        <v>2025</v>
      </c>
      <c r="C87">
        <v>514</v>
      </c>
      <c r="D87">
        <v>35</v>
      </c>
      <c r="E87">
        <v>30</v>
      </c>
      <c r="F87">
        <v>1532.85</v>
      </c>
      <c r="G87">
        <v>5.8366000000000001E-2</v>
      </c>
      <c r="H87">
        <v>13</v>
      </c>
      <c r="I87">
        <v>14</v>
      </c>
      <c r="J87">
        <v>5</v>
      </c>
      <c r="K87">
        <v>7</v>
      </c>
      <c r="L87">
        <v>1</v>
      </c>
      <c r="M87">
        <v>4</v>
      </c>
      <c r="N87">
        <v>4</v>
      </c>
      <c r="O87">
        <v>1</v>
      </c>
      <c r="P87" t="s">
        <v>85</v>
      </c>
    </row>
    <row r="88" spans="1:16" x14ac:dyDescent="0.3">
      <c r="A88">
        <v>19</v>
      </c>
      <c r="B88">
        <v>2021</v>
      </c>
      <c r="C88">
        <v>1266</v>
      </c>
      <c r="D88">
        <v>68</v>
      </c>
      <c r="E88">
        <v>63</v>
      </c>
      <c r="F88">
        <v>4030.82</v>
      </c>
      <c r="G88">
        <v>4.9763000000000002E-2</v>
      </c>
      <c r="H88">
        <v>14</v>
      </c>
      <c r="I88">
        <v>35</v>
      </c>
      <c r="J88">
        <v>8</v>
      </c>
      <c r="K88">
        <v>13</v>
      </c>
      <c r="L88">
        <v>1</v>
      </c>
      <c r="M88">
        <v>5</v>
      </c>
      <c r="N88">
        <v>6</v>
      </c>
      <c r="O88">
        <v>3</v>
      </c>
      <c r="P88" t="s">
        <v>85</v>
      </c>
    </row>
    <row r="89" spans="1:16" x14ac:dyDescent="0.3">
      <c r="A89">
        <v>19</v>
      </c>
      <c r="B89">
        <v>2022</v>
      </c>
      <c r="C89">
        <v>1829</v>
      </c>
      <c r="D89">
        <v>192</v>
      </c>
      <c r="E89">
        <v>152</v>
      </c>
      <c r="F89">
        <v>14783.24</v>
      </c>
      <c r="G89">
        <v>8.3105999999999999E-2</v>
      </c>
      <c r="H89">
        <v>35</v>
      </c>
      <c r="I89">
        <v>65</v>
      </c>
      <c r="J89">
        <v>30</v>
      </c>
      <c r="K89">
        <v>12</v>
      </c>
      <c r="L89">
        <v>1</v>
      </c>
      <c r="M89">
        <v>3</v>
      </c>
      <c r="N89">
        <v>7</v>
      </c>
      <c r="O89">
        <v>12</v>
      </c>
      <c r="P89" t="s">
        <v>85</v>
      </c>
    </row>
    <row r="90" spans="1:16" x14ac:dyDescent="0.3">
      <c r="A90">
        <v>19</v>
      </c>
      <c r="B90">
        <v>2023</v>
      </c>
      <c r="C90">
        <v>594</v>
      </c>
      <c r="D90">
        <v>27</v>
      </c>
      <c r="E90">
        <v>22</v>
      </c>
      <c r="F90">
        <v>1856.19</v>
      </c>
      <c r="G90">
        <v>3.7037E-2</v>
      </c>
      <c r="H90">
        <v>12</v>
      </c>
      <c r="I90">
        <v>14</v>
      </c>
      <c r="J90">
        <v>6</v>
      </c>
      <c r="K90">
        <v>6</v>
      </c>
      <c r="L90">
        <v>0</v>
      </c>
      <c r="M90">
        <v>2</v>
      </c>
      <c r="N90">
        <v>3</v>
      </c>
      <c r="O90">
        <v>0</v>
      </c>
      <c r="P90" t="s">
        <v>175</v>
      </c>
    </row>
    <row r="91" spans="1:16" x14ac:dyDescent="0.3">
      <c r="A91">
        <v>19</v>
      </c>
      <c r="B91">
        <v>2024</v>
      </c>
      <c r="C91">
        <v>2185</v>
      </c>
      <c r="D91">
        <v>248</v>
      </c>
      <c r="E91">
        <v>188</v>
      </c>
      <c r="F91">
        <v>14317.93</v>
      </c>
      <c r="G91">
        <v>8.6041000000000006E-2</v>
      </c>
      <c r="H91">
        <v>52</v>
      </c>
      <c r="I91">
        <v>80</v>
      </c>
      <c r="J91">
        <v>20</v>
      </c>
      <c r="K91">
        <v>15</v>
      </c>
      <c r="L91">
        <v>1</v>
      </c>
      <c r="M91">
        <v>5</v>
      </c>
      <c r="N91">
        <v>10</v>
      </c>
      <c r="O91">
        <v>7</v>
      </c>
      <c r="P91" t="s">
        <v>85</v>
      </c>
    </row>
    <row r="92" spans="1:16" x14ac:dyDescent="0.3">
      <c r="A92">
        <v>19</v>
      </c>
      <c r="B92">
        <v>2025</v>
      </c>
      <c r="C92">
        <v>133</v>
      </c>
      <c r="D92">
        <v>11</v>
      </c>
      <c r="E92">
        <v>10</v>
      </c>
      <c r="F92">
        <v>898.37</v>
      </c>
      <c r="G92">
        <v>7.5188000000000005E-2</v>
      </c>
      <c r="H92">
        <v>11</v>
      </c>
      <c r="I92">
        <v>11</v>
      </c>
      <c r="J92">
        <v>3</v>
      </c>
      <c r="K92">
        <v>5</v>
      </c>
      <c r="L92">
        <v>1</v>
      </c>
      <c r="M92">
        <v>5</v>
      </c>
      <c r="N92">
        <v>4</v>
      </c>
      <c r="O92">
        <v>1</v>
      </c>
      <c r="P92" t="s">
        <v>85</v>
      </c>
    </row>
    <row r="93" spans="1:16" x14ac:dyDescent="0.3">
      <c r="A93">
        <v>20</v>
      </c>
      <c r="B93">
        <v>2021</v>
      </c>
      <c r="C93">
        <v>1085</v>
      </c>
      <c r="D93">
        <v>62</v>
      </c>
      <c r="E93">
        <v>59</v>
      </c>
      <c r="F93">
        <v>6174.17</v>
      </c>
      <c r="G93">
        <v>5.4378000000000003E-2</v>
      </c>
      <c r="H93">
        <v>14</v>
      </c>
      <c r="I93">
        <v>22</v>
      </c>
      <c r="J93">
        <v>13</v>
      </c>
      <c r="K93">
        <v>5</v>
      </c>
      <c r="L93">
        <v>0</v>
      </c>
      <c r="M93">
        <v>2</v>
      </c>
      <c r="N93">
        <v>4</v>
      </c>
      <c r="O93">
        <v>1</v>
      </c>
      <c r="P93" t="s">
        <v>175</v>
      </c>
    </row>
    <row r="94" spans="1:16" x14ac:dyDescent="0.3">
      <c r="A94">
        <v>20</v>
      </c>
      <c r="B94">
        <v>2022</v>
      </c>
      <c r="C94">
        <v>1148</v>
      </c>
      <c r="D94">
        <v>63</v>
      </c>
      <c r="E94">
        <v>53</v>
      </c>
      <c r="F94">
        <v>3965.9</v>
      </c>
      <c r="G94">
        <v>4.6167E-2</v>
      </c>
      <c r="H94">
        <v>10</v>
      </c>
      <c r="I94">
        <v>24</v>
      </c>
      <c r="J94">
        <v>10</v>
      </c>
      <c r="K94">
        <v>3</v>
      </c>
      <c r="L94">
        <v>0</v>
      </c>
      <c r="M94">
        <v>1</v>
      </c>
      <c r="N94">
        <v>1</v>
      </c>
      <c r="O94">
        <v>4</v>
      </c>
      <c r="P94" t="s">
        <v>175</v>
      </c>
    </row>
    <row r="95" spans="1:16" x14ac:dyDescent="0.3">
      <c r="A95">
        <v>20</v>
      </c>
      <c r="B95">
        <v>2023</v>
      </c>
      <c r="C95">
        <v>2017</v>
      </c>
      <c r="D95">
        <v>184</v>
      </c>
      <c r="E95">
        <v>163</v>
      </c>
      <c r="F95">
        <v>6824.46</v>
      </c>
      <c r="G95">
        <v>8.0812999999999996E-2</v>
      </c>
      <c r="H95">
        <v>21</v>
      </c>
      <c r="I95">
        <v>60</v>
      </c>
      <c r="J95">
        <v>35</v>
      </c>
      <c r="K95">
        <v>6</v>
      </c>
      <c r="L95">
        <v>1</v>
      </c>
      <c r="M95">
        <v>5</v>
      </c>
      <c r="N95">
        <v>5</v>
      </c>
      <c r="O95">
        <v>11</v>
      </c>
      <c r="P95" t="s">
        <v>85</v>
      </c>
    </row>
    <row r="96" spans="1:16" x14ac:dyDescent="0.3">
      <c r="A96">
        <v>20</v>
      </c>
      <c r="B96">
        <v>2024</v>
      </c>
      <c r="C96">
        <v>1108</v>
      </c>
      <c r="D96">
        <v>84</v>
      </c>
      <c r="E96">
        <v>80</v>
      </c>
      <c r="F96">
        <v>6114.36</v>
      </c>
      <c r="G96">
        <v>7.2202000000000002E-2</v>
      </c>
      <c r="H96">
        <v>18</v>
      </c>
      <c r="I96">
        <v>36</v>
      </c>
      <c r="J96">
        <v>10</v>
      </c>
      <c r="K96">
        <v>5</v>
      </c>
      <c r="L96">
        <v>0</v>
      </c>
      <c r="M96">
        <v>1</v>
      </c>
      <c r="N96">
        <v>3</v>
      </c>
      <c r="O96">
        <v>3</v>
      </c>
      <c r="P96" t="s">
        <v>68</v>
      </c>
    </row>
    <row r="97" spans="1:16" x14ac:dyDescent="0.3">
      <c r="A97">
        <v>21</v>
      </c>
      <c r="B97">
        <v>2021</v>
      </c>
      <c r="C97">
        <v>1079</v>
      </c>
      <c r="D97">
        <v>84</v>
      </c>
      <c r="E97">
        <v>70</v>
      </c>
      <c r="F97">
        <v>4551.34</v>
      </c>
      <c r="G97">
        <v>6.4875000000000002E-2</v>
      </c>
      <c r="H97">
        <v>24</v>
      </c>
      <c r="I97">
        <v>34</v>
      </c>
      <c r="J97">
        <v>11</v>
      </c>
      <c r="K97">
        <v>9</v>
      </c>
      <c r="L97">
        <v>1</v>
      </c>
      <c r="M97">
        <v>5</v>
      </c>
      <c r="N97">
        <v>5</v>
      </c>
      <c r="O97">
        <v>6</v>
      </c>
      <c r="P97" t="s">
        <v>85</v>
      </c>
    </row>
    <row r="98" spans="1:16" x14ac:dyDescent="0.3">
      <c r="A98">
        <v>21</v>
      </c>
      <c r="B98">
        <v>2022</v>
      </c>
      <c r="C98">
        <v>1390</v>
      </c>
      <c r="D98">
        <v>81</v>
      </c>
      <c r="E98">
        <v>76</v>
      </c>
      <c r="F98">
        <v>7396.43</v>
      </c>
      <c r="G98">
        <v>5.4676000000000002E-2</v>
      </c>
      <c r="H98">
        <v>29</v>
      </c>
      <c r="I98">
        <v>39</v>
      </c>
      <c r="J98">
        <v>15</v>
      </c>
      <c r="K98">
        <v>13</v>
      </c>
      <c r="L98">
        <v>0</v>
      </c>
      <c r="M98">
        <v>3</v>
      </c>
      <c r="N98">
        <v>4</v>
      </c>
      <c r="O98">
        <v>4</v>
      </c>
      <c r="P98" t="s">
        <v>175</v>
      </c>
    </row>
    <row r="99" spans="1:16" x14ac:dyDescent="0.3">
      <c r="A99">
        <v>21</v>
      </c>
      <c r="B99">
        <v>2023</v>
      </c>
      <c r="C99">
        <v>1841</v>
      </c>
      <c r="D99">
        <v>149</v>
      </c>
      <c r="E99">
        <v>141</v>
      </c>
      <c r="F99">
        <v>5393.52</v>
      </c>
      <c r="G99">
        <v>7.6589000000000004E-2</v>
      </c>
      <c r="H99">
        <v>26</v>
      </c>
      <c r="I99">
        <v>45</v>
      </c>
      <c r="J99">
        <v>30</v>
      </c>
      <c r="K99">
        <v>11</v>
      </c>
      <c r="L99">
        <v>0</v>
      </c>
      <c r="M99">
        <v>1</v>
      </c>
      <c r="N99">
        <v>5</v>
      </c>
      <c r="O99">
        <v>7</v>
      </c>
      <c r="P99" t="s">
        <v>175</v>
      </c>
    </row>
    <row r="100" spans="1:16" x14ac:dyDescent="0.3">
      <c r="A100">
        <v>21</v>
      </c>
      <c r="B100">
        <v>2024</v>
      </c>
      <c r="C100">
        <v>1962</v>
      </c>
      <c r="D100">
        <v>181</v>
      </c>
      <c r="E100">
        <v>169</v>
      </c>
      <c r="F100">
        <v>16802.5</v>
      </c>
      <c r="G100">
        <v>8.6137000000000005E-2</v>
      </c>
      <c r="H100">
        <v>27</v>
      </c>
      <c r="I100">
        <v>58</v>
      </c>
      <c r="J100">
        <v>26</v>
      </c>
      <c r="K100">
        <v>12</v>
      </c>
      <c r="L100">
        <v>1</v>
      </c>
      <c r="M100">
        <v>7</v>
      </c>
      <c r="N100">
        <v>7</v>
      </c>
      <c r="O100">
        <v>13</v>
      </c>
      <c r="P100" t="s">
        <v>85</v>
      </c>
    </row>
    <row r="101" spans="1:16" x14ac:dyDescent="0.3">
      <c r="A101">
        <v>21</v>
      </c>
      <c r="B101">
        <v>2025</v>
      </c>
      <c r="C101">
        <v>469</v>
      </c>
      <c r="D101">
        <v>42</v>
      </c>
      <c r="E101">
        <v>35</v>
      </c>
      <c r="F101">
        <v>1548.47</v>
      </c>
      <c r="G101">
        <v>7.4626999999999999E-2</v>
      </c>
      <c r="H101">
        <v>24</v>
      </c>
      <c r="I101">
        <v>24</v>
      </c>
      <c r="J101">
        <v>6</v>
      </c>
      <c r="K101">
        <v>11</v>
      </c>
      <c r="L101">
        <v>0</v>
      </c>
      <c r="M101">
        <v>3</v>
      </c>
      <c r="N101">
        <v>6</v>
      </c>
      <c r="O101">
        <v>1</v>
      </c>
      <c r="P101" t="s">
        <v>68</v>
      </c>
    </row>
    <row r="102" spans="1:16" x14ac:dyDescent="0.3">
      <c r="A102">
        <v>22</v>
      </c>
      <c r="B102">
        <v>2021</v>
      </c>
      <c r="C102">
        <v>583</v>
      </c>
      <c r="D102">
        <v>34</v>
      </c>
      <c r="E102">
        <v>28</v>
      </c>
      <c r="F102">
        <v>2889.84</v>
      </c>
      <c r="G102">
        <v>4.8027E-2</v>
      </c>
      <c r="H102">
        <v>17</v>
      </c>
      <c r="I102">
        <v>17</v>
      </c>
      <c r="J102">
        <v>5</v>
      </c>
      <c r="K102">
        <v>13</v>
      </c>
      <c r="L102">
        <v>0</v>
      </c>
      <c r="M102">
        <v>4</v>
      </c>
      <c r="N102">
        <v>3</v>
      </c>
      <c r="O102">
        <v>2</v>
      </c>
      <c r="P102" t="s">
        <v>175</v>
      </c>
    </row>
    <row r="103" spans="1:16" x14ac:dyDescent="0.3">
      <c r="A103">
        <v>22</v>
      </c>
      <c r="B103">
        <v>2022</v>
      </c>
      <c r="C103">
        <v>1266</v>
      </c>
      <c r="D103">
        <v>120</v>
      </c>
      <c r="E103">
        <v>98</v>
      </c>
      <c r="F103">
        <v>7969.79</v>
      </c>
      <c r="G103">
        <v>7.7409000000000006E-2</v>
      </c>
      <c r="H103">
        <v>46</v>
      </c>
      <c r="I103">
        <v>46</v>
      </c>
      <c r="J103">
        <v>15</v>
      </c>
      <c r="K103">
        <v>13</v>
      </c>
      <c r="L103">
        <v>1</v>
      </c>
      <c r="M103">
        <v>5</v>
      </c>
      <c r="N103">
        <v>11</v>
      </c>
      <c r="O103">
        <v>8</v>
      </c>
      <c r="P103" t="s">
        <v>85</v>
      </c>
    </row>
    <row r="104" spans="1:16" x14ac:dyDescent="0.3">
      <c r="A104">
        <v>22</v>
      </c>
      <c r="B104">
        <v>2023</v>
      </c>
      <c r="C104">
        <v>844</v>
      </c>
      <c r="D104">
        <v>37</v>
      </c>
      <c r="E104">
        <v>31</v>
      </c>
      <c r="F104">
        <v>2418.1</v>
      </c>
      <c r="G104">
        <v>3.6729999999999999E-2</v>
      </c>
      <c r="H104">
        <v>5</v>
      </c>
      <c r="I104">
        <v>24</v>
      </c>
      <c r="J104">
        <v>4</v>
      </c>
      <c r="K104">
        <v>3</v>
      </c>
      <c r="L104">
        <v>0</v>
      </c>
      <c r="M104">
        <v>1</v>
      </c>
      <c r="N104">
        <v>2</v>
      </c>
      <c r="O104">
        <v>1</v>
      </c>
      <c r="P104" t="s">
        <v>175</v>
      </c>
    </row>
    <row r="105" spans="1:16" x14ac:dyDescent="0.3">
      <c r="A105">
        <v>22</v>
      </c>
      <c r="B105">
        <v>2024</v>
      </c>
      <c r="C105">
        <v>723</v>
      </c>
      <c r="D105">
        <v>38</v>
      </c>
      <c r="E105">
        <v>31</v>
      </c>
      <c r="F105">
        <v>2303.17</v>
      </c>
      <c r="G105">
        <v>4.2876999999999998E-2</v>
      </c>
      <c r="H105">
        <v>12</v>
      </c>
      <c r="I105">
        <v>18</v>
      </c>
      <c r="J105">
        <v>4</v>
      </c>
      <c r="K105">
        <v>7</v>
      </c>
      <c r="L105">
        <v>1</v>
      </c>
      <c r="M105">
        <v>4</v>
      </c>
      <c r="N105">
        <v>4</v>
      </c>
      <c r="O105">
        <v>3</v>
      </c>
      <c r="P105" t="s">
        <v>85</v>
      </c>
    </row>
    <row r="106" spans="1:16" x14ac:dyDescent="0.3">
      <c r="A106">
        <v>22</v>
      </c>
      <c r="B106">
        <v>2025</v>
      </c>
      <c r="C106">
        <v>1146</v>
      </c>
      <c r="D106">
        <v>101</v>
      </c>
      <c r="E106">
        <v>87</v>
      </c>
      <c r="F106">
        <v>8968.33</v>
      </c>
      <c r="G106">
        <v>7.5915999999999997E-2</v>
      </c>
      <c r="H106">
        <v>17</v>
      </c>
      <c r="I106">
        <v>33</v>
      </c>
      <c r="J106">
        <v>18</v>
      </c>
      <c r="K106">
        <v>6</v>
      </c>
      <c r="L106">
        <v>1</v>
      </c>
      <c r="M106">
        <v>3</v>
      </c>
      <c r="N106">
        <v>4</v>
      </c>
      <c r="O106">
        <v>4</v>
      </c>
      <c r="P106" t="s">
        <v>85</v>
      </c>
    </row>
    <row r="107" spans="1:16" x14ac:dyDescent="0.3">
      <c r="A107">
        <v>23</v>
      </c>
      <c r="B107">
        <v>2021</v>
      </c>
      <c r="C107">
        <v>1409</v>
      </c>
      <c r="D107">
        <v>93</v>
      </c>
      <c r="E107">
        <v>73</v>
      </c>
      <c r="F107">
        <v>3251.12</v>
      </c>
      <c r="G107">
        <v>5.1810000000000002E-2</v>
      </c>
      <c r="H107">
        <v>26</v>
      </c>
      <c r="I107">
        <v>42</v>
      </c>
      <c r="J107">
        <v>13</v>
      </c>
      <c r="K107">
        <v>18</v>
      </c>
      <c r="L107">
        <v>0</v>
      </c>
      <c r="M107">
        <v>6</v>
      </c>
      <c r="N107">
        <v>7</v>
      </c>
      <c r="O107">
        <v>4</v>
      </c>
      <c r="P107" t="s">
        <v>175</v>
      </c>
    </row>
    <row r="108" spans="1:16" x14ac:dyDescent="0.3">
      <c r="A108">
        <v>23</v>
      </c>
      <c r="B108">
        <v>2022</v>
      </c>
      <c r="C108">
        <v>940</v>
      </c>
      <c r="D108">
        <v>77</v>
      </c>
      <c r="E108">
        <v>61</v>
      </c>
      <c r="F108">
        <v>3350.6</v>
      </c>
      <c r="G108">
        <v>6.4893999999999993E-2</v>
      </c>
      <c r="H108">
        <v>39</v>
      </c>
      <c r="I108">
        <v>39</v>
      </c>
      <c r="J108">
        <v>8</v>
      </c>
      <c r="K108">
        <v>19</v>
      </c>
      <c r="L108">
        <v>1</v>
      </c>
      <c r="M108">
        <v>9</v>
      </c>
      <c r="N108">
        <v>10</v>
      </c>
      <c r="O108">
        <v>4</v>
      </c>
      <c r="P108" t="s">
        <v>85</v>
      </c>
    </row>
    <row r="109" spans="1:16" x14ac:dyDescent="0.3">
      <c r="A109">
        <v>23</v>
      </c>
      <c r="B109">
        <v>2023</v>
      </c>
      <c r="C109">
        <v>1064</v>
      </c>
      <c r="D109">
        <v>69</v>
      </c>
      <c r="E109">
        <v>53</v>
      </c>
      <c r="F109">
        <v>4955.26</v>
      </c>
      <c r="G109">
        <v>4.9812000000000002E-2</v>
      </c>
      <c r="H109">
        <v>19</v>
      </c>
      <c r="I109">
        <v>24</v>
      </c>
      <c r="J109">
        <v>12</v>
      </c>
      <c r="K109">
        <v>10</v>
      </c>
      <c r="L109">
        <v>0</v>
      </c>
      <c r="M109">
        <v>3</v>
      </c>
      <c r="N109">
        <v>6</v>
      </c>
      <c r="O109">
        <v>3</v>
      </c>
      <c r="P109" t="s">
        <v>175</v>
      </c>
    </row>
    <row r="110" spans="1:16" x14ac:dyDescent="0.3">
      <c r="A110">
        <v>23</v>
      </c>
      <c r="B110">
        <v>2024</v>
      </c>
      <c r="C110">
        <v>426</v>
      </c>
      <c r="D110">
        <v>21</v>
      </c>
      <c r="E110">
        <v>20</v>
      </c>
      <c r="F110">
        <v>1925.98</v>
      </c>
      <c r="G110">
        <v>4.6947999999999997E-2</v>
      </c>
      <c r="H110">
        <v>15</v>
      </c>
      <c r="I110">
        <v>15</v>
      </c>
      <c r="J110">
        <v>4</v>
      </c>
      <c r="K110">
        <v>5</v>
      </c>
      <c r="L110">
        <v>1</v>
      </c>
      <c r="M110">
        <v>2</v>
      </c>
      <c r="N110">
        <v>3</v>
      </c>
      <c r="O110">
        <v>1</v>
      </c>
      <c r="P110" t="s">
        <v>85</v>
      </c>
    </row>
    <row r="111" spans="1:16" x14ac:dyDescent="0.3">
      <c r="A111">
        <v>23</v>
      </c>
      <c r="B111">
        <v>2025</v>
      </c>
      <c r="C111">
        <v>2011</v>
      </c>
      <c r="D111">
        <v>126</v>
      </c>
      <c r="E111">
        <v>91</v>
      </c>
      <c r="F111">
        <v>6980.18</v>
      </c>
      <c r="G111">
        <v>4.5251E-2</v>
      </c>
      <c r="H111">
        <v>39</v>
      </c>
      <c r="I111">
        <v>51</v>
      </c>
      <c r="J111">
        <v>20</v>
      </c>
      <c r="K111">
        <v>18</v>
      </c>
      <c r="L111">
        <v>0</v>
      </c>
      <c r="M111">
        <v>4</v>
      </c>
      <c r="N111">
        <v>6</v>
      </c>
      <c r="O111">
        <v>3</v>
      </c>
      <c r="P111" t="s">
        <v>175</v>
      </c>
    </row>
    <row r="112" spans="1:16" x14ac:dyDescent="0.3">
      <c r="A112">
        <v>24</v>
      </c>
      <c r="B112">
        <v>2021</v>
      </c>
      <c r="C112">
        <v>1008</v>
      </c>
      <c r="D112">
        <v>92</v>
      </c>
      <c r="E112">
        <v>81</v>
      </c>
      <c r="F112">
        <v>4003.8</v>
      </c>
      <c r="G112">
        <v>8.0356999999999998E-2</v>
      </c>
      <c r="H112">
        <v>23</v>
      </c>
      <c r="I112">
        <v>33</v>
      </c>
      <c r="J112">
        <v>19</v>
      </c>
      <c r="K112">
        <v>10</v>
      </c>
      <c r="L112">
        <v>1</v>
      </c>
      <c r="M112">
        <v>5</v>
      </c>
      <c r="N112">
        <v>6</v>
      </c>
      <c r="O112">
        <v>7</v>
      </c>
      <c r="P112" t="s">
        <v>85</v>
      </c>
    </row>
    <row r="113" spans="1:16" x14ac:dyDescent="0.3">
      <c r="A113">
        <v>24</v>
      </c>
      <c r="B113">
        <v>2022</v>
      </c>
      <c r="C113">
        <v>812</v>
      </c>
      <c r="D113">
        <v>50</v>
      </c>
      <c r="E113">
        <v>48</v>
      </c>
      <c r="F113">
        <v>1424.19</v>
      </c>
      <c r="G113">
        <v>5.9112999999999999E-2</v>
      </c>
      <c r="H113">
        <v>23</v>
      </c>
      <c r="I113">
        <v>24</v>
      </c>
      <c r="J113">
        <v>11</v>
      </c>
      <c r="K113">
        <v>8</v>
      </c>
      <c r="L113">
        <v>0</v>
      </c>
      <c r="M113">
        <v>3</v>
      </c>
      <c r="N113">
        <v>4</v>
      </c>
      <c r="O113">
        <v>1</v>
      </c>
      <c r="P113" t="s">
        <v>175</v>
      </c>
    </row>
    <row r="114" spans="1:16" x14ac:dyDescent="0.3">
      <c r="A114">
        <v>24</v>
      </c>
      <c r="B114">
        <v>2023</v>
      </c>
      <c r="C114">
        <v>2408</v>
      </c>
      <c r="D114">
        <v>147</v>
      </c>
      <c r="E114">
        <v>137</v>
      </c>
      <c r="F114">
        <v>8710.77</v>
      </c>
      <c r="G114">
        <v>5.6894E-2</v>
      </c>
      <c r="H114">
        <v>17</v>
      </c>
      <c r="I114">
        <v>50</v>
      </c>
      <c r="J114">
        <v>14</v>
      </c>
      <c r="K114">
        <v>8</v>
      </c>
      <c r="L114">
        <v>1</v>
      </c>
      <c r="M114">
        <v>3</v>
      </c>
      <c r="N114">
        <v>7</v>
      </c>
      <c r="O114">
        <v>8</v>
      </c>
      <c r="P114" t="s">
        <v>85</v>
      </c>
    </row>
    <row r="115" spans="1:16" x14ac:dyDescent="0.3">
      <c r="A115">
        <v>24</v>
      </c>
      <c r="B115">
        <v>2024</v>
      </c>
      <c r="C115">
        <v>872</v>
      </c>
      <c r="D115">
        <v>49</v>
      </c>
      <c r="E115">
        <v>45</v>
      </c>
      <c r="F115">
        <v>3543.49</v>
      </c>
      <c r="G115">
        <v>5.1605999999999999E-2</v>
      </c>
      <c r="H115">
        <v>15</v>
      </c>
      <c r="I115">
        <v>18</v>
      </c>
      <c r="J115">
        <v>5</v>
      </c>
      <c r="K115">
        <v>8</v>
      </c>
      <c r="L115">
        <v>0</v>
      </c>
      <c r="M115">
        <v>2</v>
      </c>
      <c r="N115">
        <v>2</v>
      </c>
      <c r="O115">
        <v>3</v>
      </c>
      <c r="P115" t="s">
        <v>175</v>
      </c>
    </row>
    <row r="116" spans="1:16" x14ac:dyDescent="0.3">
      <c r="A116">
        <v>24</v>
      </c>
      <c r="B116">
        <v>2025</v>
      </c>
      <c r="C116">
        <v>807</v>
      </c>
      <c r="D116">
        <v>46</v>
      </c>
      <c r="E116">
        <v>40</v>
      </c>
      <c r="F116">
        <v>2616.0300000000002</v>
      </c>
      <c r="G116">
        <v>4.9565999999999999E-2</v>
      </c>
      <c r="H116">
        <v>8</v>
      </c>
      <c r="I116">
        <v>25</v>
      </c>
      <c r="J116">
        <v>5</v>
      </c>
      <c r="K116">
        <v>7</v>
      </c>
      <c r="L116">
        <v>1</v>
      </c>
      <c r="M116">
        <v>2</v>
      </c>
      <c r="N116">
        <v>5</v>
      </c>
      <c r="O116">
        <v>3</v>
      </c>
      <c r="P116" t="s">
        <v>85</v>
      </c>
    </row>
    <row r="117" spans="1:16" x14ac:dyDescent="0.3">
      <c r="A117">
        <v>25</v>
      </c>
      <c r="B117">
        <v>2021</v>
      </c>
      <c r="C117">
        <v>719</v>
      </c>
      <c r="D117">
        <v>17</v>
      </c>
      <c r="E117">
        <v>15</v>
      </c>
      <c r="F117">
        <v>1297.83</v>
      </c>
      <c r="G117">
        <v>2.0861999999999999E-2</v>
      </c>
      <c r="H117">
        <v>6</v>
      </c>
      <c r="I117">
        <v>13</v>
      </c>
      <c r="J117">
        <v>3</v>
      </c>
      <c r="K117">
        <v>3</v>
      </c>
      <c r="L117">
        <v>0</v>
      </c>
      <c r="M117">
        <v>1</v>
      </c>
      <c r="N117">
        <v>2</v>
      </c>
      <c r="O117">
        <v>0</v>
      </c>
      <c r="P117" t="s">
        <v>68</v>
      </c>
    </row>
    <row r="118" spans="1:16" x14ac:dyDescent="0.3">
      <c r="A118">
        <v>25</v>
      </c>
      <c r="B118">
        <v>2022</v>
      </c>
      <c r="C118">
        <v>791</v>
      </c>
      <c r="D118">
        <v>49</v>
      </c>
      <c r="E118">
        <v>43</v>
      </c>
      <c r="F118">
        <v>1609.34</v>
      </c>
      <c r="G118">
        <v>5.4362000000000001E-2</v>
      </c>
      <c r="H118">
        <v>20</v>
      </c>
      <c r="I118">
        <v>20</v>
      </c>
      <c r="J118">
        <v>10</v>
      </c>
      <c r="K118">
        <v>8</v>
      </c>
      <c r="L118">
        <v>0</v>
      </c>
      <c r="M118">
        <v>1</v>
      </c>
      <c r="N118">
        <v>3</v>
      </c>
      <c r="O118">
        <v>3</v>
      </c>
      <c r="P118" t="s">
        <v>175</v>
      </c>
    </row>
    <row r="119" spans="1:16" x14ac:dyDescent="0.3">
      <c r="A119">
        <v>25</v>
      </c>
      <c r="B119">
        <v>2023</v>
      </c>
      <c r="C119">
        <v>1222</v>
      </c>
      <c r="D119">
        <v>73</v>
      </c>
      <c r="E119">
        <v>70</v>
      </c>
      <c r="F119">
        <v>5231.34</v>
      </c>
      <c r="G119">
        <v>5.7283000000000001E-2</v>
      </c>
      <c r="H119">
        <v>20</v>
      </c>
      <c r="I119">
        <v>32</v>
      </c>
      <c r="J119">
        <v>15</v>
      </c>
      <c r="K119">
        <v>8</v>
      </c>
      <c r="L119">
        <v>0</v>
      </c>
      <c r="M119">
        <v>3</v>
      </c>
      <c r="N119">
        <v>5</v>
      </c>
      <c r="O119">
        <v>5</v>
      </c>
      <c r="P119" t="s">
        <v>175</v>
      </c>
    </row>
    <row r="120" spans="1:16" x14ac:dyDescent="0.3">
      <c r="A120">
        <v>25</v>
      </c>
      <c r="B120">
        <v>2024</v>
      </c>
      <c r="C120">
        <v>1583</v>
      </c>
      <c r="D120">
        <v>109</v>
      </c>
      <c r="E120">
        <v>96</v>
      </c>
      <c r="F120">
        <v>7518.14</v>
      </c>
      <c r="G120">
        <v>6.0644000000000003E-2</v>
      </c>
      <c r="H120">
        <v>18</v>
      </c>
      <c r="I120">
        <v>40</v>
      </c>
      <c r="J120">
        <v>11</v>
      </c>
      <c r="K120">
        <v>18</v>
      </c>
      <c r="L120">
        <v>1</v>
      </c>
      <c r="M120">
        <v>6</v>
      </c>
      <c r="N120">
        <v>9</v>
      </c>
      <c r="O120">
        <v>8</v>
      </c>
      <c r="P120" t="s">
        <v>85</v>
      </c>
    </row>
    <row r="121" spans="1:16" x14ac:dyDescent="0.3">
      <c r="A121">
        <v>25</v>
      </c>
      <c r="B121">
        <v>2025</v>
      </c>
      <c r="C121">
        <v>600</v>
      </c>
      <c r="D121">
        <v>55</v>
      </c>
      <c r="E121">
        <v>52</v>
      </c>
      <c r="F121">
        <v>2176.15</v>
      </c>
      <c r="G121">
        <v>8.6666999999999994E-2</v>
      </c>
      <c r="H121">
        <v>8</v>
      </c>
      <c r="I121">
        <v>20</v>
      </c>
      <c r="J121">
        <v>9</v>
      </c>
      <c r="K121">
        <v>4</v>
      </c>
      <c r="L121">
        <v>1</v>
      </c>
      <c r="M121">
        <v>4</v>
      </c>
      <c r="N121">
        <v>3</v>
      </c>
      <c r="O121">
        <v>3</v>
      </c>
      <c r="P121" t="s">
        <v>68</v>
      </c>
    </row>
    <row r="122" spans="1:16" x14ac:dyDescent="0.3">
      <c r="A122">
        <v>26</v>
      </c>
      <c r="B122">
        <v>2021</v>
      </c>
      <c r="C122">
        <v>1932</v>
      </c>
      <c r="D122">
        <v>197</v>
      </c>
      <c r="E122">
        <v>186</v>
      </c>
      <c r="F122">
        <v>15383.7</v>
      </c>
      <c r="G122">
        <v>9.6272999999999997E-2</v>
      </c>
      <c r="H122">
        <v>21</v>
      </c>
      <c r="I122">
        <v>58</v>
      </c>
      <c r="J122">
        <v>31</v>
      </c>
      <c r="K122">
        <v>11</v>
      </c>
      <c r="L122">
        <v>1</v>
      </c>
      <c r="M122">
        <v>5</v>
      </c>
      <c r="N122">
        <v>5</v>
      </c>
      <c r="O122">
        <v>7</v>
      </c>
      <c r="P122" t="s">
        <v>85</v>
      </c>
    </row>
    <row r="123" spans="1:16" x14ac:dyDescent="0.3">
      <c r="A123">
        <v>26</v>
      </c>
      <c r="B123">
        <v>2022</v>
      </c>
      <c r="C123">
        <v>957</v>
      </c>
      <c r="D123">
        <v>94</v>
      </c>
      <c r="E123">
        <v>75</v>
      </c>
      <c r="F123">
        <v>4268.7</v>
      </c>
      <c r="G123">
        <v>7.8369999999999995E-2</v>
      </c>
      <c r="H123">
        <v>24</v>
      </c>
      <c r="I123">
        <v>36</v>
      </c>
      <c r="J123">
        <v>18</v>
      </c>
      <c r="K123">
        <v>6</v>
      </c>
      <c r="L123">
        <v>0</v>
      </c>
      <c r="M123">
        <v>1</v>
      </c>
      <c r="N123">
        <v>4</v>
      </c>
      <c r="O123">
        <v>5</v>
      </c>
      <c r="P123" t="s">
        <v>68</v>
      </c>
    </row>
    <row r="124" spans="1:16" x14ac:dyDescent="0.3">
      <c r="A124">
        <v>26</v>
      </c>
      <c r="B124">
        <v>2023</v>
      </c>
      <c r="C124">
        <v>869</v>
      </c>
      <c r="D124">
        <v>88</v>
      </c>
      <c r="E124">
        <v>69</v>
      </c>
      <c r="F124">
        <v>4960.01</v>
      </c>
      <c r="G124">
        <v>7.9402E-2</v>
      </c>
      <c r="H124">
        <v>26</v>
      </c>
      <c r="I124">
        <v>27</v>
      </c>
      <c r="J124">
        <v>10</v>
      </c>
      <c r="K124">
        <v>13</v>
      </c>
      <c r="L124">
        <v>1</v>
      </c>
      <c r="M124">
        <v>4</v>
      </c>
      <c r="N124">
        <v>7</v>
      </c>
      <c r="O124">
        <v>3</v>
      </c>
      <c r="P124" t="s">
        <v>85</v>
      </c>
    </row>
    <row r="125" spans="1:16" x14ac:dyDescent="0.3">
      <c r="A125">
        <v>26</v>
      </c>
      <c r="B125">
        <v>2024</v>
      </c>
      <c r="C125">
        <v>892</v>
      </c>
      <c r="D125">
        <v>91</v>
      </c>
      <c r="E125">
        <v>66</v>
      </c>
      <c r="F125">
        <v>3591.2</v>
      </c>
      <c r="G125">
        <v>7.3991000000000001E-2</v>
      </c>
      <c r="H125">
        <v>29</v>
      </c>
      <c r="I125">
        <v>34</v>
      </c>
      <c r="J125">
        <v>10</v>
      </c>
      <c r="K125">
        <v>10</v>
      </c>
      <c r="L125">
        <v>0</v>
      </c>
      <c r="M125">
        <v>3</v>
      </c>
      <c r="N125">
        <v>6</v>
      </c>
      <c r="O125">
        <v>2</v>
      </c>
      <c r="P125" t="s">
        <v>68</v>
      </c>
    </row>
    <row r="126" spans="1:16" x14ac:dyDescent="0.3">
      <c r="A126">
        <v>26</v>
      </c>
      <c r="B126">
        <v>2025</v>
      </c>
      <c r="C126">
        <v>421</v>
      </c>
      <c r="D126">
        <v>36</v>
      </c>
      <c r="E126">
        <v>33</v>
      </c>
      <c r="F126">
        <v>2777.03</v>
      </c>
      <c r="G126">
        <v>7.8384999999999996E-2</v>
      </c>
      <c r="H126">
        <v>10</v>
      </c>
      <c r="I126">
        <v>13</v>
      </c>
      <c r="J126">
        <v>9</v>
      </c>
      <c r="K126">
        <v>6</v>
      </c>
      <c r="L126">
        <v>1</v>
      </c>
      <c r="M126">
        <v>6</v>
      </c>
      <c r="N126">
        <v>4</v>
      </c>
      <c r="O126">
        <v>4</v>
      </c>
      <c r="P126" t="s">
        <v>85</v>
      </c>
    </row>
    <row r="127" spans="1:16" x14ac:dyDescent="0.3">
      <c r="A127">
        <v>27</v>
      </c>
      <c r="B127">
        <v>2021</v>
      </c>
      <c r="C127">
        <v>124</v>
      </c>
      <c r="D127">
        <v>6</v>
      </c>
      <c r="E127">
        <v>4</v>
      </c>
      <c r="F127">
        <v>345.09</v>
      </c>
      <c r="G127">
        <v>3.2258000000000002E-2</v>
      </c>
      <c r="H127">
        <v>3</v>
      </c>
      <c r="I127">
        <v>3</v>
      </c>
      <c r="J127">
        <v>2</v>
      </c>
      <c r="K127">
        <v>2</v>
      </c>
      <c r="L127">
        <v>0</v>
      </c>
      <c r="M127">
        <v>0</v>
      </c>
      <c r="N127">
        <v>1</v>
      </c>
      <c r="O127">
        <v>0</v>
      </c>
      <c r="P127" t="s">
        <v>176</v>
      </c>
    </row>
    <row r="128" spans="1:16" x14ac:dyDescent="0.3">
      <c r="A128">
        <v>27</v>
      </c>
      <c r="B128">
        <v>2022</v>
      </c>
      <c r="C128">
        <v>940</v>
      </c>
      <c r="D128">
        <v>52</v>
      </c>
      <c r="E128">
        <v>43</v>
      </c>
      <c r="F128">
        <v>3524.78</v>
      </c>
      <c r="G128">
        <v>4.5745000000000001E-2</v>
      </c>
      <c r="H128">
        <v>16</v>
      </c>
      <c r="I128">
        <v>23</v>
      </c>
      <c r="J128">
        <v>5</v>
      </c>
      <c r="K128">
        <v>6</v>
      </c>
      <c r="L128">
        <v>0</v>
      </c>
      <c r="M128">
        <v>2</v>
      </c>
      <c r="N128">
        <v>3</v>
      </c>
      <c r="O128">
        <v>1</v>
      </c>
      <c r="P128" t="s">
        <v>175</v>
      </c>
    </row>
    <row r="129" spans="1:16" x14ac:dyDescent="0.3">
      <c r="A129">
        <v>27</v>
      </c>
      <c r="B129">
        <v>2023</v>
      </c>
      <c r="C129">
        <v>799</v>
      </c>
      <c r="D129">
        <v>83</v>
      </c>
      <c r="E129">
        <v>65</v>
      </c>
      <c r="F129">
        <v>6184.87</v>
      </c>
      <c r="G129">
        <v>8.1351999999999994E-2</v>
      </c>
      <c r="H129">
        <v>35</v>
      </c>
      <c r="I129">
        <v>35</v>
      </c>
      <c r="J129">
        <v>9</v>
      </c>
      <c r="K129">
        <v>15</v>
      </c>
      <c r="L129">
        <v>0</v>
      </c>
      <c r="M129">
        <v>5</v>
      </c>
      <c r="N129">
        <v>8</v>
      </c>
      <c r="O129">
        <v>4</v>
      </c>
      <c r="P129" t="s">
        <v>175</v>
      </c>
    </row>
    <row r="130" spans="1:16" x14ac:dyDescent="0.3">
      <c r="A130">
        <v>27</v>
      </c>
      <c r="B130">
        <v>2024</v>
      </c>
      <c r="C130">
        <v>603</v>
      </c>
      <c r="D130">
        <v>56</v>
      </c>
      <c r="E130">
        <v>46</v>
      </c>
      <c r="F130">
        <v>1951.27</v>
      </c>
      <c r="G130">
        <v>7.6285000000000006E-2</v>
      </c>
      <c r="H130">
        <v>18</v>
      </c>
      <c r="I130">
        <v>23</v>
      </c>
      <c r="J130">
        <v>7</v>
      </c>
      <c r="K130">
        <v>8</v>
      </c>
      <c r="L130">
        <v>1</v>
      </c>
      <c r="M130">
        <v>5</v>
      </c>
      <c r="N130">
        <v>6</v>
      </c>
      <c r="O130">
        <v>5</v>
      </c>
      <c r="P130" t="s">
        <v>85</v>
      </c>
    </row>
    <row r="131" spans="1:16" x14ac:dyDescent="0.3">
      <c r="A131">
        <v>27</v>
      </c>
      <c r="B131">
        <v>2025</v>
      </c>
      <c r="C131">
        <v>1176</v>
      </c>
      <c r="D131">
        <v>69</v>
      </c>
      <c r="E131">
        <v>52</v>
      </c>
      <c r="F131">
        <v>2680.59</v>
      </c>
      <c r="G131">
        <v>4.4218E-2</v>
      </c>
      <c r="H131">
        <v>30</v>
      </c>
      <c r="I131">
        <v>33</v>
      </c>
      <c r="J131">
        <v>7</v>
      </c>
      <c r="K131">
        <v>13</v>
      </c>
      <c r="L131">
        <v>0</v>
      </c>
      <c r="M131">
        <v>2</v>
      </c>
      <c r="N131">
        <v>6</v>
      </c>
      <c r="O131">
        <v>2</v>
      </c>
      <c r="P131" t="s">
        <v>175</v>
      </c>
    </row>
    <row r="132" spans="1:16" x14ac:dyDescent="0.3">
      <c r="A132">
        <v>28</v>
      </c>
      <c r="B132">
        <v>2021</v>
      </c>
      <c r="C132">
        <v>1522</v>
      </c>
      <c r="D132">
        <v>89</v>
      </c>
      <c r="E132">
        <v>83</v>
      </c>
      <c r="F132">
        <v>6172.72</v>
      </c>
      <c r="G132">
        <v>5.4533999999999999E-2</v>
      </c>
      <c r="H132">
        <v>21</v>
      </c>
      <c r="I132">
        <v>31</v>
      </c>
      <c r="J132">
        <v>18</v>
      </c>
      <c r="K132">
        <v>7</v>
      </c>
      <c r="L132">
        <v>0</v>
      </c>
      <c r="M132">
        <v>2</v>
      </c>
      <c r="N132">
        <v>4</v>
      </c>
      <c r="O132">
        <v>3</v>
      </c>
      <c r="P132" t="s">
        <v>68</v>
      </c>
    </row>
    <row r="133" spans="1:16" x14ac:dyDescent="0.3">
      <c r="A133">
        <v>28</v>
      </c>
      <c r="B133">
        <v>2022</v>
      </c>
      <c r="C133">
        <v>1948</v>
      </c>
      <c r="D133">
        <v>109</v>
      </c>
      <c r="E133">
        <v>87</v>
      </c>
      <c r="F133">
        <v>7299.46</v>
      </c>
      <c r="G133">
        <v>4.4660999999999999E-2</v>
      </c>
      <c r="H133">
        <v>24</v>
      </c>
      <c r="I133">
        <v>42</v>
      </c>
      <c r="J133">
        <v>16</v>
      </c>
      <c r="K133">
        <v>7</v>
      </c>
      <c r="L133">
        <v>0</v>
      </c>
      <c r="M133">
        <v>1</v>
      </c>
      <c r="N133">
        <v>4</v>
      </c>
      <c r="O133">
        <v>4</v>
      </c>
      <c r="P133" t="s">
        <v>175</v>
      </c>
    </row>
    <row r="134" spans="1:16" x14ac:dyDescent="0.3">
      <c r="A134">
        <v>28</v>
      </c>
      <c r="B134">
        <v>2023</v>
      </c>
      <c r="C134">
        <v>1877</v>
      </c>
      <c r="D134">
        <v>99</v>
      </c>
      <c r="E134">
        <v>81</v>
      </c>
      <c r="F134">
        <v>8193.5</v>
      </c>
      <c r="G134">
        <v>4.3153999999999998E-2</v>
      </c>
      <c r="H134">
        <v>18</v>
      </c>
      <c r="I134">
        <v>33</v>
      </c>
      <c r="J134">
        <v>10</v>
      </c>
      <c r="K134">
        <v>8</v>
      </c>
      <c r="L134">
        <v>1</v>
      </c>
      <c r="M134">
        <v>4</v>
      </c>
      <c r="N134">
        <v>5</v>
      </c>
      <c r="O134">
        <v>4</v>
      </c>
      <c r="P134" t="s">
        <v>85</v>
      </c>
    </row>
    <row r="135" spans="1:16" x14ac:dyDescent="0.3">
      <c r="A135">
        <v>28</v>
      </c>
      <c r="B135">
        <v>2025</v>
      </c>
      <c r="C135">
        <v>578</v>
      </c>
      <c r="D135">
        <v>44</v>
      </c>
      <c r="E135">
        <v>38</v>
      </c>
      <c r="F135">
        <v>1821.86</v>
      </c>
      <c r="G135">
        <v>6.5743999999999997E-2</v>
      </c>
      <c r="H135">
        <v>16</v>
      </c>
      <c r="I135">
        <v>17</v>
      </c>
      <c r="J135">
        <v>7</v>
      </c>
      <c r="K135">
        <v>7</v>
      </c>
      <c r="L135">
        <v>1</v>
      </c>
      <c r="M135">
        <v>4</v>
      </c>
      <c r="N135">
        <v>6</v>
      </c>
      <c r="O135">
        <v>2</v>
      </c>
      <c r="P135" t="s">
        <v>85</v>
      </c>
    </row>
    <row r="136" spans="1:16" x14ac:dyDescent="0.3">
      <c r="A136">
        <v>29</v>
      </c>
      <c r="B136">
        <v>2021</v>
      </c>
      <c r="C136">
        <v>749</v>
      </c>
      <c r="D136">
        <v>38</v>
      </c>
      <c r="E136">
        <v>29</v>
      </c>
      <c r="F136">
        <v>2425.2199999999998</v>
      </c>
      <c r="G136">
        <v>3.8718000000000002E-2</v>
      </c>
      <c r="H136">
        <v>8</v>
      </c>
      <c r="I136">
        <v>21</v>
      </c>
      <c r="J136">
        <v>6</v>
      </c>
      <c r="K136">
        <v>4</v>
      </c>
      <c r="L136">
        <v>0</v>
      </c>
      <c r="M136">
        <v>1</v>
      </c>
      <c r="N136">
        <v>2</v>
      </c>
      <c r="O136">
        <v>1</v>
      </c>
      <c r="P136" t="s">
        <v>175</v>
      </c>
    </row>
    <row r="137" spans="1:16" x14ac:dyDescent="0.3">
      <c r="A137">
        <v>29</v>
      </c>
      <c r="B137">
        <v>2022</v>
      </c>
      <c r="C137">
        <v>1303</v>
      </c>
      <c r="D137">
        <v>103</v>
      </c>
      <c r="E137">
        <v>91</v>
      </c>
      <c r="F137">
        <v>6390.06</v>
      </c>
      <c r="G137">
        <v>6.9838999999999998E-2</v>
      </c>
      <c r="H137">
        <v>23</v>
      </c>
      <c r="I137">
        <v>41</v>
      </c>
      <c r="J137">
        <v>16</v>
      </c>
      <c r="K137">
        <v>9</v>
      </c>
      <c r="L137">
        <v>0</v>
      </c>
      <c r="M137">
        <v>3</v>
      </c>
      <c r="N137">
        <v>5</v>
      </c>
      <c r="O137">
        <v>5</v>
      </c>
      <c r="P137" t="s">
        <v>68</v>
      </c>
    </row>
    <row r="138" spans="1:16" x14ac:dyDescent="0.3">
      <c r="A138">
        <v>29</v>
      </c>
      <c r="B138">
        <v>2023</v>
      </c>
      <c r="C138">
        <v>817</v>
      </c>
      <c r="D138">
        <v>58</v>
      </c>
      <c r="E138">
        <v>43</v>
      </c>
      <c r="F138">
        <v>1736.68</v>
      </c>
      <c r="G138">
        <v>5.2631999999999998E-2</v>
      </c>
      <c r="H138">
        <v>23</v>
      </c>
      <c r="I138">
        <v>23</v>
      </c>
      <c r="J138">
        <v>6</v>
      </c>
      <c r="K138">
        <v>13</v>
      </c>
      <c r="L138">
        <v>0</v>
      </c>
      <c r="M138">
        <v>2</v>
      </c>
      <c r="N138">
        <v>3</v>
      </c>
      <c r="O138">
        <v>1</v>
      </c>
      <c r="P138" t="s">
        <v>175</v>
      </c>
    </row>
    <row r="139" spans="1:16" x14ac:dyDescent="0.3">
      <c r="A139">
        <v>29</v>
      </c>
      <c r="B139">
        <v>2024</v>
      </c>
      <c r="C139">
        <v>251</v>
      </c>
      <c r="D139">
        <v>12</v>
      </c>
      <c r="E139">
        <v>11</v>
      </c>
      <c r="F139">
        <v>987.38</v>
      </c>
      <c r="G139">
        <v>4.3825000000000003E-2</v>
      </c>
      <c r="H139">
        <v>11</v>
      </c>
      <c r="I139">
        <v>11</v>
      </c>
      <c r="J139">
        <v>2</v>
      </c>
      <c r="K139">
        <v>5</v>
      </c>
      <c r="L139">
        <v>0</v>
      </c>
      <c r="M139">
        <v>1</v>
      </c>
      <c r="N139">
        <v>3</v>
      </c>
      <c r="O139">
        <v>1</v>
      </c>
      <c r="P139" t="s">
        <v>68</v>
      </c>
    </row>
    <row r="140" spans="1:16" x14ac:dyDescent="0.3">
      <c r="A140">
        <v>29</v>
      </c>
      <c r="B140">
        <v>2025</v>
      </c>
      <c r="C140">
        <v>1451</v>
      </c>
      <c r="D140">
        <v>84</v>
      </c>
      <c r="E140">
        <v>77</v>
      </c>
      <c r="F140">
        <v>4185.0200000000004</v>
      </c>
      <c r="G140">
        <v>5.3067000000000003E-2</v>
      </c>
      <c r="H140">
        <v>22</v>
      </c>
      <c r="I140">
        <v>31</v>
      </c>
      <c r="J140">
        <v>16</v>
      </c>
      <c r="K140">
        <v>6</v>
      </c>
      <c r="L140">
        <v>0</v>
      </c>
      <c r="M140">
        <v>2</v>
      </c>
      <c r="N140">
        <v>3</v>
      </c>
      <c r="O140">
        <v>6</v>
      </c>
      <c r="P140" t="s">
        <v>68</v>
      </c>
    </row>
    <row r="141" spans="1:16" x14ac:dyDescent="0.3">
      <c r="A141">
        <v>30</v>
      </c>
      <c r="B141">
        <v>2021</v>
      </c>
      <c r="C141">
        <v>1092</v>
      </c>
      <c r="D141">
        <v>82</v>
      </c>
      <c r="E141">
        <v>78</v>
      </c>
      <c r="F141">
        <v>4335.71</v>
      </c>
      <c r="G141">
        <v>7.1429000000000006E-2</v>
      </c>
      <c r="H141">
        <v>13</v>
      </c>
      <c r="I141">
        <v>35</v>
      </c>
      <c r="J141">
        <v>17</v>
      </c>
      <c r="K141">
        <v>6</v>
      </c>
      <c r="L141">
        <v>1</v>
      </c>
      <c r="M141">
        <v>4</v>
      </c>
      <c r="N141">
        <v>3</v>
      </c>
      <c r="O141">
        <v>4</v>
      </c>
      <c r="P141" t="s">
        <v>85</v>
      </c>
    </row>
    <row r="142" spans="1:16" x14ac:dyDescent="0.3">
      <c r="A142">
        <v>30</v>
      </c>
      <c r="B142">
        <v>2022</v>
      </c>
      <c r="C142">
        <v>932</v>
      </c>
      <c r="D142">
        <v>45</v>
      </c>
      <c r="E142">
        <v>37</v>
      </c>
      <c r="F142">
        <v>2056.92</v>
      </c>
      <c r="G142">
        <v>3.9699999999999999E-2</v>
      </c>
      <c r="H142">
        <v>12</v>
      </c>
      <c r="I142">
        <v>24</v>
      </c>
      <c r="J142">
        <v>8</v>
      </c>
      <c r="K142">
        <v>12</v>
      </c>
      <c r="L142">
        <v>1</v>
      </c>
      <c r="M142">
        <v>6</v>
      </c>
      <c r="N142">
        <v>4</v>
      </c>
      <c r="O142">
        <v>3</v>
      </c>
      <c r="P142" t="s">
        <v>85</v>
      </c>
    </row>
    <row r="143" spans="1:16" x14ac:dyDescent="0.3">
      <c r="A143">
        <v>30</v>
      </c>
      <c r="B143">
        <v>2023</v>
      </c>
      <c r="C143">
        <v>164</v>
      </c>
      <c r="D143">
        <v>9</v>
      </c>
      <c r="E143">
        <v>8</v>
      </c>
      <c r="F143">
        <v>817.46</v>
      </c>
      <c r="G143">
        <v>4.8779999999999997E-2</v>
      </c>
      <c r="H143">
        <v>10</v>
      </c>
      <c r="I143">
        <v>10</v>
      </c>
      <c r="J143">
        <v>2</v>
      </c>
      <c r="K143">
        <v>5</v>
      </c>
      <c r="L143">
        <v>1</v>
      </c>
      <c r="M143">
        <v>3</v>
      </c>
      <c r="N143">
        <v>4</v>
      </c>
      <c r="O143">
        <v>2</v>
      </c>
      <c r="P143" t="s">
        <v>85</v>
      </c>
    </row>
    <row r="144" spans="1:16" x14ac:dyDescent="0.3">
      <c r="A144">
        <v>30</v>
      </c>
      <c r="B144">
        <v>2024</v>
      </c>
      <c r="C144">
        <v>208</v>
      </c>
      <c r="D144">
        <v>10</v>
      </c>
      <c r="E144">
        <v>8</v>
      </c>
      <c r="F144">
        <v>722.6</v>
      </c>
      <c r="G144">
        <v>3.8462000000000003E-2</v>
      </c>
      <c r="H144">
        <v>17</v>
      </c>
      <c r="I144">
        <v>17</v>
      </c>
      <c r="J144">
        <v>2</v>
      </c>
      <c r="K144">
        <v>6</v>
      </c>
      <c r="L144">
        <v>0</v>
      </c>
      <c r="M144">
        <v>2</v>
      </c>
      <c r="N144">
        <v>3</v>
      </c>
      <c r="O144">
        <v>0</v>
      </c>
      <c r="P144" t="s">
        <v>175</v>
      </c>
    </row>
    <row r="145" spans="1:16" x14ac:dyDescent="0.3">
      <c r="A145">
        <v>30</v>
      </c>
      <c r="B145">
        <v>2025</v>
      </c>
      <c r="C145">
        <v>873</v>
      </c>
      <c r="D145">
        <v>47</v>
      </c>
      <c r="E145">
        <v>39</v>
      </c>
      <c r="F145">
        <v>1364.14</v>
      </c>
      <c r="G145">
        <v>4.4673999999999998E-2</v>
      </c>
      <c r="H145">
        <v>5</v>
      </c>
      <c r="I145">
        <v>21</v>
      </c>
      <c r="J145">
        <v>5</v>
      </c>
      <c r="K145">
        <v>3</v>
      </c>
      <c r="L145">
        <v>0</v>
      </c>
      <c r="M145">
        <v>0</v>
      </c>
      <c r="N145">
        <v>1</v>
      </c>
      <c r="O145">
        <v>2</v>
      </c>
      <c r="P145" t="s">
        <v>68</v>
      </c>
    </row>
    <row r="146" spans="1:16" x14ac:dyDescent="0.3">
      <c r="A146">
        <v>31</v>
      </c>
      <c r="B146">
        <v>2021</v>
      </c>
      <c r="C146">
        <v>1296</v>
      </c>
      <c r="D146">
        <v>81</v>
      </c>
      <c r="E146">
        <v>59</v>
      </c>
      <c r="F146">
        <v>2856.59</v>
      </c>
      <c r="G146">
        <v>4.5525000000000003E-2</v>
      </c>
      <c r="H146">
        <v>19</v>
      </c>
      <c r="I146">
        <v>33</v>
      </c>
      <c r="J146">
        <v>11</v>
      </c>
      <c r="K146">
        <v>9</v>
      </c>
      <c r="L146">
        <v>0</v>
      </c>
      <c r="M146">
        <v>3</v>
      </c>
      <c r="N146">
        <v>4</v>
      </c>
      <c r="O146">
        <v>4</v>
      </c>
      <c r="P146" t="s">
        <v>68</v>
      </c>
    </row>
    <row r="147" spans="1:16" x14ac:dyDescent="0.3">
      <c r="A147">
        <v>31</v>
      </c>
      <c r="B147">
        <v>2022</v>
      </c>
      <c r="C147">
        <v>801</v>
      </c>
      <c r="D147">
        <v>73</v>
      </c>
      <c r="E147">
        <v>53</v>
      </c>
      <c r="F147">
        <v>2653.88</v>
      </c>
      <c r="G147">
        <v>6.6167000000000004E-2</v>
      </c>
      <c r="H147">
        <v>16</v>
      </c>
      <c r="I147">
        <v>29</v>
      </c>
      <c r="J147">
        <v>12</v>
      </c>
      <c r="K147">
        <v>6</v>
      </c>
      <c r="L147">
        <v>1</v>
      </c>
      <c r="M147">
        <v>6</v>
      </c>
      <c r="N147">
        <v>5</v>
      </c>
      <c r="O147">
        <v>4</v>
      </c>
      <c r="P147" t="s">
        <v>85</v>
      </c>
    </row>
    <row r="148" spans="1:16" x14ac:dyDescent="0.3">
      <c r="A148">
        <v>31</v>
      </c>
      <c r="B148">
        <v>2023</v>
      </c>
      <c r="C148">
        <v>1521</v>
      </c>
      <c r="D148">
        <v>151</v>
      </c>
      <c r="E148">
        <v>130</v>
      </c>
      <c r="F148">
        <v>12820.56</v>
      </c>
      <c r="G148">
        <v>8.5470000000000004E-2</v>
      </c>
      <c r="H148">
        <v>21</v>
      </c>
      <c r="I148">
        <v>49</v>
      </c>
      <c r="J148">
        <v>30</v>
      </c>
      <c r="K148">
        <v>7</v>
      </c>
      <c r="L148">
        <v>1</v>
      </c>
      <c r="M148">
        <v>3</v>
      </c>
      <c r="N148">
        <v>7</v>
      </c>
      <c r="O148">
        <v>8</v>
      </c>
      <c r="P148" t="s">
        <v>85</v>
      </c>
    </row>
    <row r="149" spans="1:16" x14ac:dyDescent="0.3">
      <c r="A149">
        <v>31</v>
      </c>
      <c r="B149">
        <v>2024</v>
      </c>
      <c r="C149">
        <v>725</v>
      </c>
      <c r="D149">
        <v>45</v>
      </c>
      <c r="E149">
        <v>34</v>
      </c>
      <c r="F149">
        <v>1994.8</v>
      </c>
      <c r="G149">
        <v>4.6897000000000001E-2</v>
      </c>
      <c r="H149">
        <v>24</v>
      </c>
      <c r="I149">
        <v>24</v>
      </c>
      <c r="J149">
        <v>6</v>
      </c>
      <c r="K149">
        <v>10</v>
      </c>
      <c r="L149">
        <v>0</v>
      </c>
      <c r="M149">
        <v>4</v>
      </c>
      <c r="N149">
        <v>6</v>
      </c>
      <c r="O149">
        <v>2</v>
      </c>
      <c r="P149" t="s">
        <v>175</v>
      </c>
    </row>
    <row r="150" spans="1:16" x14ac:dyDescent="0.3">
      <c r="A150">
        <v>32</v>
      </c>
      <c r="B150">
        <v>2021</v>
      </c>
      <c r="C150">
        <v>632</v>
      </c>
      <c r="D150">
        <v>34</v>
      </c>
      <c r="E150">
        <v>27</v>
      </c>
      <c r="F150">
        <v>2169.0500000000002</v>
      </c>
      <c r="G150">
        <v>4.2722000000000003E-2</v>
      </c>
      <c r="H150">
        <v>9</v>
      </c>
      <c r="I150">
        <v>18</v>
      </c>
      <c r="J150">
        <v>7</v>
      </c>
      <c r="K150">
        <v>4</v>
      </c>
      <c r="L150">
        <v>0</v>
      </c>
      <c r="M150">
        <v>1</v>
      </c>
      <c r="N150">
        <v>2</v>
      </c>
      <c r="O150">
        <v>2</v>
      </c>
      <c r="P150" t="s">
        <v>68</v>
      </c>
    </row>
    <row r="151" spans="1:16" x14ac:dyDescent="0.3">
      <c r="A151">
        <v>32</v>
      </c>
      <c r="B151">
        <v>2022</v>
      </c>
      <c r="C151">
        <v>772</v>
      </c>
      <c r="D151">
        <v>70</v>
      </c>
      <c r="E151">
        <v>52</v>
      </c>
      <c r="F151">
        <v>3471.22</v>
      </c>
      <c r="G151">
        <v>6.7358000000000001E-2</v>
      </c>
      <c r="H151">
        <v>28</v>
      </c>
      <c r="I151">
        <v>28</v>
      </c>
      <c r="J151">
        <v>11</v>
      </c>
      <c r="K151">
        <v>12</v>
      </c>
      <c r="L151">
        <v>0</v>
      </c>
      <c r="M151">
        <v>4</v>
      </c>
      <c r="N151">
        <v>8</v>
      </c>
      <c r="O151">
        <v>1</v>
      </c>
      <c r="P151" t="s">
        <v>68</v>
      </c>
    </row>
    <row r="152" spans="1:16" x14ac:dyDescent="0.3">
      <c r="A152">
        <v>32</v>
      </c>
      <c r="B152">
        <v>2023</v>
      </c>
      <c r="C152">
        <v>905</v>
      </c>
      <c r="D152">
        <v>51</v>
      </c>
      <c r="E152">
        <v>39</v>
      </c>
      <c r="F152">
        <v>1913.91</v>
      </c>
      <c r="G152">
        <v>4.3094E-2</v>
      </c>
      <c r="H152">
        <v>14</v>
      </c>
      <c r="I152">
        <v>24</v>
      </c>
      <c r="J152">
        <v>8</v>
      </c>
      <c r="K152">
        <v>7</v>
      </c>
      <c r="L152">
        <v>0</v>
      </c>
      <c r="M152">
        <v>1</v>
      </c>
      <c r="N152">
        <v>3</v>
      </c>
      <c r="O152">
        <v>3</v>
      </c>
      <c r="P152" t="s">
        <v>175</v>
      </c>
    </row>
    <row r="153" spans="1:16" x14ac:dyDescent="0.3">
      <c r="A153">
        <v>32</v>
      </c>
      <c r="B153">
        <v>2024</v>
      </c>
      <c r="C153">
        <v>1320</v>
      </c>
      <c r="D153">
        <v>79</v>
      </c>
      <c r="E153">
        <v>72</v>
      </c>
      <c r="F153">
        <v>3602.38</v>
      </c>
      <c r="G153">
        <v>5.4545000000000003E-2</v>
      </c>
      <c r="H153">
        <v>19</v>
      </c>
      <c r="I153">
        <v>34</v>
      </c>
      <c r="J153">
        <v>11</v>
      </c>
      <c r="K153">
        <v>11</v>
      </c>
      <c r="L153">
        <v>0</v>
      </c>
      <c r="M153">
        <v>2</v>
      </c>
      <c r="N153">
        <v>3</v>
      </c>
      <c r="O153">
        <v>5</v>
      </c>
      <c r="P153" t="s">
        <v>175</v>
      </c>
    </row>
    <row r="154" spans="1:16" x14ac:dyDescent="0.3">
      <c r="A154">
        <v>32</v>
      </c>
      <c r="B154">
        <v>2025</v>
      </c>
      <c r="C154">
        <v>1778</v>
      </c>
      <c r="D154">
        <v>167</v>
      </c>
      <c r="E154">
        <v>146</v>
      </c>
      <c r="F154">
        <v>14092.19</v>
      </c>
      <c r="G154">
        <v>8.2114999999999994E-2</v>
      </c>
      <c r="H154">
        <v>20</v>
      </c>
      <c r="I154">
        <v>55</v>
      </c>
      <c r="J154">
        <v>30</v>
      </c>
      <c r="K154">
        <v>11</v>
      </c>
      <c r="L154">
        <v>1</v>
      </c>
      <c r="M154">
        <v>4</v>
      </c>
      <c r="N154">
        <v>5</v>
      </c>
      <c r="O154">
        <v>7</v>
      </c>
      <c r="P154" t="s">
        <v>85</v>
      </c>
    </row>
    <row r="155" spans="1:16" x14ac:dyDescent="0.3">
      <c r="A155">
        <v>33</v>
      </c>
      <c r="B155">
        <v>2021</v>
      </c>
      <c r="C155">
        <v>1252</v>
      </c>
      <c r="D155">
        <v>130</v>
      </c>
      <c r="E155">
        <v>102</v>
      </c>
      <c r="F155">
        <v>6870.32</v>
      </c>
      <c r="G155">
        <v>8.1470000000000001E-2</v>
      </c>
      <c r="H155">
        <v>50</v>
      </c>
      <c r="I155">
        <v>50</v>
      </c>
      <c r="J155">
        <v>13</v>
      </c>
      <c r="K155">
        <v>17</v>
      </c>
      <c r="L155">
        <v>1</v>
      </c>
      <c r="M155">
        <v>9</v>
      </c>
      <c r="N155">
        <v>11</v>
      </c>
      <c r="O155">
        <v>6</v>
      </c>
      <c r="P155" t="s">
        <v>85</v>
      </c>
    </row>
    <row r="156" spans="1:16" x14ac:dyDescent="0.3">
      <c r="A156">
        <v>33</v>
      </c>
      <c r="B156">
        <v>2022</v>
      </c>
      <c r="C156">
        <v>773</v>
      </c>
      <c r="D156">
        <v>44</v>
      </c>
      <c r="E156">
        <v>32</v>
      </c>
      <c r="F156">
        <v>2226.79</v>
      </c>
      <c r="G156">
        <v>4.1397000000000003E-2</v>
      </c>
      <c r="H156">
        <v>19</v>
      </c>
      <c r="I156">
        <v>22</v>
      </c>
      <c r="J156">
        <v>4</v>
      </c>
      <c r="K156">
        <v>8</v>
      </c>
      <c r="L156">
        <v>0</v>
      </c>
      <c r="M156">
        <v>2</v>
      </c>
      <c r="N156">
        <v>4</v>
      </c>
      <c r="O156">
        <v>3</v>
      </c>
      <c r="P156" t="s">
        <v>175</v>
      </c>
    </row>
    <row r="157" spans="1:16" x14ac:dyDescent="0.3">
      <c r="A157">
        <v>33</v>
      </c>
      <c r="B157">
        <v>2023</v>
      </c>
      <c r="C157">
        <v>636</v>
      </c>
      <c r="D157">
        <v>62</v>
      </c>
      <c r="E157">
        <v>51</v>
      </c>
      <c r="F157">
        <v>5563.37</v>
      </c>
      <c r="G157">
        <v>8.0188999999999996E-2</v>
      </c>
      <c r="H157">
        <v>18</v>
      </c>
      <c r="I157">
        <v>24</v>
      </c>
      <c r="J157">
        <v>13</v>
      </c>
      <c r="K157">
        <v>8</v>
      </c>
      <c r="L157">
        <v>1</v>
      </c>
      <c r="M157">
        <v>6</v>
      </c>
      <c r="N157">
        <v>5</v>
      </c>
      <c r="O157">
        <v>5</v>
      </c>
      <c r="P157" t="s">
        <v>85</v>
      </c>
    </row>
    <row r="158" spans="1:16" x14ac:dyDescent="0.3">
      <c r="A158">
        <v>33</v>
      </c>
      <c r="B158">
        <v>2024</v>
      </c>
      <c r="C158">
        <v>663</v>
      </c>
      <c r="D158">
        <v>29</v>
      </c>
      <c r="E158">
        <v>21</v>
      </c>
      <c r="F158">
        <v>1984.94</v>
      </c>
      <c r="G158">
        <v>3.1674000000000001E-2</v>
      </c>
      <c r="H158">
        <v>7</v>
      </c>
      <c r="I158">
        <v>16</v>
      </c>
      <c r="J158">
        <v>5</v>
      </c>
      <c r="K158">
        <v>3</v>
      </c>
      <c r="L158">
        <v>0</v>
      </c>
      <c r="M158">
        <v>1</v>
      </c>
      <c r="N158">
        <v>1</v>
      </c>
      <c r="O158">
        <v>2</v>
      </c>
      <c r="P158" t="s">
        <v>175</v>
      </c>
    </row>
    <row r="159" spans="1:16" x14ac:dyDescent="0.3">
      <c r="A159">
        <v>33</v>
      </c>
      <c r="B159">
        <v>2025</v>
      </c>
      <c r="C159">
        <v>1025</v>
      </c>
      <c r="D159">
        <v>101</v>
      </c>
      <c r="E159">
        <v>96</v>
      </c>
      <c r="F159">
        <v>9539.2999999999993</v>
      </c>
      <c r="G159">
        <v>9.3659000000000006E-2</v>
      </c>
      <c r="H159">
        <v>33</v>
      </c>
      <c r="I159">
        <v>39</v>
      </c>
      <c r="J159">
        <v>20</v>
      </c>
      <c r="K159">
        <v>10</v>
      </c>
      <c r="L159">
        <v>1</v>
      </c>
      <c r="M159">
        <v>3</v>
      </c>
      <c r="N159">
        <v>7</v>
      </c>
      <c r="O159">
        <v>6</v>
      </c>
      <c r="P159" t="s">
        <v>85</v>
      </c>
    </row>
    <row r="160" spans="1:16" x14ac:dyDescent="0.3">
      <c r="A160">
        <v>34</v>
      </c>
      <c r="B160">
        <v>2021</v>
      </c>
      <c r="C160">
        <v>766</v>
      </c>
      <c r="D160">
        <v>69</v>
      </c>
      <c r="E160">
        <v>57</v>
      </c>
      <c r="F160">
        <v>2230.79</v>
      </c>
      <c r="G160">
        <v>7.4413000000000007E-2</v>
      </c>
      <c r="H160">
        <v>14</v>
      </c>
      <c r="I160">
        <v>26</v>
      </c>
      <c r="J160">
        <v>12</v>
      </c>
      <c r="K160">
        <v>6</v>
      </c>
      <c r="L160">
        <v>1</v>
      </c>
      <c r="M160">
        <v>4</v>
      </c>
      <c r="N160">
        <v>4</v>
      </c>
      <c r="O160">
        <v>4</v>
      </c>
      <c r="P160" t="s">
        <v>85</v>
      </c>
    </row>
    <row r="161" spans="1:16" x14ac:dyDescent="0.3">
      <c r="A161">
        <v>34</v>
      </c>
      <c r="B161">
        <v>2022</v>
      </c>
      <c r="C161">
        <v>1552</v>
      </c>
      <c r="D161">
        <v>141</v>
      </c>
      <c r="E161">
        <v>115</v>
      </c>
      <c r="F161">
        <v>10346.56</v>
      </c>
      <c r="G161">
        <v>7.4097999999999997E-2</v>
      </c>
      <c r="H161">
        <v>27</v>
      </c>
      <c r="I161">
        <v>49</v>
      </c>
      <c r="J161">
        <v>14</v>
      </c>
      <c r="K161">
        <v>11</v>
      </c>
      <c r="L161">
        <v>0</v>
      </c>
      <c r="M161">
        <v>3</v>
      </c>
      <c r="N161">
        <v>5</v>
      </c>
      <c r="O161">
        <v>8</v>
      </c>
      <c r="P161" t="s">
        <v>175</v>
      </c>
    </row>
    <row r="162" spans="1:16" x14ac:dyDescent="0.3">
      <c r="A162">
        <v>34</v>
      </c>
      <c r="B162">
        <v>2024</v>
      </c>
      <c r="C162">
        <v>1130</v>
      </c>
      <c r="D162">
        <v>117</v>
      </c>
      <c r="E162">
        <v>100</v>
      </c>
      <c r="F162">
        <v>5153.66</v>
      </c>
      <c r="G162">
        <v>8.8496000000000005E-2</v>
      </c>
      <c r="H162">
        <v>20</v>
      </c>
      <c r="I162">
        <v>41</v>
      </c>
      <c r="J162">
        <v>18</v>
      </c>
      <c r="K162">
        <v>17</v>
      </c>
      <c r="L162">
        <v>1</v>
      </c>
      <c r="M162">
        <v>8</v>
      </c>
      <c r="N162">
        <v>8</v>
      </c>
      <c r="O162">
        <v>5</v>
      </c>
      <c r="P162" t="s">
        <v>85</v>
      </c>
    </row>
    <row r="163" spans="1:16" x14ac:dyDescent="0.3">
      <c r="A163">
        <v>34</v>
      </c>
      <c r="B163">
        <v>2025</v>
      </c>
      <c r="C163">
        <v>781</v>
      </c>
      <c r="D163">
        <v>59</v>
      </c>
      <c r="E163">
        <v>45</v>
      </c>
      <c r="F163">
        <v>4386.83</v>
      </c>
      <c r="G163">
        <v>5.7618000000000003E-2</v>
      </c>
      <c r="H163">
        <v>22</v>
      </c>
      <c r="I163">
        <v>28</v>
      </c>
      <c r="J163">
        <v>12</v>
      </c>
      <c r="K163">
        <v>11</v>
      </c>
      <c r="L163">
        <v>1</v>
      </c>
      <c r="M163">
        <v>4</v>
      </c>
      <c r="N163">
        <v>4</v>
      </c>
      <c r="O163">
        <v>3</v>
      </c>
      <c r="P163" t="s">
        <v>85</v>
      </c>
    </row>
    <row r="164" spans="1:16" x14ac:dyDescent="0.3">
      <c r="A164">
        <v>35</v>
      </c>
      <c r="B164">
        <v>2021</v>
      </c>
      <c r="C164">
        <v>2654</v>
      </c>
      <c r="D164">
        <v>262</v>
      </c>
      <c r="E164">
        <v>228</v>
      </c>
      <c r="F164">
        <v>25669.82</v>
      </c>
      <c r="G164">
        <v>8.5907999999999998E-2</v>
      </c>
      <c r="H164">
        <v>38</v>
      </c>
      <c r="I164">
        <v>89</v>
      </c>
      <c r="J164">
        <v>41</v>
      </c>
      <c r="K164">
        <v>17</v>
      </c>
      <c r="L164">
        <v>1</v>
      </c>
      <c r="M164">
        <v>6</v>
      </c>
      <c r="N164">
        <v>8</v>
      </c>
      <c r="O164">
        <v>8</v>
      </c>
      <c r="P164" t="s">
        <v>85</v>
      </c>
    </row>
    <row r="165" spans="1:16" x14ac:dyDescent="0.3">
      <c r="A165">
        <v>35</v>
      </c>
      <c r="B165">
        <v>2023</v>
      </c>
      <c r="C165">
        <v>344</v>
      </c>
      <c r="D165">
        <v>26</v>
      </c>
      <c r="E165">
        <v>20</v>
      </c>
      <c r="F165">
        <v>1777.15</v>
      </c>
      <c r="G165">
        <v>5.8139999999999997E-2</v>
      </c>
      <c r="H165">
        <v>8</v>
      </c>
      <c r="I165">
        <v>12</v>
      </c>
      <c r="J165">
        <v>4</v>
      </c>
      <c r="K165">
        <v>4</v>
      </c>
      <c r="L165">
        <v>1</v>
      </c>
      <c r="M165">
        <v>4</v>
      </c>
      <c r="N165">
        <v>3</v>
      </c>
      <c r="O165">
        <v>2</v>
      </c>
      <c r="P165" t="s">
        <v>68</v>
      </c>
    </row>
    <row r="166" spans="1:16" x14ac:dyDescent="0.3">
      <c r="A166">
        <v>35</v>
      </c>
      <c r="B166">
        <v>2024</v>
      </c>
      <c r="C166">
        <v>493</v>
      </c>
      <c r="D166">
        <v>43</v>
      </c>
      <c r="E166">
        <v>31</v>
      </c>
      <c r="F166">
        <v>2454.1799999999998</v>
      </c>
      <c r="G166">
        <v>6.2880000000000005E-2</v>
      </c>
      <c r="H166">
        <v>12</v>
      </c>
      <c r="I166">
        <v>20</v>
      </c>
      <c r="J166">
        <v>7</v>
      </c>
      <c r="K166">
        <v>7</v>
      </c>
      <c r="L166">
        <v>1</v>
      </c>
      <c r="M166">
        <v>6</v>
      </c>
      <c r="N166">
        <v>6</v>
      </c>
      <c r="O166">
        <v>1</v>
      </c>
      <c r="P166" t="s">
        <v>85</v>
      </c>
    </row>
    <row r="167" spans="1:16" x14ac:dyDescent="0.3">
      <c r="A167">
        <v>35</v>
      </c>
      <c r="B167">
        <v>2025</v>
      </c>
      <c r="C167">
        <v>80</v>
      </c>
      <c r="D167">
        <v>4</v>
      </c>
      <c r="E167">
        <v>3</v>
      </c>
      <c r="F167">
        <v>196.99</v>
      </c>
      <c r="G167">
        <v>3.7499999999999999E-2</v>
      </c>
      <c r="H167">
        <v>6</v>
      </c>
      <c r="I167">
        <v>6</v>
      </c>
      <c r="J167">
        <v>1</v>
      </c>
      <c r="K167">
        <v>4</v>
      </c>
      <c r="L167">
        <v>0</v>
      </c>
      <c r="M167">
        <v>1</v>
      </c>
      <c r="N167">
        <v>2</v>
      </c>
      <c r="O167">
        <v>0</v>
      </c>
      <c r="P167" t="s">
        <v>68</v>
      </c>
    </row>
    <row r="168" spans="1:16" x14ac:dyDescent="0.3">
      <c r="A168">
        <v>36</v>
      </c>
      <c r="B168">
        <v>2021</v>
      </c>
      <c r="C168">
        <v>2383</v>
      </c>
      <c r="D168">
        <v>235</v>
      </c>
      <c r="E168">
        <v>189</v>
      </c>
      <c r="F168">
        <v>10928.63</v>
      </c>
      <c r="G168">
        <v>7.9311999999999994E-2</v>
      </c>
      <c r="H168">
        <v>35</v>
      </c>
      <c r="I168">
        <v>71</v>
      </c>
      <c r="J168">
        <v>28</v>
      </c>
      <c r="K168">
        <v>10</v>
      </c>
      <c r="L168">
        <v>1</v>
      </c>
      <c r="M168">
        <v>5</v>
      </c>
      <c r="N168">
        <v>6</v>
      </c>
      <c r="O168">
        <v>16</v>
      </c>
      <c r="P168" t="s">
        <v>85</v>
      </c>
    </row>
    <row r="169" spans="1:16" x14ac:dyDescent="0.3">
      <c r="A169">
        <v>36</v>
      </c>
      <c r="B169">
        <v>2022</v>
      </c>
      <c r="C169">
        <v>1855</v>
      </c>
      <c r="D169">
        <v>132</v>
      </c>
      <c r="E169">
        <v>121</v>
      </c>
      <c r="F169">
        <v>6203.15</v>
      </c>
      <c r="G169">
        <v>6.5228999999999995E-2</v>
      </c>
      <c r="H169">
        <v>27</v>
      </c>
      <c r="I169">
        <v>41</v>
      </c>
      <c r="J169">
        <v>22</v>
      </c>
      <c r="K169">
        <v>11</v>
      </c>
      <c r="L169">
        <v>0</v>
      </c>
      <c r="M169">
        <v>4</v>
      </c>
      <c r="N169">
        <v>6</v>
      </c>
      <c r="O169">
        <v>5</v>
      </c>
      <c r="P169" t="s">
        <v>175</v>
      </c>
    </row>
    <row r="170" spans="1:16" x14ac:dyDescent="0.3">
      <c r="A170">
        <v>36</v>
      </c>
      <c r="B170">
        <v>2023</v>
      </c>
      <c r="C170">
        <v>781</v>
      </c>
      <c r="D170">
        <v>44</v>
      </c>
      <c r="E170">
        <v>37</v>
      </c>
      <c r="F170">
        <v>1435.89</v>
      </c>
      <c r="G170">
        <v>4.7375E-2</v>
      </c>
      <c r="H170">
        <v>15</v>
      </c>
      <c r="I170">
        <v>15</v>
      </c>
      <c r="J170">
        <v>7</v>
      </c>
      <c r="K170">
        <v>7</v>
      </c>
      <c r="L170">
        <v>0</v>
      </c>
      <c r="M170">
        <v>1</v>
      </c>
      <c r="N170">
        <v>2</v>
      </c>
      <c r="O170">
        <v>2</v>
      </c>
      <c r="P170" t="s">
        <v>175</v>
      </c>
    </row>
    <row r="171" spans="1:16" x14ac:dyDescent="0.3">
      <c r="A171">
        <v>36</v>
      </c>
      <c r="B171">
        <v>2024</v>
      </c>
      <c r="C171">
        <v>1291</v>
      </c>
      <c r="D171">
        <v>67</v>
      </c>
      <c r="E171">
        <v>62</v>
      </c>
      <c r="F171">
        <v>1917.7</v>
      </c>
      <c r="G171">
        <v>4.8024999999999998E-2</v>
      </c>
      <c r="H171">
        <v>15</v>
      </c>
      <c r="I171">
        <v>31</v>
      </c>
      <c r="J171">
        <v>8</v>
      </c>
      <c r="K171">
        <v>12</v>
      </c>
      <c r="L171">
        <v>1</v>
      </c>
      <c r="M171">
        <v>4</v>
      </c>
      <c r="N171">
        <v>5</v>
      </c>
      <c r="O171">
        <v>5</v>
      </c>
      <c r="P171" t="s">
        <v>85</v>
      </c>
    </row>
    <row r="172" spans="1:16" x14ac:dyDescent="0.3">
      <c r="A172">
        <v>36</v>
      </c>
      <c r="B172">
        <v>2025</v>
      </c>
      <c r="C172">
        <v>1600</v>
      </c>
      <c r="D172">
        <v>107</v>
      </c>
      <c r="E172">
        <v>84</v>
      </c>
      <c r="F172">
        <v>3131.24</v>
      </c>
      <c r="G172">
        <v>5.2499999999999998E-2</v>
      </c>
      <c r="H172">
        <v>19</v>
      </c>
      <c r="I172">
        <v>43</v>
      </c>
      <c r="J172">
        <v>18</v>
      </c>
      <c r="K172">
        <v>7</v>
      </c>
      <c r="L172">
        <v>1</v>
      </c>
      <c r="M172">
        <v>2</v>
      </c>
      <c r="N172">
        <v>3</v>
      </c>
      <c r="O172">
        <v>3</v>
      </c>
      <c r="P172" t="s">
        <v>85</v>
      </c>
    </row>
    <row r="173" spans="1:16" x14ac:dyDescent="0.3">
      <c r="A173">
        <v>37</v>
      </c>
      <c r="B173">
        <v>2021</v>
      </c>
      <c r="C173">
        <v>874</v>
      </c>
      <c r="D173">
        <v>48</v>
      </c>
      <c r="E173">
        <v>37</v>
      </c>
      <c r="F173">
        <v>2119.1999999999998</v>
      </c>
      <c r="G173">
        <v>4.2333999999999997E-2</v>
      </c>
      <c r="H173">
        <v>8</v>
      </c>
      <c r="I173">
        <v>18</v>
      </c>
      <c r="J173">
        <v>9</v>
      </c>
      <c r="K173">
        <v>5</v>
      </c>
      <c r="L173">
        <v>0</v>
      </c>
      <c r="M173">
        <v>1</v>
      </c>
      <c r="N173">
        <v>2</v>
      </c>
      <c r="O173">
        <v>2</v>
      </c>
      <c r="P173" t="s">
        <v>175</v>
      </c>
    </row>
    <row r="174" spans="1:16" x14ac:dyDescent="0.3">
      <c r="A174">
        <v>37</v>
      </c>
      <c r="B174">
        <v>2022</v>
      </c>
      <c r="C174">
        <v>816</v>
      </c>
      <c r="D174">
        <v>37</v>
      </c>
      <c r="E174">
        <v>32</v>
      </c>
      <c r="F174">
        <v>2916.82</v>
      </c>
      <c r="G174">
        <v>3.9216000000000001E-2</v>
      </c>
      <c r="H174">
        <v>11</v>
      </c>
      <c r="I174">
        <v>23</v>
      </c>
      <c r="J174">
        <v>7</v>
      </c>
      <c r="K174">
        <v>4</v>
      </c>
      <c r="L174">
        <v>0</v>
      </c>
      <c r="M174">
        <v>0</v>
      </c>
      <c r="N174">
        <v>2</v>
      </c>
      <c r="O174">
        <v>1</v>
      </c>
      <c r="P174" t="s">
        <v>175</v>
      </c>
    </row>
    <row r="175" spans="1:16" x14ac:dyDescent="0.3">
      <c r="A175">
        <v>37</v>
      </c>
      <c r="B175">
        <v>2023</v>
      </c>
      <c r="C175">
        <v>1621</v>
      </c>
      <c r="D175">
        <v>171</v>
      </c>
      <c r="E175">
        <v>127</v>
      </c>
      <c r="F175">
        <v>6607.85</v>
      </c>
      <c r="G175">
        <v>7.8347E-2</v>
      </c>
      <c r="H175">
        <v>36</v>
      </c>
      <c r="I175">
        <v>51</v>
      </c>
      <c r="J175">
        <v>28</v>
      </c>
      <c r="K175">
        <v>14</v>
      </c>
      <c r="L175">
        <v>0</v>
      </c>
      <c r="M175">
        <v>3</v>
      </c>
      <c r="N175">
        <v>9</v>
      </c>
      <c r="O175">
        <v>3</v>
      </c>
      <c r="P175" t="s">
        <v>85</v>
      </c>
    </row>
    <row r="176" spans="1:16" x14ac:dyDescent="0.3">
      <c r="A176">
        <v>37</v>
      </c>
      <c r="B176">
        <v>2024</v>
      </c>
      <c r="C176">
        <v>556</v>
      </c>
      <c r="D176">
        <v>26</v>
      </c>
      <c r="E176">
        <v>21</v>
      </c>
      <c r="F176">
        <v>812.81</v>
      </c>
      <c r="G176">
        <v>3.7769999999999998E-2</v>
      </c>
      <c r="H176">
        <v>15</v>
      </c>
      <c r="I176">
        <v>15</v>
      </c>
      <c r="J176">
        <v>5</v>
      </c>
      <c r="K176">
        <v>6</v>
      </c>
      <c r="L176">
        <v>0</v>
      </c>
      <c r="M176">
        <v>1</v>
      </c>
      <c r="N176">
        <v>3</v>
      </c>
      <c r="O176">
        <v>1</v>
      </c>
      <c r="P176" t="s">
        <v>175</v>
      </c>
    </row>
    <row r="177" spans="1:16" x14ac:dyDescent="0.3">
      <c r="A177">
        <v>37</v>
      </c>
      <c r="B177">
        <v>2025</v>
      </c>
      <c r="C177">
        <v>1439</v>
      </c>
      <c r="D177">
        <v>142</v>
      </c>
      <c r="E177">
        <v>114</v>
      </c>
      <c r="F177">
        <v>10985.61</v>
      </c>
      <c r="G177">
        <v>7.9222000000000001E-2</v>
      </c>
      <c r="H177">
        <v>36</v>
      </c>
      <c r="I177">
        <v>53</v>
      </c>
      <c r="J177">
        <v>22</v>
      </c>
      <c r="K177">
        <v>17</v>
      </c>
      <c r="L177">
        <v>1</v>
      </c>
      <c r="M177">
        <v>7</v>
      </c>
      <c r="N177">
        <v>8</v>
      </c>
      <c r="O177">
        <v>7</v>
      </c>
      <c r="P177" t="s">
        <v>85</v>
      </c>
    </row>
    <row r="178" spans="1:16" x14ac:dyDescent="0.3">
      <c r="A178">
        <v>38</v>
      </c>
      <c r="B178">
        <v>2021</v>
      </c>
      <c r="C178">
        <v>856</v>
      </c>
      <c r="D178">
        <v>88</v>
      </c>
      <c r="E178">
        <v>63</v>
      </c>
      <c r="F178">
        <v>2918.6</v>
      </c>
      <c r="G178">
        <v>7.3597999999999997E-2</v>
      </c>
      <c r="H178">
        <v>21</v>
      </c>
      <c r="I178">
        <v>33</v>
      </c>
      <c r="J178">
        <v>11</v>
      </c>
      <c r="K178">
        <v>8</v>
      </c>
      <c r="L178">
        <v>1</v>
      </c>
      <c r="M178">
        <v>5</v>
      </c>
      <c r="N178">
        <v>7</v>
      </c>
      <c r="O178">
        <v>5</v>
      </c>
      <c r="P178" t="s">
        <v>85</v>
      </c>
    </row>
    <row r="179" spans="1:16" x14ac:dyDescent="0.3">
      <c r="A179">
        <v>38</v>
      </c>
      <c r="B179">
        <v>2022</v>
      </c>
      <c r="C179">
        <v>960</v>
      </c>
      <c r="D179">
        <v>79</v>
      </c>
      <c r="E179">
        <v>69</v>
      </c>
      <c r="F179">
        <v>4705.13</v>
      </c>
      <c r="G179">
        <v>7.1874999999999994E-2</v>
      </c>
      <c r="H179">
        <v>14</v>
      </c>
      <c r="I179">
        <v>30</v>
      </c>
      <c r="J179">
        <v>15</v>
      </c>
      <c r="K179">
        <v>6</v>
      </c>
      <c r="L179">
        <v>1</v>
      </c>
      <c r="M179">
        <v>5</v>
      </c>
      <c r="N179">
        <v>3</v>
      </c>
      <c r="O179">
        <v>2</v>
      </c>
      <c r="P179" t="s">
        <v>85</v>
      </c>
    </row>
    <row r="180" spans="1:16" x14ac:dyDescent="0.3">
      <c r="A180">
        <v>38</v>
      </c>
      <c r="B180">
        <v>2023</v>
      </c>
      <c r="C180">
        <v>1861</v>
      </c>
      <c r="D180">
        <v>178</v>
      </c>
      <c r="E180">
        <v>143</v>
      </c>
      <c r="F180">
        <v>9852.93</v>
      </c>
      <c r="G180">
        <v>7.6840000000000006E-2</v>
      </c>
      <c r="H180">
        <v>25</v>
      </c>
      <c r="I180">
        <v>56</v>
      </c>
      <c r="J180">
        <v>29</v>
      </c>
      <c r="K180">
        <v>7</v>
      </c>
      <c r="L180">
        <v>1</v>
      </c>
      <c r="M180">
        <v>4</v>
      </c>
      <c r="N180">
        <v>7</v>
      </c>
      <c r="O180">
        <v>6</v>
      </c>
      <c r="P180" t="s">
        <v>85</v>
      </c>
    </row>
    <row r="181" spans="1:16" x14ac:dyDescent="0.3">
      <c r="A181">
        <v>38</v>
      </c>
      <c r="B181">
        <v>2024</v>
      </c>
      <c r="C181">
        <v>722</v>
      </c>
      <c r="D181">
        <v>37</v>
      </c>
      <c r="E181">
        <v>29</v>
      </c>
      <c r="F181">
        <v>1688.51</v>
      </c>
      <c r="G181">
        <v>4.0166E-2</v>
      </c>
      <c r="H181">
        <v>7</v>
      </c>
      <c r="I181">
        <v>13</v>
      </c>
      <c r="J181">
        <v>5</v>
      </c>
      <c r="K181">
        <v>6</v>
      </c>
      <c r="L181">
        <v>0</v>
      </c>
      <c r="M181">
        <v>2</v>
      </c>
      <c r="N181">
        <v>3</v>
      </c>
      <c r="O181">
        <v>2</v>
      </c>
      <c r="P181" t="s">
        <v>175</v>
      </c>
    </row>
    <row r="182" spans="1:16" x14ac:dyDescent="0.3">
      <c r="A182">
        <v>38</v>
      </c>
      <c r="B182">
        <v>2025</v>
      </c>
      <c r="C182">
        <v>1294</v>
      </c>
      <c r="D182">
        <v>88</v>
      </c>
      <c r="E182">
        <v>73</v>
      </c>
      <c r="F182">
        <v>4734.08</v>
      </c>
      <c r="G182">
        <v>5.6413999999999999E-2</v>
      </c>
      <c r="H182">
        <v>19</v>
      </c>
      <c r="I182">
        <v>26</v>
      </c>
      <c r="J182">
        <v>8</v>
      </c>
      <c r="K182">
        <v>5</v>
      </c>
      <c r="L182">
        <v>0</v>
      </c>
      <c r="M182">
        <v>2</v>
      </c>
      <c r="N182">
        <v>2</v>
      </c>
      <c r="O182">
        <v>4</v>
      </c>
      <c r="P182" t="s">
        <v>175</v>
      </c>
    </row>
    <row r="183" spans="1:16" x14ac:dyDescent="0.3">
      <c r="A183">
        <v>39</v>
      </c>
      <c r="B183">
        <v>2021</v>
      </c>
      <c r="C183">
        <v>901</v>
      </c>
      <c r="D183">
        <v>72</v>
      </c>
      <c r="E183">
        <v>63</v>
      </c>
      <c r="F183">
        <v>6358.76</v>
      </c>
      <c r="G183">
        <v>6.9921999999999998E-2</v>
      </c>
      <c r="H183">
        <v>18</v>
      </c>
      <c r="I183">
        <v>34</v>
      </c>
      <c r="J183">
        <v>11</v>
      </c>
      <c r="K183">
        <v>10</v>
      </c>
      <c r="L183">
        <v>0</v>
      </c>
      <c r="M183">
        <v>2</v>
      </c>
      <c r="N183">
        <v>6</v>
      </c>
      <c r="O183">
        <v>2</v>
      </c>
      <c r="P183" t="s">
        <v>175</v>
      </c>
    </row>
    <row r="184" spans="1:16" x14ac:dyDescent="0.3">
      <c r="A184">
        <v>39</v>
      </c>
      <c r="B184">
        <v>2022</v>
      </c>
      <c r="C184">
        <v>402</v>
      </c>
      <c r="D184">
        <v>30</v>
      </c>
      <c r="E184">
        <v>23</v>
      </c>
      <c r="F184">
        <v>1916.21</v>
      </c>
      <c r="G184">
        <v>5.7214000000000001E-2</v>
      </c>
      <c r="H184">
        <v>9</v>
      </c>
      <c r="I184">
        <v>11</v>
      </c>
      <c r="J184">
        <v>7</v>
      </c>
      <c r="K184">
        <v>6</v>
      </c>
      <c r="L184">
        <v>1</v>
      </c>
      <c r="M184">
        <v>6</v>
      </c>
      <c r="N184">
        <v>3</v>
      </c>
      <c r="O184">
        <v>2</v>
      </c>
      <c r="P184" t="s">
        <v>85</v>
      </c>
    </row>
    <row r="185" spans="1:16" x14ac:dyDescent="0.3">
      <c r="A185">
        <v>39</v>
      </c>
      <c r="B185">
        <v>2024</v>
      </c>
      <c r="C185">
        <v>1168</v>
      </c>
      <c r="D185">
        <v>112</v>
      </c>
      <c r="E185">
        <v>94</v>
      </c>
      <c r="F185">
        <v>10694.74</v>
      </c>
      <c r="G185">
        <v>8.0478999999999995E-2</v>
      </c>
      <c r="H185">
        <v>24</v>
      </c>
      <c r="I185">
        <v>34</v>
      </c>
      <c r="J185">
        <v>13</v>
      </c>
      <c r="K185">
        <v>9</v>
      </c>
      <c r="L185">
        <v>1</v>
      </c>
      <c r="M185">
        <v>5</v>
      </c>
      <c r="N185">
        <v>6</v>
      </c>
      <c r="O185">
        <v>6</v>
      </c>
      <c r="P185" t="s">
        <v>85</v>
      </c>
    </row>
    <row r="186" spans="1:16" x14ac:dyDescent="0.3">
      <c r="A186">
        <v>39</v>
      </c>
      <c r="B186">
        <v>2025</v>
      </c>
      <c r="C186">
        <v>1707</v>
      </c>
      <c r="D186">
        <v>165</v>
      </c>
      <c r="E186">
        <v>146</v>
      </c>
      <c r="F186">
        <v>6059.01</v>
      </c>
      <c r="G186">
        <v>8.5529999999999995E-2</v>
      </c>
      <c r="H186">
        <v>28</v>
      </c>
      <c r="I186">
        <v>56</v>
      </c>
      <c r="J186">
        <v>21</v>
      </c>
      <c r="K186">
        <v>17</v>
      </c>
      <c r="L186">
        <v>1</v>
      </c>
      <c r="M186">
        <v>6</v>
      </c>
      <c r="N186">
        <v>9</v>
      </c>
      <c r="O186">
        <v>8</v>
      </c>
      <c r="P186" t="s">
        <v>85</v>
      </c>
    </row>
    <row r="187" spans="1:16" x14ac:dyDescent="0.3">
      <c r="A187">
        <v>40</v>
      </c>
      <c r="B187">
        <v>2021</v>
      </c>
      <c r="C187">
        <v>1231</v>
      </c>
      <c r="D187">
        <v>138</v>
      </c>
      <c r="E187">
        <v>109</v>
      </c>
      <c r="F187">
        <v>6176.14</v>
      </c>
      <c r="G187">
        <v>8.8546E-2</v>
      </c>
      <c r="H187">
        <v>28</v>
      </c>
      <c r="I187">
        <v>44</v>
      </c>
      <c r="J187">
        <v>15</v>
      </c>
      <c r="K187">
        <v>12</v>
      </c>
      <c r="L187">
        <v>1</v>
      </c>
      <c r="M187">
        <v>4</v>
      </c>
      <c r="N187">
        <v>6</v>
      </c>
      <c r="O187">
        <v>5</v>
      </c>
      <c r="P187" t="s">
        <v>85</v>
      </c>
    </row>
    <row r="188" spans="1:16" x14ac:dyDescent="0.3">
      <c r="A188">
        <v>40</v>
      </c>
      <c r="B188">
        <v>2022</v>
      </c>
      <c r="C188">
        <v>1342</v>
      </c>
      <c r="D188">
        <v>133</v>
      </c>
      <c r="E188">
        <v>123</v>
      </c>
      <c r="F188">
        <v>9593.8799999999992</v>
      </c>
      <c r="G188">
        <v>9.1653999999999999E-2</v>
      </c>
      <c r="H188">
        <v>23</v>
      </c>
      <c r="I188">
        <v>44</v>
      </c>
      <c r="J188">
        <v>17</v>
      </c>
      <c r="K188">
        <v>9</v>
      </c>
      <c r="L188">
        <v>1</v>
      </c>
      <c r="M188">
        <v>4</v>
      </c>
      <c r="N188">
        <v>6</v>
      </c>
      <c r="O188">
        <v>8</v>
      </c>
      <c r="P188" t="s">
        <v>85</v>
      </c>
    </row>
    <row r="189" spans="1:16" x14ac:dyDescent="0.3">
      <c r="A189">
        <v>40</v>
      </c>
      <c r="B189">
        <v>2023</v>
      </c>
      <c r="C189">
        <v>831</v>
      </c>
      <c r="D189">
        <v>69</v>
      </c>
      <c r="E189">
        <v>65</v>
      </c>
      <c r="F189">
        <v>3623.07</v>
      </c>
      <c r="G189">
        <v>7.8218999999999997E-2</v>
      </c>
      <c r="H189">
        <v>9</v>
      </c>
      <c r="I189">
        <v>22</v>
      </c>
      <c r="J189">
        <v>15</v>
      </c>
      <c r="K189">
        <v>5</v>
      </c>
      <c r="L189">
        <v>1</v>
      </c>
      <c r="M189">
        <v>4</v>
      </c>
      <c r="N189">
        <v>4</v>
      </c>
      <c r="O189">
        <v>5</v>
      </c>
      <c r="P189" t="s">
        <v>85</v>
      </c>
    </row>
    <row r="190" spans="1:16" x14ac:dyDescent="0.3">
      <c r="A190">
        <v>40</v>
      </c>
      <c r="B190">
        <v>2024</v>
      </c>
      <c r="C190">
        <v>859</v>
      </c>
      <c r="D190">
        <v>48</v>
      </c>
      <c r="E190">
        <v>38</v>
      </c>
      <c r="F190">
        <v>2955.94</v>
      </c>
      <c r="G190">
        <v>4.4236999999999999E-2</v>
      </c>
      <c r="H190">
        <v>16</v>
      </c>
      <c r="I190">
        <v>18</v>
      </c>
      <c r="J190">
        <v>9</v>
      </c>
      <c r="K190">
        <v>9</v>
      </c>
      <c r="L190">
        <v>1</v>
      </c>
      <c r="M190">
        <v>2</v>
      </c>
      <c r="N190">
        <v>2</v>
      </c>
      <c r="O190">
        <v>1</v>
      </c>
      <c r="P190" t="s">
        <v>85</v>
      </c>
    </row>
    <row r="191" spans="1:16" x14ac:dyDescent="0.3">
      <c r="A191">
        <v>40</v>
      </c>
      <c r="B191">
        <v>2025</v>
      </c>
      <c r="C191">
        <v>1175</v>
      </c>
      <c r="D191">
        <v>103</v>
      </c>
      <c r="E191">
        <v>85</v>
      </c>
      <c r="F191">
        <v>8958.89</v>
      </c>
      <c r="G191">
        <v>7.2340000000000002E-2</v>
      </c>
      <c r="H191">
        <v>24</v>
      </c>
      <c r="I191">
        <v>39</v>
      </c>
      <c r="J191">
        <v>21</v>
      </c>
      <c r="K191">
        <v>11</v>
      </c>
      <c r="L191">
        <v>1</v>
      </c>
      <c r="M191">
        <v>4</v>
      </c>
      <c r="N191">
        <v>9</v>
      </c>
      <c r="O191">
        <v>2</v>
      </c>
      <c r="P191" t="s">
        <v>85</v>
      </c>
    </row>
    <row r="192" spans="1:16" x14ac:dyDescent="0.3">
      <c r="A192">
        <v>41</v>
      </c>
      <c r="B192">
        <v>2021</v>
      </c>
      <c r="C192">
        <v>483</v>
      </c>
      <c r="D192">
        <v>44</v>
      </c>
      <c r="E192">
        <v>37</v>
      </c>
      <c r="F192">
        <v>1427.6</v>
      </c>
      <c r="G192">
        <v>7.6605000000000006E-2</v>
      </c>
      <c r="H192">
        <v>18</v>
      </c>
      <c r="I192">
        <v>20</v>
      </c>
      <c r="J192">
        <v>6</v>
      </c>
      <c r="K192">
        <v>7</v>
      </c>
      <c r="L192">
        <v>1</v>
      </c>
      <c r="M192">
        <v>5</v>
      </c>
      <c r="N192">
        <v>4</v>
      </c>
      <c r="O192">
        <v>2</v>
      </c>
      <c r="P192" t="s">
        <v>85</v>
      </c>
    </row>
    <row r="193" spans="1:16" x14ac:dyDescent="0.3">
      <c r="A193">
        <v>41</v>
      </c>
      <c r="B193">
        <v>2022</v>
      </c>
      <c r="C193">
        <v>1432</v>
      </c>
      <c r="D193">
        <v>118</v>
      </c>
      <c r="E193">
        <v>109</v>
      </c>
      <c r="F193">
        <v>6570.59</v>
      </c>
      <c r="G193">
        <v>7.6117000000000004E-2</v>
      </c>
      <c r="H193">
        <v>22</v>
      </c>
      <c r="I193">
        <v>45</v>
      </c>
      <c r="J193">
        <v>19</v>
      </c>
      <c r="K193">
        <v>8</v>
      </c>
      <c r="L193">
        <v>1</v>
      </c>
      <c r="M193">
        <v>6</v>
      </c>
      <c r="N193">
        <v>5</v>
      </c>
      <c r="O193">
        <v>7</v>
      </c>
      <c r="P193" t="s">
        <v>85</v>
      </c>
    </row>
    <row r="194" spans="1:16" x14ac:dyDescent="0.3">
      <c r="A194">
        <v>41</v>
      </c>
      <c r="B194">
        <v>2023</v>
      </c>
      <c r="C194">
        <v>218</v>
      </c>
      <c r="D194">
        <v>11</v>
      </c>
      <c r="E194">
        <v>9</v>
      </c>
      <c r="F194">
        <v>623.83000000000004</v>
      </c>
      <c r="G194">
        <v>4.1284000000000001E-2</v>
      </c>
      <c r="H194">
        <v>11</v>
      </c>
      <c r="I194">
        <v>11</v>
      </c>
      <c r="J194">
        <v>2</v>
      </c>
      <c r="K194">
        <v>3</v>
      </c>
      <c r="L194">
        <v>0</v>
      </c>
      <c r="M194">
        <v>0</v>
      </c>
      <c r="N194">
        <v>2</v>
      </c>
      <c r="O194">
        <v>0</v>
      </c>
      <c r="P194" t="s">
        <v>68</v>
      </c>
    </row>
    <row r="195" spans="1:16" x14ac:dyDescent="0.3">
      <c r="A195">
        <v>41</v>
      </c>
      <c r="B195">
        <v>2024</v>
      </c>
      <c r="C195">
        <v>1781</v>
      </c>
      <c r="D195">
        <v>112</v>
      </c>
      <c r="E195">
        <v>92</v>
      </c>
      <c r="F195">
        <v>5141.79</v>
      </c>
      <c r="G195">
        <v>5.1656000000000001E-2</v>
      </c>
      <c r="H195">
        <v>30</v>
      </c>
      <c r="I195">
        <v>41</v>
      </c>
      <c r="J195">
        <v>14</v>
      </c>
      <c r="K195">
        <v>17</v>
      </c>
      <c r="L195">
        <v>0</v>
      </c>
      <c r="M195">
        <v>4</v>
      </c>
      <c r="N195">
        <v>7</v>
      </c>
      <c r="O195">
        <v>3</v>
      </c>
      <c r="P195" t="s">
        <v>175</v>
      </c>
    </row>
    <row r="196" spans="1:16" x14ac:dyDescent="0.3">
      <c r="A196">
        <v>41</v>
      </c>
      <c r="B196">
        <v>2025</v>
      </c>
      <c r="C196">
        <v>440</v>
      </c>
      <c r="D196">
        <v>49</v>
      </c>
      <c r="E196">
        <v>45</v>
      </c>
      <c r="F196">
        <v>4269.47</v>
      </c>
      <c r="G196">
        <v>0.102273</v>
      </c>
      <c r="H196">
        <v>17</v>
      </c>
      <c r="I196">
        <v>21</v>
      </c>
      <c r="J196">
        <v>11</v>
      </c>
      <c r="K196">
        <v>8</v>
      </c>
      <c r="L196">
        <v>0</v>
      </c>
      <c r="M196">
        <v>1</v>
      </c>
      <c r="N196">
        <v>4</v>
      </c>
      <c r="O196">
        <v>3</v>
      </c>
      <c r="P196" t="s">
        <v>85</v>
      </c>
    </row>
    <row r="197" spans="1:16" x14ac:dyDescent="0.3">
      <c r="A197">
        <v>42</v>
      </c>
      <c r="B197">
        <v>2021</v>
      </c>
      <c r="C197">
        <v>296</v>
      </c>
      <c r="D197">
        <v>25</v>
      </c>
      <c r="E197">
        <v>19</v>
      </c>
      <c r="F197">
        <v>837.73</v>
      </c>
      <c r="G197">
        <v>6.4188999999999996E-2</v>
      </c>
      <c r="H197">
        <v>18</v>
      </c>
      <c r="I197">
        <v>18</v>
      </c>
      <c r="J197">
        <v>6</v>
      </c>
      <c r="K197">
        <v>7</v>
      </c>
      <c r="L197">
        <v>1</v>
      </c>
      <c r="M197">
        <v>3</v>
      </c>
      <c r="N197">
        <v>6</v>
      </c>
      <c r="O197">
        <v>2</v>
      </c>
      <c r="P197" t="s">
        <v>85</v>
      </c>
    </row>
    <row r="198" spans="1:16" x14ac:dyDescent="0.3">
      <c r="A198">
        <v>42</v>
      </c>
      <c r="B198">
        <v>2022</v>
      </c>
      <c r="C198">
        <v>1359</v>
      </c>
      <c r="D198">
        <v>81</v>
      </c>
      <c r="E198">
        <v>59</v>
      </c>
      <c r="F198">
        <v>5107.78</v>
      </c>
      <c r="G198">
        <v>4.3414000000000001E-2</v>
      </c>
      <c r="H198">
        <v>8</v>
      </c>
      <c r="I198">
        <v>29</v>
      </c>
      <c r="J198">
        <v>7</v>
      </c>
      <c r="K198">
        <v>7</v>
      </c>
      <c r="L198">
        <v>0</v>
      </c>
      <c r="M198">
        <v>2</v>
      </c>
      <c r="N198">
        <v>2</v>
      </c>
      <c r="O198">
        <v>3</v>
      </c>
      <c r="P198" t="s">
        <v>175</v>
      </c>
    </row>
    <row r="199" spans="1:16" x14ac:dyDescent="0.3">
      <c r="A199">
        <v>42</v>
      </c>
      <c r="B199">
        <v>2023</v>
      </c>
      <c r="C199">
        <v>985</v>
      </c>
      <c r="D199">
        <v>82</v>
      </c>
      <c r="E199">
        <v>69</v>
      </c>
      <c r="F199">
        <v>7629.3</v>
      </c>
      <c r="G199">
        <v>7.0051000000000002E-2</v>
      </c>
      <c r="H199">
        <v>13</v>
      </c>
      <c r="I199">
        <v>31</v>
      </c>
      <c r="J199">
        <v>10</v>
      </c>
      <c r="K199">
        <v>6</v>
      </c>
      <c r="L199">
        <v>1</v>
      </c>
      <c r="M199">
        <v>5</v>
      </c>
      <c r="N199">
        <v>5</v>
      </c>
      <c r="O199">
        <v>4</v>
      </c>
      <c r="P199" t="s">
        <v>85</v>
      </c>
    </row>
    <row r="200" spans="1:16" x14ac:dyDescent="0.3">
      <c r="A200">
        <v>42</v>
      </c>
      <c r="B200">
        <v>2024</v>
      </c>
      <c r="C200">
        <v>745</v>
      </c>
      <c r="D200">
        <v>53</v>
      </c>
      <c r="E200">
        <v>46</v>
      </c>
      <c r="F200">
        <v>2766.77</v>
      </c>
      <c r="G200">
        <v>6.1745000000000001E-2</v>
      </c>
      <c r="H200">
        <v>14</v>
      </c>
      <c r="I200">
        <v>21</v>
      </c>
      <c r="J200">
        <v>6</v>
      </c>
      <c r="K200">
        <v>9</v>
      </c>
      <c r="L200">
        <v>1</v>
      </c>
      <c r="M200">
        <v>4</v>
      </c>
      <c r="N200">
        <v>5</v>
      </c>
      <c r="O200">
        <v>1</v>
      </c>
      <c r="P200" t="s">
        <v>85</v>
      </c>
    </row>
    <row r="201" spans="1:16" x14ac:dyDescent="0.3">
      <c r="A201">
        <v>42</v>
      </c>
      <c r="B201">
        <v>2025</v>
      </c>
      <c r="C201">
        <v>943</v>
      </c>
      <c r="D201">
        <v>61</v>
      </c>
      <c r="E201">
        <v>59</v>
      </c>
      <c r="F201">
        <v>4527.21</v>
      </c>
      <c r="G201">
        <v>6.2565999999999997E-2</v>
      </c>
      <c r="H201">
        <v>9</v>
      </c>
      <c r="I201">
        <v>24</v>
      </c>
      <c r="J201">
        <v>12</v>
      </c>
      <c r="K201">
        <v>7</v>
      </c>
      <c r="L201">
        <v>1</v>
      </c>
      <c r="M201">
        <v>4</v>
      </c>
      <c r="N201">
        <v>5</v>
      </c>
      <c r="O201">
        <v>3</v>
      </c>
      <c r="P201" t="s">
        <v>85</v>
      </c>
    </row>
    <row r="202" spans="1:16" x14ac:dyDescent="0.3">
      <c r="A202">
        <v>43</v>
      </c>
      <c r="B202">
        <v>2021</v>
      </c>
      <c r="C202">
        <v>857</v>
      </c>
      <c r="D202">
        <v>44</v>
      </c>
      <c r="E202">
        <v>41</v>
      </c>
      <c r="F202">
        <v>2727.47</v>
      </c>
      <c r="G202">
        <v>4.7841000000000002E-2</v>
      </c>
      <c r="H202">
        <v>20</v>
      </c>
      <c r="I202">
        <v>20</v>
      </c>
      <c r="J202">
        <v>9</v>
      </c>
      <c r="K202">
        <v>7</v>
      </c>
      <c r="L202">
        <v>0</v>
      </c>
      <c r="M202">
        <v>1</v>
      </c>
      <c r="N202">
        <v>4</v>
      </c>
      <c r="O202">
        <v>2</v>
      </c>
      <c r="P202" t="s">
        <v>175</v>
      </c>
    </row>
    <row r="203" spans="1:16" x14ac:dyDescent="0.3">
      <c r="A203">
        <v>43</v>
      </c>
      <c r="B203">
        <v>2022</v>
      </c>
      <c r="C203">
        <v>651</v>
      </c>
      <c r="D203">
        <v>29</v>
      </c>
      <c r="E203">
        <v>23</v>
      </c>
      <c r="F203">
        <v>608.04999999999995</v>
      </c>
      <c r="G203">
        <v>3.533E-2</v>
      </c>
      <c r="H203">
        <v>16</v>
      </c>
      <c r="I203">
        <v>16</v>
      </c>
      <c r="J203">
        <v>3</v>
      </c>
      <c r="K203">
        <v>4</v>
      </c>
      <c r="L203">
        <v>0</v>
      </c>
      <c r="M203">
        <v>1</v>
      </c>
      <c r="N203">
        <v>3</v>
      </c>
      <c r="O203">
        <v>1</v>
      </c>
      <c r="P203" t="s">
        <v>175</v>
      </c>
    </row>
    <row r="204" spans="1:16" x14ac:dyDescent="0.3">
      <c r="A204">
        <v>43</v>
      </c>
      <c r="B204">
        <v>2023</v>
      </c>
      <c r="C204">
        <v>903</v>
      </c>
      <c r="D204">
        <v>49</v>
      </c>
      <c r="E204">
        <v>39</v>
      </c>
      <c r="F204">
        <v>2995.45</v>
      </c>
      <c r="G204">
        <v>4.3188999999999998E-2</v>
      </c>
      <c r="H204">
        <v>11</v>
      </c>
      <c r="I204">
        <v>22</v>
      </c>
      <c r="J204">
        <v>5</v>
      </c>
      <c r="K204">
        <v>10</v>
      </c>
      <c r="L204">
        <v>1</v>
      </c>
      <c r="M204">
        <v>5</v>
      </c>
      <c r="N204">
        <v>4</v>
      </c>
      <c r="O204">
        <v>4</v>
      </c>
      <c r="P204" t="s">
        <v>85</v>
      </c>
    </row>
    <row r="205" spans="1:16" x14ac:dyDescent="0.3">
      <c r="A205">
        <v>43</v>
      </c>
      <c r="B205">
        <v>2024</v>
      </c>
      <c r="C205">
        <v>415</v>
      </c>
      <c r="D205">
        <v>32</v>
      </c>
      <c r="E205">
        <v>26</v>
      </c>
      <c r="F205">
        <v>2153.7199999999998</v>
      </c>
      <c r="G205">
        <v>6.2650999999999998E-2</v>
      </c>
      <c r="H205">
        <v>12</v>
      </c>
      <c r="I205">
        <v>20</v>
      </c>
      <c r="J205">
        <v>5</v>
      </c>
      <c r="K205">
        <v>6</v>
      </c>
      <c r="L205">
        <v>0</v>
      </c>
      <c r="M205">
        <v>1</v>
      </c>
      <c r="N205">
        <v>3</v>
      </c>
      <c r="O205">
        <v>1</v>
      </c>
      <c r="P205" t="s">
        <v>68</v>
      </c>
    </row>
    <row r="206" spans="1:16" x14ac:dyDescent="0.3">
      <c r="A206">
        <v>43</v>
      </c>
      <c r="B206">
        <v>2025</v>
      </c>
      <c r="C206">
        <v>1159</v>
      </c>
      <c r="D206">
        <v>81</v>
      </c>
      <c r="E206">
        <v>59</v>
      </c>
      <c r="F206">
        <v>2323.6</v>
      </c>
      <c r="G206">
        <v>5.0906E-2</v>
      </c>
      <c r="H206">
        <v>10</v>
      </c>
      <c r="I206">
        <v>37</v>
      </c>
      <c r="J206">
        <v>14</v>
      </c>
      <c r="K206">
        <v>4</v>
      </c>
      <c r="L206">
        <v>0</v>
      </c>
      <c r="M206">
        <v>1</v>
      </c>
      <c r="N206">
        <v>1</v>
      </c>
      <c r="O206">
        <v>2</v>
      </c>
      <c r="P206" t="s">
        <v>68</v>
      </c>
    </row>
    <row r="207" spans="1:16" x14ac:dyDescent="0.3">
      <c r="A207">
        <v>44</v>
      </c>
      <c r="B207">
        <v>2021</v>
      </c>
      <c r="C207">
        <v>553</v>
      </c>
      <c r="D207">
        <v>27</v>
      </c>
      <c r="E207">
        <v>22</v>
      </c>
      <c r="F207">
        <v>1342.54</v>
      </c>
      <c r="G207">
        <v>3.9782999999999999E-2</v>
      </c>
      <c r="H207">
        <v>15</v>
      </c>
      <c r="I207">
        <v>18</v>
      </c>
      <c r="J207">
        <v>3</v>
      </c>
      <c r="K207">
        <v>5</v>
      </c>
      <c r="L207">
        <v>0</v>
      </c>
      <c r="M207">
        <v>1</v>
      </c>
      <c r="N207">
        <v>3</v>
      </c>
      <c r="O207">
        <v>1</v>
      </c>
      <c r="P207" t="s">
        <v>175</v>
      </c>
    </row>
    <row r="208" spans="1:16" x14ac:dyDescent="0.3">
      <c r="A208">
        <v>44</v>
      </c>
      <c r="B208">
        <v>2022</v>
      </c>
      <c r="C208">
        <v>1563</v>
      </c>
      <c r="D208">
        <v>163</v>
      </c>
      <c r="E208">
        <v>134</v>
      </c>
      <c r="F208">
        <v>12990.59</v>
      </c>
      <c r="G208">
        <v>8.5733000000000004E-2</v>
      </c>
      <c r="H208">
        <v>34</v>
      </c>
      <c r="I208">
        <v>52</v>
      </c>
      <c r="J208">
        <v>17</v>
      </c>
      <c r="K208">
        <v>17</v>
      </c>
      <c r="L208">
        <v>0</v>
      </c>
      <c r="M208">
        <v>3</v>
      </c>
      <c r="N208">
        <v>7</v>
      </c>
      <c r="O208">
        <v>11</v>
      </c>
      <c r="P208" t="s">
        <v>68</v>
      </c>
    </row>
    <row r="209" spans="1:16" x14ac:dyDescent="0.3">
      <c r="A209">
        <v>44</v>
      </c>
      <c r="B209">
        <v>2023</v>
      </c>
      <c r="C209">
        <v>610</v>
      </c>
      <c r="D209">
        <v>22</v>
      </c>
      <c r="E209">
        <v>17</v>
      </c>
      <c r="F209">
        <v>695.27</v>
      </c>
      <c r="G209">
        <v>2.7869000000000001E-2</v>
      </c>
      <c r="H209">
        <v>11</v>
      </c>
      <c r="I209">
        <v>11</v>
      </c>
      <c r="J209">
        <v>4</v>
      </c>
      <c r="K209">
        <v>5</v>
      </c>
      <c r="L209">
        <v>0</v>
      </c>
      <c r="M209">
        <v>1</v>
      </c>
      <c r="N209">
        <v>2</v>
      </c>
      <c r="O209">
        <v>1</v>
      </c>
      <c r="P209" t="s">
        <v>175</v>
      </c>
    </row>
    <row r="210" spans="1:16" x14ac:dyDescent="0.3">
      <c r="A210">
        <v>44</v>
      </c>
      <c r="B210">
        <v>2024</v>
      </c>
      <c r="C210">
        <v>544</v>
      </c>
      <c r="D210">
        <v>44</v>
      </c>
      <c r="E210">
        <v>40</v>
      </c>
      <c r="F210">
        <v>1780.4</v>
      </c>
      <c r="G210">
        <v>7.3528999999999997E-2</v>
      </c>
      <c r="H210">
        <v>18</v>
      </c>
      <c r="I210">
        <v>24</v>
      </c>
      <c r="J210">
        <v>10</v>
      </c>
      <c r="K210">
        <v>10</v>
      </c>
      <c r="L210">
        <v>1</v>
      </c>
      <c r="M210">
        <v>4</v>
      </c>
      <c r="N210">
        <v>5</v>
      </c>
      <c r="O210">
        <v>2</v>
      </c>
      <c r="P210" t="s">
        <v>85</v>
      </c>
    </row>
    <row r="211" spans="1:16" x14ac:dyDescent="0.3">
      <c r="A211">
        <v>44</v>
      </c>
      <c r="B211">
        <v>2025</v>
      </c>
      <c r="C211">
        <v>895</v>
      </c>
      <c r="D211">
        <v>63</v>
      </c>
      <c r="E211">
        <v>46</v>
      </c>
      <c r="F211">
        <v>4349.17</v>
      </c>
      <c r="G211">
        <v>5.1396999999999998E-2</v>
      </c>
      <c r="H211">
        <v>14</v>
      </c>
      <c r="I211">
        <v>30</v>
      </c>
      <c r="J211">
        <v>8</v>
      </c>
      <c r="K211">
        <v>8</v>
      </c>
      <c r="L211">
        <v>0</v>
      </c>
      <c r="M211">
        <v>1</v>
      </c>
      <c r="N211">
        <v>2</v>
      </c>
      <c r="O211">
        <v>2</v>
      </c>
      <c r="P211" t="s">
        <v>68</v>
      </c>
    </row>
    <row r="212" spans="1:16" x14ac:dyDescent="0.3">
      <c r="A212">
        <v>45</v>
      </c>
      <c r="B212">
        <v>2021</v>
      </c>
      <c r="C212">
        <v>903</v>
      </c>
      <c r="D212">
        <v>43</v>
      </c>
      <c r="E212">
        <v>36</v>
      </c>
      <c r="F212">
        <v>1625.13</v>
      </c>
      <c r="G212">
        <v>3.9867E-2</v>
      </c>
      <c r="H212">
        <v>9</v>
      </c>
      <c r="I212">
        <v>24</v>
      </c>
      <c r="J212">
        <v>6</v>
      </c>
      <c r="K212">
        <v>6</v>
      </c>
      <c r="L212">
        <v>0</v>
      </c>
      <c r="M212">
        <v>2</v>
      </c>
      <c r="N212">
        <v>2</v>
      </c>
      <c r="O212">
        <v>1</v>
      </c>
      <c r="P212" t="s">
        <v>175</v>
      </c>
    </row>
    <row r="213" spans="1:16" x14ac:dyDescent="0.3">
      <c r="A213">
        <v>45</v>
      </c>
      <c r="B213">
        <v>2022</v>
      </c>
      <c r="C213">
        <v>1254</v>
      </c>
      <c r="D213">
        <v>76</v>
      </c>
      <c r="E213">
        <v>64</v>
      </c>
      <c r="F213">
        <v>5874.37</v>
      </c>
      <c r="G213">
        <v>5.1036999999999999E-2</v>
      </c>
      <c r="H213">
        <v>21</v>
      </c>
      <c r="I213">
        <v>29</v>
      </c>
      <c r="J213">
        <v>12</v>
      </c>
      <c r="K213">
        <v>14</v>
      </c>
      <c r="L213">
        <v>0</v>
      </c>
      <c r="M213">
        <v>2</v>
      </c>
      <c r="N213">
        <v>5</v>
      </c>
      <c r="O213">
        <v>4</v>
      </c>
      <c r="P213" t="s">
        <v>175</v>
      </c>
    </row>
    <row r="214" spans="1:16" x14ac:dyDescent="0.3">
      <c r="A214">
        <v>45</v>
      </c>
      <c r="B214">
        <v>2023</v>
      </c>
      <c r="C214">
        <v>1779</v>
      </c>
      <c r="D214">
        <v>92</v>
      </c>
      <c r="E214">
        <v>76</v>
      </c>
      <c r="F214">
        <v>4038.47</v>
      </c>
      <c r="G214">
        <v>4.2721000000000002E-2</v>
      </c>
      <c r="H214">
        <v>12</v>
      </c>
      <c r="I214">
        <v>36</v>
      </c>
      <c r="J214">
        <v>7</v>
      </c>
      <c r="K214">
        <v>5</v>
      </c>
      <c r="L214">
        <v>0</v>
      </c>
      <c r="M214">
        <v>1</v>
      </c>
      <c r="N214">
        <v>2</v>
      </c>
      <c r="O214">
        <v>5</v>
      </c>
      <c r="P214" t="s">
        <v>175</v>
      </c>
    </row>
    <row r="215" spans="1:16" x14ac:dyDescent="0.3">
      <c r="A215">
        <v>45</v>
      </c>
      <c r="B215">
        <v>2024</v>
      </c>
      <c r="C215">
        <v>1117</v>
      </c>
      <c r="D215">
        <v>62</v>
      </c>
      <c r="E215">
        <v>46</v>
      </c>
      <c r="F215">
        <v>1406.23</v>
      </c>
      <c r="G215">
        <v>4.1182000000000003E-2</v>
      </c>
      <c r="H215">
        <v>23</v>
      </c>
      <c r="I215">
        <v>28</v>
      </c>
      <c r="J215">
        <v>10</v>
      </c>
      <c r="K215">
        <v>10</v>
      </c>
      <c r="L215">
        <v>1</v>
      </c>
      <c r="M215">
        <v>4</v>
      </c>
      <c r="N215">
        <v>4</v>
      </c>
      <c r="O215">
        <v>3</v>
      </c>
      <c r="P215" t="s">
        <v>85</v>
      </c>
    </row>
    <row r="216" spans="1:16" x14ac:dyDescent="0.3">
      <c r="A216">
        <v>45</v>
      </c>
      <c r="B216">
        <v>2025</v>
      </c>
      <c r="C216">
        <v>677</v>
      </c>
      <c r="D216">
        <v>28</v>
      </c>
      <c r="E216">
        <v>25</v>
      </c>
      <c r="F216">
        <v>877.02</v>
      </c>
      <c r="G216">
        <v>3.6928000000000002E-2</v>
      </c>
      <c r="H216">
        <v>5</v>
      </c>
      <c r="I216">
        <v>11</v>
      </c>
      <c r="J216">
        <v>5</v>
      </c>
      <c r="K216">
        <v>2</v>
      </c>
      <c r="L216">
        <v>1</v>
      </c>
      <c r="M216">
        <v>2</v>
      </c>
      <c r="N216">
        <v>2</v>
      </c>
      <c r="O216">
        <v>1</v>
      </c>
      <c r="P216" t="s">
        <v>175</v>
      </c>
    </row>
    <row r="217" spans="1:16" x14ac:dyDescent="0.3">
      <c r="A217">
        <v>46</v>
      </c>
      <c r="B217">
        <v>2021</v>
      </c>
      <c r="C217">
        <v>1026</v>
      </c>
      <c r="D217">
        <v>112</v>
      </c>
      <c r="E217">
        <v>98</v>
      </c>
      <c r="F217">
        <v>10643.63</v>
      </c>
      <c r="G217">
        <v>9.5517000000000005E-2</v>
      </c>
      <c r="H217">
        <v>25</v>
      </c>
      <c r="I217">
        <v>40</v>
      </c>
      <c r="J217">
        <v>19</v>
      </c>
      <c r="K217">
        <v>13</v>
      </c>
      <c r="L217">
        <v>1</v>
      </c>
      <c r="M217">
        <v>6</v>
      </c>
      <c r="N217">
        <v>8</v>
      </c>
      <c r="O217">
        <v>4</v>
      </c>
      <c r="P217" t="s">
        <v>85</v>
      </c>
    </row>
    <row r="218" spans="1:16" x14ac:dyDescent="0.3">
      <c r="A218">
        <v>46</v>
      </c>
      <c r="B218">
        <v>2022</v>
      </c>
      <c r="C218">
        <v>1091</v>
      </c>
      <c r="D218">
        <v>84</v>
      </c>
      <c r="E218">
        <v>65</v>
      </c>
      <c r="F218">
        <v>5083.1899999999996</v>
      </c>
      <c r="G218">
        <v>5.9577999999999999E-2</v>
      </c>
      <c r="H218">
        <v>17</v>
      </c>
      <c r="I218">
        <v>33</v>
      </c>
      <c r="J218">
        <v>9</v>
      </c>
      <c r="K218">
        <v>8</v>
      </c>
      <c r="L218">
        <v>1</v>
      </c>
      <c r="M218">
        <v>4</v>
      </c>
      <c r="N218">
        <v>6</v>
      </c>
      <c r="O218">
        <v>5</v>
      </c>
      <c r="P218" t="s">
        <v>85</v>
      </c>
    </row>
    <row r="219" spans="1:16" x14ac:dyDescent="0.3">
      <c r="A219">
        <v>46</v>
      </c>
      <c r="B219">
        <v>2023</v>
      </c>
      <c r="C219">
        <v>612</v>
      </c>
      <c r="D219">
        <v>26</v>
      </c>
      <c r="E219">
        <v>22</v>
      </c>
      <c r="F219">
        <v>1076.1500000000001</v>
      </c>
      <c r="G219">
        <v>3.5948000000000001E-2</v>
      </c>
      <c r="H219">
        <v>6</v>
      </c>
      <c r="I219">
        <v>20</v>
      </c>
      <c r="J219">
        <v>5</v>
      </c>
      <c r="K219">
        <v>2</v>
      </c>
      <c r="L219">
        <v>1</v>
      </c>
      <c r="M219">
        <v>2</v>
      </c>
      <c r="N219">
        <v>1</v>
      </c>
      <c r="O219">
        <v>1</v>
      </c>
      <c r="P219" t="s">
        <v>176</v>
      </c>
    </row>
    <row r="220" spans="1:16" x14ac:dyDescent="0.3">
      <c r="A220">
        <v>46</v>
      </c>
      <c r="B220">
        <v>2024</v>
      </c>
      <c r="C220">
        <v>617</v>
      </c>
      <c r="D220">
        <v>34</v>
      </c>
      <c r="E220">
        <v>26</v>
      </c>
      <c r="F220">
        <v>1002.68</v>
      </c>
      <c r="G220">
        <v>4.2139000000000003E-2</v>
      </c>
      <c r="H220">
        <v>17</v>
      </c>
      <c r="I220">
        <v>19</v>
      </c>
      <c r="J220">
        <v>6</v>
      </c>
      <c r="K220">
        <v>6</v>
      </c>
      <c r="L220">
        <v>0</v>
      </c>
      <c r="M220">
        <v>2</v>
      </c>
      <c r="N220">
        <v>5</v>
      </c>
      <c r="O220">
        <v>2</v>
      </c>
      <c r="P220" t="s">
        <v>175</v>
      </c>
    </row>
    <row r="221" spans="1:16" x14ac:dyDescent="0.3">
      <c r="A221">
        <v>46</v>
      </c>
      <c r="B221">
        <v>2025</v>
      </c>
      <c r="C221">
        <v>707</v>
      </c>
      <c r="D221">
        <v>66</v>
      </c>
      <c r="E221">
        <v>49</v>
      </c>
      <c r="F221">
        <v>2997.07</v>
      </c>
      <c r="G221">
        <v>6.9306999999999994E-2</v>
      </c>
      <c r="H221">
        <v>19</v>
      </c>
      <c r="I221">
        <v>26</v>
      </c>
      <c r="J221">
        <v>11</v>
      </c>
      <c r="K221">
        <v>8</v>
      </c>
      <c r="L221">
        <v>1</v>
      </c>
      <c r="M221">
        <v>5</v>
      </c>
      <c r="N221">
        <v>7</v>
      </c>
      <c r="O221">
        <v>3</v>
      </c>
      <c r="P221" t="s">
        <v>85</v>
      </c>
    </row>
    <row r="222" spans="1:16" x14ac:dyDescent="0.3">
      <c r="A222">
        <v>47</v>
      </c>
      <c r="B222">
        <v>2021</v>
      </c>
      <c r="C222">
        <v>1287</v>
      </c>
      <c r="D222">
        <v>89</v>
      </c>
      <c r="E222">
        <v>77</v>
      </c>
      <c r="F222">
        <v>3960.48</v>
      </c>
      <c r="G222">
        <v>5.9829E-2</v>
      </c>
      <c r="H222">
        <v>18</v>
      </c>
      <c r="I222">
        <v>29</v>
      </c>
      <c r="J222">
        <v>10</v>
      </c>
      <c r="K222">
        <v>9</v>
      </c>
      <c r="L222">
        <v>0</v>
      </c>
      <c r="M222">
        <v>3</v>
      </c>
      <c r="N222">
        <v>4</v>
      </c>
      <c r="O222">
        <v>3</v>
      </c>
      <c r="P222" t="s">
        <v>175</v>
      </c>
    </row>
    <row r="223" spans="1:16" x14ac:dyDescent="0.3">
      <c r="A223">
        <v>47</v>
      </c>
      <c r="B223">
        <v>2022</v>
      </c>
      <c r="C223">
        <v>1088</v>
      </c>
      <c r="D223">
        <v>56</v>
      </c>
      <c r="E223">
        <v>41</v>
      </c>
      <c r="F223">
        <v>3599.93</v>
      </c>
      <c r="G223">
        <v>3.7684000000000002E-2</v>
      </c>
      <c r="H223">
        <v>10</v>
      </c>
      <c r="I223">
        <v>24</v>
      </c>
      <c r="J223">
        <v>7</v>
      </c>
      <c r="K223">
        <v>8</v>
      </c>
      <c r="L223">
        <v>0</v>
      </c>
      <c r="M223">
        <v>3</v>
      </c>
      <c r="N223">
        <v>5</v>
      </c>
      <c r="O223">
        <v>2</v>
      </c>
      <c r="P223" t="s">
        <v>175</v>
      </c>
    </row>
    <row r="224" spans="1:16" x14ac:dyDescent="0.3">
      <c r="A224">
        <v>47</v>
      </c>
      <c r="B224">
        <v>2023</v>
      </c>
      <c r="C224">
        <v>2614</v>
      </c>
      <c r="D224">
        <v>262</v>
      </c>
      <c r="E224">
        <v>191</v>
      </c>
      <c r="F224">
        <v>18818.82</v>
      </c>
      <c r="G224">
        <v>7.3067999999999994E-2</v>
      </c>
      <c r="H224">
        <v>36</v>
      </c>
      <c r="I224">
        <v>83</v>
      </c>
      <c r="J224">
        <v>34</v>
      </c>
      <c r="K224">
        <v>22</v>
      </c>
      <c r="L224">
        <v>1</v>
      </c>
      <c r="M224">
        <v>8</v>
      </c>
      <c r="N224">
        <v>12</v>
      </c>
      <c r="O224">
        <v>13</v>
      </c>
      <c r="P224" t="s">
        <v>85</v>
      </c>
    </row>
    <row r="225" spans="1:16" x14ac:dyDescent="0.3">
      <c r="A225">
        <v>47</v>
      </c>
      <c r="B225">
        <v>2024</v>
      </c>
      <c r="C225">
        <v>2029</v>
      </c>
      <c r="D225">
        <v>197</v>
      </c>
      <c r="E225">
        <v>177</v>
      </c>
      <c r="F225">
        <v>14862.3</v>
      </c>
      <c r="G225">
        <v>8.7234999999999993E-2</v>
      </c>
      <c r="H225">
        <v>34</v>
      </c>
      <c r="I225">
        <v>67</v>
      </c>
      <c r="J225">
        <v>18</v>
      </c>
      <c r="K225">
        <v>13</v>
      </c>
      <c r="L225">
        <v>1</v>
      </c>
      <c r="M225">
        <v>5</v>
      </c>
      <c r="N225">
        <v>8</v>
      </c>
      <c r="O225">
        <v>5</v>
      </c>
      <c r="P225" t="s">
        <v>85</v>
      </c>
    </row>
    <row r="226" spans="1:16" x14ac:dyDescent="0.3">
      <c r="A226">
        <v>47</v>
      </c>
      <c r="B226">
        <v>2025</v>
      </c>
      <c r="C226">
        <v>877</v>
      </c>
      <c r="D226">
        <v>68</v>
      </c>
      <c r="E226">
        <v>61</v>
      </c>
      <c r="F226">
        <v>2671.06</v>
      </c>
      <c r="G226">
        <v>6.9555000000000006E-2</v>
      </c>
      <c r="H226">
        <v>17</v>
      </c>
      <c r="I226">
        <v>31</v>
      </c>
      <c r="J226">
        <v>13</v>
      </c>
      <c r="K226">
        <v>5</v>
      </c>
      <c r="L226">
        <v>1</v>
      </c>
      <c r="M226">
        <v>3</v>
      </c>
      <c r="N226">
        <v>4</v>
      </c>
      <c r="O226">
        <v>3</v>
      </c>
      <c r="P226" t="s">
        <v>85</v>
      </c>
    </row>
    <row r="227" spans="1:16" x14ac:dyDescent="0.3">
      <c r="A227">
        <v>48</v>
      </c>
      <c r="B227">
        <v>2021</v>
      </c>
      <c r="C227">
        <v>702</v>
      </c>
      <c r="D227">
        <v>74</v>
      </c>
      <c r="E227">
        <v>66</v>
      </c>
      <c r="F227">
        <v>3357.7</v>
      </c>
      <c r="G227">
        <v>9.4017000000000003E-2</v>
      </c>
      <c r="H227">
        <v>17</v>
      </c>
      <c r="I227">
        <v>26</v>
      </c>
      <c r="J227">
        <v>11</v>
      </c>
      <c r="K227">
        <v>9</v>
      </c>
      <c r="L227">
        <v>1</v>
      </c>
      <c r="M227">
        <v>5</v>
      </c>
      <c r="N227">
        <v>6</v>
      </c>
      <c r="O227">
        <v>6</v>
      </c>
      <c r="P227" t="s">
        <v>85</v>
      </c>
    </row>
    <row r="228" spans="1:16" x14ac:dyDescent="0.3">
      <c r="A228">
        <v>48</v>
      </c>
      <c r="B228">
        <v>2022</v>
      </c>
      <c r="C228">
        <v>468</v>
      </c>
      <c r="D228">
        <v>30</v>
      </c>
      <c r="E228">
        <v>28</v>
      </c>
      <c r="F228">
        <v>1313.88</v>
      </c>
      <c r="G228">
        <v>5.9829E-2</v>
      </c>
      <c r="H228">
        <v>11</v>
      </c>
      <c r="I228">
        <v>15</v>
      </c>
      <c r="J228">
        <v>5</v>
      </c>
      <c r="K228">
        <v>5</v>
      </c>
      <c r="L228">
        <v>1</v>
      </c>
      <c r="M228">
        <v>5</v>
      </c>
      <c r="N228">
        <v>3</v>
      </c>
      <c r="O228">
        <v>2</v>
      </c>
      <c r="P228" t="s">
        <v>85</v>
      </c>
    </row>
    <row r="229" spans="1:16" x14ac:dyDescent="0.3">
      <c r="A229">
        <v>48</v>
      </c>
      <c r="B229">
        <v>2023</v>
      </c>
      <c r="C229">
        <v>537</v>
      </c>
      <c r="D229">
        <v>40</v>
      </c>
      <c r="E229">
        <v>37</v>
      </c>
      <c r="F229">
        <v>2032.1</v>
      </c>
      <c r="G229">
        <v>6.8901000000000004E-2</v>
      </c>
      <c r="H229">
        <v>16</v>
      </c>
      <c r="I229">
        <v>19</v>
      </c>
      <c r="J229">
        <v>7</v>
      </c>
      <c r="K229">
        <v>5</v>
      </c>
      <c r="L229">
        <v>1</v>
      </c>
      <c r="M229">
        <v>5</v>
      </c>
      <c r="N229">
        <v>5</v>
      </c>
      <c r="O229">
        <v>1</v>
      </c>
      <c r="P229" t="s">
        <v>85</v>
      </c>
    </row>
    <row r="230" spans="1:16" x14ac:dyDescent="0.3">
      <c r="A230">
        <v>48</v>
      </c>
      <c r="B230">
        <v>2024</v>
      </c>
      <c r="C230">
        <v>608</v>
      </c>
      <c r="D230">
        <v>58</v>
      </c>
      <c r="E230">
        <v>51</v>
      </c>
      <c r="F230">
        <v>5216</v>
      </c>
      <c r="G230">
        <v>8.3881999999999998E-2</v>
      </c>
      <c r="H230">
        <v>18</v>
      </c>
      <c r="I230">
        <v>26</v>
      </c>
      <c r="J230">
        <v>7</v>
      </c>
      <c r="K230">
        <v>9</v>
      </c>
      <c r="L230">
        <v>1</v>
      </c>
      <c r="M230">
        <v>5</v>
      </c>
      <c r="N230">
        <v>6</v>
      </c>
      <c r="O230">
        <v>2</v>
      </c>
      <c r="P230" t="s">
        <v>85</v>
      </c>
    </row>
    <row r="231" spans="1:16" x14ac:dyDescent="0.3">
      <c r="A231">
        <v>48</v>
      </c>
      <c r="B231">
        <v>2025</v>
      </c>
      <c r="C231">
        <v>1408</v>
      </c>
      <c r="D231">
        <v>105</v>
      </c>
      <c r="E231">
        <v>83</v>
      </c>
      <c r="F231">
        <v>5370.77</v>
      </c>
      <c r="G231">
        <v>5.8949000000000001E-2</v>
      </c>
      <c r="H231">
        <v>11</v>
      </c>
      <c r="I231">
        <v>37</v>
      </c>
      <c r="J231">
        <v>14</v>
      </c>
      <c r="K231">
        <v>5</v>
      </c>
      <c r="L231">
        <v>1</v>
      </c>
      <c r="M231">
        <v>4</v>
      </c>
      <c r="N231">
        <v>4</v>
      </c>
      <c r="O231">
        <v>6</v>
      </c>
      <c r="P231" t="s">
        <v>85</v>
      </c>
    </row>
    <row r="232" spans="1:16" x14ac:dyDescent="0.3">
      <c r="A232">
        <v>49</v>
      </c>
      <c r="B232">
        <v>2021</v>
      </c>
      <c r="C232">
        <v>2373</v>
      </c>
      <c r="D232">
        <v>254</v>
      </c>
      <c r="E232">
        <v>243</v>
      </c>
      <c r="F232">
        <v>19407.95</v>
      </c>
      <c r="G232">
        <v>0.10240200000000001</v>
      </c>
      <c r="H232">
        <v>44</v>
      </c>
      <c r="I232">
        <v>83</v>
      </c>
      <c r="J232">
        <v>56</v>
      </c>
      <c r="K232">
        <v>15</v>
      </c>
      <c r="L232">
        <v>1</v>
      </c>
      <c r="M232">
        <v>5</v>
      </c>
      <c r="N232">
        <v>10</v>
      </c>
      <c r="O232">
        <v>14</v>
      </c>
      <c r="P232" t="s">
        <v>85</v>
      </c>
    </row>
    <row r="233" spans="1:16" x14ac:dyDescent="0.3">
      <c r="A233">
        <v>49</v>
      </c>
      <c r="B233">
        <v>2022</v>
      </c>
      <c r="C233">
        <v>1105</v>
      </c>
      <c r="D233">
        <v>80</v>
      </c>
      <c r="E233">
        <v>69</v>
      </c>
      <c r="F233">
        <v>6181.46</v>
      </c>
      <c r="G233">
        <v>6.2442999999999999E-2</v>
      </c>
      <c r="H233">
        <v>11</v>
      </c>
      <c r="I233">
        <v>27</v>
      </c>
      <c r="J233">
        <v>8</v>
      </c>
      <c r="K233">
        <v>4</v>
      </c>
      <c r="L233">
        <v>1</v>
      </c>
      <c r="M233">
        <v>4</v>
      </c>
      <c r="N233">
        <v>4</v>
      </c>
      <c r="O233">
        <v>5</v>
      </c>
      <c r="P233" t="s">
        <v>85</v>
      </c>
    </row>
    <row r="234" spans="1:16" x14ac:dyDescent="0.3">
      <c r="A234">
        <v>49</v>
      </c>
      <c r="B234">
        <v>2023</v>
      </c>
      <c r="C234">
        <v>1110</v>
      </c>
      <c r="D234">
        <v>106</v>
      </c>
      <c r="E234">
        <v>96</v>
      </c>
      <c r="F234">
        <v>6230.63</v>
      </c>
      <c r="G234">
        <v>8.6485999999999993E-2</v>
      </c>
      <c r="H234">
        <v>30</v>
      </c>
      <c r="I234">
        <v>36</v>
      </c>
      <c r="J234">
        <v>10</v>
      </c>
      <c r="K234">
        <v>15</v>
      </c>
      <c r="L234">
        <v>1</v>
      </c>
      <c r="M234">
        <v>7</v>
      </c>
      <c r="N234">
        <v>5</v>
      </c>
      <c r="O234">
        <v>5</v>
      </c>
      <c r="P234" t="s">
        <v>85</v>
      </c>
    </row>
    <row r="235" spans="1:16" x14ac:dyDescent="0.3">
      <c r="A235">
        <v>49</v>
      </c>
      <c r="B235">
        <v>2024</v>
      </c>
      <c r="C235">
        <v>1661</v>
      </c>
      <c r="D235">
        <v>161</v>
      </c>
      <c r="E235">
        <v>135</v>
      </c>
      <c r="F235">
        <v>11874.48</v>
      </c>
      <c r="G235">
        <v>8.1276000000000001E-2</v>
      </c>
      <c r="H235">
        <v>31</v>
      </c>
      <c r="I235">
        <v>53</v>
      </c>
      <c r="J235">
        <v>20</v>
      </c>
      <c r="K235">
        <v>14</v>
      </c>
      <c r="L235">
        <v>1</v>
      </c>
      <c r="M235">
        <v>7</v>
      </c>
      <c r="N235">
        <v>8</v>
      </c>
      <c r="O235">
        <v>7</v>
      </c>
      <c r="P235" t="s">
        <v>85</v>
      </c>
    </row>
    <row r="236" spans="1:16" x14ac:dyDescent="0.3">
      <c r="A236">
        <v>49</v>
      </c>
      <c r="B236">
        <v>2025</v>
      </c>
      <c r="C236">
        <v>215</v>
      </c>
      <c r="D236">
        <v>20</v>
      </c>
      <c r="E236">
        <v>16</v>
      </c>
      <c r="F236">
        <v>1791.04</v>
      </c>
      <c r="G236">
        <v>7.4418999999999999E-2</v>
      </c>
      <c r="H236">
        <v>13</v>
      </c>
      <c r="I236">
        <v>13</v>
      </c>
      <c r="J236">
        <v>6</v>
      </c>
      <c r="K236">
        <v>6</v>
      </c>
      <c r="L236">
        <v>1</v>
      </c>
      <c r="M236">
        <v>3</v>
      </c>
      <c r="N236">
        <v>4</v>
      </c>
      <c r="O236">
        <v>1</v>
      </c>
      <c r="P236" t="s">
        <v>85</v>
      </c>
    </row>
    <row r="237" spans="1:16" x14ac:dyDescent="0.3">
      <c r="A237">
        <v>50</v>
      </c>
      <c r="B237">
        <v>2021</v>
      </c>
      <c r="C237">
        <v>995</v>
      </c>
      <c r="D237">
        <v>86</v>
      </c>
      <c r="E237">
        <v>67</v>
      </c>
      <c r="F237">
        <v>4841.6000000000004</v>
      </c>
      <c r="G237">
        <v>6.7336999999999994E-2</v>
      </c>
      <c r="H237">
        <v>20</v>
      </c>
      <c r="I237">
        <v>29</v>
      </c>
      <c r="J237">
        <v>10</v>
      </c>
      <c r="K237">
        <v>6</v>
      </c>
      <c r="L237">
        <v>0</v>
      </c>
      <c r="M237">
        <v>2</v>
      </c>
      <c r="N237">
        <v>2</v>
      </c>
      <c r="O237">
        <v>3</v>
      </c>
      <c r="P237" t="s">
        <v>175</v>
      </c>
    </row>
    <row r="238" spans="1:16" x14ac:dyDescent="0.3">
      <c r="A238">
        <v>50</v>
      </c>
      <c r="B238">
        <v>2022</v>
      </c>
      <c r="C238">
        <v>1267</v>
      </c>
      <c r="D238">
        <v>124</v>
      </c>
      <c r="E238">
        <v>112</v>
      </c>
      <c r="F238">
        <v>5768.55</v>
      </c>
      <c r="G238">
        <v>8.8398000000000004E-2</v>
      </c>
      <c r="H238">
        <v>40</v>
      </c>
      <c r="I238">
        <v>45</v>
      </c>
      <c r="J238">
        <v>26</v>
      </c>
      <c r="K238">
        <v>17</v>
      </c>
      <c r="L238">
        <v>1</v>
      </c>
      <c r="M238">
        <v>7</v>
      </c>
      <c r="N238">
        <v>10</v>
      </c>
      <c r="O238">
        <v>10</v>
      </c>
      <c r="P238" t="s">
        <v>85</v>
      </c>
    </row>
    <row r="239" spans="1:16" x14ac:dyDescent="0.3">
      <c r="A239">
        <v>50</v>
      </c>
      <c r="B239">
        <v>2023</v>
      </c>
      <c r="C239">
        <v>761</v>
      </c>
      <c r="D239">
        <v>45</v>
      </c>
      <c r="E239">
        <v>33</v>
      </c>
      <c r="F239">
        <v>2301.79</v>
      </c>
      <c r="G239">
        <v>4.3364E-2</v>
      </c>
      <c r="H239">
        <v>20</v>
      </c>
      <c r="I239">
        <v>20</v>
      </c>
      <c r="J239">
        <v>7</v>
      </c>
      <c r="K239">
        <v>7</v>
      </c>
      <c r="L239">
        <v>0</v>
      </c>
      <c r="M239">
        <v>1</v>
      </c>
      <c r="N239">
        <v>3</v>
      </c>
      <c r="O239">
        <v>1</v>
      </c>
      <c r="P239" t="s">
        <v>175</v>
      </c>
    </row>
    <row r="240" spans="1:16" x14ac:dyDescent="0.3">
      <c r="A240">
        <v>50</v>
      </c>
      <c r="B240">
        <v>2024</v>
      </c>
      <c r="C240">
        <v>130</v>
      </c>
      <c r="D240">
        <v>10</v>
      </c>
      <c r="E240">
        <v>8</v>
      </c>
      <c r="F240">
        <v>398.78</v>
      </c>
      <c r="G240">
        <v>6.1538000000000002E-2</v>
      </c>
      <c r="H240">
        <v>9</v>
      </c>
      <c r="I240">
        <v>9</v>
      </c>
      <c r="J240">
        <v>3</v>
      </c>
      <c r="K240">
        <v>6</v>
      </c>
      <c r="L240">
        <v>1</v>
      </c>
      <c r="M240">
        <v>6</v>
      </c>
      <c r="N240">
        <v>4</v>
      </c>
      <c r="O240">
        <v>1</v>
      </c>
      <c r="P240" t="s">
        <v>85</v>
      </c>
    </row>
    <row r="241" spans="1:16" x14ac:dyDescent="0.3">
      <c r="A241">
        <v>50</v>
      </c>
      <c r="B241">
        <v>2025</v>
      </c>
      <c r="C241">
        <v>1320</v>
      </c>
      <c r="D241">
        <v>73</v>
      </c>
      <c r="E241">
        <v>60</v>
      </c>
      <c r="F241">
        <v>2681.78</v>
      </c>
      <c r="G241">
        <v>4.5455000000000002E-2</v>
      </c>
      <c r="H241">
        <v>22</v>
      </c>
      <c r="I241">
        <v>34</v>
      </c>
      <c r="J241">
        <v>13</v>
      </c>
      <c r="K241">
        <v>11</v>
      </c>
      <c r="L241">
        <v>1</v>
      </c>
      <c r="M241">
        <v>2</v>
      </c>
      <c r="N241">
        <v>6</v>
      </c>
      <c r="O241">
        <v>5</v>
      </c>
      <c r="P241" t="s">
        <v>85</v>
      </c>
    </row>
    <row r="242" spans="1:16" x14ac:dyDescent="0.3">
      <c r="A242">
        <v>51</v>
      </c>
      <c r="B242">
        <v>2021</v>
      </c>
      <c r="C242">
        <v>450</v>
      </c>
      <c r="D242">
        <v>22</v>
      </c>
      <c r="E242">
        <v>21</v>
      </c>
      <c r="F242">
        <v>1280.44</v>
      </c>
      <c r="G242">
        <v>4.6667E-2</v>
      </c>
      <c r="H242">
        <v>8</v>
      </c>
      <c r="I242">
        <v>14</v>
      </c>
      <c r="J242">
        <v>5</v>
      </c>
      <c r="K242">
        <v>4</v>
      </c>
      <c r="L242">
        <v>1</v>
      </c>
      <c r="M242">
        <v>1</v>
      </c>
      <c r="N242">
        <v>2</v>
      </c>
      <c r="O242">
        <v>1</v>
      </c>
      <c r="P242" t="s">
        <v>68</v>
      </c>
    </row>
    <row r="243" spans="1:16" x14ac:dyDescent="0.3">
      <c r="A243">
        <v>51</v>
      </c>
      <c r="B243">
        <v>2022</v>
      </c>
      <c r="C243">
        <v>1244</v>
      </c>
      <c r="D243">
        <v>99</v>
      </c>
      <c r="E243">
        <v>72</v>
      </c>
      <c r="F243">
        <v>5206.47</v>
      </c>
      <c r="G243">
        <v>5.7877999999999999E-2</v>
      </c>
      <c r="H243">
        <v>15</v>
      </c>
      <c r="I243">
        <v>36</v>
      </c>
      <c r="J243">
        <v>10</v>
      </c>
      <c r="K243">
        <v>8</v>
      </c>
      <c r="L243">
        <v>1</v>
      </c>
      <c r="M243">
        <v>5</v>
      </c>
      <c r="N243">
        <v>6</v>
      </c>
      <c r="O243">
        <v>6</v>
      </c>
      <c r="P243" t="s">
        <v>85</v>
      </c>
    </row>
    <row r="244" spans="1:16" x14ac:dyDescent="0.3">
      <c r="A244">
        <v>51</v>
      </c>
      <c r="B244">
        <v>2023</v>
      </c>
      <c r="C244">
        <v>1780</v>
      </c>
      <c r="D244">
        <v>104</v>
      </c>
      <c r="E244">
        <v>90</v>
      </c>
      <c r="F244">
        <v>6471.19</v>
      </c>
      <c r="G244">
        <v>5.0562000000000003E-2</v>
      </c>
      <c r="H244">
        <v>30</v>
      </c>
      <c r="I244">
        <v>40</v>
      </c>
      <c r="J244">
        <v>13</v>
      </c>
      <c r="K244">
        <v>13</v>
      </c>
      <c r="L244">
        <v>0</v>
      </c>
      <c r="M244">
        <v>4</v>
      </c>
      <c r="N244">
        <v>7</v>
      </c>
      <c r="O244">
        <v>5</v>
      </c>
      <c r="P244" t="s">
        <v>68</v>
      </c>
    </row>
    <row r="245" spans="1:16" x14ac:dyDescent="0.3">
      <c r="A245">
        <v>51</v>
      </c>
      <c r="B245">
        <v>2024</v>
      </c>
      <c r="C245">
        <v>1246</v>
      </c>
      <c r="D245">
        <v>109</v>
      </c>
      <c r="E245">
        <v>94</v>
      </c>
      <c r="F245">
        <v>6908.62</v>
      </c>
      <c r="G245">
        <v>7.5440999999999994E-2</v>
      </c>
      <c r="H245">
        <v>22</v>
      </c>
      <c r="I245">
        <v>42</v>
      </c>
      <c r="J245">
        <v>12</v>
      </c>
      <c r="K245">
        <v>12</v>
      </c>
      <c r="L245">
        <v>1</v>
      </c>
      <c r="M245">
        <v>5</v>
      </c>
      <c r="N245">
        <v>7</v>
      </c>
      <c r="O245">
        <v>6</v>
      </c>
      <c r="P245" t="s">
        <v>85</v>
      </c>
    </row>
    <row r="246" spans="1:16" x14ac:dyDescent="0.3">
      <c r="A246">
        <v>51</v>
      </c>
      <c r="B246">
        <v>2025</v>
      </c>
      <c r="C246">
        <v>1861</v>
      </c>
      <c r="D246">
        <v>188</v>
      </c>
      <c r="E246">
        <v>164</v>
      </c>
      <c r="F246">
        <v>6447.14</v>
      </c>
      <c r="G246">
        <v>8.8124999999999995E-2</v>
      </c>
      <c r="H246">
        <v>23</v>
      </c>
      <c r="I246">
        <v>54</v>
      </c>
      <c r="J246">
        <v>28</v>
      </c>
      <c r="K246">
        <v>13</v>
      </c>
      <c r="L246">
        <v>1</v>
      </c>
      <c r="M246">
        <v>4</v>
      </c>
      <c r="N246">
        <v>7</v>
      </c>
      <c r="O246">
        <v>8</v>
      </c>
      <c r="P246" t="s">
        <v>85</v>
      </c>
    </row>
    <row r="247" spans="1:16" x14ac:dyDescent="0.3">
      <c r="A247">
        <v>52</v>
      </c>
      <c r="B247">
        <v>2021</v>
      </c>
      <c r="C247">
        <v>1114</v>
      </c>
      <c r="D247">
        <v>54</v>
      </c>
      <c r="E247">
        <v>40</v>
      </c>
      <c r="F247">
        <v>1113.03</v>
      </c>
      <c r="G247">
        <v>3.5907000000000001E-2</v>
      </c>
      <c r="H247">
        <v>26</v>
      </c>
      <c r="I247">
        <v>26</v>
      </c>
      <c r="J247">
        <v>5</v>
      </c>
      <c r="K247">
        <v>8</v>
      </c>
      <c r="L247">
        <v>0</v>
      </c>
      <c r="M247">
        <v>2</v>
      </c>
      <c r="N247">
        <v>6</v>
      </c>
      <c r="O247">
        <v>3</v>
      </c>
      <c r="P247" t="s">
        <v>175</v>
      </c>
    </row>
    <row r="248" spans="1:16" x14ac:dyDescent="0.3">
      <c r="A248">
        <v>52</v>
      </c>
      <c r="B248">
        <v>2022</v>
      </c>
      <c r="C248">
        <v>769</v>
      </c>
      <c r="D248">
        <v>47</v>
      </c>
      <c r="E248">
        <v>37</v>
      </c>
      <c r="F248">
        <v>2225.4499999999998</v>
      </c>
      <c r="G248">
        <v>4.8113999999999997E-2</v>
      </c>
      <c r="H248">
        <v>20</v>
      </c>
      <c r="I248">
        <v>21</v>
      </c>
      <c r="J248">
        <v>8</v>
      </c>
      <c r="K248">
        <v>10</v>
      </c>
      <c r="L248">
        <v>0</v>
      </c>
      <c r="M248">
        <v>2</v>
      </c>
      <c r="N248">
        <v>4</v>
      </c>
      <c r="O248">
        <v>2</v>
      </c>
      <c r="P248" t="s">
        <v>175</v>
      </c>
    </row>
    <row r="249" spans="1:16" x14ac:dyDescent="0.3">
      <c r="A249">
        <v>52</v>
      </c>
      <c r="B249">
        <v>2023</v>
      </c>
      <c r="C249">
        <v>687</v>
      </c>
      <c r="D249">
        <v>66</v>
      </c>
      <c r="E249">
        <v>55</v>
      </c>
      <c r="F249">
        <v>3993.65</v>
      </c>
      <c r="G249">
        <v>8.0058000000000004E-2</v>
      </c>
      <c r="H249">
        <v>23</v>
      </c>
      <c r="I249">
        <v>23</v>
      </c>
      <c r="J249">
        <v>12</v>
      </c>
      <c r="K249">
        <v>8</v>
      </c>
      <c r="L249">
        <v>1</v>
      </c>
      <c r="M249">
        <v>5</v>
      </c>
      <c r="N249">
        <v>6</v>
      </c>
      <c r="O249">
        <v>4</v>
      </c>
      <c r="P249" t="s">
        <v>85</v>
      </c>
    </row>
    <row r="250" spans="1:16" x14ac:dyDescent="0.3">
      <c r="A250">
        <v>52</v>
      </c>
      <c r="B250">
        <v>2024</v>
      </c>
      <c r="C250">
        <v>2555</v>
      </c>
      <c r="D250">
        <v>269</v>
      </c>
      <c r="E250">
        <v>231</v>
      </c>
      <c r="F250">
        <v>24837.49</v>
      </c>
      <c r="G250">
        <v>9.0411000000000005E-2</v>
      </c>
      <c r="H250">
        <v>32</v>
      </c>
      <c r="I250">
        <v>84</v>
      </c>
      <c r="J250">
        <v>35</v>
      </c>
      <c r="K250">
        <v>19</v>
      </c>
      <c r="L250">
        <v>1</v>
      </c>
      <c r="M250">
        <v>10</v>
      </c>
      <c r="N250">
        <v>8</v>
      </c>
      <c r="O250">
        <v>14</v>
      </c>
      <c r="P250" t="s">
        <v>85</v>
      </c>
    </row>
    <row r="251" spans="1:16" x14ac:dyDescent="0.3">
      <c r="A251">
        <v>52</v>
      </c>
      <c r="B251">
        <v>2025</v>
      </c>
      <c r="C251">
        <v>2054</v>
      </c>
      <c r="D251">
        <v>207</v>
      </c>
      <c r="E251">
        <v>188</v>
      </c>
      <c r="F251">
        <v>14013.56</v>
      </c>
      <c r="G251">
        <v>9.1528999999999999E-2</v>
      </c>
      <c r="H251">
        <v>18</v>
      </c>
      <c r="I251">
        <v>66</v>
      </c>
      <c r="J251">
        <v>20</v>
      </c>
      <c r="K251">
        <v>10</v>
      </c>
      <c r="L251">
        <v>1</v>
      </c>
      <c r="M251">
        <v>4</v>
      </c>
      <c r="N251">
        <v>5</v>
      </c>
      <c r="O251">
        <v>4</v>
      </c>
      <c r="P251" t="s">
        <v>85</v>
      </c>
    </row>
    <row r="252" spans="1:16" x14ac:dyDescent="0.3">
      <c r="A252">
        <v>53</v>
      </c>
      <c r="B252">
        <v>2021</v>
      </c>
      <c r="C252">
        <v>558</v>
      </c>
      <c r="D252">
        <v>49</v>
      </c>
      <c r="E252">
        <v>41</v>
      </c>
      <c r="F252">
        <v>3864.45</v>
      </c>
      <c r="G252">
        <v>7.3477000000000001E-2</v>
      </c>
      <c r="H252">
        <v>22</v>
      </c>
      <c r="I252">
        <v>25</v>
      </c>
      <c r="J252">
        <v>10</v>
      </c>
      <c r="K252">
        <v>9</v>
      </c>
      <c r="L252">
        <v>1</v>
      </c>
      <c r="M252">
        <v>6</v>
      </c>
      <c r="N252">
        <v>6</v>
      </c>
      <c r="O252">
        <v>2</v>
      </c>
      <c r="P252" t="s">
        <v>85</v>
      </c>
    </row>
    <row r="253" spans="1:16" x14ac:dyDescent="0.3">
      <c r="A253">
        <v>53</v>
      </c>
      <c r="B253">
        <v>2022</v>
      </c>
      <c r="C253">
        <v>508</v>
      </c>
      <c r="D253">
        <v>44</v>
      </c>
      <c r="E253">
        <v>38</v>
      </c>
      <c r="F253">
        <v>2187.16</v>
      </c>
      <c r="G253">
        <v>7.4802999999999994E-2</v>
      </c>
      <c r="H253">
        <v>8</v>
      </c>
      <c r="I253">
        <v>18</v>
      </c>
      <c r="J253">
        <v>10</v>
      </c>
      <c r="K253">
        <v>3</v>
      </c>
      <c r="L253">
        <v>1</v>
      </c>
      <c r="M253">
        <v>3</v>
      </c>
      <c r="N253">
        <v>4</v>
      </c>
      <c r="O253">
        <v>2</v>
      </c>
      <c r="P253" t="s">
        <v>85</v>
      </c>
    </row>
    <row r="254" spans="1:16" x14ac:dyDescent="0.3">
      <c r="A254">
        <v>53</v>
      </c>
      <c r="B254">
        <v>2023</v>
      </c>
      <c r="C254">
        <v>705</v>
      </c>
      <c r="D254">
        <v>51</v>
      </c>
      <c r="E254">
        <v>45</v>
      </c>
      <c r="F254">
        <v>3242.24</v>
      </c>
      <c r="G254">
        <v>6.3829999999999998E-2</v>
      </c>
      <c r="H254">
        <v>9</v>
      </c>
      <c r="I254">
        <v>26</v>
      </c>
      <c r="J254">
        <v>8</v>
      </c>
      <c r="K254">
        <v>3</v>
      </c>
      <c r="L254">
        <v>1</v>
      </c>
      <c r="M254">
        <v>3</v>
      </c>
      <c r="N254">
        <v>4</v>
      </c>
      <c r="O254">
        <v>2</v>
      </c>
      <c r="P254" t="s">
        <v>68</v>
      </c>
    </row>
    <row r="255" spans="1:16" x14ac:dyDescent="0.3">
      <c r="A255">
        <v>53</v>
      </c>
      <c r="B255">
        <v>2024</v>
      </c>
      <c r="C255">
        <v>1719</v>
      </c>
      <c r="D255">
        <v>154</v>
      </c>
      <c r="E255">
        <v>124</v>
      </c>
      <c r="F255">
        <v>10715.34</v>
      </c>
      <c r="G255">
        <v>7.2135000000000005E-2</v>
      </c>
      <c r="H255">
        <v>27</v>
      </c>
      <c r="I255">
        <v>46</v>
      </c>
      <c r="J255">
        <v>15</v>
      </c>
      <c r="K255">
        <v>10</v>
      </c>
      <c r="L255">
        <v>1</v>
      </c>
      <c r="M255">
        <v>6</v>
      </c>
      <c r="N255">
        <v>6</v>
      </c>
      <c r="O255">
        <v>6</v>
      </c>
      <c r="P255" t="s">
        <v>85</v>
      </c>
    </row>
    <row r="256" spans="1:16" x14ac:dyDescent="0.3">
      <c r="A256">
        <v>53</v>
      </c>
      <c r="B256">
        <v>2025</v>
      </c>
      <c r="C256">
        <v>630</v>
      </c>
      <c r="D256">
        <v>57</v>
      </c>
      <c r="E256">
        <v>47</v>
      </c>
      <c r="F256">
        <v>4148.66</v>
      </c>
      <c r="G256">
        <v>7.4603000000000003E-2</v>
      </c>
      <c r="H256">
        <v>22</v>
      </c>
      <c r="I256">
        <v>23</v>
      </c>
      <c r="J256">
        <v>6</v>
      </c>
      <c r="K256">
        <v>10</v>
      </c>
      <c r="L256">
        <v>1</v>
      </c>
      <c r="M256">
        <v>6</v>
      </c>
      <c r="N256">
        <v>8</v>
      </c>
      <c r="O256">
        <v>2</v>
      </c>
      <c r="P256" t="s">
        <v>85</v>
      </c>
    </row>
    <row r="257" spans="1:16" x14ac:dyDescent="0.3">
      <c r="A257">
        <v>54</v>
      </c>
      <c r="B257">
        <v>2021</v>
      </c>
      <c r="C257">
        <v>1177</v>
      </c>
      <c r="D257">
        <v>115</v>
      </c>
      <c r="E257">
        <v>103</v>
      </c>
      <c r="F257">
        <v>9836.89</v>
      </c>
      <c r="G257">
        <v>8.7511000000000005E-2</v>
      </c>
      <c r="H257">
        <v>31</v>
      </c>
      <c r="I257">
        <v>35</v>
      </c>
      <c r="J257">
        <v>16</v>
      </c>
      <c r="K257">
        <v>15</v>
      </c>
      <c r="L257">
        <v>1</v>
      </c>
      <c r="M257">
        <v>6</v>
      </c>
      <c r="N257">
        <v>7</v>
      </c>
      <c r="O257">
        <v>4</v>
      </c>
      <c r="P257" t="s">
        <v>85</v>
      </c>
    </row>
    <row r="258" spans="1:16" x14ac:dyDescent="0.3">
      <c r="A258">
        <v>54</v>
      </c>
      <c r="B258">
        <v>2022</v>
      </c>
      <c r="C258">
        <v>1573</v>
      </c>
      <c r="D258">
        <v>105</v>
      </c>
      <c r="E258">
        <v>76</v>
      </c>
      <c r="F258">
        <v>3077.75</v>
      </c>
      <c r="G258">
        <v>4.8314999999999997E-2</v>
      </c>
      <c r="H258">
        <v>45</v>
      </c>
      <c r="I258">
        <v>45</v>
      </c>
      <c r="J258">
        <v>17</v>
      </c>
      <c r="K258">
        <v>23</v>
      </c>
      <c r="L258">
        <v>1</v>
      </c>
      <c r="M258">
        <v>7</v>
      </c>
      <c r="N258">
        <v>9</v>
      </c>
      <c r="O258">
        <v>6</v>
      </c>
      <c r="P258" t="s">
        <v>85</v>
      </c>
    </row>
    <row r="259" spans="1:16" x14ac:dyDescent="0.3">
      <c r="A259">
        <v>54</v>
      </c>
      <c r="B259">
        <v>2023</v>
      </c>
      <c r="C259">
        <v>1799</v>
      </c>
      <c r="D259">
        <v>185</v>
      </c>
      <c r="E259">
        <v>144</v>
      </c>
      <c r="F259">
        <v>11074.3</v>
      </c>
      <c r="G259">
        <v>8.0044000000000004E-2</v>
      </c>
      <c r="H259">
        <v>41</v>
      </c>
      <c r="I259">
        <v>60</v>
      </c>
      <c r="J259">
        <v>33</v>
      </c>
      <c r="K259">
        <v>12</v>
      </c>
      <c r="L259">
        <v>1</v>
      </c>
      <c r="M259">
        <v>7</v>
      </c>
      <c r="N259">
        <v>6</v>
      </c>
      <c r="O259">
        <v>10</v>
      </c>
      <c r="P259" t="s">
        <v>85</v>
      </c>
    </row>
    <row r="260" spans="1:16" x14ac:dyDescent="0.3">
      <c r="A260">
        <v>54</v>
      </c>
      <c r="B260">
        <v>2024</v>
      </c>
      <c r="C260">
        <v>645</v>
      </c>
      <c r="D260">
        <v>34</v>
      </c>
      <c r="E260">
        <v>27</v>
      </c>
      <c r="F260">
        <v>1584.8</v>
      </c>
      <c r="G260">
        <v>4.1860000000000001E-2</v>
      </c>
      <c r="H260">
        <v>17</v>
      </c>
      <c r="I260">
        <v>19</v>
      </c>
      <c r="J260">
        <v>5</v>
      </c>
      <c r="K260">
        <v>6</v>
      </c>
      <c r="L260">
        <v>0</v>
      </c>
      <c r="M260">
        <v>1</v>
      </c>
      <c r="N260">
        <v>3</v>
      </c>
      <c r="O260">
        <v>2</v>
      </c>
      <c r="P260" t="s">
        <v>175</v>
      </c>
    </row>
    <row r="261" spans="1:16" x14ac:dyDescent="0.3">
      <c r="A261">
        <v>54</v>
      </c>
      <c r="B261">
        <v>2025</v>
      </c>
      <c r="C261">
        <v>516</v>
      </c>
      <c r="D261">
        <v>39</v>
      </c>
      <c r="E261">
        <v>32</v>
      </c>
      <c r="F261">
        <v>3344.17</v>
      </c>
      <c r="G261">
        <v>6.2016000000000002E-2</v>
      </c>
      <c r="H261">
        <v>15</v>
      </c>
      <c r="I261">
        <v>19</v>
      </c>
      <c r="J261">
        <v>9</v>
      </c>
      <c r="K261">
        <v>9</v>
      </c>
      <c r="L261">
        <v>1</v>
      </c>
      <c r="M261">
        <v>6</v>
      </c>
      <c r="N261">
        <v>6</v>
      </c>
      <c r="O261">
        <v>2</v>
      </c>
      <c r="P261" t="s">
        <v>85</v>
      </c>
    </row>
    <row r="262" spans="1:16" x14ac:dyDescent="0.3">
      <c r="A262">
        <v>55</v>
      </c>
      <c r="B262">
        <v>2021</v>
      </c>
      <c r="C262">
        <v>2177</v>
      </c>
      <c r="D262">
        <v>210</v>
      </c>
      <c r="E262">
        <v>178</v>
      </c>
      <c r="F262">
        <v>6917.92</v>
      </c>
      <c r="G262">
        <v>8.1764000000000003E-2</v>
      </c>
      <c r="H262">
        <v>34</v>
      </c>
      <c r="I262">
        <v>68</v>
      </c>
      <c r="J262">
        <v>29</v>
      </c>
      <c r="K262">
        <v>13</v>
      </c>
      <c r="L262">
        <v>1</v>
      </c>
      <c r="M262">
        <v>4</v>
      </c>
      <c r="N262">
        <v>7</v>
      </c>
      <c r="O262">
        <v>5</v>
      </c>
      <c r="P262" t="s">
        <v>85</v>
      </c>
    </row>
    <row r="263" spans="1:16" x14ac:dyDescent="0.3">
      <c r="A263">
        <v>55</v>
      </c>
      <c r="B263">
        <v>2022</v>
      </c>
      <c r="C263">
        <v>275</v>
      </c>
      <c r="D263">
        <v>14</v>
      </c>
      <c r="E263">
        <v>13</v>
      </c>
      <c r="F263">
        <v>996.21</v>
      </c>
      <c r="G263">
        <v>4.7273000000000003E-2</v>
      </c>
      <c r="H263">
        <v>8</v>
      </c>
      <c r="I263">
        <v>8</v>
      </c>
      <c r="J263">
        <v>3</v>
      </c>
      <c r="K263">
        <v>4</v>
      </c>
      <c r="L263">
        <v>0</v>
      </c>
      <c r="M263">
        <v>1</v>
      </c>
      <c r="N263">
        <v>1</v>
      </c>
      <c r="O263">
        <v>1</v>
      </c>
      <c r="P263" t="s">
        <v>175</v>
      </c>
    </row>
    <row r="264" spans="1:16" x14ac:dyDescent="0.3">
      <c r="A264">
        <v>55</v>
      </c>
      <c r="B264">
        <v>2023</v>
      </c>
      <c r="C264">
        <v>1116</v>
      </c>
      <c r="D264">
        <v>99</v>
      </c>
      <c r="E264">
        <v>83</v>
      </c>
      <c r="F264">
        <v>3507.6</v>
      </c>
      <c r="G264">
        <v>7.4372999999999995E-2</v>
      </c>
      <c r="H264">
        <v>22</v>
      </c>
      <c r="I264">
        <v>33</v>
      </c>
      <c r="J264">
        <v>15</v>
      </c>
      <c r="K264">
        <v>12</v>
      </c>
      <c r="L264">
        <v>1</v>
      </c>
      <c r="M264">
        <v>6</v>
      </c>
      <c r="N264">
        <v>6</v>
      </c>
      <c r="O264">
        <v>4</v>
      </c>
      <c r="P264" t="s">
        <v>85</v>
      </c>
    </row>
    <row r="265" spans="1:16" x14ac:dyDescent="0.3">
      <c r="A265">
        <v>55</v>
      </c>
      <c r="B265">
        <v>2024</v>
      </c>
      <c r="C265">
        <v>1354</v>
      </c>
      <c r="D265">
        <v>80</v>
      </c>
      <c r="E265">
        <v>74</v>
      </c>
      <c r="F265">
        <v>2951.3</v>
      </c>
      <c r="G265">
        <v>5.4653E-2</v>
      </c>
      <c r="H265">
        <v>20</v>
      </c>
      <c r="I265">
        <v>35</v>
      </c>
      <c r="J265">
        <v>7</v>
      </c>
      <c r="K265">
        <v>6</v>
      </c>
      <c r="L265">
        <v>0</v>
      </c>
      <c r="M265">
        <v>1</v>
      </c>
      <c r="N265">
        <v>3</v>
      </c>
      <c r="O265">
        <v>2</v>
      </c>
      <c r="P265" t="s">
        <v>175</v>
      </c>
    </row>
    <row r="266" spans="1:16" x14ac:dyDescent="0.3">
      <c r="A266">
        <v>55</v>
      </c>
      <c r="B266">
        <v>2025</v>
      </c>
      <c r="C266">
        <v>2864</v>
      </c>
      <c r="D266">
        <v>322</v>
      </c>
      <c r="E266">
        <v>245</v>
      </c>
      <c r="F266">
        <v>22227.63</v>
      </c>
      <c r="G266">
        <v>8.5544999999999996E-2</v>
      </c>
      <c r="H266">
        <v>66</v>
      </c>
      <c r="I266">
        <v>97</v>
      </c>
      <c r="J266">
        <v>40</v>
      </c>
      <c r="K266">
        <v>32</v>
      </c>
      <c r="L266">
        <v>1</v>
      </c>
      <c r="M266">
        <v>13</v>
      </c>
      <c r="N266">
        <v>23</v>
      </c>
      <c r="O266">
        <v>12</v>
      </c>
      <c r="P266" t="s">
        <v>85</v>
      </c>
    </row>
    <row r="267" spans="1:16" x14ac:dyDescent="0.3">
      <c r="A267">
        <v>56</v>
      </c>
      <c r="B267">
        <v>2021</v>
      </c>
      <c r="C267">
        <v>1136</v>
      </c>
      <c r="D267">
        <v>89</v>
      </c>
      <c r="E267">
        <v>81</v>
      </c>
      <c r="F267">
        <v>7437.66</v>
      </c>
      <c r="G267">
        <v>7.1303000000000005E-2</v>
      </c>
      <c r="H267">
        <v>31</v>
      </c>
      <c r="I267">
        <v>31</v>
      </c>
      <c r="J267">
        <v>10</v>
      </c>
      <c r="K267">
        <v>10</v>
      </c>
      <c r="L267">
        <v>0</v>
      </c>
      <c r="M267">
        <v>3</v>
      </c>
      <c r="N267">
        <v>6</v>
      </c>
      <c r="O267">
        <v>2</v>
      </c>
      <c r="P267" t="s">
        <v>175</v>
      </c>
    </row>
    <row r="268" spans="1:16" x14ac:dyDescent="0.3">
      <c r="A268">
        <v>56</v>
      </c>
      <c r="B268">
        <v>2022</v>
      </c>
      <c r="C268">
        <v>1088</v>
      </c>
      <c r="D268">
        <v>47</v>
      </c>
      <c r="E268">
        <v>39</v>
      </c>
      <c r="F268">
        <v>1090.32</v>
      </c>
      <c r="G268">
        <v>3.5846000000000003E-2</v>
      </c>
      <c r="H268">
        <v>7</v>
      </c>
      <c r="I268">
        <v>21</v>
      </c>
      <c r="J268">
        <v>8</v>
      </c>
      <c r="K268">
        <v>5</v>
      </c>
      <c r="L268">
        <v>0</v>
      </c>
      <c r="M268">
        <v>2</v>
      </c>
      <c r="N268">
        <v>2</v>
      </c>
      <c r="O268">
        <v>2</v>
      </c>
      <c r="P268" t="s">
        <v>68</v>
      </c>
    </row>
    <row r="269" spans="1:16" x14ac:dyDescent="0.3">
      <c r="A269">
        <v>56</v>
      </c>
      <c r="B269">
        <v>2023</v>
      </c>
      <c r="C269">
        <v>1085</v>
      </c>
      <c r="D269">
        <v>54</v>
      </c>
      <c r="E269">
        <v>41</v>
      </c>
      <c r="F269">
        <v>2779.91</v>
      </c>
      <c r="G269">
        <v>3.7788000000000002E-2</v>
      </c>
      <c r="H269">
        <v>22</v>
      </c>
      <c r="I269">
        <v>28</v>
      </c>
      <c r="J269">
        <v>9</v>
      </c>
      <c r="K269">
        <v>7</v>
      </c>
      <c r="L269">
        <v>1</v>
      </c>
      <c r="M269">
        <v>4</v>
      </c>
      <c r="N269">
        <v>4</v>
      </c>
      <c r="O269">
        <v>4</v>
      </c>
      <c r="P269" t="s">
        <v>85</v>
      </c>
    </row>
    <row r="270" spans="1:16" x14ac:dyDescent="0.3">
      <c r="A270">
        <v>56</v>
      </c>
      <c r="B270">
        <v>2024</v>
      </c>
      <c r="C270">
        <v>612</v>
      </c>
      <c r="D270">
        <v>32</v>
      </c>
      <c r="E270">
        <v>25</v>
      </c>
      <c r="F270">
        <v>1035.3</v>
      </c>
      <c r="G270">
        <v>4.0849999999999997E-2</v>
      </c>
      <c r="H270">
        <v>17</v>
      </c>
      <c r="I270">
        <v>17</v>
      </c>
      <c r="J270">
        <v>6</v>
      </c>
      <c r="K270">
        <v>6</v>
      </c>
      <c r="L270">
        <v>0</v>
      </c>
      <c r="M270">
        <v>2</v>
      </c>
      <c r="N270">
        <v>3</v>
      </c>
      <c r="O270">
        <v>1</v>
      </c>
      <c r="P270" t="s">
        <v>68</v>
      </c>
    </row>
    <row r="271" spans="1:16" x14ac:dyDescent="0.3">
      <c r="A271">
        <v>57</v>
      </c>
      <c r="B271">
        <v>2021</v>
      </c>
      <c r="C271">
        <v>304</v>
      </c>
      <c r="D271">
        <v>8</v>
      </c>
      <c r="E271">
        <v>8</v>
      </c>
      <c r="F271">
        <v>259.05</v>
      </c>
      <c r="G271">
        <v>2.6315999999999999E-2</v>
      </c>
      <c r="H271">
        <v>4</v>
      </c>
      <c r="I271">
        <v>8</v>
      </c>
      <c r="J271">
        <v>1</v>
      </c>
      <c r="K271">
        <v>2</v>
      </c>
      <c r="L271">
        <v>0</v>
      </c>
      <c r="M271">
        <v>1</v>
      </c>
      <c r="N271">
        <v>1</v>
      </c>
      <c r="O271">
        <v>1</v>
      </c>
      <c r="P271" t="s">
        <v>176</v>
      </c>
    </row>
    <row r="272" spans="1:16" x14ac:dyDescent="0.3">
      <c r="A272">
        <v>57</v>
      </c>
      <c r="B272">
        <v>2022</v>
      </c>
      <c r="C272">
        <v>2062</v>
      </c>
      <c r="D272">
        <v>162</v>
      </c>
      <c r="E272">
        <v>131</v>
      </c>
      <c r="F272">
        <v>6534.83</v>
      </c>
      <c r="G272">
        <v>6.3531000000000004E-2</v>
      </c>
      <c r="H272">
        <v>31</v>
      </c>
      <c r="I272">
        <v>52</v>
      </c>
      <c r="J272">
        <v>29</v>
      </c>
      <c r="K272">
        <v>10</v>
      </c>
      <c r="L272">
        <v>0</v>
      </c>
      <c r="M272">
        <v>2</v>
      </c>
      <c r="N272">
        <v>5</v>
      </c>
      <c r="O272">
        <v>10</v>
      </c>
      <c r="P272" t="s">
        <v>175</v>
      </c>
    </row>
    <row r="273" spans="1:16" x14ac:dyDescent="0.3">
      <c r="A273">
        <v>57</v>
      </c>
      <c r="B273">
        <v>2023</v>
      </c>
      <c r="C273">
        <v>787</v>
      </c>
      <c r="D273">
        <v>49</v>
      </c>
      <c r="E273">
        <v>37</v>
      </c>
      <c r="F273">
        <v>3637.13</v>
      </c>
      <c r="G273">
        <v>4.7014E-2</v>
      </c>
      <c r="H273">
        <v>10</v>
      </c>
      <c r="I273">
        <v>20</v>
      </c>
      <c r="J273">
        <v>6</v>
      </c>
      <c r="K273">
        <v>5</v>
      </c>
      <c r="L273">
        <v>1</v>
      </c>
      <c r="M273">
        <v>4</v>
      </c>
      <c r="N273">
        <v>4</v>
      </c>
      <c r="O273">
        <v>3</v>
      </c>
      <c r="P273" t="s">
        <v>85</v>
      </c>
    </row>
    <row r="274" spans="1:16" x14ac:dyDescent="0.3">
      <c r="A274">
        <v>57</v>
      </c>
      <c r="B274">
        <v>2024</v>
      </c>
      <c r="C274">
        <v>391</v>
      </c>
      <c r="D274">
        <v>38</v>
      </c>
      <c r="E274">
        <v>33</v>
      </c>
      <c r="F274">
        <v>3377.7</v>
      </c>
      <c r="G274">
        <v>8.4399000000000002E-2</v>
      </c>
      <c r="H274">
        <v>8</v>
      </c>
      <c r="I274">
        <v>18</v>
      </c>
      <c r="J274">
        <v>8</v>
      </c>
      <c r="K274">
        <v>4</v>
      </c>
      <c r="L274">
        <v>1</v>
      </c>
      <c r="M274">
        <v>4</v>
      </c>
      <c r="N274">
        <v>3</v>
      </c>
      <c r="O274">
        <v>3</v>
      </c>
      <c r="P274" t="s">
        <v>68</v>
      </c>
    </row>
    <row r="275" spans="1:16" x14ac:dyDescent="0.3">
      <c r="A275">
        <v>57</v>
      </c>
      <c r="B275">
        <v>2025</v>
      </c>
      <c r="C275">
        <v>1018</v>
      </c>
      <c r="D275">
        <v>86</v>
      </c>
      <c r="E275">
        <v>63</v>
      </c>
      <c r="F275">
        <v>4801.78</v>
      </c>
      <c r="G275">
        <v>6.1885999999999997E-2</v>
      </c>
      <c r="H275">
        <v>21</v>
      </c>
      <c r="I275">
        <v>33</v>
      </c>
      <c r="J275">
        <v>14</v>
      </c>
      <c r="K275">
        <v>9</v>
      </c>
      <c r="L275">
        <v>1</v>
      </c>
      <c r="M275">
        <v>5</v>
      </c>
      <c r="N275">
        <v>7</v>
      </c>
      <c r="O275">
        <v>4</v>
      </c>
      <c r="P275" t="s">
        <v>85</v>
      </c>
    </row>
    <row r="276" spans="1:16" x14ac:dyDescent="0.3">
      <c r="A276">
        <v>58</v>
      </c>
      <c r="B276">
        <v>2021</v>
      </c>
      <c r="C276">
        <v>777</v>
      </c>
      <c r="D276">
        <v>67</v>
      </c>
      <c r="E276">
        <v>60</v>
      </c>
      <c r="F276">
        <v>6268.1</v>
      </c>
      <c r="G276">
        <v>7.7219999999999997E-2</v>
      </c>
      <c r="H276">
        <v>23</v>
      </c>
      <c r="I276">
        <v>23</v>
      </c>
      <c r="J276">
        <v>11</v>
      </c>
      <c r="K276">
        <v>11</v>
      </c>
      <c r="L276">
        <v>0</v>
      </c>
      <c r="M276">
        <v>2</v>
      </c>
      <c r="N276">
        <v>5</v>
      </c>
      <c r="O276">
        <v>4</v>
      </c>
      <c r="P276" t="s">
        <v>68</v>
      </c>
    </row>
    <row r="277" spans="1:16" x14ac:dyDescent="0.3">
      <c r="A277">
        <v>58</v>
      </c>
      <c r="B277">
        <v>2022</v>
      </c>
      <c r="C277">
        <v>1061</v>
      </c>
      <c r="D277">
        <v>52</v>
      </c>
      <c r="E277">
        <v>43</v>
      </c>
      <c r="F277">
        <v>2148.16</v>
      </c>
      <c r="G277">
        <v>4.0528000000000002E-2</v>
      </c>
      <c r="H277">
        <v>24</v>
      </c>
      <c r="I277">
        <v>26</v>
      </c>
      <c r="J277">
        <v>10</v>
      </c>
      <c r="K277">
        <v>11</v>
      </c>
      <c r="L277">
        <v>1</v>
      </c>
      <c r="M277">
        <v>6</v>
      </c>
      <c r="N277">
        <v>7</v>
      </c>
      <c r="O277">
        <v>3</v>
      </c>
      <c r="P277" t="s">
        <v>85</v>
      </c>
    </row>
    <row r="278" spans="1:16" x14ac:dyDescent="0.3">
      <c r="A278">
        <v>58</v>
      </c>
      <c r="B278">
        <v>2023</v>
      </c>
      <c r="C278">
        <v>536</v>
      </c>
      <c r="D278">
        <v>46</v>
      </c>
      <c r="E278">
        <v>35</v>
      </c>
      <c r="F278">
        <v>2828.41</v>
      </c>
      <c r="G278">
        <v>6.5298999999999996E-2</v>
      </c>
      <c r="H278">
        <v>14</v>
      </c>
      <c r="I278">
        <v>22</v>
      </c>
      <c r="J278">
        <v>6</v>
      </c>
      <c r="K278">
        <v>10</v>
      </c>
      <c r="L278">
        <v>1</v>
      </c>
      <c r="M278">
        <v>7</v>
      </c>
      <c r="N278">
        <v>7</v>
      </c>
      <c r="O278">
        <v>3</v>
      </c>
      <c r="P278" t="s">
        <v>85</v>
      </c>
    </row>
    <row r="279" spans="1:16" x14ac:dyDescent="0.3">
      <c r="A279">
        <v>58</v>
      </c>
      <c r="B279">
        <v>2024</v>
      </c>
      <c r="C279">
        <v>1367</v>
      </c>
      <c r="D279">
        <v>116</v>
      </c>
      <c r="E279">
        <v>102</v>
      </c>
      <c r="F279">
        <v>6078.7</v>
      </c>
      <c r="G279">
        <v>7.4616000000000002E-2</v>
      </c>
      <c r="H279">
        <v>12</v>
      </c>
      <c r="I279">
        <v>41</v>
      </c>
      <c r="J279">
        <v>17</v>
      </c>
      <c r="K279">
        <v>6</v>
      </c>
      <c r="L279">
        <v>1</v>
      </c>
      <c r="M279">
        <v>5</v>
      </c>
      <c r="N279">
        <v>5</v>
      </c>
      <c r="O279">
        <v>9</v>
      </c>
      <c r="P279" t="s">
        <v>85</v>
      </c>
    </row>
    <row r="280" spans="1:16" x14ac:dyDescent="0.3">
      <c r="A280">
        <v>58</v>
      </c>
      <c r="B280">
        <v>2025</v>
      </c>
      <c r="C280">
        <v>488</v>
      </c>
      <c r="D280">
        <v>17</v>
      </c>
      <c r="E280">
        <v>16</v>
      </c>
      <c r="F280">
        <v>961.53</v>
      </c>
      <c r="G280">
        <v>3.2786999999999997E-2</v>
      </c>
      <c r="H280">
        <v>4</v>
      </c>
      <c r="I280">
        <v>17</v>
      </c>
      <c r="J280">
        <v>3</v>
      </c>
      <c r="K280">
        <v>4</v>
      </c>
      <c r="L280">
        <v>1</v>
      </c>
      <c r="M280">
        <v>3</v>
      </c>
      <c r="N280">
        <v>3</v>
      </c>
      <c r="O280">
        <v>2</v>
      </c>
      <c r="P280" t="s">
        <v>68</v>
      </c>
    </row>
    <row r="281" spans="1:16" x14ac:dyDescent="0.3">
      <c r="A281">
        <v>59</v>
      </c>
      <c r="B281">
        <v>2021</v>
      </c>
      <c r="C281">
        <v>824</v>
      </c>
      <c r="D281">
        <v>66</v>
      </c>
      <c r="E281">
        <v>53</v>
      </c>
      <c r="F281">
        <v>3803.38</v>
      </c>
      <c r="G281">
        <v>6.4320000000000002E-2</v>
      </c>
      <c r="H281">
        <v>17</v>
      </c>
      <c r="I281">
        <v>25</v>
      </c>
      <c r="J281">
        <v>7</v>
      </c>
      <c r="K281">
        <v>8</v>
      </c>
      <c r="L281">
        <v>1</v>
      </c>
      <c r="M281">
        <v>5</v>
      </c>
      <c r="N281">
        <v>5</v>
      </c>
      <c r="O281">
        <v>3</v>
      </c>
      <c r="P281" t="s">
        <v>85</v>
      </c>
    </row>
    <row r="282" spans="1:16" x14ac:dyDescent="0.3">
      <c r="A282">
        <v>59</v>
      </c>
      <c r="B282">
        <v>2022</v>
      </c>
      <c r="C282">
        <v>1528</v>
      </c>
      <c r="D282">
        <v>79</v>
      </c>
      <c r="E282">
        <v>63</v>
      </c>
      <c r="F282">
        <v>2379.42</v>
      </c>
      <c r="G282">
        <v>4.1230000000000003E-2</v>
      </c>
      <c r="H282">
        <v>15</v>
      </c>
      <c r="I282">
        <v>30</v>
      </c>
      <c r="J282">
        <v>8</v>
      </c>
      <c r="K282">
        <v>6</v>
      </c>
      <c r="L282">
        <v>0</v>
      </c>
      <c r="M282">
        <v>2</v>
      </c>
      <c r="N282">
        <v>3</v>
      </c>
      <c r="O282">
        <v>5</v>
      </c>
      <c r="P282" t="s">
        <v>175</v>
      </c>
    </row>
    <row r="283" spans="1:16" x14ac:dyDescent="0.3">
      <c r="A283">
        <v>59</v>
      </c>
      <c r="B283">
        <v>2023</v>
      </c>
      <c r="C283">
        <v>1046</v>
      </c>
      <c r="D283">
        <v>93</v>
      </c>
      <c r="E283">
        <v>82</v>
      </c>
      <c r="F283">
        <v>7175.16</v>
      </c>
      <c r="G283">
        <v>7.8394000000000005E-2</v>
      </c>
      <c r="H283">
        <v>14</v>
      </c>
      <c r="I283">
        <v>29</v>
      </c>
      <c r="J283">
        <v>9</v>
      </c>
      <c r="K283">
        <v>6</v>
      </c>
      <c r="L283">
        <v>1</v>
      </c>
      <c r="M283">
        <v>4</v>
      </c>
      <c r="N283">
        <v>4</v>
      </c>
      <c r="O283">
        <v>4</v>
      </c>
      <c r="P283" t="s">
        <v>85</v>
      </c>
    </row>
    <row r="284" spans="1:16" x14ac:dyDescent="0.3">
      <c r="A284">
        <v>59</v>
      </c>
      <c r="B284">
        <v>2024</v>
      </c>
      <c r="C284">
        <v>197</v>
      </c>
      <c r="D284">
        <v>7</v>
      </c>
      <c r="E284">
        <v>7</v>
      </c>
      <c r="F284">
        <v>380.42</v>
      </c>
      <c r="G284">
        <v>3.5533000000000002E-2</v>
      </c>
      <c r="H284">
        <v>6</v>
      </c>
      <c r="I284">
        <v>6</v>
      </c>
      <c r="J284">
        <v>2</v>
      </c>
      <c r="K284">
        <v>2</v>
      </c>
      <c r="L284">
        <v>1</v>
      </c>
      <c r="M284">
        <v>4</v>
      </c>
      <c r="N284">
        <v>3</v>
      </c>
      <c r="O284">
        <v>2</v>
      </c>
      <c r="P284" t="s">
        <v>175</v>
      </c>
    </row>
    <row r="285" spans="1:16" x14ac:dyDescent="0.3">
      <c r="A285">
        <v>59</v>
      </c>
      <c r="B285">
        <v>2025</v>
      </c>
      <c r="C285">
        <v>412</v>
      </c>
      <c r="D285">
        <v>32</v>
      </c>
      <c r="E285">
        <v>27</v>
      </c>
      <c r="F285">
        <v>2882.47</v>
      </c>
      <c r="G285">
        <v>6.5533999999999995E-2</v>
      </c>
      <c r="H285">
        <v>15</v>
      </c>
      <c r="I285">
        <v>18</v>
      </c>
      <c r="J285">
        <v>7</v>
      </c>
      <c r="K285">
        <v>8</v>
      </c>
      <c r="L285">
        <v>1</v>
      </c>
      <c r="M285">
        <v>5</v>
      </c>
      <c r="N285">
        <v>6</v>
      </c>
      <c r="O285">
        <v>1</v>
      </c>
      <c r="P285" t="s">
        <v>85</v>
      </c>
    </row>
    <row r="286" spans="1:16" x14ac:dyDescent="0.3">
      <c r="A286">
        <v>60</v>
      </c>
      <c r="B286">
        <v>2021</v>
      </c>
      <c r="C286">
        <v>1133</v>
      </c>
      <c r="D286">
        <v>98</v>
      </c>
      <c r="E286">
        <v>93</v>
      </c>
      <c r="F286">
        <v>5615.41</v>
      </c>
      <c r="G286">
        <v>8.2083000000000003E-2</v>
      </c>
      <c r="H286">
        <v>19</v>
      </c>
      <c r="I286">
        <v>37</v>
      </c>
      <c r="J286">
        <v>16</v>
      </c>
      <c r="K286">
        <v>14</v>
      </c>
      <c r="L286">
        <v>1</v>
      </c>
      <c r="M286">
        <v>5</v>
      </c>
      <c r="N286">
        <v>8</v>
      </c>
      <c r="O286">
        <v>8</v>
      </c>
      <c r="P286" t="s">
        <v>85</v>
      </c>
    </row>
    <row r="287" spans="1:16" x14ac:dyDescent="0.3">
      <c r="A287">
        <v>60</v>
      </c>
      <c r="B287">
        <v>2022</v>
      </c>
      <c r="C287">
        <v>588</v>
      </c>
      <c r="D287">
        <v>31</v>
      </c>
      <c r="E287">
        <v>25</v>
      </c>
      <c r="F287">
        <v>1261.48</v>
      </c>
      <c r="G287">
        <v>4.2516999999999999E-2</v>
      </c>
      <c r="H287">
        <v>15</v>
      </c>
      <c r="I287">
        <v>21</v>
      </c>
      <c r="J287">
        <v>6</v>
      </c>
      <c r="K287">
        <v>5</v>
      </c>
      <c r="L287">
        <v>0</v>
      </c>
      <c r="M287">
        <v>1</v>
      </c>
      <c r="N287">
        <v>3</v>
      </c>
      <c r="O287">
        <v>2</v>
      </c>
      <c r="P287" t="s">
        <v>175</v>
      </c>
    </row>
    <row r="288" spans="1:16" x14ac:dyDescent="0.3">
      <c r="A288">
        <v>60</v>
      </c>
      <c r="B288">
        <v>2023</v>
      </c>
      <c r="C288">
        <v>641</v>
      </c>
      <c r="D288">
        <v>30</v>
      </c>
      <c r="E288">
        <v>22</v>
      </c>
      <c r="F288">
        <v>904.04</v>
      </c>
      <c r="G288">
        <v>3.4320999999999997E-2</v>
      </c>
      <c r="H288">
        <v>9</v>
      </c>
      <c r="I288">
        <v>19</v>
      </c>
      <c r="J288">
        <v>6</v>
      </c>
      <c r="K288">
        <v>3</v>
      </c>
      <c r="L288">
        <v>0</v>
      </c>
      <c r="M288">
        <v>1</v>
      </c>
      <c r="N288">
        <v>2</v>
      </c>
      <c r="O288">
        <v>1</v>
      </c>
      <c r="P288" t="s">
        <v>175</v>
      </c>
    </row>
    <row r="289" spans="1:16" x14ac:dyDescent="0.3">
      <c r="A289">
        <v>60</v>
      </c>
      <c r="B289">
        <v>2024</v>
      </c>
      <c r="C289">
        <v>1063</v>
      </c>
      <c r="D289">
        <v>89</v>
      </c>
      <c r="E289">
        <v>72</v>
      </c>
      <c r="F289">
        <v>5845.79</v>
      </c>
      <c r="G289">
        <v>6.7733000000000002E-2</v>
      </c>
      <c r="H289">
        <v>18</v>
      </c>
      <c r="I289">
        <v>38</v>
      </c>
      <c r="J289">
        <v>17</v>
      </c>
      <c r="K289">
        <v>9</v>
      </c>
      <c r="L289">
        <v>1</v>
      </c>
      <c r="M289">
        <v>3</v>
      </c>
      <c r="N289">
        <v>5</v>
      </c>
      <c r="O289">
        <v>6</v>
      </c>
      <c r="P289" t="s">
        <v>85</v>
      </c>
    </row>
    <row r="290" spans="1:16" x14ac:dyDescent="0.3">
      <c r="A290">
        <v>60</v>
      </c>
      <c r="B290">
        <v>2025</v>
      </c>
      <c r="C290">
        <v>1295</v>
      </c>
      <c r="D290">
        <v>112</v>
      </c>
      <c r="E290">
        <v>94</v>
      </c>
      <c r="F290">
        <v>8530.99</v>
      </c>
      <c r="G290">
        <v>7.2586999999999999E-2</v>
      </c>
      <c r="H290">
        <v>22</v>
      </c>
      <c r="I290">
        <v>36</v>
      </c>
      <c r="J290">
        <v>13</v>
      </c>
      <c r="K290">
        <v>16</v>
      </c>
      <c r="L290">
        <v>1</v>
      </c>
      <c r="M290">
        <v>7</v>
      </c>
      <c r="N290">
        <v>10</v>
      </c>
      <c r="O290">
        <v>6</v>
      </c>
      <c r="P290" t="s">
        <v>85</v>
      </c>
    </row>
    <row r="291" spans="1:16" x14ac:dyDescent="0.3">
      <c r="A291">
        <v>61</v>
      </c>
      <c r="B291">
        <v>2021</v>
      </c>
      <c r="C291">
        <v>1986</v>
      </c>
      <c r="D291">
        <v>137</v>
      </c>
      <c r="E291">
        <v>126</v>
      </c>
      <c r="F291">
        <v>5589.6</v>
      </c>
      <c r="G291">
        <v>6.3444E-2</v>
      </c>
      <c r="H291">
        <v>17</v>
      </c>
      <c r="I291">
        <v>47</v>
      </c>
      <c r="J291">
        <v>27</v>
      </c>
      <c r="K291">
        <v>8</v>
      </c>
      <c r="L291">
        <v>1</v>
      </c>
      <c r="M291">
        <v>3</v>
      </c>
      <c r="N291">
        <v>5</v>
      </c>
      <c r="O291">
        <v>8</v>
      </c>
      <c r="P291" t="s">
        <v>85</v>
      </c>
    </row>
    <row r="292" spans="1:16" x14ac:dyDescent="0.3">
      <c r="A292">
        <v>61</v>
      </c>
      <c r="B292">
        <v>2022</v>
      </c>
      <c r="C292">
        <v>248</v>
      </c>
      <c r="D292">
        <v>7</v>
      </c>
      <c r="E292">
        <v>5</v>
      </c>
      <c r="F292">
        <v>402.07</v>
      </c>
      <c r="G292">
        <v>2.0160999999999998E-2</v>
      </c>
      <c r="H292">
        <v>3</v>
      </c>
      <c r="I292">
        <v>12</v>
      </c>
      <c r="J292">
        <v>1</v>
      </c>
      <c r="K292">
        <v>2</v>
      </c>
      <c r="L292">
        <v>0</v>
      </c>
      <c r="M292">
        <v>0</v>
      </c>
      <c r="N292">
        <v>0</v>
      </c>
      <c r="O292">
        <v>0</v>
      </c>
      <c r="P292" t="s">
        <v>176</v>
      </c>
    </row>
    <row r="293" spans="1:16" x14ac:dyDescent="0.3">
      <c r="A293">
        <v>61</v>
      </c>
      <c r="B293">
        <v>2023</v>
      </c>
      <c r="C293">
        <v>610</v>
      </c>
      <c r="D293">
        <v>31</v>
      </c>
      <c r="E293">
        <v>29</v>
      </c>
      <c r="F293">
        <v>1043.05</v>
      </c>
      <c r="G293">
        <v>4.7541E-2</v>
      </c>
      <c r="H293">
        <v>12</v>
      </c>
      <c r="I293">
        <v>14</v>
      </c>
      <c r="J293">
        <v>4</v>
      </c>
      <c r="K293">
        <v>10</v>
      </c>
      <c r="L293">
        <v>0</v>
      </c>
      <c r="M293">
        <v>3</v>
      </c>
      <c r="N293">
        <v>4</v>
      </c>
      <c r="O293">
        <v>1</v>
      </c>
      <c r="P293" t="s">
        <v>175</v>
      </c>
    </row>
    <row r="294" spans="1:16" x14ac:dyDescent="0.3">
      <c r="A294">
        <v>61</v>
      </c>
      <c r="B294">
        <v>2024</v>
      </c>
      <c r="C294">
        <v>1481</v>
      </c>
      <c r="D294">
        <v>168</v>
      </c>
      <c r="E294">
        <v>140</v>
      </c>
      <c r="F294">
        <v>9353.26</v>
      </c>
      <c r="G294">
        <v>9.4531000000000004E-2</v>
      </c>
      <c r="H294">
        <v>25</v>
      </c>
      <c r="I294">
        <v>54</v>
      </c>
      <c r="J294">
        <v>31</v>
      </c>
      <c r="K294">
        <v>13</v>
      </c>
      <c r="L294">
        <v>0</v>
      </c>
      <c r="M294">
        <v>3</v>
      </c>
      <c r="N294">
        <v>6</v>
      </c>
      <c r="O294">
        <v>10</v>
      </c>
      <c r="P294" t="s">
        <v>175</v>
      </c>
    </row>
    <row r="295" spans="1:16" x14ac:dyDescent="0.3">
      <c r="A295">
        <v>61</v>
      </c>
      <c r="B295">
        <v>2025</v>
      </c>
      <c r="C295">
        <v>900</v>
      </c>
      <c r="D295">
        <v>64</v>
      </c>
      <c r="E295">
        <v>47</v>
      </c>
      <c r="F295">
        <v>4145.0200000000004</v>
      </c>
      <c r="G295">
        <v>5.2221999999999998E-2</v>
      </c>
      <c r="H295">
        <v>25</v>
      </c>
      <c r="I295">
        <v>25</v>
      </c>
      <c r="J295">
        <v>11</v>
      </c>
      <c r="K295">
        <v>11</v>
      </c>
      <c r="L295">
        <v>1</v>
      </c>
      <c r="M295">
        <v>4</v>
      </c>
      <c r="N295">
        <v>5</v>
      </c>
      <c r="O295">
        <v>2</v>
      </c>
      <c r="P295" t="s">
        <v>85</v>
      </c>
    </row>
    <row r="296" spans="1:16" x14ac:dyDescent="0.3">
      <c r="A296">
        <v>62</v>
      </c>
      <c r="B296">
        <v>2021</v>
      </c>
      <c r="C296">
        <v>2824</v>
      </c>
      <c r="D296">
        <v>227</v>
      </c>
      <c r="E296">
        <v>214</v>
      </c>
      <c r="F296">
        <v>10655.51</v>
      </c>
      <c r="G296">
        <v>7.5778999999999999E-2</v>
      </c>
      <c r="H296">
        <v>51</v>
      </c>
      <c r="I296">
        <v>69</v>
      </c>
      <c r="J296">
        <v>29</v>
      </c>
      <c r="K296">
        <v>12</v>
      </c>
      <c r="L296">
        <v>0</v>
      </c>
      <c r="M296">
        <v>5</v>
      </c>
      <c r="N296">
        <v>6</v>
      </c>
      <c r="O296">
        <v>14</v>
      </c>
      <c r="P296" t="s">
        <v>175</v>
      </c>
    </row>
    <row r="297" spans="1:16" x14ac:dyDescent="0.3">
      <c r="A297">
        <v>62</v>
      </c>
      <c r="B297">
        <v>2022</v>
      </c>
      <c r="C297">
        <v>410</v>
      </c>
      <c r="D297">
        <v>35</v>
      </c>
      <c r="E297">
        <v>25</v>
      </c>
      <c r="F297">
        <v>1324.53</v>
      </c>
      <c r="G297">
        <v>6.0976000000000002E-2</v>
      </c>
      <c r="H297">
        <v>13</v>
      </c>
      <c r="I297">
        <v>13</v>
      </c>
      <c r="J297">
        <v>7</v>
      </c>
      <c r="K297">
        <v>7</v>
      </c>
      <c r="L297">
        <v>0</v>
      </c>
      <c r="M297">
        <v>1</v>
      </c>
      <c r="N297">
        <v>4</v>
      </c>
      <c r="O297">
        <v>1</v>
      </c>
      <c r="P297" t="s">
        <v>68</v>
      </c>
    </row>
    <row r="298" spans="1:16" x14ac:dyDescent="0.3">
      <c r="A298">
        <v>62</v>
      </c>
      <c r="B298">
        <v>2023</v>
      </c>
      <c r="C298">
        <v>113</v>
      </c>
      <c r="D298">
        <v>11</v>
      </c>
      <c r="E298">
        <v>9</v>
      </c>
      <c r="F298">
        <v>513.79</v>
      </c>
      <c r="G298">
        <v>7.9645999999999995E-2</v>
      </c>
      <c r="H298">
        <v>11</v>
      </c>
      <c r="I298">
        <v>11</v>
      </c>
      <c r="J298">
        <v>5</v>
      </c>
      <c r="K298">
        <v>4</v>
      </c>
      <c r="L298">
        <v>1</v>
      </c>
      <c r="M298">
        <v>3</v>
      </c>
      <c r="N298">
        <v>3</v>
      </c>
      <c r="O298">
        <v>1</v>
      </c>
      <c r="P298" t="s">
        <v>68</v>
      </c>
    </row>
    <row r="299" spans="1:16" x14ac:dyDescent="0.3">
      <c r="A299">
        <v>62</v>
      </c>
      <c r="B299">
        <v>2024</v>
      </c>
      <c r="C299">
        <v>1390</v>
      </c>
      <c r="D299">
        <v>96</v>
      </c>
      <c r="E299">
        <v>92</v>
      </c>
      <c r="F299">
        <v>6211.99</v>
      </c>
      <c r="G299">
        <v>6.6186999999999996E-2</v>
      </c>
      <c r="H299">
        <v>38</v>
      </c>
      <c r="I299">
        <v>38</v>
      </c>
      <c r="J299">
        <v>20</v>
      </c>
      <c r="K299">
        <v>13</v>
      </c>
      <c r="L299">
        <v>1</v>
      </c>
      <c r="M299">
        <v>7</v>
      </c>
      <c r="N299">
        <v>8</v>
      </c>
      <c r="O299">
        <v>5</v>
      </c>
      <c r="P299" t="s">
        <v>85</v>
      </c>
    </row>
    <row r="300" spans="1:16" x14ac:dyDescent="0.3">
      <c r="A300">
        <v>62</v>
      </c>
      <c r="B300">
        <v>2025</v>
      </c>
      <c r="C300">
        <v>983</v>
      </c>
      <c r="D300">
        <v>56</v>
      </c>
      <c r="E300">
        <v>42</v>
      </c>
      <c r="F300">
        <v>2609.4699999999998</v>
      </c>
      <c r="G300">
        <v>4.2726E-2</v>
      </c>
      <c r="H300">
        <v>28</v>
      </c>
      <c r="I300">
        <v>28</v>
      </c>
      <c r="J300">
        <v>10</v>
      </c>
      <c r="K300">
        <v>18</v>
      </c>
      <c r="L300">
        <v>1</v>
      </c>
      <c r="M300">
        <v>9</v>
      </c>
      <c r="N300">
        <v>12</v>
      </c>
      <c r="O300">
        <v>4</v>
      </c>
      <c r="P300" t="s">
        <v>85</v>
      </c>
    </row>
    <row r="301" spans="1:16" x14ac:dyDescent="0.3">
      <c r="A301">
        <v>63</v>
      </c>
      <c r="B301">
        <v>2021</v>
      </c>
      <c r="C301">
        <v>909</v>
      </c>
      <c r="D301">
        <v>46</v>
      </c>
      <c r="E301">
        <v>36</v>
      </c>
      <c r="F301">
        <v>3138.55</v>
      </c>
      <c r="G301">
        <v>3.9604E-2</v>
      </c>
      <c r="H301">
        <v>15</v>
      </c>
      <c r="I301">
        <v>20</v>
      </c>
      <c r="J301">
        <v>6</v>
      </c>
      <c r="K301">
        <v>7</v>
      </c>
      <c r="L301">
        <v>0</v>
      </c>
      <c r="M301">
        <v>2</v>
      </c>
      <c r="N301">
        <v>3</v>
      </c>
      <c r="O301">
        <v>2</v>
      </c>
      <c r="P301" t="s">
        <v>68</v>
      </c>
    </row>
    <row r="302" spans="1:16" x14ac:dyDescent="0.3">
      <c r="A302">
        <v>63</v>
      </c>
      <c r="B302">
        <v>2022</v>
      </c>
      <c r="C302">
        <v>475</v>
      </c>
      <c r="D302">
        <v>22</v>
      </c>
      <c r="E302">
        <v>16</v>
      </c>
      <c r="F302">
        <v>1287.06</v>
      </c>
      <c r="G302">
        <v>3.3683999999999999E-2</v>
      </c>
      <c r="H302">
        <v>21</v>
      </c>
      <c r="I302">
        <v>21</v>
      </c>
      <c r="J302">
        <v>4</v>
      </c>
      <c r="K302">
        <v>5</v>
      </c>
      <c r="L302">
        <v>1</v>
      </c>
      <c r="M302">
        <v>3</v>
      </c>
      <c r="N302">
        <v>4</v>
      </c>
      <c r="O302">
        <v>1</v>
      </c>
      <c r="P302" t="s">
        <v>85</v>
      </c>
    </row>
    <row r="303" spans="1:16" x14ac:dyDescent="0.3">
      <c r="A303">
        <v>63</v>
      </c>
      <c r="B303">
        <v>2023</v>
      </c>
      <c r="C303">
        <v>1926</v>
      </c>
      <c r="D303">
        <v>212</v>
      </c>
      <c r="E303">
        <v>196</v>
      </c>
      <c r="F303">
        <v>17109.48</v>
      </c>
      <c r="G303">
        <v>0.10176499999999999</v>
      </c>
      <c r="H303">
        <v>67</v>
      </c>
      <c r="I303">
        <v>67</v>
      </c>
      <c r="J303">
        <v>31</v>
      </c>
      <c r="K303">
        <v>32</v>
      </c>
      <c r="L303">
        <v>1</v>
      </c>
      <c r="M303">
        <v>8</v>
      </c>
      <c r="N303">
        <v>11</v>
      </c>
      <c r="O303">
        <v>15</v>
      </c>
      <c r="P303" t="s">
        <v>85</v>
      </c>
    </row>
    <row r="304" spans="1:16" x14ac:dyDescent="0.3">
      <c r="A304">
        <v>63</v>
      </c>
      <c r="B304">
        <v>2024</v>
      </c>
      <c r="C304">
        <v>1336</v>
      </c>
      <c r="D304">
        <v>123</v>
      </c>
      <c r="E304">
        <v>110</v>
      </c>
      <c r="F304">
        <v>8661.51</v>
      </c>
      <c r="G304">
        <v>8.2335000000000005E-2</v>
      </c>
      <c r="H304">
        <v>22</v>
      </c>
      <c r="I304">
        <v>47</v>
      </c>
      <c r="J304">
        <v>22</v>
      </c>
      <c r="K304">
        <v>15</v>
      </c>
      <c r="L304">
        <v>1</v>
      </c>
      <c r="M304">
        <v>6</v>
      </c>
      <c r="N304">
        <v>7</v>
      </c>
      <c r="O304">
        <v>10</v>
      </c>
      <c r="P304" t="s">
        <v>85</v>
      </c>
    </row>
    <row r="305" spans="1:16" x14ac:dyDescent="0.3">
      <c r="A305">
        <v>63</v>
      </c>
      <c r="B305">
        <v>2025</v>
      </c>
      <c r="C305">
        <v>688</v>
      </c>
      <c r="D305">
        <v>61</v>
      </c>
      <c r="E305">
        <v>44</v>
      </c>
      <c r="F305">
        <v>1880.3</v>
      </c>
      <c r="G305">
        <v>6.3952999999999996E-2</v>
      </c>
      <c r="H305">
        <v>27</v>
      </c>
      <c r="I305">
        <v>27</v>
      </c>
      <c r="J305">
        <v>11</v>
      </c>
      <c r="K305">
        <v>7</v>
      </c>
      <c r="L305">
        <v>0</v>
      </c>
      <c r="M305">
        <v>1</v>
      </c>
      <c r="N305">
        <v>3</v>
      </c>
      <c r="O305">
        <v>3</v>
      </c>
      <c r="P305" t="s">
        <v>175</v>
      </c>
    </row>
    <row r="306" spans="1:16" x14ac:dyDescent="0.3">
      <c r="A306">
        <v>64</v>
      </c>
      <c r="B306">
        <v>2021</v>
      </c>
      <c r="C306">
        <v>589</v>
      </c>
      <c r="D306">
        <v>58</v>
      </c>
      <c r="E306">
        <v>43</v>
      </c>
      <c r="F306">
        <v>2662.53</v>
      </c>
      <c r="G306">
        <v>7.3005E-2</v>
      </c>
      <c r="H306">
        <v>16</v>
      </c>
      <c r="I306">
        <v>16</v>
      </c>
      <c r="J306">
        <v>8</v>
      </c>
      <c r="K306">
        <v>8</v>
      </c>
      <c r="L306">
        <v>1</v>
      </c>
      <c r="M306">
        <v>4</v>
      </c>
      <c r="N306">
        <v>4</v>
      </c>
      <c r="O306">
        <v>3</v>
      </c>
      <c r="P306" t="s">
        <v>85</v>
      </c>
    </row>
    <row r="307" spans="1:16" x14ac:dyDescent="0.3">
      <c r="A307">
        <v>64</v>
      </c>
      <c r="B307">
        <v>2022</v>
      </c>
      <c r="C307">
        <v>808</v>
      </c>
      <c r="D307">
        <v>45</v>
      </c>
      <c r="E307">
        <v>33</v>
      </c>
      <c r="F307">
        <v>2594.04</v>
      </c>
      <c r="G307">
        <v>4.0842000000000003E-2</v>
      </c>
      <c r="H307">
        <v>11</v>
      </c>
      <c r="I307">
        <v>19</v>
      </c>
      <c r="J307">
        <v>7</v>
      </c>
      <c r="K307">
        <v>5</v>
      </c>
      <c r="L307">
        <v>0</v>
      </c>
      <c r="M307">
        <v>1</v>
      </c>
      <c r="N307">
        <v>3</v>
      </c>
      <c r="O307">
        <v>2</v>
      </c>
      <c r="P307" t="s">
        <v>175</v>
      </c>
    </row>
    <row r="308" spans="1:16" x14ac:dyDescent="0.3">
      <c r="A308">
        <v>64</v>
      </c>
      <c r="B308">
        <v>2023</v>
      </c>
      <c r="C308">
        <v>1767</v>
      </c>
      <c r="D308">
        <v>182</v>
      </c>
      <c r="E308">
        <v>149</v>
      </c>
      <c r="F308">
        <v>8459.07</v>
      </c>
      <c r="G308">
        <v>8.4323999999999996E-2</v>
      </c>
      <c r="H308">
        <v>41</v>
      </c>
      <c r="I308">
        <v>51</v>
      </c>
      <c r="J308">
        <v>32</v>
      </c>
      <c r="K308">
        <v>11</v>
      </c>
      <c r="L308">
        <v>1</v>
      </c>
      <c r="M308">
        <v>6</v>
      </c>
      <c r="N308">
        <v>7</v>
      </c>
      <c r="O308">
        <v>9</v>
      </c>
      <c r="P308" t="s">
        <v>85</v>
      </c>
    </row>
    <row r="309" spans="1:16" x14ac:dyDescent="0.3">
      <c r="A309">
        <v>64</v>
      </c>
      <c r="B309">
        <v>2024</v>
      </c>
      <c r="C309">
        <v>445</v>
      </c>
      <c r="D309">
        <v>24</v>
      </c>
      <c r="E309">
        <v>18</v>
      </c>
      <c r="F309">
        <v>1051.6099999999999</v>
      </c>
      <c r="G309">
        <v>4.0448999999999999E-2</v>
      </c>
      <c r="H309">
        <v>9</v>
      </c>
      <c r="I309">
        <v>13</v>
      </c>
      <c r="J309">
        <v>4</v>
      </c>
      <c r="K309">
        <v>3</v>
      </c>
      <c r="L309">
        <v>1</v>
      </c>
      <c r="M309">
        <v>4</v>
      </c>
      <c r="N309">
        <v>3</v>
      </c>
      <c r="O309">
        <v>2</v>
      </c>
      <c r="P309" t="s">
        <v>68</v>
      </c>
    </row>
    <row r="310" spans="1:16" x14ac:dyDescent="0.3">
      <c r="A310">
        <v>64</v>
      </c>
      <c r="B310">
        <v>2025</v>
      </c>
      <c r="C310">
        <v>1328</v>
      </c>
      <c r="D310">
        <v>91</v>
      </c>
      <c r="E310">
        <v>82</v>
      </c>
      <c r="F310">
        <v>5313.32</v>
      </c>
      <c r="G310">
        <v>6.1747000000000003E-2</v>
      </c>
      <c r="H310">
        <v>30</v>
      </c>
      <c r="I310">
        <v>35</v>
      </c>
      <c r="J310">
        <v>14</v>
      </c>
      <c r="K310">
        <v>12</v>
      </c>
      <c r="L310">
        <v>1</v>
      </c>
      <c r="M310">
        <v>4</v>
      </c>
      <c r="N310">
        <v>6</v>
      </c>
      <c r="O310">
        <v>6</v>
      </c>
      <c r="P310" t="s">
        <v>85</v>
      </c>
    </row>
    <row r="311" spans="1:16" x14ac:dyDescent="0.3">
      <c r="A311">
        <v>65</v>
      </c>
      <c r="B311">
        <v>2021</v>
      </c>
      <c r="C311">
        <v>2790</v>
      </c>
      <c r="D311">
        <v>259</v>
      </c>
      <c r="E311">
        <v>227</v>
      </c>
      <c r="F311">
        <v>12955.7</v>
      </c>
      <c r="G311">
        <v>8.1362000000000004E-2</v>
      </c>
      <c r="H311">
        <v>50</v>
      </c>
      <c r="I311">
        <v>78</v>
      </c>
      <c r="J311">
        <v>24</v>
      </c>
      <c r="K311">
        <v>16</v>
      </c>
      <c r="L311">
        <v>0</v>
      </c>
      <c r="M311">
        <v>6</v>
      </c>
      <c r="N311">
        <v>9</v>
      </c>
      <c r="O311">
        <v>5</v>
      </c>
      <c r="P311" t="s">
        <v>175</v>
      </c>
    </row>
    <row r="312" spans="1:16" x14ac:dyDescent="0.3">
      <c r="A312">
        <v>65</v>
      </c>
      <c r="B312">
        <v>2022</v>
      </c>
      <c r="C312">
        <v>316</v>
      </c>
      <c r="D312">
        <v>27</v>
      </c>
      <c r="E312">
        <v>24</v>
      </c>
      <c r="F312">
        <v>1172.9100000000001</v>
      </c>
      <c r="G312">
        <v>7.5949000000000003E-2</v>
      </c>
      <c r="H312">
        <v>14</v>
      </c>
      <c r="I312">
        <v>17</v>
      </c>
      <c r="J312">
        <v>6</v>
      </c>
      <c r="K312">
        <v>6</v>
      </c>
      <c r="L312">
        <v>0</v>
      </c>
      <c r="M312">
        <v>1</v>
      </c>
      <c r="N312">
        <v>3</v>
      </c>
      <c r="O312">
        <v>1</v>
      </c>
      <c r="P312" t="s">
        <v>85</v>
      </c>
    </row>
    <row r="313" spans="1:16" x14ac:dyDescent="0.3">
      <c r="A313">
        <v>65</v>
      </c>
      <c r="B313">
        <v>2023</v>
      </c>
      <c r="C313">
        <v>1824</v>
      </c>
      <c r="D313">
        <v>106</v>
      </c>
      <c r="E313">
        <v>80</v>
      </c>
      <c r="F313">
        <v>2914.16</v>
      </c>
      <c r="G313">
        <v>4.3860000000000003E-2</v>
      </c>
      <c r="H313">
        <v>17</v>
      </c>
      <c r="I313">
        <v>43</v>
      </c>
      <c r="J313">
        <v>13</v>
      </c>
      <c r="K313">
        <v>9</v>
      </c>
      <c r="L313">
        <v>0</v>
      </c>
      <c r="M313">
        <v>3</v>
      </c>
      <c r="N313">
        <v>4</v>
      </c>
      <c r="O313">
        <v>5</v>
      </c>
      <c r="P313" t="s">
        <v>175</v>
      </c>
    </row>
    <row r="314" spans="1:16" x14ac:dyDescent="0.3">
      <c r="A314">
        <v>65</v>
      </c>
      <c r="B314">
        <v>2024</v>
      </c>
      <c r="C314">
        <v>638</v>
      </c>
      <c r="D314">
        <v>60</v>
      </c>
      <c r="E314">
        <v>47</v>
      </c>
      <c r="F314">
        <v>3329.97</v>
      </c>
      <c r="G314">
        <v>7.3667999999999997E-2</v>
      </c>
      <c r="H314">
        <v>17</v>
      </c>
      <c r="I314">
        <v>19</v>
      </c>
      <c r="J314">
        <v>12</v>
      </c>
      <c r="K314">
        <v>9</v>
      </c>
      <c r="L314">
        <v>1</v>
      </c>
      <c r="M314">
        <v>4</v>
      </c>
      <c r="N314">
        <v>6</v>
      </c>
      <c r="O314">
        <v>4</v>
      </c>
      <c r="P314" t="s">
        <v>85</v>
      </c>
    </row>
    <row r="315" spans="1:16" x14ac:dyDescent="0.3">
      <c r="A315">
        <v>65</v>
      </c>
      <c r="B315">
        <v>2025</v>
      </c>
      <c r="C315">
        <v>914</v>
      </c>
      <c r="D315">
        <v>50</v>
      </c>
      <c r="E315">
        <v>40</v>
      </c>
      <c r="F315">
        <v>3233.21</v>
      </c>
      <c r="G315">
        <v>4.3763999999999997E-2</v>
      </c>
      <c r="H315">
        <v>6</v>
      </c>
      <c r="I315">
        <v>15</v>
      </c>
      <c r="J315">
        <v>9</v>
      </c>
      <c r="K315">
        <v>3</v>
      </c>
      <c r="L315">
        <v>0</v>
      </c>
      <c r="M315">
        <v>1</v>
      </c>
      <c r="N315">
        <v>2</v>
      </c>
      <c r="O315">
        <v>2</v>
      </c>
      <c r="P315" t="s">
        <v>175</v>
      </c>
    </row>
    <row r="316" spans="1:16" x14ac:dyDescent="0.3">
      <c r="A316">
        <v>66</v>
      </c>
      <c r="B316">
        <v>2021</v>
      </c>
      <c r="C316">
        <v>526</v>
      </c>
      <c r="D316">
        <v>30</v>
      </c>
      <c r="E316">
        <v>22</v>
      </c>
      <c r="F316">
        <v>2061.15</v>
      </c>
      <c r="G316">
        <v>4.1825000000000001E-2</v>
      </c>
      <c r="H316">
        <v>18</v>
      </c>
      <c r="I316">
        <v>18</v>
      </c>
      <c r="J316">
        <v>6</v>
      </c>
      <c r="K316">
        <v>6</v>
      </c>
      <c r="L316">
        <v>0</v>
      </c>
      <c r="M316">
        <v>1</v>
      </c>
      <c r="N316">
        <v>3</v>
      </c>
      <c r="O316">
        <v>2</v>
      </c>
      <c r="P316" t="s">
        <v>175</v>
      </c>
    </row>
    <row r="317" spans="1:16" x14ac:dyDescent="0.3">
      <c r="A317">
        <v>66</v>
      </c>
      <c r="B317">
        <v>2023</v>
      </c>
      <c r="C317">
        <v>388</v>
      </c>
      <c r="D317">
        <v>15</v>
      </c>
      <c r="E317">
        <v>12</v>
      </c>
      <c r="F317">
        <v>298.33</v>
      </c>
      <c r="G317">
        <v>3.0928000000000001E-2</v>
      </c>
      <c r="H317">
        <v>2</v>
      </c>
      <c r="I317">
        <v>14</v>
      </c>
      <c r="J317">
        <v>3</v>
      </c>
      <c r="K317">
        <v>3</v>
      </c>
      <c r="L317">
        <v>1</v>
      </c>
      <c r="M317">
        <v>2</v>
      </c>
      <c r="N317">
        <v>2</v>
      </c>
      <c r="O317">
        <v>1</v>
      </c>
      <c r="P317" t="s">
        <v>68</v>
      </c>
    </row>
    <row r="318" spans="1:16" x14ac:dyDescent="0.3">
      <c r="A318">
        <v>66</v>
      </c>
      <c r="B318">
        <v>2024</v>
      </c>
      <c r="C318">
        <v>987</v>
      </c>
      <c r="D318">
        <v>100</v>
      </c>
      <c r="E318">
        <v>90</v>
      </c>
      <c r="F318">
        <v>6731.54</v>
      </c>
      <c r="G318">
        <v>9.1185000000000002E-2</v>
      </c>
      <c r="H318">
        <v>16</v>
      </c>
      <c r="I318">
        <v>29</v>
      </c>
      <c r="J318">
        <v>18</v>
      </c>
      <c r="K318">
        <v>10</v>
      </c>
      <c r="L318">
        <v>0</v>
      </c>
      <c r="M318">
        <v>1</v>
      </c>
      <c r="N318">
        <v>4</v>
      </c>
      <c r="O318">
        <v>3</v>
      </c>
      <c r="P318" t="s">
        <v>85</v>
      </c>
    </row>
    <row r="319" spans="1:16" x14ac:dyDescent="0.3">
      <c r="A319">
        <v>67</v>
      </c>
      <c r="B319">
        <v>2022</v>
      </c>
      <c r="C319">
        <v>1529</v>
      </c>
      <c r="D319">
        <v>101</v>
      </c>
      <c r="E319">
        <v>93</v>
      </c>
      <c r="F319">
        <v>7685.2</v>
      </c>
      <c r="G319">
        <v>6.0824000000000003E-2</v>
      </c>
      <c r="H319">
        <v>29</v>
      </c>
      <c r="I319">
        <v>34</v>
      </c>
      <c r="J319">
        <v>15</v>
      </c>
      <c r="K319">
        <v>14</v>
      </c>
      <c r="L319">
        <v>0</v>
      </c>
      <c r="M319">
        <v>4</v>
      </c>
      <c r="N319">
        <v>6</v>
      </c>
      <c r="O319">
        <v>3</v>
      </c>
      <c r="P319" t="s">
        <v>175</v>
      </c>
    </row>
    <row r="320" spans="1:16" x14ac:dyDescent="0.3">
      <c r="A320">
        <v>67</v>
      </c>
      <c r="B320">
        <v>2023</v>
      </c>
      <c r="C320">
        <v>582</v>
      </c>
      <c r="D320">
        <v>27</v>
      </c>
      <c r="E320">
        <v>26</v>
      </c>
      <c r="F320">
        <v>2564.4699999999998</v>
      </c>
      <c r="G320">
        <v>4.4673999999999998E-2</v>
      </c>
      <c r="H320">
        <v>12</v>
      </c>
      <c r="I320">
        <v>17</v>
      </c>
      <c r="J320">
        <v>6</v>
      </c>
      <c r="K320">
        <v>7</v>
      </c>
      <c r="L320">
        <v>0</v>
      </c>
      <c r="M320">
        <v>2</v>
      </c>
      <c r="N320">
        <v>3</v>
      </c>
      <c r="O320">
        <v>1</v>
      </c>
      <c r="P320" t="s">
        <v>175</v>
      </c>
    </row>
    <row r="321" spans="1:16" x14ac:dyDescent="0.3">
      <c r="A321">
        <v>67</v>
      </c>
      <c r="B321">
        <v>2024</v>
      </c>
      <c r="C321">
        <v>1359</v>
      </c>
      <c r="D321">
        <v>87</v>
      </c>
      <c r="E321">
        <v>72</v>
      </c>
      <c r="F321">
        <v>7231.03</v>
      </c>
      <c r="G321">
        <v>5.2979999999999999E-2</v>
      </c>
      <c r="H321">
        <v>23</v>
      </c>
      <c r="I321">
        <v>34</v>
      </c>
      <c r="J321">
        <v>8</v>
      </c>
      <c r="K321">
        <v>14</v>
      </c>
      <c r="L321">
        <v>0</v>
      </c>
      <c r="M321">
        <v>5</v>
      </c>
      <c r="N321">
        <v>5</v>
      </c>
      <c r="O321">
        <v>5</v>
      </c>
      <c r="P321" t="s">
        <v>175</v>
      </c>
    </row>
    <row r="322" spans="1:16" x14ac:dyDescent="0.3">
      <c r="A322">
        <v>67</v>
      </c>
      <c r="B322">
        <v>2025</v>
      </c>
      <c r="C322">
        <v>1040</v>
      </c>
      <c r="D322">
        <v>87</v>
      </c>
      <c r="E322">
        <v>71</v>
      </c>
      <c r="F322">
        <v>4753.04</v>
      </c>
      <c r="G322">
        <v>6.8268999999999996E-2</v>
      </c>
      <c r="H322">
        <v>14</v>
      </c>
      <c r="I322">
        <v>29</v>
      </c>
      <c r="J322">
        <v>10</v>
      </c>
      <c r="K322">
        <v>8</v>
      </c>
      <c r="L322">
        <v>0</v>
      </c>
      <c r="M322">
        <v>2</v>
      </c>
      <c r="N322">
        <v>2</v>
      </c>
      <c r="O322">
        <v>3</v>
      </c>
      <c r="P322" t="s">
        <v>175</v>
      </c>
    </row>
    <row r="323" spans="1:16" x14ac:dyDescent="0.3">
      <c r="A323">
        <v>68</v>
      </c>
      <c r="B323">
        <v>2021</v>
      </c>
      <c r="C323">
        <v>2018</v>
      </c>
      <c r="D323">
        <v>204</v>
      </c>
      <c r="E323">
        <v>183</v>
      </c>
      <c r="F323">
        <v>11022.22</v>
      </c>
      <c r="G323">
        <v>9.0684000000000001E-2</v>
      </c>
      <c r="H323">
        <v>23</v>
      </c>
      <c r="I323">
        <v>60</v>
      </c>
      <c r="J323">
        <v>26</v>
      </c>
      <c r="K323">
        <v>12</v>
      </c>
      <c r="L323">
        <v>0</v>
      </c>
      <c r="M323">
        <v>5</v>
      </c>
      <c r="N323">
        <v>7</v>
      </c>
      <c r="O323">
        <v>4</v>
      </c>
      <c r="P323" t="s">
        <v>68</v>
      </c>
    </row>
    <row r="324" spans="1:16" x14ac:dyDescent="0.3">
      <c r="A324">
        <v>68</v>
      </c>
      <c r="B324">
        <v>2022</v>
      </c>
      <c r="C324">
        <v>425</v>
      </c>
      <c r="D324">
        <v>42</v>
      </c>
      <c r="E324">
        <v>34</v>
      </c>
      <c r="F324">
        <v>3950.64</v>
      </c>
      <c r="G324">
        <v>0.08</v>
      </c>
      <c r="H324">
        <v>15</v>
      </c>
      <c r="I324">
        <v>19</v>
      </c>
      <c r="J324">
        <v>7</v>
      </c>
      <c r="K324">
        <v>6</v>
      </c>
      <c r="L324">
        <v>1</v>
      </c>
      <c r="M324">
        <v>5</v>
      </c>
      <c r="N324">
        <v>3</v>
      </c>
      <c r="O324">
        <v>1</v>
      </c>
      <c r="P324" t="s">
        <v>85</v>
      </c>
    </row>
    <row r="325" spans="1:16" x14ac:dyDescent="0.3">
      <c r="A325">
        <v>68</v>
      </c>
      <c r="B325">
        <v>2023</v>
      </c>
      <c r="C325">
        <v>686</v>
      </c>
      <c r="D325">
        <v>75</v>
      </c>
      <c r="E325">
        <v>67</v>
      </c>
      <c r="F325">
        <v>7603.41</v>
      </c>
      <c r="G325">
        <v>9.7668000000000005E-2</v>
      </c>
      <c r="H325">
        <v>19</v>
      </c>
      <c r="I325">
        <v>30</v>
      </c>
      <c r="J325">
        <v>14</v>
      </c>
      <c r="K325">
        <v>11</v>
      </c>
      <c r="L325">
        <v>1</v>
      </c>
      <c r="M325">
        <v>5</v>
      </c>
      <c r="N325">
        <v>8</v>
      </c>
      <c r="O325">
        <v>4</v>
      </c>
      <c r="P325" t="s">
        <v>85</v>
      </c>
    </row>
    <row r="326" spans="1:16" x14ac:dyDescent="0.3">
      <c r="A326">
        <v>68</v>
      </c>
      <c r="B326">
        <v>2024</v>
      </c>
      <c r="C326">
        <v>893</v>
      </c>
      <c r="D326">
        <v>76</v>
      </c>
      <c r="E326">
        <v>57</v>
      </c>
      <c r="F326">
        <v>3265.75</v>
      </c>
      <c r="G326">
        <v>6.3829999999999998E-2</v>
      </c>
      <c r="H326">
        <v>22</v>
      </c>
      <c r="I326">
        <v>28</v>
      </c>
      <c r="J326">
        <v>13</v>
      </c>
      <c r="K326">
        <v>14</v>
      </c>
      <c r="L326">
        <v>0</v>
      </c>
      <c r="M326">
        <v>5</v>
      </c>
      <c r="N326">
        <v>6</v>
      </c>
      <c r="O326">
        <v>3</v>
      </c>
      <c r="P326" t="s">
        <v>85</v>
      </c>
    </row>
    <row r="327" spans="1:16" x14ac:dyDescent="0.3">
      <c r="A327">
        <v>68</v>
      </c>
      <c r="B327">
        <v>2025</v>
      </c>
      <c r="C327">
        <v>1050</v>
      </c>
      <c r="D327">
        <v>59</v>
      </c>
      <c r="E327">
        <v>55</v>
      </c>
      <c r="F327">
        <v>2463.42</v>
      </c>
      <c r="G327">
        <v>5.2380999999999997E-2</v>
      </c>
      <c r="H327">
        <v>20</v>
      </c>
      <c r="I327">
        <v>27</v>
      </c>
      <c r="J327">
        <v>8</v>
      </c>
      <c r="K327">
        <v>17</v>
      </c>
      <c r="L327">
        <v>0</v>
      </c>
      <c r="M327">
        <v>5</v>
      </c>
      <c r="N327">
        <v>7</v>
      </c>
      <c r="O327">
        <v>1</v>
      </c>
      <c r="P327" t="s">
        <v>175</v>
      </c>
    </row>
    <row r="328" spans="1:16" x14ac:dyDescent="0.3">
      <c r="A328">
        <v>69</v>
      </c>
      <c r="B328">
        <v>2021</v>
      </c>
      <c r="C328">
        <v>1368</v>
      </c>
      <c r="D328">
        <v>117</v>
      </c>
      <c r="E328">
        <v>103</v>
      </c>
      <c r="F328">
        <v>9506.14</v>
      </c>
      <c r="G328">
        <v>7.5291999999999998E-2</v>
      </c>
      <c r="H328">
        <v>24</v>
      </c>
      <c r="I328">
        <v>45</v>
      </c>
      <c r="J328">
        <v>24</v>
      </c>
      <c r="K328">
        <v>14</v>
      </c>
      <c r="L328">
        <v>1</v>
      </c>
      <c r="M328">
        <v>6</v>
      </c>
      <c r="N328">
        <v>8</v>
      </c>
      <c r="O328">
        <v>6</v>
      </c>
      <c r="P328" t="s">
        <v>85</v>
      </c>
    </row>
    <row r="329" spans="1:16" x14ac:dyDescent="0.3">
      <c r="A329">
        <v>69</v>
      </c>
      <c r="B329">
        <v>2022</v>
      </c>
      <c r="C329">
        <v>885</v>
      </c>
      <c r="D329">
        <v>55</v>
      </c>
      <c r="E329">
        <v>44</v>
      </c>
      <c r="F329">
        <v>3699.24</v>
      </c>
      <c r="G329">
        <v>4.9717999999999998E-2</v>
      </c>
      <c r="H329">
        <v>16</v>
      </c>
      <c r="I329">
        <v>26</v>
      </c>
      <c r="J329">
        <v>8</v>
      </c>
      <c r="K329">
        <v>5</v>
      </c>
      <c r="L329">
        <v>1</v>
      </c>
      <c r="M329">
        <v>3</v>
      </c>
      <c r="N329">
        <v>3</v>
      </c>
      <c r="O329">
        <v>3</v>
      </c>
      <c r="P329" t="s">
        <v>85</v>
      </c>
    </row>
    <row r="330" spans="1:16" x14ac:dyDescent="0.3">
      <c r="A330">
        <v>69</v>
      </c>
      <c r="B330">
        <v>2023</v>
      </c>
      <c r="C330">
        <v>1542</v>
      </c>
      <c r="D330">
        <v>134</v>
      </c>
      <c r="E330">
        <v>99</v>
      </c>
      <c r="F330">
        <v>9993.89</v>
      </c>
      <c r="G330">
        <v>6.4201999999999995E-2</v>
      </c>
      <c r="H330">
        <v>18</v>
      </c>
      <c r="I330">
        <v>46</v>
      </c>
      <c r="J330">
        <v>14</v>
      </c>
      <c r="K330">
        <v>12</v>
      </c>
      <c r="L330">
        <v>1</v>
      </c>
      <c r="M330">
        <v>4</v>
      </c>
      <c r="N330">
        <v>7</v>
      </c>
      <c r="O330">
        <v>6</v>
      </c>
      <c r="P330" t="s">
        <v>85</v>
      </c>
    </row>
    <row r="331" spans="1:16" x14ac:dyDescent="0.3">
      <c r="A331">
        <v>69</v>
      </c>
      <c r="B331">
        <v>2024</v>
      </c>
      <c r="C331">
        <v>1270</v>
      </c>
      <c r="D331">
        <v>125</v>
      </c>
      <c r="E331">
        <v>105</v>
      </c>
      <c r="F331">
        <v>11444.19</v>
      </c>
      <c r="G331">
        <v>8.2677E-2</v>
      </c>
      <c r="H331">
        <v>32</v>
      </c>
      <c r="I331">
        <v>43</v>
      </c>
      <c r="J331">
        <v>17</v>
      </c>
      <c r="K331">
        <v>18</v>
      </c>
      <c r="L331">
        <v>1</v>
      </c>
      <c r="M331">
        <v>5</v>
      </c>
      <c r="N331">
        <v>5</v>
      </c>
      <c r="O331">
        <v>5</v>
      </c>
      <c r="P331" t="s">
        <v>85</v>
      </c>
    </row>
    <row r="332" spans="1:16" x14ac:dyDescent="0.3">
      <c r="A332">
        <v>69</v>
      </c>
      <c r="B332">
        <v>2025</v>
      </c>
      <c r="C332">
        <v>1155</v>
      </c>
      <c r="D332">
        <v>114</v>
      </c>
      <c r="E332">
        <v>99</v>
      </c>
      <c r="F332">
        <v>8049.58</v>
      </c>
      <c r="G332">
        <v>8.5713999999999999E-2</v>
      </c>
      <c r="H332">
        <v>28</v>
      </c>
      <c r="I332">
        <v>39</v>
      </c>
      <c r="J332">
        <v>23</v>
      </c>
      <c r="K332">
        <v>15</v>
      </c>
      <c r="L332">
        <v>1</v>
      </c>
      <c r="M332">
        <v>5</v>
      </c>
      <c r="N332">
        <v>9</v>
      </c>
      <c r="O332">
        <v>2</v>
      </c>
      <c r="P332" t="s">
        <v>85</v>
      </c>
    </row>
    <row r="333" spans="1:16" x14ac:dyDescent="0.3">
      <c r="A333">
        <v>70</v>
      </c>
      <c r="B333">
        <v>2022</v>
      </c>
      <c r="C333">
        <v>515</v>
      </c>
      <c r="D333">
        <v>46</v>
      </c>
      <c r="E333">
        <v>34</v>
      </c>
      <c r="F333">
        <v>3051.92</v>
      </c>
      <c r="G333">
        <v>6.6018999999999994E-2</v>
      </c>
      <c r="H333">
        <v>25</v>
      </c>
      <c r="I333">
        <v>25</v>
      </c>
      <c r="J333">
        <v>6</v>
      </c>
      <c r="K333">
        <v>8</v>
      </c>
      <c r="L333">
        <v>1</v>
      </c>
      <c r="M333">
        <v>4</v>
      </c>
      <c r="N333">
        <v>4</v>
      </c>
      <c r="O333">
        <v>3</v>
      </c>
      <c r="P333" t="s">
        <v>85</v>
      </c>
    </row>
    <row r="334" spans="1:16" x14ac:dyDescent="0.3">
      <c r="A334">
        <v>70</v>
      </c>
      <c r="B334">
        <v>2023</v>
      </c>
      <c r="C334">
        <v>1070</v>
      </c>
      <c r="D334">
        <v>98</v>
      </c>
      <c r="E334">
        <v>86</v>
      </c>
      <c r="F334">
        <v>7498.62</v>
      </c>
      <c r="G334">
        <v>8.0374000000000001E-2</v>
      </c>
      <c r="H334">
        <v>19</v>
      </c>
      <c r="I334">
        <v>40</v>
      </c>
      <c r="J334">
        <v>20</v>
      </c>
      <c r="K334">
        <v>8</v>
      </c>
      <c r="L334">
        <v>1</v>
      </c>
      <c r="M334">
        <v>5</v>
      </c>
      <c r="N334">
        <v>5</v>
      </c>
      <c r="O334">
        <v>2</v>
      </c>
      <c r="P334" t="s">
        <v>85</v>
      </c>
    </row>
    <row r="335" spans="1:16" x14ac:dyDescent="0.3">
      <c r="A335">
        <v>70</v>
      </c>
      <c r="B335">
        <v>2024</v>
      </c>
      <c r="C335">
        <v>216</v>
      </c>
      <c r="D335">
        <v>11</v>
      </c>
      <c r="E335">
        <v>10</v>
      </c>
      <c r="F335">
        <v>1000.53</v>
      </c>
      <c r="G335">
        <v>4.6295999999999997E-2</v>
      </c>
      <c r="H335">
        <v>9</v>
      </c>
      <c r="I335">
        <v>9</v>
      </c>
      <c r="J335">
        <v>3</v>
      </c>
      <c r="K335">
        <v>5</v>
      </c>
      <c r="L335">
        <v>0</v>
      </c>
      <c r="M335">
        <v>2</v>
      </c>
      <c r="N335">
        <v>2</v>
      </c>
      <c r="O335">
        <v>0</v>
      </c>
      <c r="P335" t="s">
        <v>175</v>
      </c>
    </row>
    <row r="336" spans="1:16" x14ac:dyDescent="0.3">
      <c r="A336">
        <v>70</v>
      </c>
      <c r="B336">
        <v>2025</v>
      </c>
      <c r="C336">
        <v>1222</v>
      </c>
      <c r="D336">
        <v>115</v>
      </c>
      <c r="E336">
        <v>89</v>
      </c>
      <c r="F336">
        <v>7792.71</v>
      </c>
      <c r="G336">
        <v>7.2831000000000007E-2</v>
      </c>
      <c r="H336">
        <v>24</v>
      </c>
      <c r="I336">
        <v>37</v>
      </c>
      <c r="J336">
        <v>17</v>
      </c>
      <c r="K336">
        <v>12</v>
      </c>
      <c r="L336">
        <v>1</v>
      </c>
      <c r="M336">
        <v>4</v>
      </c>
      <c r="N336">
        <v>5</v>
      </c>
      <c r="O336">
        <v>4</v>
      </c>
      <c r="P336" t="s">
        <v>85</v>
      </c>
    </row>
    <row r="337" spans="1:16" x14ac:dyDescent="0.3">
      <c r="A337">
        <v>71</v>
      </c>
      <c r="B337">
        <v>2021</v>
      </c>
      <c r="C337">
        <v>766</v>
      </c>
      <c r="D337">
        <v>40</v>
      </c>
      <c r="E337">
        <v>34</v>
      </c>
      <c r="F337">
        <v>1393.63</v>
      </c>
      <c r="G337">
        <v>4.4386000000000002E-2</v>
      </c>
      <c r="H337">
        <v>7</v>
      </c>
      <c r="I337">
        <v>21</v>
      </c>
      <c r="J337">
        <v>4</v>
      </c>
      <c r="K337">
        <v>2</v>
      </c>
      <c r="L337">
        <v>0</v>
      </c>
      <c r="M337">
        <v>1</v>
      </c>
      <c r="N337">
        <v>2</v>
      </c>
      <c r="O337">
        <v>2</v>
      </c>
      <c r="P337" t="s">
        <v>68</v>
      </c>
    </row>
    <row r="338" spans="1:16" x14ac:dyDescent="0.3">
      <c r="A338">
        <v>71</v>
      </c>
      <c r="B338">
        <v>2022</v>
      </c>
      <c r="C338">
        <v>1023</v>
      </c>
      <c r="D338">
        <v>96</v>
      </c>
      <c r="E338">
        <v>83</v>
      </c>
      <c r="F338">
        <v>7574.29</v>
      </c>
      <c r="G338">
        <v>8.1133999999999998E-2</v>
      </c>
      <c r="H338">
        <v>31</v>
      </c>
      <c r="I338">
        <v>34</v>
      </c>
      <c r="J338">
        <v>17</v>
      </c>
      <c r="K338">
        <v>12</v>
      </c>
      <c r="L338">
        <v>1</v>
      </c>
      <c r="M338">
        <v>3</v>
      </c>
      <c r="N338">
        <v>8</v>
      </c>
      <c r="O338">
        <v>6</v>
      </c>
      <c r="P338" t="s">
        <v>85</v>
      </c>
    </row>
    <row r="339" spans="1:16" x14ac:dyDescent="0.3">
      <c r="A339">
        <v>71</v>
      </c>
      <c r="B339">
        <v>2024</v>
      </c>
      <c r="C339">
        <v>844</v>
      </c>
      <c r="D339">
        <v>54</v>
      </c>
      <c r="E339">
        <v>43</v>
      </c>
      <c r="F339">
        <v>2079.11</v>
      </c>
      <c r="G339">
        <v>5.0948E-2</v>
      </c>
      <c r="H339">
        <v>13</v>
      </c>
      <c r="I339">
        <v>22</v>
      </c>
      <c r="J339">
        <v>7</v>
      </c>
      <c r="K339">
        <v>7</v>
      </c>
      <c r="L339">
        <v>1</v>
      </c>
      <c r="M339">
        <v>5</v>
      </c>
      <c r="N339">
        <v>4</v>
      </c>
      <c r="O339">
        <v>5</v>
      </c>
      <c r="P339" t="s">
        <v>85</v>
      </c>
    </row>
    <row r="340" spans="1:16" x14ac:dyDescent="0.3">
      <c r="A340">
        <v>71</v>
      </c>
      <c r="B340">
        <v>2025</v>
      </c>
      <c r="C340">
        <v>555</v>
      </c>
      <c r="D340">
        <v>32</v>
      </c>
      <c r="E340">
        <v>29</v>
      </c>
      <c r="F340">
        <v>2581.9899999999998</v>
      </c>
      <c r="G340">
        <v>5.2252E-2</v>
      </c>
      <c r="H340">
        <v>17</v>
      </c>
      <c r="I340">
        <v>17</v>
      </c>
      <c r="J340">
        <v>5</v>
      </c>
      <c r="K340">
        <v>8</v>
      </c>
      <c r="L340">
        <v>0</v>
      </c>
      <c r="M340">
        <v>1</v>
      </c>
      <c r="N340">
        <v>3</v>
      </c>
      <c r="O340">
        <v>2</v>
      </c>
      <c r="P340" t="s">
        <v>68</v>
      </c>
    </row>
    <row r="341" spans="1:16" x14ac:dyDescent="0.3">
      <c r="A341">
        <v>72</v>
      </c>
      <c r="B341">
        <v>2021</v>
      </c>
      <c r="C341">
        <v>395</v>
      </c>
      <c r="D341">
        <v>33</v>
      </c>
      <c r="E341">
        <v>31</v>
      </c>
      <c r="F341">
        <v>2065.5500000000002</v>
      </c>
      <c r="G341">
        <v>7.8480999999999995E-2</v>
      </c>
      <c r="H341">
        <v>15</v>
      </c>
      <c r="I341">
        <v>19</v>
      </c>
      <c r="J341">
        <v>9</v>
      </c>
      <c r="K341">
        <v>5</v>
      </c>
      <c r="L341">
        <v>1</v>
      </c>
      <c r="M341">
        <v>4</v>
      </c>
      <c r="N341">
        <v>3</v>
      </c>
      <c r="O341">
        <v>2</v>
      </c>
      <c r="P341" t="s">
        <v>85</v>
      </c>
    </row>
    <row r="342" spans="1:16" x14ac:dyDescent="0.3">
      <c r="A342">
        <v>72</v>
      </c>
      <c r="B342">
        <v>2022</v>
      </c>
      <c r="C342">
        <v>694</v>
      </c>
      <c r="D342">
        <v>54</v>
      </c>
      <c r="E342">
        <v>41</v>
      </c>
      <c r="F342">
        <v>3658.48</v>
      </c>
      <c r="G342">
        <v>5.9077999999999999E-2</v>
      </c>
      <c r="H342">
        <v>13</v>
      </c>
      <c r="I342">
        <v>24</v>
      </c>
      <c r="J342">
        <v>9</v>
      </c>
      <c r="K342">
        <v>6</v>
      </c>
      <c r="L342">
        <v>1</v>
      </c>
      <c r="M342">
        <v>4</v>
      </c>
      <c r="N342">
        <v>3</v>
      </c>
      <c r="O342">
        <v>5</v>
      </c>
      <c r="P342" t="s">
        <v>85</v>
      </c>
    </row>
    <row r="343" spans="1:16" x14ac:dyDescent="0.3">
      <c r="A343">
        <v>72</v>
      </c>
      <c r="B343">
        <v>2023</v>
      </c>
      <c r="C343">
        <v>894</v>
      </c>
      <c r="D343">
        <v>54</v>
      </c>
      <c r="E343">
        <v>47</v>
      </c>
      <c r="F343">
        <v>4664.16</v>
      </c>
      <c r="G343">
        <v>5.2573000000000002E-2</v>
      </c>
      <c r="H343">
        <v>32</v>
      </c>
      <c r="I343">
        <v>32</v>
      </c>
      <c r="J343">
        <v>7</v>
      </c>
      <c r="K343">
        <v>11</v>
      </c>
      <c r="L343">
        <v>0</v>
      </c>
      <c r="M343">
        <v>4</v>
      </c>
      <c r="N343">
        <v>6</v>
      </c>
      <c r="O343">
        <v>3</v>
      </c>
      <c r="P343" t="s">
        <v>175</v>
      </c>
    </row>
    <row r="344" spans="1:16" x14ac:dyDescent="0.3">
      <c r="A344">
        <v>72</v>
      </c>
      <c r="B344">
        <v>2024</v>
      </c>
      <c r="C344">
        <v>570</v>
      </c>
      <c r="D344">
        <v>38</v>
      </c>
      <c r="E344">
        <v>35</v>
      </c>
      <c r="F344">
        <v>2073.23</v>
      </c>
      <c r="G344">
        <v>6.1404E-2</v>
      </c>
      <c r="H344">
        <v>18</v>
      </c>
      <c r="I344">
        <v>18</v>
      </c>
      <c r="J344">
        <v>6</v>
      </c>
      <c r="K344">
        <v>9</v>
      </c>
      <c r="L344">
        <v>1</v>
      </c>
      <c r="M344">
        <v>4</v>
      </c>
      <c r="N344">
        <v>5</v>
      </c>
      <c r="O344">
        <v>3</v>
      </c>
      <c r="P344" t="s">
        <v>85</v>
      </c>
    </row>
    <row r="345" spans="1:16" x14ac:dyDescent="0.3">
      <c r="A345">
        <v>72</v>
      </c>
      <c r="B345">
        <v>2025</v>
      </c>
      <c r="C345">
        <v>375</v>
      </c>
      <c r="D345">
        <v>32</v>
      </c>
      <c r="E345">
        <v>29</v>
      </c>
      <c r="F345">
        <v>1816.14</v>
      </c>
      <c r="G345">
        <v>7.7332999999999999E-2</v>
      </c>
      <c r="H345">
        <v>11</v>
      </c>
      <c r="I345">
        <v>11</v>
      </c>
      <c r="J345">
        <v>4</v>
      </c>
      <c r="K345">
        <v>6</v>
      </c>
      <c r="L345">
        <v>0</v>
      </c>
      <c r="M345">
        <v>1</v>
      </c>
      <c r="N345">
        <v>2</v>
      </c>
      <c r="O345">
        <v>2</v>
      </c>
      <c r="P345" t="s">
        <v>175</v>
      </c>
    </row>
    <row r="346" spans="1:16" x14ac:dyDescent="0.3">
      <c r="A346">
        <v>73</v>
      </c>
      <c r="B346">
        <v>2021</v>
      </c>
      <c r="C346">
        <v>655</v>
      </c>
      <c r="D346">
        <v>50</v>
      </c>
      <c r="E346">
        <v>44</v>
      </c>
      <c r="F346">
        <v>4049.31</v>
      </c>
      <c r="G346">
        <v>6.7176E-2</v>
      </c>
      <c r="H346">
        <v>21</v>
      </c>
      <c r="I346">
        <v>22</v>
      </c>
      <c r="J346">
        <v>8</v>
      </c>
      <c r="K346">
        <v>8</v>
      </c>
      <c r="L346">
        <v>1</v>
      </c>
      <c r="M346">
        <v>4</v>
      </c>
      <c r="N346">
        <v>6</v>
      </c>
      <c r="O346">
        <v>3</v>
      </c>
      <c r="P346" t="s">
        <v>85</v>
      </c>
    </row>
    <row r="347" spans="1:16" x14ac:dyDescent="0.3">
      <c r="A347">
        <v>73</v>
      </c>
      <c r="B347">
        <v>2023</v>
      </c>
      <c r="C347">
        <v>455</v>
      </c>
      <c r="D347">
        <v>43</v>
      </c>
      <c r="E347">
        <v>33</v>
      </c>
      <c r="F347">
        <v>2711.6</v>
      </c>
      <c r="G347">
        <v>7.2526999999999994E-2</v>
      </c>
      <c r="H347">
        <v>26</v>
      </c>
      <c r="I347">
        <v>26</v>
      </c>
      <c r="J347">
        <v>8</v>
      </c>
      <c r="K347">
        <v>13</v>
      </c>
      <c r="L347">
        <v>1</v>
      </c>
      <c r="M347">
        <v>5</v>
      </c>
      <c r="N347">
        <v>4</v>
      </c>
      <c r="O347">
        <v>2</v>
      </c>
      <c r="P347" t="s">
        <v>85</v>
      </c>
    </row>
    <row r="348" spans="1:16" x14ac:dyDescent="0.3">
      <c r="A348">
        <v>73</v>
      </c>
      <c r="B348">
        <v>2024</v>
      </c>
      <c r="C348">
        <v>362</v>
      </c>
      <c r="D348">
        <v>14</v>
      </c>
      <c r="E348">
        <v>10</v>
      </c>
      <c r="F348">
        <v>669.17</v>
      </c>
      <c r="G348">
        <v>2.7623999999999999E-2</v>
      </c>
      <c r="H348">
        <v>3</v>
      </c>
      <c r="I348">
        <v>13</v>
      </c>
      <c r="J348">
        <v>2</v>
      </c>
      <c r="K348">
        <v>3</v>
      </c>
      <c r="L348">
        <v>0</v>
      </c>
      <c r="M348">
        <v>0</v>
      </c>
      <c r="N348">
        <v>2</v>
      </c>
      <c r="O348">
        <v>0</v>
      </c>
      <c r="P348" t="s">
        <v>68</v>
      </c>
    </row>
    <row r="349" spans="1:16" x14ac:dyDescent="0.3">
      <c r="A349">
        <v>73</v>
      </c>
      <c r="B349">
        <v>2025</v>
      </c>
      <c r="C349">
        <v>787</v>
      </c>
      <c r="D349">
        <v>70</v>
      </c>
      <c r="E349">
        <v>51</v>
      </c>
      <c r="F349">
        <v>4545.1400000000003</v>
      </c>
      <c r="G349">
        <v>6.4802999999999999E-2</v>
      </c>
      <c r="H349">
        <v>16</v>
      </c>
      <c r="I349">
        <v>25</v>
      </c>
      <c r="J349">
        <v>12</v>
      </c>
      <c r="K349">
        <v>9</v>
      </c>
      <c r="L349">
        <v>1</v>
      </c>
      <c r="M349">
        <v>5</v>
      </c>
      <c r="N349">
        <v>5</v>
      </c>
      <c r="O349">
        <v>3</v>
      </c>
      <c r="P349" t="s">
        <v>85</v>
      </c>
    </row>
    <row r="350" spans="1:16" x14ac:dyDescent="0.3">
      <c r="A350">
        <v>74</v>
      </c>
      <c r="B350">
        <v>2021</v>
      </c>
      <c r="C350">
        <v>369</v>
      </c>
      <c r="D350">
        <v>19</v>
      </c>
      <c r="E350">
        <v>17</v>
      </c>
      <c r="F350">
        <v>1315.93</v>
      </c>
      <c r="G350">
        <v>4.607E-2</v>
      </c>
      <c r="H350">
        <v>15</v>
      </c>
      <c r="I350">
        <v>15</v>
      </c>
      <c r="J350">
        <v>3</v>
      </c>
      <c r="K350">
        <v>5</v>
      </c>
      <c r="L350">
        <v>0</v>
      </c>
      <c r="M350">
        <v>2</v>
      </c>
      <c r="N350">
        <v>2</v>
      </c>
      <c r="O350">
        <v>0</v>
      </c>
      <c r="P350" t="s">
        <v>175</v>
      </c>
    </row>
    <row r="351" spans="1:16" x14ac:dyDescent="0.3">
      <c r="A351">
        <v>74</v>
      </c>
      <c r="B351">
        <v>2022</v>
      </c>
      <c r="C351">
        <v>731</v>
      </c>
      <c r="D351">
        <v>53</v>
      </c>
      <c r="E351">
        <v>43</v>
      </c>
      <c r="F351">
        <v>3190.67</v>
      </c>
      <c r="G351">
        <v>5.8824000000000001E-2</v>
      </c>
      <c r="H351">
        <v>13</v>
      </c>
      <c r="I351">
        <v>22</v>
      </c>
      <c r="J351">
        <v>8</v>
      </c>
      <c r="K351">
        <v>5</v>
      </c>
      <c r="L351">
        <v>1</v>
      </c>
      <c r="M351">
        <v>4</v>
      </c>
      <c r="N351">
        <v>5</v>
      </c>
      <c r="O351">
        <v>3</v>
      </c>
      <c r="P351" t="s">
        <v>85</v>
      </c>
    </row>
    <row r="352" spans="1:16" x14ac:dyDescent="0.3">
      <c r="A352">
        <v>74</v>
      </c>
      <c r="B352">
        <v>2023</v>
      </c>
      <c r="C352">
        <v>695</v>
      </c>
      <c r="D352">
        <v>56</v>
      </c>
      <c r="E352">
        <v>50</v>
      </c>
      <c r="F352">
        <v>5215.5</v>
      </c>
      <c r="G352">
        <v>7.1942000000000006E-2</v>
      </c>
      <c r="H352">
        <v>17</v>
      </c>
      <c r="I352">
        <v>21</v>
      </c>
      <c r="J352">
        <v>10</v>
      </c>
      <c r="K352">
        <v>12</v>
      </c>
      <c r="L352">
        <v>1</v>
      </c>
      <c r="M352">
        <v>4</v>
      </c>
      <c r="N352">
        <v>5</v>
      </c>
      <c r="O352">
        <v>3</v>
      </c>
      <c r="P352" t="s">
        <v>85</v>
      </c>
    </row>
    <row r="353" spans="1:16" x14ac:dyDescent="0.3">
      <c r="A353">
        <v>74</v>
      </c>
      <c r="B353">
        <v>2024</v>
      </c>
      <c r="C353">
        <v>456</v>
      </c>
      <c r="D353">
        <v>24</v>
      </c>
      <c r="E353">
        <v>19</v>
      </c>
      <c r="F353">
        <v>1173.6500000000001</v>
      </c>
      <c r="G353">
        <v>4.1667000000000003E-2</v>
      </c>
      <c r="H353">
        <v>12</v>
      </c>
      <c r="I353">
        <v>12</v>
      </c>
      <c r="J353">
        <v>4</v>
      </c>
      <c r="K353">
        <v>3</v>
      </c>
      <c r="L353">
        <v>0</v>
      </c>
      <c r="M353">
        <v>1</v>
      </c>
      <c r="N353">
        <v>2</v>
      </c>
      <c r="O353">
        <v>1</v>
      </c>
      <c r="P353" t="s">
        <v>175</v>
      </c>
    </row>
    <row r="354" spans="1:16" x14ac:dyDescent="0.3">
      <c r="A354">
        <v>74</v>
      </c>
      <c r="B354">
        <v>2025</v>
      </c>
      <c r="C354">
        <v>914</v>
      </c>
      <c r="D354">
        <v>47</v>
      </c>
      <c r="E354">
        <v>44</v>
      </c>
      <c r="F354">
        <v>3826.68</v>
      </c>
      <c r="G354">
        <v>4.8140000000000002E-2</v>
      </c>
      <c r="H354">
        <v>12</v>
      </c>
      <c r="I354">
        <v>23</v>
      </c>
      <c r="J354">
        <v>8</v>
      </c>
      <c r="K354">
        <v>7</v>
      </c>
      <c r="L354">
        <v>0</v>
      </c>
      <c r="M354">
        <v>2</v>
      </c>
      <c r="N354">
        <v>4</v>
      </c>
      <c r="O354">
        <v>3</v>
      </c>
      <c r="P354" t="s">
        <v>68</v>
      </c>
    </row>
    <row r="355" spans="1:16" x14ac:dyDescent="0.3">
      <c r="A355">
        <v>75</v>
      </c>
      <c r="B355">
        <v>2021</v>
      </c>
      <c r="C355">
        <v>562</v>
      </c>
      <c r="D355">
        <v>28</v>
      </c>
      <c r="E355">
        <v>24</v>
      </c>
      <c r="F355">
        <v>2428.86</v>
      </c>
      <c r="G355">
        <v>4.2705E-2</v>
      </c>
      <c r="H355">
        <v>16</v>
      </c>
      <c r="I355">
        <v>18</v>
      </c>
      <c r="J355">
        <v>5</v>
      </c>
      <c r="K355">
        <v>7</v>
      </c>
      <c r="L355">
        <v>0</v>
      </c>
      <c r="M355">
        <v>2</v>
      </c>
      <c r="N355">
        <v>4</v>
      </c>
      <c r="O355">
        <v>1</v>
      </c>
      <c r="P355" t="s">
        <v>68</v>
      </c>
    </row>
    <row r="356" spans="1:16" x14ac:dyDescent="0.3">
      <c r="A356">
        <v>75</v>
      </c>
      <c r="B356">
        <v>2022</v>
      </c>
      <c r="C356">
        <v>2308</v>
      </c>
      <c r="D356">
        <v>189</v>
      </c>
      <c r="E356">
        <v>162</v>
      </c>
      <c r="F356">
        <v>8617.09</v>
      </c>
      <c r="G356">
        <v>7.0191000000000003E-2</v>
      </c>
      <c r="H356">
        <v>25</v>
      </c>
      <c r="I356">
        <v>73</v>
      </c>
      <c r="J356">
        <v>18</v>
      </c>
      <c r="K356">
        <v>15</v>
      </c>
      <c r="L356">
        <v>1</v>
      </c>
      <c r="M356">
        <v>4</v>
      </c>
      <c r="N356">
        <v>9</v>
      </c>
      <c r="O356">
        <v>9</v>
      </c>
      <c r="P356" t="s">
        <v>85</v>
      </c>
    </row>
    <row r="357" spans="1:16" x14ac:dyDescent="0.3">
      <c r="A357">
        <v>75</v>
      </c>
      <c r="B357">
        <v>2024</v>
      </c>
      <c r="C357">
        <v>80</v>
      </c>
      <c r="D357">
        <v>7</v>
      </c>
      <c r="E357">
        <v>6</v>
      </c>
      <c r="F357">
        <v>249.77</v>
      </c>
      <c r="G357">
        <v>7.4999999999999997E-2</v>
      </c>
      <c r="H357">
        <v>11</v>
      </c>
      <c r="I357">
        <v>11</v>
      </c>
      <c r="J357">
        <v>4</v>
      </c>
      <c r="K357">
        <v>6</v>
      </c>
      <c r="L357">
        <v>1</v>
      </c>
      <c r="M357">
        <v>4</v>
      </c>
      <c r="N357">
        <v>3</v>
      </c>
      <c r="O357">
        <v>1</v>
      </c>
      <c r="P357" t="s">
        <v>85</v>
      </c>
    </row>
    <row r="358" spans="1:16" x14ac:dyDescent="0.3">
      <c r="A358">
        <v>75</v>
      </c>
      <c r="B358">
        <v>2025</v>
      </c>
      <c r="C358">
        <v>1342</v>
      </c>
      <c r="D358">
        <v>134</v>
      </c>
      <c r="E358">
        <v>107</v>
      </c>
      <c r="F358">
        <v>4575.51</v>
      </c>
      <c r="G358">
        <v>7.9731999999999997E-2</v>
      </c>
      <c r="H358">
        <v>23</v>
      </c>
      <c r="I358">
        <v>43</v>
      </c>
      <c r="J358">
        <v>16</v>
      </c>
      <c r="K358">
        <v>14</v>
      </c>
      <c r="L358">
        <v>1</v>
      </c>
      <c r="M358">
        <v>6</v>
      </c>
      <c r="N358">
        <v>6</v>
      </c>
      <c r="O358">
        <v>7</v>
      </c>
      <c r="P358" t="s">
        <v>85</v>
      </c>
    </row>
    <row r="359" spans="1:16" x14ac:dyDescent="0.3">
      <c r="A359">
        <v>76</v>
      </c>
      <c r="B359">
        <v>2021</v>
      </c>
      <c r="C359">
        <v>2339</v>
      </c>
      <c r="D359">
        <v>171</v>
      </c>
      <c r="E359">
        <v>126</v>
      </c>
      <c r="F359">
        <v>9015.7900000000009</v>
      </c>
      <c r="G359">
        <v>5.3869E-2</v>
      </c>
      <c r="H359">
        <v>46</v>
      </c>
      <c r="I359">
        <v>64</v>
      </c>
      <c r="J359">
        <v>19</v>
      </c>
      <c r="K359">
        <v>18</v>
      </c>
      <c r="L359">
        <v>0</v>
      </c>
      <c r="M359">
        <v>3</v>
      </c>
      <c r="N359">
        <v>8</v>
      </c>
      <c r="O359">
        <v>8</v>
      </c>
      <c r="P359" t="s">
        <v>175</v>
      </c>
    </row>
    <row r="360" spans="1:16" x14ac:dyDescent="0.3">
      <c r="A360">
        <v>76</v>
      </c>
      <c r="B360">
        <v>2022</v>
      </c>
      <c r="C360">
        <v>874</v>
      </c>
      <c r="D360">
        <v>54</v>
      </c>
      <c r="E360">
        <v>42</v>
      </c>
      <c r="F360">
        <v>4358.16</v>
      </c>
      <c r="G360">
        <v>4.8055E-2</v>
      </c>
      <c r="H360">
        <v>21</v>
      </c>
      <c r="I360">
        <v>27</v>
      </c>
      <c r="J360">
        <v>9</v>
      </c>
      <c r="K360">
        <v>11</v>
      </c>
      <c r="L360">
        <v>0</v>
      </c>
      <c r="M360">
        <v>4</v>
      </c>
      <c r="N360">
        <v>4</v>
      </c>
      <c r="O360">
        <v>2</v>
      </c>
      <c r="P360" t="s">
        <v>85</v>
      </c>
    </row>
    <row r="361" spans="1:16" x14ac:dyDescent="0.3">
      <c r="A361">
        <v>76</v>
      </c>
      <c r="B361">
        <v>2023</v>
      </c>
      <c r="C361">
        <v>1281</v>
      </c>
      <c r="D361">
        <v>124</v>
      </c>
      <c r="E361">
        <v>107</v>
      </c>
      <c r="F361">
        <v>11240.78</v>
      </c>
      <c r="G361">
        <v>8.3528000000000005E-2</v>
      </c>
      <c r="H361">
        <v>33</v>
      </c>
      <c r="I361">
        <v>41</v>
      </c>
      <c r="J361">
        <v>21</v>
      </c>
      <c r="K361">
        <v>18</v>
      </c>
      <c r="L361">
        <v>1</v>
      </c>
      <c r="M361">
        <v>5</v>
      </c>
      <c r="N361">
        <v>8</v>
      </c>
      <c r="O361">
        <v>3</v>
      </c>
      <c r="P361" t="s">
        <v>85</v>
      </c>
    </row>
    <row r="362" spans="1:16" x14ac:dyDescent="0.3">
      <c r="A362">
        <v>76</v>
      </c>
      <c r="B362">
        <v>2024</v>
      </c>
      <c r="C362">
        <v>387</v>
      </c>
      <c r="D362">
        <v>11</v>
      </c>
      <c r="E362">
        <v>10</v>
      </c>
      <c r="F362">
        <v>947.46</v>
      </c>
      <c r="G362">
        <v>2.5839999999999998E-2</v>
      </c>
      <c r="H362">
        <v>3</v>
      </c>
      <c r="I362">
        <v>12</v>
      </c>
      <c r="J362">
        <v>2</v>
      </c>
      <c r="K362">
        <v>1</v>
      </c>
      <c r="L362">
        <v>0</v>
      </c>
      <c r="M362">
        <v>0</v>
      </c>
      <c r="N362">
        <v>1</v>
      </c>
      <c r="O362">
        <v>1</v>
      </c>
      <c r="P362" t="s">
        <v>176</v>
      </c>
    </row>
    <row r="363" spans="1:16" x14ac:dyDescent="0.3">
      <c r="A363">
        <v>76</v>
      </c>
      <c r="B363">
        <v>2025</v>
      </c>
      <c r="C363">
        <v>372</v>
      </c>
      <c r="D363">
        <v>26</v>
      </c>
      <c r="E363">
        <v>22</v>
      </c>
      <c r="F363">
        <v>2312.6999999999998</v>
      </c>
      <c r="G363">
        <v>5.9139999999999998E-2</v>
      </c>
      <c r="H363">
        <v>18</v>
      </c>
      <c r="I363">
        <v>18</v>
      </c>
      <c r="J363">
        <v>7</v>
      </c>
      <c r="K363">
        <v>8</v>
      </c>
      <c r="L363">
        <v>1</v>
      </c>
      <c r="M363">
        <v>7</v>
      </c>
      <c r="N363">
        <v>4</v>
      </c>
      <c r="O363">
        <v>2</v>
      </c>
      <c r="P363" t="s">
        <v>85</v>
      </c>
    </row>
    <row r="364" spans="1:16" x14ac:dyDescent="0.3">
      <c r="A364">
        <v>77</v>
      </c>
      <c r="B364">
        <v>2021</v>
      </c>
      <c r="C364">
        <v>1321</v>
      </c>
      <c r="D364">
        <v>86</v>
      </c>
      <c r="E364">
        <v>79</v>
      </c>
      <c r="F364">
        <v>4487.67</v>
      </c>
      <c r="G364">
        <v>5.9803000000000002E-2</v>
      </c>
      <c r="H364">
        <v>12</v>
      </c>
      <c r="I364">
        <v>34</v>
      </c>
      <c r="J364">
        <v>15</v>
      </c>
      <c r="K364">
        <v>4</v>
      </c>
      <c r="L364">
        <v>0</v>
      </c>
      <c r="M364">
        <v>2</v>
      </c>
      <c r="N364">
        <v>1</v>
      </c>
      <c r="O364">
        <v>6</v>
      </c>
      <c r="P364" t="s">
        <v>175</v>
      </c>
    </row>
    <row r="365" spans="1:16" x14ac:dyDescent="0.3">
      <c r="A365">
        <v>77</v>
      </c>
      <c r="B365">
        <v>2022</v>
      </c>
      <c r="C365">
        <v>415</v>
      </c>
      <c r="D365">
        <v>32</v>
      </c>
      <c r="E365">
        <v>29</v>
      </c>
      <c r="F365">
        <v>1559.54</v>
      </c>
      <c r="G365">
        <v>6.9879999999999998E-2</v>
      </c>
      <c r="H365">
        <v>14</v>
      </c>
      <c r="I365">
        <v>14</v>
      </c>
      <c r="J365">
        <v>5</v>
      </c>
      <c r="K365">
        <v>8</v>
      </c>
      <c r="L365">
        <v>0</v>
      </c>
      <c r="M365">
        <v>1</v>
      </c>
      <c r="N365">
        <v>4</v>
      </c>
      <c r="O365">
        <v>2</v>
      </c>
      <c r="P365" t="s">
        <v>68</v>
      </c>
    </row>
    <row r="366" spans="1:16" x14ac:dyDescent="0.3">
      <c r="A366">
        <v>77</v>
      </c>
      <c r="B366">
        <v>2023</v>
      </c>
      <c r="C366">
        <v>1944</v>
      </c>
      <c r="D366">
        <v>125</v>
      </c>
      <c r="E366">
        <v>110</v>
      </c>
      <c r="F366">
        <v>8151.46</v>
      </c>
      <c r="G366">
        <v>5.6584000000000002E-2</v>
      </c>
      <c r="H366">
        <v>19</v>
      </c>
      <c r="I366">
        <v>42</v>
      </c>
      <c r="J366">
        <v>11</v>
      </c>
      <c r="K366">
        <v>11</v>
      </c>
      <c r="L366">
        <v>0</v>
      </c>
      <c r="M366">
        <v>2</v>
      </c>
      <c r="N366">
        <v>4</v>
      </c>
      <c r="O366">
        <v>9</v>
      </c>
      <c r="P366" t="s">
        <v>175</v>
      </c>
    </row>
    <row r="367" spans="1:16" x14ac:dyDescent="0.3">
      <c r="A367">
        <v>77</v>
      </c>
      <c r="B367">
        <v>2024</v>
      </c>
      <c r="C367">
        <v>193</v>
      </c>
      <c r="D367">
        <v>15</v>
      </c>
      <c r="E367">
        <v>12</v>
      </c>
      <c r="F367">
        <v>1285.21</v>
      </c>
      <c r="G367">
        <v>6.2176000000000002E-2</v>
      </c>
      <c r="H367">
        <v>13</v>
      </c>
      <c r="I367">
        <v>14</v>
      </c>
      <c r="J367">
        <v>3</v>
      </c>
      <c r="K367">
        <v>6</v>
      </c>
      <c r="L367">
        <v>1</v>
      </c>
      <c r="M367">
        <v>4</v>
      </c>
      <c r="N367">
        <v>4</v>
      </c>
      <c r="O367">
        <v>3</v>
      </c>
      <c r="P367" t="s">
        <v>85</v>
      </c>
    </row>
    <row r="368" spans="1:16" x14ac:dyDescent="0.3">
      <c r="A368">
        <v>78</v>
      </c>
      <c r="B368">
        <v>2021</v>
      </c>
      <c r="C368">
        <v>1530</v>
      </c>
      <c r="D368">
        <v>102</v>
      </c>
      <c r="E368">
        <v>84</v>
      </c>
      <c r="F368">
        <v>2728.15</v>
      </c>
      <c r="G368">
        <v>5.4901999999999999E-2</v>
      </c>
      <c r="H368">
        <v>24</v>
      </c>
      <c r="I368">
        <v>35</v>
      </c>
      <c r="J368">
        <v>15</v>
      </c>
      <c r="K368">
        <v>9</v>
      </c>
      <c r="L368">
        <v>0</v>
      </c>
      <c r="M368">
        <v>4</v>
      </c>
      <c r="N368">
        <v>3</v>
      </c>
      <c r="O368">
        <v>3</v>
      </c>
      <c r="P368" t="s">
        <v>175</v>
      </c>
    </row>
    <row r="369" spans="1:16" x14ac:dyDescent="0.3">
      <c r="A369">
        <v>78</v>
      </c>
      <c r="B369">
        <v>2022</v>
      </c>
      <c r="C369">
        <v>1664</v>
      </c>
      <c r="D369">
        <v>187</v>
      </c>
      <c r="E369">
        <v>161</v>
      </c>
      <c r="F369">
        <v>14709.05</v>
      </c>
      <c r="G369">
        <v>9.6754999999999994E-2</v>
      </c>
      <c r="H369">
        <v>37</v>
      </c>
      <c r="I369">
        <v>55</v>
      </c>
      <c r="J369">
        <v>18</v>
      </c>
      <c r="K369">
        <v>15</v>
      </c>
      <c r="L369">
        <v>1</v>
      </c>
      <c r="M369">
        <v>6</v>
      </c>
      <c r="N369">
        <v>12</v>
      </c>
      <c r="O369">
        <v>11</v>
      </c>
      <c r="P369" t="s">
        <v>85</v>
      </c>
    </row>
    <row r="370" spans="1:16" x14ac:dyDescent="0.3">
      <c r="A370">
        <v>78</v>
      </c>
      <c r="B370">
        <v>2023</v>
      </c>
      <c r="C370">
        <v>573</v>
      </c>
      <c r="D370">
        <v>38</v>
      </c>
      <c r="E370">
        <v>28</v>
      </c>
      <c r="F370">
        <v>1016.42</v>
      </c>
      <c r="G370">
        <v>4.8866E-2</v>
      </c>
      <c r="H370">
        <v>15</v>
      </c>
      <c r="I370">
        <v>22</v>
      </c>
      <c r="J370">
        <v>4</v>
      </c>
      <c r="K370">
        <v>6</v>
      </c>
      <c r="L370">
        <v>1</v>
      </c>
      <c r="M370">
        <v>4</v>
      </c>
      <c r="N370">
        <v>2</v>
      </c>
      <c r="O370">
        <v>1</v>
      </c>
      <c r="P370" t="s">
        <v>85</v>
      </c>
    </row>
    <row r="371" spans="1:16" x14ac:dyDescent="0.3">
      <c r="A371">
        <v>78</v>
      </c>
      <c r="B371">
        <v>2024</v>
      </c>
      <c r="C371">
        <v>759</v>
      </c>
      <c r="D371">
        <v>46</v>
      </c>
      <c r="E371">
        <v>36</v>
      </c>
      <c r="F371">
        <v>2681.63</v>
      </c>
      <c r="G371">
        <v>4.7431000000000001E-2</v>
      </c>
      <c r="H371">
        <v>19</v>
      </c>
      <c r="I371">
        <v>19</v>
      </c>
      <c r="J371">
        <v>6</v>
      </c>
      <c r="K371">
        <v>10</v>
      </c>
      <c r="L371">
        <v>0</v>
      </c>
      <c r="M371">
        <v>3</v>
      </c>
      <c r="N371">
        <v>6</v>
      </c>
      <c r="O371">
        <v>1</v>
      </c>
      <c r="P371" t="s">
        <v>68</v>
      </c>
    </row>
    <row r="372" spans="1:16" x14ac:dyDescent="0.3">
      <c r="A372">
        <v>78</v>
      </c>
      <c r="B372">
        <v>2025</v>
      </c>
      <c r="C372">
        <v>612</v>
      </c>
      <c r="D372">
        <v>44</v>
      </c>
      <c r="E372">
        <v>40</v>
      </c>
      <c r="F372">
        <v>2024.41</v>
      </c>
      <c r="G372">
        <v>6.5359E-2</v>
      </c>
      <c r="H372">
        <v>18</v>
      </c>
      <c r="I372">
        <v>22</v>
      </c>
      <c r="J372">
        <v>7</v>
      </c>
      <c r="K372">
        <v>7</v>
      </c>
      <c r="L372">
        <v>1</v>
      </c>
      <c r="M372">
        <v>5</v>
      </c>
      <c r="N372">
        <v>4</v>
      </c>
      <c r="O372">
        <v>2</v>
      </c>
      <c r="P372" t="s">
        <v>85</v>
      </c>
    </row>
    <row r="373" spans="1:16" x14ac:dyDescent="0.3">
      <c r="A373">
        <v>79</v>
      </c>
      <c r="B373">
        <v>2021</v>
      </c>
      <c r="C373">
        <v>1072</v>
      </c>
      <c r="D373">
        <v>76</v>
      </c>
      <c r="E373">
        <v>69</v>
      </c>
      <c r="F373">
        <v>2897.01</v>
      </c>
      <c r="G373">
        <v>6.4366000000000007E-2</v>
      </c>
      <c r="H373">
        <v>22</v>
      </c>
      <c r="I373">
        <v>26</v>
      </c>
      <c r="J373">
        <v>11</v>
      </c>
      <c r="K373">
        <v>7</v>
      </c>
      <c r="L373">
        <v>0</v>
      </c>
      <c r="M373">
        <v>2</v>
      </c>
      <c r="N373">
        <v>4</v>
      </c>
      <c r="O373">
        <v>3</v>
      </c>
      <c r="P373" t="s">
        <v>68</v>
      </c>
    </row>
    <row r="374" spans="1:16" x14ac:dyDescent="0.3">
      <c r="A374">
        <v>79</v>
      </c>
      <c r="B374">
        <v>2022</v>
      </c>
      <c r="C374">
        <v>1907</v>
      </c>
      <c r="D374">
        <v>211</v>
      </c>
      <c r="E374">
        <v>169</v>
      </c>
      <c r="F374">
        <v>15928.43</v>
      </c>
      <c r="G374">
        <v>8.8621000000000005E-2</v>
      </c>
      <c r="H374">
        <v>37</v>
      </c>
      <c r="I374">
        <v>69</v>
      </c>
      <c r="J374">
        <v>31</v>
      </c>
      <c r="K374">
        <v>13</v>
      </c>
      <c r="L374">
        <v>1</v>
      </c>
      <c r="M374">
        <v>7</v>
      </c>
      <c r="N374">
        <v>7</v>
      </c>
      <c r="O374">
        <v>11</v>
      </c>
      <c r="P374" t="s">
        <v>85</v>
      </c>
    </row>
    <row r="375" spans="1:16" x14ac:dyDescent="0.3">
      <c r="A375">
        <v>79</v>
      </c>
      <c r="B375">
        <v>2024</v>
      </c>
      <c r="C375">
        <v>81</v>
      </c>
      <c r="D375">
        <v>6</v>
      </c>
      <c r="E375">
        <v>5</v>
      </c>
      <c r="F375">
        <v>423.65</v>
      </c>
      <c r="G375">
        <v>6.1727999999999998E-2</v>
      </c>
      <c r="H375">
        <v>8</v>
      </c>
      <c r="I375">
        <v>9</v>
      </c>
      <c r="J375">
        <v>3</v>
      </c>
      <c r="K375">
        <v>3</v>
      </c>
      <c r="L375">
        <v>0</v>
      </c>
      <c r="M375">
        <v>0</v>
      </c>
      <c r="N375">
        <v>2</v>
      </c>
      <c r="O375">
        <v>0</v>
      </c>
      <c r="P375" t="s">
        <v>68</v>
      </c>
    </row>
    <row r="376" spans="1:16" x14ac:dyDescent="0.3">
      <c r="A376">
        <v>79</v>
      </c>
      <c r="B376">
        <v>2025</v>
      </c>
      <c r="C376">
        <v>772</v>
      </c>
      <c r="D376">
        <v>48</v>
      </c>
      <c r="E376">
        <v>43</v>
      </c>
      <c r="F376">
        <v>1430.96</v>
      </c>
      <c r="G376">
        <v>5.5698999999999999E-2</v>
      </c>
      <c r="H376">
        <v>15</v>
      </c>
      <c r="I376">
        <v>18</v>
      </c>
      <c r="J376">
        <v>6</v>
      </c>
      <c r="K376">
        <v>15</v>
      </c>
      <c r="L376">
        <v>0</v>
      </c>
      <c r="M376">
        <v>3</v>
      </c>
      <c r="N376">
        <v>3</v>
      </c>
      <c r="O376">
        <v>3</v>
      </c>
      <c r="P376" t="s">
        <v>175</v>
      </c>
    </row>
    <row r="377" spans="1:16" x14ac:dyDescent="0.3">
      <c r="A377">
        <v>80</v>
      </c>
      <c r="B377">
        <v>2021</v>
      </c>
      <c r="C377">
        <v>440</v>
      </c>
      <c r="D377">
        <v>20</v>
      </c>
      <c r="E377">
        <v>15</v>
      </c>
      <c r="F377">
        <v>1437.25</v>
      </c>
      <c r="G377">
        <v>3.4091000000000003E-2</v>
      </c>
      <c r="H377">
        <v>5</v>
      </c>
      <c r="I377">
        <v>9</v>
      </c>
      <c r="J377">
        <v>4</v>
      </c>
      <c r="K377">
        <v>3</v>
      </c>
      <c r="L377">
        <v>0</v>
      </c>
      <c r="M377">
        <v>1</v>
      </c>
      <c r="N377">
        <v>2</v>
      </c>
      <c r="O377">
        <v>0</v>
      </c>
      <c r="P377" t="s">
        <v>175</v>
      </c>
    </row>
    <row r="378" spans="1:16" x14ac:dyDescent="0.3">
      <c r="A378">
        <v>80</v>
      </c>
      <c r="B378">
        <v>2022</v>
      </c>
      <c r="C378">
        <v>955</v>
      </c>
      <c r="D378">
        <v>58</v>
      </c>
      <c r="E378">
        <v>47</v>
      </c>
      <c r="F378">
        <v>3613.66</v>
      </c>
      <c r="G378">
        <v>4.9215000000000002E-2</v>
      </c>
      <c r="H378">
        <v>37</v>
      </c>
      <c r="I378">
        <v>37</v>
      </c>
      <c r="J378">
        <v>6</v>
      </c>
      <c r="K378">
        <v>14</v>
      </c>
      <c r="L378">
        <v>0</v>
      </c>
      <c r="M378">
        <v>4</v>
      </c>
      <c r="N378">
        <v>5</v>
      </c>
      <c r="O378">
        <v>3</v>
      </c>
      <c r="P378" t="s">
        <v>175</v>
      </c>
    </row>
    <row r="379" spans="1:16" x14ac:dyDescent="0.3">
      <c r="A379">
        <v>80</v>
      </c>
      <c r="B379">
        <v>2023</v>
      </c>
      <c r="C379">
        <v>749</v>
      </c>
      <c r="D379">
        <v>39</v>
      </c>
      <c r="E379">
        <v>29</v>
      </c>
      <c r="F379">
        <v>1891.16</v>
      </c>
      <c r="G379">
        <v>3.8718000000000002E-2</v>
      </c>
      <c r="H379">
        <v>13</v>
      </c>
      <c r="I379">
        <v>15</v>
      </c>
      <c r="J379">
        <v>6</v>
      </c>
      <c r="K379">
        <v>7</v>
      </c>
      <c r="L379">
        <v>0</v>
      </c>
      <c r="M379">
        <v>2</v>
      </c>
      <c r="N379">
        <v>3</v>
      </c>
      <c r="O379">
        <v>2</v>
      </c>
      <c r="P379" t="s">
        <v>175</v>
      </c>
    </row>
    <row r="380" spans="1:16" x14ac:dyDescent="0.3">
      <c r="A380">
        <v>80</v>
      </c>
      <c r="B380">
        <v>2024</v>
      </c>
      <c r="C380">
        <v>107</v>
      </c>
      <c r="D380">
        <v>9</v>
      </c>
      <c r="E380">
        <v>8</v>
      </c>
      <c r="F380">
        <v>663.75</v>
      </c>
      <c r="G380">
        <v>7.4765999999999999E-2</v>
      </c>
      <c r="H380">
        <v>8</v>
      </c>
      <c r="I380">
        <v>8</v>
      </c>
      <c r="J380">
        <v>3</v>
      </c>
      <c r="K380">
        <v>5</v>
      </c>
      <c r="L380">
        <v>1</v>
      </c>
      <c r="M380">
        <v>5</v>
      </c>
      <c r="N380">
        <v>3</v>
      </c>
      <c r="O380">
        <v>1</v>
      </c>
      <c r="P380" t="s">
        <v>85</v>
      </c>
    </row>
    <row r="381" spans="1:16" x14ac:dyDescent="0.3">
      <c r="A381">
        <v>80</v>
      </c>
      <c r="B381">
        <v>2025</v>
      </c>
      <c r="C381">
        <v>726</v>
      </c>
      <c r="D381">
        <v>38</v>
      </c>
      <c r="E381">
        <v>33</v>
      </c>
      <c r="F381">
        <v>2114.3200000000002</v>
      </c>
      <c r="G381">
        <v>4.5455000000000002E-2</v>
      </c>
      <c r="H381">
        <v>16</v>
      </c>
      <c r="I381">
        <v>18</v>
      </c>
      <c r="J381">
        <v>6</v>
      </c>
      <c r="K381">
        <v>6</v>
      </c>
      <c r="L381">
        <v>1</v>
      </c>
      <c r="M381">
        <v>2</v>
      </c>
      <c r="N381">
        <v>2</v>
      </c>
      <c r="O381">
        <v>1</v>
      </c>
      <c r="P381" t="s">
        <v>85</v>
      </c>
    </row>
    <row r="382" spans="1:16" x14ac:dyDescent="0.3">
      <c r="A382">
        <v>81</v>
      </c>
      <c r="B382">
        <v>2021</v>
      </c>
      <c r="C382">
        <v>222</v>
      </c>
      <c r="D382">
        <v>19</v>
      </c>
      <c r="E382">
        <v>17</v>
      </c>
      <c r="F382">
        <v>1839.25</v>
      </c>
      <c r="G382">
        <v>7.6577000000000006E-2</v>
      </c>
      <c r="H382">
        <v>12</v>
      </c>
      <c r="I382">
        <v>12</v>
      </c>
      <c r="J382">
        <v>4</v>
      </c>
      <c r="K382">
        <v>5</v>
      </c>
      <c r="L382">
        <v>1</v>
      </c>
      <c r="M382">
        <v>5</v>
      </c>
      <c r="N382">
        <v>4</v>
      </c>
      <c r="O382">
        <v>3</v>
      </c>
      <c r="P382" t="s">
        <v>85</v>
      </c>
    </row>
    <row r="383" spans="1:16" x14ac:dyDescent="0.3">
      <c r="A383">
        <v>81</v>
      </c>
      <c r="B383">
        <v>2022</v>
      </c>
      <c r="C383">
        <v>951</v>
      </c>
      <c r="D383">
        <v>82</v>
      </c>
      <c r="E383">
        <v>77</v>
      </c>
      <c r="F383">
        <v>2809.43</v>
      </c>
      <c r="G383">
        <v>8.0966999999999997E-2</v>
      </c>
      <c r="H383">
        <v>17</v>
      </c>
      <c r="I383">
        <v>32</v>
      </c>
      <c r="J383">
        <v>17</v>
      </c>
      <c r="K383">
        <v>8</v>
      </c>
      <c r="L383">
        <v>1</v>
      </c>
      <c r="M383">
        <v>5</v>
      </c>
      <c r="N383">
        <v>5</v>
      </c>
      <c r="O383">
        <v>3</v>
      </c>
      <c r="P383" t="s">
        <v>85</v>
      </c>
    </row>
    <row r="384" spans="1:16" x14ac:dyDescent="0.3">
      <c r="A384">
        <v>81</v>
      </c>
      <c r="B384">
        <v>2023</v>
      </c>
      <c r="C384">
        <v>258</v>
      </c>
      <c r="D384">
        <v>10</v>
      </c>
      <c r="E384">
        <v>8</v>
      </c>
      <c r="F384">
        <v>671.93</v>
      </c>
      <c r="G384">
        <v>3.1008000000000001E-2</v>
      </c>
      <c r="H384">
        <v>12</v>
      </c>
      <c r="I384">
        <v>12</v>
      </c>
      <c r="J384">
        <v>2</v>
      </c>
      <c r="K384">
        <v>6</v>
      </c>
      <c r="L384">
        <v>0</v>
      </c>
      <c r="M384">
        <v>1</v>
      </c>
      <c r="N384">
        <v>2</v>
      </c>
      <c r="O384">
        <v>0</v>
      </c>
      <c r="P384" t="s">
        <v>175</v>
      </c>
    </row>
    <row r="385" spans="1:16" x14ac:dyDescent="0.3">
      <c r="A385">
        <v>81</v>
      </c>
      <c r="B385">
        <v>2024</v>
      </c>
      <c r="C385">
        <v>438</v>
      </c>
      <c r="D385">
        <v>24</v>
      </c>
      <c r="E385">
        <v>17</v>
      </c>
      <c r="F385">
        <v>1496.69</v>
      </c>
      <c r="G385">
        <v>3.8813E-2</v>
      </c>
      <c r="H385">
        <v>15</v>
      </c>
      <c r="I385">
        <v>15</v>
      </c>
      <c r="J385">
        <v>3</v>
      </c>
      <c r="K385">
        <v>7</v>
      </c>
      <c r="L385">
        <v>0</v>
      </c>
      <c r="M385">
        <v>2</v>
      </c>
      <c r="N385">
        <v>2</v>
      </c>
      <c r="O385">
        <v>1</v>
      </c>
      <c r="P385" t="s">
        <v>175</v>
      </c>
    </row>
    <row r="386" spans="1:16" x14ac:dyDescent="0.3">
      <c r="A386">
        <v>81</v>
      </c>
      <c r="B386">
        <v>2025</v>
      </c>
      <c r="C386">
        <v>1365</v>
      </c>
      <c r="D386">
        <v>134</v>
      </c>
      <c r="E386">
        <v>116</v>
      </c>
      <c r="F386">
        <v>10072.27</v>
      </c>
      <c r="G386">
        <v>8.4982000000000002E-2</v>
      </c>
      <c r="H386">
        <v>43</v>
      </c>
      <c r="I386">
        <v>49</v>
      </c>
      <c r="J386">
        <v>15</v>
      </c>
      <c r="K386">
        <v>15</v>
      </c>
      <c r="L386">
        <v>1</v>
      </c>
      <c r="M386">
        <v>4</v>
      </c>
      <c r="N386">
        <v>10</v>
      </c>
      <c r="O386">
        <v>3</v>
      </c>
      <c r="P386" t="s">
        <v>85</v>
      </c>
    </row>
    <row r="387" spans="1:16" x14ac:dyDescent="0.3">
      <c r="A387">
        <v>82</v>
      </c>
      <c r="B387">
        <v>2021</v>
      </c>
      <c r="C387">
        <v>1079</v>
      </c>
      <c r="D387">
        <v>60</v>
      </c>
      <c r="E387">
        <v>50</v>
      </c>
      <c r="F387">
        <v>2082.5300000000002</v>
      </c>
      <c r="G387">
        <v>4.6338999999999998E-2</v>
      </c>
      <c r="H387">
        <v>9</v>
      </c>
      <c r="I387">
        <v>29</v>
      </c>
      <c r="J387">
        <v>7</v>
      </c>
      <c r="K387">
        <v>5</v>
      </c>
      <c r="L387">
        <v>1</v>
      </c>
      <c r="M387">
        <v>1</v>
      </c>
      <c r="N387">
        <v>2</v>
      </c>
      <c r="O387">
        <v>2</v>
      </c>
      <c r="P387" t="s">
        <v>85</v>
      </c>
    </row>
    <row r="388" spans="1:16" x14ac:dyDescent="0.3">
      <c r="A388">
        <v>82</v>
      </c>
      <c r="B388">
        <v>2022</v>
      </c>
      <c r="C388">
        <v>1440</v>
      </c>
      <c r="D388">
        <v>81</v>
      </c>
      <c r="E388">
        <v>60</v>
      </c>
      <c r="F388">
        <v>6138.52</v>
      </c>
      <c r="G388">
        <v>4.1667000000000003E-2</v>
      </c>
      <c r="H388">
        <v>26</v>
      </c>
      <c r="I388">
        <v>29</v>
      </c>
      <c r="J388">
        <v>8</v>
      </c>
      <c r="K388">
        <v>9</v>
      </c>
      <c r="L388">
        <v>0</v>
      </c>
      <c r="M388">
        <v>2</v>
      </c>
      <c r="N388">
        <v>6</v>
      </c>
      <c r="O388">
        <v>4</v>
      </c>
      <c r="P388" t="s">
        <v>68</v>
      </c>
    </row>
    <row r="389" spans="1:16" x14ac:dyDescent="0.3">
      <c r="A389">
        <v>82</v>
      </c>
      <c r="B389">
        <v>2023</v>
      </c>
      <c r="C389">
        <v>292</v>
      </c>
      <c r="D389">
        <v>24</v>
      </c>
      <c r="E389">
        <v>20</v>
      </c>
      <c r="F389">
        <v>2014.53</v>
      </c>
      <c r="G389">
        <v>6.8492999999999998E-2</v>
      </c>
      <c r="H389">
        <v>9</v>
      </c>
      <c r="I389">
        <v>17</v>
      </c>
      <c r="J389">
        <v>6</v>
      </c>
      <c r="K389">
        <v>5</v>
      </c>
      <c r="L389">
        <v>1</v>
      </c>
      <c r="M389">
        <v>5</v>
      </c>
      <c r="N389">
        <v>5</v>
      </c>
      <c r="O389">
        <v>2</v>
      </c>
      <c r="P389" t="s">
        <v>85</v>
      </c>
    </row>
    <row r="390" spans="1:16" x14ac:dyDescent="0.3">
      <c r="A390">
        <v>82</v>
      </c>
      <c r="B390">
        <v>2024</v>
      </c>
      <c r="C390">
        <v>650</v>
      </c>
      <c r="D390">
        <v>43</v>
      </c>
      <c r="E390">
        <v>34</v>
      </c>
      <c r="F390">
        <v>3496.23</v>
      </c>
      <c r="G390">
        <v>5.2308E-2</v>
      </c>
      <c r="H390">
        <v>17</v>
      </c>
      <c r="I390">
        <v>20</v>
      </c>
      <c r="J390">
        <v>9</v>
      </c>
      <c r="K390">
        <v>5</v>
      </c>
      <c r="L390">
        <v>1</v>
      </c>
      <c r="M390">
        <v>4</v>
      </c>
      <c r="N390">
        <v>4</v>
      </c>
      <c r="O390">
        <v>3</v>
      </c>
      <c r="P390" t="s">
        <v>85</v>
      </c>
    </row>
    <row r="391" spans="1:16" x14ac:dyDescent="0.3">
      <c r="A391">
        <v>82</v>
      </c>
      <c r="B391">
        <v>2025</v>
      </c>
      <c r="C391">
        <v>1465</v>
      </c>
      <c r="D391">
        <v>127</v>
      </c>
      <c r="E391">
        <v>98</v>
      </c>
      <c r="F391">
        <v>7276.42</v>
      </c>
      <c r="G391">
        <v>6.6893999999999995E-2</v>
      </c>
      <c r="H391">
        <v>35</v>
      </c>
      <c r="I391">
        <v>43</v>
      </c>
      <c r="J391">
        <v>24</v>
      </c>
      <c r="K391">
        <v>8</v>
      </c>
      <c r="L391">
        <v>1</v>
      </c>
      <c r="M391">
        <v>4</v>
      </c>
      <c r="N391">
        <v>6</v>
      </c>
      <c r="O391">
        <v>5</v>
      </c>
      <c r="P391" t="s">
        <v>85</v>
      </c>
    </row>
    <row r="392" spans="1:16" x14ac:dyDescent="0.3">
      <c r="A392">
        <v>83</v>
      </c>
      <c r="B392">
        <v>2021</v>
      </c>
      <c r="C392">
        <v>492</v>
      </c>
      <c r="D392">
        <v>41</v>
      </c>
      <c r="E392">
        <v>37</v>
      </c>
      <c r="F392">
        <v>3815.66</v>
      </c>
      <c r="G392">
        <v>7.5203000000000006E-2</v>
      </c>
      <c r="H392">
        <v>9</v>
      </c>
      <c r="I392">
        <v>13</v>
      </c>
      <c r="J392">
        <v>6</v>
      </c>
      <c r="K392">
        <v>6</v>
      </c>
      <c r="L392">
        <v>1</v>
      </c>
      <c r="M392">
        <v>5</v>
      </c>
      <c r="N392">
        <v>4</v>
      </c>
      <c r="O392">
        <v>3</v>
      </c>
      <c r="P392" t="s">
        <v>85</v>
      </c>
    </row>
    <row r="393" spans="1:16" x14ac:dyDescent="0.3">
      <c r="A393">
        <v>83</v>
      </c>
      <c r="B393">
        <v>2022</v>
      </c>
      <c r="C393">
        <v>686</v>
      </c>
      <c r="D393">
        <v>49</v>
      </c>
      <c r="E393">
        <v>35</v>
      </c>
      <c r="F393">
        <v>1497.16</v>
      </c>
      <c r="G393">
        <v>5.1020000000000003E-2</v>
      </c>
      <c r="H393">
        <v>16</v>
      </c>
      <c r="I393">
        <v>22</v>
      </c>
      <c r="J393">
        <v>7</v>
      </c>
      <c r="K393">
        <v>6</v>
      </c>
      <c r="L393">
        <v>0</v>
      </c>
      <c r="M393">
        <v>2</v>
      </c>
      <c r="N393">
        <v>4</v>
      </c>
      <c r="O393">
        <v>2</v>
      </c>
      <c r="P393" t="s">
        <v>85</v>
      </c>
    </row>
    <row r="394" spans="1:16" x14ac:dyDescent="0.3">
      <c r="A394">
        <v>83</v>
      </c>
      <c r="B394">
        <v>2023</v>
      </c>
      <c r="C394">
        <v>587</v>
      </c>
      <c r="D394">
        <v>60</v>
      </c>
      <c r="E394">
        <v>52</v>
      </c>
      <c r="F394">
        <v>4947.55</v>
      </c>
      <c r="G394">
        <v>8.8585999999999998E-2</v>
      </c>
      <c r="H394">
        <v>20</v>
      </c>
      <c r="I394">
        <v>21</v>
      </c>
      <c r="J394">
        <v>9</v>
      </c>
      <c r="K394">
        <v>6</v>
      </c>
      <c r="L394">
        <v>1</v>
      </c>
      <c r="M394">
        <v>5</v>
      </c>
      <c r="N394">
        <v>5</v>
      </c>
      <c r="O394">
        <v>2</v>
      </c>
      <c r="P394" t="s">
        <v>85</v>
      </c>
    </row>
    <row r="395" spans="1:16" x14ac:dyDescent="0.3">
      <c r="A395">
        <v>83</v>
      </c>
      <c r="B395">
        <v>2024</v>
      </c>
      <c r="C395">
        <v>1395</v>
      </c>
      <c r="D395">
        <v>111</v>
      </c>
      <c r="E395">
        <v>98</v>
      </c>
      <c r="F395">
        <v>5300.06</v>
      </c>
      <c r="G395">
        <v>7.0250999999999994E-2</v>
      </c>
      <c r="H395">
        <v>32</v>
      </c>
      <c r="I395">
        <v>45</v>
      </c>
      <c r="J395">
        <v>21</v>
      </c>
      <c r="K395">
        <v>9</v>
      </c>
      <c r="L395">
        <v>1</v>
      </c>
      <c r="M395">
        <v>7</v>
      </c>
      <c r="N395">
        <v>6</v>
      </c>
      <c r="O395">
        <v>4</v>
      </c>
      <c r="P395" t="s">
        <v>85</v>
      </c>
    </row>
    <row r="396" spans="1:16" x14ac:dyDescent="0.3">
      <c r="A396">
        <v>83</v>
      </c>
      <c r="B396">
        <v>2025</v>
      </c>
      <c r="C396">
        <v>1895</v>
      </c>
      <c r="D396">
        <v>185</v>
      </c>
      <c r="E396">
        <v>149</v>
      </c>
      <c r="F396">
        <v>8284.83</v>
      </c>
      <c r="G396">
        <v>7.8628000000000003E-2</v>
      </c>
      <c r="H396">
        <v>41</v>
      </c>
      <c r="I396">
        <v>61</v>
      </c>
      <c r="J396">
        <v>23</v>
      </c>
      <c r="K396">
        <v>20</v>
      </c>
      <c r="L396">
        <v>1</v>
      </c>
      <c r="M396">
        <v>9</v>
      </c>
      <c r="N396">
        <v>7</v>
      </c>
      <c r="O396">
        <v>7</v>
      </c>
      <c r="P396" t="s">
        <v>85</v>
      </c>
    </row>
    <row r="397" spans="1:16" x14ac:dyDescent="0.3">
      <c r="A397">
        <v>84</v>
      </c>
      <c r="B397">
        <v>2021</v>
      </c>
      <c r="C397">
        <v>579</v>
      </c>
      <c r="D397">
        <v>29</v>
      </c>
      <c r="E397">
        <v>28</v>
      </c>
      <c r="F397">
        <v>2580.8200000000002</v>
      </c>
      <c r="G397">
        <v>4.8358999999999999E-2</v>
      </c>
      <c r="H397">
        <v>12</v>
      </c>
      <c r="I397">
        <v>20</v>
      </c>
      <c r="J397">
        <v>6</v>
      </c>
      <c r="K397">
        <v>11</v>
      </c>
      <c r="L397">
        <v>0</v>
      </c>
      <c r="M397">
        <v>3</v>
      </c>
      <c r="N397">
        <v>4</v>
      </c>
      <c r="O397">
        <v>2</v>
      </c>
      <c r="P397" t="s">
        <v>175</v>
      </c>
    </row>
    <row r="398" spans="1:16" x14ac:dyDescent="0.3">
      <c r="A398">
        <v>84</v>
      </c>
      <c r="B398">
        <v>2022</v>
      </c>
      <c r="C398">
        <v>908</v>
      </c>
      <c r="D398">
        <v>42</v>
      </c>
      <c r="E398">
        <v>36</v>
      </c>
      <c r="F398">
        <v>2582.3000000000002</v>
      </c>
      <c r="G398">
        <v>3.9648000000000003E-2</v>
      </c>
      <c r="H398">
        <v>12</v>
      </c>
      <c r="I398">
        <v>22</v>
      </c>
      <c r="J398">
        <v>5</v>
      </c>
      <c r="K398">
        <v>7</v>
      </c>
      <c r="L398">
        <v>0</v>
      </c>
      <c r="M398">
        <v>1</v>
      </c>
      <c r="N398">
        <v>3</v>
      </c>
      <c r="O398">
        <v>2</v>
      </c>
      <c r="P398" t="s">
        <v>175</v>
      </c>
    </row>
    <row r="399" spans="1:16" x14ac:dyDescent="0.3">
      <c r="A399">
        <v>84</v>
      </c>
      <c r="B399">
        <v>2023</v>
      </c>
      <c r="C399">
        <v>365</v>
      </c>
      <c r="D399">
        <v>31</v>
      </c>
      <c r="E399">
        <v>23</v>
      </c>
      <c r="F399">
        <v>1246.75</v>
      </c>
      <c r="G399">
        <v>6.3014000000000001E-2</v>
      </c>
      <c r="H399">
        <v>12</v>
      </c>
      <c r="I399">
        <v>19</v>
      </c>
      <c r="J399">
        <v>6</v>
      </c>
      <c r="K399">
        <v>8</v>
      </c>
      <c r="L399">
        <v>1</v>
      </c>
      <c r="M399">
        <v>3</v>
      </c>
      <c r="N399">
        <v>4</v>
      </c>
      <c r="O399">
        <v>2</v>
      </c>
      <c r="P399" t="s">
        <v>85</v>
      </c>
    </row>
    <row r="400" spans="1:16" x14ac:dyDescent="0.3">
      <c r="A400">
        <v>84</v>
      </c>
      <c r="B400">
        <v>2024</v>
      </c>
      <c r="C400">
        <v>563</v>
      </c>
      <c r="D400">
        <v>34</v>
      </c>
      <c r="E400">
        <v>27</v>
      </c>
      <c r="F400">
        <v>1258.5</v>
      </c>
      <c r="G400">
        <v>4.7957E-2</v>
      </c>
      <c r="H400">
        <v>17</v>
      </c>
      <c r="I400">
        <v>20</v>
      </c>
      <c r="J400">
        <v>6</v>
      </c>
      <c r="K400">
        <v>6</v>
      </c>
      <c r="L400">
        <v>0</v>
      </c>
      <c r="M400">
        <v>2</v>
      </c>
      <c r="N400">
        <v>3</v>
      </c>
      <c r="O400">
        <v>1</v>
      </c>
      <c r="P400" t="s">
        <v>175</v>
      </c>
    </row>
    <row r="401" spans="1:16" x14ac:dyDescent="0.3">
      <c r="A401">
        <v>84</v>
      </c>
      <c r="B401">
        <v>2025</v>
      </c>
      <c r="C401">
        <v>1041</v>
      </c>
      <c r="D401">
        <v>111</v>
      </c>
      <c r="E401">
        <v>84</v>
      </c>
      <c r="F401">
        <v>4896.47</v>
      </c>
      <c r="G401">
        <v>8.0692E-2</v>
      </c>
      <c r="H401">
        <v>23</v>
      </c>
      <c r="I401">
        <v>38</v>
      </c>
      <c r="J401">
        <v>19</v>
      </c>
      <c r="K401">
        <v>18</v>
      </c>
      <c r="L401">
        <v>1</v>
      </c>
      <c r="M401">
        <v>6</v>
      </c>
      <c r="N401">
        <v>9</v>
      </c>
      <c r="O401">
        <v>3</v>
      </c>
      <c r="P401" t="s">
        <v>85</v>
      </c>
    </row>
    <row r="402" spans="1:16" x14ac:dyDescent="0.3">
      <c r="A402">
        <v>85</v>
      </c>
      <c r="B402">
        <v>2021</v>
      </c>
      <c r="C402">
        <v>379</v>
      </c>
      <c r="D402">
        <v>17</v>
      </c>
      <c r="E402">
        <v>13</v>
      </c>
      <c r="F402">
        <v>1100.29</v>
      </c>
      <c r="G402">
        <v>3.4300999999999998E-2</v>
      </c>
      <c r="H402">
        <v>6</v>
      </c>
      <c r="I402">
        <v>16</v>
      </c>
      <c r="J402">
        <v>3</v>
      </c>
      <c r="K402">
        <v>3</v>
      </c>
      <c r="L402">
        <v>0</v>
      </c>
      <c r="M402">
        <v>1</v>
      </c>
      <c r="N402">
        <v>2</v>
      </c>
      <c r="O402">
        <v>0</v>
      </c>
      <c r="P402" t="s">
        <v>175</v>
      </c>
    </row>
    <row r="403" spans="1:16" x14ac:dyDescent="0.3">
      <c r="A403">
        <v>85</v>
      </c>
      <c r="B403">
        <v>2022</v>
      </c>
      <c r="C403">
        <v>316</v>
      </c>
      <c r="D403">
        <v>15</v>
      </c>
      <c r="E403">
        <v>13</v>
      </c>
      <c r="F403">
        <v>464.97</v>
      </c>
      <c r="G403">
        <v>4.1139000000000002E-2</v>
      </c>
      <c r="H403">
        <v>3</v>
      </c>
      <c r="I403">
        <v>7</v>
      </c>
      <c r="J403">
        <v>3</v>
      </c>
      <c r="K403">
        <v>1</v>
      </c>
      <c r="L403">
        <v>0</v>
      </c>
      <c r="M403">
        <v>0</v>
      </c>
      <c r="N403">
        <v>0</v>
      </c>
      <c r="O403">
        <v>0</v>
      </c>
      <c r="P403" t="s">
        <v>176</v>
      </c>
    </row>
    <row r="404" spans="1:16" x14ac:dyDescent="0.3">
      <c r="A404">
        <v>85</v>
      </c>
      <c r="B404">
        <v>2023</v>
      </c>
      <c r="C404">
        <v>919</v>
      </c>
      <c r="D404">
        <v>50</v>
      </c>
      <c r="E404">
        <v>47</v>
      </c>
      <c r="F404">
        <v>4719.0200000000004</v>
      </c>
      <c r="G404">
        <v>5.1143000000000001E-2</v>
      </c>
      <c r="H404">
        <v>26</v>
      </c>
      <c r="I404">
        <v>26</v>
      </c>
      <c r="J404">
        <v>8</v>
      </c>
      <c r="K404">
        <v>10</v>
      </c>
      <c r="L404">
        <v>0</v>
      </c>
      <c r="M404">
        <v>2</v>
      </c>
      <c r="N404">
        <v>6</v>
      </c>
      <c r="O404">
        <v>1</v>
      </c>
      <c r="P404" t="s">
        <v>175</v>
      </c>
    </row>
    <row r="405" spans="1:16" x14ac:dyDescent="0.3">
      <c r="A405">
        <v>85</v>
      </c>
      <c r="B405">
        <v>2024</v>
      </c>
      <c r="C405">
        <v>1196</v>
      </c>
      <c r="D405">
        <v>108</v>
      </c>
      <c r="E405">
        <v>91</v>
      </c>
      <c r="F405">
        <v>6808.59</v>
      </c>
      <c r="G405">
        <v>7.6087000000000002E-2</v>
      </c>
      <c r="H405">
        <v>23</v>
      </c>
      <c r="I405">
        <v>39</v>
      </c>
      <c r="J405">
        <v>18</v>
      </c>
      <c r="K405">
        <v>12</v>
      </c>
      <c r="L405">
        <v>0</v>
      </c>
      <c r="M405">
        <v>2</v>
      </c>
      <c r="N405">
        <v>6</v>
      </c>
      <c r="O405">
        <v>6</v>
      </c>
      <c r="P405" t="s">
        <v>85</v>
      </c>
    </row>
    <row r="406" spans="1:16" x14ac:dyDescent="0.3">
      <c r="A406">
        <v>85</v>
      </c>
      <c r="B406">
        <v>2025</v>
      </c>
      <c r="C406">
        <v>498</v>
      </c>
      <c r="D406">
        <v>38</v>
      </c>
      <c r="E406">
        <v>30</v>
      </c>
      <c r="F406">
        <v>2386.64</v>
      </c>
      <c r="G406">
        <v>6.0241000000000003E-2</v>
      </c>
      <c r="H406">
        <v>8</v>
      </c>
      <c r="I406">
        <v>20</v>
      </c>
      <c r="J406">
        <v>4</v>
      </c>
      <c r="K406">
        <v>3</v>
      </c>
      <c r="L406">
        <v>1</v>
      </c>
      <c r="M406">
        <v>3</v>
      </c>
      <c r="N406">
        <v>3</v>
      </c>
      <c r="O406">
        <v>2</v>
      </c>
      <c r="P406" t="s">
        <v>68</v>
      </c>
    </row>
    <row r="407" spans="1:16" x14ac:dyDescent="0.3">
      <c r="A407">
        <v>86</v>
      </c>
      <c r="B407">
        <v>2021</v>
      </c>
      <c r="C407">
        <v>707</v>
      </c>
      <c r="D407">
        <v>62</v>
      </c>
      <c r="E407">
        <v>59</v>
      </c>
      <c r="F407">
        <v>5279.71</v>
      </c>
      <c r="G407">
        <v>8.3450999999999997E-2</v>
      </c>
      <c r="H407">
        <v>16</v>
      </c>
      <c r="I407">
        <v>23</v>
      </c>
      <c r="J407">
        <v>10</v>
      </c>
      <c r="K407">
        <v>9</v>
      </c>
      <c r="L407">
        <v>0</v>
      </c>
      <c r="M407">
        <v>1</v>
      </c>
      <c r="N407">
        <v>4</v>
      </c>
      <c r="O407">
        <v>4</v>
      </c>
      <c r="P407" t="s">
        <v>85</v>
      </c>
    </row>
    <row r="408" spans="1:16" x14ac:dyDescent="0.3">
      <c r="A408">
        <v>86</v>
      </c>
      <c r="B408">
        <v>2022</v>
      </c>
      <c r="C408">
        <v>1576</v>
      </c>
      <c r="D408">
        <v>163</v>
      </c>
      <c r="E408">
        <v>149</v>
      </c>
      <c r="F408">
        <v>5914.36</v>
      </c>
      <c r="G408">
        <v>9.4543000000000002E-2</v>
      </c>
      <c r="H408">
        <v>22</v>
      </c>
      <c r="I408">
        <v>52</v>
      </c>
      <c r="J408">
        <v>25</v>
      </c>
      <c r="K408">
        <v>15</v>
      </c>
      <c r="L408">
        <v>0</v>
      </c>
      <c r="M408">
        <v>2</v>
      </c>
      <c r="N408">
        <v>5</v>
      </c>
      <c r="O408">
        <v>11</v>
      </c>
      <c r="P408" t="s">
        <v>68</v>
      </c>
    </row>
    <row r="409" spans="1:16" x14ac:dyDescent="0.3">
      <c r="A409">
        <v>86</v>
      </c>
      <c r="B409">
        <v>2023</v>
      </c>
      <c r="C409">
        <v>1559</v>
      </c>
      <c r="D409">
        <v>130</v>
      </c>
      <c r="E409">
        <v>99</v>
      </c>
      <c r="F409">
        <v>9656.85</v>
      </c>
      <c r="G409">
        <v>6.3502000000000003E-2</v>
      </c>
      <c r="H409">
        <v>25</v>
      </c>
      <c r="I409">
        <v>53</v>
      </c>
      <c r="J409">
        <v>16</v>
      </c>
      <c r="K409">
        <v>15</v>
      </c>
      <c r="L409">
        <v>1</v>
      </c>
      <c r="M409">
        <v>7</v>
      </c>
      <c r="N409">
        <v>7</v>
      </c>
      <c r="O409">
        <v>5</v>
      </c>
      <c r="P409" t="s">
        <v>85</v>
      </c>
    </row>
    <row r="410" spans="1:16" x14ac:dyDescent="0.3">
      <c r="A410">
        <v>86</v>
      </c>
      <c r="B410">
        <v>2024</v>
      </c>
      <c r="C410">
        <v>156</v>
      </c>
      <c r="D410">
        <v>7</v>
      </c>
      <c r="E410">
        <v>5</v>
      </c>
      <c r="F410">
        <v>422.91</v>
      </c>
      <c r="G410">
        <v>3.2051000000000003E-2</v>
      </c>
      <c r="H410">
        <v>5</v>
      </c>
      <c r="I410">
        <v>9</v>
      </c>
      <c r="J410">
        <v>2</v>
      </c>
      <c r="K410">
        <v>2</v>
      </c>
      <c r="L410">
        <v>0</v>
      </c>
      <c r="M410">
        <v>0</v>
      </c>
      <c r="N410">
        <v>1</v>
      </c>
      <c r="O410">
        <v>0</v>
      </c>
      <c r="P410" t="s">
        <v>176</v>
      </c>
    </row>
    <row r="411" spans="1:16" x14ac:dyDescent="0.3">
      <c r="A411">
        <v>86</v>
      </c>
      <c r="B411">
        <v>2025</v>
      </c>
      <c r="C411">
        <v>479</v>
      </c>
      <c r="D411">
        <v>26</v>
      </c>
      <c r="E411">
        <v>25</v>
      </c>
      <c r="F411">
        <v>2219.59</v>
      </c>
      <c r="G411">
        <v>5.2192000000000002E-2</v>
      </c>
      <c r="H411">
        <v>13</v>
      </c>
      <c r="I411">
        <v>15</v>
      </c>
      <c r="J411">
        <v>4</v>
      </c>
      <c r="K411">
        <v>3</v>
      </c>
      <c r="L411">
        <v>0</v>
      </c>
      <c r="M411">
        <v>1</v>
      </c>
      <c r="N411">
        <v>2</v>
      </c>
      <c r="O411">
        <v>2</v>
      </c>
      <c r="P411" t="s">
        <v>175</v>
      </c>
    </row>
    <row r="412" spans="1:16" x14ac:dyDescent="0.3">
      <c r="A412">
        <v>87</v>
      </c>
      <c r="B412">
        <v>2021</v>
      </c>
      <c r="C412">
        <v>1478</v>
      </c>
      <c r="D412">
        <v>123</v>
      </c>
      <c r="E412">
        <v>109</v>
      </c>
      <c r="F412">
        <v>10962.52</v>
      </c>
      <c r="G412">
        <v>7.3747999999999994E-2</v>
      </c>
      <c r="H412">
        <v>22</v>
      </c>
      <c r="I412">
        <v>46</v>
      </c>
      <c r="J412">
        <v>21</v>
      </c>
      <c r="K412">
        <v>11</v>
      </c>
      <c r="L412">
        <v>1</v>
      </c>
      <c r="M412">
        <v>5</v>
      </c>
      <c r="N412">
        <v>8</v>
      </c>
      <c r="O412">
        <v>5</v>
      </c>
      <c r="P412" t="s">
        <v>85</v>
      </c>
    </row>
    <row r="413" spans="1:16" x14ac:dyDescent="0.3">
      <c r="A413">
        <v>87</v>
      </c>
      <c r="B413">
        <v>2022</v>
      </c>
      <c r="C413">
        <v>589</v>
      </c>
      <c r="D413">
        <v>48</v>
      </c>
      <c r="E413">
        <v>42</v>
      </c>
      <c r="F413">
        <v>2817.96</v>
      </c>
      <c r="G413">
        <v>7.1306999999999995E-2</v>
      </c>
      <c r="H413">
        <v>16</v>
      </c>
      <c r="I413">
        <v>16</v>
      </c>
      <c r="J413">
        <v>8</v>
      </c>
      <c r="K413">
        <v>8</v>
      </c>
      <c r="L413">
        <v>0</v>
      </c>
      <c r="M413">
        <v>3</v>
      </c>
      <c r="N413">
        <v>6</v>
      </c>
      <c r="O413">
        <v>1</v>
      </c>
      <c r="P413" t="s">
        <v>85</v>
      </c>
    </row>
    <row r="414" spans="1:16" x14ac:dyDescent="0.3">
      <c r="A414">
        <v>87</v>
      </c>
      <c r="B414">
        <v>2023</v>
      </c>
      <c r="C414">
        <v>777</v>
      </c>
      <c r="D414">
        <v>83</v>
      </c>
      <c r="E414">
        <v>70</v>
      </c>
      <c r="F414">
        <v>3585.12</v>
      </c>
      <c r="G414">
        <v>9.0090000000000003E-2</v>
      </c>
      <c r="H414">
        <v>23</v>
      </c>
      <c r="I414">
        <v>26</v>
      </c>
      <c r="J414">
        <v>15</v>
      </c>
      <c r="K414">
        <v>9</v>
      </c>
      <c r="L414">
        <v>1</v>
      </c>
      <c r="M414">
        <v>7</v>
      </c>
      <c r="N414">
        <v>6</v>
      </c>
      <c r="O414">
        <v>2</v>
      </c>
      <c r="P414" t="s">
        <v>85</v>
      </c>
    </row>
    <row r="415" spans="1:16" x14ac:dyDescent="0.3">
      <c r="A415">
        <v>87</v>
      </c>
      <c r="B415">
        <v>2024</v>
      </c>
      <c r="C415">
        <v>332</v>
      </c>
      <c r="D415">
        <v>33</v>
      </c>
      <c r="E415">
        <v>29</v>
      </c>
      <c r="F415">
        <v>1566.39</v>
      </c>
      <c r="G415">
        <v>8.7348999999999996E-2</v>
      </c>
      <c r="H415">
        <v>27</v>
      </c>
      <c r="I415">
        <v>27</v>
      </c>
      <c r="J415">
        <v>8</v>
      </c>
      <c r="K415">
        <v>8</v>
      </c>
      <c r="L415">
        <v>1</v>
      </c>
      <c r="M415">
        <v>5</v>
      </c>
      <c r="N415">
        <v>4</v>
      </c>
      <c r="O415">
        <v>2</v>
      </c>
      <c r="P415" t="s">
        <v>85</v>
      </c>
    </row>
    <row r="416" spans="1:16" x14ac:dyDescent="0.3">
      <c r="A416">
        <v>87</v>
      </c>
      <c r="B416">
        <v>2025</v>
      </c>
      <c r="C416">
        <v>870</v>
      </c>
      <c r="D416">
        <v>54</v>
      </c>
      <c r="E416">
        <v>49</v>
      </c>
      <c r="F416">
        <v>3629.65</v>
      </c>
      <c r="G416">
        <v>5.6321999999999997E-2</v>
      </c>
      <c r="H416">
        <v>14</v>
      </c>
      <c r="I416">
        <v>20</v>
      </c>
      <c r="J416">
        <v>10</v>
      </c>
      <c r="K416">
        <v>7</v>
      </c>
      <c r="L416">
        <v>0</v>
      </c>
      <c r="M416">
        <v>2</v>
      </c>
      <c r="N416">
        <v>4</v>
      </c>
      <c r="O416">
        <v>1</v>
      </c>
      <c r="P416" t="s">
        <v>68</v>
      </c>
    </row>
    <row r="417" spans="1:16" x14ac:dyDescent="0.3">
      <c r="A417">
        <v>88</v>
      </c>
      <c r="B417">
        <v>2021</v>
      </c>
      <c r="C417">
        <v>842</v>
      </c>
      <c r="D417">
        <v>56</v>
      </c>
      <c r="E417">
        <v>50</v>
      </c>
      <c r="F417">
        <v>1892.58</v>
      </c>
      <c r="G417">
        <v>5.9381999999999997E-2</v>
      </c>
      <c r="H417">
        <v>12</v>
      </c>
      <c r="I417">
        <v>25</v>
      </c>
      <c r="J417">
        <v>12</v>
      </c>
      <c r="K417">
        <v>7</v>
      </c>
      <c r="L417">
        <v>1</v>
      </c>
      <c r="M417">
        <v>3</v>
      </c>
      <c r="N417">
        <v>6</v>
      </c>
      <c r="O417">
        <v>3</v>
      </c>
      <c r="P417" t="s">
        <v>85</v>
      </c>
    </row>
    <row r="418" spans="1:16" x14ac:dyDescent="0.3">
      <c r="A418">
        <v>88</v>
      </c>
      <c r="B418">
        <v>2022</v>
      </c>
      <c r="C418">
        <v>836</v>
      </c>
      <c r="D418">
        <v>77</v>
      </c>
      <c r="E418">
        <v>60</v>
      </c>
      <c r="F418">
        <v>4142.34</v>
      </c>
      <c r="G418">
        <v>7.177E-2</v>
      </c>
      <c r="H418">
        <v>20</v>
      </c>
      <c r="I418">
        <v>28</v>
      </c>
      <c r="J418">
        <v>8</v>
      </c>
      <c r="K418">
        <v>11</v>
      </c>
      <c r="L418">
        <v>0</v>
      </c>
      <c r="M418">
        <v>3</v>
      </c>
      <c r="N418">
        <v>4</v>
      </c>
      <c r="O418">
        <v>4</v>
      </c>
      <c r="P418" t="s">
        <v>68</v>
      </c>
    </row>
    <row r="419" spans="1:16" x14ac:dyDescent="0.3">
      <c r="A419">
        <v>88</v>
      </c>
      <c r="B419">
        <v>2023</v>
      </c>
      <c r="C419">
        <v>853</v>
      </c>
      <c r="D419">
        <v>46</v>
      </c>
      <c r="E419">
        <v>34</v>
      </c>
      <c r="F419">
        <v>3459.02</v>
      </c>
      <c r="G419">
        <v>3.9858999999999999E-2</v>
      </c>
      <c r="H419">
        <v>14</v>
      </c>
      <c r="I419">
        <v>18</v>
      </c>
      <c r="J419">
        <v>7</v>
      </c>
      <c r="K419">
        <v>6</v>
      </c>
      <c r="L419">
        <v>0</v>
      </c>
      <c r="M419">
        <v>1</v>
      </c>
      <c r="N419">
        <v>3</v>
      </c>
      <c r="O419">
        <v>2</v>
      </c>
      <c r="P419" t="s">
        <v>175</v>
      </c>
    </row>
    <row r="420" spans="1:16" x14ac:dyDescent="0.3">
      <c r="A420">
        <v>88</v>
      </c>
      <c r="B420">
        <v>2024</v>
      </c>
      <c r="C420">
        <v>416</v>
      </c>
      <c r="D420">
        <v>15</v>
      </c>
      <c r="E420">
        <v>11</v>
      </c>
      <c r="F420">
        <v>640.12</v>
      </c>
      <c r="G420">
        <v>2.6442E-2</v>
      </c>
      <c r="H420">
        <v>7</v>
      </c>
      <c r="I420">
        <v>15</v>
      </c>
      <c r="J420">
        <v>2</v>
      </c>
      <c r="K420">
        <v>5</v>
      </c>
      <c r="L420">
        <v>0</v>
      </c>
      <c r="M420">
        <v>1</v>
      </c>
      <c r="N420">
        <v>3</v>
      </c>
      <c r="O420">
        <v>0</v>
      </c>
      <c r="P420" t="s">
        <v>175</v>
      </c>
    </row>
    <row r="421" spans="1:16" x14ac:dyDescent="0.3">
      <c r="A421">
        <v>88</v>
      </c>
      <c r="B421">
        <v>2025</v>
      </c>
      <c r="C421">
        <v>1139</v>
      </c>
      <c r="D421">
        <v>65</v>
      </c>
      <c r="E421">
        <v>60</v>
      </c>
      <c r="F421">
        <v>3653.3</v>
      </c>
      <c r="G421">
        <v>5.2678000000000003E-2</v>
      </c>
      <c r="H421">
        <v>16</v>
      </c>
      <c r="I421">
        <v>31</v>
      </c>
      <c r="J421">
        <v>11</v>
      </c>
      <c r="K421">
        <v>13</v>
      </c>
      <c r="L421">
        <v>0</v>
      </c>
      <c r="M421">
        <v>4</v>
      </c>
      <c r="N421">
        <v>3</v>
      </c>
      <c r="O421">
        <v>2</v>
      </c>
      <c r="P421" t="s">
        <v>175</v>
      </c>
    </row>
    <row r="422" spans="1:16" x14ac:dyDescent="0.3">
      <c r="A422">
        <v>89</v>
      </c>
      <c r="B422">
        <v>2021</v>
      </c>
      <c r="C422">
        <v>844</v>
      </c>
      <c r="D422">
        <v>69</v>
      </c>
      <c r="E422">
        <v>50</v>
      </c>
      <c r="F422">
        <v>4526.75</v>
      </c>
      <c r="G422">
        <v>5.9242000000000003E-2</v>
      </c>
      <c r="H422">
        <v>15</v>
      </c>
      <c r="I422">
        <v>27</v>
      </c>
      <c r="J422">
        <v>13</v>
      </c>
      <c r="K422">
        <v>6</v>
      </c>
      <c r="L422">
        <v>1</v>
      </c>
      <c r="M422">
        <v>4</v>
      </c>
      <c r="N422">
        <v>3</v>
      </c>
      <c r="O422">
        <v>2</v>
      </c>
      <c r="P422" t="s">
        <v>85</v>
      </c>
    </row>
    <row r="423" spans="1:16" x14ac:dyDescent="0.3">
      <c r="A423">
        <v>89</v>
      </c>
      <c r="B423">
        <v>2022</v>
      </c>
      <c r="C423">
        <v>1025</v>
      </c>
      <c r="D423">
        <v>104</v>
      </c>
      <c r="E423">
        <v>99</v>
      </c>
      <c r="F423">
        <v>8867.25</v>
      </c>
      <c r="G423">
        <v>9.6585000000000004E-2</v>
      </c>
      <c r="H423">
        <v>25</v>
      </c>
      <c r="I423">
        <v>31</v>
      </c>
      <c r="J423">
        <v>14</v>
      </c>
      <c r="K423">
        <v>12</v>
      </c>
      <c r="L423">
        <v>1</v>
      </c>
      <c r="M423">
        <v>7</v>
      </c>
      <c r="N423">
        <v>8</v>
      </c>
      <c r="O423">
        <v>7</v>
      </c>
      <c r="P423" t="s">
        <v>85</v>
      </c>
    </row>
    <row r="424" spans="1:16" x14ac:dyDescent="0.3">
      <c r="A424">
        <v>89</v>
      </c>
      <c r="B424">
        <v>2023</v>
      </c>
      <c r="C424">
        <v>260</v>
      </c>
      <c r="D424">
        <v>10</v>
      </c>
      <c r="E424">
        <v>9</v>
      </c>
      <c r="F424">
        <v>480.6</v>
      </c>
      <c r="G424">
        <v>3.4615E-2</v>
      </c>
      <c r="H424">
        <v>7</v>
      </c>
      <c r="I424">
        <v>7</v>
      </c>
      <c r="J424">
        <v>2</v>
      </c>
      <c r="K424">
        <v>5</v>
      </c>
      <c r="L424">
        <v>0</v>
      </c>
      <c r="M424">
        <v>1</v>
      </c>
      <c r="N424">
        <v>2</v>
      </c>
      <c r="O424">
        <v>1</v>
      </c>
      <c r="P424" t="s">
        <v>175</v>
      </c>
    </row>
    <row r="425" spans="1:16" x14ac:dyDescent="0.3">
      <c r="A425">
        <v>89</v>
      </c>
      <c r="B425">
        <v>2024</v>
      </c>
      <c r="C425">
        <v>765</v>
      </c>
      <c r="D425">
        <v>57</v>
      </c>
      <c r="E425">
        <v>49</v>
      </c>
      <c r="F425">
        <v>2047.67</v>
      </c>
      <c r="G425">
        <v>6.4051999999999998E-2</v>
      </c>
      <c r="H425">
        <v>20</v>
      </c>
      <c r="I425">
        <v>27</v>
      </c>
      <c r="J425">
        <v>11</v>
      </c>
      <c r="K425">
        <v>10</v>
      </c>
      <c r="L425">
        <v>0</v>
      </c>
      <c r="M425">
        <v>1</v>
      </c>
      <c r="N425">
        <v>6</v>
      </c>
      <c r="O425">
        <v>3</v>
      </c>
      <c r="P425" t="s">
        <v>68</v>
      </c>
    </row>
    <row r="426" spans="1:16" x14ac:dyDescent="0.3">
      <c r="A426">
        <v>89</v>
      </c>
      <c r="B426">
        <v>2025</v>
      </c>
      <c r="C426">
        <v>858</v>
      </c>
      <c r="D426">
        <v>63</v>
      </c>
      <c r="E426">
        <v>57</v>
      </c>
      <c r="F426">
        <v>6280.95</v>
      </c>
      <c r="G426">
        <v>6.6433999999999993E-2</v>
      </c>
      <c r="H426">
        <v>18</v>
      </c>
      <c r="I426">
        <v>24</v>
      </c>
      <c r="J426">
        <v>11</v>
      </c>
      <c r="K426">
        <v>5</v>
      </c>
      <c r="L426">
        <v>1</v>
      </c>
      <c r="M426">
        <v>4</v>
      </c>
      <c r="N426">
        <v>3</v>
      </c>
      <c r="O426">
        <v>5</v>
      </c>
      <c r="P426" t="s">
        <v>85</v>
      </c>
    </row>
    <row r="427" spans="1:16" x14ac:dyDescent="0.3">
      <c r="A427">
        <v>90</v>
      </c>
      <c r="B427">
        <v>2021</v>
      </c>
      <c r="C427">
        <v>978</v>
      </c>
      <c r="D427">
        <v>84</v>
      </c>
      <c r="E427">
        <v>68</v>
      </c>
      <c r="F427">
        <v>5380.26</v>
      </c>
      <c r="G427">
        <v>6.9529999999999995E-2</v>
      </c>
      <c r="H427">
        <v>25</v>
      </c>
      <c r="I427">
        <v>35</v>
      </c>
      <c r="J427">
        <v>8</v>
      </c>
      <c r="K427">
        <v>10</v>
      </c>
      <c r="L427">
        <v>0</v>
      </c>
      <c r="M427">
        <v>3</v>
      </c>
      <c r="N427">
        <v>5</v>
      </c>
      <c r="O427">
        <v>4</v>
      </c>
      <c r="P427" t="s">
        <v>68</v>
      </c>
    </row>
    <row r="428" spans="1:16" x14ac:dyDescent="0.3">
      <c r="A428">
        <v>90</v>
      </c>
      <c r="B428">
        <v>2022</v>
      </c>
      <c r="C428">
        <v>770</v>
      </c>
      <c r="D428">
        <v>41</v>
      </c>
      <c r="E428">
        <v>32</v>
      </c>
      <c r="F428">
        <v>1118.98</v>
      </c>
      <c r="G428">
        <v>4.1557999999999998E-2</v>
      </c>
      <c r="H428">
        <v>12</v>
      </c>
      <c r="I428">
        <v>16</v>
      </c>
      <c r="J428">
        <v>4</v>
      </c>
      <c r="K428">
        <v>4</v>
      </c>
      <c r="L428">
        <v>0</v>
      </c>
      <c r="M428">
        <v>2</v>
      </c>
      <c r="N428">
        <v>2</v>
      </c>
      <c r="O428">
        <v>2</v>
      </c>
      <c r="P428" t="s">
        <v>175</v>
      </c>
    </row>
    <row r="429" spans="1:16" x14ac:dyDescent="0.3">
      <c r="A429">
        <v>90</v>
      </c>
      <c r="B429">
        <v>2023</v>
      </c>
      <c r="C429">
        <v>405</v>
      </c>
      <c r="D429">
        <v>22</v>
      </c>
      <c r="E429">
        <v>18</v>
      </c>
      <c r="F429">
        <v>581.51</v>
      </c>
      <c r="G429">
        <v>4.4443999999999997E-2</v>
      </c>
      <c r="H429">
        <v>8</v>
      </c>
      <c r="I429">
        <v>11</v>
      </c>
      <c r="J429">
        <v>4</v>
      </c>
      <c r="K429">
        <v>4</v>
      </c>
      <c r="L429">
        <v>1</v>
      </c>
      <c r="M429">
        <v>4</v>
      </c>
      <c r="N429">
        <v>3</v>
      </c>
      <c r="O429">
        <v>3</v>
      </c>
      <c r="P429" t="s">
        <v>68</v>
      </c>
    </row>
    <row r="430" spans="1:16" x14ac:dyDescent="0.3">
      <c r="A430">
        <v>90</v>
      </c>
      <c r="B430">
        <v>2024</v>
      </c>
      <c r="C430">
        <v>1390</v>
      </c>
      <c r="D430">
        <v>85</v>
      </c>
      <c r="E430">
        <v>81</v>
      </c>
      <c r="F430">
        <v>5303.8</v>
      </c>
      <c r="G430">
        <v>5.8272999999999998E-2</v>
      </c>
      <c r="H430">
        <v>15</v>
      </c>
      <c r="I430">
        <v>37</v>
      </c>
      <c r="J430">
        <v>9</v>
      </c>
      <c r="K430">
        <v>7</v>
      </c>
      <c r="L430">
        <v>1</v>
      </c>
      <c r="M430">
        <v>3</v>
      </c>
      <c r="N430">
        <v>4</v>
      </c>
      <c r="O430">
        <v>5</v>
      </c>
      <c r="P430" t="s">
        <v>85</v>
      </c>
    </row>
    <row r="431" spans="1:16" x14ac:dyDescent="0.3">
      <c r="A431">
        <v>90</v>
      </c>
      <c r="B431">
        <v>2025</v>
      </c>
      <c r="C431">
        <v>1819</v>
      </c>
      <c r="D431">
        <v>116</v>
      </c>
      <c r="E431">
        <v>110</v>
      </c>
      <c r="F431">
        <v>6672.31</v>
      </c>
      <c r="G431">
        <v>6.0472999999999999E-2</v>
      </c>
      <c r="H431">
        <v>21</v>
      </c>
      <c r="I431">
        <v>48</v>
      </c>
      <c r="J431">
        <v>13</v>
      </c>
      <c r="K431">
        <v>17</v>
      </c>
      <c r="L431">
        <v>0</v>
      </c>
      <c r="M431">
        <v>6</v>
      </c>
      <c r="N431">
        <v>8</v>
      </c>
      <c r="O431">
        <v>6</v>
      </c>
      <c r="P431" t="s">
        <v>175</v>
      </c>
    </row>
    <row r="432" spans="1:16" x14ac:dyDescent="0.3">
      <c r="A432">
        <v>91</v>
      </c>
      <c r="B432">
        <v>2021</v>
      </c>
      <c r="C432">
        <v>234</v>
      </c>
      <c r="D432">
        <v>20</v>
      </c>
      <c r="E432">
        <v>16</v>
      </c>
      <c r="F432">
        <v>970.13</v>
      </c>
      <c r="G432">
        <v>6.8376000000000006E-2</v>
      </c>
      <c r="H432">
        <v>9</v>
      </c>
      <c r="I432">
        <v>15</v>
      </c>
      <c r="J432">
        <v>4</v>
      </c>
      <c r="K432">
        <v>4</v>
      </c>
      <c r="L432">
        <v>0</v>
      </c>
      <c r="M432">
        <v>1</v>
      </c>
      <c r="N432">
        <v>3</v>
      </c>
      <c r="O432">
        <v>0</v>
      </c>
      <c r="P432" t="s">
        <v>68</v>
      </c>
    </row>
    <row r="433" spans="1:16" x14ac:dyDescent="0.3">
      <c r="A433">
        <v>91</v>
      </c>
      <c r="B433">
        <v>2022</v>
      </c>
      <c r="C433">
        <v>576</v>
      </c>
      <c r="D433">
        <v>53</v>
      </c>
      <c r="E433">
        <v>51</v>
      </c>
      <c r="F433">
        <v>4703.4799999999996</v>
      </c>
      <c r="G433">
        <v>8.8541999999999996E-2</v>
      </c>
      <c r="H433">
        <v>18</v>
      </c>
      <c r="I433">
        <v>22</v>
      </c>
      <c r="J433">
        <v>11</v>
      </c>
      <c r="K433">
        <v>7</v>
      </c>
      <c r="L433">
        <v>0</v>
      </c>
      <c r="M433">
        <v>2</v>
      </c>
      <c r="N433">
        <v>3</v>
      </c>
      <c r="O433">
        <v>4</v>
      </c>
      <c r="P433" t="s">
        <v>68</v>
      </c>
    </row>
    <row r="434" spans="1:16" x14ac:dyDescent="0.3">
      <c r="A434">
        <v>91</v>
      </c>
      <c r="B434">
        <v>2023</v>
      </c>
      <c r="C434">
        <v>80</v>
      </c>
      <c r="D434">
        <v>8</v>
      </c>
      <c r="E434">
        <v>7</v>
      </c>
      <c r="F434">
        <v>428.79</v>
      </c>
      <c r="G434">
        <v>8.7499999999999994E-2</v>
      </c>
      <c r="H434">
        <v>11</v>
      </c>
      <c r="I434">
        <v>11</v>
      </c>
      <c r="J434">
        <v>3</v>
      </c>
      <c r="K434">
        <v>7</v>
      </c>
      <c r="L434">
        <v>1</v>
      </c>
      <c r="M434">
        <v>4</v>
      </c>
      <c r="N434">
        <v>5</v>
      </c>
      <c r="O434">
        <v>1</v>
      </c>
      <c r="P434" t="s">
        <v>85</v>
      </c>
    </row>
    <row r="435" spans="1:16" x14ac:dyDescent="0.3">
      <c r="A435">
        <v>91</v>
      </c>
      <c r="B435">
        <v>2024</v>
      </c>
      <c r="C435">
        <v>1217</v>
      </c>
      <c r="D435">
        <v>64</v>
      </c>
      <c r="E435">
        <v>54</v>
      </c>
      <c r="F435">
        <v>5647.25</v>
      </c>
      <c r="G435">
        <v>4.4371000000000001E-2</v>
      </c>
      <c r="H435">
        <v>14</v>
      </c>
      <c r="I435">
        <v>29</v>
      </c>
      <c r="J435">
        <v>8</v>
      </c>
      <c r="K435">
        <v>6</v>
      </c>
      <c r="L435">
        <v>0</v>
      </c>
      <c r="M435">
        <v>2</v>
      </c>
      <c r="N435">
        <v>4</v>
      </c>
      <c r="O435">
        <v>3</v>
      </c>
      <c r="P435" t="s">
        <v>175</v>
      </c>
    </row>
    <row r="436" spans="1:16" x14ac:dyDescent="0.3">
      <c r="A436">
        <v>91</v>
      </c>
      <c r="B436">
        <v>2025</v>
      </c>
      <c r="C436">
        <v>226</v>
      </c>
      <c r="D436">
        <v>23</v>
      </c>
      <c r="E436">
        <v>20</v>
      </c>
      <c r="F436">
        <v>1781.77</v>
      </c>
      <c r="G436">
        <v>8.8496000000000005E-2</v>
      </c>
      <c r="H436">
        <v>17</v>
      </c>
      <c r="I436">
        <v>17</v>
      </c>
      <c r="J436">
        <v>7</v>
      </c>
      <c r="K436">
        <v>6</v>
      </c>
      <c r="L436">
        <v>1</v>
      </c>
      <c r="M436">
        <v>3</v>
      </c>
      <c r="N436">
        <v>5</v>
      </c>
      <c r="O436">
        <v>2</v>
      </c>
      <c r="P436" t="s">
        <v>85</v>
      </c>
    </row>
    <row r="437" spans="1:16" x14ac:dyDescent="0.3">
      <c r="A437">
        <v>92</v>
      </c>
      <c r="B437">
        <v>2021</v>
      </c>
      <c r="C437">
        <v>1822</v>
      </c>
      <c r="D437">
        <v>153</v>
      </c>
      <c r="E437">
        <v>130</v>
      </c>
      <c r="F437">
        <v>12625.26</v>
      </c>
      <c r="G437">
        <v>7.1349999999999997E-2</v>
      </c>
      <c r="H437">
        <v>15</v>
      </c>
      <c r="I437">
        <v>53</v>
      </c>
      <c r="J437">
        <v>18</v>
      </c>
      <c r="K437">
        <v>7</v>
      </c>
      <c r="L437">
        <v>0</v>
      </c>
      <c r="M437">
        <v>2</v>
      </c>
      <c r="N437">
        <v>4</v>
      </c>
      <c r="O437">
        <v>9</v>
      </c>
      <c r="P437" t="s">
        <v>68</v>
      </c>
    </row>
    <row r="438" spans="1:16" x14ac:dyDescent="0.3">
      <c r="A438">
        <v>92</v>
      </c>
      <c r="B438">
        <v>2022</v>
      </c>
      <c r="C438">
        <v>1197</v>
      </c>
      <c r="D438">
        <v>99</v>
      </c>
      <c r="E438">
        <v>80</v>
      </c>
      <c r="F438">
        <v>6699.57</v>
      </c>
      <c r="G438">
        <v>6.6834000000000005E-2</v>
      </c>
      <c r="H438">
        <v>17</v>
      </c>
      <c r="I438">
        <v>34</v>
      </c>
      <c r="J438">
        <v>9</v>
      </c>
      <c r="K438">
        <v>10</v>
      </c>
      <c r="L438">
        <v>1</v>
      </c>
      <c r="M438">
        <v>4</v>
      </c>
      <c r="N438">
        <v>5</v>
      </c>
      <c r="O438">
        <v>3</v>
      </c>
      <c r="P438" t="s">
        <v>85</v>
      </c>
    </row>
    <row r="439" spans="1:16" x14ac:dyDescent="0.3">
      <c r="A439">
        <v>92</v>
      </c>
      <c r="B439">
        <v>2023</v>
      </c>
      <c r="C439">
        <v>1310</v>
      </c>
      <c r="D439">
        <v>99</v>
      </c>
      <c r="E439">
        <v>77</v>
      </c>
      <c r="F439">
        <v>4908.8599999999997</v>
      </c>
      <c r="G439">
        <v>5.8778999999999998E-2</v>
      </c>
      <c r="H439">
        <v>26</v>
      </c>
      <c r="I439">
        <v>35</v>
      </c>
      <c r="J439">
        <v>10</v>
      </c>
      <c r="K439">
        <v>19</v>
      </c>
      <c r="L439">
        <v>1</v>
      </c>
      <c r="M439">
        <v>7</v>
      </c>
      <c r="N439">
        <v>7</v>
      </c>
      <c r="O439">
        <v>5</v>
      </c>
      <c r="P439" t="s">
        <v>85</v>
      </c>
    </row>
    <row r="440" spans="1:16" x14ac:dyDescent="0.3">
      <c r="A440">
        <v>92</v>
      </c>
      <c r="B440">
        <v>2024</v>
      </c>
      <c r="C440">
        <v>598</v>
      </c>
      <c r="D440">
        <v>29</v>
      </c>
      <c r="E440">
        <v>24</v>
      </c>
      <c r="F440">
        <v>2070.17</v>
      </c>
      <c r="G440">
        <v>4.0134000000000003E-2</v>
      </c>
      <c r="H440">
        <v>19</v>
      </c>
      <c r="I440">
        <v>19</v>
      </c>
      <c r="J440">
        <v>4</v>
      </c>
      <c r="K440">
        <v>7</v>
      </c>
      <c r="L440">
        <v>0</v>
      </c>
      <c r="M440">
        <v>1</v>
      </c>
      <c r="N440">
        <v>4</v>
      </c>
      <c r="O440">
        <v>1</v>
      </c>
      <c r="P440" t="s">
        <v>175</v>
      </c>
    </row>
    <row r="441" spans="1:16" x14ac:dyDescent="0.3">
      <c r="A441">
        <v>92</v>
      </c>
      <c r="B441">
        <v>2025</v>
      </c>
      <c r="C441">
        <v>80</v>
      </c>
      <c r="D441">
        <v>8</v>
      </c>
      <c r="E441">
        <v>7</v>
      </c>
      <c r="F441">
        <v>475.94</v>
      </c>
      <c r="G441">
        <v>8.7499999999999994E-2</v>
      </c>
      <c r="H441">
        <v>12</v>
      </c>
      <c r="I441">
        <v>12</v>
      </c>
      <c r="J441">
        <v>3</v>
      </c>
      <c r="K441">
        <v>5</v>
      </c>
      <c r="L441">
        <v>1</v>
      </c>
      <c r="M441">
        <v>4</v>
      </c>
      <c r="N441">
        <v>4</v>
      </c>
      <c r="O441">
        <v>1</v>
      </c>
      <c r="P441" t="s">
        <v>85</v>
      </c>
    </row>
    <row r="442" spans="1:16" x14ac:dyDescent="0.3">
      <c r="A442">
        <v>93</v>
      </c>
      <c r="B442">
        <v>2021</v>
      </c>
      <c r="C442">
        <v>935</v>
      </c>
      <c r="D442">
        <v>95</v>
      </c>
      <c r="E442">
        <v>74</v>
      </c>
      <c r="F442">
        <v>3842.36</v>
      </c>
      <c r="G442">
        <v>7.9144000000000006E-2</v>
      </c>
      <c r="H442">
        <v>19</v>
      </c>
      <c r="I442">
        <v>30</v>
      </c>
      <c r="J442">
        <v>16</v>
      </c>
      <c r="K442">
        <v>10</v>
      </c>
      <c r="L442">
        <v>1</v>
      </c>
      <c r="M442">
        <v>6</v>
      </c>
      <c r="N442">
        <v>5</v>
      </c>
      <c r="O442">
        <v>5</v>
      </c>
      <c r="P442" t="s">
        <v>85</v>
      </c>
    </row>
    <row r="443" spans="1:16" x14ac:dyDescent="0.3">
      <c r="A443">
        <v>93</v>
      </c>
      <c r="B443">
        <v>2022</v>
      </c>
      <c r="C443">
        <v>118</v>
      </c>
      <c r="D443">
        <v>11</v>
      </c>
      <c r="E443">
        <v>10</v>
      </c>
      <c r="F443">
        <v>560.27</v>
      </c>
      <c r="G443">
        <v>8.4746000000000002E-2</v>
      </c>
      <c r="H443">
        <v>13</v>
      </c>
      <c r="I443">
        <v>13</v>
      </c>
      <c r="J443">
        <v>5</v>
      </c>
      <c r="K443">
        <v>8</v>
      </c>
      <c r="L443">
        <v>1</v>
      </c>
      <c r="M443">
        <v>3</v>
      </c>
      <c r="N443">
        <v>4</v>
      </c>
      <c r="O443">
        <v>1</v>
      </c>
      <c r="P443" t="s">
        <v>85</v>
      </c>
    </row>
    <row r="444" spans="1:16" x14ac:dyDescent="0.3">
      <c r="A444">
        <v>93</v>
      </c>
      <c r="B444">
        <v>2023</v>
      </c>
      <c r="C444">
        <v>1353</v>
      </c>
      <c r="D444">
        <v>77</v>
      </c>
      <c r="E444">
        <v>67</v>
      </c>
      <c r="F444">
        <v>3495.82</v>
      </c>
      <c r="G444">
        <v>4.9520000000000002E-2</v>
      </c>
      <c r="H444">
        <v>19</v>
      </c>
      <c r="I444">
        <v>29</v>
      </c>
      <c r="J444">
        <v>10</v>
      </c>
      <c r="K444">
        <v>11</v>
      </c>
      <c r="L444">
        <v>0</v>
      </c>
      <c r="M444">
        <v>1</v>
      </c>
      <c r="N444">
        <v>5</v>
      </c>
      <c r="O444">
        <v>3</v>
      </c>
      <c r="P444" t="s">
        <v>175</v>
      </c>
    </row>
    <row r="445" spans="1:16" x14ac:dyDescent="0.3">
      <c r="A445">
        <v>93</v>
      </c>
      <c r="B445">
        <v>2024</v>
      </c>
      <c r="C445">
        <v>666</v>
      </c>
      <c r="D445">
        <v>67</v>
      </c>
      <c r="E445">
        <v>54</v>
      </c>
      <c r="F445">
        <v>3361.17</v>
      </c>
      <c r="G445">
        <v>8.1081E-2</v>
      </c>
      <c r="H445">
        <v>18</v>
      </c>
      <c r="I445">
        <v>19</v>
      </c>
      <c r="J445">
        <v>11</v>
      </c>
      <c r="K445">
        <v>13</v>
      </c>
      <c r="L445">
        <v>1</v>
      </c>
      <c r="M445">
        <v>6</v>
      </c>
      <c r="N445">
        <v>7</v>
      </c>
      <c r="O445">
        <v>4</v>
      </c>
      <c r="P445" t="s">
        <v>85</v>
      </c>
    </row>
    <row r="446" spans="1:16" x14ac:dyDescent="0.3">
      <c r="A446">
        <v>93</v>
      </c>
      <c r="B446">
        <v>2025</v>
      </c>
      <c r="C446">
        <v>344</v>
      </c>
      <c r="D446">
        <v>24</v>
      </c>
      <c r="E446">
        <v>22</v>
      </c>
      <c r="F446">
        <v>975.5</v>
      </c>
      <c r="G446">
        <v>6.3952999999999996E-2</v>
      </c>
      <c r="H446">
        <v>16</v>
      </c>
      <c r="I446">
        <v>18</v>
      </c>
      <c r="J446">
        <v>6</v>
      </c>
      <c r="K446">
        <v>6</v>
      </c>
      <c r="L446">
        <v>1</v>
      </c>
      <c r="M446">
        <v>4</v>
      </c>
      <c r="N446">
        <v>3</v>
      </c>
      <c r="O446">
        <v>2</v>
      </c>
      <c r="P446" t="s">
        <v>85</v>
      </c>
    </row>
    <row r="447" spans="1:16" x14ac:dyDescent="0.3">
      <c r="A447">
        <v>94</v>
      </c>
      <c r="B447">
        <v>2021</v>
      </c>
      <c r="C447">
        <v>369</v>
      </c>
      <c r="D447">
        <v>32</v>
      </c>
      <c r="E447">
        <v>27</v>
      </c>
      <c r="F447">
        <v>1591.93</v>
      </c>
      <c r="G447">
        <v>7.3171E-2</v>
      </c>
      <c r="H447">
        <v>23</v>
      </c>
      <c r="I447">
        <v>23</v>
      </c>
      <c r="J447">
        <v>8</v>
      </c>
      <c r="K447">
        <v>11</v>
      </c>
      <c r="L447">
        <v>0</v>
      </c>
      <c r="M447">
        <v>3</v>
      </c>
      <c r="N447">
        <v>4</v>
      </c>
      <c r="O447">
        <v>2</v>
      </c>
      <c r="P447" t="s">
        <v>68</v>
      </c>
    </row>
    <row r="448" spans="1:16" x14ac:dyDescent="0.3">
      <c r="A448">
        <v>94</v>
      </c>
      <c r="B448">
        <v>2022</v>
      </c>
      <c r="C448">
        <v>622</v>
      </c>
      <c r="D448">
        <v>56</v>
      </c>
      <c r="E448">
        <v>42</v>
      </c>
      <c r="F448">
        <v>1704.09</v>
      </c>
      <c r="G448">
        <v>6.7524000000000001E-2</v>
      </c>
      <c r="H448">
        <v>16</v>
      </c>
      <c r="I448">
        <v>24</v>
      </c>
      <c r="J448">
        <v>10</v>
      </c>
      <c r="K448">
        <v>8</v>
      </c>
      <c r="L448">
        <v>1</v>
      </c>
      <c r="M448">
        <v>5</v>
      </c>
      <c r="N448">
        <v>5</v>
      </c>
      <c r="O448">
        <v>3</v>
      </c>
      <c r="P448" t="s">
        <v>85</v>
      </c>
    </row>
    <row r="449" spans="1:16" x14ac:dyDescent="0.3">
      <c r="A449">
        <v>94</v>
      </c>
      <c r="B449">
        <v>2023</v>
      </c>
      <c r="C449">
        <v>531</v>
      </c>
      <c r="D449">
        <v>22</v>
      </c>
      <c r="E449">
        <v>17</v>
      </c>
      <c r="F449">
        <v>729.53</v>
      </c>
      <c r="G449">
        <v>3.2015000000000002E-2</v>
      </c>
      <c r="H449">
        <v>8</v>
      </c>
      <c r="I449">
        <v>18</v>
      </c>
      <c r="J449">
        <v>4</v>
      </c>
      <c r="K449">
        <v>3</v>
      </c>
      <c r="L449">
        <v>0</v>
      </c>
      <c r="M449">
        <v>1</v>
      </c>
      <c r="N449">
        <v>2</v>
      </c>
      <c r="O449">
        <v>1</v>
      </c>
      <c r="P449" t="s">
        <v>68</v>
      </c>
    </row>
    <row r="450" spans="1:16" x14ac:dyDescent="0.3">
      <c r="A450">
        <v>94</v>
      </c>
      <c r="B450">
        <v>2024</v>
      </c>
      <c r="C450">
        <v>294</v>
      </c>
      <c r="D450">
        <v>23</v>
      </c>
      <c r="E450">
        <v>21</v>
      </c>
      <c r="F450">
        <v>2284.83</v>
      </c>
      <c r="G450">
        <v>7.1429000000000006E-2</v>
      </c>
      <c r="H450">
        <v>12</v>
      </c>
      <c r="I450">
        <v>16</v>
      </c>
      <c r="J450">
        <v>6</v>
      </c>
      <c r="K450">
        <v>5</v>
      </c>
      <c r="L450">
        <v>1</v>
      </c>
      <c r="M450">
        <v>5</v>
      </c>
      <c r="N450">
        <v>5</v>
      </c>
      <c r="O450">
        <v>1</v>
      </c>
      <c r="P450" t="s">
        <v>85</v>
      </c>
    </row>
    <row r="451" spans="1:16" x14ac:dyDescent="0.3">
      <c r="A451">
        <v>94</v>
      </c>
      <c r="B451">
        <v>2025</v>
      </c>
      <c r="C451">
        <v>701</v>
      </c>
      <c r="D451">
        <v>29</v>
      </c>
      <c r="E451">
        <v>25</v>
      </c>
      <c r="F451">
        <v>1239.08</v>
      </c>
      <c r="G451">
        <v>3.5663E-2</v>
      </c>
      <c r="H451">
        <v>3</v>
      </c>
      <c r="I451">
        <v>19</v>
      </c>
      <c r="J451">
        <v>6</v>
      </c>
      <c r="K451">
        <v>2</v>
      </c>
      <c r="L451">
        <v>0</v>
      </c>
      <c r="M451">
        <v>0</v>
      </c>
      <c r="N451">
        <v>1</v>
      </c>
      <c r="O451">
        <v>2</v>
      </c>
      <c r="P451" t="s">
        <v>176</v>
      </c>
    </row>
    <row r="452" spans="1:16" x14ac:dyDescent="0.3">
      <c r="A452">
        <v>95</v>
      </c>
      <c r="B452">
        <v>2021</v>
      </c>
      <c r="C452">
        <v>710</v>
      </c>
      <c r="D452">
        <v>67</v>
      </c>
      <c r="E452">
        <v>62</v>
      </c>
      <c r="F452">
        <v>5433.42</v>
      </c>
      <c r="G452">
        <v>8.7323999999999999E-2</v>
      </c>
      <c r="H452">
        <v>25</v>
      </c>
      <c r="I452">
        <v>28</v>
      </c>
      <c r="J452">
        <v>9</v>
      </c>
      <c r="K452">
        <v>9</v>
      </c>
      <c r="L452">
        <v>1</v>
      </c>
      <c r="M452">
        <v>6</v>
      </c>
      <c r="N452">
        <v>5</v>
      </c>
      <c r="O452">
        <v>4</v>
      </c>
      <c r="P452" t="s">
        <v>85</v>
      </c>
    </row>
    <row r="453" spans="1:16" x14ac:dyDescent="0.3">
      <c r="A453">
        <v>95</v>
      </c>
      <c r="B453">
        <v>2022</v>
      </c>
      <c r="C453">
        <v>1091</v>
      </c>
      <c r="D453">
        <v>46</v>
      </c>
      <c r="E453">
        <v>43</v>
      </c>
      <c r="F453">
        <v>1753.3</v>
      </c>
      <c r="G453">
        <v>3.9412999999999997E-2</v>
      </c>
      <c r="H453">
        <v>11</v>
      </c>
      <c r="I453">
        <v>26</v>
      </c>
      <c r="J453">
        <v>8</v>
      </c>
      <c r="K453">
        <v>3</v>
      </c>
      <c r="L453">
        <v>0</v>
      </c>
      <c r="M453">
        <v>0</v>
      </c>
      <c r="N453">
        <v>1</v>
      </c>
      <c r="O453">
        <v>1</v>
      </c>
      <c r="P453" t="s">
        <v>175</v>
      </c>
    </row>
    <row r="454" spans="1:16" x14ac:dyDescent="0.3">
      <c r="A454">
        <v>95</v>
      </c>
      <c r="B454">
        <v>2023</v>
      </c>
      <c r="C454">
        <v>676</v>
      </c>
      <c r="D454">
        <v>37</v>
      </c>
      <c r="E454">
        <v>33</v>
      </c>
      <c r="F454">
        <v>2982.38</v>
      </c>
      <c r="G454">
        <v>4.8816999999999999E-2</v>
      </c>
      <c r="H454">
        <v>13</v>
      </c>
      <c r="I454">
        <v>16</v>
      </c>
      <c r="J454">
        <v>4</v>
      </c>
      <c r="K454">
        <v>7</v>
      </c>
      <c r="L454">
        <v>0</v>
      </c>
      <c r="M454">
        <v>2</v>
      </c>
      <c r="N454">
        <v>2</v>
      </c>
      <c r="O454">
        <v>2</v>
      </c>
      <c r="P454" t="s">
        <v>68</v>
      </c>
    </row>
    <row r="455" spans="1:16" x14ac:dyDescent="0.3">
      <c r="A455">
        <v>95</v>
      </c>
      <c r="B455">
        <v>2024</v>
      </c>
      <c r="C455">
        <v>455</v>
      </c>
      <c r="D455">
        <v>37</v>
      </c>
      <c r="E455">
        <v>33</v>
      </c>
      <c r="F455">
        <v>2124.9499999999998</v>
      </c>
      <c r="G455">
        <v>7.2526999999999994E-2</v>
      </c>
      <c r="H455">
        <v>19</v>
      </c>
      <c r="I455">
        <v>19</v>
      </c>
      <c r="J455">
        <v>7</v>
      </c>
      <c r="K455">
        <v>8</v>
      </c>
      <c r="L455">
        <v>1</v>
      </c>
      <c r="M455">
        <v>4</v>
      </c>
      <c r="N455">
        <v>4</v>
      </c>
      <c r="O455">
        <v>2</v>
      </c>
      <c r="P455" t="s">
        <v>85</v>
      </c>
    </row>
    <row r="456" spans="1:16" x14ac:dyDescent="0.3">
      <c r="A456">
        <v>95</v>
      </c>
      <c r="B456">
        <v>2025</v>
      </c>
      <c r="C456">
        <v>483</v>
      </c>
      <c r="D456">
        <v>40</v>
      </c>
      <c r="E456">
        <v>34</v>
      </c>
      <c r="F456">
        <v>3461.37</v>
      </c>
      <c r="G456">
        <v>7.0392999999999997E-2</v>
      </c>
      <c r="H456">
        <v>18</v>
      </c>
      <c r="I456">
        <v>22</v>
      </c>
      <c r="J456">
        <v>5</v>
      </c>
      <c r="K456">
        <v>10</v>
      </c>
      <c r="L456">
        <v>1</v>
      </c>
      <c r="M456">
        <v>6</v>
      </c>
      <c r="N456">
        <v>7</v>
      </c>
      <c r="O456">
        <v>3</v>
      </c>
      <c r="P456" t="s">
        <v>85</v>
      </c>
    </row>
    <row r="457" spans="1:16" x14ac:dyDescent="0.3">
      <c r="A457">
        <v>96</v>
      </c>
      <c r="B457">
        <v>2021</v>
      </c>
      <c r="C457">
        <v>588</v>
      </c>
      <c r="D457">
        <v>21</v>
      </c>
      <c r="E457">
        <v>20</v>
      </c>
      <c r="F457">
        <v>1045.73</v>
      </c>
      <c r="G457">
        <v>3.4014000000000003E-2</v>
      </c>
      <c r="H457">
        <v>12</v>
      </c>
      <c r="I457">
        <v>12</v>
      </c>
      <c r="J457">
        <v>5</v>
      </c>
      <c r="K457">
        <v>7</v>
      </c>
      <c r="L457">
        <v>1</v>
      </c>
      <c r="M457">
        <v>2</v>
      </c>
      <c r="N457">
        <v>3</v>
      </c>
      <c r="O457">
        <v>1</v>
      </c>
      <c r="P457" t="s">
        <v>85</v>
      </c>
    </row>
    <row r="458" spans="1:16" x14ac:dyDescent="0.3">
      <c r="A458">
        <v>96</v>
      </c>
      <c r="B458">
        <v>2022</v>
      </c>
      <c r="C458">
        <v>409</v>
      </c>
      <c r="D458">
        <v>17</v>
      </c>
      <c r="E458">
        <v>13</v>
      </c>
      <c r="F458">
        <v>1242.78</v>
      </c>
      <c r="G458">
        <v>3.1785000000000001E-2</v>
      </c>
      <c r="H458">
        <v>7</v>
      </c>
      <c r="I458">
        <v>16</v>
      </c>
      <c r="J458">
        <v>3</v>
      </c>
      <c r="K458">
        <v>4</v>
      </c>
      <c r="L458">
        <v>1</v>
      </c>
      <c r="M458">
        <v>3</v>
      </c>
      <c r="N458">
        <v>3</v>
      </c>
      <c r="O458">
        <v>2</v>
      </c>
      <c r="P458" t="s">
        <v>68</v>
      </c>
    </row>
    <row r="459" spans="1:16" x14ac:dyDescent="0.3">
      <c r="A459">
        <v>96</v>
      </c>
      <c r="B459">
        <v>2023</v>
      </c>
      <c r="C459">
        <v>1070</v>
      </c>
      <c r="D459">
        <v>88</v>
      </c>
      <c r="E459">
        <v>76</v>
      </c>
      <c r="F459">
        <v>8557.0400000000009</v>
      </c>
      <c r="G459">
        <v>7.1027999999999994E-2</v>
      </c>
      <c r="H459">
        <v>18</v>
      </c>
      <c r="I459">
        <v>31</v>
      </c>
      <c r="J459">
        <v>19</v>
      </c>
      <c r="K459">
        <v>7</v>
      </c>
      <c r="L459">
        <v>1</v>
      </c>
      <c r="M459">
        <v>4</v>
      </c>
      <c r="N459">
        <v>5</v>
      </c>
      <c r="O459">
        <v>5</v>
      </c>
      <c r="P459" t="s">
        <v>85</v>
      </c>
    </row>
    <row r="460" spans="1:16" x14ac:dyDescent="0.3">
      <c r="A460">
        <v>96</v>
      </c>
      <c r="B460">
        <v>2024</v>
      </c>
      <c r="C460">
        <v>810</v>
      </c>
      <c r="D460">
        <v>64</v>
      </c>
      <c r="E460">
        <v>54</v>
      </c>
      <c r="F460">
        <v>4156.21</v>
      </c>
      <c r="G460">
        <v>6.6667000000000004E-2</v>
      </c>
      <c r="H460">
        <v>16</v>
      </c>
      <c r="I460">
        <v>29</v>
      </c>
      <c r="J460">
        <v>9</v>
      </c>
      <c r="K460">
        <v>7</v>
      </c>
      <c r="L460">
        <v>1</v>
      </c>
      <c r="M460">
        <v>4</v>
      </c>
      <c r="N460">
        <v>5</v>
      </c>
      <c r="O460">
        <v>3</v>
      </c>
      <c r="P460" t="s">
        <v>85</v>
      </c>
    </row>
    <row r="461" spans="1:16" x14ac:dyDescent="0.3">
      <c r="A461">
        <v>96</v>
      </c>
      <c r="B461">
        <v>2025</v>
      </c>
      <c r="C461">
        <v>1208</v>
      </c>
      <c r="D461">
        <v>117</v>
      </c>
      <c r="E461">
        <v>110</v>
      </c>
      <c r="F461">
        <v>4656.3100000000004</v>
      </c>
      <c r="G461">
        <v>9.1060000000000002E-2</v>
      </c>
      <c r="H461">
        <v>19</v>
      </c>
      <c r="I461">
        <v>41</v>
      </c>
      <c r="J461">
        <v>24</v>
      </c>
      <c r="K461">
        <v>11</v>
      </c>
      <c r="L461">
        <v>1</v>
      </c>
      <c r="M461">
        <v>4</v>
      </c>
      <c r="N461">
        <v>8</v>
      </c>
      <c r="O461">
        <v>8</v>
      </c>
      <c r="P461" t="s">
        <v>85</v>
      </c>
    </row>
    <row r="462" spans="1:16" x14ac:dyDescent="0.3">
      <c r="A462">
        <v>97</v>
      </c>
      <c r="B462">
        <v>2021</v>
      </c>
      <c r="C462">
        <v>1188</v>
      </c>
      <c r="D462">
        <v>115</v>
      </c>
      <c r="E462">
        <v>93</v>
      </c>
      <c r="F462">
        <v>3844.36</v>
      </c>
      <c r="G462">
        <v>7.8283000000000005E-2</v>
      </c>
      <c r="H462">
        <v>35</v>
      </c>
      <c r="I462">
        <v>37</v>
      </c>
      <c r="J462">
        <v>19</v>
      </c>
      <c r="K462">
        <v>14</v>
      </c>
      <c r="L462">
        <v>1</v>
      </c>
      <c r="M462">
        <v>8</v>
      </c>
      <c r="N462">
        <v>6</v>
      </c>
      <c r="O462">
        <v>3</v>
      </c>
      <c r="P462" t="s">
        <v>85</v>
      </c>
    </row>
    <row r="463" spans="1:16" x14ac:dyDescent="0.3">
      <c r="A463">
        <v>97</v>
      </c>
      <c r="B463">
        <v>2022</v>
      </c>
      <c r="C463">
        <v>337</v>
      </c>
      <c r="D463">
        <v>27</v>
      </c>
      <c r="E463">
        <v>24</v>
      </c>
      <c r="F463">
        <v>2271.9699999999998</v>
      </c>
      <c r="G463">
        <v>7.1217000000000003E-2</v>
      </c>
      <c r="H463">
        <v>15</v>
      </c>
      <c r="I463">
        <v>15</v>
      </c>
      <c r="J463">
        <v>5</v>
      </c>
      <c r="K463">
        <v>5</v>
      </c>
      <c r="L463">
        <v>1</v>
      </c>
      <c r="M463">
        <v>5</v>
      </c>
      <c r="N463">
        <v>5</v>
      </c>
      <c r="O463">
        <v>2</v>
      </c>
      <c r="P463" t="s">
        <v>85</v>
      </c>
    </row>
    <row r="464" spans="1:16" x14ac:dyDescent="0.3">
      <c r="A464">
        <v>97</v>
      </c>
      <c r="B464">
        <v>2023</v>
      </c>
      <c r="C464">
        <v>170</v>
      </c>
      <c r="D464">
        <v>15</v>
      </c>
      <c r="E464">
        <v>14</v>
      </c>
      <c r="F464">
        <v>1114.6400000000001</v>
      </c>
      <c r="G464">
        <v>8.2352999999999996E-2</v>
      </c>
      <c r="H464">
        <v>16</v>
      </c>
      <c r="I464">
        <v>16</v>
      </c>
      <c r="J464">
        <v>4</v>
      </c>
      <c r="K464">
        <v>7</v>
      </c>
      <c r="L464">
        <v>1</v>
      </c>
      <c r="M464">
        <v>6</v>
      </c>
      <c r="N464">
        <v>6</v>
      </c>
      <c r="O464">
        <v>2</v>
      </c>
      <c r="P464" t="s">
        <v>85</v>
      </c>
    </row>
    <row r="465" spans="1:16" x14ac:dyDescent="0.3">
      <c r="A465">
        <v>97</v>
      </c>
      <c r="B465">
        <v>2024</v>
      </c>
      <c r="C465">
        <v>1033</v>
      </c>
      <c r="D465">
        <v>101</v>
      </c>
      <c r="E465">
        <v>86</v>
      </c>
      <c r="F465">
        <v>8953.68</v>
      </c>
      <c r="G465">
        <v>8.3252999999999994E-2</v>
      </c>
      <c r="H465">
        <v>31</v>
      </c>
      <c r="I465">
        <v>34</v>
      </c>
      <c r="J465">
        <v>13</v>
      </c>
      <c r="K465">
        <v>13</v>
      </c>
      <c r="L465">
        <v>0</v>
      </c>
      <c r="M465">
        <v>2</v>
      </c>
      <c r="N465">
        <v>5</v>
      </c>
      <c r="O465">
        <v>2</v>
      </c>
      <c r="P465" t="s">
        <v>85</v>
      </c>
    </row>
    <row r="466" spans="1:16" x14ac:dyDescent="0.3">
      <c r="A466">
        <v>97</v>
      </c>
      <c r="B466">
        <v>2025</v>
      </c>
      <c r="C466">
        <v>713</v>
      </c>
      <c r="D466">
        <v>66</v>
      </c>
      <c r="E466">
        <v>56</v>
      </c>
      <c r="F466">
        <v>2556.59</v>
      </c>
      <c r="G466">
        <v>7.8541E-2</v>
      </c>
      <c r="H466">
        <v>19</v>
      </c>
      <c r="I466">
        <v>29</v>
      </c>
      <c r="J466">
        <v>9</v>
      </c>
      <c r="K466">
        <v>8</v>
      </c>
      <c r="L466">
        <v>1</v>
      </c>
      <c r="M466">
        <v>4</v>
      </c>
      <c r="N466">
        <v>6</v>
      </c>
      <c r="O466">
        <v>4</v>
      </c>
      <c r="P466" t="s">
        <v>85</v>
      </c>
    </row>
    <row r="467" spans="1:16" x14ac:dyDescent="0.3">
      <c r="A467">
        <v>98</v>
      </c>
      <c r="B467">
        <v>2021</v>
      </c>
      <c r="C467">
        <v>1355</v>
      </c>
      <c r="D467">
        <v>53</v>
      </c>
      <c r="E467">
        <v>43</v>
      </c>
      <c r="F467">
        <v>2073.5500000000002</v>
      </c>
      <c r="G467">
        <v>3.1733999999999998E-2</v>
      </c>
      <c r="H467">
        <v>14</v>
      </c>
      <c r="I467">
        <v>25</v>
      </c>
      <c r="J467">
        <v>9</v>
      </c>
      <c r="K467">
        <v>9</v>
      </c>
      <c r="L467">
        <v>0</v>
      </c>
      <c r="M467">
        <v>3</v>
      </c>
      <c r="N467">
        <v>4</v>
      </c>
      <c r="O467">
        <v>3</v>
      </c>
      <c r="P467" t="s">
        <v>175</v>
      </c>
    </row>
    <row r="468" spans="1:16" x14ac:dyDescent="0.3">
      <c r="A468">
        <v>98</v>
      </c>
      <c r="B468">
        <v>2022</v>
      </c>
      <c r="C468">
        <v>323</v>
      </c>
      <c r="D468">
        <v>12</v>
      </c>
      <c r="E468">
        <v>11</v>
      </c>
      <c r="F468">
        <v>488.52</v>
      </c>
      <c r="G468">
        <v>3.4056000000000003E-2</v>
      </c>
      <c r="H468">
        <v>6</v>
      </c>
      <c r="I468">
        <v>9</v>
      </c>
      <c r="J468">
        <v>3</v>
      </c>
      <c r="K468">
        <v>2</v>
      </c>
      <c r="L468">
        <v>0</v>
      </c>
      <c r="M468">
        <v>1</v>
      </c>
      <c r="N468">
        <v>1</v>
      </c>
      <c r="O468">
        <v>1</v>
      </c>
      <c r="P468" t="s">
        <v>176</v>
      </c>
    </row>
    <row r="469" spans="1:16" x14ac:dyDescent="0.3">
      <c r="A469">
        <v>98</v>
      </c>
      <c r="B469">
        <v>2023</v>
      </c>
      <c r="C469">
        <v>457</v>
      </c>
      <c r="D469">
        <v>41</v>
      </c>
      <c r="E469">
        <v>33</v>
      </c>
      <c r="F469">
        <v>3184.11</v>
      </c>
      <c r="G469">
        <v>7.2209999999999996E-2</v>
      </c>
      <c r="H469">
        <v>17</v>
      </c>
      <c r="I469">
        <v>17</v>
      </c>
      <c r="J469">
        <v>9</v>
      </c>
      <c r="K469">
        <v>8</v>
      </c>
      <c r="L469">
        <v>1</v>
      </c>
      <c r="M469">
        <v>5</v>
      </c>
      <c r="N469">
        <v>3</v>
      </c>
      <c r="O469">
        <v>1</v>
      </c>
      <c r="P469" t="s">
        <v>85</v>
      </c>
    </row>
    <row r="470" spans="1:16" x14ac:dyDescent="0.3">
      <c r="A470">
        <v>98</v>
      </c>
      <c r="B470">
        <v>2024</v>
      </c>
      <c r="C470">
        <v>1511</v>
      </c>
      <c r="D470">
        <v>141</v>
      </c>
      <c r="E470">
        <v>131</v>
      </c>
      <c r="F470">
        <v>10953.71</v>
      </c>
      <c r="G470">
        <v>8.6697999999999997E-2</v>
      </c>
      <c r="H470">
        <v>37</v>
      </c>
      <c r="I470">
        <v>53</v>
      </c>
      <c r="J470">
        <v>15</v>
      </c>
      <c r="K470">
        <v>9</v>
      </c>
      <c r="L470">
        <v>1</v>
      </c>
      <c r="M470">
        <v>5</v>
      </c>
      <c r="N470">
        <v>5</v>
      </c>
      <c r="O470">
        <v>6</v>
      </c>
      <c r="P470" t="s">
        <v>85</v>
      </c>
    </row>
    <row r="471" spans="1:16" x14ac:dyDescent="0.3">
      <c r="A471">
        <v>98</v>
      </c>
      <c r="B471">
        <v>2025</v>
      </c>
      <c r="C471">
        <v>1588</v>
      </c>
      <c r="D471">
        <v>63</v>
      </c>
      <c r="E471">
        <v>59</v>
      </c>
      <c r="F471">
        <v>4434.46</v>
      </c>
      <c r="G471">
        <v>3.7154E-2</v>
      </c>
      <c r="H471">
        <v>9</v>
      </c>
      <c r="I471">
        <v>27</v>
      </c>
      <c r="J471">
        <v>10</v>
      </c>
      <c r="K471">
        <v>4</v>
      </c>
      <c r="L471">
        <v>0</v>
      </c>
      <c r="M471">
        <v>1</v>
      </c>
      <c r="N471">
        <v>2</v>
      </c>
      <c r="O471">
        <v>4</v>
      </c>
      <c r="P471" t="s">
        <v>175</v>
      </c>
    </row>
    <row r="472" spans="1:16" x14ac:dyDescent="0.3">
      <c r="A472">
        <v>99</v>
      </c>
      <c r="B472">
        <v>2021</v>
      </c>
      <c r="C472">
        <v>426</v>
      </c>
      <c r="D472">
        <v>20</v>
      </c>
      <c r="E472">
        <v>16</v>
      </c>
      <c r="F472">
        <v>1488.41</v>
      </c>
      <c r="G472">
        <v>3.7559000000000002E-2</v>
      </c>
      <c r="H472">
        <v>6</v>
      </c>
      <c r="I472">
        <v>13</v>
      </c>
      <c r="J472">
        <v>4</v>
      </c>
      <c r="K472">
        <v>3</v>
      </c>
      <c r="L472">
        <v>0</v>
      </c>
      <c r="M472">
        <v>1</v>
      </c>
      <c r="N472">
        <v>1</v>
      </c>
      <c r="O472">
        <v>1</v>
      </c>
      <c r="P472" t="s">
        <v>175</v>
      </c>
    </row>
    <row r="473" spans="1:16" x14ac:dyDescent="0.3">
      <c r="A473">
        <v>99</v>
      </c>
      <c r="B473">
        <v>2022</v>
      </c>
      <c r="C473">
        <v>428</v>
      </c>
      <c r="D473">
        <v>29</v>
      </c>
      <c r="E473">
        <v>24</v>
      </c>
      <c r="F473">
        <v>2014.68</v>
      </c>
      <c r="G473">
        <v>5.6075E-2</v>
      </c>
      <c r="H473">
        <v>11</v>
      </c>
      <c r="I473">
        <v>15</v>
      </c>
      <c r="J473">
        <v>4</v>
      </c>
      <c r="K473">
        <v>4</v>
      </c>
      <c r="L473">
        <v>0</v>
      </c>
      <c r="M473">
        <v>2</v>
      </c>
      <c r="N473">
        <v>4</v>
      </c>
      <c r="O473">
        <v>2</v>
      </c>
      <c r="P473" t="s">
        <v>85</v>
      </c>
    </row>
    <row r="474" spans="1:16" x14ac:dyDescent="0.3">
      <c r="A474">
        <v>99</v>
      </c>
      <c r="B474">
        <v>2023</v>
      </c>
      <c r="C474">
        <v>174</v>
      </c>
      <c r="D474">
        <v>13</v>
      </c>
      <c r="E474">
        <v>9</v>
      </c>
      <c r="F474">
        <v>421.1</v>
      </c>
      <c r="G474">
        <v>5.1723999999999999E-2</v>
      </c>
      <c r="H474">
        <v>11</v>
      </c>
      <c r="I474">
        <v>11</v>
      </c>
      <c r="J474">
        <v>3</v>
      </c>
      <c r="K474">
        <v>6</v>
      </c>
      <c r="L474">
        <v>1</v>
      </c>
      <c r="M474">
        <v>6</v>
      </c>
      <c r="N474">
        <v>4</v>
      </c>
      <c r="O474">
        <v>2</v>
      </c>
      <c r="P474" t="s">
        <v>85</v>
      </c>
    </row>
    <row r="475" spans="1:16" x14ac:dyDescent="0.3">
      <c r="A475">
        <v>99</v>
      </c>
      <c r="B475">
        <v>2024</v>
      </c>
      <c r="C475">
        <v>1653</v>
      </c>
      <c r="D475">
        <v>175</v>
      </c>
      <c r="E475">
        <v>153</v>
      </c>
      <c r="F475">
        <v>7777.68</v>
      </c>
      <c r="G475">
        <v>9.2559000000000002E-2</v>
      </c>
      <c r="H475">
        <v>29</v>
      </c>
      <c r="I475">
        <v>58</v>
      </c>
      <c r="J475">
        <v>22</v>
      </c>
      <c r="K475">
        <v>22</v>
      </c>
      <c r="L475">
        <v>0</v>
      </c>
      <c r="M475">
        <v>6</v>
      </c>
      <c r="N475">
        <v>10</v>
      </c>
      <c r="O475">
        <v>11</v>
      </c>
      <c r="P475" t="s">
        <v>85</v>
      </c>
    </row>
    <row r="476" spans="1:16" x14ac:dyDescent="0.3">
      <c r="A476">
        <v>99</v>
      </c>
      <c r="B476">
        <v>2025</v>
      </c>
      <c r="C476">
        <v>315</v>
      </c>
      <c r="D476">
        <v>19</v>
      </c>
      <c r="E476">
        <v>16</v>
      </c>
      <c r="F476">
        <v>1081.24</v>
      </c>
      <c r="G476">
        <v>5.0793999999999999E-2</v>
      </c>
      <c r="H476">
        <v>11</v>
      </c>
      <c r="I476">
        <v>11</v>
      </c>
      <c r="J476">
        <v>4</v>
      </c>
      <c r="K476">
        <v>4</v>
      </c>
      <c r="L476">
        <v>0</v>
      </c>
      <c r="M476">
        <v>1</v>
      </c>
      <c r="N476">
        <v>4</v>
      </c>
      <c r="O476">
        <v>1</v>
      </c>
      <c r="P476" t="s">
        <v>85</v>
      </c>
    </row>
    <row r="477" spans="1:16" x14ac:dyDescent="0.3">
      <c r="A477">
        <v>100</v>
      </c>
      <c r="B477">
        <v>2021</v>
      </c>
      <c r="C477">
        <v>209</v>
      </c>
      <c r="D477">
        <v>10</v>
      </c>
      <c r="E477">
        <v>9</v>
      </c>
      <c r="F477">
        <v>726.14</v>
      </c>
      <c r="G477">
        <v>4.3062000000000003E-2</v>
      </c>
      <c r="H477">
        <v>6</v>
      </c>
      <c r="I477">
        <v>6</v>
      </c>
      <c r="J477">
        <v>2</v>
      </c>
      <c r="K477">
        <v>3</v>
      </c>
      <c r="L477">
        <v>0</v>
      </c>
      <c r="M477">
        <v>0</v>
      </c>
      <c r="N477">
        <v>1</v>
      </c>
      <c r="O477">
        <v>0</v>
      </c>
      <c r="P477" t="s">
        <v>175</v>
      </c>
    </row>
    <row r="478" spans="1:16" x14ac:dyDescent="0.3">
      <c r="A478">
        <v>100</v>
      </c>
      <c r="B478">
        <v>2022</v>
      </c>
      <c r="C478">
        <v>1046</v>
      </c>
      <c r="D478">
        <v>93</v>
      </c>
      <c r="E478">
        <v>69</v>
      </c>
      <c r="F478">
        <v>3599.75</v>
      </c>
      <c r="G478">
        <v>6.5965999999999997E-2</v>
      </c>
      <c r="H478">
        <v>26</v>
      </c>
      <c r="I478">
        <v>30</v>
      </c>
      <c r="J478">
        <v>13</v>
      </c>
      <c r="K478">
        <v>7</v>
      </c>
      <c r="L478">
        <v>1</v>
      </c>
      <c r="M478">
        <v>5</v>
      </c>
      <c r="N478">
        <v>6</v>
      </c>
      <c r="O478">
        <v>5</v>
      </c>
      <c r="P478" t="s">
        <v>85</v>
      </c>
    </row>
    <row r="479" spans="1:16" x14ac:dyDescent="0.3">
      <c r="A479">
        <v>100</v>
      </c>
      <c r="B479">
        <v>2023</v>
      </c>
      <c r="C479">
        <v>1110</v>
      </c>
      <c r="D479">
        <v>72</v>
      </c>
      <c r="E479">
        <v>64</v>
      </c>
      <c r="F479">
        <v>5043.08</v>
      </c>
      <c r="G479">
        <v>5.7658000000000001E-2</v>
      </c>
      <c r="H479">
        <v>20</v>
      </c>
      <c r="I479">
        <v>26</v>
      </c>
      <c r="J479">
        <v>10</v>
      </c>
      <c r="K479">
        <v>10</v>
      </c>
      <c r="L479">
        <v>0</v>
      </c>
      <c r="M479">
        <v>3</v>
      </c>
      <c r="N479">
        <v>4</v>
      </c>
      <c r="O479">
        <v>4</v>
      </c>
      <c r="P479" t="s">
        <v>175</v>
      </c>
    </row>
    <row r="480" spans="1:16" x14ac:dyDescent="0.3">
      <c r="A480">
        <v>100</v>
      </c>
      <c r="B480">
        <v>2025</v>
      </c>
      <c r="C480">
        <v>1277</v>
      </c>
      <c r="D480">
        <v>141</v>
      </c>
      <c r="E480">
        <v>116</v>
      </c>
      <c r="F480">
        <v>7559.22</v>
      </c>
      <c r="G480">
        <v>9.0838000000000002E-2</v>
      </c>
      <c r="H480">
        <v>36</v>
      </c>
      <c r="I480">
        <v>50</v>
      </c>
      <c r="J480">
        <v>26</v>
      </c>
      <c r="K480">
        <v>21</v>
      </c>
      <c r="L480">
        <v>0</v>
      </c>
      <c r="M480">
        <v>3</v>
      </c>
      <c r="N480">
        <v>9</v>
      </c>
      <c r="O480">
        <v>8</v>
      </c>
      <c r="P480" t="s">
        <v>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DD82F-7141-48EE-B116-3EE942D8E097}">
  <dimension ref="A1:L101"/>
  <sheetViews>
    <sheetView topLeftCell="B1" workbookViewId="0">
      <selection sqref="A1:L101"/>
    </sheetView>
  </sheetViews>
  <sheetFormatPr defaultRowHeight="14.4" x14ac:dyDescent="0.3"/>
  <cols>
    <col min="1" max="1" width="10.5546875" bestFit="1" customWidth="1"/>
    <col min="2" max="2" width="18.21875" bestFit="1" customWidth="1"/>
    <col min="3" max="3" width="12.88671875" bestFit="1" customWidth="1"/>
    <col min="4" max="4" width="18.44140625" bestFit="1" customWidth="1"/>
    <col min="5" max="5" width="12.88671875" bestFit="1" customWidth="1"/>
    <col min="6" max="6" width="10" bestFit="1" customWidth="1"/>
    <col min="7" max="7" width="18.21875" bestFit="1" customWidth="1"/>
    <col min="8" max="8" width="18" bestFit="1" customWidth="1"/>
    <col min="9" max="9" width="14.5546875" bestFit="1" customWidth="1"/>
    <col min="10" max="10" width="12.6640625" bestFit="1" customWidth="1"/>
    <col min="11" max="11" width="27.33203125" bestFit="1" customWidth="1"/>
    <col min="12" max="12" width="16.5546875" bestFit="1" customWidth="1"/>
  </cols>
  <sheetData>
    <row r="1" spans="1:12" x14ac:dyDescent="0.3">
      <c r="A1" t="s">
        <v>14</v>
      </c>
      <c r="B1" t="s">
        <v>15</v>
      </c>
      <c r="C1" t="s">
        <v>16</v>
      </c>
      <c r="D1" t="s">
        <v>17</v>
      </c>
      <c r="E1" t="s">
        <v>18</v>
      </c>
      <c r="F1" t="s">
        <v>19</v>
      </c>
      <c r="G1" t="s">
        <v>20</v>
      </c>
      <c r="H1" t="s">
        <v>21</v>
      </c>
      <c r="I1" t="s">
        <v>22</v>
      </c>
      <c r="J1" t="s">
        <v>23</v>
      </c>
      <c r="K1" t="s">
        <v>24</v>
      </c>
      <c r="L1" t="s">
        <v>25</v>
      </c>
    </row>
    <row r="2" spans="1:12" x14ac:dyDescent="0.3">
      <c r="A2">
        <v>1</v>
      </c>
      <c r="B2" t="s">
        <v>26</v>
      </c>
      <c r="C2" t="s">
        <v>27</v>
      </c>
      <c r="D2" t="s">
        <v>28</v>
      </c>
      <c r="E2" t="s">
        <v>29</v>
      </c>
      <c r="F2" t="s">
        <v>30</v>
      </c>
      <c r="G2" t="s">
        <v>1857</v>
      </c>
      <c r="H2" t="s">
        <v>31</v>
      </c>
      <c r="I2" t="s">
        <v>32</v>
      </c>
      <c r="J2" t="s">
        <v>33</v>
      </c>
      <c r="K2" t="s">
        <v>34</v>
      </c>
      <c r="L2" t="s">
        <v>35</v>
      </c>
    </row>
    <row r="3" spans="1:12" x14ac:dyDescent="0.3">
      <c r="A3">
        <v>2</v>
      </c>
      <c r="B3" t="s">
        <v>36</v>
      </c>
      <c r="C3" t="s">
        <v>27</v>
      </c>
      <c r="D3" t="s">
        <v>37</v>
      </c>
      <c r="E3" t="s">
        <v>38</v>
      </c>
      <c r="F3" t="s">
        <v>39</v>
      </c>
      <c r="G3" t="s">
        <v>1858</v>
      </c>
      <c r="H3" t="s">
        <v>33</v>
      </c>
      <c r="I3" t="s">
        <v>40</v>
      </c>
      <c r="J3" t="s">
        <v>33</v>
      </c>
      <c r="K3" t="s">
        <v>41</v>
      </c>
      <c r="L3" t="s">
        <v>42</v>
      </c>
    </row>
    <row r="4" spans="1:12" x14ac:dyDescent="0.3">
      <c r="A4">
        <v>3</v>
      </c>
      <c r="B4" t="s">
        <v>43</v>
      </c>
      <c r="C4" t="s">
        <v>44</v>
      </c>
      <c r="D4" t="s">
        <v>28</v>
      </c>
      <c r="E4" t="s">
        <v>45</v>
      </c>
      <c r="F4" t="s">
        <v>30</v>
      </c>
      <c r="G4" t="s">
        <v>1859</v>
      </c>
      <c r="H4" t="s">
        <v>31</v>
      </c>
      <c r="I4" t="s">
        <v>32</v>
      </c>
      <c r="J4" t="s">
        <v>46</v>
      </c>
      <c r="K4" t="s">
        <v>34</v>
      </c>
      <c r="L4" t="s">
        <v>42</v>
      </c>
    </row>
    <row r="5" spans="1:12" x14ac:dyDescent="0.3">
      <c r="A5">
        <v>4</v>
      </c>
      <c r="B5" t="s">
        <v>47</v>
      </c>
      <c r="C5" t="s">
        <v>48</v>
      </c>
      <c r="D5" t="s">
        <v>49</v>
      </c>
      <c r="E5" t="s">
        <v>29</v>
      </c>
      <c r="F5" t="s">
        <v>50</v>
      </c>
      <c r="G5" t="s">
        <v>1860</v>
      </c>
      <c r="H5" t="s">
        <v>31</v>
      </c>
      <c r="I5" t="s">
        <v>32</v>
      </c>
      <c r="J5" t="s">
        <v>46</v>
      </c>
      <c r="K5" t="s">
        <v>34</v>
      </c>
      <c r="L5" t="s">
        <v>35</v>
      </c>
    </row>
    <row r="6" spans="1:12" x14ac:dyDescent="0.3">
      <c r="A6">
        <v>5</v>
      </c>
      <c r="B6" t="s">
        <v>51</v>
      </c>
      <c r="C6" t="s">
        <v>44</v>
      </c>
      <c r="D6" t="s">
        <v>49</v>
      </c>
      <c r="E6" t="s">
        <v>45</v>
      </c>
      <c r="F6" t="s">
        <v>50</v>
      </c>
      <c r="G6" t="s">
        <v>1861</v>
      </c>
      <c r="H6" t="s">
        <v>31</v>
      </c>
      <c r="I6" t="s">
        <v>32</v>
      </c>
      <c r="J6" t="s">
        <v>33</v>
      </c>
      <c r="K6" t="s">
        <v>34</v>
      </c>
      <c r="L6" t="s">
        <v>35</v>
      </c>
    </row>
    <row r="7" spans="1:12" x14ac:dyDescent="0.3">
      <c r="A7">
        <v>6</v>
      </c>
      <c r="B7" t="s">
        <v>52</v>
      </c>
      <c r="C7" t="s">
        <v>53</v>
      </c>
      <c r="D7" t="s">
        <v>54</v>
      </c>
      <c r="E7" t="s">
        <v>38</v>
      </c>
      <c r="F7" t="s">
        <v>39</v>
      </c>
      <c r="G7" t="s">
        <v>1862</v>
      </c>
      <c r="H7" t="s">
        <v>55</v>
      </c>
      <c r="I7" t="s">
        <v>40</v>
      </c>
      <c r="J7" t="s">
        <v>33</v>
      </c>
      <c r="K7" t="s">
        <v>34</v>
      </c>
      <c r="L7" t="s">
        <v>35</v>
      </c>
    </row>
    <row r="8" spans="1:12" x14ac:dyDescent="0.3">
      <c r="A8">
        <v>7</v>
      </c>
      <c r="B8" t="s">
        <v>56</v>
      </c>
      <c r="C8" t="s">
        <v>48</v>
      </c>
      <c r="D8" t="s">
        <v>49</v>
      </c>
      <c r="E8" t="s">
        <v>45</v>
      </c>
      <c r="F8" t="s">
        <v>50</v>
      </c>
      <c r="G8" t="s">
        <v>1863</v>
      </c>
      <c r="H8" t="s">
        <v>55</v>
      </c>
      <c r="I8" t="s">
        <v>40</v>
      </c>
      <c r="J8" t="s">
        <v>33</v>
      </c>
      <c r="K8" t="s">
        <v>34</v>
      </c>
      <c r="L8" t="s">
        <v>42</v>
      </c>
    </row>
    <row r="9" spans="1:12" x14ac:dyDescent="0.3">
      <c r="A9">
        <v>8</v>
      </c>
      <c r="B9" t="s">
        <v>57</v>
      </c>
      <c r="C9" t="s">
        <v>27</v>
      </c>
      <c r="D9" t="s">
        <v>49</v>
      </c>
      <c r="E9" t="s">
        <v>38</v>
      </c>
      <c r="F9" t="s">
        <v>58</v>
      </c>
      <c r="G9" t="s">
        <v>1864</v>
      </c>
      <c r="H9" t="s">
        <v>33</v>
      </c>
      <c r="I9" t="s">
        <v>12</v>
      </c>
      <c r="J9" t="s">
        <v>59</v>
      </c>
      <c r="K9" t="s">
        <v>41</v>
      </c>
      <c r="L9" t="s">
        <v>35</v>
      </c>
    </row>
    <row r="10" spans="1:12" x14ac:dyDescent="0.3">
      <c r="A10">
        <v>9</v>
      </c>
      <c r="B10" t="s">
        <v>60</v>
      </c>
      <c r="C10" t="s">
        <v>48</v>
      </c>
      <c r="D10" t="s">
        <v>28</v>
      </c>
      <c r="E10" t="s">
        <v>61</v>
      </c>
      <c r="F10" t="s">
        <v>58</v>
      </c>
      <c r="G10" t="s">
        <v>1865</v>
      </c>
      <c r="H10" t="s">
        <v>62</v>
      </c>
      <c r="I10" t="s">
        <v>12</v>
      </c>
      <c r="J10" t="s">
        <v>33</v>
      </c>
      <c r="K10" t="s">
        <v>41</v>
      </c>
      <c r="L10" t="s">
        <v>35</v>
      </c>
    </row>
    <row r="11" spans="1:12" x14ac:dyDescent="0.3">
      <c r="A11">
        <v>10</v>
      </c>
      <c r="B11" t="s">
        <v>63</v>
      </c>
      <c r="C11" t="s">
        <v>48</v>
      </c>
      <c r="D11" t="s">
        <v>28</v>
      </c>
      <c r="E11" t="s">
        <v>61</v>
      </c>
      <c r="F11" t="s">
        <v>64</v>
      </c>
      <c r="G11" t="s">
        <v>1866</v>
      </c>
      <c r="H11" t="s">
        <v>31</v>
      </c>
      <c r="I11" t="s">
        <v>32</v>
      </c>
      <c r="J11" t="s">
        <v>33</v>
      </c>
      <c r="K11" t="s">
        <v>41</v>
      </c>
      <c r="L11" t="s">
        <v>42</v>
      </c>
    </row>
    <row r="12" spans="1:12" x14ac:dyDescent="0.3">
      <c r="A12">
        <v>11</v>
      </c>
      <c r="B12" t="s">
        <v>65</v>
      </c>
      <c r="C12" t="s">
        <v>27</v>
      </c>
      <c r="D12" t="s">
        <v>66</v>
      </c>
      <c r="E12" t="s">
        <v>38</v>
      </c>
      <c r="F12" t="s">
        <v>64</v>
      </c>
      <c r="G12" t="s">
        <v>1867</v>
      </c>
      <c r="H12" t="s">
        <v>62</v>
      </c>
      <c r="I12" t="s">
        <v>40</v>
      </c>
      <c r="J12" t="s">
        <v>33</v>
      </c>
      <c r="K12" t="s">
        <v>41</v>
      </c>
      <c r="L12" t="s">
        <v>35</v>
      </c>
    </row>
    <row r="13" spans="1:12" x14ac:dyDescent="0.3">
      <c r="A13">
        <v>12</v>
      </c>
      <c r="B13" t="s">
        <v>67</v>
      </c>
      <c r="C13" t="s">
        <v>44</v>
      </c>
      <c r="D13" t="s">
        <v>66</v>
      </c>
      <c r="E13" t="s">
        <v>61</v>
      </c>
      <c r="F13" t="s">
        <v>64</v>
      </c>
      <c r="G13" t="s">
        <v>1868</v>
      </c>
      <c r="H13" t="s">
        <v>33</v>
      </c>
      <c r="I13" t="s">
        <v>32</v>
      </c>
      <c r="J13" t="s">
        <v>33</v>
      </c>
      <c r="K13" t="s">
        <v>41</v>
      </c>
      <c r="L13" t="s">
        <v>68</v>
      </c>
    </row>
    <row r="14" spans="1:12" x14ac:dyDescent="0.3">
      <c r="A14">
        <v>13</v>
      </c>
      <c r="B14" t="s">
        <v>69</v>
      </c>
      <c r="C14" t="s">
        <v>53</v>
      </c>
      <c r="D14" t="s">
        <v>66</v>
      </c>
      <c r="E14" t="s">
        <v>61</v>
      </c>
      <c r="F14" t="s">
        <v>30</v>
      </c>
      <c r="G14" t="s">
        <v>1869</v>
      </c>
      <c r="H14" t="s">
        <v>55</v>
      </c>
      <c r="I14" t="s">
        <v>40</v>
      </c>
      <c r="J14" t="s">
        <v>33</v>
      </c>
      <c r="K14" t="s">
        <v>34</v>
      </c>
      <c r="L14" t="s">
        <v>35</v>
      </c>
    </row>
    <row r="15" spans="1:12" x14ac:dyDescent="0.3">
      <c r="A15">
        <v>14</v>
      </c>
      <c r="B15" t="s">
        <v>70</v>
      </c>
      <c r="C15" t="s">
        <v>27</v>
      </c>
      <c r="D15" t="s">
        <v>66</v>
      </c>
      <c r="E15" t="s">
        <v>45</v>
      </c>
      <c r="F15" t="s">
        <v>58</v>
      </c>
      <c r="G15" t="s">
        <v>1870</v>
      </c>
      <c r="H15" t="s">
        <v>62</v>
      </c>
      <c r="I15" t="s">
        <v>12</v>
      </c>
      <c r="J15" t="s">
        <v>33</v>
      </c>
      <c r="K15" t="s">
        <v>41</v>
      </c>
      <c r="L15" t="s">
        <v>35</v>
      </c>
    </row>
    <row r="16" spans="1:12" x14ac:dyDescent="0.3">
      <c r="A16">
        <v>15</v>
      </c>
      <c r="B16" t="s">
        <v>71</v>
      </c>
      <c r="C16" t="s">
        <v>48</v>
      </c>
      <c r="D16" t="s">
        <v>28</v>
      </c>
      <c r="E16" t="s">
        <v>72</v>
      </c>
      <c r="F16" t="s">
        <v>30</v>
      </c>
      <c r="G16" t="s">
        <v>1871</v>
      </c>
      <c r="H16" t="s">
        <v>55</v>
      </c>
      <c r="I16" t="s">
        <v>32</v>
      </c>
      <c r="J16" t="s">
        <v>33</v>
      </c>
      <c r="K16" t="s">
        <v>73</v>
      </c>
      <c r="L16" t="s">
        <v>35</v>
      </c>
    </row>
    <row r="17" spans="1:12" x14ac:dyDescent="0.3">
      <c r="A17">
        <v>16</v>
      </c>
      <c r="B17" t="s">
        <v>74</v>
      </c>
      <c r="C17" t="s">
        <v>44</v>
      </c>
      <c r="D17" t="s">
        <v>66</v>
      </c>
      <c r="E17" t="s">
        <v>38</v>
      </c>
      <c r="F17" t="s">
        <v>50</v>
      </c>
      <c r="G17" t="s">
        <v>1872</v>
      </c>
      <c r="H17" t="s">
        <v>31</v>
      </c>
      <c r="I17" t="s">
        <v>32</v>
      </c>
      <c r="J17" t="s">
        <v>33</v>
      </c>
      <c r="K17" t="s">
        <v>73</v>
      </c>
      <c r="L17" t="s">
        <v>35</v>
      </c>
    </row>
    <row r="18" spans="1:12" x14ac:dyDescent="0.3">
      <c r="A18">
        <v>17</v>
      </c>
      <c r="B18" t="s">
        <v>75</v>
      </c>
      <c r="C18" t="s">
        <v>27</v>
      </c>
      <c r="D18" t="s">
        <v>54</v>
      </c>
      <c r="E18" t="s">
        <v>61</v>
      </c>
      <c r="F18" t="s">
        <v>30</v>
      </c>
      <c r="G18" t="s">
        <v>1873</v>
      </c>
      <c r="H18" t="s">
        <v>55</v>
      </c>
      <c r="I18" t="s">
        <v>12</v>
      </c>
      <c r="J18" t="s">
        <v>33</v>
      </c>
      <c r="K18" t="s">
        <v>73</v>
      </c>
      <c r="L18" t="s">
        <v>35</v>
      </c>
    </row>
    <row r="19" spans="1:12" x14ac:dyDescent="0.3">
      <c r="A19">
        <v>18</v>
      </c>
      <c r="B19" t="s">
        <v>76</v>
      </c>
      <c r="C19" t="s">
        <v>44</v>
      </c>
      <c r="D19" t="s">
        <v>49</v>
      </c>
      <c r="E19" t="s">
        <v>61</v>
      </c>
      <c r="F19" t="s">
        <v>58</v>
      </c>
      <c r="G19" t="s">
        <v>1874</v>
      </c>
      <c r="H19" t="s">
        <v>55</v>
      </c>
      <c r="I19" t="s">
        <v>32</v>
      </c>
      <c r="J19" t="s">
        <v>33</v>
      </c>
      <c r="K19" t="s">
        <v>41</v>
      </c>
      <c r="L19" t="s">
        <v>35</v>
      </c>
    </row>
    <row r="20" spans="1:12" x14ac:dyDescent="0.3">
      <c r="A20">
        <v>19</v>
      </c>
      <c r="B20" t="s">
        <v>77</v>
      </c>
      <c r="C20" t="s">
        <v>44</v>
      </c>
      <c r="D20" t="s">
        <v>66</v>
      </c>
      <c r="E20" t="s">
        <v>61</v>
      </c>
      <c r="F20" t="s">
        <v>30</v>
      </c>
      <c r="G20" t="s">
        <v>1875</v>
      </c>
      <c r="H20" t="s">
        <v>31</v>
      </c>
      <c r="I20" t="s">
        <v>12</v>
      </c>
      <c r="J20" t="s">
        <v>46</v>
      </c>
      <c r="K20" t="s">
        <v>34</v>
      </c>
      <c r="L20" t="s">
        <v>42</v>
      </c>
    </row>
    <row r="21" spans="1:12" x14ac:dyDescent="0.3">
      <c r="A21">
        <v>20</v>
      </c>
      <c r="B21" t="s">
        <v>78</v>
      </c>
      <c r="C21" t="s">
        <v>27</v>
      </c>
      <c r="D21" t="s">
        <v>37</v>
      </c>
      <c r="E21" t="s">
        <v>61</v>
      </c>
      <c r="F21" t="s">
        <v>39</v>
      </c>
      <c r="G21" t="s">
        <v>1876</v>
      </c>
      <c r="H21" t="s">
        <v>33</v>
      </c>
      <c r="I21" t="s">
        <v>12</v>
      </c>
      <c r="J21" t="s">
        <v>33</v>
      </c>
      <c r="K21" t="s">
        <v>73</v>
      </c>
      <c r="L21" t="s">
        <v>35</v>
      </c>
    </row>
    <row r="22" spans="1:12" x14ac:dyDescent="0.3">
      <c r="A22">
        <v>21</v>
      </c>
      <c r="B22" t="s">
        <v>79</v>
      </c>
      <c r="C22" t="s">
        <v>53</v>
      </c>
      <c r="D22" t="s">
        <v>49</v>
      </c>
      <c r="E22" t="s">
        <v>38</v>
      </c>
      <c r="F22" t="s">
        <v>30</v>
      </c>
      <c r="G22" t="s">
        <v>1877</v>
      </c>
      <c r="H22" t="s">
        <v>33</v>
      </c>
      <c r="I22" t="s">
        <v>32</v>
      </c>
      <c r="J22" t="s">
        <v>59</v>
      </c>
      <c r="K22" t="s">
        <v>41</v>
      </c>
      <c r="L22" t="s">
        <v>35</v>
      </c>
    </row>
    <row r="23" spans="1:12" x14ac:dyDescent="0.3">
      <c r="A23">
        <v>22</v>
      </c>
      <c r="B23" t="s">
        <v>80</v>
      </c>
      <c r="C23" t="s">
        <v>27</v>
      </c>
      <c r="D23" t="s">
        <v>28</v>
      </c>
      <c r="E23" t="s">
        <v>38</v>
      </c>
      <c r="F23" t="s">
        <v>30</v>
      </c>
      <c r="G23" t="s">
        <v>1878</v>
      </c>
      <c r="H23" t="s">
        <v>62</v>
      </c>
      <c r="I23" t="s">
        <v>12</v>
      </c>
      <c r="J23" t="s">
        <v>33</v>
      </c>
      <c r="K23" t="s">
        <v>34</v>
      </c>
      <c r="L23" t="s">
        <v>68</v>
      </c>
    </row>
    <row r="24" spans="1:12" x14ac:dyDescent="0.3">
      <c r="A24">
        <v>23</v>
      </c>
      <c r="B24" t="s">
        <v>81</v>
      </c>
      <c r="C24" t="s">
        <v>53</v>
      </c>
      <c r="D24" t="s">
        <v>37</v>
      </c>
      <c r="E24" t="s">
        <v>29</v>
      </c>
      <c r="F24" t="s">
        <v>64</v>
      </c>
      <c r="G24" t="s">
        <v>1879</v>
      </c>
      <c r="H24" t="s">
        <v>31</v>
      </c>
      <c r="I24" t="s">
        <v>40</v>
      </c>
      <c r="J24" t="s">
        <v>33</v>
      </c>
      <c r="K24" t="s">
        <v>34</v>
      </c>
      <c r="L24" t="s">
        <v>42</v>
      </c>
    </row>
    <row r="25" spans="1:12" x14ac:dyDescent="0.3">
      <c r="A25">
        <v>24</v>
      </c>
      <c r="B25" t="s">
        <v>82</v>
      </c>
      <c r="C25" t="s">
        <v>48</v>
      </c>
      <c r="D25" t="s">
        <v>28</v>
      </c>
      <c r="E25" t="s">
        <v>61</v>
      </c>
      <c r="F25" t="s">
        <v>39</v>
      </c>
      <c r="G25" t="s">
        <v>1880</v>
      </c>
      <c r="H25" t="s">
        <v>33</v>
      </c>
      <c r="I25" t="s">
        <v>32</v>
      </c>
      <c r="J25" t="s">
        <v>33</v>
      </c>
      <c r="K25" t="s">
        <v>34</v>
      </c>
      <c r="L25" t="s">
        <v>35</v>
      </c>
    </row>
    <row r="26" spans="1:12" x14ac:dyDescent="0.3">
      <c r="A26">
        <v>25</v>
      </c>
      <c r="B26" t="s">
        <v>83</v>
      </c>
      <c r="C26" t="s">
        <v>53</v>
      </c>
      <c r="D26" t="s">
        <v>54</v>
      </c>
      <c r="E26" t="s">
        <v>45</v>
      </c>
      <c r="F26" t="s">
        <v>64</v>
      </c>
      <c r="G26" t="s">
        <v>1881</v>
      </c>
      <c r="H26" t="s">
        <v>62</v>
      </c>
      <c r="I26" t="s">
        <v>40</v>
      </c>
      <c r="J26" t="s">
        <v>33</v>
      </c>
      <c r="K26" t="s">
        <v>34</v>
      </c>
      <c r="L26" t="s">
        <v>35</v>
      </c>
    </row>
    <row r="27" spans="1:12" x14ac:dyDescent="0.3">
      <c r="A27">
        <v>26</v>
      </c>
      <c r="B27" t="s">
        <v>84</v>
      </c>
      <c r="C27" t="s">
        <v>27</v>
      </c>
      <c r="D27" t="s">
        <v>54</v>
      </c>
      <c r="E27" t="s">
        <v>72</v>
      </c>
      <c r="F27" t="s">
        <v>30</v>
      </c>
      <c r="G27" t="s">
        <v>1882</v>
      </c>
      <c r="H27" t="s">
        <v>31</v>
      </c>
      <c r="I27" t="s">
        <v>12</v>
      </c>
      <c r="J27" t="s">
        <v>59</v>
      </c>
      <c r="K27" t="s">
        <v>34</v>
      </c>
      <c r="L27" t="s">
        <v>85</v>
      </c>
    </row>
    <row r="28" spans="1:12" x14ac:dyDescent="0.3">
      <c r="A28">
        <v>27</v>
      </c>
      <c r="B28" t="s">
        <v>86</v>
      </c>
      <c r="C28" t="s">
        <v>44</v>
      </c>
      <c r="D28" t="s">
        <v>66</v>
      </c>
      <c r="E28" t="s">
        <v>45</v>
      </c>
      <c r="F28" t="s">
        <v>50</v>
      </c>
      <c r="G28" t="s">
        <v>1883</v>
      </c>
      <c r="H28" t="s">
        <v>31</v>
      </c>
      <c r="I28" t="s">
        <v>32</v>
      </c>
      <c r="J28" t="s">
        <v>59</v>
      </c>
      <c r="K28" t="s">
        <v>34</v>
      </c>
      <c r="L28" t="s">
        <v>68</v>
      </c>
    </row>
    <row r="29" spans="1:12" x14ac:dyDescent="0.3">
      <c r="A29">
        <v>28</v>
      </c>
      <c r="B29" t="s">
        <v>87</v>
      </c>
      <c r="C29" t="s">
        <v>44</v>
      </c>
      <c r="D29" t="s">
        <v>37</v>
      </c>
      <c r="E29" t="s">
        <v>29</v>
      </c>
      <c r="F29" t="s">
        <v>39</v>
      </c>
      <c r="G29" t="s">
        <v>1884</v>
      </c>
      <c r="H29" t="s">
        <v>55</v>
      </c>
      <c r="I29" t="s">
        <v>40</v>
      </c>
      <c r="J29" t="s">
        <v>33</v>
      </c>
      <c r="K29" t="s">
        <v>41</v>
      </c>
      <c r="L29" t="s">
        <v>35</v>
      </c>
    </row>
    <row r="30" spans="1:12" x14ac:dyDescent="0.3">
      <c r="A30">
        <v>29</v>
      </c>
      <c r="B30" t="s">
        <v>88</v>
      </c>
      <c r="C30" t="s">
        <v>48</v>
      </c>
      <c r="D30" t="s">
        <v>37</v>
      </c>
      <c r="E30" t="s">
        <v>38</v>
      </c>
      <c r="F30" t="s">
        <v>30</v>
      </c>
      <c r="G30" t="s">
        <v>1885</v>
      </c>
      <c r="H30" t="s">
        <v>31</v>
      </c>
      <c r="I30" t="s">
        <v>40</v>
      </c>
      <c r="J30" t="s">
        <v>33</v>
      </c>
      <c r="K30" t="s">
        <v>34</v>
      </c>
      <c r="L30" t="s">
        <v>35</v>
      </c>
    </row>
    <row r="31" spans="1:12" x14ac:dyDescent="0.3">
      <c r="A31">
        <v>30</v>
      </c>
      <c r="B31" t="s">
        <v>89</v>
      </c>
      <c r="C31" t="s">
        <v>48</v>
      </c>
      <c r="D31" t="s">
        <v>66</v>
      </c>
      <c r="E31" t="s">
        <v>45</v>
      </c>
      <c r="F31" t="s">
        <v>64</v>
      </c>
      <c r="G31" t="s">
        <v>1886</v>
      </c>
      <c r="H31" t="s">
        <v>55</v>
      </c>
      <c r="I31" t="s">
        <v>32</v>
      </c>
      <c r="J31" t="s">
        <v>33</v>
      </c>
      <c r="K31" t="s">
        <v>73</v>
      </c>
      <c r="L31" t="s">
        <v>35</v>
      </c>
    </row>
    <row r="32" spans="1:12" x14ac:dyDescent="0.3">
      <c r="A32">
        <v>31</v>
      </c>
      <c r="B32" t="s">
        <v>90</v>
      </c>
      <c r="C32" t="s">
        <v>44</v>
      </c>
      <c r="D32" t="s">
        <v>37</v>
      </c>
      <c r="E32" t="s">
        <v>38</v>
      </c>
      <c r="F32" t="s">
        <v>50</v>
      </c>
      <c r="G32" t="s">
        <v>1887</v>
      </c>
      <c r="H32" t="s">
        <v>33</v>
      </c>
      <c r="I32" t="s">
        <v>32</v>
      </c>
      <c r="J32" t="s">
        <v>33</v>
      </c>
      <c r="K32" t="s">
        <v>34</v>
      </c>
      <c r="L32" t="s">
        <v>68</v>
      </c>
    </row>
    <row r="33" spans="1:12" x14ac:dyDescent="0.3">
      <c r="A33">
        <v>32</v>
      </c>
      <c r="B33" t="s">
        <v>91</v>
      </c>
      <c r="C33" t="s">
        <v>27</v>
      </c>
      <c r="D33" t="s">
        <v>54</v>
      </c>
      <c r="E33" t="s">
        <v>38</v>
      </c>
      <c r="F33" t="s">
        <v>30</v>
      </c>
      <c r="G33" t="s">
        <v>1888</v>
      </c>
      <c r="H33" t="s">
        <v>33</v>
      </c>
      <c r="I33" t="s">
        <v>12</v>
      </c>
      <c r="J33" t="s">
        <v>59</v>
      </c>
      <c r="K33" t="s">
        <v>34</v>
      </c>
      <c r="L33" t="s">
        <v>35</v>
      </c>
    </row>
    <row r="34" spans="1:12" x14ac:dyDescent="0.3">
      <c r="A34">
        <v>33</v>
      </c>
      <c r="B34" t="s">
        <v>92</v>
      </c>
      <c r="C34" t="s">
        <v>27</v>
      </c>
      <c r="D34" t="s">
        <v>66</v>
      </c>
      <c r="E34" t="s">
        <v>72</v>
      </c>
      <c r="F34" t="s">
        <v>30</v>
      </c>
      <c r="G34" t="s">
        <v>1889</v>
      </c>
      <c r="H34" t="s">
        <v>31</v>
      </c>
      <c r="I34" t="s">
        <v>40</v>
      </c>
      <c r="J34" t="s">
        <v>33</v>
      </c>
      <c r="K34" t="s">
        <v>73</v>
      </c>
      <c r="L34" t="s">
        <v>68</v>
      </c>
    </row>
    <row r="35" spans="1:12" x14ac:dyDescent="0.3">
      <c r="A35">
        <v>34</v>
      </c>
      <c r="B35" t="s">
        <v>93</v>
      </c>
      <c r="C35" t="s">
        <v>44</v>
      </c>
      <c r="D35" t="s">
        <v>37</v>
      </c>
      <c r="E35" t="s">
        <v>29</v>
      </c>
      <c r="F35" t="s">
        <v>64</v>
      </c>
      <c r="G35" t="s">
        <v>1890</v>
      </c>
      <c r="H35" t="s">
        <v>33</v>
      </c>
      <c r="I35" t="s">
        <v>32</v>
      </c>
      <c r="J35" t="s">
        <v>33</v>
      </c>
      <c r="K35" t="s">
        <v>34</v>
      </c>
      <c r="L35" t="s">
        <v>68</v>
      </c>
    </row>
    <row r="36" spans="1:12" x14ac:dyDescent="0.3">
      <c r="A36">
        <v>35</v>
      </c>
      <c r="B36" t="s">
        <v>94</v>
      </c>
      <c r="C36" t="s">
        <v>48</v>
      </c>
      <c r="D36" t="s">
        <v>54</v>
      </c>
      <c r="E36" t="s">
        <v>72</v>
      </c>
      <c r="F36" t="s">
        <v>39</v>
      </c>
      <c r="G36" t="s">
        <v>1891</v>
      </c>
      <c r="H36" t="s">
        <v>33</v>
      </c>
      <c r="I36" t="s">
        <v>12</v>
      </c>
      <c r="J36" t="s">
        <v>59</v>
      </c>
      <c r="K36" t="s">
        <v>41</v>
      </c>
      <c r="L36" t="s">
        <v>42</v>
      </c>
    </row>
    <row r="37" spans="1:12" x14ac:dyDescent="0.3">
      <c r="A37">
        <v>36</v>
      </c>
      <c r="B37" t="s">
        <v>95</v>
      </c>
      <c r="C37" t="s">
        <v>44</v>
      </c>
      <c r="D37" t="s">
        <v>49</v>
      </c>
      <c r="E37" t="s">
        <v>45</v>
      </c>
      <c r="F37" t="s">
        <v>50</v>
      </c>
      <c r="G37" t="s">
        <v>1892</v>
      </c>
      <c r="H37" t="s">
        <v>62</v>
      </c>
      <c r="I37" t="s">
        <v>12</v>
      </c>
      <c r="J37" t="s">
        <v>33</v>
      </c>
      <c r="K37" t="s">
        <v>41</v>
      </c>
      <c r="L37" t="s">
        <v>42</v>
      </c>
    </row>
    <row r="38" spans="1:12" x14ac:dyDescent="0.3">
      <c r="A38">
        <v>37</v>
      </c>
      <c r="B38" t="s">
        <v>96</v>
      </c>
      <c r="C38" t="s">
        <v>27</v>
      </c>
      <c r="D38" t="s">
        <v>28</v>
      </c>
      <c r="E38" t="s">
        <v>72</v>
      </c>
      <c r="F38" t="s">
        <v>50</v>
      </c>
      <c r="G38" t="s">
        <v>1893</v>
      </c>
      <c r="H38" t="s">
        <v>31</v>
      </c>
      <c r="I38" t="s">
        <v>40</v>
      </c>
      <c r="J38" t="s">
        <v>33</v>
      </c>
      <c r="K38" t="s">
        <v>41</v>
      </c>
      <c r="L38" t="s">
        <v>35</v>
      </c>
    </row>
    <row r="39" spans="1:12" x14ac:dyDescent="0.3">
      <c r="A39">
        <v>38</v>
      </c>
      <c r="B39" t="s">
        <v>97</v>
      </c>
      <c r="C39" t="s">
        <v>27</v>
      </c>
      <c r="D39" t="s">
        <v>54</v>
      </c>
      <c r="E39" t="s">
        <v>61</v>
      </c>
      <c r="F39" t="s">
        <v>50</v>
      </c>
      <c r="G39" t="s">
        <v>1894</v>
      </c>
      <c r="H39" t="s">
        <v>33</v>
      </c>
      <c r="I39" t="s">
        <v>40</v>
      </c>
      <c r="J39" t="s">
        <v>33</v>
      </c>
      <c r="K39" t="s">
        <v>34</v>
      </c>
      <c r="L39" t="s">
        <v>35</v>
      </c>
    </row>
    <row r="40" spans="1:12" x14ac:dyDescent="0.3">
      <c r="A40">
        <v>39</v>
      </c>
      <c r="B40" t="s">
        <v>98</v>
      </c>
      <c r="C40" t="s">
        <v>44</v>
      </c>
      <c r="D40" t="s">
        <v>37</v>
      </c>
      <c r="E40" t="s">
        <v>29</v>
      </c>
      <c r="F40" t="s">
        <v>30</v>
      </c>
      <c r="G40" t="s">
        <v>1895</v>
      </c>
      <c r="H40" t="s">
        <v>55</v>
      </c>
      <c r="I40" t="s">
        <v>12</v>
      </c>
      <c r="J40" t="s">
        <v>33</v>
      </c>
      <c r="K40" t="s">
        <v>73</v>
      </c>
      <c r="L40" t="s">
        <v>35</v>
      </c>
    </row>
    <row r="41" spans="1:12" x14ac:dyDescent="0.3">
      <c r="A41">
        <v>40</v>
      </c>
      <c r="B41" t="s">
        <v>99</v>
      </c>
      <c r="C41" t="s">
        <v>48</v>
      </c>
      <c r="D41" t="s">
        <v>28</v>
      </c>
      <c r="E41" t="s">
        <v>45</v>
      </c>
      <c r="F41" t="s">
        <v>58</v>
      </c>
      <c r="G41" t="s">
        <v>1896</v>
      </c>
      <c r="H41" t="s">
        <v>31</v>
      </c>
      <c r="I41" t="s">
        <v>32</v>
      </c>
      <c r="J41" t="s">
        <v>33</v>
      </c>
      <c r="K41" t="s">
        <v>41</v>
      </c>
      <c r="L41" t="s">
        <v>68</v>
      </c>
    </row>
    <row r="42" spans="1:12" x14ac:dyDescent="0.3">
      <c r="A42">
        <v>41</v>
      </c>
      <c r="B42" t="s">
        <v>100</v>
      </c>
      <c r="C42" t="s">
        <v>53</v>
      </c>
      <c r="D42" t="s">
        <v>66</v>
      </c>
      <c r="E42" t="s">
        <v>29</v>
      </c>
      <c r="F42" t="s">
        <v>64</v>
      </c>
      <c r="G42" t="s">
        <v>1897</v>
      </c>
      <c r="H42" t="s">
        <v>31</v>
      </c>
      <c r="I42" t="s">
        <v>40</v>
      </c>
      <c r="J42" t="s">
        <v>33</v>
      </c>
      <c r="K42" t="s">
        <v>73</v>
      </c>
      <c r="L42" t="s">
        <v>35</v>
      </c>
    </row>
    <row r="43" spans="1:12" x14ac:dyDescent="0.3">
      <c r="A43">
        <v>42</v>
      </c>
      <c r="B43" t="s">
        <v>101</v>
      </c>
      <c r="C43" t="s">
        <v>48</v>
      </c>
      <c r="D43" t="s">
        <v>37</v>
      </c>
      <c r="E43" t="s">
        <v>45</v>
      </c>
      <c r="F43" t="s">
        <v>50</v>
      </c>
      <c r="G43" t="s">
        <v>1898</v>
      </c>
      <c r="H43" t="s">
        <v>62</v>
      </c>
      <c r="I43" t="s">
        <v>12</v>
      </c>
      <c r="J43" t="s">
        <v>33</v>
      </c>
      <c r="K43" t="s">
        <v>41</v>
      </c>
      <c r="L43" t="s">
        <v>35</v>
      </c>
    </row>
    <row r="44" spans="1:12" x14ac:dyDescent="0.3">
      <c r="A44">
        <v>43</v>
      </c>
      <c r="B44" t="s">
        <v>102</v>
      </c>
      <c r="C44" t="s">
        <v>27</v>
      </c>
      <c r="D44" t="s">
        <v>49</v>
      </c>
      <c r="E44" t="s">
        <v>72</v>
      </c>
      <c r="F44" t="s">
        <v>50</v>
      </c>
      <c r="G44" t="s">
        <v>1899</v>
      </c>
      <c r="H44" t="s">
        <v>33</v>
      </c>
      <c r="I44" t="s">
        <v>12</v>
      </c>
      <c r="J44" t="s">
        <v>33</v>
      </c>
      <c r="K44" t="s">
        <v>41</v>
      </c>
      <c r="L44" t="s">
        <v>35</v>
      </c>
    </row>
    <row r="45" spans="1:12" x14ac:dyDescent="0.3">
      <c r="A45">
        <v>44</v>
      </c>
      <c r="B45" t="s">
        <v>103</v>
      </c>
      <c r="C45" t="s">
        <v>27</v>
      </c>
      <c r="D45" t="s">
        <v>37</v>
      </c>
      <c r="E45" t="s">
        <v>61</v>
      </c>
      <c r="F45" t="s">
        <v>58</v>
      </c>
      <c r="G45" t="s">
        <v>1900</v>
      </c>
      <c r="H45" t="s">
        <v>31</v>
      </c>
      <c r="I45" t="s">
        <v>40</v>
      </c>
      <c r="J45" t="s">
        <v>33</v>
      </c>
      <c r="K45" t="s">
        <v>41</v>
      </c>
      <c r="L45" t="s">
        <v>35</v>
      </c>
    </row>
    <row r="46" spans="1:12" x14ac:dyDescent="0.3">
      <c r="A46">
        <v>45</v>
      </c>
      <c r="B46" t="s">
        <v>104</v>
      </c>
      <c r="C46" t="s">
        <v>53</v>
      </c>
      <c r="D46" t="s">
        <v>49</v>
      </c>
      <c r="E46" t="s">
        <v>72</v>
      </c>
      <c r="F46" t="s">
        <v>39</v>
      </c>
      <c r="G46" t="s">
        <v>1901</v>
      </c>
      <c r="H46" t="s">
        <v>55</v>
      </c>
      <c r="I46" t="s">
        <v>40</v>
      </c>
      <c r="J46" t="s">
        <v>33</v>
      </c>
      <c r="K46" t="s">
        <v>73</v>
      </c>
      <c r="L46" t="s">
        <v>35</v>
      </c>
    </row>
    <row r="47" spans="1:12" x14ac:dyDescent="0.3">
      <c r="A47">
        <v>46</v>
      </c>
      <c r="B47" t="s">
        <v>105</v>
      </c>
      <c r="C47" t="s">
        <v>53</v>
      </c>
      <c r="D47" t="s">
        <v>37</v>
      </c>
      <c r="E47" t="s">
        <v>72</v>
      </c>
      <c r="F47" t="s">
        <v>39</v>
      </c>
      <c r="G47" t="s">
        <v>1902</v>
      </c>
      <c r="H47" t="s">
        <v>33</v>
      </c>
      <c r="I47" t="s">
        <v>40</v>
      </c>
      <c r="J47" t="s">
        <v>33</v>
      </c>
      <c r="K47" t="s">
        <v>41</v>
      </c>
      <c r="L47" t="s">
        <v>35</v>
      </c>
    </row>
    <row r="48" spans="1:12" x14ac:dyDescent="0.3">
      <c r="A48">
        <v>47</v>
      </c>
      <c r="B48" t="s">
        <v>106</v>
      </c>
      <c r="C48" t="s">
        <v>53</v>
      </c>
      <c r="D48" t="s">
        <v>37</v>
      </c>
      <c r="E48" t="s">
        <v>38</v>
      </c>
      <c r="F48" t="s">
        <v>39</v>
      </c>
      <c r="G48" t="s">
        <v>1903</v>
      </c>
      <c r="H48" t="s">
        <v>33</v>
      </c>
      <c r="I48" t="s">
        <v>12</v>
      </c>
      <c r="J48" t="s">
        <v>59</v>
      </c>
      <c r="K48" t="s">
        <v>34</v>
      </c>
      <c r="L48" t="s">
        <v>35</v>
      </c>
    </row>
    <row r="49" spans="1:12" x14ac:dyDescent="0.3">
      <c r="A49">
        <v>48</v>
      </c>
      <c r="B49" t="s">
        <v>107</v>
      </c>
      <c r="C49" t="s">
        <v>48</v>
      </c>
      <c r="D49" t="s">
        <v>37</v>
      </c>
      <c r="E49" t="s">
        <v>72</v>
      </c>
      <c r="F49" t="s">
        <v>30</v>
      </c>
      <c r="G49" t="s">
        <v>1904</v>
      </c>
      <c r="H49" t="s">
        <v>55</v>
      </c>
      <c r="I49" t="s">
        <v>12</v>
      </c>
      <c r="J49" t="s">
        <v>33</v>
      </c>
      <c r="K49" t="s">
        <v>73</v>
      </c>
      <c r="L49" t="s">
        <v>42</v>
      </c>
    </row>
    <row r="50" spans="1:12" x14ac:dyDescent="0.3">
      <c r="A50">
        <v>49</v>
      </c>
      <c r="B50" t="s">
        <v>108</v>
      </c>
      <c r="C50" t="s">
        <v>44</v>
      </c>
      <c r="D50" t="s">
        <v>28</v>
      </c>
      <c r="E50" t="s">
        <v>38</v>
      </c>
      <c r="F50" t="s">
        <v>58</v>
      </c>
      <c r="G50" t="s">
        <v>1905</v>
      </c>
      <c r="H50" t="s">
        <v>33</v>
      </c>
      <c r="I50" t="s">
        <v>32</v>
      </c>
      <c r="J50" t="s">
        <v>59</v>
      </c>
      <c r="K50" t="s">
        <v>41</v>
      </c>
      <c r="L50" t="s">
        <v>68</v>
      </c>
    </row>
    <row r="51" spans="1:12" x14ac:dyDescent="0.3">
      <c r="A51">
        <v>50</v>
      </c>
      <c r="B51" t="s">
        <v>109</v>
      </c>
      <c r="C51" t="s">
        <v>44</v>
      </c>
      <c r="D51" t="s">
        <v>49</v>
      </c>
      <c r="E51" t="s">
        <v>38</v>
      </c>
      <c r="F51" t="s">
        <v>64</v>
      </c>
      <c r="G51" t="s">
        <v>1906</v>
      </c>
      <c r="H51" t="s">
        <v>62</v>
      </c>
      <c r="I51" t="s">
        <v>32</v>
      </c>
      <c r="J51" t="s">
        <v>33</v>
      </c>
      <c r="K51" t="s">
        <v>34</v>
      </c>
      <c r="L51" t="s">
        <v>35</v>
      </c>
    </row>
    <row r="52" spans="1:12" x14ac:dyDescent="0.3">
      <c r="A52">
        <v>51</v>
      </c>
      <c r="B52" t="s">
        <v>110</v>
      </c>
      <c r="C52" t="s">
        <v>48</v>
      </c>
      <c r="D52" t="s">
        <v>54</v>
      </c>
      <c r="E52" t="s">
        <v>61</v>
      </c>
      <c r="F52" t="s">
        <v>64</v>
      </c>
      <c r="G52" t="s">
        <v>1907</v>
      </c>
      <c r="H52" t="s">
        <v>55</v>
      </c>
      <c r="I52" t="s">
        <v>12</v>
      </c>
      <c r="J52" t="s">
        <v>59</v>
      </c>
      <c r="K52" t="s">
        <v>73</v>
      </c>
      <c r="L52" t="s">
        <v>35</v>
      </c>
    </row>
    <row r="53" spans="1:12" x14ac:dyDescent="0.3">
      <c r="A53">
        <v>52</v>
      </c>
      <c r="B53" t="s">
        <v>111</v>
      </c>
      <c r="C53" t="s">
        <v>48</v>
      </c>
      <c r="D53" t="s">
        <v>49</v>
      </c>
      <c r="E53" t="s">
        <v>29</v>
      </c>
      <c r="F53" t="s">
        <v>39</v>
      </c>
      <c r="G53" t="s">
        <v>1908</v>
      </c>
      <c r="H53" t="s">
        <v>31</v>
      </c>
      <c r="I53" t="s">
        <v>12</v>
      </c>
      <c r="J53" t="s">
        <v>46</v>
      </c>
      <c r="K53" t="s">
        <v>34</v>
      </c>
      <c r="L53" t="s">
        <v>68</v>
      </c>
    </row>
    <row r="54" spans="1:12" x14ac:dyDescent="0.3">
      <c r="A54">
        <v>53</v>
      </c>
      <c r="B54" t="s">
        <v>112</v>
      </c>
      <c r="C54" t="s">
        <v>48</v>
      </c>
      <c r="D54" t="s">
        <v>37</v>
      </c>
      <c r="E54" t="s">
        <v>38</v>
      </c>
      <c r="F54" t="s">
        <v>39</v>
      </c>
      <c r="G54" t="s">
        <v>1909</v>
      </c>
      <c r="H54" t="s">
        <v>55</v>
      </c>
      <c r="I54" t="s">
        <v>40</v>
      </c>
      <c r="J54" t="s">
        <v>33</v>
      </c>
      <c r="K54" t="s">
        <v>34</v>
      </c>
      <c r="L54" t="s">
        <v>35</v>
      </c>
    </row>
    <row r="55" spans="1:12" x14ac:dyDescent="0.3">
      <c r="A55">
        <v>54</v>
      </c>
      <c r="B55" t="s">
        <v>113</v>
      </c>
      <c r="C55" t="s">
        <v>27</v>
      </c>
      <c r="D55" t="s">
        <v>66</v>
      </c>
      <c r="E55" t="s">
        <v>72</v>
      </c>
      <c r="F55" t="s">
        <v>50</v>
      </c>
      <c r="G55" t="s">
        <v>1910</v>
      </c>
      <c r="H55" t="s">
        <v>33</v>
      </c>
      <c r="I55" t="s">
        <v>40</v>
      </c>
      <c r="J55" t="s">
        <v>33</v>
      </c>
      <c r="K55" t="s">
        <v>34</v>
      </c>
      <c r="L55" t="s">
        <v>35</v>
      </c>
    </row>
    <row r="56" spans="1:12" x14ac:dyDescent="0.3">
      <c r="A56">
        <v>55</v>
      </c>
      <c r="B56" t="s">
        <v>114</v>
      </c>
      <c r="C56" t="s">
        <v>48</v>
      </c>
      <c r="D56" t="s">
        <v>49</v>
      </c>
      <c r="E56" t="s">
        <v>38</v>
      </c>
      <c r="F56" t="s">
        <v>39</v>
      </c>
      <c r="G56" t="s">
        <v>1885</v>
      </c>
      <c r="H56" t="s">
        <v>33</v>
      </c>
      <c r="I56" t="s">
        <v>32</v>
      </c>
      <c r="J56" t="s">
        <v>33</v>
      </c>
      <c r="K56" t="s">
        <v>34</v>
      </c>
      <c r="L56" t="s">
        <v>35</v>
      </c>
    </row>
    <row r="57" spans="1:12" x14ac:dyDescent="0.3">
      <c r="A57">
        <v>56</v>
      </c>
      <c r="B57" t="s">
        <v>115</v>
      </c>
      <c r="C57" t="s">
        <v>27</v>
      </c>
      <c r="D57" t="s">
        <v>54</v>
      </c>
      <c r="E57" t="s">
        <v>61</v>
      </c>
      <c r="F57" t="s">
        <v>58</v>
      </c>
      <c r="G57" t="s">
        <v>1911</v>
      </c>
      <c r="H57" t="s">
        <v>62</v>
      </c>
      <c r="I57" t="s">
        <v>40</v>
      </c>
      <c r="J57" t="s">
        <v>33</v>
      </c>
      <c r="K57" t="s">
        <v>41</v>
      </c>
      <c r="L57" t="s">
        <v>35</v>
      </c>
    </row>
    <row r="58" spans="1:12" x14ac:dyDescent="0.3">
      <c r="A58">
        <v>57</v>
      </c>
      <c r="B58" t="s">
        <v>116</v>
      </c>
      <c r="C58" t="s">
        <v>27</v>
      </c>
      <c r="D58" t="s">
        <v>54</v>
      </c>
      <c r="E58" t="s">
        <v>45</v>
      </c>
      <c r="F58" t="s">
        <v>58</v>
      </c>
      <c r="G58" t="s">
        <v>1912</v>
      </c>
      <c r="H58" t="s">
        <v>55</v>
      </c>
      <c r="I58" t="s">
        <v>12</v>
      </c>
      <c r="J58" t="s">
        <v>33</v>
      </c>
      <c r="K58" t="s">
        <v>41</v>
      </c>
      <c r="L58" t="s">
        <v>35</v>
      </c>
    </row>
    <row r="59" spans="1:12" x14ac:dyDescent="0.3">
      <c r="A59">
        <v>58</v>
      </c>
      <c r="B59" t="s">
        <v>117</v>
      </c>
      <c r="C59" t="s">
        <v>48</v>
      </c>
      <c r="D59" t="s">
        <v>37</v>
      </c>
      <c r="E59" t="s">
        <v>72</v>
      </c>
      <c r="F59" t="s">
        <v>50</v>
      </c>
      <c r="G59" t="s">
        <v>1913</v>
      </c>
      <c r="H59" t="s">
        <v>62</v>
      </c>
      <c r="I59" t="s">
        <v>12</v>
      </c>
      <c r="J59" t="s">
        <v>33</v>
      </c>
      <c r="K59" t="s">
        <v>34</v>
      </c>
      <c r="L59" t="s">
        <v>35</v>
      </c>
    </row>
    <row r="60" spans="1:12" x14ac:dyDescent="0.3">
      <c r="A60">
        <v>59</v>
      </c>
      <c r="B60" t="s">
        <v>118</v>
      </c>
      <c r="C60" t="s">
        <v>27</v>
      </c>
      <c r="D60" t="s">
        <v>37</v>
      </c>
      <c r="E60" t="s">
        <v>72</v>
      </c>
      <c r="F60" t="s">
        <v>64</v>
      </c>
      <c r="G60" t="s">
        <v>1914</v>
      </c>
      <c r="H60" t="s">
        <v>62</v>
      </c>
      <c r="I60" t="s">
        <v>12</v>
      </c>
      <c r="J60" t="s">
        <v>33</v>
      </c>
      <c r="K60" t="s">
        <v>34</v>
      </c>
      <c r="L60" t="s">
        <v>35</v>
      </c>
    </row>
    <row r="61" spans="1:12" x14ac:dyDescent="0.3">
      <c r="A61">
        <v>60</v>
      </c>
      <c r="B61" t="s">
        <v>119</v>
      </c>
      <c r="C61" t="s">
        <v>48</v>
      </c>
      <c r="D61" t="s">
        <v>28</v>
      </c>
      <c r="E61" t="s">
        <v>29</v>
      </c>
      <c r="F61" t="s">
        <v>50</v>
      </c>
      <c r="G61" t="s">
        <v>1915</v>
      </c>
      <c r="H61" t="s">
        <v>31</v>
      </c>
      <c r="I61" t="s">
        <v>12</v>
      </c>
      <c r="J61" t="s">
        <v>33</v>
      </c>
      <c r="K61" t="s">
        <v>34</v>
      </c>
      <c r="L61" t="s">
        <v>35</v>
      </c>
    </row>
    <row r="62" spans="1:12" x14ac:dyDescent="0.3">
      <c r="A62">
        <v>61</v>
      </c>
      <c r="B62" t="s">
        <v>120</v>
      </c>
      <c r="C62" t="s">
        <v>44</v>
      </c>
      <c r="D62" t="s">
        <v>28</v>
      </c>
      <c r="E62" t="s">
        <v>72</v>
      </c>
      <c r="F62" t="s">
        <v>39</v>
      </c>
      <c r="G62" t="s">
        <v>1916</v>
      </c>
      <c r="H62" t="s">
        <v>33</v>
      </c>
      <c r="I62" t="s">
        <v>32</v>
      </c>
      <c r="J62" t="s">
        <v>33</v>
      </c>
      <c r="K62" t="s">
        <v>41</v>
      </c>
      <c r="L62" t="s">
        <v>35</v>
      </c>
    </row>
    <row r="63" spans="1:12" x14ac:dyDescent="0.3">
      <c r="A63">
        <v>62</v>
      </c>
      <c r="B63" t="s">
        <v>121</v>
      </c>
      <c r="C63" t="s">
        <v>48</v>
      </c>
      <c r="D63" t="s">
        <v>28</v>
      </c>
      <c r="E63" t="s">
        <v>38</v>
      </c>
      <c r="F63" t="s">
        <v>30</v>
      </c>
      <c r="G63" t="s">
        <v>1917</v>
      </c>
      <c r="H63" t="s">
        <v>31</v>
      </c>
      <c r="I63" t="s">
        <v>12</v>
      </c>
      <c r="J63" t="s">
        <v>59</v>
      </c>
      <c r="K63" t="s">
        <v>34</v>
      </c>
      <c r="L63" t="s">
        <v>85</v>
      </c>
    </row>
    <row r="64" spans="1:12" x14ac:dyDescent="0.3">
      <c r="A64">
        <v>63</v>
      </c>
      <c r="B64" t="s">
        <v>122</v>
      </c>
      <c r="C64" t="s">
        <v>48</v>
      </c>
      <c r="D64" t="s">
        <v>37</v>
      </c>
      <c r="E64" t="s">
        <v>72</v>
      </c>
      <c r="F64" t="s">
        <v>64</v>
      </c>
      <c r="G64" t="s">
        <v>1918</v>
      </c>
      <c r="H64" t="s">
        <v>31</v>
      </c>
      <c r="I64" t="s">
        <v>32</v>
      </c>
      <c r="J64" t="s">
        <v>33</v>
      </c>
      <c r="K64" t="s">
        <v>73</v>
      </c>
      <c r="L64" t="s">
        <v>68</v>
      </c>
    </row>
    <row r="65" spans="1:12" x14ac:dyDescent="0.3">
      <c r="A65">
        <v>64</v>
      </c>
      <c r="B65" t="s">
        <v>123</v>
      </c>
      <c r="C65" t="s">
        <v>27</v>
      </c>
      <c r="D65" t="s">
        <v>66</v>
      </c>
      <c r="E65" t="s">
        <v>61</v>
      </c>
      <c r="F65" t="s">
        <v>58</v>
      </c>
      <c r="G65" t="s">
        <v>1919</v>
      </c>
      <c r="H65" t="s">
        <v>33</v>
      </c>
      <c r="I65" t="s">
        <v>40</v>
      </c>
      <c r="J65" t="s">
        <v>33</v>
      </c>
      <c r="K65" t="s">
        <v>41</v>
      </c>
      <c r="L65" t="s">
        <v>35</v>
      </c>
    </row>
    <row r="66" spans="1:12" x14ac:dyDescent="0.3">
      <c r="A66">
        <v>65</v>
      </c>
      <c r="B66" t="s">
        <v>124</v>
      </c>
      <c r="C66" t="s">
        <v>44</v>
      </c>
      <c r="D66" t="s">
        <v>28</v>
      </c>
      <c r="E66" t="s">
        <v>38</v>
      </c>
      <c r="F66" t="s">
        <v>50</v>
      </c>
      <c r="G66" t="s">
        <v>1920</v>
      </c>
      <c r="H66" t="s">
        <v>33</v>
      </c>
      <c r="I66" t="s">
        <v>12</v>
      </c>
      <c r="J66" t="s">
        <v>33</v>
      </c>
      <c r="K66" t="s">
        <v>41</v>
      </c>
      <c r="L66" t="s">
        <v>68</v>
      </c>
    </row>
    <row r="67" spans="1:12" x14ac:dyDescent="0.3">
      <c r="A67">
        <v>66</v>
      </c>
      <c r="B67" t="s">
        <v>125</v>
      </c>
      <c r="C67" t="s">
        <v>53</v>
      </c>
      <c r="D67" t="s">
        <v>49</v>
      </c>
      <c r="E67" t="s">
        <v>29</v>
      </c>
      <c r="F67" t="s">
        <v>64</v>
      </c>
      <c r="G67" t="s">
        <v>1921</v>
      </c>
      <c r="H67" t="s">
        <v>62</v>
      </c>
      <c r="I67" t="s">
        <v>40</v>
      </c>
      <c r="J67" t="s">
        <v>33</v>
      </c>
      <c r="K67" t="s">
        <v>34</v>
      </c>
      <c r="L67" t="s">
        <v>35</v>
      </c>
    </row>
    <row r="68" spans="1:12" x14ac:dyDescent="0.3">
      <c r="A68">
        <v>67</v>
      </c>
      <c r="B68" t="s">
        <v>126</v>
      </c>
      <c r="C68" t="s">
        <v>48</v>
      </c>
      <c r="D68" t="s">
        <v>66</v>
      </c>
      <c r="E68" t="s">
        <v>61</v>
      </c>
      <c r="F68" t="s">
        <v>39</v>
      </c>
      <c r="G68" t="s">
        <v>1922</v>
      </c>
      <c r="H68" t="s">
        <v>33</v>
      </c>
      <c r="I68" t="s">
        <v>32</v>
      </c>
      <c r="J68" t="s">
        <v>33</v>
      </c>
      <c r="K68" t="s">
        <v>34</v>
      </c>
      <c r="L68" t="s">
        <v>35</v>
      </c>
    </row>
    <row r="69" spans="1:12" x14ac:dyDescent="0.3">
      <c r="A69">
        <v>68</v>
      </c>
      <c r="B69" t="s">
        <v>127</v>
      </c>
      <c r="C69" t="s">
        <v>48</v>
      </c>
      <c r="D69" t="s">
        <v>49</v>
      </c>
      <c r="E69" t="s">
        <v>29</v>
      </c>
      <c r="F69" t="s">
        <v>30</v>
      </c>
      <c r="G69" t="s">
        <v>1923</v>
      </c>
      <c r="H69" t="s">
        <v>55</v>
      </c>
      <c r="I69" t="s">
        <v>12</v>
      </c>
      <c r="J69" t="s">
        <v>59</v>
      </c>
      <c r="K69" t="s">
        <v>73</v>
      </c>
      <c r="L69" t="s">
        <v>35</v>
      </c>
    </row>
    <row r="70" spans="1:12" x14ac:dyDescent="0.3">
      <c r="A70">
        <v>69</v>
      </c>
      <c r="B70" t="s">
        <v>128</v>
      </c>
      <c r="C70" t="s">
        <v>44</v>
      </c>
      <c r="D70" t="s">
        <v>28</v>
      </c>
      <c r="E70" t="s">
        <v>45</v>
      </c>
      <c r="F70" t="s">
        <v>50</v>
      </c>
      <c r="G70" t="s">
        <v>1924</v>
      </c>
      <c r="H70" t="s">
        <v>33</v>
      </c>
      <c r="I70" t="s">
        <v>12</v>
      </c>
      <c r="J70" t="s">
        <v>59</v>
      </c>
      <c r="K70" t="s">
        <v>73</v>
      </c>
      <c r="L70" t="s">
        <v>42</v>
      </c>
    </row>
    <row r="71" spans="1:12" x14ac:dyDescent="0.3">
      <c r="A71">
        <v>70</v>
      </c>
      <c r="B71" t="s">
        <v>129</v>
      </c>
      <c r="C71" t="s">
        <v>48</v>
      </c>
      <c r="D71" t="s">
        <v>66</v>
      </c>
      <c r="E71" t="s">
        <v>61</v>
      </c>
      <c r="F71" t="s">
        <v>39</v>
      </c>
      <c r="G71" t="s">
        <v>1925</v>
      </c>
      <c r="H71" t="s">
        <v>55</v>
      </c>
      <c r="I71" t="s">
        <v>32</v>
      </c>
      <c r="J71" t="s">
        <v>33</v>
      </c>
      <c r="K71" t="s">
        <v>73</v>
      </c>
      <c r="L71" t="s">
        <v>68</v>
      </c>
    </row>
    <row r="72" spans="1:12" x14ac:dyDescent="0.3">
      <c r="A72">
        <v>71</v>
      </c>
      <c r="B72" t="s">
        <v>130</v>
      </c>
      <c r="C72" t="s">
        <v>48</v>
      </c>
      <c r="D72" t="s">
        <v>66</v>
      </c>
      <c r="E72" t="s">
        <v>45</v>
      </c>
      <c r="F72" t="s">
        <v>39</v>
      </c>
      <c r="G72" t="s">
        <v>1926</v>
      </c>
      <c r="H72" t="s">
        <v>55</v>
      </c>
      <c r="I72" t="s">
        <v>32</v>
      </c>
      <c r="J72" t="s">
        <v>59</v>
      </c>
      <c r="K72" t="s">
        <v>73</v>
      </c>
      <c r="L72" t="s">
        <v>35</v>
      </c>
    </row>
    <row r="73" spans="1:12" x14ac:dyDescent="0.3">
      <c r="A73">
        <v>72</v>
      </c>
      <c r="B73" t="s">
        <v>131</v>
      </c>
      <c r="C73" t="s">
        <v>27</v>
      </c>
      <c r="D73" t="s">
        <v>49</v>
      </c>
      <c r="E73" t="s">
        <v>45</v>
      </c>
      <c r="F73" t="s">
        <v>39</v>
      </c>
      <c r="G73" t="s">
        <v>1927</v>
      </c>
      <c r="H73" t="s">
        <v>55</v>
      </c>
      <c r="I73" t="s">
        <v>40</v>
      </c>
      <c r="J73" t="s">
        <v>33</v>
      </c>
      <c r="K73" t="s">
        <v>34</v>
      </c>
      <c r="L73" t="s">
        <v>35</v>
      </c>
    </row>
    <row r="74" spans="1:12" x14ac:dyDescent="0.3">
      <c r="A74">
        <v>73</v>
      </c>
      <c r="B74" t="s">
        <v>132</v>
      </c>
      <c r="C74" t="s">
        <v>44</v>
      </c>
      <c r="D74" t="s">
        <v>28</v>
      </c>
      <c r="E74" t="s">
        <v>45</v>
      </c>
      <c r="F74" t="s">
        <v>30</v>
      </c>
      <c r="G74" t="s">
        <v>1928</v>
      </c>
      <c r="H74" t="s">
        <v>33</v>
      </c>
      <c r="I74" t="s">
        <v>32</v>
      </c>
      <c r="J74" t="s">
        <v>33</v>
      </c>
      <c r="K74" t="s">
        <v>73</v>
      </c>
      <c r="L74" t="s">
        <v>35</v>
      </c>
    </row>
    <row r="75" spans="1:12" x14ac:dyDescent="0.3">
      <c r="A75">
        <v>74</v>
      </c>
      <c r="B75" t="s">
        <v>133</v>
      </c>
      <c r="C75" t="s">
        <v>48</v>
      </c>
      <c r="D75" t="s">
        <v>54</v>
      </c>
      <c r="E75" t="s">
        <v>45</v>
      </c>
      <c r="F75" t="s">
        <v>58</v>
      </c>
      <c r="G75" t="s">
        <v>1929</v>
      </c>
      <c r="H75" t="s">
        <v>55</v>
      </c>
      <c r="I75" t="s">
        <v>12</v>
      </c>
      <c r="J75" t="s">
        <v>33</v>
      </c>
      <c r="K75" t="s">
        <v>73</v>
      </c>
      <c r="L75" t="s">
        <v>35</v>
      </c>
    </row>
    <row r="76" spans="1:12" x14ac:dyDescent="0.3">
      <c r="A76">
        <v>75</v>
      </c>
      <c r="B76" t="s">
        <v>134</v>
      </c>
      <c r="C76" t="s">
        <v>44</v>
      </c>
      <c r="D76" t="s">
        <v>49</v>
      </c>
      <c r="E76" t="s">
        <v>29</v>
      </c>
      <c r="F76" t="s">
        <v>64</v>
      </c>
      <c r="G76" t="s">
        <v>1930</v>
      </c>
      <c r="H76" t="s">
        <v>33</v>
      </c>
      <c r="I76" t="s">
        <v>12</v>
      </c>
      <c r="J76" t="s">
        <v>33</v>
      </c>
      <c r="K76" t="s">
        <v>34</v>
      </c>
      <c r="L76" t="s">
        <v>35</v>
      </c>
    </row>
    <row r="77" spans="1:12" x14ac:dyDescent="0.3">
      <c r="A77">
        <v>76</v>
      </c>
      <c r="B77" t="s">
        <v>135</v>
      </c>
      <c r="C77" t="s">
        <v>27</v>
      </c>
      <c r="D77" t="s">
        <v>54</v>
      </c>
      <c r="E77" t="s">
        <v>38</v>
      </c>
      <c r="F77" t="s">
        <v>64</v>
      </c>
      <c r="G77" t="s">
        <v>1931</v>
      </c>
      <c r="H77" t="s">
        <v>55</v>
      </c>
      <c r="I77" t="s">
        <v>40</v>
      </c>
      <c r="J77" t="s">
        <v>33</v>
      </c>
      <c r="K77" t="s">
        <v>34</v>
      </c>
      <c r="L77" t="s">
        <v>35</v>
      </c>
    </row>
    <row r="78" spans="1:12" x14ac:dyDescent="0.3">
      <c r="A78">
        <v>77</v>
      </c>
      <c r="B78" t="s">
        <v>136</v>
      </c>
      <c r="C78" t="s">
        <v>27</v>
      </c>
      <c r="D78" t="s">
        <v>54</v>
      </c>
      <c r="E78" t="s">
        <v>45</v>
      </c>
      <c r="F78" t="s">
        <v>30</v>
      </c>
      <c r="G78" t="s">
        <v>1932</v>
      </c>
      <c r="H78" t="s">
        <v>55</v>
      </c>
      <c r="I78" t="s">
        <v>12</v>
      </c>
      <c r="J78" t="s">
        <v>33</v>
      </c>
      <c r="K78" t="s">
        <v>34</v>
      </c>
      <c r="L78" t="s">
        <v>35</v>
      </c>
    </row>
    <row r="79" spans="1:12" x14ac:dyDescent="0.3">
      <c r="A79">
        <v>78</v>
      </c>
      <c r="B79" t="s">
        <v>137</v>
      </c>
      <c r="C79" t="s">
        <v>27</v>
      </c>
      <c r="D79" t="s">
        <v>54</v>
      </c>
      <c r="E79" t="s">
        <v>45</v>
      </c>
      <c r="F79" t="s">
        <v>58</v>
      </c>
      <c r="G79" t="s">
        <v>1933</v>
      </c>
      <c r="H79" t="s">
        <v>31</v>
      </c>
      <c r="I79" t="s">
        <v>40</v>
      </c>
      <c r="J79" t="s">
        <v>59</v>
      </c>
      <c r="K79" t="s">
        <v>34</v>
      </c>
      <c r="L79" t="s">
        <v>35</v>
      </c>
    </row>
    <row r="80" spans="1:12" x14ac:dyDescent="0.3">
      <c r="A80">
        <v>79</v>
      </c>
      <c r="B80" t="s">
        <v>138</v>
      </c>
      <c r="C80" t="s">
        <v>48</v>
      </c>
      <c r="D80" t="s">
        <v>66</v>
      </c>
      <c r="E80" t="s">
        <v>45</v>
      </c>
      <c r="F80" t="s">
        <v>50</v>
      </c>
      <c r="G80" t="s">
        <v>1934</v>
      </c>
      <c r="H80" t="s">
        <v>33</v>
      </c>
      <c r="I80" t="s">
        <v>12</v>
      </c>
      <c r="J80" t="s">
        <v>59</v>
      </c>
      <c r="K80" t="s">
        <v>34</v>
      </c>
      <c r="L80" t="s">
        <v>68</v>
      </c>
    </row>
    <row r="81" spans="1:12" x14ac:dyDescent="0.3">
      <c r="A81">
        <v>80</v>
      </c>
      <c r="B81" t="s">
        <v>139</v>
      </c>
      <c r="C81" t="s">
        <v>27</v>
      </c>
      <c r="D81" t="s">
        <v>28</v>
      </c>
      <c r="E81" t="s">
        <v>61</v>
      </c>
      <c r="F81" t="s">
        <v>39</v>
      </c>
      <c r="G81" t="s">
        <v>1935</v>
      </c>
      <c r="H81" t="s">
        <v>33</v>
      </c>
      <c r="I81" t="s">
        <v>40</v>
      </c>
      <c r="J81" t="s">
        <v>33</v>
      </c>
      <c r="K81" t="s">
        <v>34</v>
      </c>
      <c r="L81" t="s">
        <v>35</v>
      </c>
    </row>
    <row r="82" spans="1:12" x14ac:dyDescent="0.3">
      <c r="A82">
        <v>81</v>
      </c>
      <c r="B82" t="s">
        <v>140</v>
      </c>
      <c r="C82" t="s">
        <v>53</v>
      </c>
      <c r="D82" t="s">
        <v>66</v>
      </c>
      <c r="E82" t="s">
        <v>45</v>
      </c>
      <c r="F82" t="s">
        <v>64</v>
      </c>
      <c r="G82" t="s">
        <v>1936</v>
      </c>
      <c r="H82" t="s">
        <v>33</v>
      </c>
      <c r="I82" t="s">
        <v>32</v>
      </c>
      <c r="J82" t="s">
        <v>33</v>
      </c>
      <c r="K82" t="s">
        <v>73</v>
      </c>
      <c r="L82" t="s">
        <v>35</v>
      </c>
    </row>
    <row r="83" spans="1:12" x14ac:dyDescent="0.3">
      <c r="A83">
        <v>82</v>
      </c>
      <c r="B83" t="s">
        <v>141</v>
      </c>
      <c r="C83" t="s">
        <v>27</v>
      </c>
      <c r="D83" t="s">
        <v>37</v>
      </c>
      <c r="E83" t="s">
        <v>72</v>
      </c>
      <c r="F83" t="s">
        <v>39</v>
      </c>
      <c r="G83" t="s">
        <v>1937</v>
      </c>
      <c r="H83" t="s">
        <v>33</v>
      </c>
      <c r="I83" t="s">
        <v>40</v>
      </c>
      <c r="J83" t="s">
        <v>59</v>
      </c>
      <c r="K83" t="s">
        <v>41</v>
      </c>
      <c r="L83" t="s">
        <v>35</v>
      </c>
    </row>
    <row r="84" spans="1:12" x14ac:dyDescent="0.3">
      <c r="A84">
        <v>83</v>
      </c>
      <c r="B84" t="s">
        <v>142</v>
      </c>
      <c r="C84" t="s">
        <v>44</v>
      </c>
      <c r="D84" t="s">
        <v>66</v>
      </c>
      <c r="E84" t="s">
        <v>72</v>
      </c>
      <c r="F84" t="s">
        <v>39</v>
      </c>
      <c r="G84" t="s">
        <v>1938</v>
      </c>
      <c r="H84" t="s">
        <v>33</v>
      </c>
      <c r="I84" t="s">
        <v>32</v>
      </c>
      <c r="J84" t="s">
        <v>33</v>
      </c>
      <c r="K84" t="s">
        <v>73</v>
      </c>
      <c r="L84" t="s">
        <v>85</v>
      </c>
    </row>
    <row r="85" spans="1:12" x14ac:dyDescent="0.3">
      <c r="A85">
        <v>84</v>
      </c>
      <c r="B85" t="s">
        <v>143</v>
      </c>
      <c r="C85" t="s">
        <v>53</v>
      </c>
      <c r="D85" t="s">
        <v>49</v>
      </c>
      <c r="E85" t="s">
        <v>72</v>
      </c>
      <c r="F85" t="s">
        <v>30</v>
      </c>
      <c r="G85" t="s">
        <v>1939</v>
      </c>
      <c r="H85" t="s">
        <v>33</v>
      </c>
      <c r="I85" t="s">
        <v>40</v>
      </c>
      <c r="J85" t="s">
        <v>33</v>
      </c>
      <c r="K85" t="s">
        <v>41</v>
      </c>
      <c r="L85" t="s">
        <v>35</v>
      </c>
    </row>
    <row r="86" spans="1:12" x14ac:dyDescent="0.3">
      <c r="A86">
        <v>85</v>
      </c>
      <c r="B86" t="s">
        <v>144</v>
      </c>
      <c r="C86" t="s">
        <v>27</v>
      </c>
      <c r="D86" t="s">
        <v>49</v>
      </c>
      <c r="E86" t="s">
        <v>38</v>
      </c>
      <c r="F86" t="s">
        <v>64</v>
      </c>
      <c r="G86" t="s">
        <v>1940</v>
      </c>
      <c r="H86" t="s">
        <v>31</v>
      </c>
      <c r="I86" t="s">
        <v>12</v>
      </c>
      <c r="J86" t="s">
        <v>33</v>
      </c>
      <c r="K86" t="s">
        <v>34</v>
      </c>
      <c r="L86" t="s">
        <v>35</v>
      </c>
    </row>
    <row r="87" spans="1:12" x14ac:dyDescent="0.3">
      <c r="A87">
        <v>86</v>
      </c>
      <c r="B87" t="s">
        <v>145</v>
      </c>
      <c r="C87" t="s">
        <v>27</v>
      </c>
      <c r="D87" t="s">
        <v>28</v>
      </c>
      <c r="E87" t="s">
        <v>61</v>
      </c>
      <c r="F87" t="s">
        <v>50</v>
      </c>
      <c r="G87" t="s">
        <v>1941</v>
      </c>
      <c r="H87" t="s">
        <v>55</v>
      </c>
      <c r="I87" t="s">
        <v>12</v>
      </c>
      <c r="J87" t="s">
        <v>33</v>
      </c>
      <c r="K87" t="s">
        <v>34</v>
      </c>
      <c r="L87" t="s">
        <v>35</v>
      </c>
    </row>
    <row r="88" spans="1:12" x14ac:dyDescent="0.3">
      <c r="A88">
        <v>87</v>
      </c>
      <c r="B88" t="s">
        <v>146</v>
      </c>
      <c r="C88" t="s">
        <v>53</v>
      </c>
      <c r="D88" t="s">
        <v>66</v>
      </c>
      <c r="E88" t="s">
        <v>72</v>
      </c>
      <c r="F88" t="s">
        <v>64</v>
      </c>
      <c r="G88" t="s">
        <v>1942</v>
      </c>
      <c r="H88" t="s">
        <v>31</v>
      </c>
      <c r="I88" t="s">
        <v>40</v>
      </c>
      <c r="J88" t="s">
        <v>33</v>
      </c>
      <c r="K88" t="s">
        <v>73</v>
      </c>
      <c r="L88" t="s">
        <v>35</v>
      </c>
    </row>
    <row r="89" spans="1:12" x14ac:dyDescent="0.3">
      <c r="A89">
        <v>88</v>
      </c>
      <c r="B89" t="s">
        <v>147</v>
      </c>
      <c r="C89" t="s">
        <v>53</v>
      </c>
      <c r="D89" t="s">
        <v>37</v>
      </c>
      <c r="E89" t="s">
        <v>61</v>
      </c>
      <c r="F89" t="s">
        <v>58</v>
      </c>
      <c r="G89" t="s">
        <v>1943</v>
      </c>
      <c r="H89" t="s">
        <v>33</v>
      </c>
      <c r="I89" t="s">
        <v>40</v>
      </c>
      <c r="J89" t="s">
        <v>33</v>
      </c>
      <c r="K89" t="s">
        <v>41</v>
      </c>
      <c r="L89" t="s">
        <v>35</v>
      </c>
    </row>
    <row r="90" spans="1:12" x14ac:dyDescent="0.3">
      <c r="A90">
        <v>89</v>
      </c>
      <c r="B90" t="s">
        <v>148</v>
      </c>
      <c r="C90" t="s">
        <v>27</v>
      </c>
      <c r="D90" t="s">
        <v>49</v>
      </c>
      <c r="E90" t="s">
        <v>29</v>
      </c>
      <c r="F90" t="s">
        <v>30</v>
      </c>
      <c r="G90" t="s">
        <v>1944</v>
      </c>
      <c r="H90" t="s">
        <v>33</v>
      </c>
      <c r="I90" t="s">
        <v>40</v>
      </c>
      <c r="J90" t="s">
        <v>33</v>
      </c>
      <c r="K90" t="s">
        <v>34</v>
      </c>
      <c r="L90" t="s">
        <v>35</v>
      </c>
    </row>
    <row r="91" spans="1:12" x14ac:dyDescent="0.3">
      <c r="A91">
        <v>90</v>
      </c>
      <c r="B91" t="s">
        <v>149</v>
      </c>
      <c r="C91" t="s">
        <v>48</v>
      </c>
      <c r="D91" t="s">
        <v>37</v>
      </c>
      <c r="E91" t="s">
        <v>61</v>
      </c>
      <c r="F91" t="s">
        <v>64</v>
      </c>
      <c r="G91" t="s">
        <v>1945</v>
      </c>
      <c r="H91" t="s">
        <v>55</v>
      </c>
      <c r="I91" t="s">
        <v>12</v>
      </c>
      <c r="J91" t="s">
        <v>33</v>
      </c>
      <c r="K91" t="s">
        <v>41</v>
      </c>
      <c r="L91" t="s">
        <v>35</v>
      </c>
    </row>
    <row r="92" spans="1:12" x14ac:dyDescent="0.3">
      <c r="A92">
        <v>91</v>
      </c>
      <c r="B92" t="s">
        <v>150</v>
      </c>
      <c r="C92" t="s">
        <v>48</v>
      </c>
      <c r="D92" t="s">
        <v>28</v>
      </c>
      <c r="E92" t="s">
        <v>61</v>
      </c>
      <c r="F92" t="s">
        <v>50</v>
      </c>
      <c r="G92" t="s">
        <v>1946</v>
      </c>
      <c r="H92" t="s">
        <v>55</v>
      </c>
      <c r="I92" t="s">
        <v>32</v>
      </c>
      <c r="J92" t="s">
        <v>33</v>
      </c>
      <c r="K92" t="s">
        <v>41</v>
      </c>
      <c r="L92" t="s">
        <v>35</v>
      </c>
    </row>
    <row r="93" spans="1:12" x14ac:dyDescent="0.3">
      <c r="A93">
        <v>92</v>
      </c>
      <c r="B93" t="s">
        <v>151</v>
      </c>
      <c r="C93" t="s">
        <v>48</v>
      </c>
      <c r="D93" t="s">
        <v>66</v>
      </c>
      <c r="E93" t="s">
        <v>45</v>
      </c>
      <c r="F93" t="s">
        <v>64</v>
      </c>
      <c r="G93" t="s">
        <v>1947</v>
      </c>
      <c r="H93" t="s">
        <v>33</v>
      </c>
      <c r="I93" t="s">
        <v>32</v>
      </c>
      <c r="J93" t="s">
        <v>59</v>
      </c>
      <c r="K93" t="s">
        <v>41</v>
      </c>
      <c r="L93" t="s">
        <v>42</v>
      </c>
    </row>
    <row r="94" spans="1:12" x14ac:dyDescent="0.3">
      <c r="A94">
        <v>93</v>
      </c>
      <c r="B94" t="s">
        <v>152</v>
      </c>
      <c r="C94" t="s">
        <v>48</v>
      </c>
      <c r="D94" t="s">
        <v>37</v>
      </c>
      <c r="E94" t="s">
        <v>45</v>
      </c>
      <c r="F94" t="s">
        <v>58</v>
      </c>
      <c r="G94" t="s">
        <v>1948</v>
      </c>
      <c r="H94" t="s">
        <v>62</v>
      </c>
      <c r="I94" t="s">
        <v>32</v>
      </c>
      <c r="J94" t="s">
        <v>33</v>
      </c>
      <c r="K94" t="s">
        <v>73</v>
      </c>
      <c r="L94" t="s">
        <v>35</v>
      </c>
    </row>
    <row r="95" spans="1:12" x14ac:dyDescent="0.3">
      <c r="A95">
        <v>94</v>
      </c>
      <c r="B95" t="s">
        <v>153</v>
      </c>
      <c r="C95" t="s">
        <v>27</v>
      </c>
      <c r="D95" t="s">
        <v>37</v>
      </c>
      <c r="E95" t="s">
        <v>61</v>
      </c>
      <c r="F95" t="s">
        <v>58</v>
      </c>
      <c r="G95" t="s">
        <v>1949</v>
      </c>
      <c r="H95" t="s">
        <v>31</v>
      </c>
      <c r="I95" t="s">
        <v>12</v>
      </c>
      <c r="J95" t="s">
        <v>33</v>
      </c>
      <c r="K95" t="s">
        <v>73</v>
      </c>
      <c r="L95" t="s">
        <v>68</v>
      </c>
    </row>
    <row r="96" spans="1:12" x14ac:dyDescent="0.3">
      <c r="A96">
        <v>95</v>
      </c>
      <c r="B96" t="s">
        <v>154</v>
      </c>
      <c r="C96" t="s">
        <v>53</v>
      </c>
      <c r="D96" t="s">
        <v>66</v>
      </c>
      <c r="E96" t="s">
        <v>38</v>
      </c>
      <c r="F96" t="s">
        <v>58</v>
      </c>
      <c r="G96" t="s">
        <v>1950</v>
      </c>
      <c r="H96" t="s">
        <v>33</v>
      </c>
      <c r="I96" t="s">
        <v>40</v>
      </c>
      <c r="J96" t="s">
        <v>33</v>
      </c>
      <c r="K96" t="s">
        <v>34</v>
      </c>
      <c r="L96" t="s">
        <v>35</v>
      </c>
    </row>
    <row r="97" spans="1:12" x14ac:dyDescent="0.3">
      <c r="A97">
        <v>96</v>
      </c>
      <c r="B97" t="s">
        <v>155</v>
      </c>
      <c r="C97" t="s">
        <v>53</v>
      </c>
      <c r="D97" t="s">
        <v>54</v>
      </c>
      <c r="E97" t="s">
        <v>61</v>
      </c>
      <c r="F97" t="s">
        <v>30</v>
      </c>
      <c r="G97" t="s">
        <v>1951</v>
      </c>
      <c r="H97" t="s">
        <v>33</v>
      </c>
      <c r="I97" t="s">
        <v>40</v>
      </c>
      <c r="J97" t="s">
        <v>33</v>
      </c>
      <c r="K97" t="s">
        <v>34</v>
      </c>
      <c r="L97" t="s">
        <v>35</v>
      </c>
    </row>
    <row r="98" spans="1:12" x14ac:dyDescent="0.3">
      <c r="A98">
        <v>97</v>
      </c>
      <c r="B98" t="s">
        <v>156</v>
      </c>
      <c r="C98" t="s">
        <v>44</v>
      </c>
      <c r="D98" t="s">
        <v>66</v>
      </c>
      <c r="E98" t="s">
        <v>61</v>
      </c>
      <c r="F98" t="s">
        <v>30</v>
      </c>
      <c r="G98" t="s">
        <v>1952</v>
      </c>
      <c r="H98" t="s">
        <v>31</v>
      </c>
      <c r="I98" t="s">
        <v>32</v>
      </c>
      <c r="J98" t="s">
        <v>33</v>
      </c>
      <c r="K98" t="s">
        <v>41</v>
      </c>
      <c r="L98" t="s">
        <v>68</v>
      </c>
    </row>
    <row r="99" spans="1:12" x14ac:dyDescent="0.3">
      <c r="A99">
        <v>98</v>
      </c>
      <c r="B99" t="s">
        <v>157</v>
      </c>
      <c r="C99" t="s">
        <v>27</v>
      </c>
      <c r="D99" t="s">
        <v>66</v>
      </c>
      <c r="E99" t="s">
        <v>72</v>
      </c>
      <c r="F99" t="s">
        <v>39</v>
      </c>
      <c r="G99" t="s">
        <v>1953</v>
      </c>
      <c r="H99" t="s">
        <v>33</v>
      </c>
      <c r="I99" t="s">
        <v>40</v>
      </c>
      <c r="J99" t="s">
        <v>33</v>
      </c>
      <c r="K99" t="s">
        <v>41</v>
      </c>
      <c r="L99" t="s">
        <v>35</v>
      </c>
    </row>
    <row r="100" spans="1:12" x14ac:dyDescent="0.3">
      <c r="A100">
        <v>99</v>
      </c>
      <c r="B100" t="s">
        <v>158</v>
      </c>
      <c r="C100" t="s">
        <v>48</v>
      </c>
      <c r="D100" t="s">
        <v>49</v>
      </c>
      <c r="E100" t="s">
        <v>29</v>
      </c>
      <c r="F100" t="s">
        <v>58</v>
      </c>
      <c r="G100" t="s">
        <v>1954</v>
      </c>
      <c r="H100" t="s">
        <v>55</v>
      </c>
      <c r="I100" t="s">
        <v>12</v>
      </c>
      <c r="J100" t="s">
        <v>33</v>
      </c>
      <c r="K100" t="s">
        <v>41</v>
      </c>
      <c r="L100" t="s">
        <v>42</v>
      </c>
    </row>
    <row r="101" spans="1:12" x14ac:dyDescent="0.3">
      <c r="A101">
        <v>100</v>
      </c>
      <c r="B101" t="s">
        <v>159</v>
      </c>
      <c r="C101" t="s">
        <v>27</v>
      </c>
      <c r="D101" t="s">
        <v>66</v>
      </c>
      <c r="E101" t="s">
        <v>29</v>
      </c>
      <c r="F101" t="s">
        <v>39</v>
      </c>
      <c r="G101" t="s">
        <v>1955</v>
      </c>
      <c r="H101" t="s">
        <v>33</v>
      </c>
      <c r="I101" t="s">
        <v>40</v>
      </c>
      <c r="J101" t="s">
        <v>33</v>
      </c>
      <c r="K101" t="s">
        <v>41</v>
      </c>
      <c r="L101" t="s">
        <v>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0ED4-1AE5-48A6-90F5-A5A68D3498FC}">
  <dimension ref="A1:L101"/>
  <sheetViews>
    <sheetView workbookViewId="0">
      <selection activeCell="K91" sqref="K91"/>
    </sheetView>
  </sheetViews>
  <sheetFormatPr defaultRowHeight="14.4" x14ac:dyDescent="0.3"/>
  <cols>
    <col min="1" max="1" width="10.5546875" bestFit="1" customWidth="1"/>
    <col min="2" max="2" width="18.21875" bestFit="1" customWidth="1"/>
    <col min="3" max="3" width="12.88671875" bestFit="1" customWidth="1"/>
    <col min="4" max="4" width="18.44140625" bestFit="1" customWidth="1"/>
    <col min="5" max="5" width="12.88671875" bestFit="1" customWidth="1"/>
    <col min="6" max="6" width="10" bestFit="1" customWidth="1"/>
    <col min="7" max="7" width="18.21875" bestFit="1" customWidth="1"/>
    <col min="8" max="8" width="18" bestFit="1" customWidth="1"/>
    <col min="9" max="9" width="14.5546875" bestFit="1" customWidth="1"/>
    <col min="10" max="10" width="12.6640625" bestFit="1" customWidth="1"/>
    <col min="11" max="11" width="27.33203125" bestFit="1" customWidth="1"/>
    <col min="12" max="12" width="16.5546875" bestFit="1" customWidth="1"/>
  </cols>
  <sheetData>
    <row r="1" spans="1:12" x14ac:dyDescent="0.3">
      <c r="A1" t="s">
        <v>14</v>
      </c>
      <c r="B1" t="s">
        <v>15</v>
      </c>
      <c r="C1" t="s">
        <v>16</v>
      </c>
      <c r="D1" t="s">
        <v>17</v>
      </c>
      <c r="E1" t="s">
        <v>18</v>
      </c>
      <c r="F1" t="s">
        <v>19</v>
      </c>
      <c r="G1" t="s">
        <v>20</v>
      </c>
      <c r="H1" t="s">
        <v>21</v>
      </c>
      <c r="I1" t="s">
        <v>22</v>
      </c>
      <c r="J1" t="s">
        <v>23</v>
      </c>
      <c r="K1" t="s">
        <v>24</v>
      </c>
      <c r="L1" t="s">
        <v>25</v>
      </c>
    </row>
    <row r="2" spans="1:12" x14ac:dyDescent="0.3">
      <c r="A2">
        <v>1</v>
      </c>
      <c r="B2" t="s">
        <v>26</v>
      </c>
      <c r="C2" t="s">
        <v>27</v>
      </c>
      <c r="D2" t="s">
        <v>28</v>
      </c>
      <c r="E2" t="s">
        <v>29</v>
      </c>
      <c r="F2" t="s">
        <v>30</v>
      </c>
      <c r="G2" s="1">
        <v>44927</v>
      </c>
      <c r="H2" t="s">
        <v>31</v>
      </c>
      <c r="I2" t="s">
        <v>32</v>
      </c>
      <c r="J2" t="s">
        <v>33</v>
      </c>
      <c r="K2" t="s">
        <v>34</v>
      </c>
      <c r="L2" t="s">
        <v>35</v>
      </c>
    </row>
    <row r="3" spans="1:12" x14ac:dyDescent="0.3">
      <c r="A3">
        <v>2</v>
      </c>
      <c r="B3" t="s">
        <v>36</v>
      </c>
      <c r="C3" t="s">
        <v>27</v>
      </c>
      <c r="D3" t="s">
        <v>37</v>
      </c>
      <c r="E3" t="s">
        <v>38</v>
      </c>
      <c r="F3" t="s">
        <v>39</v>
      </c>
      <c r="G3" s="1">
        <v>44586</v>
      </c>
      <c r="H3" t="s">
        <v>33</v>
      </c>
      <c r="I3" t="s">
        <v>40</v>
      </c>
      <c r="J3" t="s">
        <v>33</v>
      </c>
      <c r="K3" t="s">
        <v>41</v>
      </c>
      <c r="L3" t="s">
        <v>42</v>
      </c>
    </row>
    <row r="4" spans="1:12" x14ac:dyDescent="0.3">
      <c r="A4">
        <v>3</v>
      </c>
      <c r="B4" t="s">
        <v>43</v>
      </c>
      <c r="C4" t="s">
        <v>44</v>
      </c>
      <c r="D4" t="s">
        <v>28</v>
      </c>
      <c r="E4" t="s">
        <v>45</v>
      </c>
      <c r="F4" t="s">
        <v>30</v>
      </c>
      <c r="G4" s="1">
        <v>45097</v>
      </c>
      <c r="H4" t="s">
        <v>31</v>
      </c>
      <c r="I4" t="s">
        <v>32</v>
      </c>
      <c r="J4" t="s">
        <v>46</v>
      </c>
      <c r="K4" t="s">
        <v>34</v>
      </c>
      <c r="L4" t="s">
        <v>42</v>
      </c>
    </row>
    <row r="5" spans="1:12" x14ac:dyDescent="0.3">
      <c r="A5">
        <v>4</v>
      </c>
      <c r="B5" t="s">
        <v>47</v>
      </c>
      <c r="C5" t="s">
        <v>48</v>
      </c>
      <c r="D5" t="s">
        <v>49</v>
      </c>
      <c r="E5" t="s">
        <v>29</v>
      </c>
      <c r="F5" t="s">
        <v>50</v>
      </c>
      <c r="G5" s="1">
        <v>44533</v>
      </c>
      <c r="H5" t="s">
        <v>31</v>
      </c>
      <c r="I5" t="s">
        <v>32</v>
      </c>
      <c r="J5" t="s">
        <v>46</v>
      </c>
      <c r="K5" t="s">
        <v>34</v>
      </c>
      <c r="L5" t="s">
        <v>35</v>
      </c>
    </row>
    <row r="6" spans="1:12" x14ac:dyDescent="0.3">
      <c r="A6">
        <v>5</v>
      </c>
      <c r="B6" t="s">
        <v>51</v>
      </c>
      <c r="C6" t="s">
        <v>44</v>
      </c>
      <c r="D6" t="s">
        <v>49</v>
      </c>
      <c r="E6" t="s">
        <v>45</v>
      </c>
      <c r="F6" t="s">
        <v>50</v>
      </c>
      <c r="G6" s="1">
        <v>43994</v>
      </c>
      <c r="H6" t="s">
        <v>31</v>
      </c>
      <c r="I6" t="s">
        <v>32</v>
      </c>
      <c r="J6" t="s">
        <v>33</v>
      </c>
      <c r="K6" t="s">
        <v>34</v>
      </c>
      <c r="L6" t="s">
        <v>35</v>
      </c>
    </row>
    <row r="7" spans="1:12" x14ac:dyDescent="0.3">
      <c r="A7">
        <v>6</v>
      </c>
      <c r="B7" t="s">
        <v>52</v>
      </c>
      <c r="C7" t="s">
        <v>53</v>
      </c>
      <c r="D7" t="s">
        <v>54</v>
      </c>
      <c r="E7" t="s">
        <v>38</v>
      </c>
      <c r="F7" t="s">
        <v>39</v>
      </c>
      <c r="G7" s="1">
        <v>45067</v>
      </c>
      <c r="H7" t="s">
        <v>55</v>
      </c>
      <c r="I7" t="s">
        <v>40</v>
      </c>
      <c r="J7" t="s">
        <v>33</v>
      </c>
      <c r="K7" t="s">
        <v>34</v>
      </c>
      <c r="L7" t="s">
        <v>35</v>
      </c>
    </row>
    <row r="8" spans="1:12" x14ac:dyDescent="0.3">
      <c r="A8">
        <v>7</v>
      </c>
      <c r="B8" t="s">
        <v>56</v>
      </c>
      <c r="C8" t="s">
        <v>48</v>
      </c>
      <c r="D8" t="s">
        <v>49</v>
      </c>
      <c r="E8" t="s">
        <v>45</v>
      </c>
      <c r="F8" t="s">
        <v>50</v>
      </c>
      <c r="G8" s="1">
        <v>43209</v>
      </c>
      <c r="H8" t="s">
        <v>55</v>
      </c>
      <c r="I8" t="s">
        <v>40</v>
      </c>
      <c r="J8" t="s">
        <v>33</v>
      </c>
      <c r="K8" t="s">
        <v>34</v>
      </c>
      <c r="L8" t="s">
        <v>42</v>
      </c>
    </row>
    <row r="9" spans="1:12" x14ac:dyDescent="0.3">
      <c r="A9">
        <v>8</v>
      </c>
      <c r="B9" t="s">
        <v>57</v>
      </c>
      <c r="C9" t="s">
        <v>27</v>
      </c>
      <c r="D9" t="s">
        <v>49</v>
      </c>
      <c r="E9" t="s">
        <v>38</v>
      </c>
      <c r="F9" t="s">
        <v>58</v>
      </c>
      <c r="G9" s="1">
        <v>44549</v>
      </c>
      <c r="H9" t="s">
        <v>33</v>
      </c>
      <c r="I9" t="s">
        <v>12</v>
      </c>
      <c r="J9" t="s">
        <v>59</v>
      </c>
      <c r="K9" t="s">
        <v>41</v>
      </c>
      <c r="L9" t="s">
        <v>35</v>
      </c>
    </row>
    <row r="10" spans="1:12" x14ac:dyDescent="0.3">
      <c r="A10">
        <v>9</v>
      </c>
      <c r="B10" t="s">
        <v>60</v>
      </c>
      <c r="C10" t="s">
        <v>48</v>
      </c>
      <c r="D10" t="s">
        <v>28</v>
      </c>
      <c r="E10" t="s">
        <v>61</v>
      </c>
      <c r="F10" t="s">
        <v>58</v>
      </c>
      <c r="G10" s="1">
        <v>44149</v>
      </c>
      <c r="H10" t="s">
        <v>62</v>
      </c>
      <c r="I10" t="s">
        <v>12</v>
      </c>
      <c r="J10" t="s">
        <v>33</v>
      </c>
      <c r="K10" t="s">
        <v>41</v>
      </c>
      <c r="L10" t="s">
        <v>35</v>
      </c>
    </row>
    <row r="11" spans="1:12" x14ac:dyDescent="0.3">
      <c r="A11">
        <v>10</v>
      </c>
      <c r="B11" t="s">
        <v>63</v>
      </c>
      <c r="C11" t="s">
        <v>48</v>
      </c>
      <c r="D11" t="s">
        <v>28</v>
      </c>
      <c r="E11" t="s">
        <v>61</v>
      </c>
      <c r="F11" t="s">
        <v>64</v>
      </c>
      <c r="G11" s="1">
        <v>44876</v>
      </c>
      <c r="H11" t="s">
        <v>31</v>
      </c>
      <c r="I11" t="s">
        <v>32</v>
      </c>
      <c r="J11" t="s">
        <v>33</v>
      </c>
      <c r="K11" t="s">
        <v>41</v>
      </c>
      <c r="L11" t="s">
        <v>42</v>
      </c>
    </row>
    <row r="12" spans="1:12" x14ac:dyDescent="0.3">
      <c r="A12">
        <v>11</v>
      </c>
      <c r="B12" t="s">
        <v>65</v>
      </c>
      <c r="C12" t="s">
        <v>27</v>
      </c>
      <c r="D12" t="s">
        <v>66</v>
      </c>
      <c r="E12" t="s">
        <v>38</v>
      </c>
      <c r="F12" t="s">
        <v>64</v>
      </c>
      <c r="G12" s="1">
        <v>43414</v>
      </c>
      <c r="H12" t="s">
        <v>62</v>
      </c>
      <c r="I12" t="s">
        <v>40</v>
      </c>
      <c r="J12" t="s">
        <v>33</v>
      </c>
      <c r="K12" t="s">
        <v>41</v>
      </c>
      <c r="L12" t="s">
        <v>35</v>
      </c>
    </row>
    <row r="13" spans="1:12" x14ac:dyDescent="0.3">
      <c r="A13">
        <v>12</v>
      </c>
      <c r="B13" t="s">
        <v>67</v>
      </c>
      <c r="C13" t="s">
        <v>44</v>
      </c>
      <c r="D13" t="s">
        <v>66</v>
      </c>
      <c r="E13" t="s">
        <v>61</v>
      </c>
      <c r="F13" t="s">
        <v>64</v>
      </c>
      <c r="G13" s="1">
        <v>45139</v>
      </c>
      <c r="H13" t="s">
        <v>33</v>
      </c>
      <c r="I13" t="s">
        <v>32</v>
      </c>
      <c r="J13" t="s">
        <v>33</v>
      </c>
      <c r="K13" t="s">
        <v>41</v>
      </c>
      <c r="L13" t="s">
        <v>68</v>
      </c>
    </row>
    <row r="14" spans="1:12" x14ac:dyDescent="0.3">
      <c r="A14">
        <v>13</v>
      </c>
      <c r="B14" t="s">
        <v>69</v>
      </c>
      <c r="C14" t="s">
        <v>53</v>
      </c>
      <c r="D14" t="s">
        <v>66</v>
      </c>
      <c r="E14" t="s">
        <v>61</v>
      </c>
      <c r="F14" t="s">
        <v>30</v>
      </c>
      <c r="G14" s="1">
        <v>45713</v>
      </c>
      <c r="H14" t="s">
        <v>55</v>
      </c>
      <c r="I14" t="s">
        <v>40</v>
      </c>
      <c r="J14" t="s">
        <v>33</v>
      </c>
      <c r="K14" t="s">
        <v>34</v>
      </c>
      <c r="L14" t="s">
        <v>35</v>
      </c>
    </row>
    <row r="15" spans="1:12" x14ac:dyDescent="0.3">
      <c r="A15">
        <v>14</v>
      </c>
      <c r="B15" t="s">
        <v>70</v>
      </c>
      <c r="C15" t="s">
        <v>27</v>
      </c>
      <c r="D15" t="s">
        <v>66</v>
      </c>
      <c r="E15" t="s">
        <v>45</v>
      </c>
      <c r="F15" t="s">
        <v>58</v>
      </c>
      <c r="G15" s="1">
        <v>44175</v>
      </c>
      <c r="H15" t="s">
        <v>62</v>
      </c>
      <c r="I15" t="s">
        <v>12</v>
      </c>
      <c r="J15" t="s">
        <v>33</v>
      </c>
      <c r="K15" t="s">
        <v>41</v>
      </c>
      <c r="L15" t="s">
        <v>35</v>
      </c>
    </row>
    <row r="16" spans="1:12" x14ac:dyDescent="0.3">
      <c r="A16">
        <v>15</v>
      </c>
      <c r="B16" t="s">
        <v>71</v>
      </c>
      <c r="C16" t="s">
        <v>48</v>
      </c>
      <c r="D16" t="s">
        <v>28</v>
      </c>
      <c r="E16" t="s">
        <v>72</v>
      </c>
      <c r="F16" t="s">
        <v>30</v>
      </c>
      <c r="G16" s="1">
        <v>44477</v>
      </c>
      <c r="H16" t="s">
        <v>55</v>
      </c>
      <c r="I16" t="s">
        <v>32</v>
      </c>
      <c r="J16" t="s">
        <v>33</v>
      </c>
      <c r="K16" t="s">
        <v>73</v>
      </c>
      <c r="L16" t="s">
        <v>35</v>
      </c>
    </row>
    <row r="17" spans="1:12" x14ac:dyDescent="0.3">
      <c r="A17">
        <v>16</v>
      </c>
      <c r="B17" t="s">
        <v>74</v>
      </c>
      <c r="C17" t="s">
        <v>44</v>
      </c>
      <c r="D17" t="s">
        <v>66</v>
      </c>
      <c r="E17" t="s">
        <v>38</v>
      </c>
      <c r="F17" t="s">
        <v>50</v>
      </c>
      <c r="G17" s="1">
        <v>45765</v>
      </c>
      <c r="H17" t="s">
        <v>31</v>
      </c>
      <c r="I17" t="s">
        <v>32</v>
      </c>
      <c r="J17" t="s">
        <v>33</v>
      </c>
      <c r="K17" t="s">
        <v>73</v>
      </c>
      <c r="L17" t="s">
        <v>35</v>
      </c>
    </row>
    <row r="18" spans="1:12" x14ac:dyDescent="0.3">
      <c r="A18">
        <v>17</v>
      </c>
      <c r="B18" t="s">
        <v>75</v>
      </c>
      <c r="C18" t="s">
        <v>27</v>
      </c>
      <c r="D18" t="s">
        <v>54</v>
      </c>
      <c r="E18" t="s">
        <v>61</v>
      </c>
      <c r="F18" t="s">
        <v>30</v>
      </c>
      <c r="G18" s="1">
        <v>45091</v>
      </c>
      <c r="H18" t="s">
        <v>55</v>
      </c>
      <c r="I18" t="s">
        <v>12</v>
      </c>
      <c r="J18" t="s">
        <v>33</v>
      </c>
      <c r="K18" t="s">
        <v>73</v>
      </c>
      <c r="L18" t="s">
        <v>35</v>
      </c>
    </row>
    <row r="19" spans="1:12" x14ac:dyDescent="0.3">
      <c r="A19">
        <v>18</v>
      </c>
      <c r="B19" t="s">
        <v>76</v>
      </c>
      <c r="C19" t="s">
        <v>44</v>
      </c>
      <c r="D19" t="s">
        <v>49</v>
      </c>
      <c r="E19" t="s">
        <v>61</v>
      </c>
      <c r="F19" t="s">
        <v>58</v>
      </c>
      <c r="G19" s="1">
        <v>43939</v>
      </c>
      <c r="H19" t="s">
        <v>55</v>
      </c>
      <c r="I19" t="s">
        <v>32</v>
      </c>
      <c r="J19" t="s">
        <v>33</v>
      </c>
      <c r="K19" t="s">
        <v>41</v>
      </c>
      <c r="L19" t="s">
        <v>35</v>
      </c>
    </row>
    <row r="20" spans="1:12" x14ac:dyDescent="0.3">
      <c r="A20">
        <v>19</v>
      </c>
      <c r="B20" t="s">
        <v>77</v>
      </c>
      <c r="C20" t="s">
        <v>44</v>
      </c>
      <c r="D20" t="s">
        <v>66</v>
      </c>
      <c r="E20" t="s">
        <v>61</v>
      </c>
      <c r="F20" t="s">
        <v>30</v>
      </c>
      <c r="G20" s="1">
        <v>43156</v>
      </c>
      <c r="H20" t="s">
        <v>31</v>
      </c>
      <c r="I20" t="s">
        <v>12</v>
      </c>
      <c r="J20" t="s">
        <v>46</v>
      </c>
      <c r="K20" t="s">
        <v>34</v>
      </c>
      <c r="L20" t="s">
        <v>42</v>
      </c>
    </row>
    <row r="21" spans="1:12" x14ac:dyDescent="0.3">
      <c r="A21">
        <v>20</v>
      </c>
      <c r="B21" t="s">
        <v>78</v>
      </c>
      <c r="C21" t="s">
        <v>27</v>
      </c>
      <c r="D21" t="s">
        <v>37</v>
      </c>
      <c r="E21" t="s">
        <v>61</v>
      </c>
      <c r="F21" t="s">
        <v>39</v>
      </c>
      <c r="G21" s="1">
        <v>44418</v>
      </c>
      <c r="H21" t="s">
        <v>33</v>
      </c>
      <c r="I21" t="s">
        <v>12</v>
      </c>
      <c r="J21" t="s">
        <v>33</v>
      </c>
      <c r="K21" t="s">
        <v>73</v>
      </c>
      <c r="L21" t="s">
        <v>35</v>
      </c>
    </row>
    <row r="22" spans="1:12" x14ac:dyDescent="0.3">
      <c r="A22">
        <v>21</v>
      </c>
      <c r="B22" t="s">
        <v>79</v>
      </c>
      <c r="C22" t="s">
        <v>53</v>
      </c>
      <c r="D22" t="s">
        <v>49</v>
      </c>
      <c r="E22" t="s">
        <v>38</v>
      </c>
      <c r="F22" t="s">
        <v>30</v>
      </c>
      <c r="G22" s="1">
        <v>43445</v>
      </c>
      <c r="H22" t="s">
        <v>33</v>
      </c>
      <c r="I22" t="s">
        <v>32</v>
      </c>
      <c r="J22" t="s">
        <v>59</v>
      </c>
      <c r="K22" t="s">
        <v>41</v>
      </c>
      <c r="L22" t="s">
        <v>35</v>
      </c>
    </row>
    <row r="23" spans="1:12" x14ac:dyDescent="0.3">
      <c r="A23">
        <v>22</v>
      </c>
      <c r="B23" t="s">
        <v>80</v>
      </c>
      <c r="C23" t="s">
        <v>27</v>
      </c>
      <c r="D23" t="s">
        <v>28</v>
      </c>
      <c r="E23" t="s">
        <v>38</v>
      </c>
      <c r="F23" t="s">
        <v>30</v>
      </c>
      <c r="G23" s="1">
        <v>43432</v>
      </c>
      <c r="H23" t="s">
        <v>62</v>
      </c>
      <c r="I23" t="s">
        <v>12</v>
      </c>
      <c r="J23" t="s">
        <v>33</v>
      </c>
      <c r="K23" t="s">
        <v>34</v>
      </c>
      <c r="L23" t="s">
        <v>68</v>
      </c>
    </row>
    <row r="24" spans="1:12" x14ac:dyDescent="0.3">
      <c r="A24">
        <v>23</v>
      </c>
      <c r="B24" t="s">
        <v>81</v>
      </c>
      <c r="C24" t="s">
        <v>53</v>
      </c>
      <c r="D24" t="s">
        <v>37</v>
      </c>
      <c r="E24" t="s">
        <v>29</v>
      </c>
      <c r="F24" t="s">
        <v>64</v>
      </c>
      <c r="G24" s="1">
        <v>45053</v>
      </c>
      <c r="H24" t="s">
        <v>31</v>
      </c>
      <c r="I24" t="s">
        <v>40</v>
      </c>
      <c r="J24" t="s">
        <v>33</v>
      </c>
      <c r="K24" t="s">
        <v>34</v>
      </c>
      <c r="L24" t="s">
        <v>42</v>
      </c>
    </row>
    <row r="25" spans="1:12" x14ac:dyDescent="0.3">
      <c r="A25">
        <v>24</v>
      </c>
      <c r="B25" t="s">
        <v>82</v>
      </c>
      <c r="C25" t="s">
        <v>48</v>
      </c>
      <c r="D25" t="s">
        <v>28</v>
      </c>
      <c r="E25" t="s">
        <v>61</v>
      </c>
      <c r="F25" t="s">
        <v>39</v>
      </c>
      <c r="G25" s="1">
        <v>43149</v>
      </c>
      <c r="H25" t="s">
        <v>33</v>
      </c>
      <c r="I25" t="s">
        <v>32</v>
      </c>
      <c r="J25" t="s">
        <v>33</v>
      </c>
      <c r="K25" t="s">
        <v>34</v>
      </c>
      <c r="L25" t="s">
        <v>35</v>
      </c>
    </row>
    <row r="26" spans="1:12" x14ac:dyDescent="0.3">
      <c r="A26">
        <v>25</v>
      </c>
      <c r="B26" t="s">
        <v>83</v>
      </c>
      <c r="C26" t="s">
        <v>53</v>
      </c>
      <c r="D26" t="s">
        <v>54</v>
      </c>
      <c r="E26" t="s">
        <v>45</v>
      </c>
      <c r="F26" t="s">
        <v>64</v>
      </c>
      <c r="G26" s="1">
        <v>44495</v>
      </c>
      <c r="H26" t="s">
        <v>62</v>
      </c>
      <c r="I26" t="s">
        <v>40</v>
      </c>
      <c r="J26" t="s">
        <v>33</v>
      </c>
      <c r="K26" t="s">
        <v>34</v>
      </c>
      <c r="L26" t="s">
        <v>35</v>
      </c>
    </row>
    <row r="27" spans="1:12" x14ac:dyDescent="0.3">
      <c r="A27">
        <v>26</v>
      </c>
      <c r="B27" t="s">
        <v>84</v>
      </c>
      <c r="C27" t="s">
        <v>27</v>
      </c>
      <c r="D27" t="s">
        <v>54</v>
      </c>
      <c r="E27" t="s">
        <v>72</v>
      </c>
      <c r="F27" t="s">
        <v>30</v>
      </c>
      <c r="G27" s="1">
        <v>43817</v>
      </c>
      <c r="H27" t="s">
        <v>31</v>
      </c>
      <c r="I27" t="s">
        <v>12</v>
      </c>
      <c r="J27" t="s">
        <v>59</v>
      </c>
      <c r="K27" t="s">
        <v>34</v>
      </c>
      <c r="L27" t="s">
        <v>85</v>
      </c>
    </row>
    <row r="28" spans="1:12" x14ac:dyDescent="0.3">
      <c r="A28">
        <v>27</v>
      </c>
      <c r="B28" t="s">
        <v>86</v>
      </c>
      <c r="C28" t="s">
        <v>44</v>
      </c>
      <c r="D28" t="s">
        <v>66</v>
      </c>
      <c r="E28" t="s">
        <v>45</v>
      </c>
      <c r="F28" t="s">
        <v>50</v>
      </c>
      <c r="G28" s="1">
        <v>43152</v>
      </c>
      <c r="H28" t="s">
        <v>31</v>
      </c>
      <c r="I28" t="s">
        <v>32</v>
      </c>
      <c r="J28" t="s">
        <v>59</v>
      </c>
      <c r="K28" t="s">
        <v>34</v>
      </c>
      <c r="L28" t="s">
        <v>68</v>
      </c>
    </row>
    <row r="29" spans="1:12" x14ac:dyDescent="0.3">
      <c r="A29">
        <v>28</v>
      </c>
      <c r="B29" t="s">
        <v>87</v>
      </c>
      <c r="C29" t="s">
        <v>44</v>
      </c>
      <c r="D29" t="s">
        <v>37</v>
      </c>
      <c r="E29" t="s">
        <v>29</v>
      </c>
      <c r="F29" t="s">
        <v>39</v>
      </c>
      <c r="G29" s="1">
        <v>42769</v>
      </c>
      <c r="H29" t="s">
        <v>55</v>
      </c>
      <c r="I29" t="s">
        <v>40</v>
      </c>
      <c r="J29" t="s">
        <v>33</v>
      </c>
      <c r="K29" t="s">
        <v>41</v>
      </c>
      <c r="L29" t="s">
        <v>35</v>
      </c>
    </row>
    <row r="30" spans="1:12" x14ac:dyDescent="0.3">
      <c r="A30">
        <v>29</v>
      </c>
      <c r="B30" t="s">
        <v>88</v>
      </c>
      <c r="C30" t="s">
        <v>48</v>
      </c>
      <c r="D30" t="s">
        <v>37</v>
      </c>
      <c r="E30" t="s">
        <v>38</v>
      </c>
      <c r="F30" t="s">
        <v>30</v>
      </c>
      <c r="G30" s="1">
        <v>44373</v>
      </c>
      <c r="H30" t="s">
        <v>31</v>
      </c>
      <c r="I30" t="s">
        <v>40</v>
      </c>
      <c r="J30" t="s">
        <v>33</v>
      </c>
      <c r="K30" t="s">
        <v>34</v>
      </c>
      <c r="L30" t="s">
        <v>35</v>
      </c>
    </row>
    <row r="31" spans="1:12" x14ac:dyDescent="0.3">
      <c r="A31">
        <v>30</v>
      </c>
      <c r="B31" t="s">
        <v>89</v>
      </c>
      <c r="C31" t="s">
        <v>48</v>
      </c>
      <c r="D31" t="s">
        <v>66</v>
      </c>
      <c r="E31" t="s">
        <v>45</v>
      </c>
      <c r="F31" t="s">
        <v>64</v>
      </c>
      <c r="G31" s="1">
        <v>43583</v>
      </c>
      <c r="H31" t="s">
        <v>55</v>
      </c>
      <c r="I31" t="s">
        <v>32</v>
      </c>
      <c r="J31" t="s">
        <v>33</v>
      </c>
      <c r="K31" t="s">
        <v>73</v>
      </c>
      <c r="L31" t="s">
        <v>35</v>
      </c>
    </row>
    <row r="32" spans="1:12" x14ac:dyDescent="0.3">
      <c r="A32">
        <v>31</v>
      </c>
      <c r="B32" t="s">
        <v>90</v>
      </c>
      <c r="C32" t="s">
        <v>44</v>
      </c>
      <c r="D32" t="s">
        <v>37</v>
      </c>
      <c r="E32" t="s">
        <v>38</v>
      </c>
      <c r="F32" t="s">
        <v>50</v>
      </c>
      <c r="G32" s="1">
        <v>44169</v>
      </c>
      <c r="H32" t="s">
        <v>33</v>
      </c>
      <c r="I32" t="s">
        <v>32</v>
      </c>
      <c r="J32" t="s">
        <v>33</v>
      </c>
      <c r="K32" t="s">
        <v>34</v>
      </c>
      <c r="L32" t="s">
        <v>68</v>
      </c>
    </row>
    <row r="33" spans="1:12" x14ac:dyDescent="0.3">
      <c r="A33">
        <v>32</v>
      </c>
      <c r="B33" t="s">
        <v>91</v>
      </c>
      <c r="C33" t="s">
        <v>27</v>
      </c>
      <c r="D33" t="s">
        <v>54</v>
      </c>
      <c r="E33" t="s">
        <v>38</v>
      </c>
      <c r="F33" t="s">
        <v>30</v>
      </c>
      <c r="G33" s="1">
        <v>44023</v>
      </c>
      <c r="H33" t="s">
        <v>33</v>
      </c>
      <c r="I33" t="s">
        <v>12</v>
      </c>
      <c r="J33" t="s">
        <v>59</v>
      </c>
      <c r="K33" t="s">
        <v>34</v>
      </c>
      <c r="L33" t="s">
        <v>35</v>
      </c>
    </row>
    <row r="34" spans="1:12" x14ac:dyDescent="0.3">
      <c r="A34">
        <v>33</v>
      </c>
      <c r="B34" t="s">
        <v>92</v>
      </c>
      <c r="C34" t="s">
        <v>27</v>
      </c>
      <c r="D34" t="s">
        <v>66</v>
      </c>
      <c r="E34" t="s">
        <v>72</v>
      </c>
      <c r="F34" t="s">
        <v>30</v>
      </c>
      <c r="G34" s="1">
        <v>43591</v>
      </c>
      <c r="H34" t="s">
        <v>31</v>
      </c>
      <c r="I34" t="s">
        <v>40</v>
      </c>
      <c r="J34" t="s">
        <v>33</v>
      </c>
      <c r="K34" t="s">
        <v>73</v>
      </c>
      <c r="L34" t="s">
        <v>68</v>
      </c>
    </row>
    <row r="35" spans="1:12" x14ac:dyDescent="0.3">
      <c r="A35">
        <v>34</v>
      </c>
      <c r="B35" t="s">
        <v>93</v>
      </c>
      <c r="C35" t="s">
        <v>44</v>
      </c>
      <c r="D35" t="s">
        <v>37</v>
      </c>
      <c r="E35" t="s">
        <v>29</v>
      </c>
      <c r="F35" t="s">
        <v>64</v>
      </c>
      <c r="G35" s="1">
        <v>43665</v>
      </c>
      <c r="H35" t="s">
        <v>33</v>
      </c>
      <c r="I35" t="s">
        <v>32</v>
      </c>
      <c r="J35" t="s">
        <v>33</v>
      </c>
      <c r="K35" t="s">
        <v>34</v>
      </c>
      <c r="L35" t="s">
        <v>68</v>
      </c>
    </row>
    <row r="36" spans="1:12" x14ac:dyDescent="0.3">
      <c r="A36">
        <v>35</v>
      </c>
      <c r="B36" t="s">
        <v>94</v>
      </c>
      <c r="C36" t="s">
        <v>48</v>
      </c>
      <c r="D36" t="s">
        <v>54</v>
      </c>
      <c r="E36" t="s">
        <v>72</v>
      </c>
      <c r="F36" t="s">
        <v>39</v>
      </c>
      <c r="G36" s="1">
        <v>43780</v>
      </c>
      <c r="H36" t="s">
        <v>33</v>
      </c>
      <c r="I36" t="s">
        <v>12</v>
      </c>
      <c r="J36" t="s">
        <v>59</v>
      </c>
      <c r="K36" t="s">
        <v>41</v>
      </c>
      <c r="L36" t="s">
        <v>42</v>
      </c>
    </row>
    <row r="37" spans="1:12" x14ac:dyDescent="0.3">
      <c r="A37">
        <v>36</v>
      </c>
      <c r="B37" t="s">
        <v>95</v>
      </c>
      <c r="C37" t="s">
        <v>44</v>
      </c>
      <c r="D37" t="s">
        <v>49</v>
      </c>
      <c r="E37" t="s">
        <v>45</v>
      </c>
      <c r="F37" t="s">
        <v>50</v>
      </c>
      <c r="G37" s="1">
        <v>43935</v>
      </c>
      <c r="H37" t="s">
        <v>62</v>
      </c>
      <c r="I37" t="s">
        <v>12</v>
      </c>
      <c r="J37" t="s">
        <v>33</v>
      </c>
      <c r="K37" t="s">
        <v>41</v>
      </c>
      <c r="L37" t="s">
        <v>42</v>
      </c>
    </row>
    <row r="38" spans="1:12" x14ac:dyDescent="0.3">
      <c r="A38">
        <v>37</v>
      </c>
      <c r="B38" t="s">
        <v>96</v>
      </c>
      <c r="C38" t="s">
        <v>27</v>
      </c>
      <c r="D38" t="s">
        <v>28</v>
      </c>
      <c r="E38" t="s">
        <v>72</v>
      </c>
      <c r="F38" t="s">
        <v>50</v>
      </c>
      <c r="G38" s="1">
        <v>44403</v>
      </c>
      <c r="H38" t="s">
        <v>31</v>
      </c>
      <c r="I38" t="s">
        <v>40</v>
      </c>
      <c r="J38" t="s">
        <v>33</v>
      </c>
      <c r="K38" t="s">
        <v>41</v>
      </c>
      <c r="L38" t="s">
        <v>35</v>
      </c>
    </row>
    <row r="39" spans="1:12" x14ac:dyDescent="0.3">
      <c r="A39">
        <v>38</v>
      </c>
      <c r="B39" t="s">
        <v>97</v>
      </c>
      <c r="C39" t="s">
        <v>27</v>
      </c>
      <c r="D39" t="s">
        <v>54</v>
      </c>
      <c r="E39" t="s">
        <v>61</v>
      </c>
      <c r="F39" t="s">
        <v>50</v>
      </c>
      <c r="G39" s="1">
        <v>44619</v>
      </c>
      <c r="H39" t="s">
        <v>33</v>
      </c>
      <c r="I39" t="s">
        <v>40</v>
      </c>
      <c r="J39" t="s">
        <v>33</v>
      </c>
      <c r="K39" t="s">
        <v>34</v>
      </c>
      <c r="L39" t="s">
        <v>35</v>
      </c>
    </row>
    <row r="40" spans="1:12" x14ac:dyDescent="0.3">
      <c r="A40">
        <v>39</v>
      </c>
      <c r="B40" t="s">
        <v>98</v>
      </c>
      <c r="C40" t="s">
        <v>44</v>
      </c>
      <c r="D40" t="s">
        <v>37</v>
      </c>
      <c r="E40" t="s">
        <v>29</v>
      </c>
      <c r="F40" t="s">
        <v>30</v>
      </c>
      <c r="G40" s="1">
        <v>45859</v>
      </c>
      <c r="H40" t="s">
        <v>55</v>
      </c>
      <c r="I40" t="s">
        <v>12</v>
      </c>
      <c r="J40" t="s">
        <v>33</v>
      </c>
      <c r="K40" t="s">
        <v>73</v>
      </c>
      <c r="L40" t="s">
        <v>35</v>
      </c>
    </row>
    <row r="41" spans="1:12" x14ac:dyDescent="0.3">
      <c r="A41">
        <v>40</v>
      </c>
      <c r="B41" t="s">
        <v>99</v>
      </c>
      <c r="C41" t="s">
        <v>48</v>
      </c>
      <c r="D41" t="s">
        <v>28</v>
      </c>
      <c r="E41" t="s">
        <v>45</v>
      </c>
      <c r="F41" t="s">
        <v>58</v>
      </c>
      <c r="G41" s="1">
        <v>44182</v>
      </c>
      <c r="H41" t="s">
        <v>31</v>
      </c>
      <c r="I41" t="s">
        <v>32</v>
      </c>
      <c r="J41" t="s">
        <v>33</v>
      </c>
      <c r="K41" t="s">
        <v>41</v>
      </c>
      <c r="L41" t="s">
        <v>68</v>
      </c>
    </row>
    <row r="42" spans="1:12" x14ac:dyDescent="0.3">
      <c r="A42">
        <v>41</v>
      </c>
      <c r="B42" t="s">
        <v>100</v>
      </c>
      <c r="C42" t="s">
        <v>53</v>
      </c>
      <c r="D42" t="s">
        <v>66</v>
      </c>
      <c r="E42" t="s">
        <v>29</v>
      </c>
      <c r="F42" t="s">
        <v>64</v>
      </c>
      <c r="G42" s="1">
        <v>45158</v>
      </c>
      <c r="H42" t="s">
        <v>31</v>
      </c>
      <c r="I42" t="s">
        <v>40</v>
      </c>
      <c r="J42" t="s">
        <v>33</v>
      </c>
      <c r="K42" t="s">
        <v>73</v>
      </c>
      <c r="L42" t="s">
        <v>35</v>
      </c>
    </row>
    <row r="43" spans="1:12" x14ac:dyDescent="0.3">
      <c r="A43">
        <v>42</v>
      </c>
      <c r="B43" t="s">
        <v>101</v>
      </c>
      <c r="C43" t="s">
        <v>48</v>
      </c>
      <c r="D43" t="s">
        <v>37</v>
      </c>
      <c r="E43" t="s">
        <v>45</v>
      </c>
      <c r="F43" t="s">
        <v>50</v>
      </c>
      <c r="G43" s="1">
        <v>44144</v>
      </c>
      <c r="H43" t="s">
        <v>62</v>
      </c>
      <c r="I43" t="s">
        <v>12</v>
      </c>
      <c r="J43" t="s">
        <v>33</v>
      </c>
      <c r="K43" t="s">
        <v>41</v>
      </c>
      <c r="L43" t="s">
        <v>35</v>
      </c>
    </row>
    <row r="44" spans="1:12" x14ac:dyDescent="0.3">
      <c r="A44">
        <v>43</v>
      </c>
      <c r="B44" t="s">
        <v>102</v>
      </c>
      <c r="C44" t="s">
        <v>27</v>
      </c>
      <c r="D44" t="s">
        <v>49</v>
      </c>
      <c r="E44" t="s">
        <v>72</v>
      </c>
      <c r="F44" t="s">
        <v>50</v>
      </c>
      <c r="G44" s="1">
        <v>43164</v>
      </c>
      <c r="H44" t="s">
        <v>33</v>
      </c>
      <c r="I44" t="s">
        <v>12</v>
      </c>
      <c r="J44" t="s">
        <v>33</v>
      </c>
      <c r="K44" t="s">
        <v>41</v>
      </c>
      <c r="L44" t="s">
        <v>35</v>
      </c>
    </row>
    <row r="45" spans="1:12" x14ac:dyDescent="0.3">
      <c r="A45">
        <v>44</v>
      </c>
      <c r="B45" t="s">
        <v>103</v>
      </c>
      <c r="C45" t="s">
        <v>27</v>
      </c>
      <c r="D45" t="s">
        <v>37</v>
      </c>
      <c r="E45" t="s">
        <v>61</v>
      </c>
      <c r="F45" t="s">
        <v>58</v>
      </c>
      <c r="G45" s="1">
        <v>45132</v>
      </c>
      <c r="H45" t="s">
        <v>31</v>
      </c>
      <c r="I45" t="s">
        <v>40</v>
      </c>
      <c r="J45" t="s">
        <v>33</v>
      </c>
      <c r="K45" t="s">
        <v>41</v>
      </c>
      <c r="L45" t="s">
        <v>35</v>
      </c>
    </row>
    <row r="46" spans="1:12" x14ac:dyDescent="0.3">
      <c r="A46">
        <v>45</v>
      </c>
      <c r="B46" t="s">
        <v>104</v>
      </c>
      <c r="C46" t="s">
        <v>53</v>
      </c>
      <c r="D46" t="s">
        <v>49</v>
      </c>
      <c r="E46" t="s">
        <v>72</v>
      </c>
      <c r="F46" t="s">
        <v>39</v>
      </c>
      <c r="G46" s="1">
        <v>45193</v>
      </c>
      <c r="H46" t="s">
        <v>55</v>
      </c>
      <c r="I46" t="s">
        <v>40</v>
      </c>
      <c r="J46" t="s">
        <v>33</v>
      </c>
      <c r="K46" t="s">
        <v>73</v>
      </c>
      <c r="L46" t="s">
        <v>35</v>
      </c>
    </row>
    <row r="47" spans="1:12" x14ac:dyDescent="0.3">
      <c r="A47">
        <v>46</v>
      </c>
      <c r="B47" t="s">
        <v>105</v>
      </c>
      <c r="C47" t="s">
        <v>53</v>
      </c>
      <c r="D47" t="s">
        <v>37</v>
      </c>
      <c r="E47" t="s">
        <v>72</v>
      </c>
      <c r="F47" t="s">
        <v>39</v>
      </c>
      <c r="G47" s="1">
        <v>44048</v>
      </c>
      <c r="H47" t="s">
        <v>33</v>
      </c>
      <c r="I47" t="s">
        <v>40</v>
      </c>
      <c r="J47" t="s">
        <v>33</v>
      </c>
      <c r="K47" t="s">
        <v>41</v>
      </c>
      <c r="L47" t="s">
        <v>35</v>
      </c>
    </row>
    <row r="48" spans="1:12" x14ac:dyDescent="0.3">
      <c r="A48">
        <v>47</v>
      </c>
      <c r="B48" t="s">
        <v>106</v>
      </c>
      <c r="C48" t="s">
        <v>53</v>
      </c>
      <c r="D48" t="s">
        <v>37</v>
      </c>
      <c r="E48" t="s">
        <v>38</v>
      </c>
      <c r="F48" t="s">
        <v>39</v>
      </c>
      <c r="G48" s="1">
        <v>43839</v>
      </c>
      <c r="H48" t="s">
        <v>33</v>
      </c>
      <c r="I48" t="s">
        <v>12</v>
      </c>
      <c r="J48" t="s">
        <v>59</v>
      </c>
      <c r="K48" t="s">
        <v>34</v>
      </c>
      <c r="L48" t="s">
        <v>35</v>
      </c>
    </row>
    <row r="49" spans="1:12" x14ac:dyDescent="0.3">
      <c r="A49">
        <v>48</v>
      </c>
      <c r="B49" t="s">
        <v>107</v>
      </c>
      <c r="C49" t="s">
        <v>48</v>
      </c>
      <c r="D49" t="s">
        <v>37</v>
      </c>
      <c r="E49" t="s">
        <v>72</v>
      </c>
      <c r="F49" t="s">
        <v>30</v>
      </c>
      <c r="G49" s="1">
        <v>45681</v>
      </c>
      <c r="H49" t="s">
        <v>55</v>
      </c>
      <c r="I49" t="s">
        <v>12</v>
      </c>
      <c r="J49" t="s">
        <v>33</v>
      </c>
      <c r="K49" t="s">
        <v>73</v>
      </c>
      <c r="L49" t="s">
        <v>42</v>
      </c>
    </row>
    <row r="50" spans="1:12" x14ac:dyDescent="0.3">
      <c r="A50">
        <v>49</v>
      </c>
      <c r="B50" t="s">
        <v>108</v>
      </c>
      <c r="C50" t="s">
        <v>44</v>
      </c>
      <c r="D50" t="s">
        <v>28</v>
      </c>
      <c r="E50" t="s">
        <v>38</v>
      </c>
      <c r="F50" t="s">
        <v>58</v>
      </c>
      <c r="G50" s="1">
        <v>43378</v>
      </c>
      <c r="H50" t="s">
        <v>33</v>
      </c>
      <c r="I50" t="s">
        <v>32</v>
      </c>
      <c r="J50" t="s">
        <v>59</v>
      </c>
      <c r="K50" t="s">
        <v>41</v>
      </c>
      <c r="L50" t="s">
        <v>68</v>
      </c>
    </row>
    <row r="51" spans="1:12" x14ac:dyDescent="0.3">
      <c r="A51">
        <v>50</v>
      </c>
      <c r="B51" t="s">
        <v>109</v>
      </c>
      <c r="C51" t="s">
        <v>44</v>
      </c>
      <c r="D51" t="s">
        <v>49</v>
      </c>
      <c r="E51" t="s">
        <v>38</v>
      </c>
      <c r="F51" t="s">
        <v>64</v>
      </c>
      <c r="G51" s="1">
        <v>43534</v>
      </c>
      <c r="H51" t="s">
        <v>62</v>
      </c>
      <c r="I51" t="s">
        <v>32</v>
      </c>
      <c r="J51" t="s">
        <v>33</v>
      </c>
      <c r="K51" t="s">
        <v>34</v>
      </c>
      <c r="L51" t="s">
        <v>35</v>
      </c>
    </row>
    <row r="52" spans="1:12" x14ac:dyDescent="0.3">
      <c r="A52">
        <v>51</v>
      </c>
      <c r="B52" t="s">
        <v>110</v>
      </c>
      <c r="C52" t="s">
        <v>48</v>
      </c>
      <c r="D52" t="s">
        <v>54</v>
      </c>
      <c r="E52" t="s">
        <v>61</v>
      </c>
      <c r="F52" t="s">
        <v>64</v>
      </c>
      <c r="G52" s="1">
        <v>43884</v>
      </c>
      <c r="H52" t="s">
        <v>55</v>
      </c>
      <c r="I52" t="s">
        <v>12</v>
      </c>
      <c r="J52" t="s">
        <v>59</v>
      </c>
      <c r="K52" t="s">
        <v>73</v>
      </c>
      <c r="L52" t="s">
        <v>35</v>
      </c>
    </row>
    <row r="53" spans="1:12" x14ac:dyDescent="0.3">
      <c r="A53">
        <v>52</v>
      </c>
      <c r="B53" t="s">
        <v>111</v>
      </c>
      <c r="C53" t="s">
        <v>48</v>
      </c>
      <c r="D53" t="s">
        <v>49</v>
      </c>
      <c r="E53" t="s">
        <v>29</v>
      </c>
      <c r="F53" t="s">
        <v>39</v>
      </c>
      <c r="G53" s="1">
        <v>44974</v>
      </c>
      <c r="H53" t="s">
        <v>31</v>
      </c>
      <c r="I53" t="s">
        <v>12</v>
      </c>
      <c r="J53" t="s">
        <v>46</v>
      </c>
      <c r="K53" t="s">
        <v>34</v>
      </c>
      <c r="L53" t="s">
        <v>68</v>
      </c>
    </row>
    <row r="54" spans="1:12" x14ac:dyDescent="0.3">
      <c r="A54">
        <v>53</v>
      </c>
      <c r="B54" t="s">
        <v>112</v>
      </c>
      <c r="C54" t="s">
        <v>48</v>
      </c>
      <c r="D54" t="s">
        <v>37</v>
      </c>
      <c r="E54" t="s">
        <v>38</v>
      </c>
      <c r="F54" t="s">
        <v>39</v>
      </c>
      <c r="G54" s="1">
        <v>43816</v>
      </c>
      <c r="H54" t="s">
        <v>55</v>
      </c>
      <c r="I54" t="s">
        <v>40</v>
      </c>
      <c r="J54" t="s">
        <v>33</v>
      </c>
      <c r="K54" t="s">
        <v>34</v>
      </c>
      <c r="L54" t="s">
        <v>35</v>
      </c>
    </row>
    <row r="55" spans="1:12" x14ac:dyDescent="0.3">
      <c r="A55">
        <v>54</v>
      </c>
      <c r="B55" t="s">
        <v>113</v>
      </c>
      <c r="C55" t="s">
        <v>27</v>
      </c>
      <c r="D55" t="s">
        <v>66</v>
      </c>
      <c r="E55" t="s">
        <v>72</v>
      </c>
      <c r="F55" t="s">
        <v>50</v>
      </c>
      <c r="G55" s="1">
        <v>44236</v>
      </c>
      <c r="H55" t="s">
        <v>33</v>
      </c>
      <c r="I55" t="s">
        <v>40</v>
      </c>
      <c r="J55" t="s">
        <v>33</v>
      </c>
      <c r="K55" t="s">
        <v>34</v>
      </c>
      <c r="L55" t="s">
        <v>35</v>
      </c>
    </row>
    <row r="56" spans="1:12" x14ac:dyDescent="0.3">
      <c r="A56">
        <v>55</v>
      </c>
      <c r="B56" t="s">
        <v>114</v>
      </c>
      <c r="C56" t="s">
        <v>48</v>
      </c>
      <c r="D56" t="s">
        <v>49</v>
      </c>
      <c r="E56" t="s">
        <v>38</v>
      </c>
      <c r="F56" t="s">
        <v>39</v>
      </c>
      <c r="G56" s="1">
        <v>44373</v>
      </c>
      <c r="H56" t="s">
        <v>33</v>
      </c>
      <c r="I56" t="s">
        <v>32</v>
      </c>
      <c r="J56" t="s">
        <v>33</v>
      </c>
      <c r="K56" t="s">
        <v>34</v>
      </c>
      <c r="L56" t="s">
        <v>35</v>
      </c>
    </row>
    <row r="57" spans="1:12" x14ac:dyDescent="0.3">
      <c r="A57">
        <v>56</v>
      </c>
      <c r="B57" t="s">
        <v>115</v>
      </c>
      <c r="C57" t="s">
        <v>27</v>
      </c>
      <c r="D57" t="s">
        <v>54</v>
      </c>
      <c r="E57" t="s">
        <v>61</v>
      </c>
      <c r="F57" t="s">
        <v>58</v>
      </c>
      <c r="G57" s="1">
        <v>45156</v>
      </c>
      <c r="H57" t="s">
        <v>62</v>
      </c>
      <c r="I57" t="s">
        <v>40</v>
      </c>
      <c r="J57" t="s">
        <v>33</v>
      </c>
      <c r="K57" t="s">
        <v>41</v>
      </c>
      <c r="L57" t="s">
        <v>35</v>
      </c>
    </row>
    <row r="58" spans="1:12" x14ac:dyDescent="0.3">
      <c r="A58">
        <v>57</v>
      </c>
      <c r="B58" t="s">
        <v>116</v>
      </c>
      <c r="C58" t="s">
        <v>27</v>
      </c>
      <c r="D58" t="s">
        <v>54</v>
      </c>
      <c r="E58" t="s">
        <v>45</v>
      </c>
      <c r="F58" t="s">
        <v>58</v>
      </c>
      <c r="G58" s="1">
        <v>44519</v>
      </c>
      <c r="H58" t="s">
        <v>55</v>
      </c>
      <c r="I58" t="s">
        <v>12</v>
      </c>
      <c r="J58" t="s">
        <v>33</v>
      </c>
      <c r="K58" t="s">
        <v>41</v>
      </c>
      <c r="L58" t="s">
        <v>35</v>
      </c>
    </row>
    <row r="59" spans="1:12" x14ac:dyDescent="0.3">
      <c r="A59">
        <v>58</v>
      </c>
      <c r="B59" t="s">
        <v>117</v>
      </c>
      <c r="C59" t="s">
        <v>48</v>
      </c>
      <c r="D59" t="s">
        <v>37</v>
      </c>
      <c r="E59" t="s">
        <v>72</v>
      </c>
      <c r="F59" t="s">
        <v>50</v>
      </c>
      <c r="G59" s="1">
        <v>44290</v>
      </c>
      <c r="H59" t="s">
        <v>62</v>
      </c>
      <c r="I59" t="s">
        <v>12</v>
      </c>
      <c r="J59" t="s">
        <v>33</v>
      </c>
      <c r="K59" t="s">
        <v>34</v>
      </c>
      <c r="L59" t="s">
        <v>35</v>
      </c>
    </row>
    <row r="60" spans="1:12" x14ac:dyDescent="0.3">
      <c r="A60">
        <v>59</v>
      </c>
      <c r="B60" t="s">
        <v>118</v>
      </c>
      <c r="C60" t="s">
        <v>27</v>
      </c>
      <c r="D60" t="s">
        <v>37</v>
      </c>
      <c r="E60" t="s">
        <v>72</v>
      </c>
      <c r="F60" t="s">
        <v>64</v>
      </c>
      <c r="G60" s="1">
        <v>44254</v>
      </c>
      <c r="H60" t="s">
        <v>62</v>
      </c>
      <c r="I60" t="s">
        <v>12</v>
      </c>
      <c r="J60" t="s">
        <v>33</v>
      </c>
      <c r="K60" t="s">
        <v>34</v>
      </c>
      <c r="L60" t="s">
        <v>35</v>
      </c>
    </row>
    <row r="61" spans="1:12" x14ac:dyDescent="0.3">
      <c r="A61">
        <v>60</v>
      </c>
      <c r="B61" t="s">
        <v>119</v>
      </c>
      <c r="C61" t="s">
        <v>48</v>
      </c>
      <c r="D61" t="s">
        <v>28</v>
      </c>
      <c r="E61" t="s">
        <v>29</v>
      </c>
      <c r="F61" t="s">
        <v>50</v>
      </c>
      <c r="G61" s="1">
        <v>43797</v>
      </c>
      <c r="H61" t="s">
        <v>31</v>
      </c>
      <c r="I61" t="s">
        <v>12</v>
      </c>
      <c r="J61" t="s">
        <v>33</v>
      </c>
      <c r="K61" t="s">
        <v>34</v>
      </c>
      <c r="L61" t="s">
        <v>35</v>
      </c>
    </row>
    <row r="62" spans="1:12" x14ac:dyDescent="0.3">
      <c r="A62">
        <v>61</v>
      </c>
      <c r="B62" t="s">
        <v>120</v>
      </c>
      <c r="C62" t="s">
        <v>44</v>
      </c>
      <c r="D62" t="s">
        <v>28</v>
      </c>
      <c r="E62" t="s">
        <v>72</v>
      </c>
      <c r="F62" t="s">
        <v>39</v>
      </c>
      <c r="G62" s="1">
        <v>43144</v>
      </c>
      <c r="H62" t="s">
        <v>33</v>
      </c>
      <c r="I62" t="s">
        <v>32</v>
      </c>
      <c r="J62" t="s">
        <v>33</v>
      </c>
      <c r="K62" t="s">
        <v>41</v>
      </c>
      <c r="L62" t="s">
        <v>35</v>
      </c>
    </row>
    <row r="63" spans="1:12" x14ac:dyDescent="0.3">
      <c r="A63">
        <v>62</v>
      </c>
      <c r="B63" t="s">
        <v>121</v>
      </c>
      <c r="C63" t="s">
        <v>48</v>
      </c>
      <c r="D63" t="s">
        <v>28</v>
      </c>
      <c r="E63" t="s">
        <v>38</v>
      </c>
      <c r="F63" t="s">
        <v>30</v>
      </c>
      <c r="G63" s="1">
        <v>45585</v>
      </c>
      <c r="H63" t="s">
        <v>31</v>
      </c>
      <c r="I63" t="s">
        <v>12</v>
      </c>
      <c r="J63" t="s">
        <v>59</v>
      </c>
      <c r="K63" t="s">
        <v>34</v>
      </c>
      <c r="L63" t="s">
        <v>85</v>
      </c>
    </row>
    <row r="64" spans="1:12" x14ac:dyDescent="0.3">
      <c r="A64">
        <v>63</v>
      </c>
      <c r="B64" t="s">
        <v>122</v>
      </c>
      <c r="C64" t="s">
        <v>48</v>
      </c>
      <c r="D64" t="s">
        <v>37</v>
      </c>
      <c r="E64" t="s">
        <v>72</v>
      </c>
      <c r="F64" t="s">
        <v>64</v>
      </c>
      <c r="G64" s="1">
        <v>43397</v>
      </c>
      <c r="H64" t="s">
        <v>31</v>
      </c>
      <c r="I64" t="s">
        <v>32</v>
      </c>
      <c r="J64" t="s">
        <v>33</v>
      </c>
      <c r="K64" t="s">
        <v>73</v>
      </c>
      <c r="L64" t="s">
        <v>68</v>
      </c>
    </row>
    <row r="65" spans="1:12" x14ac:dyDescent="0.3">
      <c r="A65">
        <v>64</v>
      </c>
      <c r="B65" t="s">
        <v>123</v>
      </c>
      <c r="C65" t="s">
        <v>27</v>
      </c>
      <c r="D65" t="s">
        <v>66</v>
      </c>
      <c r="E65" t="s">
        <v>61</v>
      </c>
      <c r="F65" t="s">
        <v>58</v>
      </c>
      <c r="G65" s="1">
        <v>42931</v>
      </c>
      <c r="H65" t="s">
        <v>33</v>
      </c>
      <c r="I65" t="s">
        <v>40</v>
      </c>
      <c r="J65" t="s">
        <v>33</v>
      </c>
      <c r="K65" t="s">
        <v>41</v>
      </c>
      <c r="L65" t="s">
        <v>35</v>
      </c>
    </row>
    <row r="66" spans="1:12" x14ac:dyDescent="0.3">
      <c r="A66">
        <v>65</v>
      </c>
      <c r="B66" t="s">
        <v>124</v>
      </c>
      <c r="C66" t="s">
        <v>44</v>
      </c>
      <c r="D66" t="s">
        <v>28</v>
      </c>
      <c r="E66" t="s">
        <v>38</v>
      </c>
      <c r="F66" t="s">
        <v>50</v>
      </c>
      <c r="G66" s="1">
        <v>44381</v>
      </c>
      <c r="H66" t="s">
        <v>33</v>
      </c>
      <c r="I66" t="s">
        <v>12</v>
      </c>
      <c r="J66" t="s">
        <v>33</v>
      </c>
      <c r="K66" t="s">
        <v>41</v>
      </c>
      <c r="L66" t="s">
        <v>68</v>
      </c>
    </row>
    <row r="67" spans="1:12" x14ac:dyDescent="0.3">
      <c r="A67">
        <v>66</v>
      </c>
      <c r="B67" t="s">
        <v>125</v>
      </c>
      <c r="C67" t="s">
        <v>53</v>
      </c>
      <c r="D67" t="s">
        <v>49</v>
      </c>
      <c r="E67" t="s">
        <v>29</v>
      </c>
      <c r="F67" t="s">
        <v>64</v>
      </c>
      <c r="G67" s="1">
        <v>44412</v>
      </c>
      <c r="H67" t="s">
        <v>62</v>
      </c>
      <c r="I67" t="s">
        <v>40</v>
      </c>
      <c r="J67" t="s">
        <v>33</v>
      </c>
      <c r="K67" t="s">
        <v>34</v>
      </c>
      <c r="L67" t="s">
        <v>35</v>
      </c>
    </row>
    <row r="68" spans="1:12" x14ac:dyDescent="0.3">
      <c r="A68">
        <v>67</v>
      </c>
      <c r="B68" t="s">
        <v>126</v>
      </c>
      <c r="C68" t="s">
        <v>48</v>
      </c>
      <c r="D68" t="s">
        <v>66</v>
      </c>
      <c r="E68" t="s">
        <v>61</v>
      </c>
      <c r="F68" t="s">
        <v>39</v>
      </c>
      <c r="G68" s="1">
        <v>44843</v>
      </c>
      <c r="H68" t="s">
        <v>33</v>
      </c>
      <c r="I68" t="s">
        <v>32</v>
      </c>
      <c r="J68" t="s">
        <v>33</v>
      </c>
      <c r="K68" t="s">
        <v>34</v>
      </c>
      <c r="L68" t="s">
        <v>35</v>
      </c>
    </row>
    <row r="69" spans="1:12" x14ac:dyDescent="0.3">
      <c r="A69">
        <v>68</v>
      </c>
      <c r="B69" t="s">
        <v>127</v>
      </c>
      <c r="C69" t="s">
        <v>48</v>
      </c>
      <c r="D69" t="s">
        <v>49</v>
      </c>
      <c r="E69" t="s">
        <v>29</v>
      </c>
      <c r="F69" t="s">
        <v>30</v>
      </c>
      <c r="G69" s="1">
        <v>44060</v>
      </c>
      <c r="H69" t="s">
        <v>55</v>
      </c>
      <c r="I69" t="s">
        <v>12</v>
      </c>
      <c r="J69" t="s">
        <v>59</v>
      </c>
      <c r="K69" t="s">
        <v>73</v>
      </c>
      <c r="L69" t="s">
        <v>35</v>
      </c>
    </row>
    <row r="70" spans="1:12" x14ac:dyDescent="0.3">
      <c r="A70">
        <v>69</v>
      </c>
      <c r="B70" t="s">
        <v>128</v>
      </c>
      <c r="C70" t="s">
        <v>44</v>
      </c>
      <c r="D70" t="s">
        <v>28</v>
      </c>
      <c r="E70" t="s">
        <v>45</v>
      </c>
      <c r="F70" t="s">
        <v>50</v>
      </c>
      <c r="G70" s="1">
        <v>45454</v>
      </c>
      <c r="H70" t="s">
        <v>33</v>
      </c>
      <c r="I70" t="s">
        <v>12</v>
      </c>
      <c r="J70" t="s">
        <v>59</v>
      </c>
      <c r="K70" t="s">
        <v>73</v>
      </c>
      <c r="L70" t="s">
        <v>42</v>
      </c>
    </row>
    <row r="71" spans="1:12" x14ac:dyDescent="0.3">
      <c r="A71">
        <v>70</v>
      </c>
      <c r="B71" t="s">
        <v>129</v>
      </c>
      <c r="C71" t="s">
        <v>48</v>
      </c>
      <c r="D71" t="s">
        <v>66</v>
      </c>
      <c r="E71" t="s">
        <v>61</v>
      </c>
      <c r="F71" t="s">
        <v>39</v>
      </c>
      <c r="G71" s="1">
        <v>43625</v>
      </c>
      <c r="H71" t="s">
        <v>55</v>
      </c>
      <c r="I71" t="s">
        <v>32</v>
      </c>
      <c r="J71" t="s">
        <v>33</v>
      </c>
      <c r="K71" t="s">
        <v>73</v>
      </c>
      <c r="L71" t="s">
        <v>68</v>
      </c>
    </row>
    <row r="72" spans="1:12" x14ac:dyDescent="0.3">
      <c r="A72">
        <v>71</v>
      </c>
      <c r="B72" t="s">
        <v>130</v>
      </c>
      <c r="C72" t="s">
        <v>48</v>
      </c>
      <c r="D72" t="s">
        <v>66</v>
      </c>
      <c r="E72" t="s">
        <v>45</v>
      </c>
      <c r="F72" t="s">
        <v>39</v>
      </c>
      <c r="G72" s="1">
        <v>42842</v>
      </c>
      <c r="H72" t="s">
        <v>55</v>
      </c>
      <c r="I72" t="s">
        <v>32</v>
      </c>
      <c r="J72" t="s">
        <v>59</v>
      </c>
      <c r="K72" t="s">
        <v>73</v>
      </c>
      <c r="L72" t="s">
        <v>35</v>
      </c>
    </row>
    <row r="73" spans="1:12" x14ac:dyDescent="0.3">
      <c r="A73">
        <v>72</v>
      </c>
      <c r="B73" t="s">
        <v>131</v>
      </c>
      <c r="C73" t="s">
        <v>27</v>
      </c>
      <c r="D73" t="s">
        <v>49</v>
      </c>
      <c r="E73" t="s">
        <v>45</v>
      </c>
      <c r="F73" t="s">
        <v>39</v>
      </c>
      <c r="G73" s="1">
        <v>43121</v>
      </c>
      <c r="H73" t="s">
        <v>55</v>
      </c>
      <c r="I73" t="s">
        <v>40</v>
      </c>
      <c r="J73" t="s">
        <v>33</v>
      </c>
      <c r="K73" t="s">
        <v>34</v>
      </c>
      <c r="L73" t="s">
        <v>35</v>
      </c>
    </row>
    <row r="74" spans="1:12" x14ac:dyDescent="0.3">
      <c r="A74">
        <v>73</v>
      </c>
      <c r="B74" t="s">
        <v>132</v>
      </c>
      <c r="C74" t="s">
        <v>44</v>
      </c>
      <c r="D74" t="s">
        <v>28</v>
      </c>
      <c r="E74" t="s">
        <v>45</v>
      </c>
      <c r="F74" t="s">
        <v>30</v>
      </c>
      <c r="G74" s="1">
        <v>44066</v>
      </c>
      <c r="H74" t="s">
        <v>33</v>
      </c>
      <c r="I74" t="s">
        <v>32</v>
      </c>
      <c r="J74" t="s">
        <v>33</v>
      </c>
      <c r="K74" t="s">
        <v>73</v>
      </c>
      <c r="L74" t="s">
        <v>35</v>
      </c>
    </row>
    <row r="75" spans="1:12" x14ac:dyDescent="0.3">
      <c r="A75">
        <v>74</v>
      </c>
      <c r="B75" t="s">
        <v>133</v>
      </c>
      <c r="C75" t="s">
        <v>48</v>
      </c>
      <c r="D75" t="s">
        <v>54</v>
      </c>
      <c r="E75" t="s">
        <v>45</v>
      </c>
      <c r="F75" t="s">
        <v>58</v>
      </c>
      <c r="G75" s="1">
        <v>43505</v>
      </c>
      <c r="H75" t="s">
        <v>55</v>
      </c>
      <c r="I75" t="s">
        <v>12</v>
      </c>
      <c r="J75" t="s">
        <v>33</v>
      </c>
      <c r="K75" t="s">
        <v>73</v>
      </c>
      <c r="L75" t="s">
        <v>35</v>
      </c>
    </row>
    <row r="76" spans="1:12" x14ac:dyDescent="0.3">
      <c r="A76">
        <v>75</v>
      </c>
      <c r="B76" t="s">
        <v>134</v>
      </c>
      <c r="C76" t="s">
        <v>44</v>
      </c>
      <c r="D76" t="s">
        <v>49</v>
      </c>
      <c r="E76" t="s">
        <v>29</v>
      </c>
      <c r="F76" t="s">
        <v>64</v>
      </c>
      <c r="G76" s="1">
        <v>45731</v>
      </c>
      <c r="H76" t="s">
        <v>33</v>
      </c>
      <c r="I76" t="s">
        <v>12</v>
      </c>
      <c r="J76" t="s">
        <v>33</v>
      </c>
      <c r="K76" t="s">
        <v>34</v>
      </c>
      <c r="L76" t="s">
        <v>35</v>
      </c>
    </row>
    <row r="77" spans="1:12" x14ac:dyDescent="0.3">
      <c r="A77">
        <v>76</v>
      </c>
      <c r="B77" t="s">
        <v>135</v>
      </c>
      <c r="C77" t="s">
        <v>27</v>
      </c>
      <c r="D77" t="s">
        <v>54</v>
      </c>
      <c r="E77" t="s">
        <v>38</v>
      </c>
      <c r="F77" t="s">
        <v>64</v>
      </c>
      <c r="G77" s="1">
        <v>45044</v>
      </c>
      <c r="H77" t="s">
        <v>55</v>
      </c>
      <c r="I77" t="s">
        <v>40</v>
      </c>
      <c r="J77" t="s">
        <v>33</v>
      </c>
      <c r="K77" t="s">
        <v>34</v>
      </c>
      <c r="L77" t="s">
        <v>35</v>
      </c>
    </row>
    <row r="78" spans="1:12" x14ac:dyDescent="0.3">
      <c r="A78">
        <v>77</v>
      </c>
      <c r="B78" t="s">
        <v>136</v>
      </c>
      <c r="C78" t="s">
        <v>27</v>
      </c>
      <c r="D78" t="s">
        <v>54</v>
      </c>
      <c r="E78" t="s">
        <v>45</v>
      </c>
      <c r="F78" t="s">
        <v>30</v>
      </c>
      <c r="G78" s="1">
        <v>43727</v>
      </c>
      <c r="H78" t="s">
        <v>55</v>
      </c>
      <c r="I78" t="s">
        <v>12</v>
      </c>
      <c r="J78" t="s">
        <v>33</v>
      </c>
      <c r="K78" t="s">
        <v>34</v>
      </c>
      <c r="L78" t="s">
        <v>35</v>
      </c>
    </row>
    <row r="79" spans="1:12" x14ac:dyDescent="0.3">
      <c r="A79">
        <v>78</v>
      </c>
      <c r="B79" t="s">
        <v>137</v>
      </c>
      <c r="C79" t="s">
        <v>27</v>
      </c>
      <c r="D79" t="s">
        <v>54</v>
      </c>
      <c r="E79" t="s">
        <v>45</v>
      </c>
      <c r="F79" t="s">
        <v>58</v>
      </c>
      <c r="G79" s="1">
        <v>43703</v>
      </c>
      <c r="H79" t="s">
        <v>31</v>
      </c>
      <c r="I79" t="s">
        <v>40</v>
      </c>
      <c r="J79" t="s">
        <v>59</v>
      </c>
      <c r="K79" t="s">
        <v>34</v>
      </c>
      <c r="L79" t="s">
        <v>35</v>
      </c>
    </row>
    <row r="80" spans="1:12" x14ac:dyDescent="0.3">
      <c r="A80">
        <v>79</v>
      </c>
      <c r="B80" t="s">
        <v>138</v>
      </c>
      <c r="C80" t="s">
        <v>48</v>
      </c>
      <c r="D80" t="s">
        <v>66</v>
      </c>
      <c r="E80" t="s">
        <v>45</v>
      </c>
      <c r="F80" t="s">
        <v>50</v>
      </c>
      <c r="G80" s="1">
        <v>45902</v>
      </c>
      <c r="H80" t="s">
        <v>33</v>
      </c>
      <c r="I80" t="s">
        <v>12</v>
      </c>
      <c r="J80" t="s">
        <v>59</v>
      </c>
      <c r="K80" t="s">
        <v>34</v>
      </c>
      <c r="L80" t="s">
        <v>68</v>
      </c>
    </row>
    <row r="81" spans="1:12" x14ac:dyDescent="0.3">
      <c r="A81">
        <v>80</v>
      </c>
      <c r="B81" t="s">
        <v>139</v>
      </c>
      <c r="C81" t="s">
        <v>27</v>
      </c>
      <c r="D81" t="s">
        <v>28</v>
      </c>
      <c r="E81" t="s">
        <v>61</v>
      </c>
      <c r="F81" t="s">
        <v>39</v>
      </c>
      <c r="G81" s="1">
        <v>43809</v>
      </c>
      <c r="H81" t="s">
        <v>33</v>
      </c>
      <c r="I81" t="s">
        <v>40</v>
      </c>
      <c r="J81" t="s">
        <v>33</v>
      </c>
      <c r="K81" t="s">
        <v>34</v>
      </c>
      <c r="L81" t="s">
        <v>35</v>
      </c>
    </row>
    <row r="82" spans="1:12" x14ac:dyDescent="0.3">
      <c r="A82">
        <v>81</v>
      </c>
      <c r="B82" t="s">
        <v>140</v>
      </c>
      <c r="C82" t="s">
        <v>53</v>
      </c>
      <c r="D82" t="s">
        <v>66</v>
      </c>
      <c r="E82" t="s">
        <v>45</v>
      </c>
      <c r="F82" t="s">
        <v>64</v>
      </c>
      <c r="G82" s="1">
        <v>43530</v>
      </c>
      <c r="H82" t="s">
        <v>33</v>
      </c>
      <c r="I82" t="s">
        <v>32</v>
      </c>
      <c r="J82" t="s">
        <v>33</v>
      </c>
      <c r="K82" t="s">
        <v>73</v>
      </c>
      <c r="L82" t="s">
        <v>35</v>
      </c>
    </row>
    <row r="83" spans="1:12" x14ac:dyDescent="0.3">
      <c r="A83">
        <v>82</v>
      </c>
      <c r="B83" t="s">
        <v>141</v>
      </c>
      <c r="C83" t="s">
        <v>27</v>
      </c>
      <c r="D83" t="s">
        <v>37</v>
      </c>
      <c r="E83" t="s">
        <v>72</v>
      </c>
      <c r="F83" t="s">
        <v>39</v>
      </c>
      <c r="G83" s="1">
        <v>44501</v>
      </c>
      <c r="H83" t="s">
        <v>33</v>
      </c>
      <c r="I83" t="s">
        <v>40</v>
      </c>
      <c r="J83" t="s">
        <v>59</v>
      </c>
      <c r="K83" t="s">
        <v>41</v>
      </c>
      <c r="L83" t="s">
        <v>35</v>
      </c>
    </row>
    <row r="84" spans="1:12" x14ac:dyDescent="0.3">
      <c r="A84">
        <v>83</v>
      </c>
      <c r="B84" t="s">
        <v>142</v>
      </c>
      <c r="C84" t="s">
        <v>44</v>
      </c>
      <c r="D84" t="s">
        <v>66</v>
      </c>
      <c r="E84" t="s">
        <v>72</v>
      </c>
      <c r="F84" t="s">
        <v>39</v>
      </c>
      <c r="G84" s="1">
        <v>44801</v>
      </c>
      <c r="H84" t="s">
        <v>33</v>
      </c>
      <c r="I84" t="s">
        <v>32</v>
      </c>
      <c r="J84" t="s">
        <v>33</v>
      </c>
      <c r="K84" t="s">
        <v>73</v>
      </c>
      <c r="L84" t="s">
        <v>85</v>
      </c>
    </row>
    <row r="85" spans="1:12" x14ac:dyDescent="0.3">
      <c r="A85">
        <v>84</v>
      </c>
      <c r="B85" t="s">
        <v>143</v>
      </c>
      <c r="C85" t="s">
        <v>53</v>
      </c>
      <c r="D85" t="s">
        <v>49</v>
      </c>
      <c r="E85" t="s">
        <v>72</v>
      </c>
      <c r="F85" t="s">
        <v>30</v>
      </c>
      <c r="G85" s="1">
        <v>45047</v>
      </c>
      <c r="H85" t="s">
        <v>33</v>
      </c>
      <c r="I85" t="s">
        <v>40</v>
      </c>
      <c r="J85" t="s">
        <v>33</v>
      </c>
      <c r="K85" t="s">
        <v>41</v>
      </c>
      <c r="L85" t="s">
        <v>35</v>
      </c>
    </row>
    <row r="86" spans="1:12" x14ac:dyDescent="0.3">
      <c r="A86">
        <v>85</v>
      </c>
      <c r="B86" t="s">
        <v>144</v>
      </c>
      <c r="C86" t="s">
        <v>27</v>
      </c>
      <c r="D86" t="s">
        <v>49</v>
      </c>
      <c r="E86" t="s">
        <v>38</v>
      </c>
      <c r="F86" t="s">
        <v>64</v>
      </c>
      <c r="G86" s="1">
        <v>44672</v>
      </c>
      <c r="H86" t="s">
        <v>31</v>
      </c>
      <c r="I86" t="s">
        <v>12</v>
      </c>
      <c r="J86" t="s">
        <v>33</v>
      </c>
      <c r="K86" t="s">
        <v>34</v>
      </c>
      <c r="L86" t="s">
        <v>35</v>
      </c>
    </row>
    <row r="87" spans="1:12" x14ac:dyDescent="0.3">
      <c r="A87">
        <v>86</v>
      </c>
      <c r="B87" t="s">
        <v>145</v>
      </c>
      <c r="C87" t="s">
        <v>27</v>
      </c>
      <c r="D87" t="s">
        <v>28</v>
      </c>
      <c r="E87" t="s">
        <v>61</v>
      </c>
      <c r="F87" t="s">
        <v>50</v>
      </c>
      <c r="G87" s="1">
        <v>45676</v>
      </c>
      <c r="H87" t="s">
        <v>55</v>
      </c>
      <c r="I87" t="s">
        <v>12</v>
      </c>
      <c r="J87" t="s">
        <v>33</v>
      </c>
      <c r="K87" t="s">
        <v>34</v>
      </c>
      <c r="L87" t="s">
        <v>35</v>
      </c>
    </row>
    <row r="88" spans="1:12" x14ac:dyDescent="0.3">
      <c r="A88">
        <v>87</v>
      </c>
      <c r="B88" t="s">
        <v>146</v>
      </c>
      <c r="C88" t="s">
        <v>53</v>
      </c>
      <c r="D88" t="s">
        <v>66</v>
      </c>
      <c r="E88" t="s">
        <v>72</v>
      </c>
      <c r="F88" t="s">
        <v>64</v>
      </c>
      <c r="G88" s="1">
        <v>44629</v>
      </c>
      <c r="H88" t="s">
        <v>31</v>
      </c>
      <c r="I88" t="s">
        <v>40</v>
      </c>
      <c r="J88" t="s">
        <v>33</v>
      </c>
      <c r="K88" t="s">
        <v>73</v>
      </c>
      <c r="L88" t="s">
        <v>35</v>
      </c>
    </row>
    <row r="89" spans="1:12" x14ac:dyDescent="0.3">
      <c r="A89">
        <v>88</v>
      </c>
      <c r="B89" t="s">
        <v>147</v>
      </c>
      <c r="C89" t="s">
        <v>53</v>
      </c>
      <c r="D89" t="s">
        <v>37</v>
      </c>
      <c r="E89" t="s">
        <v>61</v>
      </c>
      <c r="F89" t="s">
        <v>58</v>
      </c>
      <c r="G89" s="1">
        <v>44159</v>
      </c>
      <c r="H89" t="s">
        <v>33</v>
      </c>
      <c r="I89" t="s">
        <v>40</v>
      </c>
      <c r="J89" t="s">
        <v>33</v>
      </c>
      <c r="K89" t="s">
        <v>41</v>
      </c>
      <c r="L89" t="s">
        <v>35</v>
      </c>
    </row>
    <row r="90" spans="1:12" x14ac:dyDescent="0.3">
      <c r="A90">
        <v>89</v>
      </c>
      <c r="B90" t="s">
        <v>148</v>
      </c>
      <c r="C90" t="s">
        <v>27</v>
      </c>
      <c r="D90" t="s">
        <v>49</v>
      </c>
      <c r="E90" t="s">
        <v>29</v>
      </c>
      <c r="F90" t="s">
        <v>30</v>
      </c>
      <c r="G90" s="1">
        <v>45830</v>
      </c>
      <c r="H90" t="s">
        <v>33</v>
      </c>
      <c r="I90" t="s">
        <v>40</v>
      </c>
      <c r="J90" t="s">
        <v>33</v>
      </c>
      <c r="K90" t="s">
        <v>34</v>
      </c>
      <c r="L90" t="s">
        <v>35</v>
      </c>
    </row>
    <row r="91" spans="1:12" x14ac:dyDescent="0.3">
      <c r="A91">
        <v>90</v>
      </c>
      <c r="B91" t="s">
        <v>149</v>
      </c>
      <c r="C91" t="s">
        <v>48</v>
      </c>
      <c r="D91" t="s">
        <v>37</v>
      </c>
      <c r="E91" t="s">
        <v>61</v>
      </c>
      <c r="F91" t="s">
        <v>64</v>
      </c>
      <c r="G91" s="1">
        <v>44842</v>
      </c>
      <c r="H91" t="s">
        <v>55</v>
      </c>
      <c r="I91" t="s">
        <v>12</v>
      </c>
      <c r="J91" t="s">
        <v>33</v>
      </c>
      <c r="K91" t="s">
        <v>41</v>
      </c>
      <c r="L91" t="s">
        <v>35</v>
      </c>
    </row>
    <row r="92" spans="1:12" x14ac:dyDescent="0.3">
      <c r="A92">
        <v>91</v>
      </c>
      <c r="B92" t="s">
        <v>150</v>
      </c>
      <c r="C92" t="s">
        <v>48</v>
      </c>
      <c r="D92" t="s">
        <v>28</v>
      </c>
      <c r="E92" t="s">
        <v>61</v>
      </c>
      <c r="F92" t="s">
        <v>50</v>
      </c>
      <c r="G92" s="1">
        <v>45692</v>
      </c>
      <c r="H92" t="s">
        <v>55</v>
      </c>
      <c r="I92" t="s">
        <v>32</v>
      </c>
      <c r="J92" t="s">
        <v>33</v>
      </c>
      <c r="K92" t="s">
        <v>41</v>
      </c>
      <c r="L92" t="s">
        <v>35</v>
      </c>
    </row>
    <row r="93" spans="1:12" x14ac:dyDescent="0.3">
      <c r="A93">
        <v>92</v>
      </c>
      <c r="B93" t="s">
        <v>151</v>
      </c>
      <c r="C93" t="s">
        <v>48</v>
      </c>
      <c r="D93" t="s">
        <v>66</v>
      </c>
      <c r="E93" t="s">
        <v>45</v>
      </c>
      <c r="F93" t="s">
        <v>64</v>
      </c>
      <c r="G93" s="1">
        <v>44033</v>
      </c>
      <c r="H93" t="s">
        <v>33</v>
      </c>
      <c r="I93" t="s">
        <v>32</v>
      </c>
      <c r="J93" t="s">
        <v>59</v>
      </c>
      <c r="K93" t="s">
        <v>41</v>
      </c>
      <c r="L93" t="s">
        <v>42</v>
      </c>
    </row>
    <row r="94" spans="1:12" x14ac:dyDescent="0.3">
      <c r="A94">
        <v>93</v>
      </c>
      <c r="B94" t="s">
        <v>152</v>
      </c>
      <c r="C94" t="s">
        <v>48</v>
      </c>
      <c r="D94" t="s">
        <v>37</v>
      </c>
      <c r="E94" t="s">
        <v>45</v>
      </c>
      <c r="F94" t="s">
        <v>58</v>
      </c>
      <c r="G94" s="1">
        <v>44979</v>
      </c>
      <c r="H94" t="s">
        <v>62</v>
      </c>
      <c r="I94" t="s">
        <v>32</v>
      </c>
      <c r="J94" t="s">
        <v>33</v>
      </c>
      <c r="K94" t="s">
        <v>73</v>
      </c>
      <c r="L94" t="s">
        <v>35</v>
      </c>
    </row>
    <row r="95" spans="1:12" x14ac:dyDescent="0.3">
      <c r="A95">
        <v>94</v>
      </c>
      <c r="B95" t="s">
        <v>153</v>
      </c>
      <c r="C95" t="s">
        <v>27</v>
      </c>
      <c r="D95" t="s">
        <v>37</v>
      </c>
      <c r="E95" t="s">
        <v>61</v>
      </c>
      <c r="F95" t="s">
        <v>58</v>
      </c>
      <c r="G95" s="1">
        <v>42761</v>
      </c>
      <c r="H95" t="s">
        <v>31</v>
      </c>
      <c r="I95" t="s">
        <v>12</v>
      </c>
      <c r="J95" t="s">
        <v>33</v>
      </c>
      <c r="K95" t="s">
        <v>73</v>
      </c>
      <c r="L95" t="s">
        <v>68</v>
      </c>
    </row>
    <row r="96" spans="1:12" x14ac:dyDescent="0.3">
      <c r="A96">
        <v>95</v>
      </c>
      <c r="B96" t="s">
        <v>154</v>
      </c>
      <c r="C96" t="s">
        <v>53</v>
      </c>
      <c r="D96" t="s">
        <v>66</v>
      </c>
      <c r="E96" t="s">
        <v>38</v>
      </c>
      <c r="F96" t="s">
        <v>58</v>
      </c>
      <c r="G96" s="1">
        <v>44646</v>
      </c>
      <c r="H96" t="s">
        <v>33</v>
      </c>
      <c r="I96" t="s">
        <v>40</v>
      </c>
      <c r="J96" t="s">
        <v>33</v>
      </c>
      <c r="K96" t="s">
        <v>34</v>
      </c>
      <c r="L96" t="s">
        <v>35</v>
      </c>
    </row>
    <row r="97" spans="1:12" x14ac:dyDescent="0.3">
      <c r="A97">
        <v>96</v>
      </c>
      <c r="B97" t="s">
        <v>155</v>
      </c>
      <c r="C97" t="s">
        <v>53</v>
      </c>
      <c r="D97" t="s">
        <v>54</v>
      </c>
      <c r="E97" t="s">
        <v>61</v>
      </c>
      <c r="F97" t="s">
        <v>30</v>
      </c>
      <c r="G97" s="1">
        <v>43477</v>
      </c>
      <c r="H97" t="s">
        <v>33</v>
      </c>
      <c r="I97" t="s">
        <v>40</v>
      </c>
      <c r="J97" t="s">
        <v>33</v>
      </c>
      <c r="K97" t="s">
        <v>34</v>
      </c>
      <c r="L97" t="s">
        <v>35</v>
      </c>
    </row>
    <row r="98" spans="1:12" x14ac:dyDescent="0.3">
      <c r="A98">
        <v>97</v>
      </c>
      <c r="B98" t="s">
        <v>156</v>
      </c>
      <c r="C98" t="s">
        <v>44</v>
      </c>
      <c r="D98" t="s">
        <v>66</v>
      </c>
      <c r="E98" t="s">
        <v>61</v>
      </c>
      <c r="F98" t="s">
        <v>30</v>
      </c>
      <c r="G98" s="1">
        <v>45894</v>
      </c>
      <c r="H98" t="s">
        <v>31</v>
      </c>
      <c r="I98" t="s">
        <v>32</v>
      </c>
      <c r="J98" t="s">
        <v>33</v>
      </c>
      <c r="K98" t="s">
        <v>41</v>
      </c>
      <c r="L98" t="s">
        <v>68</v>
      </c>
    </row>
    <row r="99" spans="1:12" x14ac:dyDescent="0.3">
      <c r="A99">
        <v>98</v>
      </c>
      <c r="B99" t="s">
        <v>157</v>
      </c>
      <c r="C99" t="s">
        <v>27</v>
      </c>
      <c r="D99" t="s">
        <v>66</v>
      </c>
      <c r="E99" t="s">
        <v>72</v>
      </c>
      <c r="F99" t="s">
        <v>39</v>
      </c>
      <c r="G99" s="1">
        <v>42751</v>
      </c>
      <c r="H99" t="s">
        <v>33</v>
      </c>
      <c r="I99" t="s">
        <v>40</v>
      </c>
      <c r="J99" t="s">
        <v>33</v>
      </c>
      <c r="K99" t="s">
        <v>41</v>
      </c>
      <c r="L99" t="s">
        <v>35</v>
      </c>
    </row>
    <row r="100" spans="1:12" x14ac:dyDescent="0.3">
      <c r="A100">
        <v>99</v>
      </c>
      <c r="B100" t="s">
        <v>158</v>
      </c>
      <c r="C100" t="s">
        <v>48</v>
      </c>
      <c r="D100" t="s">
        <v>49</v>
      </c>
      <c r="E100" t="s">
        <v>29</v>
      </c>
      <c r="F100" t="s">
        <v>58</v>
      </c>
      <c r="G100" s="1">
        <v>43168</v>
      </c>
      <c r="H100" t="s">
        <v>55</v>
      </c>
      <c r="I100" t="s">
        <v>12</v>
      </c>
      <c r="J100" t="s">
        <v>33</v>
      </c>
      <c r="K100" t="s">
        <v>41</v>
      </c>
      <c r="L100" t="s">
        <v>42</v>
      </c>
    </row>
    <row r="101" spans="1:12" x14ac:dyDescent="0.3">
      <c r="A101">
        <v>100</v>
      </c>
      <c r="B101" t="s">
        <v>159</v>
      </c>
      <c r="C101" t="s">
        <v>27</v>
      </c>
      <c r="D101" t="s">
        <v>66</v>
      </c>
      <c r="E101" t="s">
        <v>29</v>
      </c>
      <c r="F101" t="s">
        <v>39</v>
      </c>
      <c r="G101" s="1">
        <v>43438</v>
      </c>
      <c r="H101" t="s">
        <v>33</v>
      </c>
      <c r="I101" t="s">
        <v>40</v>
      </c>
      <c r="J101" t="s">
        <v>33</v>
      </c>
      <c r="K101" t="s">
        <v>41</v>
      </c>
      <c r="L101" t="s">
        <v>35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8D30-2E10-4347-A2FD-8E920F54D814}">
  <dimension ref="A1:L1801"/>
  <sheetViews>
    <sheetView workbookViewId="0">
      <selection activeCell="A2" sqref="A2"/>
    </sheetView>
  </sheetViews>
  <sheetFormatPr defaultRowHeight="14.4" x14ac:dyDescent="0.3"/>
  <cols>
    <col min="1" max="1" width="10.5546875" bestFit="1" customWidth="1"/>
    <col min="2" max="2" width="11.21875" bestFit="1" customWidth="1"/>
    <col min="3" max="3" width="24.33203125" bestFit="1" customWidth="1"/>
    <col min="4" max="4" width="28" bestFit="1" customWidth="1"/>
    <col min="5" max="5" width="26.109375" bestFit="1" customWidth="1"/>
    <col min="6" max="6" width="28.5546875" bestFit="1" customWidth="1"/>
    <col min="7" max="7" width="20.33203125" bestFit="1" customWidth="1"/>
    <col min="8" max="8" width="16.5546875" bestFit="1" customWidth="1"/>
    <col min="9" max="9" width="18.109375" bestFit="1" customWidth="1"/>
    <col min="10" max="10" width="17.109375" bestFit="1" customWidth="1"/>
    <col min="11" max="11" width="14.77734375" bestFit="1" customWidth="1"/>
    <col min="12" max="12" width="15.109375" bestFit="1" customWidth="1"/>
    <col min="13" max="13" width="14.77734375" bestFit="1" customWidth="1"/>
    <col min="14" max="14" width="15.109375" bestFit="1" customWidth="1"/>
  </cols>
  <sheetData>
    <row r="1" spans="1:12" x14ac:dyDescent="0.3">
      <c r="A1" t="s">
        <v>14</v>
      </c>
      <c r="B1" t="s">
        <v>1956</v>
      </c>
      <c r="C1" t="s">
        <v>2</v>
      </c>
      <c r="D1" t="s">
        <v>3</v>
      </c>
      <c r="E1" t="s">
        <v>4</v>
      </c>
      <c r="F1" t="s">
        <v>5</v>
      </c>
      <c r="G1" t="s">
        <v>6</v>
      </c>
      <c r="H1" t="s">
        <v>7</v>
      </c>
      <c r="I1" t="s">
        <v>8</v>
      </c>
      <c r="J1" t="s">
        <v>9</v>
      </c>
      <c r="K1" t="s">
        <v>10</v>
      </c>
      <c r="L1" t="s">
        <v>11</v>
      </c>
    </row>
    <row r="2" spans="1:12" x14ac:dyDescent="0.3">
      <c r="A2">
        <v>1</v>
      </c>
      <c r="B2">
        <v>2021</v>
      </c>
      <c r="C2">
        <v>0.3</v>
      </c>
      <c r="D2">
        <v>0.42</v>
      </c>
      <c r="E2">
        <v>0.8</v>
      </c>
      <c r="F2">
        <v>0.96</v>
      </c>
      <c r="G2">
        <v>0.47</v>
      </c>
      <c r="H2">
        <v>0.47</v>
      </c>
      <c r="I2">
        <v>490</v>
      </c>
      <c r="J2">
        <v>12</v>
      </c>
      <c r="K2">
        <v>0.55000000000000004</v>
      </c>
      <c r="L2" t="s">
        <v>12</v>
      </c>
    </row>
    <row r="3" spans="1:12" x14ac:dyDescent="0.3">
      <c r="A3">
        <v>1</v>
      </c>
      <c r="B3">
        <v>2021</v>
      </c>
      <c r="C3">
        <v>0.4</v>
      </c>
      <c r="D3">
        <v>0.81</v>
      </c>
      <c r="E3">
        <v>0.95</v>
      </c>
      <c r="F3">
        <v>0.9</v>
      </c>
      <c r="G3">
        <v>0.35</v>
      </c>
      <c r="H3">
        <v>0.9</v>
      </c>
      <c r="I3">
        <v>257</v>
      </c>
      <c r="J3">
        <v>7</v>
      </c>
      <c r="K3">
        <v>0.68</v>
      </c>
      <c r="L3" t="s">
        <v>12</v>
      </c>
    </row>
    <row r="4" spans="1:12" x14ac:dyDescent="0.3">
      <c r="A4">
        <v>1</v>
      </c>
      <c r="B4">
        <v>2021</v>
      </c>
      <c r="C4">
        <v>0.45</v>
      </c>
      <c r="D4">
        <v>0.81</v>
      </c>
      <c r="E4">
        <v>0.79</v>
      </c>
      <c r="F4">
        <v>0.82</v>
      </c>
      <c r="G4">
        <v>0.9</v>
      </c>
      <c r="H4">
        <v>0.1</v>
      </c>
      <c r="I4">
        <v>105</v>
      </c>
      <c r="J4">
        <v>4</v>
      </c>
      <c r="K4">
        <v>0.71</v>
      </c>
      <c r="L4" t="s">
        <v>13</v>
      </c>
    </row>
    <row r="5" spans="1:12" x14ac:dyDescent="0.3">
      <c r="A5">
        <v>1</v>
      </c>
      <c r="B5">
        <v>2021</v>
      </c>
      <c r="C5">
        <v>0.5</v>
      </c>
      <c r="D5">
        <v>0.65</v>
      </c>
      <c r="E5">
        <v>0.76</v>
      </c>
      <c r="F5">
        <v>0.65</v>
      </c>
      <c r="G5">
        <v>0.32</v>
      </c>
      <c r="H5">
        <v>0.15</v>
      </c>
      <c r="I5">
        <v>202</v>
      </c>
      <c r="J5">
        <v>8</v>
      </c>
      <c r="K5">
        <v>0.59</v>
      </c>
      <c r="L5" t="s">
        <v>12</v>
      </c>
    </row>
    <row r="6" spans="1:12" x14ac:dyDescent="0.3">
      <c r="A6">
        <v>1</v>
      </c>
      <c r="B6">
        <v>2021</v>
      </c>
      <c r="C6">
        <v>0.77</v>
      </c>
      <c r="D6">
        <v>0.67</v>
      </c>
      <c r="E6">
        <v>0.84</v>
      </c>
      <c r="F6">
        <v>0.63</v>
      </c>
      <c r="G6">
        <v>0.9</v>
      </c>
      <c r="H6">
        <v>0.78</v>
      </c>
      <c r="I6">
        <v>496</v>
      </c>
      <c r="J6">
        <v>2</v>
      </c>
      <c r="K6">
        <v>0.75</v>
      </c>
      <c r="L6" t="s">
        <v>13</v>
      </c>
    </row>
    <row r="7" spans="1:12" x14ac:dyDescent="0.3">
      <c r="A7">
        <v>2</v>
      </c>
      <c r="B7">
        <v>2021</v>
      </c>
      <c r="C7">
        <v>0.87</v>
      </c>
      <c r="D7">
        <v>0.61</v>
      </c>
      <c r="E7">
        <v>0.63</v>
      </c>
      <c r="F7">
        <v>0.75</v>
      </c>
      <c r="G7">
        <v>0.71</v>
      </c>
      <c r="H7">
        <v>0.27</v>
      </c>
      <c r="I7">
        <v>310</v>
      </c>
      <c r="J7">
        <v>4</v>
      </c>
      <c r="K7">
        <v>0.72</v>
      </c>
      <c r="L7" t="s">
        <v>13</v>
      </c>
    </row>
    <row r="8" spans="1:12" x14ac:dyDescent="0.3">
      <c r="A8">
        <v>2</v>
      </c>
      <c r="B8">
        <v>2021</v>
      </c>
      <c r="C8">
        <v>0.77</v>
      </c>
      <c r="D8">
        <v>0.68</v>
      </c>
      <c r="E8">
        <v>0.71</v>
      </c>
      <c r="F8">
        <v>0.86</v>
      </c>
      <c r="G8">
        <v>0.68</v>
      </c>
      <c r="H8">
        <v>0.06</v>
      </c>
      <c r="I8">
        <v>473</v>
      </c>
      <c r="J8">
        <v>5</v>
      </c>
      <c r="K8">
        <v>0.74</v>
      </c>
      <c r="L8" t="s">
        <v>13</v>
      </c>
    </row>
    <row r="9" spans="1:12" x14ac:dyDescent="0.3">
      <c r="A9">
        <v>2</v>
      </c>
      <c r="B9">
        <v>2021</v>
      </c>
      <c r="C9">
        <v>0.79</v>
      </c>
      <c r="D9">
        <v>0.77</v>
      </c>
      <c r="E9">
        <v>0.93</v>
      </c>
      <c r="F9">
        <v>0.69</v>
      </c>
      <c r="G9">
        <v>0.91</v>
      </c>
      <c r="H9">
        <v>0.79</v>
      </c>
      <c r="I9">
        <v>496</v>
      </c>
      <c r="J9">
        <v>8</v>
      </c>
      <c r="K9">
        <v>0.81</v>
      </c>
      <c r="L9" t="s">
        <v>13</v>
      </c>
    </row>
    <row r="10" spans="1:12" x14ac:dyDescent="0.3">
      <c r="A10">
        <v>2</v>
      </c>
      <c r="B10">
        <v>2021</v>
      </c>
      <c r="C10">
        <v>0.81</v>
      </c>
      <c r="D10">
        <v>0.75</v>
      </c>
      <c r="E10">
        <v>0.6</v>
      </c>
      <c r="F10">
        <v>0.8</v>
      </c>
      <c r="G10">
        <v>0.52</v>
      </c>
      <c r="H10">
        <v>0.43</v>
      </c>
      <c r="I10">
        <v>423</v>
      </c>
      <c r="J10">
        <v>19</v>
      </c>
      <c r="K10">
        <v>0.72</v>
      </c>
      <c r="L10" t="s">
        <v>13</v>
      </c>
    </row>
    <row r="11" spans="1:12" x14ac:dyDescent="0.3">
      <c r="A11">
        <v>2</v>
      </c>
      <c r="B11">
        <v>2021</v>
      </c>
      <c r="C11">
        <v>0.9</v>
      </c>
      <c r="D11">
        <v>0.79</v>
      </c>
      <c r="E11">
        <v>0.72</v>
      </c>
      <c r="F11">
        <v>0.74</v>
      </c>
      <c r="G11">
        <v>0.31</v>
      </c>
      <c r="H11">
        <v>0.83</v>
      </c>
      <c r="I11">
        <v>390</v>
      </c>
      <c r="J11">
        <v>11</v>
      </c>
      <c r="K11">
        <v>0.75</v>
      </c>
      <c r="L11" t="s">
        <v>13</v>
      </c>
    </row>
    <row r="12" spans="1:12" x14ac:dyDescent="0.3">
      <c r="A12">
        <v>2</v>
      </c>
      <c r="B12">
        <v>2021</v>
      </c>
      <c r="C12">
        <v>0.64</v>
      </c>
      <c r="D12">
        <v>0.93</v>
      </c>
      <c r="E12">
        <v>0.78</v>
      </c>
      <c r="F12">
        <v>0.87</v>
      </c>
      <c r="G12">
        <v>0.54</v>
      </c>
      <c r="H12">
        <v>0.56999999999999995</v>
      </c>
      <c r="I12">
        <v>491</v>
      </c>
      <c r="J12">
        <v>3</v>
      </c>
      <c r="K12">
        <v>0.77</v>
      </c>
      <c r="L12" t="s">
        <v>13</v>
      </c>
    </row>
    <row r="13" spans="1:12" x14ac:dyDescent="0.3">
      <c r="A13">
        <v>3</v>
      </c>
      <c r="B13">
        <v>2021</v>
      </c>
      <c r="C13">
        <v>0.67</v>
      </c>
      <c r="D13">
        <v>0.73</v>
      </c>
      <c r="E13">
        <v>0.83</v>
      </c>
      <c r="F13">
        <v>0.75</v>
      </c>
      <c r="G13">
        <v>0.75</v>
      </c>
      <c r="H13">
        <v>0.04</v>
      </c>
      <c r="I13">
        <v>215</v>
      </c>
      <c r="J13">
        <v>10</v>
      </c>
      <c r="K13">
        <v>0.74</v>
      </c>
      <c r="L13" t="s">
        <v>13</v>
      </c>
    </row>
    <row r="14" spans="1:12" x14ac:dyDescent="0.3">
      <c r="A14">
        <v>3</v>
      </c>
      <c r="B14">
        <v>2021</v>
      </c>
      <c r="C14">
        <v>0.43</v>
      </c>
      <c r="D14">
        <v>0.5</v>
      </c>
      <c r="E14">
        <v>0.59</v>
      </c>
      <c r="F14">
        <v>0.87</v>
      </c>
      <c r="G14">
        <v>0.62</v>
      </c>
      <c r="H14">
        <v>0.99</v>
      </c>
      <c r="I14">
        <v>62</v>
      </c>
      <c r="J14">
        <v>4</v>
      </c>
      <c r="K14">
        <v>0.56000000000000005</v>
      </c>
      <c r="L14" t="s">
        <v>12</v>
      </c>
    </row>
    <row r="15" spans="1:12" x14ac:dyDescent="0.3">
      <c r="A15">
        <v>3</v>
      </c>
      <c r="B15">
        <v>2021</v>
      </c>
      <c r="C15">
        <v>0.86</v>
      </c>
      <c r="D15">
        <v>0.77</v>
      </c>
      <c r="E15">
        <v>0.56000000000000005</v>
      </c>
      <c r="F15">
        <v>0.85</v>
      </c>
      <c r="G15">
        <v>0.34</v>
      </c>
      <c r="H15">
        <v>0.89</v>
      </c>
      <c r="I15">
        <v>179</v>
      </c>
      <c r="J15">
        <v>10</v>
      </c>
      <c r="K15">
        <v>0.72</v>
      </c>
      <c r="L15" t="s">
        <v>13</v>
      </c>
    </row>
    <row r="16" spans="1:12" x14ac:dyDescent="0.3">
      <c r="A16">
        <v>3</v>
      </c>
      <c r="B16">
        <v>2021</v>
      </c>
      <c r="C16">
        <v>0.78</v>
      </c>
      <c r="D16">
        <v>0.94</v>
      </c>
      <c r="E16">
        <v>0.98</v>
      </c>
      <c r="F16">
        <v>0.61</v>
      </c>
      <c r="G16">
        <v>0.99</v>
      </c>
      <c r="H16">
        <v>0.32</v>
      </c>
      <c r="I16">
        <v>226</v>
      </c>
      <c r="J16">
        <v>10</v>
      </c>
      <c r="K16">
        <v>0.86</v>
      </c>
      <c r="L16" t="s">
        <v>13</v>
      </c>
    </row>
    <row r="17" spans="1:12" x14ac:dyDescent="0.3">
      <c r="A17">
        <v>4</v>
      </c>
      <c r="B17">
        <v>2021</v>
      </c>
      <c r="C17">
        <v>0.64</v>
      </c>
      <c r="D17">
        <v>0.83</v>
      </c>
      <c r="E17">
        <v>0.91</v>
      </c>
      <c r="F17">
        <v>0.89</v>
      </c>
      <c r="G17">
        <v>0.67</v>
      </c>
      <c r="H17">
        <v>0.48</v>
      </c>
      <c r="I17">
        <v>222</v>
      </c>
      <c r="J17">
        <v>11</v>
      </c>
      <c r="K17">
        <v>0.78</v>
      </c>
      <c r="L17" t="s">
        <v>13</v>
      </c>
    </row>
    <row r="18" spans="1:12" x14ac:dyDescent="0.3">
      <c r="A18">
        <v>4</v>
      </c>
      <c r="B18">
        <v>2021</v>
      </c>
      <c r="C18">
        <v>0.9</v>
      </c>
      <c r="D18">
        <v>0.7</v>
      </c>
      <c r="E18">
        <v>0.8</v>
      </c>
      <c r="F18">
        <v>0.69</v>
      </c>
      <c r="G18">
        <v>0.68</v>
      </c>
      <c r="H18">
        <v>0.69</v>
      </c>
      <c r="I18">
        <v>195</v>
      </c>
      <c r="J18">
        <v>9</v>
      </c>
      <c r="K18">
        <v>0.78</v>
      </c>
      <c r="L18" t="s">
        <v>13</v>
      </c>
    </row>
    <row r="19" spans="1:12" x14ac:dyDescent="0.3">
      <c r="A19">
        <v>4</v>
      </c>
      <c r="B19">
        <v>2021</v>
      </c>
      <c r="C19">
        <v>0.44</v>
      </c>
      <c r="D19">
        <v>0.65</v>
      </c>
      <c r="E19">
        <v>0.77</v>
      </c>
      <c r="F19">
        <v>0.83</v>
      </c>
      <c r="G19">
        <v>0.72</v>
      </c>
      <c r="H19">
        <v>0.64</v>
      </c>
      <c r="I19">
        <v>102</v>
      </c>
      <c r="J19">
        <v>11</v>
      </c>
      <c r="K19">
        <v>0.64</v>
      </c>
      <c r="L19" t="s">
        <v>12</v>
      </c>
    </row>
    <row r="20" spans="1:12" x14ac:dyDescent="0.3">
      <c r="A20">
        <v>5</v>
      </c>
      <c r="B20">
        <v>2021</v>
      </c>
      <c r="C20">
        <v>0.83</v>
      </c>
      <c r="D20">
        <v>0.94</v>
      </c>
      <c r="E20">
        <v>0.96</v>
      </c>
      <c r="F20">
        <v>0.91</v>
      </c>
      <c r="G20">
        <v>0.46</v>
      </c>
      <c r="H20">
        <v>0.02</v>
      </c>
      <c r="I20">
        <v>65</v>
      </c>
      <c r="J20">
        <v>11</v>
      </c>
      <c r="K20">
        <v>0.86</v>
      </c>
      <c r="L20" t="s">
        <v>13</v>
      </c>
    </row>
    <row r="21" spans="1:12" x14ac:dyDescent="0.3">
      <c r="A21">
        <v>6</v>
      </c>
      <c r="B21">
        <v>2021</v>
      </c>
      <c r="C21">
        <v>0.85</v>
      </c>
      <c r="D21">
        <v>0.57999999999999996</v>
      </c>
      <c r="E21">
        <v>0.52</v>
      </c>
      <c r="F21">
        <v>0.84</v>
      </c>
      <c r="G21">
        <v>0.57999999999999996</v>
      </c>
      <c r="H21">
        <v>0.97</v>
      </c>
      <c r="I21">
        <v>179</v>
      </c>
      <c r="J21">
        <v>14</v>
      </c>
      <c r="K21">
        <v>0.69</v>
      </c>
      <c r="L21" t="s">
        <v>12</v>
      </c>
    </row>
    <row r="22" spans="1:12" x14ac:dyDescent="0.3">
      <c r="A22">
        <v>6</v>
      </c>
      <c r="B22">
        <v>2021</v>
      </c>
      <c r="C22">
        <v>0.39</v>
      </c>
      <c r="D22">
        <v>0.71</v>
      </c>
      <c r="E22">
        <v>0.79</v>
      </c>
      <c r="F22">
        <v>0.74</v>
      </c>
      <c r="G22">
        <v>0.63</v>
      </c>
      <c r="H22">
        <v>0.36</v>
      </c>
      <c r="I22">
        <v>315</v>
      </c>
      <c r="J22">
        <v>8</v>
      </c>
      <c r="K22">
        <v>0.63</v>
      </c>
      <c r="L22" t="s">
        <v>12</v>
      </c>
    </row>
    <row r="23" spans="1:12" x14ac:dyDescent="0.3">
      <c r="A23">
        <v>6</v>
      </c>
      <c r="B23">
        <v>2021</v>
      </c>
      <c r="C23">
        <v>0.39</v>
      </c>
      <c r="D23">
        <v>0.99</v>
      </c>
      <c r="E23">
        <v>0.7</v>
      </c>
      <c r="F23">
        <v>0.69</v>
      </c>
      <c r="G23">
        <v>0.42</v>
      </c>
      <c r="H23">
        <v>0.67</v>
      </c>
      <c r="I23">
        <v>433</v>
      </c>
      <c r="J23">
        <v>17</v>
      </c>
      <c r="K23">
        <v>0.65</v>
      </c>
      <c r="L23" t="s">
        <v>12</v>
      </c>
    </row>
    <row r="24" spans="1:12" x14ac:dyDescent="0.3">
      <c r="A24">
        <v>6</v>
      </c>
      <c r="B24">
        <v>2021</v>
      </c>
      <c r="C24">
        <v>0.43</v>
      </c>
      <c r="D24">
        <v>0.48</v>
      </c>
      <c r="E24">
        <v>0.8</v>
      </c>
      <c r="F24">
        <v>0.85</v>
      </c>
      <c r="G24">
        <v>0.34</v>
      </c>
      <c r="H24">
        <v>0.24</v>
      </c>
      <c r="I24">
        <v>164</v>
      </c>
      <c r="J24">
        <v>11</v>
      </c>
      <c r="K24">
        <v>0.56999999999999995</v>
      </c>
      <c r="L24" t="s">
        <v>12</v>
      </c>
    </row>
    <row r="25" spans="1:12" x14ac:dyDescent="0.3">
      <c r="A25">
        <v>7</v>
      </c>
      <c r="B25">
        <v>2021</v>
      </c>
      <c r="C25">
        <v>0.81</v>
      </c>
      <c r="D25">
        <v>0.68</v>
      </c>
      <c r="E25">
        <v>0.61</v>
      </c>
      <c r="F25">
        <v>0.81</v>
      </c>
      <c r="G25">
        <v>0.97</v>
      </c>
      <c r="H25">
        <v>0.59</v>
      </c>
      <c r="I25">
        <v>118</v>
      </c>
      <c r="J25">
        <v>18</v>
      </c>
      <c r="K25">
        <v>0.75</v>
      </c>
      <c r="L25" t="s">
        <v>13</v>
      </c>
    </row>
    <row r="26" spans="1:12" x14ac:dyDescent="0.3">
      <c r="A26">
        <v>7</v>
      </c>
      <c r="B26">
        <v>2021</v>
      </c>
      <c r="C26">
        <v>0.98</v>
      </c>
      <c r="D26">
        <v>0.44</v>
      </c>
      <c r="E26">
        <v>0.71</v>
      </c>
      <c r="F26">
        <v>0.7</v>
      </c>
      <c r="G26">
        <v>0.63</v>
      </c>
      <c r="H26">
        <v>0.92</v>
      </c>
      <c r="I26">
        <v>165</v>
      </c>
      <c r="J26">
        <v>17</v>
      </c>
      <c r="K26">
        <v>0.71</v>
      </c>
      <c r="L26" t="s">
        <v>13</v>
      </c>
    </row>
    <row r="27" spans="1:12" x14ac:dyDescent="0.3">
      <c r="A27">
        <v>7</v>
      </c>
      <c r="B27">
        <v>2021</v>
      </c>
      <c r="C27">
        <v>0.41</v>
      </c>
      <c r="D27">
        <v>0.89</v>
      </c>
      <c r="E27">
        <v>0.79</v>
      </c>
      <c r="F27">
        <v>0.85</v>
      </c>
      <c r="G27">
        <v>0.87</v>
      </c>
      <c r="H27">
        <v>0.34</v>
      </c>
      <c r="I27">
        <v>483</v>
      </c>
      <c r="J27">
        <v>9</v>
      </c>
      <c r="K27">
        <v>0.72</v>
      </c>
      <c r="L27" t="s">
        <v>13</v>
      </c>
    </row>
    <row r="28" spans="1:12" x14ac:dyDescent="0.3">
      <c r="A28">
        <v>8</v>
      </c>
      <c r="B28">
        <v>2021</v>
      </c>
      <c r="C28">
        <v>0.54</v>
      </c>
      <c r="D28">
        <v>0.96</v>
      </c>
      <c r="E28">
        <v>0.54</v>
      </c>
      <c r="F28">
        <v>0.97</v>
      </c>
      <c r="G28">
        <v>0.88</v>
      </c>
      <c r="H28">
        <v>0.13</v>
      </c>
      <c r="I28">
        <v>186</v>
      </c>
      <c r="J28">
        <v>1</v>
      </c>
      <c r="K28">
        <v>0.74</v>
      </c>
      <c r="L28" t="s">
        <v>13</v>
      </c>
    </row>
    <row r="29" spans="1:12" x14ac:dyDescent="0.3">
      <c r="A29">
        <v>8</v>
      </c>
      <c r="B29">
        <v>2021</v>
      </c>
      <c r="C29">
        <v>0.63</v>
      </c>
      <c r="D29">
        <v>0.92</v>
      </c>
      <c r="E29">
        <v>0.71</v>
      </c>
      <c r="F29">
        <v>0.81</v>
      </c>
      <c r="G29">
        <v>0.31</v>
      </c>
      <c r="H29">
        <v>0.16</v>
      </c>
      <c r="I29">
        <v>366</v>
      </c>
      <c r="J29">
        <v>2</v>
      </c>
      <c r="K29">
        <v>0.71</v>
      </c>
      <c r="L29" t="s">
        <v>13</v>
      </c>
    </row>
    <row r="30" spans="1:12" x14ac:dyDescent="0.3">
      <c r="A30">
        <v>9</v>
      </c>
      <c r="B30">
        <v>2021</v>
      </c>
      <c r="C30">
        <v>0.44</v>
      </c>
      <c r="D30">
        <v>0.4</v>
      </c>
      <c r="E30">
        <v>0.91</v>
      </c>
      <c r="F30">
        <v>0.88</v>
      </c>
      <c r="G30">
        <v>0.81</v>
      </c>
      <c r="H30">
        <v>0.77</v>
      </c>
      <c r="I30">
        <v>310</v>
      </c>
      <c r="J30">
        <v>9</v>
      </c>
      <c r="K30">
        <v>0.63</v>
      </c>
      <c r="L30" t="s">
        <v>12</v>
      </c>
    </row>
    <row r="31" spans="1:12" x14ac:dyDescent="0.3">
      <c r="A31">
        <v>9</v>
      </c>
      <c r="B31">
        <v>2021</v>
      </c>
      <c r="C31">
        <v>0.6</v>
      </c>
      <c r="D31">
        <v>0.72</v>
      </c>
      <c r="E31">
        <v>0.85</v>
      </c>
      <c r="F31">
        <v>0.88</v>
      </c>
      <c r="G31">
        <v>0.42</v>
      </c>
      <c r="H31">
        <v>0.5</v>
      </c>
      <c r="I31">
        <v>190</v>
      </c>
      <c r="J31">
        <v>0</v>
      </c>
      <c r="K31">
        <v>0.7</v>
      </c>
      <c r="L31" t="s">
        <v>12</v>
      </c>
    </row>
    <row r="32" spans="1:12" x14ac:dyDescent="0.3">
      <c r="A32">
        <v>9</v>
      </c>
      <c r="B32">
        <v>2021</v>
      </c>
      <c r="C32">
        <v>0.84</v>
      </c>
      <c r="D32">
        <v>0.48</v>
      </c>
      <c r="E32">
        <v>0.73</v>
      </c>
      <c r="F32">
        <v>0.84</v>
      </c>
      <c r="G32">
        <v>0.6</v>
      </c>
      <c r="H32">
        <v>0.03</v>
      </c>
      <c r="I32">
        <v>355</v>
      </c>
      <c r="J32">
        <v>0</v>
      </c>
      <c r="K32">
        <v>0.7</v>
      </c>
      <c r="L32" t="s">
        <v>12</v>
      </c>
    </row>
    <row r="33" spans="1:12" x14ac:dyDescent="0.3">
      <c r="A33">
        <v>9</v>
      </c>
      <c r="B33">
        <v>2021</v>
      </c>
      <c r="C33">
        <v>0.57999999999999996</v>
      </c>
      <c r="D33">
        <v>0.47</v>
      </c>
      <c r="E33">
        <v>0.79</v>
      </c>
      <c r="F33">
        <v>0.62</v>
      </c>
      <c r="G33">
        <v>0.67</v>
      </c>
      <c r="H33">
        <v>0.89</v>
      </c>
      <c r="I33">
        <v>246</v>
      </c>
      <c r="J33">
        <v>13</v>
      </c>
      <c r="K33">
        <v>0.61</v>
      </c>
      <c r="L33" t="s">
        <v>12</v>
      </c>
    </row>
    <row r="34" spans="1:12" x14ac:dyDescent="0.3">
      <c r="A34">
        <v>10</v>
      </c>
      <c r="B34">
        <v>2021</v>
      </c>
      <c r="C34">
        <v>0.54</v>
      </c>
      <c r="D34">
        <v>0.71</v>
      </c>
      <c r="E34">
        <v>0.87</v>
      </c>
      <c r="F34">
        <v>0.6</v>
      </c>
      <c r="G34">
        <v>0.63</v>
      </c>
      <c r="H34">
        <v>0.3</v>
      </c>
      <c r="I34">
        <v>373</v>
      </c>
      <c r="J34">
        <v>17</v>
      </c>
      <c r="K34">
        <v>0.67</v>
      </c>
      <c r="L34" t="s">
        <v>12</v>
      </c>
    </row>
    <row r="35" spans="1:12" x14ac:dyDescent="0.3">
      <c r="A35">
        <v>10</v>
      </c>
      <c r="B35">
        <v>2021</v>
      </c>
      <c r="C35">
        <v>0.56999999999999995</v>
      </c>
      <c r="D35">
        <v>0.76</v>
      </c>
      <c r="E35">
        <v>0.75</v>
      </c>
      <c r="F35">
        <v>1</v>
      </c>
      <c r="G35">
        <v>0.4</v>
      </c>
      <c r="H35">
        <v>0.7</v>
      </c>
      <c r="I35">
        <v>372</v>
      </c>
      <c r="J35">
        <v>9</v>
      </c>
      <c r="K35">
        <v>0.7</v>
      </c>
      <c r="L35" t="s">
        <v>12</v>
      </c>
    </row>
    <row r="36" spans="1:12" x14ac:dyDescent="0.3">
      <c r="A36">
        <v>10</v>
      </c>
      <c r="B36">
        <v>2021</v>
      </c>
      <c r="C36">
        <v>0.97</v>
      </c>
      <c r="D36">
        <v>0.65</v>
      </c>
      <c r="E36">
        <v>0.73</v>
      </c>
      <c r="F36">
        <v>0.62</v>
      </c>
      <c r="G36">
        <v>0.33</v>
      </c>
      <c r="H36">
        <v>0.72</v>
      </c>
      <c r="I36">
        <v>167</v>
      </c>
      <c r="J36">
        <v>3</v>
      </c>
      <c r="K36">
        <v>0.73</v>
      </c>
      <c r="L36" t="s">
        <v>13</v>
      </c>
    </row>
    <row r="37" spans="1:12" x14ac:dyDescent="0.3">
      <c r="A37">
        <v>10</v>
      </c>
      <c r="B37">
        <v>2021</v>
      </c>
      <c r="C37">
        <v>0.4</v>
      </c>
      <c r="D37">
        <v>0.67</v>
      </c>
      <c r="E37">
        <v>0.59</v>
      </c>
      <c r="F37">
        <v>0.86</v>
      </c>
      <c r="G37">
        <v>0.41</v>
      </c>
      <c r="H37">
        <v>0.9</v>
      </c>
      <c r="I37">
        <v>373</v>
      </c>
      <c r="J37">
        <v>1</v>
      </c>
      <c r="K37">
        <v>0.57999999999999996</v>
      </c>
      <c r="L37" t="s">
        <v>12</v>
      </c>
    </row>
    <row r="38" spans="1:12" x14ac:dyDescent="0.3">
      <c r="A38">
        <v>12</v>
      </c>
      <c r="B38">
        <v>2021</v>
      </c>
      <c r="C38">
        <v>0.69</v>
      </c>
      <c r="D38">
        <v>0.53</v>
      </c>
      <c r="E38">
        <v>0.97</v>
      </c>
      <c r="F38">
        <v>0.91</v>
      </c>
      <c r="G38">
        <v>0.38</v>
      </c>
      <c r="H38">
        <v>0.93</v>
      </c>
      <c r="I38">
        <v>235</v>
      </c>
      <c r="J38">
        <v>6</v>
      </c>
      <c r="K38">
        <v>0.71</v>
      </c>
      <c r="L38" t="s">
        <v>13</v>
      </c>
    </row>
    <row r="39" spans="1:12" x14ac:dyDescent="0.3">
      <c r="A39">
        <v>12</v>
      </c>
      <c r="B39">
        <v>2021</v>
      </c>
      <c r="C39">
        <v>0.71</v>
      </c>
      <c r="D39">
        <v>0.61</v>
      </c>
      <c r="E39">
        <v>0.81</v>
      </c>
      <c r="F39">
        <v>0.62</v>
      </c>
      <c r="G39">
        <v>0.91</v>
      </c>
      <c r="H39">
        <v>0.97</v>
      </c>
      <c r="I39">
        <v>334</v>
      </c>
      <c r="J39">
        <v>11</v>
      </c>
      <c r="K39">
        <v>0.71</v>
      </c>
      <c r="L39" t="s">
        <v>13</v>
      </c>
    </row>
    <row r="40" spans="1:12" x14ac:dyDescent="0.3">
      <c r="A40">
        <v>12</v>
      </c>
      <c r="B40">
        <v>2021</v>
      </c>
      <c r="C40">
        <v>0.38</v>
      </c>
      <c r="D40">
        <v>0.89</v>
      </c>
      <c r="E40">
        <v>0.69</v>
      </c>
      <c r="F40">
        <v>0.95</v>
      </c>
      <c r="G40">
        <v>0.91</v>
      </c>
      <c r="H40">
        <v>0.81</v>
      </c>
      <c r="I40">
        <v>385</v>
      </c>
      <c r="J40">
        <v>6</v>
      </c>
      <c r="K40">
        <v>0.71</v>
      </c>
      <c r="L40" t="s">
        <v>13</v>
      </c>
    </row>
    <row r="41" spans="1:12" x14ac:dyDescent="0.3">
      <c r="A41">
        <v>12</v>
      </c>
      <c r="B41">
        <v>2021</v>
      </c>
      <c r="C41">
        <v>0.68</v>
      </c>
      <c r="D41">
        <v>0.78</v>
      </c>
      <c r="E41">
        <v>0.61</v>
      </c>
      <c r="F41">
        <v>0.99</v>
      </c>
      <c r="G41">
        <v>0.82</v>
      </c>
      <c r="H41">
        <v>0.56000000000000005</v>
      </c>
      <c r="I41">
        <v>200</v>
      </c>
      <c r="J41">
        <v>11</v>
      </c>
      <c r="K41">
        <v>0.75</v>
      </c>
      <c r="L41" t="s">
        <v>13</v>
      </c>
    </row>
    <row r="42" spans="1:12" x14ac:dyDescent="0.3">
      <c r="A42">
        <v>12</v>
      </c>
      <c r="B42">
        <v>2021</v>
      </c>
      <c r="C42">
        <v>0.75</v>
      </c>
      <c r="D42">
        <v>0.49</v>
      </c>
      <c r="E42">
        <v>0.77</v>
      </c>
      <c r="F42">
        <v>0.63</v>
      </c>
      <c r="G42">
        <v>0.56000000000000005</v>
      </c>
      <c r="H42">
        <v>0.41</v>
      </c>
      <c r="I42">
        <v>328</v>
      </c>
      <c r="J42">
        <v>12</v>
      </c>
      <c r="K42">
        <v>0.65</v>
      </c>
      <c r="L42" t="s">
        <v>12</v>
      </c>
    </row>
    <row r="43" spans="1:12" x14ac:dyDescent="0.3">
      <c r="A43">
        <v>12</v>
      </c>
      <c r="B43">
        <v>2021</v>
      </c>
      <c r="C43">
        <v>0.8</v>
      </c>
      <c r="D43">
        <v>0.51</v>
      </c>
      <c r="E43">
        <v>0.66</v>
      </c>
      <c r="F43">
        <v>0.79</v>
      </c>
      <c r="G43">
        <v>0.32</v>
      </c>
      <c r="H43">
        <v>0.25</v>
      </c>
      <c r="I43">
        <v>51</v>
      </c>
      <c r="J43">
        <v>7</v>
      </c>
      <c r="K43">
        <v>0.65</v>
      </c>
      <c r="L43" t="s">
        <v>12</v>
      </c>
    </row>
    <row r="44" spans="1:12" x14ac:dyDescent="0.3">
      <c r="A44">
        <v>12</v>
      </c>
      <c r="B44">
        <v>2021</v>
      </c>
      <c r="C44">
        <v>0.44</v>
      </c>
      <c r="D44">
        <v>0.6</v>
      </c>
      <c r="E44">
        <v>0.73</v>
      </c>
      <c r="F44">
        <v>0.73</v>
      </c>
      <c r="G44">
        <v>0.83</v>
      </c>
      <c r="H44">
        <v>0.33</v>
      </c>
      <c r="I44">
        <v>438</v>
      </c>
      <c r="J44">
        <v>12</v>
      </c>
      <c r="K44">
        <v>0.62</v>
      </c>
      <c r="L44" t="s">
        <v>12</v>
      </c>
    </row>
    <row r="45" spans="1:12" x14ac:dyDescent="0.3">
      <c r="A45">
        <v>12</v>
      </c>
      <c r="B45">
        <v>2021</v>
      </c>
      <c r="C45">
        <v>0.42</v>
      </c>
      <c r="D45">
        <v>0.92</v>
      </c>
      <c r="E45">
        <v>0.7</v>
      </c>
      <c r="F45">
        <v>0.6</v>
      </c>
      <c r="G45">
        <v>0.49</v>
      </c>
      <c r="H45">
        <v>0.6</v>
      </c>
      <c r="I45">
        <v>493</v>
      </c>
      <c r="J45">
        <v>14</v>
      </c>
      <c r="K45">
        <v>0.64</v>
      </c>
      <c r="L45" t="s">
        <v>12</v>
      </c>
    </row>
    <row r="46" spans="1:12" x14ac:dyDescent="0.3">
      <c r="A46">
        <v>13</v>
      </c>
      <c r="B46">
        <v>2021</v>
      </c>
      <c r="C46">
        <v>0.7</v>
      </c>
      <c r="D46">
        <v>0.88</v>
      </c>
      <c r="E46">
        <v>0.99</v>
      </c>
      <c r="F46">
        <v>0.7</v>
      </c>
      <c r="G46">
        <v>0.66</v>
      </c>
      <c r="H46">
        <v>0.91</v>
      </c>
      <c r="I46">
        <v>120</v>
      </c>
      <c r="J46">
        <v>15</v>
      </c>
      <c r="K46">
        <v>0.8</v>
      </c>
      <c r="L46" t="s">
        <v>13</v>
      </c>
    </row>
    <row r="47" spans="1:12" x14ac:dyDescent="0.3">
      <c r="A47">
        <v>13</v>
      </c>
      <c r="B47">
        <v>2021</v>
      </c>
      <c r="C47">
        <v>0.54</v>
      </c>
      <c r="D47">
        <v>0.97</v>
      </c>
      <c r="E47">
        <v>0.85</v>
      </c>
      <c r="F47">
        <v>0.82</v>
      </c>
      <c r="G47">
        <v>0.66</v>
      </c>
      <c r="H47">
        <v>0.16</v>
      </c>
      <c r="I47">
        <v>136</v>
      </c>
      <c r="J47">
        <v>15</v>
      </c>
      <c r="K47">
        <v>0.76</v>
      </c>
      <c r="L47" t="s">
        <v>13</v>
      </c>
    </row>
    <row r="48" spans="1:12" x14ac:dyDescent="0.3">
      <c r="A48">
        <v>14</v>
      </c>
      <c r="B48">
        <v>2021</v>
      </c>
      <c r="C48">
        <v>0.76</v>
      </c>
      <c r="D48">
        <v>0.46</v>
      </c>
      <c r="E48">
        <v>0.83</v>
      </c>
      <c r="F48">
        <v>0.72</v>
      </c>
      <c r="G48">
        <v>0.57999999999999996</v>
      </c>
      <c r="H48">
        <v>0.86</v>
      </c>
      <c r="I48">
        <v>310</v>
      </c>
      <c r="J48">
        <v>0</v>
      </c>
      <c r="K48">
        <v>0.68</v>
      </c>
      <c r="L48" t="s">
        <v>12</v>
      </c>
    </row>
    <row r="49" spans="1:12" x14ac:dyDescent="0.3">
      <c r="A49">
        <v>14</v>
      </c>
      <c r="B49">
        <v>2021</v>
      </c>
      <c r="C49">
        <v>0.57999999999999996</v>
      </c>
      <c r="D49">
        <v>0.66</v>
      </c>
      <c r="E49">
        <v>0.98</v>
      </c>
      <c r="F49">
        <v>0.87</v>
      </c>
      <c r="G49">
        <v>0.52</v>
      </c>
      <c r="H49">
        <v>0.73</v>
      </c>
      <c r="I49">
        <v>385</v>
      </c>
      <c r="J49">
        <v>1</v>
      </c>
      <c r="K49">
        <v>0.72</v>
      </c>
      <c r="L49" t="s">
        <v>13</v>
      </c>
    </row>
    <row r="50" spans="1:12" x14ac:dyDescent="0.3">
      <c r="A50">
        <v>15</v>
      </c>
      <c r="B50">
        <v>2021</v>
      </c>
      <c r="C50">
        <v>0.83</v>
      </c>
      <c r="D50">
        <v>0.48</v>
      </c>
      <c r="E50">
        <v>0.61</v>
      </c>
      <c r="F50">
        <v>0.95</v>
      </c>
      <c r="G50">
        <v>0.31</v>
      </c>
      <c r="H50">
        <v>0.75</v>
      </c>
      <c r="I50">
        <v>273</v>
      </c>
      <c r="J50">
        <v>10</v>
      </c>
      <c r="K50">
        <v>0.66</v>
      </c>
      <c r="L50" t="s">
        <v>12</v>
      </c>
    </row>
    <row r="51" spans="1:12" x14ac:dyDescent="0.3">
      <c r="A51">
        <v>15</v>
      </c>
      <c r="B51">
        <v>2021</v>
      </c>
      <c r="C51">
        <v>0.61</v>
      </c>
      <c r="D51">
        <v>0.51</v>
      </c>
      <c r="E51">
        <v>0.74</v>
      </c>
      <c r="F51">
        <v>0.93</v>
      </c>
      <c r="G51">
        <v>0.97</v>
      </c>
      <c r="H51">
        <v>0.63</v>
      </c>
      <c r="I51">
        <v>329</v>
      </c>
      <c r="J51">
        <v>19</v>
      </c>
      <c r="K51">
        <v>0.7</v>
      </c>
      <c r="L51" t="s">
        <v>12</v>
      </c>
    </row>
    <row r="52" spans="1:12" x14ac:dyDescent="0.3">
      <c r="A52">
        <v>16</v>
      </c>
      <c r="B52">
        <v>2021</v>
      </c>
      <c r="C52">
        <v>0.41</v>
      </c>
      <c r="D52">
        <v>0.7</v>
      </c>
      <c r="E52">
        <v>0.85</v>
      </c>
      <c r="F52">
        <v>0.94</v>
      </c>
      <c r="G52">
        <v>0.53</v>
      </c>
      <c r="H52">
        <v>0.22</v>
      </c>
      <c r="I52">
        <v>395</v>
      </c>
      <c r="J52">
        <v>2</v>
      </c>
      <c r="K52">
        <v>0.66</v>
      </c>
      <c r="L52" t="s">
        <v>12</v>
      </c>
    </row>
    <row r="53" spans="1:12" x14ac:dyDescent="0.3">
      <c r="A53">
        <v>16</v>
      </c>
      <c r="B53">
        <v>2021</v>
      </c>
      <c r="C53">
        <v>0.56999999999999995</v>
      </c>
      <c r="D53">
        <v>0.9</v>
      </c>
      <c r="E53">
        <v>0.83</v>
      </c>
      <c r="F53">
        <v>0.85</v>
      </c>
      <c r="G53">
        <v>0.53</v>
      </c>
      <c r="H53">
        <v>0.82</v>
      </c>
      <c r="I53">
        <v>247</v>
      </c>
      <c r="J53">
        <v>15</v>
      </c>
      <c r="K53">
        <v>0.74</v>
      </c>
      <c r="L53" t="s">
        <v>13</v>
      </c>
    </row>
    <row r="54" spans="1:12" x14ac:dyDescent="0.3">
      <c r="A54">
        <v>16</v>
      </c>
      <c r="B54">
        <v>2021</v>
      </c>
      <c r="C54">
        <v>0.8</v>
      </c>
      <c r="D54">
        <v>0.96</v>
      </c>
      <c r="E54">
        <v>0.54</v>
      </c>
      <c r="F54">
        <v>0.98</v>
      </c>
      <c r="G54">
        <v>0.94</v>
      </c>
      <c r="H54">
        <v>0.05</v>
      </c>
      <c r="I54">
        <v>445</v>
      </c>
      <c r="J54">
        <v>9</v>
      </c>
      <c r="K54">
        <v>0.83</v>
      </c>
      <c r="L54" t="s">
        <v>13</v>
      </c>
    </row>
    <row r="55" spans="1:12" x14ac:dyDescent="0.3">
      <c r="A55">
        <v>16</v>
      </c>
      <c r="B55">
        <v>2021</v>
      </c>
      <c r="C55">
        <v>0.9</v>
      </c>
      <c r="D55">
        <v>0.49</v>
      </c>
      <c r="E55">
        <v>0.64</v>
      </c>
      <c r="F55">
        <v>0.64</v>
      </c>
      <c r="G55">
        <v>0.45</v>
      </c>
      <c r="H55">
        <v>0.24</v>
      </c>
      <c r="I55">
        <v>127</v>
      </c>
      <c r="J55">
        <v>12</v>
      </c>
      <c r="K55">
        <v>0.66</v>
      </c>
      <c r="L55" t="s">
        <v>12</v>
      </c>
    </row>
    <row r="56" spans="1:12" x14ac:dyDescent="0.3">
      <c r="A56">
        <v>17</v>
      </c>
      <c r="B56">
        <v>2021</v>
      </c>
      <c r="C56">
        <v>0.6</v>
      </c>
      <c r="D56">
        <v>0.93</v>
      </c>
      <c r="E56">
        <v>0.8</v>
      </c>
      <c r="F56">
        <v>0.7</v>
      </c>
      <c r="G56">
        <v>0.55000000000000004</v>
      </c>
      <c r="H56">
        <v>0.08</v>
      </c>
      <c r="I56">
        <v>68</v>
      </c>
      <c r="J56">
        <v>4</v>
      </c>
      <c r="K56">
        <v>0.73</v>
      </c>
      <c r="L56" t="s">
        <v>13</v>
      </c>
    </row>
    <row r="57" spans="1:12" x14ac:dyDescent="0.3">
      <c r="A57">
        <v>17</v>
      </c>
      <c r="B57">
        <v>2021</v>
      </c>
      <c r="C57">
        <v>0.89</v>
      </c>
      <c r="D57">
        <v>0.95</v>
      </c>
      <c r="E57">
        <v>0.86</v>
      </c>
      <c r="F57">
        <v>0.71</v>
      </c>
      <c r="G57">
        <v>0.53</v>
      </c>
      <c r="H57">
        <v>0.02</v>
      </c>
      <c r="I57">
        <v>163</v>
      </c>
      <c r="J57">
        <v>0</v>
      </c>
      <c r="K57">
        <v>0.84</v>
      </c>
      <c r="L57" t="s">
        <v>13</v>
      </c>
    </row>
    <row r="58" spans="1:12" x14ac:dyDescent="0.3">
      <c r="A58">
        <v>17</v>
      </c>
      <c r="B58">
        <v>2021</v>
      </c>
      <c r="C58">
        <v>0.7</v>
      </c>
      <c r="D58">
        <v>0.96</v>
      </c>
      <c r="E58">
        <v>0.56999999999999995</v>
      </c>
      <c r="F58">
        <v>0.99</v>
      </c>
      <c r="G58">
        <v>0.96</v>
      </c>
      <c r="H58">
        <v>0.88</v>
      </c>
      <c r="I58">
        <v>316</v>
      </c>
      <c r="J58">
        <v>7</v>
      </c>
      <c r="K58">
        <v>0.81</v>
      </c>
      <c r="L58" t="s">
        <v>13</v>
      </c>
    </row>
    <row r="59" spans="1:12" x14ac:dyDescent="0.3">
      <c r="A59">
        <v>17</v>
      </c>
      <c r="B59">
        <v>2021</v>
      </c>
      <c r="C59">
        <v>0.5</v>
      </c>
      <c r="D59">
        <v>0.56999999999999995</v>
      </c>
      <c r="E59">
        <v>0.83</v>
      </c>
      <c r="F59">
        <v>0.96</v>
      </c>
      <c r="G59">
        <v>0.7</v>
      </c>
      <c r="H59">
        <v>0.53</v>
      </c>
      <c r="I59">
        <v>396</v>
      </c>
      <c r="J59">
        <v>3</v>
      </c>
      <c r="K59">
        <v>0.67</v>
      </c>
      <c r="L59" t="s">
        <v>12</v>
      </c>
    </row>
    <row r="60" spans="1:12" x14ac:dyDescent="0.3">
      <c r="A60">
        <v>17</v>
      </c>
      <c r="B60">
        <v>2021</v>
      </c>
      <c r="C60">
        <v>0.59</v>
      </c>
      <c r="D60">
        <v>0.85</v>
      </c>
      <c r="E60">
        <v>0.93</v>
      </c>
      <c r="F60">
        <v>0.72</v>
      </c>
      <c r="G60">
        <v>0.56999999999999995</v>
      </c>
      <c r="H60">
        <v>0.36</v>
      </c>
      <c r="I60">
        <v>378</v>
      </c>
      <c r="J60">
        <v>5</v>
      </c>
      <c r="K60">
        <v>0.74</v>
      </c>
      <c r="L60" t="s">
        <v>13</v>
      </c>
    </row>
    <row r="61" spans="1:12" x14ac:dyDescent="0.3">
      <c r="A61">
        <v>18</v>
      </c>
      <c r="B61">
        <v>2021</v>
      </c>
      <c r="C61">
        <v>0.57999999999999996</v>
      </c>
      <c r="D61">
        <v>0.91</v>
      </c>
      <c r="E61">
        <v>0.97</v>
      </c>
      <c r="F61">
        <v>0.63</v>
      </c>
      <c r="G61">
        <v>0.45</v>
      </c>
      <c r="H61">
        <v>0.67</v>
      </c>
      <c r="I61">
        <v>200</v>
      </c>
      <c r="J61">
        <v>1</v>
      </c>
      <c r="K61">
        <v>0.74</v>
      </c>
      <c r="L61" t="s">
        <v>13</v>
      </c>
    </row>
    <row r="62" spans="1:12" x14ac:dyDescent="0.3">
      <c r="A62">
        <v>18</v>
      </c>
      <c r="B62">
        <v>2021</v>
      </c>
      <c r="C62">
        <v>0.38</v>
      </c>
      <c r="D62">
        <v>0.99</v>
      </c>
      <c r="E62">
        <v>0.6</v>
      </c>
      <c r="F62">
        <v>0.6</v>
      </c>
      <c r="G62">
        <v>1</v>
      </c>
      <c r="H62">
        <v>0.28000000000000003</v>
      </c>
      <c r="I62">
        <v>217</v>
      </c>
      <c r="J62">
        <v>18</v>
      </c>
      <c r="K62">
        <v>0.67</v>
      </c>
      <c r="L62" t="s">
        <v>12</v>
      </c>
    </row>
    <row r="63" spans="1:12" x14ac:dyDescent="0.3">
      <c r="A63">
        <v>19</v>
      </c>
      <c r="B63">
        <v>2021</v>
      </c>
      <c r="C63">
        <v>0.64</v>
      </c>
      <c r="D63">
        <v>0.47</v>
      </c>
      <c r="E63">
        <v>0.9</v>
      </c>
      <c r="F63">
        <v>0.7</v>
      </c>
      <c r="G63">
        <v>0.93</v>
      </c>
      <c r="H63">
        <v>0.91</v>
      </c>
      <c r="I63">
        <v>449</v>
      </c>
      <c r="J63">
        <v>14</v>
      </c>
      <c r="K63">
        <v>0.69</v>
      </c>
      <c r="L63" t="s">
        <v>12</v>
      </c>
    </row>
    <row r="64" spans="1:12" x14ac:dyDescent="0.3">
      <c r="A64">
        <v>19</v>
      </c>
      <c r="B64">
        <v>2021</v>
      </c>
      <c r="C64">
        <v>0.33</v>
      </c>
      <c r="D64">
        <v>0.63</v>
      </c>
      <c r="E64">
        <v>0.57999999999999996</v>
      </c>
      <c r="F64">
        <v>0.88</v>
      </c>
      <c r="G64">
        <v>0.37</v>
      </c>
      <c r="H64">
        <v>0.66</v>
      </c>
      <c r="I64">
        <v>136</v>
      </c>
      <c r="J64">
        <v>9</v>
      </c>
      <c r="K64">
        <v>0.54</v>
      </c>
      <c r="L64" t="s">
        <v>12</v>
      </c>
    </row>
    <row r="65" spans="1:12" x14ac:dyDescent="0.3">
      <c r="A65">
        <v>19</v>
      </c>
      <c r="B65">
        <v>2021</v>
      </c>
      <c r="C65">
        <v>0.98</v>
      </c>
      <c r="D65">
        <v>0.5</v>
      </c>
      <c r="E65">
        <v>0.89</v>
      </c>
      <c r="F65">
        <v>0.99</v>
      </c>
      <c r="G65">
        <v>0.31</v>
      </c>
      <c r="H65">
        <v>0.7</v>
      </c>
      <c r="I65">
        <v>329</v>
      </c>
      <c r="J65">
        <v>11</v>
      </c>
      <c r="K65">
        <v>0.78</v>
      </c>
      <c r="L65" t="s">
        <v>13</v>
      </c>
    </row>
    <row r="66" spans="1:12" x14ac:dyDescent="0.3">
      <c r="A66">
        <v>19</v>
      </c>
      <c r="B66">
        <v>2021</v>
      </c>
      <c r="C66">
        <v>0.42</v>
      </c>
      <c r="D66">
        <v>0.68</v>
      </c>
      <c r="E66">
        <v>0.99</v>
      </c>
      <c r="F66">
        <v>0.75</v>
      </c>
      <c r="G66">
        <v>0.56000000000000005</v>
      </c>
      <c r="H66">
        <v>0.2</v>
      </c>
      <c r="I66">
        <v>442</v>
      </c>
      <c r="J66">
        <v>19</v>
      </c>
      <c r="K66">
        <v>0.66</v>
      </c>
      <c r="L66" t="s">
        <v>12</v>
      </c>
    </row>
    <row r="67" spans="1:12" x14ac:dyDescent="0.3">
      <c r="A67">
        <v>20</v>
      </c>
      <c r="B67">
        <v>2021</v>
      </c>
      <c r="C67">
        <v>0.3</v>
      </c>
      <c r="D67">
        <v>0.76</v>
      </c>
      <c r="E67">
        <v>0.8</v>
      </c>
      <c r="F67">
        <v>0.7</v>
      </c>
      <c r="G67">
        <v>0.69</v>
      </c>
      <c r="H67">
        <v>0.23</v>
      </c>
      <c r="I67">
        <v>493</v>
      </c>
      <c r="J67">
        <v>1</v>
      </c>
      <c r="K67">
        <v>0.61</v>
      </c>
      <c r="L67" t="s">
        <v>12</v>
      </c>
    </row>
    <row r="68" spans="1:12" x14ac:dyDescent="0.3">
      <c r="A68">
        <v>20</v>
      </c>
      <c r="B68">
        <v>2021</v>
      </c>
      <c r="C68">
        <v>0.65</v>
      </c>
      <c r="D68">
        <v>0.75</v>
      </c>
      <c r="E68">
        <v>0.64</v>
      </c>
      <c r="F68">
        <v>0.75</v>
      </c>
      <c r="G68">
        <v>0.36</v>
      </c>
      <c r="H68">
        <v>0.05</v>
      </c>
      <c r="I68">
        <v>318</v>
      </c>
      <c r="J68">
        <v>13</v>
      </c>
      <c r="K68">
        <v>0.66</v>
      </c>
      <c r="L68" t="s">
        <v>12</v>
      </c>
    </row>
    <row r="69" spans="1:12" x14ac:dyDescent="0.3">
      <c r="A69">
        <v>20</v>
      </c>
      <c r="B69">
        <v>2021</v>
      </c>
      <c r="C69">
        <v>0.78</v>
      </c>
      <c r="D69">
        <v>0.96</v>
      </c>
      <c r="E69">
        <v>0.83</v>
      </c>
      <c r="F69">
        <v>0.95</v>
      </c>
      <c r="G69">
        <v>0.88</v>
      </c>
      <c r="H69">
        <v>0.36</v>
      </c>
      <c r="I69">
        <v>288</v>
      </c>
      <c r="J69">
        <v>7</v>
      </c>
      <c r="K69">
        <v>0.87</v>
      </c>
      <c r="L69" t="s">
        <v>13</v>
      </c>
    </row>
    <row r="70" spans="1:12" x14ac:dyDescent="0.3">
      <c r="A70">
        <v>21</v>
      </c>
      <c r="B70">
        <v>2021</v>
      </c>
      <c r="C70">
        <v>0.82</v>
      </c>
      <c r="D70">
        <v>0.52</v>
      </c>
      <c r="E70">
        <v>0.89</v>
      </c>
      <c r="F70">
        <v>0.84</v>
      </c>
      <c r="G70">
        <v>0.38</v>
      </c>
      <c r="H70">
        <v>0.41</v>
      </c>
      <c r="I70">
        <v>139</v>
      </c>
      <c r="J70">
        <v>10</v>
      </c>
      <c r="K70">
        <v>0.72</v>
      </c>
      <c r="L70" t="s">
        <v>13</v>
      </c>
    </row>
    <row r="71" spans="1:12" x14ac:dyDescent="0.3">
      <c r="A71">
        <v>21</v>
      </c>
      <c r="B71">
        <v>2021</v>
      </c>
      <c r="C71">
        <v>0.9</v>
      </c>
      <c r="D71">
        <v>0.89</v>
      </c>
      <c r="E71">
        <v>0.59</v>
      </c>
      <c r="F71">
        <v>0.79</v>
      </c>
      <c r="G71">
        <v>0.38</v>
      </c>
      <c r="H71">
        <v>0.68</v>
      </c>
      <c r="I71">
        <v>299</v>
      </c>
      <c r="J71">
        <v>13</v>
      </c>
      <c r="K71">
        <v>0.77</v>
      </c>
      <c r="L71" t="s">
        <v>13</v>
      </c>
    </row>
    <row r="72" spans="1:12" x14ac:dyDescent="0.3">
      <c r="A72">
        <v>21</v>
      </c>
      <c r="B72">
        <v>2021</v>
      </c>
      <c r="C72">
        <v>0.54</v>
      </c>
      <c r="D72">
        <v>0.47</v>
      </c>
      <c r="E72">
        <v>0.54</v>
      </c>
      <c r="F72">
        <v>0.62</v>
      </c>
      <c r="G72">
        <v>0.38</v>
      </c>
      <c r="H72">
        <v>0.34</v>
      </c>
      <c r="I72">
        <v>434</v>
      </c>
      <c r="J72">
        <v>11</v>
      </c>
      <c r="K72">
        <v>0.52</v>
      </c>
      <c r="L72" t="s">
        <v>12</v>
      </c>
    </row>
    <row r="73" spans="1:12" x14ac:dyDescent="0.3">
      <c r="A73">
        <v>21</v>
      </c>
      <c r="B73">
        <v>2021</v>
      </c>
      <c r="C73">
        <v>0.98</v>
      </c>
      <c r="D73">
        <v>0.6</v>
      </c>
      <c r="E73">
        <v>0.96</v>
      </c>
      <c r="F73">
        <v>0.71</v>
      </c>
      <c r="G73">
        <v>0.99</v>
      </c>
      <c r="H73">
        <v>0.67</v>
      </c>
      <c r="I73">
        <v>105</v>
      </c>
      <c r="J73">
        <v>1</v>
      </c>
      <c r="K73">
        <v>0.84</v>
      </c>
      <c r="L73" t="s">
        <v>13</v>
      </c>
    </row>
    <row r="74" spans="1:12" x14ac:dyDescent="0.3">
      <c r="A74">
        <v>21</v>
      </c>
      <c r="B74">
        <v>2021</v>
      </c>
      <c r="C74">
        <v>0.67</v>
      </c>
      <c r="D74">
        <v>0.59</v>
      </c>
      <c r="E74">
        <v>0.56999999999999995</v>
      </c>
      <c r="F74">
        <v>0.82</v>
      </c>
      <c r="G74">
        <v>0.5</v>
      </c>
      <c r="H74">
        <v>0.23</v>
      </c>
      <c r="I74">
        <v>123</v>
      </c>
      <c r="J74">
        <v>8</v>
      </c>
      <c r="K74">
        <v>0.64</v>
      </c>
      <c r="L74" t="s">
        <v>12</v>
      </c>
    </row>
    <row r="75" spans="1:12" x14ac:dyDescent="0.3">
      <c r="A75">
        <v>22</v>
      </c>
      <c r="B75">
        <v>2021</v>
      </c>
      <c r="C75">
        <v>0.63</v>
      </c>
      <c r="D75">
        <v>0.43</v>
      </c>
      <c r="E75">
        <v>0.6</v>
      </c>
      <c r="F75">
        <v>0.92</v>
      </c>
      <c r="G75">
        <v>0.62</v>
      </c>
      <c r="H75">
        <v>0.3</v>
      </c>
      <c r="I75">
        <v>288</v>
      </c>
      <c r="J75">
        <v>18</v>
      </c>
      <c r="K75">
        <v>0.62</v>
      </c>
      <c r="L75" t="s">
        <v>12</v>
      </c>
    </row>
    <row r="76" spans="1:12" x14ac:dyDescent="0.3">
      <c r="A76">
        <v>22</v>
      </c>
      <c r="B76">
        <v>2021</v>
      </c>
      <c r="C76">
        <v>0.57999999999999996</v>
      </c>
      <c r="D76">
        <v>0.84</v>
      </c>
      <c r="E76">
        <v>0.6</v>
      </c>
      <c r="F76">
        <v>0.75</v>
      </c>
      <c r="G76">
        <v>0.31</v>
      </c>
      <c r="H76">
        <v>0.76</v>
      </c>
      <c r="I76">
        <v>408</v>
      </c>
      <c r="J76">
        <v>17</v>
      </c>
      <c r="K76">
        <v>0.65</v>
      </c>
      <c r="L76" t="s">
        <v>12</v>
      </c>
    </row>
    <row r="77" spans="1:12" x14ac:dyDescent="0.3">
      <c r="A77">
        <v>22</v>
      </c>
      <c r="B77">
        <v>2021</v>
      </c>
      <c r="C77">
        <v>0.77</v>
      </c>
      <c r="D77">
        <v>0.43</v>
      </c>
      <c r="E77">
        <v>0.77</v>
      </c>
      <c r="F77">
        <v>0.81</v>
      </c>
      <c r="G77">
        <v>0.78</v>
      </c>
      <c r="H77">
        <v>0.08</v>
      </c>
      <c r="I77">
        <v>51</v>
      </c>
      <c r="J77">
        <v>14</v>
      </c>
      <c r="K77">
        <v>0.69</v>
      </c>
      <c r="L77" t="s">
        <v>12</v>
      </c>
    </row>
    <row r="78" spans="1:12" x14ac:dyDescent="0.3">
      <c r="A78">
        <v>23</v>
      </c>
      <c r="B78">
        <v>2021</v>
      </c>
      <c r="C78">
        <v>0.81</v>
      </c>
      <c r="D78">
        <v>0.56999999999999995</v>
      </c>
      <c r="E78">
        <v>0.84</v>
      </c>
      <c r="F78">
        <v>0.61</v>
      </c>
      <c r="G78">
        <v>0.51</v>
      </c>
      <c r="H78">
        <v>0.55000000000000004</v>
      </c>
      <c r="I78">
        <v>447</v>
      </c>
      <c r="J78">
        <v>12</v>
      </c>
      <c r="K78">
        <v>0.7</v>
      </c>
      <c r="L78" t="s">
        <v>12</v>
      </c>
    </row>
    <row r="79" spans="1:12" x14ac:dyDescent="0.3">
      <c r="A79">
        <v>23</v>
      </c>
      <c r="B79">
        <v>2021</v>
      </c>
      <c r="C79">
        <v>0.72</v>
      </c>
      <c r="D79">
        <v>0.96</v>
      </c>
      <c r="E79">
        <v>0.66</v>
      </c>
      <c r="F79">
        <v>0.7</v>
      </c>
      <c r="G79">
        <v>0.76</v>
      </c>
      <c r="H79">
        <v>0.62</v>
      </c>
      <c r="I79">
        <v>437</v>
      </c>
      <c r="J79">
        <v>16</v>
      </c>
      <c r="K79">
        <v>0.77</v>
      </c>
      <c r="L79" t="s">
        <v>13</v>
      </c>
    </row>
    <row r="80" spans="1:12" x14ac:dyDescent="0.3">
      <c r="A80">
        <v>23</v>
      </c>
      <c r="B80">
        <v>2021</v>
      </c>
      <c r="C80">
        <v>0.45</v>
      </c>
      <c r="D80">
        <v>0.69</v>
      </c>
      <c r="E80">
        <v>0.67</v>
      </c>
      <c r="F80">
        <v>0.82</v>
      </c>
      <c r="G80">
        <v>0.77</v>
      </c>
      <c r="H80">
        <v>0.63</v>
      </c>
      <c r="I80">
        <v>95</v>
      </c>
      <c r="J80">
        <v>16</v>
      </c>
      <c r="K80">
        <v>0.64</v>
      </c>
      <c r="L80" t="s">
        <v>12</v>
      </c>
    </row>
    <row r="81" spans="1:12" x14ac:dyDescent="0.3">
      <c r="A81">
        <v>23</v>
      </c>
      <c r="B81">
        <v>2021</v>
      </c>
      <c r="C81">
        <v>0.53</v>
      </c>
      <c r="D81">
        <v>0.47</v>
      </c>
      <c r="E81">
        <v>0.79</v>
      </c>
      <c r="F81">
        <v>0.96</v>
      </c>
      <c r="G81">
        <v>0.85</v>
      </c>
      <c r="H81">
        <v>0.62</v>
      </c>
      <c r="I81">
        <v>278</v>
      </c>
      <c r="J81">
        <v>19</v>
      </c>
      <c r="K81">
        <v>0.66</v>
      </c>
      <c r="L81" t="s">
        <v>12</v>
      </c>
    </row>
    <row r="82" spans="1:12" x14ac:dyDescent="0.3">
      <c r="A82">
        <v>23</v>
      </c>
      <c r="B82">
        <v>2021</v>
      </c>
      <c r="C82">
        <v>0.62</v>
      </c>
      <c r="D82">
        <v>0.76</v>
      </c>
      <c r="E82">
        <v>0.74</v>
      </c>
      <c r="F82">
        <v>0.8</v>
      </c>
      <c r="G82">
        <v>0.35</v>
      </c>
      <c r="H82">
        <v>0.19</v>
      </c>
      <c r="I82">
        <v>106</v>
      </c>
      <c r="J82">
        <v>15</v>
      </c>
      <c r="K82">
        <v>0.68</v>
      </c>
      <c r="L82" t="s">
        <v>12</v>
      </c>
    </row>
    <row r="83" spans="1:12" x14ac:dyDescent="0.3">
      <c r="A83">
        <v>23</v>
      </c>
      <c r="B83">
        <v>2021</v>
      </c>
      <c r="C83">
        <v>0.78</v>
      </c>
      <c r="D83">
        <v>0.56000000000000005</v>
      </c>
      <c r="E83">
        <v>0.92</v>
      </c>
      <c r="F83">
        <v>0.63</v>
      </c>
      <c r="G83">
        <v>0.84</v>
      </c>
      <c r="H83">
        <v>0.1</v>
      </c>
      <c r="I83">
        <v>89</v>
      </c>
      <c r="J83">
        <v>0</v>
      </c>
      <c r="K83">
        <v>0.74</v>
      </c>
      <c r="L83" t="s">
        <v>13</v>
      </c>
    </row>
    <row r="84" spans="1:12" x14ac:dyDescent="0.3">
      <c r="A84">
        <v>24</v>
      </c>
      <c r="B84">
        <v>2021</v>
      </c>
      <c r="C84">
        <v>0.98</v>
      </c>
      <c r="D84">
        <v>0.77</v>
      </c>
      <c r="E84">
        <v>0.7</v>
      </c>
      <c r="F84">
        <v>0.86</v>
      </c>
      <c r="G84">
        <v>0.57999999999999996</v>
      </c>
      <c r="H84">
        <v>0.82</v>
      </c>
      <c r="I84">
        <v>173</v>
      </c>
      <c r="J84">
        <v>10</v>
      </c>
      <c r="K84">
        <v>0.81</v>
      </c>
      <c r="L84" t="s">
        <v>13</v>
      </c>
    </row>
    <row r="85" spans="1:12" x14ac:dyDescent="0.3">
      <c r="A85">
        <v>24</v>
      </c>
      <c r="B85">
        <v>2021</v>
      </c>
      <c r="C85">
        <v>0.77</v>
      </c>
      <c r="D85">
        <v>0.45</v>
      </c>
      <c r="E85">
        <v>0.84</v>
      </c>
      <c r="F85">
        <v>0.83</v>
      </c>
      <c r="G85">
        <v>0.72</v>
      </c>
      <c r="H85">
        <v>0.28999999999999998</v>
      </c>
      <c r="I85">
        <v>308</v>
      </c>
      <c r="J85">
        <v>14</v>
      </c>
      <c r="K85">
        <v>0.71</v>
      </c>
      <c r="L85" t="s">
        <v>13</v>
      </c>
    </row>
    <row r="86" spans="1:12" x14ac:dyDescent="0.3">
      <c r="A86">
        <v>24</v>
      </c>
      <c r="B86">
        <v>2021</v>
      </c>
      <c r="C86">
        <v>0.45</v>
      </c>
      <c r="D86">
        <v>0.67</v>
      </c>
      <c r="E86">
        <v>0.53</v>
      </c>
      <c r="F86">
        <v>0.72</v>
      </c>
      <c r="G86">
        <v>0.67</v>
      </c>
      <c r="H86">
        <v>0.47</v>
      </c>
      <c r="I86">
        <v>464</v>
      </c>
      <c r="J86">
        <v>6</v>
      </c>
      <c r="K86">
        <v>0.57999999999999996</v>
      </c>
      <c r="L86" t="s">
        <v>12</v>
      </c>
    </row>
    <row r="87" spans="1:12" x14ac:dyDescent="0.3">
      <c r="A87">
        <v>25</v>
      </c>
      <c r="B87">
        <v>2021</v>
      </c>
      <c r="C87">
        <v>0.41</v>
      </c>
      <c r="D87">
        <v>0.99</v>
      </c>
      <c r="E87">
        <v>0.57999999999999996</v>
      </c>
      <c r="F87">
        <v>0.79</v>
      </c>
      <c r="G87">
        <v>0.55000000000000004</v>
      </c>
      <c r="H87">
        <v>0.64</v>
      </c>
      <c r="I87">
        <v>489</v>
      </c>
      <c r="J87">
        <v>16</v>
      </c>
      <c r="K87">
        <v>0.66</v>
      </c>
      <c r="L87" t="s">
        <v>12</v>
      </c>
    </row>
    <row r="88" spans="1:12" x14ac:dyDescent="0.3">
      <c r="A88">
        <v>25</v>
      </c>
      <c r="B88">
        <v>2021</v>
      </c>
      <c r="C88">
        <v>0.36</v>
      </c>
      <c r="D88">
        <v>0.47</v>
      </c>
      <c r="E88">
        <v>0.52</v>
      </c>
      <c r="F88">
        <v>0.64</v>
      </c>
      <c r="G88">
        <v>0.45</v>
      </c>
      <c r="H88">
        <v>0.97</v>
      </c>
      <c r="I88">
        <v>362</v>
      </c>
      <c r="J88">
        <v>2</v>
      </c>
      <c r="K88">
        <v>0.47</v>
      </c>
      <c r="L88" t="s">
        <v>12</v>
      </c>
    </row>
    <row r="89" spans="1:12" x14ac:dyDescent="0.3">
      <c r="A89">
        <v>26</v>
      </c>
      <c r="B89">
        <v>2021</v>
      </c>
      <c r="C89">
        <v>0.75</v>
      </c>
      <c r="D89">
        <v>0.5</v>
      </c>
      <c r="E89">
        <v>0.68</v>
      </c>
      <c r="F89">
        <v>0.96</v>
      </c>
      <c r="G89">
        <v>0.84</v>
      </c>
      <c r="H89">
        <v>0.56000000000000005</v>
      </c>
      <c r="I89">
        <v>396</v>
      </c>
      <c r="J89">
        <v>4</v>
      </c>
      <c r="K89">
        <v>0.71</v>
      </c>
      <c r="L89" t="s">
        <v>13</v>
      </c>
    </row>
    <row r="90" spans="1:12" x14ac:dyDescent="0.3">
      <c r="A90">
        <v>26</v>
      </c>
      <c r="B90">
        <v>2021</v>
      </c>
      <c r="C90">
        <v>0.97</v>
      </c>
      <c r="D90">
        <v>0.45</v>
      </c>
      <c r="E90">
        <v>0.77</v>
      </c>
      <c r="F90">
        <v>0.72</v>
      </c>
      <c r="G90">
        <v>0.56999999999999995</v>
      </c>
      <c r="H90">
        <v>0.18</v>
      </c>
      <c r="I90">
        <v>193</v>
      </c>
      <c r="J90">
        <v>8</v>
      </c>
      <c r="K90">
        <v>0.72</v>
      </c>
      <c r="L90" t="s">
        <v>13</v>
      </c>
    </row>
    <row r="91" spans="1:12" x14ac:dyDescent="0.3">
      <c r="A91">
        <v>26</v>
      </c>
      <c r="B91">
        <v>2021</v>
      </c>
      <c r="C91">
        <v>0.59</v>
      </c>
      <c r="D91">
        <v>0.6</v>
      </c>
      <c r="E91">
        <v>0.8</v>
      </c>
      <c r="F91">
        <v>0.97</v>
      </c>
      <c r="G91">
        <v>0.89</v>
      </c>
      <c r="H91">
        <v>1</v>
      </c>
      <c r="I91">
        <v>297</v>
      </c>
      <c r="J91">
        <v>17</v>
      </c>
      <c r="K91">
        <v>0.72</v>
      </c>
      <c r="L91" t="s">
        <v>13</v>
      </c>
    </row>
    <row r="92" spans="1:12" x14ac:dyDescent="0.3">
      <c r="A92">
        <v>26</v>
      </c>
      <c r="B92">
        <v>2021</v>
      </c>
      <c r="C92">
        <v>0.95</v>
      </c>
      <c r="D92">
        <v>0.65</v>
      </c>
      <c r="E92">
        <v>0.64</v>
      </c>
      <c r="F92">
        <v>0.79</v>
      </c>
      <c r="G92">
        <v>0.94</v>
      </c>
      <c r="H92">
        <v>0.39</v>
      </c>
      <c r="I92">
        <v>465</v>
      </c>
      <c r="J92">
        <v>2</v>
      </c>
      <c r="K92">
        <v>0.79</v>
      </c>
      <c r="L92" t="s">
        <v>13</v>
      </c>
    </row>
    <row r="93" spans="1:12" x14ac:dyDescent="0.3">
      <c r="A93">
        <v>26</v>
      </c>
      <c r="B93">
        <v>2021</v>
      </c>
      <c r="C93">
        <v>0.32</v>
      </c>
      <c r="D93">
        <v>0.95</v>
      </c>
      <c r="E93">
        <v>0.93</v>
      </c>
      <c r="F93">
        <v>0.81</v>
      </c>
      <c r="G93">
        <v>0.46</v>
      </c>
      <c r="H93">
        <v>0.12</v>
      </c>
      <c r="I93">
        <v>52</v>
      </c>
      <c r="J93">
        <v>4</v>
      </c>
      <c r="K93">
        <v>0.69</v>
      </c>
      <c r="L93" t="s">
        <v>12</v>
      </c>
    </row>
    <row r="94" spans="1:12" x14ac:dyDescent="0.3">
      <c r="A94">
        <v>26</v>
      </c>
      <c r="B94">
        <v>2021</v>
      </c>
      <c r="C94">
        <v>0.61</v>
      </c>
      <c r="D94">
        <v>0.62</v>
      </c>
      <c r="E94">
        <v>1</v>
      </c>
      <c r="F94">
        <v>0.83</v>
      </c>
      <c r="G94">
        <v>0.63</v>
      </c>
      <c r="H94">
        <v>0.5</v>
      </c>
      <c r="I94">
        <v>431</v>
      </c>
      <c r="J94">
        <v>16</v>
      </c>
      <c r="K94">
        <v>0.73</v>
      </c>
      <c r="L94" t="s">
        <v>13</v>
      </c>
    </row>
    <row r="95" spans="1:12" x14ac:dyDescent="0.3">
      <c r="A95">
        <v>27</v>
      </c>
      <c r="B95">
        <v>2021</v>
      </c>
      <c r="C95">
        <v>0.8</v>
      </c>
      <c r="D95">
        <v>0.47</v>
      </c>
      <c r="E95">
        <v>0.72</v>
      </c>
      <c r="F95">
        <v>0.68</v>
      </c>
      <c r="G95">
        <v>0.93</v>
      </c>
      <c r="H95">
        <v>0.48</v>
      </c>
      <c r="I95">
        <v>145</v>
      </c>
      <c r="J95">
        <v>3</v>
      </c>
      <c r="K95">
        <v>0.7</v>
      </c>
      <c r="L95" t="s">
        <v>12</v>
      </c>
    </row>
    <row r="96" spans="1:12" x14ac:dyDescent="0.3">
      <c r="A96">
        <v>28</v>
      </c>
      <c r="B96">
        <v>2021</v>
      </c>
      <c r="C96">
        <v>0.82</v>
      </c>
      <c r="D96">
        <v>0.82</v>
      </c>
      <c r="E96">
        <v>0.71</v>
      </c>
      <c r="F96">
        <v>0.74</v>
      </c>
      <c r="G96">
        <v>0.57999999999999996</v>
      </c>
      <c r="H96">
        <v>0.26</v>
      </c>
      <c r="I96">
        <v>315</v>
      </c>
      <c r="J96">
        <v>1</v>
      </c>
      <c r="K96">
        <v>0.76</v>
      </c>
      <c r="L96" t="s">
        <v>13</v>
      </c>
    </row>
    <row r="97" spans="1:12" x14ac:dyDescent="0.3">
      <c r="A97">
        <v>28</v>
      </c>
      <c r="B97">
        <v>2021</v>
      </c>
      <c r="C97">
        <v>0.36</v>
      </c>
      <c r="D97">
        <v>0.43</v>
      </c>
      <c r="E97">
        <v>0.55000000000000004</v>
      </c>
      <c r="F97">
        <v>0.83</v>
      </c>
      <c r="G97">
        <v>0.68</v>
      </c>
      <c r="H97">
        <v>0.23</v>
      </c>
      <c r="I97">
        <v>203</v>
      </c>
      <c r="J97">
        <v>9</v>
      </c>
      <c r="K97">
        <v>0.52</v>
      </c>
      <c r="L97" t="s">
        <v>12</v>
      </c>
    </row>
    <row r="98" spans="1:12" x14ac:dyDescent="0.3">
      <c r="A98">
        <v>28</v>
      </c>
      <c r="B98">
        <v>2021</v>
      </c>
      <c r="C98">
        <v>0.91</v>
      </c>
      <c r="D98">
        <v>0.63</v>
      </c>
      <c r="E98">
        <v>0.56000000000000005</v>
      </c>
      <c r="F98">
        <v>0.63</v>
      </c>
      <c r="G98">
        <v>0.41</v>
      </c>
      <c r="H98">
        <v>0.25</v>
      </c>
      <c r="I98">
        <v>233</v>
      </c>
      <c r="J98">
        <v>16</v>
      </c>
      <c r="K98">
        <v>0.68</v>
      </c>
      <c r="L98" t="s">
        <v>12</v>
      </c>
    </row>
    <row r="99" spans="1:12" x14ac:dyDescent="0.3">
      <c r="A99">
        <v>28</v>
      </c>
      <c r="B99">
        <v>2021</v>
      </c>
      <c r="C99">
        <v>0.82</v>
      </c>
      <c r="D99">
        <v>0.56000000000000005</v>
      </c>
      <c r="E99">
        <v>0.51</v>
      </c>
      <c r="F99">
        <v>0.79</v>
      </c>
      <c r="G99">
        <v>0.9</v>
      </c>
      <c r="H99">
        <v>0.9</v>
      </c>
      <c r="I99">
        <v>420</v>
      </c>
      <c r="J99">
        <v>4</v>
      </c>
      <c r="K99">
        <v>0.7</v>
      </c>
      <c r="L99" t="s">
        <v>12</v>
      </c>
    </row>
    <row r="100" spans="1:12" x14ac:dyDescent="0.3">
      <c r="A100">
        <v>28</v>
      </c>
      <c r="B100">
        <v>2021</v>
      </c>
      <c r="C100">
        <v>0.8</v>
      </c>
      <c r="D100">
        <v>0.75</v>
      </c>
      <c r="E100">
        <v>0.95</v>
      </c>
      <c r="F100">
        <v>0.93</v>
      </c>
      <c r="G100">
        <v>0.8</v>
      </c>
      <c r="H100">
        <v>0.03</v>
      </c>
      <c r="I100">
        <v>225</v>
      </c>
      <c r="J100">
        <v>4</v>
      </c>
      <c r="K100">
        <v>0.84</v>
      </c>
      <c r="L100" t="s">
        <v>13</v>
      </c>
    </row>
    <row r="101" spans="1:12" x14ac:dyDescent="0.3">
      <c r="A101">
        <v>29</v>
      </c>
      <c r="B101">
        <v>2021</v>
      </c>
      <c r="C101">
        <v>0.71</v>
      </c>
      <c r="D101">
        <v>0.55000000000000004</v>
      </c>
      <c r="E101">
        <v>0.76</v>
      </c>
      <c r="F101">
        <v>0.74</v>
      </c>
      <c r="G101">
        <v>0.67</v>
      </c>
      <c r="H101">
        <v>0.13</v>
      </c>
      <c r="I101">
        <v>175</v>
      </c>
      <c r="J101">
        <v>12</v>
      </c>
      <c r="K101">
        <v>0.68</v>
      </c>
      <c r="L101" t="s">
        <v>12</v>
      </c>
    </row>
    <row r="102" spans="1:12" x14ac:dyDescent="0.3">
      <c r="A102">
        <v>29</v>
      </c>
      <c r="B102">
        <v>2021</v>
      </c>
      <c r="C102">
        <v>0.72</v>
      </c>
      <c r="D102">
        <v>0.95</v>
      </c>
      <c r="E102">
        <v>0.64</v>
      </c>
      <c r="F102">
        <v>0.67</v>
      </c>
      <c r="G102">
        <v>0.76</v>
      </c>
      <c r="H102">
        <v>0.71</v>
      </c>
      <c r="I102">
        <v>219</v>
      </c>
      <c r="J102">
        <v>6</v>
      </c>
      <c r="K102">
        <v>0.76</v>
      </c>
      <c r="L102" t="s">
        <v>13</v>
      </c>
    </row>
    <row r="103" spans="1:12" x14ac:dyDescent="0.3">
      <c r="A103">
        <v>29</v>
      </c>
      <c r="B103">
        <v>2021</v>
      </c>
      <c r="C103">
        <v>0.39</v>
      </c>
      <c r="D103">
        <v>0.49</v>
      </c>
      <c r="E103">
        <v>0.82</v>
      </c>
      <c r="F103">
        <v>0.89</v>
      </c>
      <c r="G103">
        <v>0.9</v>
      </c>
      <c r="H103">
        <v>0.94</v>
      </c>
      <c r="I103">
        <v>276</v>
      </c>
      <c r="J103">
        <v>3</v>
      </c>
      <c r="K103">
        <v>0.63</v>
      </c>
      <c r="L103" t="s">
        <v>12</v>
      </c>
    </row>
    <row r="104" spans="1:12" x14ac:dyDescent="0.3">
      <c r="A104">
        <v>30</v>
      </c>
      <c r="B104">
        <v>2021</v>
      </c>
      <c r="C104">
        <v>0.67</v>
      </c>
      <c r="D104">
        <v>0.7</v>
      </c>
      <c r="E104">
        <v>0.69</v>
      </c>
      <c r="F104">
        <v>0.72</v>
      </c>
      <c r="G104">
        <v>0.37</v>
      </c>
      <c r="H104">
        <v>0.05</v>
      </c>
      <c r="I104">
        <v>494</v>
      </c>
      <c r="J104">
        <v>8</v>
      </c>
      <c r="K104">
        <v>0.66</v>
      </c>
      <c r="L104" t="s">
        <v>12</v>
      </c>
    </row>
    <row r="105" spans="1:12" x14ac:dyDescent="0.3">
      <c r="A105">
        <v>30</v>
      </c>
      <c r="B105">
        <v>2021</v>
      </c>
      <c r="C105">
        <v>0.93</v>
      </c>
      <c r="D105">
        <v>0.49</v>
      </c>
      <c r="E105">
        <v>0.89</v>
      </c>
      <c r="F105">
        <v>0.85</v>
      </c>
      <c r="G105">
        <v>0.54</v>
      </c>
      <c r="H105">
        <v>0.87</v>
      </c>
      <c r="I105">
        <v>381</v>
      </c>
      <c r="J105">
        <v>0</v>
      </c>
      <c r="K105">
        <v>0.76</v>
      </c>
      <c r="L105" t="s">
        <v>13</v>
      </c>
    </row>
    <row r="106" spans="1:12" x14ac:dyDescent="0.3">
      <c r="A106">
        <v>30</v>
      </c>
      <c r="B106">
        <v>2021</v>
      </c>
      <c r="C106">
        <v>0.43</v>
      </c>
      <c r="D106">
        <v>0.79</v>
      </c>
      <c r="E106">
        <v>0.53</v>
      </c>
      <c r="F106">
        <v>0.73</v>
      </c>
      <c r="G106">
        <v>0.4</v>
      </c>
      <c r="H106">
        <v>0.57999999999999996</v>
      </c>
      <c r="I106">
        <v>294</v>
      </c>
      <c r="J106">
        <v>7</v>
      </c>
      <c r="K106">
        <v>0.57999999999999996</v>
      </c>
      <c r="L106" t="s">
        <v>12</v>
      </c>
    </row>
    <row r="107" spans="1:12" x14ac:dyDescent="0.3">
      <c r="A107">
        <v>30</v>
      </c>
      <c r="B107">
        <v>2021</v>
      </c>
      <c r="C107">
        <v>0.81</v>
      </c>
      <c r="D107">
        <v>0.87</v>
      </c>
      <c r="E107">
        <v>0.9</v>
      </c>
      <c r="F107">
        <v>0.83</v>
      </c>
      <c r="G107">
        <v>0.31</v>
      </c>
      <c r="H107">
        <v>0.76</v>
      </c>
      <c r="I107">
        <v>158</v>
      </c>
      <c r="J107">
        <v>2</v>
      </c>
      <c r="K107">
        <v>0.8</v>
      </c>
      <c r="L107" t="s">
        <v>13</v>
      </c>
    </row>
    <row r="108" spans="1:12" x14ac:dyDescent="0.3">
      <c r="A108">
        <v>31</v>
      </c>
      <c r="B108">
        <v>2021</v>
      </c>
      <c r="C108">
        <v>0.38</v>
      </c>
      <c r="D108">
        <v>0.79</v>
      </c>
      <c r="E108">
        <v>0.88</v>
      </c>
      <c r="F108">
        <v>0.97</v>
      </c>
      <c r="G108">
        <v>0.61</v>
      </c>
      <c r="H108">
        <v>0.9</v>
      </c>
      <c r="I108">
        <v>446</v>
      </c>
      <c r="J108">
        <v>8</v>
      </c>
      <c r="K108">
        <v>0.69</v>
      </c>
      <c r="L108" t="s">
        <v>12</v>
      </c>
    </row>
    <row r="109" spans="1:12" x14ac:dyDescent="0.3">
      <c r="A109">
        <v>31</v>
      </c>
      <c r="B109">
        <v>2021</v>
      </c>
      <c r="C109">
        <v>0.71</v>
      </c>
      <c r="D109">
        <v>0.82</v>
      </c>
      <c r="E109">
        <v>0.93</v>
      </c>
      <c r="F109">
        <v>0.66</v>
      </c>
      <c r="G109">
        <v>0.68</v>
      </c>
      <c r="H109">
        <v>0.01</v>
      </c>
      <c r="I109">
        <v>236</v>
      </c>
      <c r="J109">
        <v>17</v>
      </c>
      <c r="K109">
        <v>0.77</v>
      </c>
      <c r="L109" t="s">
        <v>13</v>
      </c>
    </row>
    <row r="110" spans="1:12" x14ac:dyDescent="0.3">
      <c r="A110">
        <v>31</v>
      </c>
      <c r="B110">
        <v>2021</v>
      </c>
      <c r="C110">
        <v>0.66</v>
      </c>
      <c r="D110">
        <v>0.74</v>
      </c>
      <c r="E110">
        <v>0.84</v>
      </c>
      <c r="F110">
        <v>0.77</v>
      </c>
      <c r="G110">
        <v>0.38</v>
      </c>
      <c r="H110">
        <v>0.1</v>
      </c>
      <c r="I110">
        <v>465</v>
      </c>
      <c r="J110">
        <v>18</v>
      </c>
      <c r="K110">
        <v>0.7</v>
      </c>
      <c r="L110" t="s">
        <v>12</v>
      </c>
    </row>
    <row r="111" spans="1:12" x14ac:dyDescent="0.3">
      <c r="A111">
        <v>32</v>
      </c>
      <c r="B111">
        <v>2021</v>
      </c>
      <c r="C111">
        <v>0.87</v>
      </c>
      <c r="D111">
        <v>0.42</v>
      </c>
      <c r="E111">
        <v>0.68</v>
      </c>
      <c r="F111">
        <v>0.82</v>
      </c>
      <c r="G111">
        <v>0.4</v>
      </c>
      <c r="H111">
        <v>0.75</v>
      </c>
      <c r="I111">
        <v>241</v>
      </c>
      <c r="J111">
        <v>3</v>
      </c>
      <c r="K111">
        <v>0.66</v>
      </c>
      <c r="L111" t="s">
        <v>12</v>
      </c>
    </row>
    <row r="112" spans="1:12" x14ac:dyDescent="0.3">
      <c r="A112">
        <v>32</v>
      </c>
      <c r="B112">
        <v>2021</v>
      </c>
      <c r="C112">
        <v>0.64</v>
      </c>
      <c r="D112">
        <v>0.92</v>
      </c>
      <c r="E112">
        <v>0.86</v>
      </c>
      <c r="F112">
        <v>0.83</v>
      </c>
      <c r="G112">
        <v>0.36</v>
      </c>
      <c r="H112">
        <v>0.69</v>
      </c>
      <c r="I112">
        <v>160</v>
      </c>
      <c r="J112">
        <v>11</v>
      </c>
      <c r="K112">
        <v>0.75</v>
      </c>
      <c r="L112" t="s">
        <v>13</v>
      </c>
    </row>
    <row r="113" spans="1:12" x14ac:dyDescent="0.3">
      <c r="A113">
        <v>32</v>
      </c>
      <c r="B113">
        <v>2021</v>
      </c>
      <c r="C113">
        <v>0.32</v>
      </c>
      <c r="D113">
        <v>0.48</v>
      </c>
      <c r="E113">
        <v>0.83</v>
      </c>
      <c r="F113">
        <v>0.92</v>
      </c>
      <c r="G113">
        <v>0.99</v>
      </c>
      <c r="H113">
        <v>0.35</v>
      </c>
      <c r="I113">
        <v>213</v>
      </c>
      <c r="J113">
        <v>0</v>
      </c>
      <c r="K113">
        <v>0.62</v>
      </c>
      <c r="L113" t="s">
        <v>12</v>
      </c>
    </row>
    <row r="114" spans="1:12" x14ac:dyDescent="0.3">
      <c r="A114">
        <v>33</v>
      </c>
      <c r="B114">
        <v>2021</v>
      </c>
      <c r="C114">
        <v>0.71</v>
      </c>
      <c r="D114">
        <v>0.81</v>
      </c>
      <c r="E114">
        <v>0.7</v>
      </c>
      <c r="F114">
        <v>0.79</v>
      </c>
      <c r="G114">
        <v>0.78</v>
      </c>
      <c r="H114">
        <v>0.02</v>
      </c>
      <c r="I114">
        <v>266</v>
      </c>
      <c r="J114">
        <v>17</v>
      </c>
      <c r="K114">
        <v>0.75</v>
      </c>
      <c r="L114" t="s">
        <v>13</v>
      </c>
    </row>
    <row r="115" spans="1:12" x14ac:dyDescent="0.3">
      <c r="A115">
        <v>33</v>
      </c>
      <c r="B115">
        <v>2021</v>
      </c>
      <c r="C115">
        <v>0.88</v>
      </c>
      <c r="D115">
        <v>0.91</v>
      </c>
      <c r="E115">
        <v>0.65</v>
      </c>
      <c r="F115">
        <v>0.77</v>
      </c>
      <c r="G115">
        <v>0.63</v>
      </c>
      <c r="H115">
        <v>0.16</v>
      </c>
      <c r="I115">
        <v>225</v>
      </c>
      <c r="J115">
        <v>12</v>
      </c>
      <c r="K115">
        <v>0.8</v>
      </c>
      <c r="L115" t="s">
        <v>13</v>
      </c>
    </row>
    <row r="116" spans="1:12" x14ac:dyDescent="0.3">
      <c r="A116">
        <v>33</v>
      </c>
      <c r="B116">
        <v>2021</v>
      </c>
      <c r="C116">
        <v>0.35</v>
      </c>
      <c r="D116">
        <v>0.53</v>
      </c>
      <c r="E116">
        <v>0.56000000000000005</v>
      </c>
      <c r="F116">
        <v>0.72</v>
      </c>
      <c r="G116">
        <v>0.66</v>
      </c>
      <c r="H116">
        <v>0.59</v>
      </c>
      <c r="I116">
        <v>229</v>
      </c>
      <c r="J116">
        <v>19</v>
      </c>
      <c r="K116">
        <v>0.52</v>
      </c>
      <c r="L116" t="s">
        <v>12</v>
      </c>
    </row>
    <row r="117" spans="1:12" x14ac:dyDescent="0.3">
      <c r="A117">
        <v>33</v>
      </c>
      <c r="B117">
        <v>2021</v>
      </c>
      <c r="C117">
        <v>0.35</v>
      </c>
      <c r="D117">
        <v>0.43</v>
      </c>
      <c r="E117">
        <v>0.56000000000000005</v>
      </c>
      <c r="F117">
        <v>0.63</v>
      </c>
      <c r="G117">
        <v>0.83</v>
      </c>
      <c r="H117">
        <v>0.49</v>
      </c>
      <c r="I117">
        <v>213</v>
      </c>
      <c r="J117">
        <v>15</v>
      </c>
      <c r="K117">
        <v>0.5</v>
      </c>
      <c r="L117" t="s">
        <v>12</v>
      </c>
    </row>
    <row r="118" spans="1:12" x14ac:dyDescent="0.3">
      <c r="A118">
        <v>33</v>
      </c>
      <c r="B118">
        <v>2021</v>
      </c>
      <c r="C118">
        <v>0.77</v>
      </c>
      <c r="D118">
        <v>0.63</v>
      </c>
      <c r="E118">
        <v>0.74</v>
      </c>
      <c r="F118">
        <v>1</v>
      </c>
      <c r="G118">
        <v>0.45</v>
      </c>
      <c r="H118">
        <v>0.42</v>
      </c>
      <c r="I118">
        <v>216</v>
      </c>
      <c r="J118">
        <v>11</v>
      </c>
      <c r="K118">
        <v>0.73</v>
      </c>
      <c r="L118" t="s">
        <v>13</v>
      </c>
    </row>
    <row r="119" spans="1:12" x14ac:dyDescent="0.3">
      <c r="A119">
        <v>33</v>
      </c>
      <c r="B119">
        <v>2021</v>
      </c>
      <c r="C119">
        <v>0.82</v>
      </c>
      <c r="D119">
        <v>0.6</v>
      </c>
      <c r="E119">
        <v>0.68</v>
      </c>
      <c r="F119">
        <v>0.8</v>
      </c>
      <c r="G119">
        <v>0.55000000000000004</v>
      </c>
      <c r="H119">
        <v>0.78</v>
      </c>
      <c r="I119">
        <v>139</v>
      </c>
      <c r="J119">
        <v>7</v>
      </c>
      <c r="K119">
        <v>0.71</v>
      </c>
      <c r="L119" t="s">
        <v>13</v>
      </c>
    </row>
    <row r="120" spans="1:12" x14ac:dyDescent="0.3">
      <c r="A120">
        <v>33</v>
      </c>
      <c r="B120">
        <v>2021</v>
      </c>
      <c r="C120">
        <v>0.99</v>
      </c>
      <c r="D120">
        <v>0.95</v>
      </c>
      <c r="E120">
        <v>0.51</v>
      </c>
      <c r="F120">
        <v>0.91</v>
      </c>
      <c r="G120">
        <v>0.38</v>
      </c>
      <c r="H120">
        <v>0.03</v>
      </c>
      <c r="I120">
        <v>273</v>
      </c>
      <c r="J120">
        <v>10</v>
      </c>
      <c r="K120">
        <v>0.81</v>
      </c>
      <c r="L120" t="s">
        <v>13</v>
      </c>
    </row>
    <row r="121" spans="1:12" x14ac:dyDescent="0.3">
      <c r="A121">
        <v>34</v>
      </c>
      <c r="B121">
        <v>2021</v>
      </c>
      <c r="C121">
        <v>0.76</v>
      </c>
      <c r="D121">
        <v>0.56999999999999995</v>
      </c>
      <c r="E121">
        <v>0.98</v>
      </c>
      <c r="F121">
        <v>0.9</v>
      </c>
      <c r="G121">
        <v>0.69</v>
      </c>
      <c r="H121">
        <v>0.61</v>
      </c>
      <c r="I121">
        <v>296</v>
      </c>
      <c r="J121">
        <v>2</v>
      </c>
      <c r="K121">
        <v>0.77</v>
      </c>
      <c r="L121" t="s">
        <v>13</v>
      </c>
    </row>
    <row r="122" spans="1:12" x14ac:dyDescent="0.3">
      <c r="A122">
        <v>34</v>
      </c>
      <c r="B122">
        <v>2021</v>
      </c>
      <c r="C122">
        <v>0.93</v>
      </c>
      <c r="D122">
        <v>0.88</v>
      </c>
      <c r="E122">
        <v>0.5</v>
      </c>
      <c r="F122">
        <v>0.73</v>
      </c>
      <c r="G122">
        <v>0.6</v>
      </c>
      <c r="H122">
        <v>0.23</v>
      </c>
      <c r="I122">
        <v>68</v>
      </c>
      <c r="J122">
        <v>7</v>
      </c>
      <c r="K122">
        <v>0.77</v>
      </c>
      <c r="L122" t="s">
        <v>13</v>
      </c>
    </row>
    <row r="123" spans="1:12" x14ac:dyDescent="0.3">
      <c r="A123">
        <v>34</v>
      </c>
      <c r="B123">
        <v>2021</v>
      </c>
      <c r="C123">
        <v>0.8</v>
      </c>
      <c r="D123">
        <v>0.85</v>
      </c>
      <c r="E123">
        <v>0.61</v>
      </c>
      <c r="F123">
        <v>0.78</v>
      </c>
      <c r="G123">
        <v>0.73</v>
      </c>
      <c r="H123">
        <v>0.77</v>
      </c>
      <c r="I123">
        <v>274</v>
      </c>
      <c r="J123">
        <v>1</v>
      </c>
      <c r="K123">
        <v>0.76</v>
      </c>
      <c r="L123" t="s">
        <v>13</v>
      </c>
    </row>
    <row r="124" spans="1:12" x14ac:dyDescent="0.3">
      <c r="A124">
        <v>34</v>
      </c>
      <c r="B124">
        <v>2021</v>
      </c>
      <c r="C124">
        <v>0.82</v>
      </c>
      <c r="D124">
        <v>0.78</v>
      </c>
      <c r="E124">
        <v>0.71</v>
      </c>
      <c r="F124">
        <v>0.99</v>
      </c>
      <c r="G124">
        <v>0.81</v>
      </c>
      <c r="H124">
        <v>0.06</v>
      </c>
      <c r="I124">
        <v>208</v>
      </c>
      <c r="J124">
        <v>5</v>
      </c>
      <c r="K124">
        <v>0.81</v>
      </c>
      <c r="L124" t="s">
        <v>13</v>
      </c>
    </row>
    <row r="125" spans="1:12" x14ac:dyDescent="0.3">
      <c r="A125">
        <v>35</v>
      </c>
      <c r="B125">
        <v>2021</v>
      </c>
      <c r="C125">
        <v>0.76</v>
      </c>
      <c r="D125">
        <v>0.63</v>
      </c>
      <c r="E125">
        <v>0.84</v>
      </c>
      <c r="F125">
        <v>0.74</v>
      </c>
      <c r="G125">
        <v>0.48</v>
      </c>
      <c r="H125">
        <v>0.5</v>
      </c>
      <c r="I125">
        <v>363</v>
      </c>
      <c r="J125">
        <v>17</v>
      </c>
      <c r="K125">
        <v>0.71</v>
      </c>
      <c r="L125" t="s">
        <v>13</v>
      </c>
    </row>
    <row r="126" spans="1:12" x14ac:dyDescent="0.3">
      <c r="A126">
        <v>35</v>
      </c>
      <c r="B126">
        <v>2021</v>
      </c>
      <c r="C126">
        <v>0.82</v>
      </c>
      <c r="D126">
        <v>0.6</v>
      </c>
      <c r="E126">
        <v>0.95</v>
      </c>
      <c r="F126">
        <v>0.71</v>
      </c>
      <c r="G126">
        <v>0.81</v>
      </c>
      <c r="H126">
        <v>0.88</v>
      </c>
      <c r="I126">
        <v>427</v>
      </c>
      <c r="J126">
        <v>5</v>
      </c>
      <c r="K126">
        <v>0.77</v>
      </c>
      <c r="L126" t="s">
        <v>13</v>
      </c>
    </row>
    <row r="127" spans="1:12" x14ac:dyDescent="0.3">
      <c r="A127">
        <v>35</v>
      </c>
      <c r="B127">
        <v>2021</v>
      </c>
      <c r="C127">
        <v>0.9</v>
      </c>
      <c r="D127">
        <v>0.81</v>
      </c>
      <c r="E127">
        <v>0.92</v>
      </c>
      <c r="F127">
        <v>0.94</v>
      </c>
      <c r="G127">
        <v>0.82</v>
      </c>
      <c r="H127">
        <v>0.44</v>
      </c>
      <c r="I127">
        <v>263</v>
      </c>
      <c r="J127">
        <v>8</v>
      </c>
      <c r="K127">
        <v>0.88</v>
      </c>
      <c r="L127" t="s">
        <v>13</v>
      </c>
    </row>
    <row r="128" spans="1:12" x14ac:dyDescent="0.3">
      <c r="A128">
        <v>35</v>
      </c>
      <c r="B128">
        <v>2021</v>
      </c>
      <c r="C128">
        <v>0.57999999999999996</v>
      </c>
      <c r="D128">
        <v>0.87</v>
      </c>
      <c r="E128">
        <v>0.63</v>
      </c>
      <c r="F128">
        <v>1</v>
      </c>
      <c r="G128">
        <v>0.32</v>
      </c>
      <c r="H128">
        <v>0.6</v>
      </c>
      <c r="I128">
        <v>136</v>
      </c>
      <c r="J128">
        <v>13</v>
      </c>
      <c r="K128">
        <v>0.7</v>
      </c>
      <c r="L128" t="s">
        <v>12</v>
      </c>
    </row>
    <row r="129" spans="1:12" x14ac:dyDescent="0.3">
      <c r="A129">
        <v>35</v>
      </c>
      <c r="B129">
        <v>2021</v>
      </c>
      <c r="C129">
        <v>0.44</v>
      </c>
      <c r="D129">
        <v>0.41</v>
      </c>
      <c r="E129">
        <v>0.93</v>
      </c>
      <c r="F129">
        <v>0.83</v>
      </c>
      <c r="G129">
        <v>0.92</v>
      </c>
      <c r="H129">
        <v>0.6</v>
      </c>
      <c r="I129">
        <v>452</v>
      </c>
      <c r="J129">
        <v>18</v>
      </c>
      <c r="K129">
        <v>0.64</v>
      </c>
      <c r="L129" t="s">
        <v>12</v>
      </c>
    </row>
    <row r="130" spans="1:12" x14ac:dyDescent="0.3">
      <c r="A130">
        <v>35</v>
      </c>
      <c r="B130">
        <v>2021</v>
      </c>
      <c r="C130">
        <v>0.63</v>
      </c>
      <c r="D130">
        <v>0.89</v>
      </c>
      <c r="E130">
        <v>0.56000000000000005</v>
      </c>
      <c r="F130">
        <v>0.94</v>
      </c>
      <c r="G130">
        <v>0.93</v>
      </c>
      <c r="H130">
        <v>0.95</v>
      </c>
      <c r="I130">
        <v>238</v>
      </c>
      <c r="J130">
        <v>7</v>
      </c>
      <c r="K130">
        <v>0.76</v>
      </c>
      <c r="L130" t="s">
        <v>13</v>
      </c>
    </row>
    <row r="131" spans="1:12" x14ac:dyDescent="0.3">
      <c r="A131">
        <v>35</v>
      </c>
      <c r="B131">
        <v>2021</v>
      </c>
      <c r="C131">
        <v>0.39</v>
      </c>
      <c r="D131">
        <v>0.67</v>
      </c>
      <c r="E131">
        <v>0.91</v>
      </c>
      <c r="F131">
        <v>0.93</v>
      </c>
      <c r="G131">
        <v>0.59</v>
      </c>
      <c r="H131">
        <v>0.52</v>
      </c>
      <c r="I131">
        <v>297</v>
      </c>
      <c r="J131">
        <v>16</v>
      </c>
      <c r="K131">
        <v>0.66</v>
      </c>
      <c r="L131" t="s">
        <v>12</v>
      </c>
    </row>
    <row r="132" spans="1:12" x14ac:dyDescent="0.3">
      <c r="A132">
        <v>35</v>
      </c>
      <c r="B132">
        <v>2021</v>
      </c>
      <c r="C132">
        <v>0.3</v>
      </c>
      <c r="D132">
        <v>0.63</v>
      </c>
      <c r="E132">
        <v>0.91</v>
      </c>
      <c r="F132">
        <v>0.75</v>
      </c>
      <c r="G132">
        <v>0.72</v>
      </c>
      <c r="H132">
        <v>0.61</v>
      </c>
      <c r="I132">
        <v>141</v>
      </c>
      <c r="J132">
        <v>0</v>
      </c>
      <c r="K132">
        <v>0.61</v>
      </c>
      <c r="L132" t="s">
        <v>12</v>
      </c>
    </row>
    <row r="133" spans="1:12" x14ac:dyDescent="0.3">
      <c r="A133">
        <v>35</v>
      </c>
      <c r="B133">
        <v>2021</v>
      </c>
      <c r="C133">
        <v>0.84</v>
      </c>
      <c r="D133">
        <v>0.65</v>
      </c>
      <c r="E133">
        <v>0.59</v>
      </c>
      <c r="F133">
        <v>0.98</v>
      </c>
      <c r="G133">
        <v>0.67</v>
      </c>
      <c r="H133">
        <v>0.85</v>
      </c>
      <c r="I133">
        <v>305</v>
      </c>
      <c r="J133">
        <v>7</v>
      </c>
      <c r="K133">
        <v>0.75</v>
      </c>
      <c r="L133" t="s">
        <v>13</v>
      </c>
    </row>
    <row r="134" spans="1:12" x14ac:dyDescent="0.3">
      <c r="A134">
        <v>36</v>
      </c>
      <c r="B134">
        <v>2021</v>
      </c>
      <c r="C134">
        <v>0.81</v>
      </c>
      <c r="D134">
        <v>0.77</v>
      </c>
      <c r="E134">
        <v>0.97</v>
      </c>
      <c r="F134">
        <v>0.76</v>
      </c>
      <c r="G134">
        <v>0.97</v>
      </c>
      <c r="H134">
        <v>0.14000000000000001</v>
      </c>
      <c r="I134">
        <v>361</v>
      </c>
      <c r="J134">
        <v>0</v>
      </c>
      <c r="K134">
        <v>0.84</v>
      </c>
      <c r="L134" t="s">
        <v>13</v>
      </c>
    </row>
    <row r="135" spans="1:12" x14ac:dyDescent="0.3">
      <c r="A135">
        <v>36</v>
      </c>
      <c r="B135">
        <v>2021</v>
      </c>
      <c r="C135">
        <v>1</v>
      </c>
      <c r="D135">
        <v>0.46</v>
      </c>
      <c r="E135">
        <v>0.59</v>
      </c>
      <c r="F135">
        <v>0.65</v>
      </c>
      <c r="G135">
        <v>0.53</v>
      </c>
      <c r="H135">
        <v>0.21</v>
      </c>
      <c r="I135">
        <v>175</v>
      </c>
      <c r="J135">
        <v>11</v>
      </c>
      <c r="K135">
        <v>0.68</v>
      </c>
      <c r="L135" t="s">
        <v>12</v>
      </c>
    </row>
    <row r="136" spans="1:12" x14ac:dyDescent="0.3">
      <c r="A136">
        <v>36</v>
      </c>
      <c r="B136">
        <v>2021</v>
      </c>
      <c r="C136">
        <v>0.64</v>
      </c>
      <c r="D136">
        <v>0.76</v>
      </c>
      <c r="E136">
        <v>0.54</v>
      </c>
      <c r="F136">
        <v>0.71</v>
      </c>
      <c r="G136">
        <v>0.53</v>
      </c>
      <c r="H136">
        <v>0.56000000000000005</v>
      </c>
      <c r="I136">
        <v>133</v>
      </c>
      <c r="J136">
        <v>3</v>
      </c>
      <c r="K136">
        <v>0.65</v>
      </c>
      <c r="L136" t="s">
        <v>12</v>
      </c>
    </row>
    <row r="137" spans="1:12" x14ac:dyDescent="0.3">
      <c r="A137">
        <v>36</v>
      </c>
      <c r="B137">
        <v>2021</v>
      </c>
      <c r="C137">
        <v>0.55000000000000004</v>
      </c>
      <c r="D137">
        <v>0.76</v>
      </c>
      <c r="E137">
        <v>0.8</v>
      </c>
      <c r="F137">
        <v>0.82</v>
      </c>
      <c r="G137">
        <v>0.94</v>
      </c>
      <c r="H137">
        <v>0.67</v>
      </c>
      <c r="I137">
        <v>425</v>
      </c>
      <c r="J137">
        <v>16</v>
      </c>
      <c r="K137">
        <v>0.73</v>
      </c>
      <c r="L137" t="s">
        <v>13</v>
      </c>
    </row>
    <row r="138" spans="1:12" x14ac:dyDescent="0.3">
      <c r="A138">
        <v>36</v>
      </c>
      <c r="B138">
        <v>2021</v>
      </c>
      <c r="C138">
        <v>0.49</v>
      </c>
      <c r="D138">
        <v>0.61</v>
      </c>
      <c r="E138">
        <v>0.82</v>
      </c>
      <c r="F138">
        <v>0.95</v>
      </c>
      <c r="G138">
        <v>0.43</v>
      </c>
      <c r="H138">
        <v>0.84</v>
      </c>
      <c r="I138">
        <v>331</v>
      </c>
      <c r="J138">
        <v>13</v>
      </c>
      <c r="K138">
        <v>0.65</v>
      </c>
      <c r="L138" t="s">
        <v>12</v>
      </c>
    </row>
    <row r="139" spans="1:12" x14ac:dyDescent="0.3">
      <c r="A139">
        <v>36</v>
      </c>
      <c r="B139">
        <v>2021</v>
      </c>
      <c r="C139">
        <v>0.6</v>
      </c>
      <c r="D139">
        <v>0.8</v>
      </c>
      <c r="E139">
        <v>0.71</v>
      </c>
      <c r="F139">
        <v>0.95</v>
      </c>
      <c r="G139">
        <v>0.53</v>
      </c>
      <c r="H139">
        <v>0.13</v>
      </c>
      <c r="I139">
        <v>407</v>
      </c>
      <c r="J139">
        <v>11</v>
      </c>
      <c r="K139">
        <v>0.72</v>
      </c>
      <c r="L139" t="s">
        <v>13</v>
      </c>
    </row>
    <row r="140" spans="1:12" x14ac:dyDescent="0.3">
      <c r="A140">
        <v>36</v>
      </c>
      <c r="B140">
        <v>2021</v>
      </c>
      <c r="C140">
        <v>0.76</v>
      </c>
      <c r="D140">
        <v>0.67</v>
      </c>
      <c r="E140">
        <v>0.94</v>
      </c>
      <c r="F140">
        <v>0.88</v>
      </c>
      <c r="G140">
        <v>0.54</v>
      </c>
      <c r="H140">
        <v>0.88</v>
      </c>
      <c r="I140">
        <v>450</v>
      </c>
      <c r="J140">
        <v>15</v>
      </c>
      <c r="K140">
        <v>0.77</v>
      </c>
      <c r="L140" t="s">
        <v>13</v>
      </c>
    </row>
    <row r="141" spans="1:12" x14ac:dyDescent="0.3">
      <c r="A141">
        <v>37</v>
      </c>
      <c r="B141">
        <v>2021</v>
      </c>
      <c r="C141">
        <v>0.81</v>
      </c>
      <c r="D141">
        <v>0.84</v>
      </c>
      <c r="E141">
        <v>0.54</v>
      </c>
      <c r="F141">
        <v>0.74</v>
      </c>
      <c r="G141">
        <v>0.9</v>
      </c>
      <c r="H141">
        <v>0.23</v>
      </c>
      <c r="I141">
        <v>252</v>
      </c>
      <c r="J141">
        <v>5</v>
      </c>
      <c r="K141">
        <v>0.76</v>
      </c>
      <c r="L141" t="s">
        <v>13</v>
      </c>
    </row>
    <row r="142" spans="1:12" x14ac:dyDescent="0.3">
      <c r="A142">
        <v>37</v>
      </c>
      <c r="B142">
        <v>2021</v>
      </c>
      <c r="C142">
        <v>0.37</v>
      </c>
      <c r="D142">
        <v>0.84</v>
      </c>
      <c r="E142">
        <v>0.6</v>
      </c>
      <c r="F142">
        <v>0.75</v>
      </c>
      <c r="G142">
        <v>0.65</v>
      </c>
      <c r="H142">
        <v>0.73</v>
      </c>
      <c r="I142">
        <v>225</v>
      </c>
      <c r="J142">
        <v>5</v>
      </c>
      <c r="K142">
        <v>0.62</v>
      </c>
      <c r="L142" t="s">
        <v>12</v>
      </c>
    </row>
    <row r="143" spans="1:12" x14ac:dyDescent="0.3">
      <c r="A143">
        <v>37</v>
      </c>
      <c r="B143">
        <v>2021</v>
      </c>
      <c r="C143">
        <v>0.43</v>
      </c>
      <c r="D143">
        <v>0.74</v>
      </c>
      <c r="E143">
        <v>0.87</v>
      </c>
      <c r="F143">
        <v>0.91</v>
      </c>
      <c r="G143">
        <v>0.51</v>
      </c>
      <c r="H143">
        <v>0.51</v>
      </c>
      <c r="I143">
        <v>461</v>
      </c>
      <c r="J143">
        <v>12</v>
      </c>
      <c r="K143">
        <v>0.68</v>
      </c>
      <c r="L143" t="s">
        <v>12</v>
      </c>
    </row>
    <row r="144" spans="1:12" x14ac:dyDescent="0.3">
      <c r="A144">
        <v>38</v>
      </c>
      <c r="B144">
        <v>2021</v>
      </c>
      <c r="C144">
        <v>0.82</v>
      </c>
      <c r="D144">
        <v>0.7</v>
      </c>
      <c r="E144">
        <v>0.62</v>
      </c>
      <c r="F144">
        <v>0.96</v>
      </c>
      <c r="G144">
        <v>0.56999999999999995</v>
      </c>
      <c r="H144">
        <v>0.54</v>
      </c>
      <c r="I144">
        <v>153</v>
      </c>
      <c r="J144">
        <v>7</v>
      </c>
      <c r="K144">
        <v>0.75</v>
      </c>
      <c r="L144" t="s">
        <v>13</v>
      </c>
    </row>
    <row r="145" spans="1:12" x14ac:dyDescent="0.3">
      <c r="A145">
        <v>38</v>
      </c>
      <c r="B145">
        <v>2021</v>
      </c>
      <c r="C145">
        <v>0.61</v>
      </c>
      <c r="D145">
        <v>0.57999999999999996</v>
      </c>
      <c r="E145">
        <v>0.97</v>
      </c>
      <c r="F145">
        <v>0.91</v>
      </c>
      <c r="G145">
        <v>0.4</v>
      </c>
      <c r="H145">
        <v>0.87</v>
      </c>
      <c r="I145">
        <v>169</v>
      </c>
      <c r="J145">
        <v>13</v>
      </c>
      <c r="K145">
        <v>0.7</v>
      </c>
      <c r="L145" t="s">
        <v>12</v>
      </c>
    </row>
    <row r="146" spans="1:12" x14ac:dyDescent="0.3">
      <c r="A146">
        <v>38</v>
      </c>
      <c r="B146">
        <v>2021</v>
      </c>
      <c r="C146">
        <v>0.96</v>
      </c>
      <c r="D146">
        <v>0.79</v>
      </c>
      <c r="E146">
        <v>0.98</v>
      </c>
      <c r="F146">
        <v>0.66</v>
      </c>
      <c r="G146">
        <v>0.63</v>
      </c>
      <c r="H146">
        <v>0.6</v>
      </c>
      <c r="I146">
        <v>430</v>
      </c>
      <c r="J146">
        <v>17</v>
      </c>
      <c r="K146">
        <v>0.84</v>
      </c>
      <c r="L146" t="s">
        <v>13</v>
      </c>
    </row>
    <row r="147" spans="1:12" x14ac:dyDescent="0.3">
      <c r="A147">
        <v>38</v>
      </c>
      <c r="B147">
        <v>2021</v>
      </c>
      <c r="C147">
        <v>0.34</v>
      </c>
      <c r="D147">
        <v>0.6</v>
      </c>
      <c r="E147">
        <v>0.88</v>
      </c>
      <c r="F147">
        <v>0.72</v>
      </c>
      <c r="G147">
        <v>0.83</v>
      </c>
      <c r="H147">
        <v>0.75</v>
      </c>
      <c r="I147">
        <v>299</v>
      </c>
      <c r="J147">
        <v>13</v>
      </c>
      <c r="K147">
        <v>0.62</v>
      </c>
      <c r="L147" t="s">
        <v>12</v>
      </c>
    </row>
    <row r="148" spans="1:12" x14ac:dyDescent="0.3">
      <c r="A148">
        <v>39</v>
      </c>
      <c r="B148">
        <v>2021</v>
      </c>
      <c r="C148">
        <v>0.78</v>
      </c>
      <c r="D148">
        <v>0.54</v>
      </c>
      <c r="E148">
        <v>0.7</v>
      </c>
      <c r="F148">
        <v>0.79</v>
      </c>
      <c r="G148">
        <v>0.36</v>
      </c>
      <c r="H148">
        <v>0.53</v>
      </c>
      <c r="I148">
        <v>166</v>
      </c>
      <c r="J148">
        <v>5</v>
      </c>
      <c r="K148">
        <v>0.66</v>
      </c>
      <c r="L148" t="s">
        <v>12</v>
      </c>
    </row>
    <row r="149" spans="1:12" x14ac:dyDescent="0.3">
      <c r="A149">
        <v>39</v>
      </c>
      <c r="B149">
        <v>2021</v>
      </c>
      <c r="C149">
        <v>0.78</v>
      </c>
      <c r="D149">
        <v>0.99</v>
      </c>
      <c r="E149">
        <v>0.56000000000000005</v>
      </c>
      <c r="F149">
        <v>0.64</v>
      </c>
      <c r="G149">
        <v>0.81</v>
      </c>
      <c r="H149">
        <v>0.57999999999999996</v>
      </c>
      <c r="I149">
        <v>216</v>
      </c>
      <c r="J149">
        <v>12</v>
      </c>
      <c r="K149">
        <v>0.77</v>
      </c>
      <c r="L149" t="s">
        <v>13</v>
      </c>
    </row>
    <row r="150" spans="1:12" x14ac:dyDescent="0.3">
      <c r="A150">
        <v>39</v>
      </c>
      <c r="B150">
        <v>2021</v>
      </c>
      <c r="C150">
        <v>0.76</v>
      </c>
      <c r="D150">
        <v>1</v>
      </c>
      <c r="E150">
        <v>0.54</v>
      </c>
      <c r="F150">
        <v>0.63</v>
      </c>
      <c r="G150">
        <v>0.54</v>
      </c>
      <c r="H150">
        <v>0.87</v>
      </c>
      <c r="I150">
        <v>352</v>
      </c>
      <c r="J150">
        <v>5</v>
      </c>
      <c r="K150">
        <v>0.73</v>
      </c>
      <c r="L150" t="s">
        <v>13</v>
      </c>
    </row>
    <row r="151" spans="1:12" x14ac:dyDescent="0.3">
      <c r="A151">
        <v>39</v>
      </c>
      <c r="B151">
        <v>2021</v>
      </c>
      <c r="C151">
        <v>0.7</v>
      </c>
      <c r="D151">
        <v>0.92</v>
      </c>
      <c r="E151">
        <v>0.79</v>
      </c>
      <c r="F151">
        <v>0.89</v>
      </c>
      <c r="G151">
        <v>0.56000000000000005</v>
      </c>
      <c r="H151">
        <v>0.09</v>
      </c>
      <c r="I151">
        <v>87</v>
      </c>
      <c r="J151">
        <v>8</v>
      </c>
      <c r="K151">
        <v>0.79</v>
      </c>
      <c r="L151" t="s">
        <v>13</v>
      </c>
    </row>
    <row r="152" spans="1:12" x14ac:dyDescent="0.3">
      <c r="A152">
        <v>39</v>
      </c>
      <c r="B152">
        <v>2021</v>
      </c>
      <c r="C152">
        <v>0.53</v>
      </c>
      <c r="D152">
        <v>0.56999999999999995</v>
      </c>
      <c r="E152">
        <v>0.63</v>
      </c>
      <c r="F152">
        <v>0.66</v>
      </c>
      <c r="G152">
        <v>0.71</v>
      </c>
      <c r="H152">
        <v>0.17</v>
      </c>
      <c r="I152">
        <v>240</v>
      </c>
      <c r="J152">
        <v>12</v>
      </c>
      <c r="K152">
        <v>0.6</v>
      </c>
      <c r="L152" t="s">
        <v>12</v>
      </c>
    </row>
    <row r="153" spans="1:12" x14ac:dyDescent="0.3">
      <c r="A153">
        <v>40</v>
      </c>
      <c r="B153">
        <v>2021</v>
      </c>
      <c r="C153">
        <v>0.69</v>
      </c>
      <c r="D153">
        <v>0.45</v>
      </c>
      <c r="E153">
        <v>0.7</v>
      </c>
      <c r="F153">
        <v>0.75</v>
      </c>
      <c r="G153">
        <v>0.48</v>
      </c>
      <c r="H153">
        <v>0.72</v>
      </c>
      <c r="I153">
        <v>139</v>
      </c>
      <c r="J153">
        <v>17</v>
      </c>
      <c r="K153">
        <v>0.62</v>
      </c>
      <c r="L153" t="s">
        <v>12</v>
      </c>
    </row>
    <row r="154" spans="1:12" x14ac:dyDescent="0.3">
      <c r="A154">
        <v>40</v>
      </c>
      <c r="B154">
        <v>2021</v>
      </c>
      <c r="C154">
        <v>0.73</v>
      </c>
      <c r="D154">
        <v>0.74</v>
      </c>
      <c r="E154">
        <v>0.86</v>
      </c>
      <c r="F154">
        <v>0.98</v>
      </c>
      <c r="G154">
        <v>0.94</v>
      </c>
      <c r="H154">
        <v>0.95</v>
      </c>
      <c r="I154">
        <v>159</v>
      </c>
      <c r="J154">
        <v>12</v>
      </c>
      <c r="K154">
        <v>0.82</v>
      </c>
      <c r="L154" t="s">
        <v>13</v>
      </c>
    </row>
    <row r="155" spans="1:12" x14ac:dyDescent="0.3">
      <c r="A155">
        <v>40</v>
      </c>
      <c r="B155">
        <v>2021</v>
      </c>
      <c r="C155">
        <v>0.97</v>
      </c>
      <c r="D155">
        <v>0.89</v>
      </c>
      <c r="E155">
        <v>0.93</v>
      </c>
      <c r="F155">
        <v>0.67</v>
      </c>
      <c r="G155">
        <v>0.49</v>
      </c>
      <c r="H155">
        <v>0.28999999999999998</v>
      </c>
      <c r="I155">
        <v>184</v>
      </c>
      <c r="J155">
        <v>13</v>
      </c>
      <c r="K155">
        <v>0.85</v>
      </c>
      <c r="L155" t="s">
        <v>13</v>
      </c>
    </row>
    <row r="156" spans="1:12" x14ac:dyDescent="0.3">
      <c r="A156">
        <v>40</v>
      </c>
      <c r="B156">
        <v>2021</v>
      </c>
      <c r="C156">
        <v>0.87</v>
      </c>
      <c r="D156">
        <v>0.99</v>
      </c>
      <c r="E156">
        <v>0.91</v>
      </c>
      <c r="F156">
        <v>0.82</v>
      </c>
      <c r="G156">
        <v>0.51</v>
      </c>
      <c r="H156">
        <v>0.2</v>
      </c>
      <c r="I156">
        <v>405</v>
      </c>
      <c r="J156">
        <v>17</v>
      </c>
      <c r="K156">
        <v>0.86</v>
      </c>
      <c r="L156" t="s">
        <v>13</v>
      </c>
    </row>
    <row r="157" spans="1:12" x14ac:dyDescent="0.3">
      <c r="A157">
        <v>40</v>
      </c>
      <c r="B157">
        <v>2021</v>
      </c>
      <c r="C157">
        <v>0.48</v>
      </c>
      <c r="D157">
        <v>0.75</v>
      </c>
      <c r="E157">
        <v>0.72</v>
      </c>
      <c r="F157">
        <v>0.61</v>
      </c>
      <c r="G157">
        <v>0.33</v>
      </c>
      <c r="H157">
        <v>0.83</v>
      </c>
      <c r="I157">
        <v>482</v>
      </c>
      <c r="J157">
        <v>15</v>
      </c>
      <c r="K157">
        <v>0.6</v>
      </c>
      <c r="L157" t="s">
        <v>12</v>
      </c>
    </row>
    <row r="158" spans="1:12" x14ac:dyDescent="0.3">
      <c r="A158">
        <v>41</v>
      </c>
      <c r="B158">
        <v>2021</v>
      </c>
      <c r="C158">
        <v>0.77</v>
      </c>
      <c r="D158">
        <v>0.47</v>
      </c>
      <c r="E158">
        <v>0.74</v>
      </c>
      <c r="F158">
        <v>0.8</v>
      </c>
      <c r="G158">
        <v>0.46</v>
      </c>
      <c r="H158">
        <v>0.08</v>
      </c>
      <c r="I158">
        <v>61</v>
      </c>
      <c r="J158">
        <v>12</v>
      </c>
      <c r="K158">
        <v>0.66</v>
      </c>
      <c r="L158" t="s">
        <v>12</v>
      </c>
    </row>
    <row r="159" spans="1:12" x14ac:dyDescent="0.3">
      <c r="A159">
        <v>41</v>
      </c>
      <c r="B159">
        <v>2021</v>
      </c>
      <c r="C159">
        <v>0.68</v>
      </c>
      <c r="D159">
        <v>0.56999999999999995</v>
      </c>
      <c r="E159">
        <v>0.97</v>
      </c>
      <c r="F159">
        <v>0.94</v>
      </c>
      <c r="G159">
        <v>0.81</v>
      </c>
      <c r="H159">
        <v>0.08</v>
      </c>
      <c r="I159">
        <v>138</v>
      </c>
      <c r="J159">
        <v>0</v>
      </c>
      <c r="K159">
        <v>0.76</v>
      </c>
      <c r="L159" t="s">
        <v>13</v>
      </c>
    </row>
    <row r="160" spans="1:12" x14ac:dyDescent="0.3">
      <c r="A160">
        <v>41</v>
      </c>
      <c r="B160">
        <v>2021</v>
      </c>
      <c r="C160">
        <v>0.4</v>
      </c>
      <c r="D160">
        <v>0.94</v>
      </c>
      <c r="E160">
        <v>0.98</v>
      </c>
      <c r="F160">
        <v>1</v>
      </c>
      <c r="G160">
        <v>0.85</v>
      </c>
      <c r="H160">
        <v>0.66</v>
      </c>
      <c r="I160">
        <v>307</v>
      </c>
      <c r="J160">
        <v>3</v>
      </c>
      <c r="K160">
        <v>0.79</v>
      </c>
      <c r="L160" t="s">
        <v>13</v>
      </c>
    </row>
    <row r="161" spans="1:12" x14ac:dyDescent="0.3">
      <c r="A161">
        <v>41</v>
      </c>
      <c r="B161">
        <v>2021</v>
      </c>
      <c r="C161">
        <v>0.56000000000000005</v>
      </c>
      <c r="D161">
        <v>0.62</v>
      </c>
      <c r="E161">
        <v>0.53</v>
      </c>
      <c r="F161">
        <v>0.87</v>
      </c>
      <c r="G161">
        <v>0.61</v>
      </c>
      <c r="H161">
        <v>0.19</v>
      </c>
      <c r="I161">
        <v>117</v>
      </c>
      <c r="J161">
        <v>17</v>
      </c>
      <c r="K161">
        <v>0.62</v>
      </c>
      <c r="L161" t="s">
        <v>12</v>
      </c>
    </row>
    <row r="162" spans="1:12" x14ac:dyDescent="0.3">
      <c r="A162">
        <v>42</v>
      </c>
      <c r="B162">
        <v>2021</v>
      </c>
      <c r="C162">
        <v>0.39</v>
      </c>
      <c r="D162">
        <v>0.67</v>
      </c>
      <c r="E162">
        <v>0.91</v>
      </c>
      <c r="F162">
        <v>0.96</v>
      </c>
      <c r="G162">
        <v>0.66</v>
      </c>
      <c r="H162">
        <v>0.56999999999999995</v>
      </c>
      <c r="I162">
        <v>223</v>
      </c>
      <c r="J162">
        <v>17</v>
      </c>
      <c r="K162">
        <v>0.68</v>
      </c>
      <c r="L162" t="s">
        <v>12</v>
      </c>
    </row>
    <row r="163" spans="1:12" x14ac:dyDescent="0.3">
      <c r="A163">
        <v>42</v>
      </c>
      <c r="B163">
        <v>2021</v>
      </c>
      <c r="C163">
        <v>0.64</v>
      </c>
      <c r="D163">
        <v>0.6</v>
      </c>
      <c r="E163">
        <v>0.87</v>
      </c>
      <c r="F163">
        <v>0.73</v>
      </c>
      <c r="G163">
        <v>0.88</v>
      </c>
      <c r="H163">
        <v>0.59</v>
      </c>
      <c r="I163">
        <v>161</v>
      </c>
      <c r="J163">
        <v>17</v>
      </c>
      <c r="K163">
        <v>0.71</v>
      </c>
      <c r="L163" t="s">
        <v>13</v>
      </c>
    </row>
    <row r="164" spans="1:12" x14ac:dyDescent="0.3">
      <c r="A164">
        <v>43</v>
      </c>
      <c r="B164">
        <v>2021</v>
      </c>
      <c r="C164">
        <v>0.41</v>
      </c>
      <c r="D164">
        <v>0.74</v>
      </c>
      <c r="E164">
        <v>0.89</v>
      </c>
      <c r="F164">
        <v>0.8</v>
      </c>
      <c r="G164">
        <v>0.31</v>
      </c>
      <c r="H164">
        <v>0.01</v>
      </c>
      <c r="I164">
        <v>150</v>
      </c>
      <c r="J164">
        <v>9</v>
      </c>
      <c r="K164">
        <v>0.64</v>
      </c>
      <c r="L164" t="s">
        <v>12</v>
      </c>
    </row>
    <row r="165" spans="1:12" x14ac:dyDescent="0.3">
      <c r="A165">
        <v>43</v>
      </c>
      <c r="B165">
        <v>2021</v>
      </c>
      <c r="C165">
        <v>0.45</v>
      </c>
      <c r="D165">
        <v>0.73</v>
      </c>
      <c r="E165">
        <v>0.93</v>
      </c>
      <c r="F165">
        <v>0.93</v>
      </c>
      <c r="G165">
        <v>0.95</v>
      </c>
      <c r="H165">
        <v>0.37</v>
      </c>
      <c r="I165">
        <v>151</v>
      </c>
      <c r="J165">
        <v>4</v>
      </c>
      <c r="K165">
        <v>0.74</v>
      </c>
      <c r="L165" t="s">
        <v>13</v>
      </c>
    </row>
    <row r="166" spans="1:12" x14ac:dyDescent="0.3">
      <c r="A166">
        <v>43</v>
      </c>
      <c r="B166">
        <v>2021</v>
      </c>
      <c r="C166">
        <v>0.53</v>
      </c>
      <c r="D166">
        <v>0.59</v>
      </c>
      <c r="E166">
        <v>0.82</v>
      </c>
      <c r="F166">
        <v>0.74</v>
      </c>
      <c r="G166">
        <v>0.4</v>
      </c>
      <c r="H166">
        <v>0.6</v>
      </c>
      <c r="I166">
        <v>277</v>
      </c>
      <c r="J166">
        <v>16</v>
      </c>
      <c r="K166">
        <v>0.62</v>
      </c>
      <c r="L166" t="s">
        <v>12</v>
      </c>
    </row>
    <row r="167" spans="1:12" x14ac:dyDescent="0.3">
      <c r="A167">
        <v>43</v>
      </c>
      <c r="B167">
        <v>2021</v>
      </c>
      <c r="C167">
        <v>0.59</v>
      </c>
      <c r="D167">
        <v>0.69</v>
      </c>
      <c r="E167">
        <v>0.63</v>
      </c>
      <c r="F167">
        <v>0.81</v>
      </c>
      <c r="G167">
        <v>0.5</v>
      </c>
      <c r="H167">
        <v>0.69</v>
      </c>
      <c r="I167">
        <v>381</v>
      </c>
      <c r="J167">
        <v>18</v>
      </c>
      <c r="K167">
        <v>0.65</v>
      </c>
      <c r="L167" t="s">
        <v>12</v>
      </c>
    </row>
    <row r="168" spans="1:12" x14ac:dyDescent="0.3">
      <c r="A168">
        <v>44</v>
      </c>
      <c r="B168">
        <v>2021</v>
      </c>
      <c r="C168">
        <v>0.53</v>
      </c>
      <c r="D168">
        <v>0.75</v>
      </c>
      <c r="E168">
        <v>0.73</v>
      </c>
      <c r="F168">
        <v>0.78</v>
      </c>
      <c r="G168">
        <v>0.96</v>
      </c>
      <c r="H168">
        <v>0.98</v>
      </c>
      <c r="I168">
        <v>237</v>
      </c>
      <c r="J168">
        <v>13</v>
      </c>
      <c r="K168">
        <v>0.71</v>
      </c>
      <c r="L168" t="s">
        <v>13</v>
      </c>
    </row>
    <row r="169" spans="1:12" x14ac:dyDescent="0.3">
      <c r="A169">
        <v>44</v>
      </c>
      <c r="B169">
        <v>2021</v>
      </c>
      <c r="C169">
        <v>0.31</v>
      </c>
      <c r="D169">
        <v>0.62</v>
      </c>
      <c r="E169">
        <v>0.54</v>
      </c>
      <c r="F169">
        <v>0.7</v>
      </c>
      <c r="G169">
        <v>0.36</v>
      </c>
      <c r="H169">
        <v>0.1</v>
      </c>
      <c r="I169">
        <v>407</v>
      </c>
      <c r="J169">
        <v>1</v>
      </c>
      <c r="K169">
        <v>0.5</v>
      </c>
      <c r="L169" t="s">
        <v>12</v>
      </c>
    </row>
    <row r="170" spans="1:12" x14ac:dyDescent="0.3">
      <c r="A170">
        <v>44</v>
      </c>
      <c r="B170">
        <v>2021</v>
      </c>
      <c r="C170">
        <v>0.56999999999999995</v>
      </c>
      <c r="D170">
        <v>0.53</v>
      </c>
      <c r="E170">
        <v>0.91</v>
      </c>
      <c r="F170">
        <v>0.84</v>
      </c>
      <c r="G170">
        <v>0.61</v>
      </c>
      <c r="H170">
        <v>0.94</v>
      </c>
      <c r="I170">
        <v>54</v>
      </c>
      <c r="J170">
        <v>15</v>
      </c>
      <c r="K170">
        <v>0.67</v>
      </c>
      <c r="L170" t="s">
        <v>12</v>
      </c>
    </row>
    <row r="171" spans="1:12" x14ac:dyDescent="0.3">
      <c r="A171">
        <v>45</v>
      </c>
      <c r="B171">
        <v>2021</v>
      </c>
      <c r="C171">
        <v>0.9</v>
      </c>
      <c r="D171">
        <v>0.87</v>
      </c>
      <c r="E171">
        <v>0.52</v>
      </c>
      <c r="F171">
        <v>0.79</v>
      </c>
      <c r="G171">
        <v>0.37</v>
      </c>
      <c r="H171">
        <v>0.24</v>
      </c>
      <c r="I171">
        <v>426</v>
      </c>
      <c r="J171">
        <v>13</v>
      </c>
      <c r="K171">
        <v>0.75</v>
      </c>
      <c r="L171" t="s">
        <v>13</v>
      </c>
    </row>
    <row r="172" spans="1:12" x14ac:dyDescent="0.3">
      <c r="A172">
        <v>45</v>
      </c>
      <c r="B172">
        <v>2021</v>
      </c>
      <c r="C172">
        <v>0.32</v>
      </c>
      <c r="D172">
        <v>0.83</v>
      </c>
      <c r="E172">
        <v>0.91</v>
      </c>
      <c r="F172">
        <v>0.92</v>
      </c>
      <c r="G172">
        <v>0.39</v>
      </c>
      <c r="H172">
        <v>0.9</v>
      </c>
      <c r="I172">
        <v>347</v>
      </c>
      <c r="J172">
        <v>12</v>
      </c>
      <c r="K172">
        <v>0.66</v>
      </c>
      <c r="L172" t="s">
        <v>12</v>
      </c>
    </row>
    <row r="173" spans="1:12" x14ac:dyDescent="0.3">
      <c r="A173">
        <v>45</v>
      </c>
      <c r="B173">
        <v>2021</v>
      </c>
      <c r="C173">
        <v>0.41</v>
      </c>
      <c r="D173">
        <v>0.89</v>
      </c>
      <c r="E173">
        <v>0.61</v>
      </c>
      <c r="F173">
        <v>0.81</v>
      </c>
      <c r="G173">
        <v>0.39</v>
      </c>
      <c r="H173">
        <v>0.47</v>
      </c>
      <c r="I173">
        <v>162</v>
      </c>
      <c r="J173">
        <v>5</v>
      </c>
      <c r="K173">
        <v>0.63</v>
      </c>
      <c r="L173" t="s">
        <v>12</v>
      </c>
    </row>
    <row r="174" spans="1:12" x14ac:dyDescent="0.3">
      <c r="A174">
        <v>46</v>
      </c>
      <c r="B174">
        <v>2021</v>
      </c>
      <c r="C174">
        <v>0.68</v>
      </c>
      <c r="D174">
        <v>0.66</v>
      </c>
      <c r="E174">
        <v>0.87</v>
      </c>
      <c r="F174">
        <v>0.93</v>
      </c>
      <c r="G174">
        <v>0.84</v>
      </c>
      <c r="H174">
        <v>0.04</v>
      </c>
      <c r="I174">
        <v>115</v>
      </c>
      <c r="J174">
        <v>19</v>
      </c>
      <c r="K174">
        <v>0.77</v>
      </c>
      <c r="L174" t="s">
        <v>13</v>
      </c>
    </row>
    <row r="175" spans="1:12" x14ac:dyDescent="0.3">
      <c r="A175">
        <v>46</v>
      </c>
      <c r="B175">
        <v>2021</v>
      </c>
      <c r="C175">
        <v>0.43</v>
      </c>
      <c r="D175">
        <v>0.43</v>
      </c>
      <c r="E175">
        <v>0.54</v>
      </c>
      <c r="F175">
        <v>1</v>
      </c>
      <c r="G175">
        <v>0.85</v>
      </c>
      <c r="H175">
        <v>0.92</v>
      </c>
      <c r="I175">
        <v>357</v>
      </c>
      <c r="J175">
        <v>10</v>
      </c>
      <c r="K175">
        <v>0.57999999999999996</v>
      </c>
      <c r="L175" t="s">
        <v>12</v>
      </c>
    </row>
    <row r="176" spans="1:12" x14ac:dyDescent="0.3">
      <c r="A176">
        <v>46</v>
      </c>
      <c r="B176">
        <v>2021</v>
      </c>
      <c r="C176">
        <v>0.7</v>
      </c>
      <c r="D176">
        <v>0.93</v>
      </c>
      <c r="E176">
        <v>0.83</v>
      </c>
      <c r="F176">
        <v>0.79</v>
      </c>
      <c r="G176">
        <v>0.9</v>
      </c>
      <c r="H176">
        <v>0.47</v>
      </c>
      <c r="I176">
        <v>171</v>
      </c>
      <c r="J176">
        <v>16</v>
      </c>
      <c r="K176">
        <v>0.82</v>
      </c>
      <c r="L176" t="s">
        <v>13</v>
      </c>
    </row>
    <row r="177" spans="1:12" x14ac:dyDescent="0.3">
      <c r="A177">
        <v>46</v>
      </c>
      <c r="B177">
        <v>2021</v>
      </c>
      <c r="C177">
        <v>0.69</v>
      </c>
      <c r="D177">
        <v>0.52</v>
      </c>
      <c r="E177">
        <v>0.95</v>
      </c>
      <c r="F177">
        <v>0.71</v>
      </c>
      <c r="G177">
        <v>0.59</v>
      </c>
      <c r="H177">
        <v>0.2</v>
      </c>
      <c r="I177">
        <v>350</v>
      </c>
      <c r="J177">
        <v>7</v>
      </c>
      <c r="K177">
        <v>0.69</v>
      </c>
      <c r="L177" t="s">
        <v>12</v>
      </c>
    </row>
    <row r="178" spans="1:12" x14ac:dyDescent="0.3">
      <c r="A178">
        <v>46</v>
      </c>
      <c r="B178">
        <v>2021</v>
      </c>
      <c r="C178">
        <v>0.87</v>
      </c>
      <c r="D178">
        <v>0.87</v>
      </c>
      <c r="E178">
        <v>0.96</v>
      </c>
      <c r="F178">
        <v>0.9</v>
      </c>
      <c r="G178">
        <v>0.34</v>
      </c>
      <c r="H178">
        <v>0.84</v>
      </c>
      <c r="I178">
        <v>202</v>
      </c>
      <c r="J178">
        <v>19</v>
      </c>
      <c r="K178">
        <v>0.84</v>
      </c>
      <c r="L178" t="s">
        <v>13</v>
      </c>
    </row>
    <row r="179" spans="1:12" x14ac:dyDescent="0.3">
      <c r="A179">
        <v>47</v>
      </c>
      <c r="B179">
        <v>2021</v>
      </c>
      <c r="C179">
        <v>0.54</v>
      </c>
      <c r="D179">
        <v>0.5</v>
      </c>
      <c r="E179">
        <v>0.59</v>
      </c>
      <c r="F179">
        <v>0.98</v>
      </c>
      <c r="G179">
        <v>0.61</v>
      </c>
      <c r="H179">
        <v>0.79</v>
      </c>
      <c r="I179">
        <v>228</v>
      </c>
      <c r="J179">
        <v>3</v>
      </c>
      <c r="K179">
        <v>0.61</v>
      </c>
      <c r="L179" t="s">
        <v>12</v>
      </c>
    </row>
    <row r="180" spans="1:12" x14ac:dyDescent="0.3">
      <c r="A180">
        <v>47</v>
      </c>
      <c r="B180">
        <v>2021</v>
      </c>
      <c r="C180">
        <v>0.89</v>
      </c>
      <c r="D180">
        <v>0.5</v>
      </c>
      <c r="E180">
        <v>0.51</v>
      </c>
      <c r="F180">
        <v>0.91</v>
      </c>
      <c r="G180">
        <v>0.73</v>
      </c>
      <c r="H180">
        <v>0.7</v>
      </c>
      <c r="I180">
        <v>317</v>
      </c>
      <c r="J180">
        <v>7</v>
      </c>
      <c r="K180">
        <v>0.7</v>
      </c>
      <c r="L180" t="s">
        <v>12</v>
      </c>
    </row>
    <row r="181" spans="1:12" x14ac:dyDescent="0.3">
      <c r="A181">
        <v>47</v>
      </c>
      <c r="B181">
        <v>2021</v>
      </c>
      <c r="C181">
        <v>0.61</v>
      </c>
      <c r="D181">
        <v>0.83</v>
      </c>
      <c r="E181">
        <v>0.69</v>
      </c>
      <c r="F181">
        <v>0.68</v>
      </c>
      <c r="G181">
        <v>0.74</v>
      </c>
      <c r="H181">
        <v>0.98</v>
      </c>
      <c r="I181">
        <v>435</v>
      </c>
      <c r="J181">
        <v>5</v>
      </c>
      <c r="K181">
        <v>0.7</v>
      </c>
      <c r="L181" t="s">
        <v>12</v>
      </c>
    </row>
    <row r="182" spans="1:12" x14ac:dyDescent="0.3">
      <c r="A182">
        <v>47</v>
      </c>
      <c r="B182">
        <v>2021</v>
      </c>
      <c r="C182">
        <v>0.96</v>
      </c>
      <c r="D182">
        <v>0.84</v>
      </c>
      <c r="E182">
        <v>0.82</v>
      </c>
      <c r="F182">
        <v>0.86</v>
      </c>
      <c r="G182">
        <v>0.88</v>
      </c>
      <c r="H182">
        <v>0.11</v>
      </c>
      <c r="I182">
        <v>143</v>
      </c>
      <c r="J182">
        <v>9</v>
      </c>
      <c r="K182">
        <v>0.88</v>
      </c>
      <c r="L182" t="s">
        <v>13</v>
      </c>
    </row>
    <row r="183" spans="1:12" x14ac:dyDescent="0.3">
      <c r="A183">
        <v>47</v>
      </c>
      <c r="B183">
        <v>2021</v>
      </c>
      <c r="C183">
        <v>0.94</v>
      </c>
      <c r="D183">
        <v>0.41</v>
      </c>
      <c r="E183">
        <v>0.67</v>
      </c>
      <c r="F183">
        <v>0.89</v>
      </c>
      <c r="G183">
        <v>0.84</v>
      </c>
      <c r="H183">
        <v>0.42</v>
      </c>
      <c r="I183">
        <v>439</v>
      </c>
      <c r="J183">
        <v>13</v>
      </c>
      <c r="K183">
        <v>0.74</v>
      </c>
      <c r="L183" t="s">
        <v>13</v>
      </c>
    </row>
    <row r="184" spans="1:12" x14ac:dyDescent="0.3">
      <c r="A184">
        <v>48</v>
      </c>
      <c r="B184">
        <v>2021</v>
      </c>
      <c r="C184">
        <v>0.83</v>
      </c>
      <c r="D184">
        <v>0.87</v>
      </c>
      <c r="E184">
        <v>0.82</v>
      </c>
      <c r="F184">
        <v>0.94</v>
      </c>
      <c r="G184">
        <v>0.82</v>
      </c>
      <c r="H184">
        <v>0.88</v>
      </c>
      <c r="I184">
        <v>442</v>
      </c>
      <c r="J184">
        <v>14</v>
      </c>
      <c r="K184">
        <v>0.85</v>
      </c>
      <c r="L184" t="s">
        <v>13</v>
      </c>
    </row>
    <row r="185" spans="1:12" x14ac:dyDescent="0.3">
      <c r="A185">
        <v>48</v>
      </c>
      <c r="B185">
        <v>2021</v>
      </c>
      <c r="C185">
        <v>0.54</v>
      </c>
      <c r="D185">
        <v>0.95</v>
      </c>
      <c r="E185">
        <v>0.97</v>
      </c>
      <c r="F185">
        <v>0.7</v>
      </c>
      <c r="G185">
        <v>0.86</v>
      </c>
      <c r="H185">
        <v>0.43</v>
      </c>
      <c r="I185">
        <v>189</v>
      </c>
      <c r="J185">
        <v>19</v>
      </c>
      <c r="K185">
        <v>0.78</v>
      </c>
      <c r="L185" t="s">
        <v>13</v>
      </c>
    </row>
    <row r="186" spans="1:12" x14ac:dyDescent="0.3">
      <c r="A186">
        <v>49</v>
      </c>
      <c r="B186">
        <v>2021</v>
      </c>
      <c r="C186">
        <v>0.31</v>
      </c>
      <c r="D186">
        <v>0.89</v>
      </c>
      <c r="E186">
        <v>0.91</v>
      </c>
      <c r="F186">
        <v>0.92</v>
      </c>
      <c r="G186">
        <v>0.5</v>
      </c>
      <c r="H186">
        <v>0.84</v>
      </c>
      <c r="I186">
        <v>300</v>
      </c>
      <c r="J186">
        <v>6</v>
      </c>
      <c r="K186">
        <v>0.69</v>
      </c>
      <c r="L186" t="s">
        <v>12</v>
      </c>
    </row>
    <row r="187" spans="1:12" x14ac:dyDescent="0.3">
      <c r="A187">
        <v>49</v>
      </c>
      <c r="B187">
        <v>2021</v>
      </c>
      <c r="C187">
        <v>0.57999999999999996</v>
      </c>
      <c r="D187">
        <v>0.8</v>
      </c>
      <c r="E187">
        <v>0.73</v>
      </c>
      <c r="F187">
        <v>0.9</v>
      </c>
      <c r="G187">
        <v>0.55000000000000004</v>
      </c>
      <c r="H187">
        <v>0.63</v>
      </c>
      <c r="I187">
        <v>385</v>
      </c>
      <c r="J187">
        <v>6</v>
      </c>
      <c r="K187">
        <v>0.71</v>
      </c>
      <c r="L187" t="s">
        <v>13</v>
      </c>
    </row>
    <row r="188" spans="1:12" x14ac:dyDescent="0.3">
      <c r="A188">
        <v>49</v>
      </c>
      <c r="B188">
        <v>2021</v>
      </c>
      <c r="C188">
        <v>0.72</v>
      </c>
      <c r="D188">
        <v>0.57999999999999996</v>
      </c>
      <c r="E188">
        <v>0.71</v>
      </c>
      <c r="F188">
        <v>0.69</v>
      </c>
      <c r="G188">
        <v>0.98</v>
      </c>
      <c r="H188">
        <v>0.13</v>
      </c>
      <c r="I188">
        <v>73</v>
      </c>
      <c r="J188">
        <v>6</v>
      </c>
      <c r="K188">
        <v>0.7</v>
      </c>
      <c r="L188" t="s">
        <v>12</v>
      </c>
    </row>
    <row r="189" spans="1:12" x14ac:dyDescent="0.3">
      <c r="A189">
        <v>49</v>
      </c>
      <c r="B189">
        <v>2021</v>
      </c>
      <c r="C189">
        <v>0.95</v>
      </c>
      <c r="D189">
        <v>0.73</v>
      </c>
      <c r="E189">
        <v>0.83</v>
      </c>
      <c r="F189">
        <v>0.96</v>
      </c>
      <c r="G189">
        <v>0.37</v>
      </c>
      <c r="H189">
        <v>0.23</v>
      </c>
      <c r="I189">
        <v>199</v>
      </c>
      <c r="J189">
        <v>17</v>
      </c>
      <c r="K189">
        <v>0.81</v>
      </c>
      <c r="L189" t="s">
        <v>13</v>
      </c>
    </row>
    <row r="190" spans="1:12" x14ac:dyDescent="0.3">
      <c r="A190">
        <v>49</v>
      </c>
      <c r="B190">
        <v>2021</v>
      </c>
      <c r="C190">
        <v>0.52</v>
      </c>
      <c r="D190">
        <v>1</v>
      </c>
      <c r="E190">
        <v>0.52</v>
      </c>
      <c r="F190">
        <v>0.66</v>
      </c>
      <c r="G190">
        <v>0.92</v>
      </c>
      <c r="H190">
        <v>0.06</v>
      </c>
      <c r="I190">
        <v>465</v>
      </c>
      <c r="J190">
        <v>16</v>
      </c>
      <c r="K190">
        <v>0.7</v>
      </c>
      <c r="L190" t="s">
        <v>12</v>
      </c>
    </row>
    <row r="191" spans="1:12" x14ac:dyDescent="0.3">
      <c r="A191">
        <v>49</v>
      </c>
      <c r="B191">
        <v>2021</v>
      </c>
      <c r="C191">
        <v>0.78</v>
      </c>
      <c r="D191">
        <v>0.92</v>
      </c>
      <c r="E191">
        <v>0.69</v>
      </c>
      <c r="F191">
        <v>0.94</v>
      </c>
      <c r="G191">
        <v>0.6</v>
      </c>
      <c r="H191">
        <v>0.4</v>
      </c>
      <c r="I191">
        <v>374</v>
      </c>
      <c r="J191">
        <v>19</v>
      </c>
      <c r="K191">
        <v>0.8</v>
      </c>
      <c r="L191" t="s">
        <v>13</v>
      </c>
    </row>
    <row r="192" spans="1:12" x14ac:dyDescent="0.3">
      <c r="A192">
        <v>49</v>
      </c>
      <c r="B192">
        <v>2021</v>
      </c>
      <c r="C192">
        <v>0.72</v>
      </c>
      <c r="D192">
        <v>0.99</v>
      </c>
      <c r="E192">
        <v>0.63</v>
      </c>
      <c r="F192">
        <v>0.62</v>
      </c>
      <c r="G192">
        <v>0.32</v>
      </c>
      <c r="H192">
        <v>0.71</v>
      </c>
      <c r="I192">
        <v>482</v>
      </c>
      <c r="J192">
        <v>10</v>
      </c>
      <c r="K192">
        <v>0.71</v>
      </c>
      <c r="L192" t="s">
        <v>13</v>
      </c>
    </row>
    <row r="193" spans="1:12" x14ac:dyDescent="0.3">
      <c r="A193">
        <v>50</v>
      </c>
      <c r="B193">
        <v>2021</v>
      </c>
      <c r="C193">
        <v>0.73</v>
      </c>
      <c r="D193">
        <v>0.45</v>
      </c>
      <c r="E193">
        <v>0.5</v>
      </c>
      <c r="F193">
        <v>0.85</v>
      </c>
      <c r="G193">
        <v>0.44</v>
      </c>
      <c r="H193">
        <v>7.0000000000000007E-2</v>
      </c>
      <c r="I193">
        <v>449</v>
      </c>
      <c r="J193">
        <v>13</v>
      </c>
      <c r="K193">
        <v>0.6</v>
      </c>
      <c r="L193" t="s">
        <v>12</v>
      </c>
    </row>
    <row r="194" spans="1:12" x14ac:dyDescent="0.3">
      <c r="A194">
        <v>50</v>
      </c>
      <c r="B194">
        <v>2021</v>
      </c>
      <c r="C194">
        <v>0.93</v>
      </c>
      <c r="D194">
        <v>0.93</v>
      </c>
      <c r="E194">
        <v>0.66</v>
      </c>
      <c r="F194">
        <v>0.96</v>
      </c>
      <c r="G194">
        <v>1</v>
      </c>
      <c r="H194">
        <v>0.83</v>
      </c>
      <c r="I194">
        <v>307</v>
      </c>
      <c r="J194">
        <v>7</v>
      </c>
      <c r="K194">
        <v>0.89</v>
      </c>
      <c r="L194" t="s">
        <v>13</v>
      </c>
    </row>
    <row r="195" spans="1:12" x14ac:dyDescent="0.3">
      <c r="A195">
        <v>50</v>
      </c>
      <c r="B195">
        <v>2021</v>
      </c>
      <c r="C195">
        <v>0.78</v>
      </c>
      <c r="D195">
        <v>0.87</v>
      </c>
      <c r="E195">
        <v>0.9</v>
      </c>
      <c r="F195">
        <v>0.65</v>
      </c>
      <c r="G195">
        <v>0.61</v>
      </c>
      <c r="H195">
        <v>0.83</v>
      </c>
      <c r="I195">
        <v>154</v>
      </c>
      <c r="J195">
        <v>2</v>
      </c>
      <c r="K195">
        <v>0.79</v>
      </c>
      <c r="L195" t="s">
        <v>13</v>
      </c>
    </row>
    <row r="196" spans="1:12" x14ac:dyDescent="0.3">
      <c r="A196">
        <v>50</v>
      </c>
      <c r="B196">
        <v>2021</v>
      </c>
      <c r="C196">
        <v>0.61</v>
      </c>
      <c r="D196">
        <v>0.83</v>
      </c>
      <c r="E196">
        <v>0.69</v>
      </c>
      <c r="F196">
        <v>0.97</v>
      </c>
      <c r="G196">
        <v>0.37</v>
      </c>
      <c r="H196">
        <v>0.37</v>
      </c>
      <c r="I196">
        <v>177</v>
      </c>
      <c r="J196">
        <v>2</v>
      </c>
      <c r="K196">
        <v>0.71</v>
      </c>
      <c r="L196" t="s">
        <v>13</v>
      </c>
    </row>
    <row r="197" spans="1:12" x14ac:dyDescent="0.3">
      <c r="A197">
        <v>51</v>
      </c>
      <c r="B197">
        <v>2021</v>
      </c>
      <c r="C197">
        <v>0.49</v>
      </c>
      <c r="D197">
        <v>0.63</v>
      </c>
      <c r="E197">
        <v>0.69</v>
      </c>
      <c r="F197">
        <v>0.7</v>
      </c>
      <c r="G197">
        <v>0.6</v>
      </c>
      <c r="H197">
        <v>0.47</v>
      </c>
      <c r="I197">
        <v>150</v>
      </c>
      <c r="J197">
        <v>5</v>
      </c>
      <c r="K197">
        <v>0.61</v>
      </c>
      <c r="L197" t="s">
        <v>12</v>
      </c>
    </row>
    <row r="198" spans="1:12" x14ac:dyDescent="0.3">
      <c r="A198">
        <v>51</v>
      </c>
      <c r="B198">
        <v>2021</v>
      </c>
      <c r="C198">
        <v>0.36</v>
      </c>
      <c r="D198">
        <v>0.9</v>
      </c>
      <c r="E198">
        <v>0.82</v>
      </c>
      <c r="F198">
        <v>0.82</v>
      </c>
      <c r="G198">
        <v>0.39</v>
      </c>
      <c r="H198">
        <v>0.28999999999999998</v>
      </c>
      <c r="I198">
        <v>411</v>
      </c>
      <c r="J198">
        <v>13</v>
      </c>
      <c r="K198">
        <v>0.66</v>
      </c>
      <c r="L198" t="s">
        <v>12</v>
      </c>
    </row>
    <row r="199" spans="1:12" x14ac:dyDescent="0.3">
      <c r="A199">
        <v>52</v>
      </c>
      <c r="B199">
        <v>2021</v>
      </c>
      <c r="C199">
        <v>0.53</v>
      </c>
      <c r="D199">
        <v>0.41</v>
      </c>
      <c r="E199">
        <v>0.57999999999999996</v>
      </c>
      <c r="F199">
        <v>0.69</v>
      </c>
      <c r="G199">
        <v>0.97</v>
      </c>
      <c r="H199">
        <v>0.56999999999999995</v>
      </c>
      <c r="I199">
        <v>315</v>
      </c>
      <c r="J199">
        <v>1</v>
      </c>
      <c r="K199">
        <v>0.57999999999999996</v>
      </c>
      <c r="L199" t="s">
        <v>12</v>
      </c>
    </row>
    <row r="200" spans="1:12" x14ac:dyDescent="0.3">
      <c r="A200">
        <v>52</v>
      </c>
      <c r="B200">
        <v>2021</v>
      </c>
      <c r="C200">
        <v>0.42</v>
      </c>
      <c r="D200">
        <v>0.47</v>
      </c>
      <c r="E200">
        <v>0.77</v>
      </c>
      <c r="F200">
        <v>0.96</v>
      </c>
      <c r="G200">
        <v>0.54</v>
      </c>
      <c r="H200">
        <v>0.73</v>
      </c>
      <c r="I200">
        <v>140</v>
      </c>
      <c r="J200">
        <v>17</v>
      </c>
      <c r="K200">
        <v>0.6</v>
      </c>
      <c r="L200" t="s">
        <v>12</v>
      </c>
    </row>
    <row r="201" spans="1:12" x14ac:dyDescent="0.3">
      <c r="A201">
        <v>52</v>
      </c>
      <c r="B201">
        <v>2021</v>
      </c>
      <c r="C201">
        <v>0.59</v>
      </c>
      <c r="D201">
        <v>0.56000000000000005</v>
      </c>
      <c r="E201">
        <v>0.65</v>
      </c>
      <c r="F201">
        <v>0.71</v>
      </c>
      <c r="G201">
        <v>0.67</v>
      </c>
      <c r="H201">
        <v>0.61</v>
      </c>
      <c r="I201">
        <v>377</v>
      </c>
      <c r="J201">
        <v>12</v>
      </c>
      <c r="K201">
        <v>0.62</v>
      </c>
      <c r="L201" t="s">
        <v>12</v>
      </c>
    </row>
    <row r="202" spans="1:12" x14ac:dyDescent="0.3">
      <c r="A202">
        <v>52</v>
      </c>
      <c r="B202">
        <v>2021</v>
      </c>
      <c r="C202">
        <v>0.61</v>
      </c>
      <c r="D202">
        <v>0.92</v>
      </c>
      <c r="E202">
        <v>0.73</v>
      </c>
      <c r="F202">
        <v>0.61</v>
      </c>
      <c r="G202">
        <v>0.46</v>
      </c>
      <c r="H202">
        <v>0.48</v>
      </c>
      <c r="I202">
        <v>143</v>
      </c>
      <c r="J202">
        <v>14</v>
      </c>
      <c r="K202">
        <v>0.7</v>
      </c>
      <c r="L202" t="s">
        <v>12</v>
      </c>
    </row>
    <row r="203" spans="1:12" x14ac:dyDescent="0.3">
      <c r="A203">
        <v>53</v>
      </c>
      <c r="B203">
        <v>2021</v>
      </c>
      <c r="C203">
        <v>0.68</v>
      </c>
      <c r="D203">
        <v>0.53</v>
      </c>
      <c r="E203">
        <v>0.52</v>
      </c>
      <c r="F203">
        <v>0.69</v>
      </c>
      <c r="G203">
        <v>0.59</v>
      </c>
      <c r="H203">
        <v>0.76</v>
      </c>
      <c r="I203">
        <v>80</v>
      </c>
      <c r="J203">
        <v>16</v>
      </c>
      <c r="K203">
        <v>0.6</v>
      </c>
      <c r="L203" t="s">
        <v>12</v>
      </c>
    </row>
    <row r="204" spans="1:12" x14ac:dyDescent="0.3">
      <c r="A204">
        <v>53</v>
      </c>
      <c r="B204">
        <v>2021</v>
      </c>
      <c r="C204">
        <v>0.84</v>
      </c>
      <c r="D204">
        <v>0.88</v>
      </c>
      <c r="E204">
        <v>0.77</v>
      </c>
      <c r="F204">
        <v>0.67</v>
      </c>
      <c r="G204">
        <v>0.6</v>
      </c>
      <c r="H204">
        <v>0.55000000000000004</v>
      </c>
      <c r="I204">
        <v>117</v>
      </c>
      <c r="J204">
        <v>14</v>
      </c>
      <c r="K204">
        <v>0.79</v>
      </c>
      <c r="L204" t="s">
        <v>13</v>
      </c>
    </row>
    <row r="205" spans="1:12" x14ac:dyDescent="0.3">
      <c r="A205">
        <v>53</v>
      </c>
      <c r="B205">
        <v>2021</v>
      </c>
      <c r="C205">
        <v>0.94</v>
      </c>
      <c r="D205">
        <v>0.68</v>
      </c>
      <c r="E205">
        <v>0.66</v>
      </c>
      <c r="F205">
        <v>0.91</v>
      </c>
      <c r="G205">
        <v>0.31</v>
      </c>
      <c r="H205">
        <v>0.43</v>
      </c>
      <c r="I205">
        <v>398</v>
      </c>
      <c r="J205">
        <v>11</v>
      </c>
      <c r="K205">
        <v>0.75</v>
      </c>
      <c r="L205" t="s">
        <v>13</v>
      </c>
    </row>
    <row r="206" spans="1:12" x14ac:dyDescent="0.3">
      <c r="A206">
        <v>54</v>
      </c>
      <c r="B206">
        <v>2021</v>
      </c>
      <c r="C206">
        <v>0.56000000000000005</v>
      </c>
      <c r="D206">
        <v>0.72</v>
      </c>
      <c r="E206">
        <v>0.56000000000000005</v>
      </c>
      <c r="F206">
        <v>0.6</v>
      </c>
      <c r="G206">
        <v>0.75</v>
      </c>
      <c r="H206">
        <v>0.52</v>
      </c>
      <c r="I206">
        <v>269</v>
      </c>
      <c r="J206">
        <v>8</v>
      </c>
      <c r="K206">
        <v>0.62</v>
      </c>
      <c r="L206" t="s">
        <v>12</v>
      </c>
    </row>
    <row r="207" spans="1:12" x14ac:dyDescent="0.3">
      <c r="A207">
        <v>54</v>
      </c>
      <c r="B207">
        <v>2021</v>
      </c>
      <c r="C207">
        <v>0.55000000000000004</v>
      </c>
      <c r="D207">
        <v>0.9</v>
      </c>
      <c r="E207">
        <v>0.75</v>
      </c>
      <c r="F207">
        <v>0.96</v>
      </c>
      <c r="G207">
        <v>0.95</v>
      </c>
      <c r="H207">
        <v>0.17</v>
      </c>
      <c r="I207">
        <v>124</v>
      </c>
      <c r="J207">
        <v>17</v>
      </c>
      <c r="K207">
        <v>0.78</v>
      </c>
      <c r="L207" t="s">
        <v>13</v>
      </c>
    </row>
    <row r="208" spans="1:12" x14ac:dyDescent="0.3">
      <c r="A208">
        <v>54</v>
      </c>
      <c r="B208">
        <v>2021</v>
      </c>
      <c r="C208">
        <v>0.41</v>
      </c>
      <c r="D208">
        <v>0.97</v>
      </c>
      <c r="E208">
        <v>0.88</v>
      </c>
      <c r="F208">
        <v>0.71</v>
      </c>
      <c r="G208">
        <v>0.71</v>
      </c>
      <c r="H208">
        <v>0.72</v>
      </c>
      <c r="I208">
        <v>443</v>
      </c>
      <c r="J208">
        <v>11</v>
      </c>
      <c r="K208">
        <v>0.72</v>
      </c>
      <c r="L208" t="s">
        <v>13</v>
      </c>
    </row>
    <row r="209" spans="1:12" x14ac:dyDescent="0.3">
      <c r="A209">
        <v>54</v>
      </c>
      <c r="B209">
        <v>2021</v>
      </c>
      <c r="C209">
        <v>0.64</v>
      </c>
      <c r="D209">
        <v>0.7</v>
      </c>
      <c r="E209">
        <v>0.81</v>
      </c>
      <c r="F209">
        <v>0.6</v>
      </c>
      <c r="G209">
        <v>0.95</v>
      </c>
      <c r="H209">
        <v>0.36</v>
      </c>
      <c r="I209">
        <v>462</v>
      </c>
      <c r="J209">
        <v>19</v>
      </c>
      <c r="K209">
        <v>0.71</v>
      </c>
      <c r="L209" t="s">
        <v>13</v>
      </c>
    </row>
    <row r="210" spans="1:12" x14ac:dyDescent="0.3">
      <c r="A210">
        <v>55</v>
      </c>
      <c r="B210">
        <v>2021</v>
      </c>
      <c r="C210">
        <v>0.36</v>
      </c>
      <c r="D210">
        <v>0.53</v>
      </c>
      <c r="E210">
        <v>0.8</v>
      </c>
      <c r="F210">
        <v>0.89</v>
      </c>
      <c r="G210">
        <v>1</v>
      </c>
      <c r="H210">
        <v>0.93</v>
      </c>
      <c r="I210">
        <v>350</v>
      </c>
      <c r="J210">
        <v>0</v>
      </c>
      <c r="K210">
        <v>0.63</v>
      </c>
      <c r="L210" t="s">
        <v>12</v>
      </c>
    </row>
    <row r="211" spans="1:12" x14ac:dyDescent="0.3">
      <c r="A211">
        <v>55</v>
      </c>
      <c r="B211">
        <v>2021</v>
      </c>
      <c r="C211">
        <v>0.57999999999999996</v>
      </c>
      <c r="D211">
        <v>0.95</v>
      </c>
      <c r="E211">
        <v>0.77</v>
      </c>
      <c r="F211">
        <v>0.66</v>
      </c>
      <c r="G211">
        <v>0.79</v>
      </c>
      <c r="H211">
        <v>0.79</v>
      </c>
      <c r="I211">
        <v>312</v>
      </c>
      <c r="J211">
        <v>15</v>
      </c>
      <c r="K211">
        <v>0.74</v>
      </c>
      <c r="L211" t="s">
        <v>13</v>
      </c>
    </row>
    <row r="212" spans="1:12" x14ac:dyDescent="0.3">
      <c r="A212">
        <v>55</v>
      </c>
      <c r="B212">
        <v>2021</v>
      </c>
      <c r="C212">
        <v>0.66</v>
      </c>
      <c r="D212">
        <v>0.77</v>
      </c>
      <c r="E212">
        <v>0.96</v>
      </c>
      <c r="F212">
        <v>0.8</v>
      </c>
      <c r="G212">
        <v>0.65</v>
      </c>
      <c r="H212">
        <v>0.05</v>
      </c>
      <c r="I212">
        <v>229</v>
      </c>
      <c r="J212">
        <v>0</v>
      </c>
      <c r="K212">
        <v>0.77</v>
      </c>
      <c r="L212" t="s">
        <v>13</v>
      </c>
    </row>
    <row r="213" spans="1:12" x14ac:dyDescent="0.3">
      <c r="A213">
        <v>55</v>
      </c>
      <c r="B213">
        <v>2021</v>
      </c>
      <c r="C213">
        <v>0.3</v>
      </c>
      <c r="D213">
        <v>0.53</v>
      </c>
      <c r="E213">
        <v>0.67</v>
      </c>
      <c r="F213">
        <v>1</v>
      </c>
      <c r="G213">
        <v>0.67</v>
      </c>
      <c r="H213">
        <v>0.2</v>
      </c>
      <c r="I213">
        <v>494</v>
      </c>
      <c r="J213">
        <v>9</v>
      </c>
      <c r="K213">
        <v>0.56999999999999995</v>
      </c>
      <c r="L213" t="s">
        <v>12</v>
      </c>
    </row>
    <row r="214" spans="1:12" x14ac:dyDescent="0.3">
      <c r="A214">
        <v>55</v>
      </c>
      <c r="B214">
        <v>2021</v>
      </c>
      <c r="C214">
        <v>0.32</v>
      </c>
      <c r="D214">
        <v>0.43</v>
      </c>
      <c r="E214">
        <v>0.53</v>
      </c>
      <c r="F214">
        <v>0.96</v>
      </c>
      <c r="G214">
        <v>0.8</v>
      </c>
      <c r="H214">
        <v>0.68</v>
      </c>
      <c r="I214">
        <v>327</v>
      </c>
      <c r="J214">
        <v>0</v>
      </c>
      <c r="K214">
        <v>0.53</v>
      </c>
      <c r="L214" t="s">
        <v>12</v>
      </c>
    </row>
    <row r="215" spans="1:12" x14ac:dyDescent="0.3">
      <c r="A215">
        <v>55</v>
      </c>
      <c r="B215">
        <v>2021</v>
      </c>
      <c r="C215">
        <v>0.87</v>
      </c>
      <c r="D215">
        <v>0.81</v>
      </c>
      <c r="E215">
        <v>0.8</v>
      </c>
      <c r="F215">
        <v>0.83</v>
      </c>
      <c r="G215">
        <v>0.9</v>
      </c>
      <c r="H215">
        <v>0.82</v>
      </c>
      <c r="I215">
        <v>121</v>
      </c>
      <c r="J215">
        <v>14</v>
      </c>
      <c r="K215">
        <v>0.84</v>
      </c>
      <c r="L215" t="s">
        <v>13</v>
      </c>
    </row>
    <row r="216" spans="1:12" x14ac:dyDescent="0.3">
      <c r="A216">
        <v>55</v>
      </c>
      <c r="B216">
        <v>2021</v>
      </c>
      <c r="C216">
        <v>0.97</v>
      </c>
      <c r="D216">
        <v>0.83</v>
      </c>
      <c r="E216">
        <v>0.94</v>
      </c>
      <c r="F216">
        <v>0.97</v>
      </c>
      <c r="G216">
        <v>0.66</v>
      </c>
      <c r="H216">
        <v>0.63</v>
      </c>
      <c r="I216">
        <v>216</v>
      </c>
      <c r="J216">
        <v>12</v>
      </c>
      <c r="K216">
        <v>0.9</v>
      </c>
      <c r="L216" t="s">
        <v>13</v>
      </c>
    </row>
    <row r="217" spans="1:12" x14ac:dyDescent="0.3">
      <c r="A217">
        <v>56</v>
      </c>
      <c r="B217">
        <v>2021</v>
      </c>
      <c r="C217">
        <v>0.63</v>
      </c>
      <c r="D217">
        <v>0.92</v>
      </c>
      <c r="E217">
        <v>0.6</v>
      </c>
      <c r="F217">
        <v>0.65</v>
      </c>
      <c r="G217">
        <v>0.5</v>
      </c>
      <c r="H217">
        <v>0.53</v>
      </c>
      <c r="I217">
        <v>462</v>
      </c>
      <c r="J217">
        <v>18</v>
      </c>
      <c r="K217">
        <v>0.69</v>
      </c>
      <c r="L217" t="s">
        <v>12</v>
      </c>
    </row>
    <row r="218" spans="1:12" x14ac:dyDescent="0.3">
      <c r="A218">
        <v>56</v>
      </c>
      <c r="B218">
        <v>2021</v>
      </c>
      <c r="C218">
        <v>0.41</v>
      </c>
      <c r="D218">
        <v>0.62</v>
      </c>
      <c r="E218">
        <v>0.66</v>
      </c>
      <c r="F218">
        <v>0.77</v>
      </c>
      <c r="G218">
        <v>0.7</v>
      </c>
      <c r="H218">
        <v>0.9</v>
      </c>
      <c r="I218">
        <v>121</v>
      </c>
      <c r="J218">
        <v>5</v>
      </c>
      <c r="K218">
        <v>0.6</v>
      </c>
      <c r="L218" t="s">
        <v>12</v>
      </c>
    </row>
    <row r="219" spans="1:12" x14ac:dyDescent="0.3">
      <c r="A219">
        <v>56</v>
      </c>
      <c r="B219">
        <v>2021</v>
      </c>
      <c r="C219">
        <v>0.78</v>
      </c>
      <c r="D219">
        <v>1</v>
      </c>
      <c r="E219">
        <v>0.62</v>
      </c>
      <c r="F219">
        <v>0.85</v>
      </c>
      <c r="G219">
        <v>0.62</v>
      </c>
      <c r="H219">
        <v>0.04</v>
      </c>
      <c r="I219">
        <v>309</v>
      </c>
      <c r="J219">
        <v>19</v>
      </c>
      <c r="K219">
        <v>0.8</v>
      </c>
      <c r="L219" t="s">
        <v>13</v>
      </c>
    </row>
    <row r="220" spans="1:12" x14ac:dyDescent="0.3">
      <c r="A220">
        <v>56</v>
      </c>
      <c r="B220">
        <v>2021</v>
      </c>
      <c r="C220">
        <v>0.56999999999999995</v>
      </c>
      <c r="D220">
        <v>0.66</v>
      </c>
      <c r="E220">
        <v>0.74</v>
      </c>
      <c r="F220">
        <v>0.91</v>
      </c>
      <c r="G220">
        <v>0.37</v>
      </c>
      <c r="H220">
        <v>0.77</v>
      </c>
      <c r="I220">
        <v>290</v>
      </c>
      <c r="J220">
        <v>12</v>
      </c>
      <c r="K220">
        <v>0.66</v>
      </c>
      <c r="L220" t="s">
        <v>12</v>
      </c>
    </row>
    <row r="221" spans="1:12" x14ac:dyDescent="0.3">
      <c r="A221">
        <v>56</v>
      </c>
      <c r="B221">
        <v>2021</v>
      </c>
      <c r="C221">
        <v>0.75</v>
      </c>
      <c r="D221">
        <v>0.64</v>
      </c>
      <c r="E221">
        <v>0.95</v>
      </c>
      <c r="F221">
        <v>0.94</v>
      </c>
      <c r="G221">
        <v>0.47</v>
      </c>
      <c r="H221">
        <v>0.69</v>
      </c>
      <c r="I221">
        <v>229</v>
      </c>
      <c r="J221">
        <v>13</v>
      </c>
      <c r="K221">
        <v>0.76</v>
      </c>
      <c r="L221" t="s">
        <v>13</v>
      </c>
    </row>
    <row r="222" spans="1:12" x14ac:dyDescent="0.3">
      <c r="A222">
        <v>57</v>
      </c>
      <c r="B222">
        <v>2021</v>
      </c>
      <c r="C222">
        <v>0.37</v>
      </c>
      <c r="D222">
        <v>0.54</v>
      </c>
      <c r="E222">
        <v>0.59</v>
      </c>
      <c r="F222">
        <v>0.74</v>
      </c>
      <c r="G222">
        <v>0.46</v>
      </c>
      <c r="H222">
        <v>0.24</v>
      </c>
      <c r="I222">
        <v>396</v>
      </c>
      <c r="J222">
        <v>8</v>
      </c>
      <c r="K222">
        <v>0.52</v>
      </c>
      <c r="L222" t="s">
        <v>12</v>
      </c>
    </row>
    <row r="223" spans="1:12" x14ac:dyDescent="0.3">
      <c r="A223">
        <v>58</v>
      </c>
      <c r="B223">
        <v>2021</v>
      </c>
      <c r="C223">
        <v>0.86</v>
      </c>
      <c r="D223">
        <v>0.45</v>
      </c>
      <c r="E223">
        <v>0.71</v>
      </c>
      <c r="F223">
        <v>0.87</v>
      </c>
      <c r="G223">
        <v>0.47</v>
      </c>
      <c r="H223">
        <v>0.08</v>
      </c>
      <c r="I223">
        <v>147</v>
      </c>
      <c r="J223">
        <v>11</v>
      </c>
      <c r="K223">
        <v>0.69</v>
      </c>
      <c r="L223" t="s">
        <v>12</v>
      </c>
    </row>
    <row r="224" spans="1:12" x14ac:dyDescent="0.3">
      <c r="A224">
        <v>58</v>
      </c>
      <c r="B224">
        <v>2021</v>
      </c>
      <c r="C224">
        <v>0.6</v>
      </c>
      <c r="D224">
        <v>0.89</v>
      </c>
      <c r="E224">
        <v>0.95</v>
      </c>
      <c r="F224">
        <v>0.65</v>
      </c>
      <c r="G224">
        <v>0.67</v>
      </c>
      <c r="H224">
        <v>0.28000000000000003</v>
      </c>
      <c r="I224">
        <v>271</v>
      </c>
      <c r="J224">
        <v>6</v>
      </c>
      <c r="K224">
        <v>0.76</v>
      </c>
      <c r="L224" t="s">
        <v>13</v>
      </c>
    </row>
    <row r="225" spans="1:12" x14ac:dyDescent="0.3">
      <c r="A225">
        <v>58</v>
      </c>
      <c r="B225">
        <v>2021</v>
      </c>
      <c r="C225">
        <v>0.82</v>
      </c>
      <c r="D225">
        <v>0.8</v>
      </c>
      <c r="E225">
        <v>1</v>
      </c>
      <c r="F225">
        <v>0.89</v>
      </c>
      <c r="G225">
        <v>0.41</v>
      </c>
      <c r="H225">
        <v>0.96</v>
      </c>
      <c r="I225">
        <v>255</v>
      </c>
      <c r="J225">
        <v>10</v>
      </c>
      <c r="K225">
        <v>0.82</v>
      </c>
      <c r="L225" t="s">
        <v>13</v>
      </c>
    </row>
    <row r="226" spans="1:12" x14ac:dyDescent="0.3">
      <c r="A226">
        <v>58</v>
      </c>
      <c r="B226">
        <v>2021</v>
      </c>
      <c r="C226">
        <v>0.39</v>
      </c>
      <c r="D226">
        <v>0.89</v>
      </c>
      <c r="E226">
        <v>0.75</v>
      </c>
      <c r="F226">
        <v>0.95</v>
      </c>
      <c r="G226">
        <v>0.92</v>
      </c>
      <c r="H226">
        <v>0.02</v>
      </c>
      <c r="I226">
        <v>152</v>
      </c>
      <c r="J226">
        <v>6</v>
      </c>
      <c r="K226">
        <v>0.72</v>
      </c>
      <c r="L226" t="s">
        <v>13</v>
      </c>
    </row>
    <row r="227" spans="1:12" x14ac:dyDescent="0.3">
      <c r="A227">
        <v>59</v>
      </c>
      <c r="B227">
        <v>2021</v>
      </c>
      <c r="C227">
        <v>0.75</v>
      </c>
      <c r="D227">
        <v>0.56999999999999995</v>
      </c>
      <c r="E227">
        <v>0.57999999999999996</v>
      </c>
      <c r="F227">
        <v>0.85</v>
      </c>
      <c r="G227">
        <v>0.72</v>
      </c>
      <c r="H227">
        <v>0.18</v>
      </c>
      <c r="I227">
        <v>455</v>
      </c>
      <c r="J227">
        <v>17</v>
      </c>
      <c r="K227">
        <v>0.68</v>
      </c>
      <c r="L227" t="s">
        <v>12</v>
      </c>
    </row>
    <row r="228" spans="1:12" x14ac:dyDescent="0.3">
      <c r="A228">
        <v>59</v>
      </c>
      <c r="B228">
        <v>2021</v>
      </c>
      <c r="C228">
        <v>1</v>
      </c>
      <c r="D228">
        <v>0.91</v>
      </c>
      <c r="E228">
        <v>0.68</v>
      </c>
      <c r="F228">
        <v>0.6</v>
      </c>
      <c r="G228">
        <v>0.74</v>
      </c>
      <c r="H228">
        <v>0.7</v>
      </c>
      <c r="I228">
        <v>397</v>
      </c>
      <c r="J228">
        <v>5</v>
      </c>
      <c r="K228">
        <v>0.83</v>
      </c>
      <c r="L228" t="s">
        <v>13</v>
      </c>
    </row>
    <row r="229" spans="1:12" x14ac:dyDescent="0.3">
      <c r="A229">
        <v>60</v>
      </c>
      <c r="B229">
        <v>2021</v>
      </c>
      <c r="C229">
        <v>0.61</v>
      </c>
      <c r="D229">
        <v>0.99</v>
      </c>
      <c r="E229">
        <v>0.7</v>
      </c>
      <c r="F229">
        <v>0.89</v>
      </c>
      <c r="G229">
        <v>0.5</v>
      </c>
      <c r="H229">
        <v>0.36</v>
      </c>
      <c r="I229">
        <v>327</v>
      </c>
      <c r="J229">
        <v>12</v>
      </c>
      <c r="K229">
        <v>0.75</v>
      </c>
      <c r="L229" t="s">
        <v>13</v>
      </c>
    </row>
    <row r="230" spans="1:12" x14ac:dyDescent="0.3">
      <c r="A230">
        <v>60</v>
      </c>
      <c r="B230">
        <v>2021</v>
      </c>
      <c r="C230">
        <v>0.7</v>
      </c>
      <c r="D230">
        <v>0.84</v>
      </c>
      <c r="E230">
        <v>0.56999999999999995</v>
      </c>
      <c r="F230">
        <v>0.95</v>
      </c>
      <c r="G230">
        <v>0.71</v>
      </c>
      <c r="H230">
        <v>0.13</v>
      </c>
      <c r="I230">
        <v>284</v>
      </c>
      <c r="J230">
        <v>18</v>
      </c>
      <c r="K230">
        <v>0.75</v>
      </c>
      <c r="L230" t="s">
        <v>13</v>
      </c>
    </row>
    <row r="231" spans="1:12" x14ac:dyDescent="0.3">
      <c r="A231">
        <v>60</v>
      </c>
      <c r="B231">
        <v>2021</v>
      </c>
      <c r="C231">
        <v>0.36</v>
      </c>
      <c r="D231">
        <v>0.96</v>
      </c>
      <c r="E231">
        <v>0.69</v>
      </c>
      <c r="F231">
        <v>0.83</v>
      </c>
      <c r="G231">
        <v>0.85</v>
      </c>
      <c r="H231">
        <v>0.32</v>
      </c>
      <c r="I231">
        <v>347</v>
      </c>
      <c r="J231">
        <v>5</v>
      </c>
      <c r="K231">
        <v>0.7</v>
      </c>
      <c r="L231" t="s">
        <v>12</v>
      </c>
    </row>
    <row r="232" spans="1:12" x14ac:dyDescent="0.3">
      <c r="A232">
        <v>60</v>
      </c>
      <c r="B232">
        <v>2021</v>
      </c>
      <c r="C232">
        <v>0.49</v>
      </c>
      <c r="D232">
        <v>0.69</v>
      </c>
      <c r="E232">
        <v>0.74</v>
      </c>
      <c r="F232">
        <v>0.76</v>
      </c>
      <c r="G232">
        <v>0.87</v>
      </c>
      <c r="H232">
        <v>0.45</v>
      </c>
      <c r="I232">
        <v>194</v>
      </c>
      <c r="J232">
        <v>16</v>
      </c>
      <c r="K232">
        <v>0.67</v>
      </c>
      <c r="L232" t="s">
        <v>12</v>
      </c>
    </row>
    <row r="233" spans="1:12" x14ac:dyDescent="0.3">
      <c r="A233">
        <v>61</v>
      </c>
      <c r="B233">
        <v>2021</v>
      </c>
      <c r="C233">
        <v>0.32</v>
      </c>
      <c r="D233">
        <v>0.83</v>
      </c>
      <c r="E233">
        <v>0.71</v>
      </c>
      <c r="F233">
        <v>0.64</v>
      </c>
      <c r="G233">
        <v>0.78</v>
      </c>
      <c r="H233">
        <v>0.55000000000000004</v>
      </c>
      <c r="I233">
        <v>201</v>
      </c>
      <c r="J233">
        <v>1</v>
      </c>
      <c r="K233">
        <v>0.62</v>
      </c>
      <c r="L233" t="s">
        <v>12</v>
      </c>
    </row>
    <row r="234" spans="1:12" x14ac:dyDescent="0.3">
      <c r="A234">
        <v>61</v>
      </c>
      <c r="B234">
        <v>2021</v>
      </c>
      <c r="C234">
        <v>0.88</v>
      </c>
      <c r="D234">
        <v>0.97</v>
      </c>
      <c r="E234">
        <v>0.91</v>
      </c>
      <c r="F234">
        <v>0.6</v>
      </c>
      <c r="G234">
        <v>0.75</v>
      </c>
      <c r="H234">
        <v>0.05</v>
      </c>
      <c r="I234">
        <v>480</v>
      </c>
      <c r="J234">
        <v>16</v>
      </c>
      <c r="K234">
        <v>0.85</v>
      </c>
      <c r="L234" t="s">
        <v>13</v>
      </c>
    </row>
    <row r="235" spans="1:12" x14ac:dyDescent="0.3">
      <c r="A235">
        <v>61</v>
      </c>
      <c r="B235">
        <v>2021</v>
      </c>
      <c r="C235">
        <v>0.71</v>
      </c>
      <c r="D235">
        <v>0.66</v>
      </c>
      <c r="E235">
        <v>0.77</v>
      </c>
      <c r="F235">
        <v>0.81</v>
      </c>
      <c r="G235">
        <v>0.55000000000000004</v>
      </c>
      <c r="H235">
        <v>0.68</v>
      </c>
      <c r="I235">
        <v>258</v>
      </c>
      <c r="J235">
        <v>2</v>
      </c>
      <c r="K235">
        <v>0.71</v>
      </c>
      <c r="L235" t="s">
        <v>13</v>
      </c>
    </row>
    <row r="236" spans="1:12" x14ac:dyDescent="0.3">
      <c r="A236">
        <v>61</v>
      </c>
      <c r="B236">
        <v>2021</v>
      </c>
      <c r="C236">
        <v>0.76</v>
      </c>
      <c r="D236">
        <v>0.84</v>
      </c>
      <c r="E236">
        <v>0.89</v>
      </c>
      <c r="F236">
        <v>0.7</v>
      </c>
      <c r="G236">
        <v>0.51</v>
      </c>
      <c r="H236">
        <v>0.48</v>
      </c>
      <c r="I236">
        <v>155</v>
      </c>
      <c r="J236">
        <v>11</v>
      </c>
      <c r="K236">
        <v>0.77</v>
      </c>
      <c r="L236" t="s">
        <v>13</v>
      </c>
    </row>
    <row r="237" spans="1:12" x14ac:dyDescent="0.3">
      <c r="A237">
        <v>61</v>
      </c>
      <c r="B237">
        <v>2021</v>
      </c>
      <c r="C237">
        <v>0.47</v>
      </c>
      <c r="D237">
        <v>0.45</v>
      </c>
      <c r="E237">
        <v>0.96</v>
      </c>
      <c r="F237">
        <v>0.83</v>
      </c>
      <c r="G237">
        <v>0.77</v>
      </c>
      <c r="H237">
        <v>0.91</v>
      </c>
      <c r="I237">
        <v>98</v>
      </c>
      <c r="J237">
        <v>6</v>
      </c>
      <c r="K237">
        <v>0.65</v>
      </c>
      <c r="L237" t="s">
        <v>12</v>
      </c>
    </row>
    <row r="238" spans="1:12" x14ac:dyDescent="0.3">
      <c r="A238">
        <v>61</v>
      </c>
      <c r="B238">
        <v>2021</v>
      </c>
      <c r="C238">
        <v>0.66</v>
      </c>
      <c r="D238">
        <v>0.52</v>
      </c>
      <c r="E238">
        <v>0.66</v>
      </c>
      <c r="F238">
        <v>0.84</v>
      </c>
      <c r="G238">
        <v>0.35</v>
      </c>
      <c r="H238">
        <v>0.15</v>
      </c>
      <c r="I238">
        <v>391</v>
      </c>
      <c r="J238">
        <v>10</v>
      </c>
      <c r="K238">
        <v>0.62</v>
      </c>
      <c r="L238" t="s">
        <v>12</v>
      </c>
    </row>
    <row r="239" spans="1:12" x14ac:dyDescent="0.3">
      <c r="A239">
        <v>61</v>
      </c>
      <c r="B239">
        <v>2021</v>
      </c>
      <c r="C239">
        <v>0.71</v>
      </c>
      <c r="D239">
        <v>0.44</v>
      </c>
      <c r="E239">
        <v>0.83</v>
      </c>
      <c r="F239">
        <v>0.6</v>
      </c>
      <c r="G239">
        <v>0.85</v>
      </c>
      <c r="H239">
        <v>0.67</v>
      </c>
      <c r="I239">
        <v>497</v>
      </c>
      <c r="J239">
        <v>12</v>
      </c>
      <c r="K239">
        <v>0.66</v>
      </c>
      <c r="L239" t="s">
        <v>12</v>
      </c>
    </row>
    <row r="240" spans="1:12" x14ac:dyDescent="0.3">
      <c r="A240">
        <v>62</v>
      </c>
      <c r="B240">
        <v>2021</v>
      </c>
      <c r="C240">
        <v>0.49</v>
      </c>
      <c r="D240">
        <v>0.79</v>
      </c>
      <c r="E240">
        <v>0.5</v>
      </c>
      <c r="F240">
        <v>0.74</v>
      </c>
      <c r="G240">
        <v>0.51</v>
      </c>
      <c r="H240">
        <v>0.16</v>
      </c>
      <c r="I240">
        <v>460</v>
      </c>
      <c r="J240">
        <v>8</v>
      </c>
      <c r="K240">
        <v>0.61</v>
      </c>
      <c r="L240" t="s">
        <v>12</v>
      </c>
    </row>
    <row r="241" spans="1:12" x14ac:dyDescent="0.3">
      <c r="A241">
        <v>62</v>
      </c>
      <c r="B241">
        <v>2021</v>
      </c>
      <c r="C241">
        <v>0.48</v>
      </c>
      <c r="D241">
        <v>0.55000000000000004</v>
      </c>
      <c r="E241">
        <v>0.85</v>
      </c>
      <c r="F241">
        <v>0.88</v>
      </c>
      <c r="G241">
        <v>0.4</v>
      </c>
      <c r="H241">
        <v>1</v>
      </c>
      <c r="I241">
        <v>236</v>
      </c>
      <c r="J241">
        <v>16</v>
      </c>
      <c r="K241">
        <v>0.62</v>
      </c>
      <c r="L241" t="s">
        <v>12</v>
      </c>
    </row>
    <row r="242" spans="1:12" x14ac:dyDescent="0.3">
      <c r="A242">
        <v>62</v>
      </c>
      <c r="B242">
        <v>2021</v>
      </c>
      <c r="C242">
        <v>0.36</v>
      </c>
      <c r="D242">
        <v>0.71</v>
      </c>
      <c r="E242">
        <v>0.71</v>
      </c>
      <c r="F242">
        <v>0.99</v>
      </c>
      <c r="G242">
        <v>0.38</v>
      </c>
      <c r="H242">
        <v>0.4</v>
      </c>
      <c r="I242">
        <v>269</v>
      </c>
      <c r="J242">
        <v>10</v>
      </c>
      <c r="K242">
        <v>0.61</v>
      </c>
      <c r="L242" t="s">
        <v>12</v>
      </c>
    </row>
    <row r="243" spans="1:12" x14ac:dyDescent="0.3">
      <c r="A243">
        <v>62</v>
      </c>
      <c r="B243">
        <v>2021</v>
      </c>
      <c r="C243">
        <v>0.53</v>
      </c>
      <c r="D243">
        <v>0.53</v>
      </c>
      <c r="E243">
        <v>0.54</v>
      </c>
      <c r="F243">
        <v>0.79</v>
      </c>
      <c r="G243">
        <v>0.64</v>
      </c>
      <c r="H243">
        <v>0.84</v>
      </c>
      <c r="I243">
        <v>415</v>
      </c>
      <c r="J243">
        <v>13</v>
      </c>
      <c r="K243">
        <v>0.57999999999999996</v>
      </c>
      <c r="L243" t="s">
        <v>12</v>
      </c>
    </row>
    <row r="244" spans="1:12" x14ac:dyDescent="0.3">
      <c r="A244">
        <v>62</v>
      </c>
      <c r="B244">
        <v>2021</v>
      </c>
      <c r="C244">
        <v>0.8</v>
      </c>
      <c r="D244">
        <v>0.76</v>
      </c>
      <c r="E244">
        <v>0.54</v>
      </c>
      <c r="F244">
        <v>0.87</v>
      </c>
      <c r="G244">
        <v>0.34</v>
      </c>
      <c r="H244">
        <v>0.6</v>
      </c>
      <c r="I244">
        <v>363</v>
      </c>
      <c r="J244">
        <v>18</v>
      </c>
      <c r="K244">
        <v>0.7</v>
      </c>
      <c r="L244" t="s">
        <v>12</v>
      </c>
    </row>
    <row r="245" spans="1:12" x14ac:dyDescent="0.3">
      <c r="A245">
        <v>62</v>
      </c>
      <c r="B245">
        <v>2021</v>
      </c>
      <c r="C245">
        <v>0.8</v>
      </c>
      <c r="D245">
        <v>0.54</v>
      </c>
      <c r="E245">
        <v>0.84</v>
      </c>
      <c r="F245">
        <v>0.99</v>
      </c>
      <c r="G245">
        <v>0.78</v>
      </c>
      <c r="H245">
        <v>0.88</v>
      </c>
      <c r="I245">
        <v>364</v>
      </c>
      <c r="J245">
        <v>9</v>
      </c>
      <c r="K245">
        <v>0.77</v>
      </c>
      <c r="L245" t="s">
        <v>13</v>
      </c>
    </row>
    <row r="246" spans="1:12" x14ac:dyDescent="0.3">
      <c r="A246">
        <v>62</v>
      </c>
      <c r="B246">
        <v>2021</v>
      </c>
      <c r="C246">
        <v>0.65</v>
      </c>
      <c r="D246">
        <v>0.88</v>
      </c>
      <c r="E246">
        <v>0.72</v>
      </c>
      <c r="F246">
        <v>0.8</v>
      </c>
      <c r="G246">
        <v>0.89</v>
      </c>
      <c r="H246">
        <v>0.71</v>
      </c>
      <c r="I246">
        <v>442</v>
      </c>
      <c r="J246">
        <v>11</v>
      </c>
      <c r="K246">
        <v>0.77</v>
      </c>
      <c r="L246" t="s">
        <v>13</v>
      </c>
    </row>
    <row r="247" spans="1:12" x14ac:dyDescent="0.3">
      <c r="A247">
        <v>62</v>
      </c>
      <c r="B247">
        <v>2021</v>
      </c>
      <c r="C247">
        <v>0.55000000000000004</v>
      </c>
      <c r="D247">
        <v>0.53</v>
      </c>
      <c r="E247">
        <v>0.96</v>
      </c>
      <c r="F247">
        <v>0.72</v>
      </c>
      <c r="G247">
        <v>0.57999999999999996</v>
      </c>
      <c r="H247">
        <v>0.7</v>
      </c>
      <c r="I247">
        <v>136</v>
      </c>
      <c r="J247">
        <v>7</v>
      </c>
      <c r="K247">
        <v>0.66</v>
      </c>
      <c r="L247" t="s">
        <v>12</v>
      </c>
    </row>
    <row r="248" spans="1:12" x14ac:dyDescent="0.3">
      <c r="A248">
        <v>63</v>
      </c>
      <c r="B248">
        <v>2021</v>
      </c>
      <c r="C248">
        <v>0.82</v>
      </c>
      <c r="D248">
        <v>0.56000000000000005</v>
      </c>
      <c r="E248">
        <v>0.56000000000000005</v>
      </c>
      <c r="F248">
        <v>0.7</v>
      </c>
      <c r="G248">
        <v>0.94</v>
      </c>
      <c r="H248">
        <v>0.57999999999999996</v>
      </c>
      <c r="I248">
        <v>226</v>
      </c>
      <c r="J248">
        <v>19</v>
      </c>
      <c r="K248">
        <v>0.7</v>
      </c>
      <c r="L248" t="s">
        <v>12</v>
      </c>
    </row>
    <row r="249" spans="1:12" x14ac:dyDescent="0.3">
      <c r="A249">
        <v>63</v>
      </c>
      <c r="B249">
        <v>2021</v>
      </c>
      <c r="C249">
        <v>0.65</v>
      </c>
      <c r="D249">
        <v>0.54</v>
      </c>
      <c r="E249">
        <v>0.77</v>
      </c>
      <c r="F249">
        <v>0.69</v>
      </c>
      <c r="G249">
        <v>0.76</v>
      </c>
      <c r="H249">
        <v>0.9</v>
      </c>
      <c r="I249">
        <v>389</v>
      </c>
      <c r="J249">
        <v>8</v>
      </c>
      <c r="K249">
        <v>0.66</v>
      </c>
      <c r="L249" t="s">
        <v>12</v>
      </c>
    </row>
    <row r="250" spans="1:12" x14ac:dyDescent="0.3">
      <c r="A250">
        <v>63</v>
      </c>
      <c r="B250">
        <v>2021</v>
      </c>
      <c r="C250">
        <v>0.4</v>
      </c>
      <c r="D250">
        <v>0.53</v>
      </c>
      <c r="E250">
        <v>0.74</v>
      </c>
      <c r="F250">
        <v>0.62</v>
      </c>
      <c r="G250">
        <v>0.62</v>
      </c>
      <c r="H250">
        <v>0.42</v>
      </c>
      <c r="I250">
        <v>263</v>
      </c>
      <c r="J250">
        <v>3</v>
      </c>
      <c r="K250">
        <v>0.56000000000000005</v>
      </c>
      <c r="L250" t="s">
        <v>12</v>
      </c>
    </row>
    <row r="251" spans="1:12" x14ac:dyDescent="0.3">
      <c r="A251">
        <v>64</v>
      </c>
      <c r="B251">
        <v>2021</v>
      </c>
      <c r="C251">
        <v>0.76</v>
      </c>
      <c r="D251">
        <v>0.97</v>
      </c>
      <c r="E251">
        <v>0.9</v>
      </c>
      <c r="F251">
        <v>0.63</v>
      </c>
      <c r="G251">
        <v>0.5</v>
      </c>
      <c r="H251">
        <v>0.93</v>
      </c>
      <c r="I251">
        <v>493</v>
      </c>
      <c r="J251">
        <v>7</v>
      </c>
      <c r="K251">
        <v>0.8</v>
      </c>
      <c r="L251" t="s">
        <v>13</v>
      </c>
    </row>
    <row r="252" spans="1:12" x14ac:dyDescent="0.3">
      <c r="A252">
        <v>64</v>
      </c>
      <c r="B252">
        <v>2021</v>
      </c>
      <c r="C252">
        <v>0.6</v>
      </c>
      <c r="D252">
        <v>0.69</v>
      </c>
      <c r="E252">
        <v>0.96</v>
      </c>
      <c r="F252">
        <v>0.81</v>
      </c>
      <c r="G252">
        <v>0.64</v>
      </c>
      <c r="H252">
        <v>0.57999999999999996</v>
      </c>
      <c r="I252">
        <v>104</v>
      </c>
      <c r="J252">
        <v>19</v>
      </c>
      <c r="K252">
        <v>0.73</v>
      </c>
      <c r="L252" t="s">
        <v>13</v>
      </c>
    </row>
    <row r="253" spans="1:12" x14ac:dyDescent="0.3">
      <c r="A253">
        <v>65</v>
      </c>
      <c r="B253">
        <v>2021</v>
      </c>
      <c r="C253">
        <v>0.46</v>
      </c>
      <c r="D253">
        <v>0.54</v>
      </c>
      <c r="E253">
        <v>0.84</v>
      </c>
      <c r="F253">
        <v>0.61</v>
      </c>
      <c r="G253">
        <v>0.37</v>
      </c>
      <c r="H253">
        <v>0.8</v>
      </c>
      <c r="I253">
        <v>116</v>
      </c>
      <c r="J253">
        <v>18</v>
      </c>
      <c r="K253">
        <v>0.56999999999999995</v>
      </c>
      <c r="L253" t="s">
        <v>12</v>
      </c>
    </row>
    <row r="254" spans="1:12" x14ac:dyDescent="0.3">
      <c r="A254">
        <v>65</v>
      </c>
      <c r="B254">
        <v>2021</v>
      </c>
      <c r="C254">
        <v>0.77</v>
      </c>
      <c r="D254">
        <v>0.46</v>
      </c>
      <c r="E254">
        <v>0.63</v>
      </c>
      <c r="F254">
        <v>0.92</v>
      </c>
      <c r="G254">
        <v>0.91</v>
      </c>
      <c r="H254">
        <v>0.61</v>
      </c>
      <c r="I254">
        <v>87</v>
      </c>
      <c r="J254">
        <v>19</v>
      </c>
      <c r="K254">
        <v>0.7</v>
      </c>
      <c r="L254" t="s">
        <v>12</v>
      </c>
    </row>
    <row r="255" spans="1:12" x14ac:dyDescent="0.3">
      <c r="A255">
        <v>65</v>
      </c>
      <c r="B255">
        <v>2021</v>
      </c>
      <c r="C255">
        <v>0.6</v>
      </c>
      <c r="D255">
        <v>0.42</v>
      </c>
      <c r="E255">
        <v>0.98</v>
      </c>
      <c r="F255">
        <v>0.68</v>
      </c>
      <c r="G255">
        <v>0.85</v>
      </c>
      <c r="H255">
        <v>0.77</v>
      </c>
      <c r="I255">
        <v>265</v>
      </c>
      <c r="J255">
        <v>11</v>
      </c>
      <c r="K255">
        <v>0.67</v>
      </c>
      <c r="L255" t="s">
        <v>12</v>
      </c>
    </row>
    <row r="256" spans="1:12" x14ac:dyDescent="0.3">
      <c r="A256">
        <v>65</v>
      </c>
      <c r="B256">
        <v>2021</v>
      </c>
      <c r="C256">
        <v>0.83</v>
      </c>
      <c r="D256">
        <v>0.41</v>
      </c>
      <c r="E256">
        <v>0.76</v>
      </c>
      <c r="F256">
        <v>0.81</v>
      </c>
      <c r="G256">
        <v>0.57999999999999996</v>
      </c>
      <c r="H256">
        <v>0.3</v>
      </c>
      <c r="I256">
        <v>334</v>
      </c>
      <c r="J256">
        <v>10</v>
      </c>
      <c r="K256">
        <v>0.68</v>
      </c>
      <c r="L256" t="s">
        <v>12</v>
      </c>
    </row>
    <row r="257" spans="1:12" x14ac:dyDescent="0.3">
      <c r="A257">
        <v>65</v>
      </c>
      <c r="B257">
        <v>2021</v>
      </c>
      <c r="C257">
        <v>0.47</v>
      </c>
      <c r="D257">
        <v>0.72</v>
      </c>
      <c r="E257">
        <v>0.74</v>
      </c>
      <c r="F257">
        <v>0.88</v>
      </c>
      <c r="G257">
        <v>0.35</v>
      </c>
      <c r="H257">
        <v>0.19</v>
      </c>
      <c r="I257">
        <v>123</v>
      </c>
      <c r="J257">
        <v>11</v>
      </c>
      <c r="K257">
        <v>0.64</v>
      </c>
      <c r="L257" t="s">
        <v>12</v>
      </c>
    </row>
    <row r="258" spans="1:12" x14ac:dyDescent="0.3">
      <c r="A258">
        <v>65</v>
      </c>
      <c r="B258">
        <v>2021</v>
      </c>
      <c r="C258">
        <v>0.74</v>
      </c>
      <c r="D258">
        <v>0.62</v>
      </c>
      <c r="E258">
        <v>0.93</v>
      </c>
      <c r="F258">
        <v>0.9</v>
      </c>
      <c r="G258">
        <v>0.73</v>
      </c>
      <c r="H258">
        <v>0.36</v>
      </c>
      <c r="I258">
        <v>484</v>
      </c>
      <c r="J258">
        <v>12</v>
      </c>
      <c r="K258">
        <v>0.77</v>
      </c>
      <c r="L258" t="s">
        <v>13</v>
      </c>
    </row>
    <row r="259" spans="1:12" x14ac:dyDescent="0.3">
      <c r="A259">
        <v>65</v>
      </c>
      <c r="B259">
        <v>2021</v>
      </c>
      <c r="C259">
        <v>0.75</v>
      </c>
      <c r="D259">
        <v>0.51</v>
      </c>
      <c r="E259">
        <v>0.88</v>
      </c>
      <c r="F259">
        <v>0.74</v>
      </c>
      <c r="G259">
        <v>0.8</v>
      </c>
      <c r="H259">
        <v>0.05</v>
      </c>
      <c r="I259">
        <v>486</v>
      </c>
      <c r="J259">
        <v>8</v>
      </c>
      <c r="K259">
        <v>0.72</v>
      </c>
      <c r="L259" t="s">
        <v>13</v>
      </c>
    </row>
    <row r="260" spans="1:12" x14ac:dyDescent="0.3">
      <c r="A260">
        <v>65</v>
      </c>
      <c r="B260">
        <v>2021</v>
      </c>
      <c r="C260">
        <v>0.84</v>
      </c>
      <c r="D260">
        <v>0.72</v>
      </c>
      <c r="E260">
        <v>0.9</v>
      </c>
      <c r="F260">
        <v>0.84</v>
      </c>
      <c r="G260">
        <v>0.52</v>
      </c>
      <c r="H260">
        <v>0.56000000000000005</v>
      </c>
      <c r="I260">
        <v>264</v>
      </c>
      <c r="J260">
        <v>11</v>
      </c>
      <c r="K260">
        <v>0.79</v>
      </c>
      <c r="L260" t="s">
        <v>13</v>
      </c>
    </row>
    <row r="261" spans="1:12" x14ac:dyDescent="0.3">
      <c r="A261">
        <v>65</v>
      </c>
      <c r="B261">
        <v>2021</v>
      </c>
      <c r="C261">
        <v>0.6</v>
      </c>
      <c r="D261">
        <v>0.43</v>
      </c>
      <c r="E261">
        <v>0.73</v>
      </c>
      <c r="F261">
        <v>0.92</v>
      </c>
      <c r="G261">
        <v>0.56999999999999995</v>
      </c>
      <c r="H261">
        <v>0.38</v>
      </c>
      <c r="I261">
        <v>179</v>
      </c>
      <c r="J261">
        <v>3</v>
      </c>
      <c r="K261">
        <v>0.63</v>
      </c>
      <c r="L261" t="s">
        <v>12</v>
      </c>
    </row>
    <row r="262" spans="1:12" x14ac:dyDescent="0.3">
      <c r="A262">
        <v>65</v>
      </c>
      <c r="B262">
        <v>2021</v>
      </c>
      <c r="C262">
        <v>0.52</v>
      </c>
      <c r="D262">
        <v>0.98</v>
      </c>
      <c r="E262">
        <v>0.57999999999999996</v>
      </c>
      <c r="F262">
        <v>0.9</v>
      </c>
      <c r="G262">
        <v>0.55000000000000004</v>
      </c>
      <c r="H262">
        <v>0.57999999999999996</v>
      </c>
      <c r="I262">
        <v>293</v>
      </c>
      <c r="J262">
        <v>5</v>
      </c>
      <c r="K262">
        <v>0.71</v>
      </c>
      <c r="L262" t="s">
        <v>13</v>
      </c>
    </row>
    <row r="263" spans="1:12" x14ac:dyDescent="0.3">
      <c r="A263">
        <v>65</v>
      </c>
      <c r="B263">
        <v>2021</v>
      </c>
      <c r="C263">
        <v>0.94</v>
      </c>
      <c r="D263">
        <v>0.87</v>
      </c>
      <c r="E263">
        <v>0.78</v>
      </c>
      <c r="F263">
        <v>0.63</v>
      </c>
      <c r="G263">
        <v>0.76</v>
      </c>
      <c r="H263">
        <v>0.53</v>
      </c>
      <c r="I263">
        <v>418</v>
      </c>
      <c r="J263">
        <v>1</v>
      </c>
      <c r="K263">
        <v>0.83</v>
      </c>
      <c r="L263" t="s">
        <v>13</v>
      </c>
    </row>
    <row r="264" spans="1:12" x14ac:dyDescent="0.3">
      <c r="A264">
        <v>66</v>
      </c>
      <c r="B264">
        <v>2021</v>
      </c>
      <c r="C264">
        <v>0.83</v>
      </c>
      <c r="D264">
        <v>0.77</v>
      </c>
      <c r="E264">
        <v>0.54</v>
      </c>
      <c r="F264">
        <v>0.81</v>
      </c>
      <c r="G264">
        <v>0.54</v>
      </c>
      <c r="H264">
        <v>0.33</v>
      </c>
      <c r="I264">
        <v>55</v>
      </c>
      <c r="J264">
        <v>5</v>
      </c>
      <c r="K264">
        <v>0.73</v>
      </c>
      <c r="L264" t="s">
        <v>13</v>
      </c>
    </row>
    <row r="265" spans="1:12" x14ac:dyDescent="0.3">
      <c r="A265">
        <v>66</v>
      </c>
      <c r="B265">
        <v>2021</v>
      </c>
      <c r="C265">
        <v>0.71</v>
      </c>
      <c r="D265">
        <v>0.54</v>
      </c>
      <c r="E265">
        <v>0.52</v>
      </c>
      <c r="F265">
        <v>0.98</v>
      </c>
      <c r="G265">
        <v>0.52</v>
      </c>
      <c r="H265">
        <v>0.44</v>
      </c>
      <c r="I265">
        <v>308</v>
      </c>
      <c r="J265">
        <v>16</v>
      </c>
      <c r="K265">
        <v>0.65</v>
      </c>
      <c r="L265" t="s">
        <v>12</v>
      </c>
    </row>
    <row r="266" spans="1:12" x14ac:dyDescent="0.3">
      <c r="A266">
        <v>66</v>
      </c>
      <c r="B266">
        <v>2021</v>
      </c>
      <c r="C266">
        <v>0.41</v>
      </c>
      <c r="D266">
        <v>0.43</v>
      </c>
      <c r="E266">
        <v>0.56000000000000005</v>
      </c>
      <c r="F266">
        <v>0.97</v>
      </c>
      <c r="G266">
        <v>0.69</v>
      </c>
      <c r="H266">
        <v>0.8</v>
      </c>
      <c r="I266">
        <v>167</v>
      </c>
      <c r="J266">
        <v>6</v>
      </c>
      <c r="K266">
        <v>0.56000000000000005</v>
      </c>
      <c r="L266" t="s">
        <v>12</v>
      </c>
    </row>
    <row r="267" spans="1:12" x14ac:dyDescent="0.3">
      <c r="A267">
        <v>66</v>
      </c>
      <c r="B267">
        <v>2021</v>
      </c>
      <c r="C267">
        <v>0.73</v>
      </c>
      <c r="D267">
        <v>0.43</v>
      </c>
      <c r="E267">
        <v>0.81</v>
      </c>
      <c r="F267">
        <v>0.87</v>
      </c>
      <c r="G267">
        <v>0.44</v>
      </c>
      <c r="H267">
        <v>0.82</v>
      </c>
      <c r="I267">
        <v>58</v>
      </c>
      <c r="J267">
        <v>4</v>
      </c>
      <c r="K267">
        <v>0.66</v>
      </c>
      <c r="L267" t="s">
        <v>12</v>
      </c>
    </row>
    <row r="268" spans="1:12" x14ac:dyDescent="0.3">
      <c r="A268">
        <v>68</v>
      </c>
      <c r="B268">
        <v>2021</v>
      </c>
      <c r="C268">
        <v>0.37</v>
      </c>
      <c r="D268">
        <v>0.97</v>
      </c>
      <c r="E268">
        <v>0.8</v>
      </c>
      <c r="F268">
        <v>0.89</v>
      </c>
      <c r="G268">
        <v>0.52</v>
      </c>
      <c r="H268">
        <v>0.39</v>
      </c>
      <c r="I268">
        <v>318</v>
      </c>
      <c r="J268">
        <v>4</v>
      </c>
      <c r="K268">
        <v>0.7</v>
      </c>
      <c r="L268" t="s">
        <v>12</v>
      </c>
    </row>
    <row r="269" spans="1:12" x14ac:dyDescent="0.3">
      <c r="A269">
        <v>68</v>
      </c>
      <c r="B269">
        <v>2021</v>
      </c>
      <c r="C269">
        <v>0.9</v>
      </c>
      <c r="D269">
        <v>0.46</v>
      </c>
      <c r="E269">
        <v>0.85</v>
      </c>
      <c r="F269">
        <v>0.74</v>
      </c>
      <c r="G269">
        <v>0.3</v>
      </c>
      <c r="H269">
        <v>0.4</v>
      </c>
      <c r="I269">
        <v>484</v>
      </c>
      <c r="J269">
        <v>18</v>
      </c>
      <c r="K269">
        <v>0.7</v>
      </c>
      <c r="L269" t="s">
        <v>12</v>
      </c>
    </row>
    <row r="270" spans="1:12" x14ac:dyDescent="0.3">
      <c r="A270">
        <v>68</v>
      </c>
      <c r="B270">
        <v>2021</v>
      </c>
      <c r="C270">
        <v>0.92</v>
      </c>
      <c r="D270">
        <v>0.84</v>
      </c>
      <c r="E270">
        <v>0.96</v>
      </c>
      <c r="F270">
        <v>0.73</v>
      </c>
      <c r="G270">
        <v>0.65</v>
      </c>
      <c r="H270">
        <v>0.01</v>
      </c>
      <c r="I270">
        <v>295</v>
      </c>
      <c r="J270">
        <v>5</v>
      </c>
      <c r="K270">
        <v>0.85</v>
      </c>
      <c r="L270" t="s">
        <v>13</v>
      </c>
    </row>
    <row r="271" spans="1:12" x14ac:dyDescent="0.3">
      <c r="A271">
        <v>68</v>
      </c>
      <c r="B271">
        <v>2021</v>
      </c>
      <c r="C271">
        <v>0.87</v>
      </c>
      <c r="D271">
        <v>0.45</v>
      </c>
      <c r="E271">
        <v>0.93</v>
      </c>
      <c r="F271">
        <v>0.64</v>
      </c>
      <c r="G271">
        <v>0.88</v>
      </c>
      <c r="H271">
        <v>0.36</v>
      </c>
      <c r="I271">
        <v>481</v>
      </c>
      <c r="J271">
        <v>11</v>
      </c>
      <c r="K271">
        <v>0.74</v>
      </c>
      <c r="L271" t="s">
        <v>13</v>
      </c>
    </row>
    <row r="272" spans="1:12" x14ac:dyDescent="0.3">
      <c r="A272">
        <v>68</v>
      </c>
      <c r="B272">
        <v>2021</v>
      </c>
      <c r="C272">
        <v>0.35</v>
      </c>
      <c r="D272">
        <v>0.75</v>
      </c>
      <c r="E272">
        <v>0.95</v>
      </c>
      <c r="F272">
        <v>0.6</v>
      </c>
      <c r="G272">
        <v>0.65</v>
      </c>
      <c r="H272">
        <v>0.35</v>
      </c>
      <c r="I272">
        <v>191</v>
      </c>
      <c r="J272">
        <v>16</v>
      </c>
      <c r="K272">
        <v>0.64</v>
      </c>
      <c r="L272" t="s">
        <v>12</v>
      </c>
    </row>
    <row r="273" spans="1:12" x14ac:dyDescent="0.3">
      <c r="A273">
        <v>68</v>
      </c>
      <c r="B273">
        <v>2021</v>
      </c>
      <c r="C273">
        <v>0.89</v>
      </c>
      <c r="D273">
        <v>0.5</v>
      </c>
      <c r="E273">
        <v>0.66</v>
      </c>
      <c r="F273">
        <v>0.96</v>
      </c>
      <c r="G273">
        <v>0.69</v>
      </c>
      <c r="H273">
        <v>0.57999999999999996</v>
      </c>
      <c r="I273">
        <v>180</v>
      </c>
      <c r="J273">
        <v>7</v>
      </c>
      <c r="K273">
        <v>0.74</v>
      </c>
      <c r="L273" t="s">
        <v>13</v>
      </c>
    </row>
    <row r="274" spans="1:12" x14ac:dyDescent="0.3">
      <c r="A274">
        <v>69</v>
      </c>
      <c r="B274">
        <v>2021</v>
      </c>
      <c r="C274">
        <v>0.82</v>
      </c>
      <c r="D274">
        <v>0.92</v>
      </c>
      <c r="E274">
        <v>0.61</v>
      </c>
      <c r="F274">
        <v>0.64</v>
      </c>
      <c r="G274">
        <v>0.32</v>
      </c>
      <c r="H274">
        <v>0.64</v>
      </c>
      <c r="I274">
        <v>209</v>
      </c>
      <c r="J274">
        <v>10</v>
      </c>
      <c r="K274">
        <v>0.73</v>
      </c>
      <c r="L274" t="s">
        <v>13</v>
      </c>
    </row>
    <row r="275" spans="1:12" x14ac:dyDescent="0.3">
      <c r="A275">
        <v>69</v>
      </c>
      <c r="B275">
        <v>2021</v>
      </c>
      <c r="C275">
        <v>0.7</v>
      </c>
      <c r="D275">
        <v>0.99</v>
      </c>
      <c r="E275">
        <v>0.57999999999999996</v>
      </c>
      <c r="F275">
        <v>0.88</v>
      </c>
      <c r="G275">
        <v>0.71</v>
      </c>
      <c r="H275">
        <v>0.59</v>
      </c>
      <c r="I275">
        <v>247</v>
      </c>
      <c r="J275">
        <v>16</v>
      </c>
      <c r="K275">
        <v>0.78</v>
      </c>
      <c r="L275" t="s">
        <v>13</v>
      </c>
    </row>
    <row r="276" spans="1:12" x14ac:dyDescent="0.3">
      <c r="A276">
        <v>69</v>
      </c>
      <c r="B276">
        <v>2021</v>
      </c>
      <c r="C276">
        <v>0.52</v>
      </c>
      <c r="D276">
        <v>0.8</v>
      </c>
      <c r="E276">
        <v>0.52</v>
      </c>
      <c r="F276">
        <v>0.89</v>
      </c>
      <c r="G276">
        <v>0.89</v>
      </c>
      <c r="H276">
        <v>0.42</v>
      </c>
      <c r="I276">
        <v>382</v>
      </c>
      <c r="J276">
        <v>12</v>
      </c>
      <c r="K276">
        <v>0.68</v>
      </c>
      <c r="L276" t="s">
        <v>12</v>
      </c>
    </row>
    <row r="277" spans="1:12" x14ac:dyDescent="0.3">
      <c r="A277">
        <v>69</v>
      </c>
      <c r="B277">
        <v>2021</v>
      </c>
      <c r="C277">
        <v>0.84</v>
      </c>
      <c r="D277">
        <v>0.92</v>
      </c>
      <c r="E277">
        <v>0.76</v>
      </c>
      <c r="F277">
        <v>1</v>
      </c>
      <c r="G277">
        <v>0.31</v>
      </c>
      <c r="H277">
        <v>0.3</v>
      </c>
      <c r="I277">
        <v>400</v>
      </c>
      <c r="J277">
        <v>7</v>
      </c>
      <c r="K277">
        <v>0.82</v>
      </c>
      <c r="L277" t="s">
        <v>13</v>
      </c>
    </row>
    <row r="278" spans="1:12" x14ac:dyDescent="0.3">
      <c r="A278">
        <v>71</v>
      </c>
      <c r="B278">
        <v>2021</v>
      </c>
      <c r="C278">
        <v>0.43</v>
      </c>
      <c r="D278">
        <v>0.73</v>
      </c>
      <c r="E278">
        <v>0.71</v>
      </c>
      <c r="F278">
        <v>0.89</v>
      </c>
      <c r="G278">
        <v>0.56000000000000005</v>
      </c>
      <c r="H278">
        <v>0.87</v>
      </c>
      <c r="I278">
        <v>359</v>
      </c>
      <c r="J278">
        <v>0</v>
      </c>
      <c r="K278">
        <v>0.64</v>
      </c>
      <c r="L278" t="s">
        <v>12</v>
      </c>
    </row>
    <row r="279" spans="1:12" x14ac:dyDescent="0.3">
      <c r="A279">
        <v>71</v>
      </c>
      <c r="B279">
        <v>2021</v>
      </c>
      <c r="C279">
        <v>0.83</v>
      </c>
      <c r="D279">
        <v>0.64</v>
      </c>
      <c r="E279">
        <v>0.91</v>
      </c>
      <c r="F279">
        <v>0.71</v>
      </c>
      <c r="G279">
        <v>0.49</v>
      </c>
      <c r="H279">
        <v>0.52</v>
      </c>
      <c r="I279">
        <v>293</v>
      </c>
      <c r="J279">
        <v>7</v>
      </c>
      <c r="K279">
        <v>0.75</v>
      </c>
      <c r="L279" t="s">
        <v>13</v>
      </c>
    </row>
    <row r="280" spans="1:12" x14ac:dyDescent="0.3">
      <c r="A280">
        <v>71</v>
      </c>
      <c r="B280">
        <v>2021</v>
      </c>
      <c r="C280">
        <v>0.44</v>
      </c>
      <c r="D280">
        <v>0.52</v>
      </c>
      <c r="E280">
        <v>0.59</v>
      </c>
      <c r="F280">
        <v>0.8</v>
      </c>
      <c r="G280">
        <v>0.86</v>
      </c>
      <c r="H280">
        <v>0.56999999999999995</v>
      </c>
      <c r="I280">
        <v>164</v>
      </c>
      <c r="J280">
        <v>6</v>
      </c>
      <c r="K280">
        <v>0.59</v>
      </c>
      <c r="L280" t="s">
        <v>12</v>
      </c>
    </row>
    <row r="281" spans="1:12" x14ac:dyDescent="0.3">
      <c r="A281">
        <v>72</v>
      </c>
      <c r="B281">
        <v>2021</v>
      </c>
      <c r="C281">
        <v>0.82</v>
      </c>
      <c r="D281">
        <v>0.93</v>
      </c>
      <c r="E281">
        <v>0.64</v>
      </c>
      <c r="F281">
        <v>0.68</v>
      </c>
      <c r="G281">
        <v>0.92</v>
      </c>
      <c r="H281">
        <v>0.66</v>
      </c>
      <c r="I281">
        <v>59</v>
      </c>
      <c r="J281">
        <v>13</v>
      </c>
      <c r="K281">
        <v>0.8</v>
      </c>
      <c r="L281" t="s">
        <v>13</v>
      </c>
    </row>
    <row r="282" spans="1:12" x14ac:dyDescent="0.3">
      <c r="A282">
        <v>72</v>
      </c>
      <c r="B282">
        <v>2021</v>
      </c>
      <c r="C282">
        <v>0.85</v>
      </c>
      <c r="D282">
        <v>0.55000000000000004</v>
      </c>
      <c r="E282">
        <v>0.97</v>
      </c>
      <c r="F282">
        <v>0.96</v>
      </c>
      <c r="G282">
        <v>0.54</v>
      </c>
      <c r="H282">
        <v>0.73</v>
      </c>
      <c r="I282">
        <v>398</v>
      </c>
      <c r="J282">
        <v>4</v>
      </c>
      <c r="K282">
        <v>0.78</v>
      </c>
      <c r="L282" t="s">
        <v>13</v>
      </c>
    </row>
    <row r="283" spans="1:12" x14ac:dyDescent="0.3">
      <c r="A283">
        <v>72</v>
      </c>
      <c r="B283">
        <v>2021</v>
      </c>
      <c r="C283">
        <v>0.82</v>
      </c>
      <c r="D283">
        <v>0.81</v>
      </c>
      <c r="E283">
        <v>0.71</v>
      </c>
      <c r="F283">
        <v>0.97</v>
      </c>
      <c r="G283">
        <v>0.35</v>
      </c>
      <c r="H283">
        <v>0.8</v>
      </c>
      <c r="I283">
        <v>57</v>
      </c>
      <c r="J283">
        <v>8</v>
      </c>
      <c r="K283">
        <v>0.77</v>
      </c>
      <c r="L283" t="s">
        <v>13</v>
      </c>
    </row>
    <row r="284" spans="1:12" x14ac:dyDescent="0.3">
      <c r="A284">
        <v>73</v>
      </c>
      <c r="B284">
        <v>2021</v>
      </c>
      <c r="C284">
        <v>0.59</v>
      </c>
      <c r="D284">
        <v>0.82</v>
      </c>
      <c r="E284">
        <v>0.8</v>
      </c>
      <c r="F284">
        <v>0.78</v>
      </c>
      <c r="G284">
        <v>0.35</v>
      </c>
      <c r="H284">
        <v>0.08</v>
      </c>
      <c r="I284">
        <v>157</v>
      </c>
      <c r="J284">
        <v>11</v>
      </c>
      <c r="K284">
        <v>0.69</v>
      </c>
      <c r="L284" t="s">
        <v>12</v>
      </c>
    </row>
    <row r="285" spans="1:12" x14ac:dyDescent="0.3">
      <c r="A285">
        <v>73</v>
      </c>
      <c r="B285">
        <v>2021</v>
      </c>
      <c r="C285">
        <v>0.65</v>
      </c>
      <c r="D285">
        <v>0.77</v>
      </c>
      <c r="E285">
        <v>0.77</v>
      </c>
      <c r="F285">
        <v>0.9</v>
      </c>
      <c r="G285">
        <v>0.79</v>
      </c>
      <c r="H285">
        <v>0.53</v>
      </c>
      <c r="I285">
        <v>183</v>
      </c>
      <c r="J285">
        <v>5</v>
      </c>
      <c r="K285">
        <v>0.76</v>
      </c>
      <c r="L285" t="s">
        <v>13</v>
      </c>
    </row>
    <row r="286" spans="1:12" x14ac:dyDescent="0.3">
      <c r="A286">
        <v>73</v>
      </c>
      <c r="B286">
        <v>2021</v>
      </c>
      <c r="C286">
        <v>0.76</v>
      </c>
      <c r="D286">
        <v>0.73</v>
      </c>
      <c r="E286">
        <v>0.6</v>
      </c>
      <c r="F286">
        <v>0.74</v>
      </c>
      <c r="G286">
        <v>0.72</v>
      </c>
      <c r="H286">
        <v>0.92</v>
      </c>
      <c r="I286">
        <v>250</v>
      </c>
      <c r="J286">
        <v>16</v>
      </c>
      <c r="K286">
        <v>0.71</v>
      </c>
      <c r="L286" t="s">
        <v>13</v>
      </c>
    </row>
    <row r="287" spans="1:12" x14ac:dyDescent="0.3">
      <c r="A287">
        <v>74</v>
      </c>
      <c r="B287">
        <v>2021</v>
      </c>
      <c r="C287">
        <v>0.32</v>
      </c>
      <c r="D287">
        <v>0.46</v>
      </c>
      <c r="E287">
        <v>0.84</v>
      </c>
      <c r="F287">
        <v>0.77</v>
      </c>
      <c r="G287">
        <v>0.91</v>
      </c>
      <c r="H287">
        <v>0.69</v>
      </c>
      <c r="I287">
        <v>353</v>
      </c>
      <c r="J287">
        <v>18</v>
      </c>
      <c r="K287">
        <v>0.59</v>
      </c>
      <c r="L287" t="s">
        <v>12</v>
      </c>
    </row>
    <row r="288" spans="1:12" x14ac:dyDescent="0.3">
      <c r="A288">
        <v>74</v>
      </c>
      <c r="B288">
        <v>2021</v>
      </c>
      <c r="C288">
        <v>0.7</v>
      </c>
      <c r="D288">
        <v>0.67</v>
      </c>
      <c r="E288">
        <v>0.72</v>
      </c>
      <c r="F288">
        <v>0.64</v>
      </c>
      <c r="G288">
        <v>0.4</v>
      </c>
      <c r="H288">
        <v>0.82</v>
      </c>
      <c r="I288">
        <v>74</v>
      </c>
      <c r="J288">
        <v>11</v>
      </c>
      <c r="K288">
        <v>0.66</v>
      </c>
      <c r="L288" t="s">
        <v>12</v>
      </c>
    </row>
    <row r="289" spans="1:12" x14ac:dyDescent="0.3">
      <c r="A289">
        <v>75</v>
      </c>
      <c r="B289">
        <v>2021</v>
      </c>
      <c r="C289">
        <v>0.7</v>
      </c>
      <c r="D289">
        <v>0.44</v>
      </c>
      <c r="E289">
        <v>0.55000000000000004</v>
      </c>
      <c r="F289">
        <v>1</v>
      </c>
      <c r="G289">
        <v>0.53</v>
      </c>
      <c r="H289">
        <v>0.75</v>
      </c>
      <c r="I289">
        <v>110</v>
      </c>
      <c r="J289">
        <v>9</v>
      </c>
      <c r="K289">
        <v>0.63</v>
      </c>
      <c r="L289" t="s">
        <v>12</v>
      </c>
    </row>
    <row r="290" spans="1:12" x14ac:dyDescent="0.3">
      <c r="A290">
        <v>75</v>
      </c>
      <c r="B290">
        <v>2021</v>
      </c>
      <c r="C290">
        <v>0.87</v>
      </c>
      <c r="D290">
        <v>0.45</v>
      </c>
      <c r="E290">
        <v>0.82</v>
      </c>
      <c r="F290">
        <v>0.97</v>
      </c>
      <c r="G290">
        <v>0.45</v>
      </c>
      <c r="H290">
        <v>0.67</v>
      </c>
      <c r="I290">
        <v>319</v>
      </c>
      <c r="J290">
        <v>15</v>
      </c>
      <c r="K290">
        <v>0.73</v>
      </c>
      <c r="L290" t="s">
        <v>13</v>
      </c>
    </row>
    <row r="291" spans="1:12" x14ac:dyDescent="0.3">
      <c r="A291">
        <v>75</v>
      </c>
      <c r="B291">
        <v>2021</v>
      </c>
      <c r="C291">
        <v>0.49</v>
      </c>
      <c r="D291">
        <v>0.79</v>
      </c>
      <c r="E291">
        <v>0.56999999999999995</v>
      </c>
      <c r="F291">
        <v>0.81</v>
      </c>
      <c r="G291">
        <v>0.84</v>
      </c>
      <c r="H291">
        <v>0.16</v>
      </c>
      <c r="I291">
        <v>238</v>
      </c>
      <c r="J291">
        <v>2</v>
      </c>
      <c r="K291">
        <v>0.66</v>
      </c>
      <c r="L291" t="s">
        <v>12</v>
      </c>
    </row>
    <row r="292" spans="1:12" x14ac:dyDescent="0.3">
      <c r="A292">
        <v>76</v>
      </c>
      <c r="B292">
        <v>2021</v>
      </c>
      <c r="C292">
        <v>0.6</v>
      </c>
      <c r="D292">
        <v>0.55000000000000004</v>
      </c>
      <c r="E292">
        <v>0.81</v>
      </c>
      <c r="F292">
        <v>0.88</v>
      </c>
      <c r="G292">
        <v>0.42</v>
      </c>
      <c r="H292">
        <v>0.17</v>
      </c>
      <c r="I292">
        <v>170</v>
      </c>
      <c r="J292">
        <v>10</v>
      </c>
      <c r="K292">
        <v>0.65</v>
      </c>
      <c r="L292" t="s">
        <v>12</v>
      </c>
    </row>
    <row r="293" spans="1:12" x14ac:dyDescent="0.3">
      <c r="A293">
        <v>76</v>
      </c>
      <c r="B293">
        <v>2021</v>
      </c>
      <c r="C293">
        <v>0.52</v>
      </c>
      <c r="D293">
        <v>0.4</v>
      </c>
      <c r="E293">
        <v>0.76</v>
      </c>
      <c r="F293">
        <v>0.62</v>
      </c>
      <c r="G293">
        <v>0.49</v>
      </c>
      <c r="H293">
        <v>0.71</v>
      </c>
      <c r="I293">
        <v>392</v>
      </c>
      <c r="J293">
        <v>17</v>
      </c>
      <c r="K293">
        <v>0.55000000000000004</v>
      </c>
      <c r="L293" t="s">
        <v>12</v>
      </c>
    </row>
    <row r="294" spans="1:12" x14ac:dyDescent="0.3">
      <c r="A294">
        <v>76</v>
      </c>
      <c r="B294">
        <v>2021</v>
      </c>
      <c r="C294">
        <v>0.6</v>
      </c>
      <c r="D294">
        <v>0.42</v>
      </c>
      <c r="E294">
        <v>0.63</v>
      </c>
      <c r="F294">
        <v>0.61</v>
      </c>
      <c r="G294">
        <v>0.92</v>
      </c>
      <c r="H294">
        <v>0.24</v>
      </c>
      <c r="I294">
        <v>54</v>
      </c>
      <c r="J294">
        <v>13</v>
      </c>
      <c r="K294">
        <v>0.59</v>
      </c>
      <c r="L294" t="s">
        <v>12</v>
      </c>
    </row>
    <row r="295" spans="1:12" x14ac:dyDescent="0.3">
      <c r="A295">
        <v>76</v>
      </c>
      <c r="B295">
        <v>2021</v>
      </c>
      <c r="C295">
        <v>0.59</v>
      </c>
      <c r="D295">
        <v>0.43</v>
      </c>
      <c r="E295">
        <v>0.52</v>
      </c>
      <c r="F295">
        <v>0.83</v>
      </c>
      <c r="G295">
        <v>0.57999999999999996</v>
      </c>
      <c r="H295">
        <v>0.03</v>
      </c>
      <c r="I295">
        <v>395</v>
      </c>
      <c r="J295">
        <v>15</v>
      </c>
      <c r="K295">
        <v>0.56999999999999995</v>
      </c>
      <c r="L295" t="s">
        <v>12</v>
      </c>
    </row>
    <row r="296" spans="1:12" x14ac:dyDescent="0.3">
      <c r="A296">
        <v>76</v>
      </c>
      <c r="B296">
        <v>2021</v>
      </c>
      <c r="C296">
        <v>0.88</v>
      </c>
      <c r="D296">
        <v>0.69</v>
      </c>
      <c r="E296">
        <v>0.77</v>
      </c>
      <c r="F296">
        <v>0.72</v>
      </c>
      <c r="G296">
        <v>0.43</v>
      </c>
      <c r="H296">
        <v>0.09</v>
      </c>
      <c r="I296">
        <v>315</v>
      </c>
      <c r="J296">
        <v>7</v>
      </c>
      <c r="K296">
        <v>0.74</v>
      </c>
      <c r="L296" t="s">
        <v>13</v>
      </c>
    </row>
    <row r="297" spans="1:12" x14ac:dyDescent="0.3">
      <c r="A297">
        <v>76</v>
      </c>
      <c r="B297">
        <v>2021</v>
      </c>
      <c r="C297">
        <v>0.4</v>
      </c>
      <c r="D297">
        <v>0.46</v>
      </c>
      <c r="E297">
        <v>0.56000000000000005</v>
      </c>
      <c r="F297">
        <v>0.64</v>
      </c>
      <c r="G297">
        <v>0.73</v>
      </c>
      <c r="H297">
        <v>0.2</v>
      </c>
      <c r="I297">
        <v>383</v>
      </c>
      <c r="J297">
        <v>9</v>
      </c>
      <c r="K297">
        <v>0.52</v>
      </c>
      <c r="L297" t="s">
        <v>12</v>
      </c>
    </row>
    <row r="298" spans="1:12" x14ac:dyDescent="0.3">
      <c r="A298">
        <v>76</v>
      </c>
      <c r="B298">
        <v>2021</v>
      </c>
      <c r="C298">
        <v>0.77</v>
      </c>
      <c r="D298">
        <v>0.66</v>
      </c>
      <c r="E298">
        <v>0.91</v>
      </c>
      <c r="F298">
        <v>0.68</v>
      </c>
      <c r="G298">
        <v>0.44</v>
      </c>
      <c r="H298">
        <v>0.65</v>
      </c>
      <c r="I298">
        <v>105</v>
      </c>
      <c r="J298">
        <v>15</v>
      </c>
      <c r="K298">
        <v>0.72</v>
      </c>
      <c r="L298" t="s">
        <v>13</v>
      </c>
    </row>
    <row r="299" spans="1:12" x14ac:dyDescent="0.3">
      <c r="A299">
        <v>76</v>
      </c>
      <c r="B299">
        <v>2021</v>
      </c>
      <c r="C299">
        <v>0.68</v>
      </c>
      <c r="D299">
        <v>0.52</v>
      </c>
      <c r="E299">
        <v>0.88</v>
      </c>
      <c r="F299">
        <v>0.92</v>
      </c>
      <c r="G299">
        <v>0.69</v>
      </c>
      <c r="H299">
        <v>0.49</v>
      </c>
      <c r="I299">
        <v>435</v>
      </c>
      <c r="J299">
        <v>16</v>
      </c>
      <c r="K299">
        <v>0.72</v>
      </c>
      <c r="L299" t="s">
        <v>13</v>
      </c>
    </row>
    <row r="300" spans="1:12" x14ac:dyDescent="0.3">
      <c r="A300">
        <v>76</v>
      </c>
      <c r="B300">
        <v>2021</v>
      </c>
      <c r="C300">
        <v>1</v>
      </c>
      <c r="D300">
        <v>0.47</v>
      </c>
      <c r="E300">
        <v>0.92</v>
      </c>
      <c r="F300">
        <v>0.8</v>
      </c>
      <c r="G300">
        <v>0.56999999999999995</v>
      </c>
      <c r="H300">
        <v>0.61</v>
      </c>
      <c r="I300">
        <v>87</v>
      </c>
      <c r="J300">
        <v>5</v>
      </c>
      <c r="K300">
        <v>0.78</v>
      </c>
      <c r="L300" t="s">
        <v>13</v>
      </c>
    </row>
    <row r="301" spans="1:12" x14ac:dyDescent="0.3">
      <c r="A301">
        <v>76</v>
      </c>
      <c r="B301">
        <v>2021</v>
      </c>
      <c r="C301">
        <v>0.38</v>
      </c>
      <c r="D301">
        <v>0.49</v>
      </c>
      <c r="E301">
        <v>0.83</v>
      </c>
      <c r="F301">
        <v>0.86</v>
      </c>
      <c r="G301">
        <v>0.89</v>
      </c>
      <c r="H301">
        <v>0.75</v>
      </c>
      <c r="I301">
        <v>251</v>
      </c>
      <c r="J301">
        <v>10</v>
      </c>
      <c r="K301">
        <v>0.62</v>
      </c>
      <c r="L301" t="s">
        <v>12</v>
      </c>
    </row>
    <row r="302" spans="1:12" x14ac:dyDescent="0.3">
      <c r="A302">
        <v>77</v>
      </c>
      <c r="B302">
        <v>2021</v>
      </c>
      <c r="C302">
        <v>0.63</v>
      </c>
      <c r="D302">
        <v>0.65</v>
      </c>
      <c r="E302">
        <v>0.64</v>
      </c>
      <c r="F302">
        <v>0.62</v>
      </c>
      <c r="G302">
        <v>0.91</v>
      </c>
      <c r="H302">
        <v>0.81</v>
      </c>
      <c r="I302">
        <v>400</v>
      </c>
      <c r="J302">
        <v>4</v>
      </c>
      <c r="K302">
        <v>0.66</v>
      </c>
      <c r="L302" t="s">
        <v>12</v>
      </c>
    </row>
    <row r="303" spans="1:12" x14ac:dyDescent="0.3">
      <c r="A303">
        <v>77</v>
      </c>
      <c r="B303">
        <v>2021</v>
      </c>
      <c r="C303">
        <v>0.76</v>
      </c>
      <c r="D303">
        <v>0.55000000000000004</v>
      </c>
      <c r="E303">
        <v>0.83</v>
      </c>
      <c r="F303">
        <v>0.68</v>
      </c>
      <c r="G303">
        <v>0.39</v>
      </c>
      <c r="H303">
        <v>0.7</v>
      </c>
      <c r="I303">
        <v>332</v>
      </c>
      <c r="J303">
        <v>8</v>
      </c>
      <c r="K303">
        <v>0.67</v>
      </c>
      <c r="L303" t="s">
        <v>12</v>
      </c>
    </row>
    <row r="304" spans="1:12" x14ac:dyDescent="0.3">
      <c r="A304">
        <v>77</v>
      </c>
      <c r="B304">
        <v>2021</v>
      </c>
      <c r="C304">
        <v>0.59</v>
      </c>
      <c r="D304">
        <v>0.87</v>
      </c>
      <c r="E304">
        <v>0.87</v>
      </c>
      <c r="F304">
        <v>0.83</v>
      </c>
      <c r="G304">
        <v>0.88</v>
      </c>
      <c r="H304">
        <v>0.56000000000000005</v>
      </c>
      <c r="I304">
        <v>263</v>
      </c>
      <c r="J304">
        <v>4</v>
      </c>
      <c r="K304">
        <v>0.78</v>
      </c>
      <c r="L304" t="s">
        <v>13</v>
      </c>
    </row>
    <row r="305" spans="1:12" x14ac:dyDescent="0.3">
      <c r="A305">
        <v>77</v>
      </c>
      <c r="B305">
        <v>2021</v>
      </c>
      <c r="C305">
        <v>0.73</v>
      </c>
      <c r="D305">
        <v>0.54</v>
      </c>
      <c r="E305">
        <v>0.78</v>
      </c>
      <c r="F305">
        <v>0.98</v>
      </c>
      <c r="G305">
        <v>0.92</v>
      </c>
      <c r="H305">
        <v>0.4</v>
      </c>
      <c r="I305">
        <v>292</v>
      </c>
      <c r="J305">
        <v>0</v>
      </c>
      <c r="K305">
        <v>0.75</v>
      </c>
      <c r="L305" t="s">
        <v>13</v>
      </c>
    </row>
    <row r="306" spans="1:12" x14ac:dyDescent="0.3">
      <c r="A306">
        <v>77</v>
      </c>
      <c r="B306">
        <v>2021</v>
      </c>
      <c r="C306">
        <v>0.38</v>
      </c>
      <c r="D306">
        <v>0.82</v>
      </c>
      <c r="E306">
        <v>0.6</v>
      </c>
      <c r="F306">
        <v>0.97</v>
      </c>
      <c r="G306">
        <v>0.45</v>
      </c>
      <c r="H306">
        <v>0.26</v>
      </c>
      <c r="I306">
        <v>195</v>
      </c>
      <c r="J306">
        <v>17</v>
      </c>
      <c r="K306">
        <v>0.63</v>
      </c>
      <c r="L306" t="s">
        <v>12</v>
      </c>
    </row>
    <row r="307" spans="1:12" x14ac:dyDescent="0.3">
      <c r="A307">
        <v>78</v>
      </c>
      <c r="B307">
        <v>2021</v>
      </c>
      <c r="C307">
        <v>0.75</v>
      </c>
      <c r="D307">
        <v>0.72</v>
      </c>
      <c r="E307">
        <v>0.52</v>
      </c>
      <c r="F307">
        <v>0.99</v>
      </c>
      <c r="G307">
        <v>0.86</v>
      </c>
      <c r="H307">
        <v>0.28999999999999998</v>
      </c>
      <c r="I307">
        <v>307</v>
      </c>
      <c r="J307">
        <v>12</v>
      </c>
      <c r="K307">
        <v>0.74</v>
      </c>
      <c r="L307" t="s">
        <v>13</v>
      </c>
    </row>
    <row r="308" spans="1:12" x14ac:dyDescent="0.3">
      <c r="A308">
        <v>78</v>
      </c>
      <c r="B308">
        <v>2021</v>
      </c>
      <c r="C308">
        <v>0.97</v>
      </c>
      <c r="D308">
        <v>0.62</v>
      </c>
      <c r="E308">
        <v>0.66</v>
      </c>
      <c r="F308">
        <v>0.66</v>
      </c>
      <c r="G308">
        <v>0.51</v>
      </c>
      <c r="H308">
        <v>0.88</v>
      </c>
      <c r="I308">
        <v>150</v>
      </c>
      <c r="J308">
        <v>3</v>
      </c>
      <c r="K308">
        <v>0.73</v>
      </c>
      <c r="L308" t="s">
        <v>13</v>
      </c>
    </row>
    <row r="309" spans="1:12" x14ac:dyDescent="0.3">
      <c r="A309">
        <v>78</v>
      </c>
      <c r="B309">
        <v>2021</v>
      </c>
      <c r="C309">
        <v>0.73</v>
      </c>
      <c r="D309">
        <v>0.56999999999999995</v>
      </c>
      <c r="E309">
        <v>0.59</v>
      </c>
      <c r="F309">
        <v>0.75</v>
      </c>
      <c r="G309">
        <v>0.86</v>
      </c>
      <c r="H309">
        <v>0.39</v>
      </c>
      <c r="I309">
        <v>188</v>
      </c>
      <c r="J309">
        <v>6</v>
      </c>
      <c r="K309">
        <v>0.68</v>
      </c>
      <c r="L309" t="s">
        <v>12</v>
      </c>
    </row>
    <row r="310" spans="1:12" x14ac:dyDescent="0.3">
      <c r="A310">
        <v>78</v>
      </c>
      <c r="B310">
        <v>2021</v>
      </c>
      <c r="C310">
        <v>0.42</v>
      </c>
      <c r="D310">
        <v>0.44</v>
      </c>
      <c r="E310">
        <v>0.85</v>
      </c>
      <c r="F310">
        <v>0.89</v>
      </c>
      <c r="G310">
        <v>0.33</v>
      </c>
      <c r="H310">
        <v>0.93</v>
      </c>
      <c r="I310">
        <v>92</v>
      </c>
      <c r="J310">
        <v>13</v>
      </c>
      <c r="K310">
        <v>0.56999999999999995</v>
      </c>
      <c r="L310" t="s">
        <v>12</v>
      </c>
    </row>
    <row r="311" spans="1:12" x14ac:dyDescent="0.3">
      <c r="A311">
        <v>78</v>
      </c>
      <c r="B311">
        <v>2021</v>
      </c>
      <c r="C311">
        <v>0.48</v>
      </c>
      <c r="D311">
        <v>0.83</v>
      </c>
      <c r="E311">
        <v>0.51</v>
      </c>
      <c r="F311">
        <v>0.75</v>
      </c>
      <c r="G311">
        <v>0.74</v>
      </c>
      <c r="H311">
        <v>0.15</v>
      </c>
      <c r="I311">
        <v>221</v>
      </c>
      <c r="J311">
        <v>6</v>
      </c>
      <c r="K311">
        <v>0.64</v>
      </c>
      <c r="L311" t="s">
        <v>12</v>
      </c>
    </row>
    <row r="312" spans="1:12" x14ac:dyDescent="0.3">
      <c r="A312">
        <v>78</v>
      </c>
      <c r="B312">
        <v>2021</v>
      </c>
      <c r="C312">
        <v>0.7</v>
      </c>
      <c r="D312">
        <v>0.66</v>
      </c>
      <c r="E312">
        <v>0.53</v>
      </c>
      <c r="F312">
        <v>0.79</v>
      </c>
      <c r="G312">
        <v>0.87</v>
      </c>
      <c r="H312">
        <v>0.61</v>
      </c>
      <c r="I312">
        <v>356</v>
      </c>
      <c r="J312">
        <v>15</v>
      </c>
      <c r="K312">
        <v>0.69</v>
      </c>
      <c r="L312" t="s">
        <v>12</v>
      </c>
    </row>
    <row r="313" spans="1:12" x14ac:dyDescent="0.3">
      <c r="A313">
        <v>78</v>
      </c>
      <c r="B313">
        <v>2021</v>
      </c>
      <c r="C313">
        <v>0.6</v>
      </c>
      <c r="D313">
        <v>0.44</v>
      </c>
      <c r="E313">
        <v>0.89</v>
      </c>
      <c r="F313">
        <v>0.75</v>
      </c>
      <c r="G313">
        <v>0.37</v>
      </c>
      <c r="H313">
        <v>0.63</v>
      </c>
      <c r="I313">
        <v>463</v>
      </c>
      <c r="J313">
        <v>18</v>
      </c>
      <c r="K313">
        <v>0.62</v>
      </c>
      <c r="L313" t="s">
        <v>12</v>
      </c>
    </row>
    <row r="314" spans="1:12" x14ac:dyDescent="0.3">
      <c r="A314">
        <v>79</v>
      </c>
      <c r="B314">
        <v>2021</v>
      </c>
      <c r="C314">
        <v>0.6</v>
      </c>
      <c r="D314">
        <v>0.59</v>
      </c>
      <c r="E314">
        <v>0.79</v>
      </c>
      <c r="F314">
        <v>0.75</v>
      </c>
      <c r="G314">
        <v>0.72</v>
      </c>
      <c r="H314">
        <v>0.71</v>
      </c>
      <c r="I314">
        <v>466</v>
      </c>
      <c r="J314">
        <v>6</v>
      </c>
      <c r="K314">
        <v>0.67</v>
      </c>
      <c r="L314" t="s">
        <v>12</v>
      </c>
    </row>
    <row r="315" spans="1:12" x14ac:dyDescent="0.3">
      <c r="A315">
        <v>79</v>
      </c>
      <c r="B315">
        <v>2021</v>
      </c>
      <c r="C315">
        <v>0.36</v>
      </c>
      <c r="D315">
        <v>0.52</v>
      </c>
      <c r="E315">
        <v>0.74</v>
      </c>
      <c r="F315">
        <v>0.74</v>
      </c>
      <c r="G315">
        <v>0.55000000000000004</v>
      </c>
      <c r="H315">
        <v>0.53</v>
      </c>
      <c r="I315">
        <v>207</v>
      </c>
      <c r="J315">
        <v>18</v>
      </c>
      <c r="K315">
        <v>0.55000000000000004</v>
      </c>
      <c r="L315" t="s">
        <v>12</v>
      </c>
    </row>
    <row r="316" spans="1:12" x14ac:dyDescent="0.3">
      <c r="A316">
        <v>79</v>
      </c>
      <c r="B316">
        <v>2021</v>
      </c>
      <c r="C316">
        <v>0.74</v>
      </c>
      <c r="D316">
        <v>0.41</v>
      </c>
      <c r="E316">
        <v>0.77</v>
      </c>
      <c r="F316">
        <v>0.64</v>
      </c>
      <c r="G316">
        <v>0.32</v>
      </c>
      <c r="H316">
        <v>0.79</v>
      </c>
      <c r="I316">
        <v>198</v>
      </c>
      <c r="J316">
        <v>7</v>
      </c>
      <c r="K316">
        <v>0.61</v>
      </c>
      <c r="L316" t="s">
        <v>12</v>
      </c>
    </row>
    <row r="317" spans="1:12" x14ac:dyDescent="0.3">
      <c r="A317">
        <v>79</v>
      </c>
      <c r="B317">
        <v>2021</v>
      </c>
      <c r="C317">
        <v>0.99</v>
      </c>
      <c r="D317">
        <v>0.44</v>
      </c>
      <c r="E317">
        <v>0.95</v>
      </c>
      <c r="F317">
        <v>0.93</v>
      </c>
      <c r="G317">
        <v>0.52</v>
      </c>
      <c r="H317">
        <v>0.97</v>
      </c>
      <c r="I317">
        <v>177</v>
      </c>
      <c r="J317">
        <v>15</v>
      </c>
      <c r="K317">
        <v>0.79</v>
      </c>
      <c r="L317" t="s">
        <v>13</v>
      </c>
    </row>
    <row r="318" spans="1:12" x14ac:dyDescent="0.3">
      <c r="A318">
        <v>79</v>
      </c>
      <c r="B318">
        <v>2021</v>
      </c>
      <c r="C318">
        <v>0.65</v>
      </c>
      <c r="D318">
        <v>0.62</v>
      </c>
      <c r="E318">
        <v>0.59</v>
      </c>
      <c r="F318">
        <v>0.95</v>
      </c>
      <c r="G318">
        <v>0.57999999999999996</v>
      </c>
      <c r="H318">
        <v>0.92</v>
      </c>
      <c r="I318">
        <v>70</v>
      </c>
      <c r="J318">
        <v>7</v>
      </c>
      <c r="K318">
        <v>0.67</v>
      </c>
      <c r="L318" t="s">
        <v>12</v>
      </c>
    </row>
    <row r="319" spans="1:12" x14ac:dyDescent="0.3">
      <c r="A319">
        <v>79</v>
      </c>
      <c r="B319">
        <v>2021</v>
      </c>
      <c r="C319">
        <v>0.65</v>
      </c>
      <c r="D319">
        <v>0.96</v>
      </c>
      <c r="E319">
        <v>0.5</v>
      </c>
      <c r="F319">
        <v>0.96</v>
      </c>
      <c r="G319">
        <v>0.52</v>
      </c>
      <c r="H319">
        <v>0.31</v>
      </c>
      <c r="I319">
        <v>108</v>
      </c>
      <c r="J319">
        <v>5</v>
      </c>
      <c r="K319">
        <v>0.73</v>
      </c>
      <c r="L319" t="s">
        <v>13</v>
      </c>
    </row>
    <row r="320" spans="1:12" x14ac:dyDescent="0.3">
      <c r="A320">
        <v>80</v>
      </c>
      <c r="B320">
        <v>2021</v>
      </c>
      <c r="C320">
        <v>0.61</v>
      </c>
      <c r="D320">
        <v>0.43</v>
      </c>
      <c r="E320">
        <v>0.77</v>
      </c>
      <c r="F320">
        <v>0.74</v>
      </c>
      <c r="G320">
        <v>0.63</v>
      </c>
      <c r="H320">
        <v>0.61</v>
      </c>
      <c r="I320">
        <v>488</v>
      </c>
      <c r="J320">
        <v>13</v>
      </c>
      <c r="K320">
        <v>0.62</v>
      </c>
      <c r="L320" t="s">
        <v>12</v>
      </c>
    </row>
    <row r="321" spans="1:12" x14ac:dyDescent="0.3">
      <c r="A321">
        <v>81</v>
      </c>
      <c r="B321">
        <v>2021</v>
      </c>
      <c r="C321">
        <v>0.67</v>
      </c>
      <c r="D321">
        <v>0.81</v>
      </c>
      <c r="E321">
        <v>0.84</v>
      </c>
      <c r="F321">
        <v>0.7</v>
      </c>
      <c r="G321">
        <v>0.71</v>
      </c>
      <c r="H321">
        <v>0.8</v>
      </c>
      <c r="I321">
        <v>232</v>
      </c>
      <c r="J321">
        <v>17</v>
      </c>
      <c r="K321">
        <v>0.75</v>
      </c>
      <c r="L321" t="s">
        <v>13</v>
      </c>
    </row>
    <row r="322" spans="1:12" x14ac:dyDescent="0.3">
      <c r="A322">
        <v>82</v>
      </c>
      <c r="B322">
        <v>2021</v>
      </c>
      <c r="C322">
        <v>0.41</v>
      </c>
      <c r="D322">
        <v>0.89</v>
      </c>
      <c r="E322">
        <v>0.61</v>
      </c>
      <c r="F322">
        <v>0.69</v>
      </c>
      <c r="G322">
        <v>0.68</v>
      </c>
      <c r="H322">
        <v>0.59</v>
      </c>
      <c r="I322">
        <v>447</v>
      </c>
      <c r="J322">
        <v>4</v>
      </c>
      <c r="K322">
        <v>0.64</v>
      </c>
      <c r="L322" t="s">
        <v>12</v>
      </c>
    </row>
    <row r="323" spans="1:12" x14ac:dyDescent="0.3">
      <c r="A323">
        <v>82</v>
      </c>
      <c r="B323">
        <v>2021</v>
      </c>
      <c r="C323">
        <v>0.37</v>
      </c>
      <c r="D323">
        <v>0.75</v>
      </c>
      <c r="E323">
        <v>0.74</v>
      </c>
      <c r="F323">
        <v>0.81</v>
      </c>
      <c r="G323">
        <v>0.77</v>
      </c>
      <c r="H323">
        <v>0.27</v>
      </c>
      <c r="I323">
        <v>374</v>
      </c>
      <c r="J323">
        <v>6</v>
      </c>
      <c r="K323">
        <v>0.64</v>
      </c>
      <c r="L323" t="s">
        <v>12</v>
      </c>
    </row>
    <row r="324" spans="1:12" x14ac:dyDescent="0.3">
      <c r="A324">
        <v>82</v>
      </c>
      <c r="B324">
        <v>2021</v>
      </c>
      <c r="C324">
        <v>0.86</v>
      </c>
      <c r="D324">
        <v>0.87</v>
      </c>
      <c r="E324">
        <v>0.62</v>
      </c>
      <c r="F324">
        <v>0.72</v>
      </c>
      <c r="G324">
        <v>0.96</v>
      </c>
      <c r="H324">
        <v>0.83</v>
      </c>
      <c r="I324">
        <v>435</v>
      </c>
      <c r="J324">
        <v>14</v>
      </c>
      <c r="K324">
        <v>0.8</v>
      </c>
      <c r="L324" t="s">
        <v>13</v>
      </c>
    </row>
    <row r="325" spans="1:12" x14ac:dyDescent="0.3">
      <c r="A325">
        <v>82</v>
      </c>
      <c r="B325">
        <v>2021</v>
      </c>
      <c r="C325">
        <v>0.37</v>
      </c>
      <c r="D325">
        <v>0.47</v>
      </c>
      <c r="E325">
        <v>0.79</v>
      </c>
      <c r="F325">
        <v>0.91</v>
      </c>
      <c r="G325">
        <v>0.56000000000000005</v>
      </c>
      <c r="H325">
        <v>0.98</v>
      </c>
      <c r="I325">
        <v>158</v>
      </c>
      <c r="J325">
        <v>4</v>
      </c>
      <c r="K325">
        <v>0.57999999999999996</v>
      </c>
      <c r="L325" t="s">
        <v>12</v>
      </c>
    </row>
    <row r="326" spans="1:12" x14ac:dyDescent="0.3">
      <c r="A326">
        <v>83</v>
      </c>
      <c r="B326">
        <v>2021</v>
      </c>
      <c r="C326">
        <v>0.91</v>
      </c>
      <c r="D326">
        <v>0.88</v>
      </c>
      <c r="E326">
        <v>0.79</v>
      </c>
      <c r="F326">
        <v>0.63</v>
      </c>
      <c r="G326">
        <v>0.49</v>
      </c>
      <c r="H326">
        <v>0.3</v>
      </c>
      <c r="I326">
        <v>469</v>
      </c>
      <c r="J326">
        <v>4</v>
      </c>
      <c r="K326">
        <v>0.79</v>
      </c>
      <c r="L326" t="s">
        <v>13</v>
      </c>
    </row>
    <row r="327" spans="1:12" x14ac:dyDescent="0.3">
      <c r="A327">
        <v>84</v>
      </c>
      <c r="B327">
        <v>2021</v>
      </c>
      <c r="C327">
        <v>0.35</v>
      </c>
      <c r="D327">
        <v>0.45</v>
      </c>
      <c r="E327">
        <v>0.68</v>
      </c>
      <c r="F327">
        <v>0.98</v>
      </c>
      <c r="G327">
        <v>0.77</v>
      </c>
      <c r="H327">
        <v>0.68</v>
      </c>
      <c r="I327">
        <v>499</v>
      </c>
      <c r="J327">
        <v>18</v>
      </c>
      <c r="K327">
        <v>0.57999999999999996</v>
      </c>
      <c r="L327" t="s">
        <v>12</v>
      </c>
    </row>
    <row r="328" spans="1:12" x14ac:dyDescent="0.3">
      <c r="A328">
        <v>84</v>
      </c>
      <c r="B328">
        <v>2021</v>
      </c>
      <c r="C328">
        <v>0.55000000000000004</v>
      </c>
      <c r="D328">
        <v>0.76</v>
      </c>
      <c r="E328">
        <v>0.78</v>
      </c>
      <c r="F328">
        <v>0.76</v>
      </c>
      <c r="G328">
        <v>0.6</v>
      </c>
      <c r="H328">
        <v>0.23</v>
      </c>
      <c r="I328">
        <v>233</v>
      </c>
      <c r="J328">
        <v>19</v>
      </c>
      <c r="K328">
        <v>0.68</v>
      </c>
      <c r="L328" t="s">
        <v>12</v>
      </c>
    </row>
    <row r="329" spans="1:12" x14ac:dyDescent="0.3">
      <c r="A329">
        <v>85</v>
      </c>
      <c r="B329">
        <v>2021</v>
      </c>
      <c r="C329">
        <v>0.6</v>
      </c>
      <c r="D329">
        <v>0.56000000000000005</v>
      </c>
      <c r="E329">
        <v>0.72</v>
      </c>
      <c r="F329">
        <v>0.89</v>
      </c>
      <c r="G329">
        <v>0.31</v>
      </c>
      <c r="H329">
        <v>0.59</v>
      </c>
      <c r="I329">
        <v>322</v>
      </c>
      <c r="J329">
        <v>10</v>
      </c>
      <c r="K329">
        <v>0.63</v>
      </c>
      <c r="L329" t="s">
        <v>12</v>
      </c>
    </row>
    <row r="330" spans="1:12" x14ac:dyDescent="0.3">
      <c r="A330">
        <v>85</v>
      </c>
      <c r="B330">
        <v>2021</v>
      </c>
      <c r="C330">
        <v>0.34</v>
      </c>
      <c r="D330">
        <v>0.69</v>
      </c>
      <c r="E330">
        <v>0.89</v>
      </c>
      <c r="F330">
        <v>0.66</v>
      </c>
      <c r="G330">
        <v>0.73</v>
      </c>
      <c r="H330">
        <v>0.24</v>
      </c>
      <c r="I330">
        <v>86</v>
      </c>
      <c r="J330">
        <v>8</v>
      </c>
      <c r="K330">
        <v>0.62</v>
      </c>
      <c r="L330" t="s">
        <v>12</v>
      </c>
    </row>
    <row r="331" spans="1:12" x14ac:dyDescent="0.3">
      <c r="A331">
        <v>86</v>
      </c>
      <c r="B331">
        <v>2021</v>
      </c>
      <c r="C331">
        <v>0.99</v>
      </c>
      <c r="D331">
        <v>0.78</v>
      </c>
      <c r="E331">
        <v>0.77</v>
      </c>
      <c r="F331">
        <v>0.94</v>
      </c>
      <c r="G331">
        <v>0.5</v>
      </c>
      <c r="H331">
        <v>0.43</v>
      </c>
      <c r="I331">
        <v>316</v>
      </c>
      <c r="J331">
        <v>13</v>
      </c>
      <c r="K331">
        <v>0.84</v>
      </c>
      <c r="L331" t="s">
        <v>13</v>
      </c>
    </row>
    <row r="332" spans="1:12" x14ac:dyDescent="0.3">
      <c r="A332">
        <v>86</v>
      </c>
      <c r="B332">
        <v>2021</v>
      </c>
      <c r="C332">
        <v>0.75</v>
      </c>
      <c r="D332">
        <v>0.85</v>
      </c>
      <c r="E332">
        <v>0.95</v>
      </c>
      <c r="F332">
        <v>0.95</v>
      </c>
      <c r="G332">
        <v>0.77</v>
      </c>
      <c r="H332">
        <v>0.21</v>
      </c>
      <c r="I332">
        <v>150</v>
      </c>
      <c r="J332">
        <v>1</v>
      </c>
      <c r="K332">
        <v>0.85</v>
      </c>
      <c r="L332" t="s">
        <v>13</v>
      </c>
    </row>
    <row r="333" spans="1:12" x14ac:dyDescent="0.3">
      <c r="A333">
        <v>86</v>
      </c>
      <c r="B333">
        <v>2021</v>
      </c>
      <c r="C333">
        <v>0.61</v>
      </c>
      <c r="D333">
        <v>0.57999999999999996</v>
      </c>
      <c r="E333">
        <v>0.73</v>
      </c>
      <c r="F333">
        <v>0.63</v>
      </c>
      <c r="G333">
        <v>0.86</v>
      </c>
      <c r="H333">
        <v>0.24</v>
      </c>
      <c r="I333">
        <v>365</v>
      </c>
      <c r="J333">
        <v>9</v>
      </c>
      <c r="K333">
        <v>0.65</v>
      </c>
      <c r="L333" t="s">
        <v>12</v>
      </c>
    </row>
    <row r="334" spans="1:12" x14ac:dyDescent="0.3">
      <c r="A334">
        <v>87</v>
      </c>
      <c r="B334">
        <v>2021</v>
      </c>
      <c r="C334">
        <v>0.94</v>
      </c>
      <c r="D334">
        <v>0.98</v>
      </c>
      <c r="E334">
        <v>0.53</v>
      </c>
      <c r="F334">
        <v>0.76</v>
      </c>
      <c r="G334">
        <v>0.37</v>
      </c>
      <c r="H334">
        <v>0.34</v>
      </c>
      <c r="I334">
        <v>171</v>
      </c>
      <c r="J334">
        <v>3</v>
      </c>
      <c r="K334">
        <v>0.78</v>
      </c>
      <c r="L334" t="s">
        <v>13</v>
      </c>
    </row>
    <row r="335" spans="1:12" x14ac:dyDescent="0.3">
      <c r="A335">
        <v>87</v>
      </c>
      <c r="B335">
        <v>2021</v>
      </c>
      <c r="C335">
        <v>0.64</v>
      </c>
      <c r="D335">
        <v>0.71</v>
      </c>
      <c r="E335">
        <v>0.87</v>
      </c>
      <c r="F335">
        <v>0.88</v>
      </c>
      <c r="G335">
        <v>0.57999999999999996</v>
      </c>
      <c r="H335">
        <v>0.22</v>
      </c>
      <c r="I335">
        <v>327</v>
      </c>
      <c r="J335">
        <v>10</v>
      </c>
      <c r="K335">
        <v>0.73</v>
      </c>
      <c r="L335" t="s">
        <v>13</v>
      </c>
    </row>
    <row r="336" spans="1:12" x14ac:dyDescent="0.3">
      <c r="A336">
        <v>87</v>
      </c>
      <c r="B336">
        <v>2021</v>
      </c>
      <c r="C336">
        <v>0.31</v>
      </c>
      <c r="D336">
        <v>0.74</v>
      </c>
      <c r="E336">
        <v>0.97</v>
      </c>
      <c r="F336">
        <v>0.87</v>
      </c>
      <c r="G336">
        <v>0.88</v>
      </c>
      <c r="H336">
        <v>0.01</v>
      </c>
      <c r="I336">
        <v>478</v>
      </c>
      <c r="J336">
        <v>19</v>
      </c>
      <c r="K336">
        <v>0.69</v>
      </c>
      <c r="L336" t="s">
        <v>12</v>
      </c>
    </row>
    <row r="337" spans="1:12" x14ac:dyDescent="0.3">
      <c r="A337">
        <v>87</v>
      </c>
      <c r="B337">
        <v>2021</v>
      </c>
      <c r="C337">
        <v>0.31</v>
      </c>
      <c r="D337">
        <v>0.41</v>
      </c>
      <c r="E337">
        <v>0.99</v>
      </c>
      <c r="F337">
        <v>0.69</v>
      </c>
      <c r="G337">
        <v>0.86</v>
      </c>
      <c r="H337">
        <v>0.06</v>
      </c>
      <c r="I337">
        <v>112</v>
      </c>
      <c r="J337">
        <v>0</v>
      </c>
      <c r="K337">
        <v>0.57999999999999996</v>
      </c>
      <c r="L337" t="s">
        <v>12</v>
      </c>
    </row>
    <row r="338" spans="1:12" x14ac:dyDescent="0.3">
      <c r="A338">
        <v>87</v>
      </c>
      <c r="B338">
        <v>2021</v>
      </c>
      <c r="C338">
        <v>0.62</v>
      </c>
      <c r="D338">
        <v>0.91</v>
      </c>
      <c r="E338">
        <v>0.88</v>
      </c>
      <c r="F338">
        <v>0.84</v>
      </c>
      <c r="G338">
        <v>0.54</v>
      </c>
      <c r="H338">
        <v>0.19</v>
      </c>
      <c r="I338">
        <v>259</v>
      </c>
      <c r="J338">
        <v>11</v>
      </c>
      <c r="K338">
        <v>0.77</v>
      </c>
      <c r="L338" t="s">
        <v>13</v>
      </c>
    </row>
    <row r="339" spans="1:12" x14ac:dyDescent="0.3">
      <c r="A339">
        <v>88</v>
      </c>
      <c r="B339">
        <v>2021</v>
      </c>
      <c r="C339">
        <v>0.56999999999999995</v>
      </c>
      <c r="D339">
        <v>0.88</v>
      </c>
      <c r="E339">
        <v>0.67</v>
      </c>
      <c r="F339">
        <v>0.78</v>
      </c>
      <c r="G339">
        <v>0.77</v>
      </c>
      <c r="H339">
        <v>0.51</v>
      </c>
      <c r="I339">
        <v>128</v>
      </c>
      <c r="J339">
        <v>17</v>
      </c>
      <c r="K339">
        <v>0.72</v>
      </c>
      <c r="L339" t="s">
        <v>13</v>
      </c>
    </row>
    <row r="340" spans="1:12" x14ac:dyDescent="0.3">
      <c r="A340">
        <v>88</v>
      </c>
      <c r="B340">
        <v>2021</v>
      </c>
      <c r="C340">
        <v>0.4</v>
      </c>
      <c r="D340">
        <v>0.65</v>
      </c>
      <c r="E340">
        <v>0.93</v>
      </c>
      <c r="F340">
        <v>0.97</v>
      </c>
      <c r="G340">
        <v>0.72</v>
      </c>
      <c r="H340">
        <v>0.14000000000000001</v>
      </c>
      <c r="I340">
        <v>431</v>
      </c>
      <c r="J340">
        <v>5</v>
      </c>
      <c r="K340">
        <v>0.69</v>
      </c>
      <c r="L340" t="s">
        <v>12</v>
      </c>
    </row>
    <row r="341" spans="1:12" x14ac:dyDescent="0.3">
      <c r="A341">
        <v>88</v>
      </c>
      <c r="B341">
        <v>2021</v>
      </c>
      <c r="C341">
        <v>0.32</v>
      </c>
      <c r="D341">
        <v>0.99</v>
      </c>
      <c r="E341">
        <v>0.99</v>
      </c>
      <c r="F341">
        <v>0.75</v>
      </c>
      <c r="G341">
        <v>0.32</v>
      </c>
      <c r="H341">
        <v>0.73</v>
      </c>
      <c r="I341">
        <v>246</v>
      </c>
      <c r="J341">
        <v>7</v>
      </c>
      <c r="K341">
        <v>0.69</v>
      </c>
      <c r="L341" t="s">
        <v>12</v>
      </c>
    </row>
    <row r="342" spans="1:12" x14ac:dyDescent="0.3">
      <c r="A342">
        <v>89</v>
      </c>
      <c r="B342">
        <v>2021</v>
      </c>
      <c r="C342">
        <v>0.67</v>
      </c>
      <c r="D342">
        <v>0.64</v>
      </c>
      <c r="E342">
        <v>0.52</v>
      </c>
      <c r="F342">
        <v>0.99</v>
      </c>
      <c r="G342">
        <v>0.46</v>
      </c>
      <c r="H342">
        <v>0.09</v>
      </c>
      <c r="I342">
        <v>495</v>
      </c>
      <c r="J342">
        <v>18</v>
      </c>
      <c r="K342">
        <v>0.66</v>
      </c>
      <c r="L342" t="s">
        <v>12</v>
      </c>
    </row>
    <row r="343" spans="1:12" x14ac:dyDescent="0.3">
      <c r="A343">
        <v>89</v>
      </c>
      <c r="B343">
        <v>2021</v>
      </c>
      <c r="C343">
        <v>0.94</v>
      </c>
      <c r="D343">
        <v>0.73</v>
      </c>
      <c r="E343">
        <v>0.68</v>
      </c>
      <c r="F343">
        <v>0.6</v>
      </c>
      <c r="G343">
        <v>0.34</v>
      </c>
      <c r="H343">
        <v>0.43</v>
      </c>
      <c r="I343">
        <v>309</v>
      </c>
      <c r="J343">
        <v>3</v>
      </c>
      <c r="K343">
        <v>0.72</v>
      </c>
      <c r="L343" t="s">
        <v>13</v>
      </c>
    </row>
    <row r="344" spans="1:12" x14ac:dyDescent="0.3">
      <c r="A344">
        <v>90</v>
      </c>
      <c r="B344">
        <v>2021</v>
      </c>
      <c r="C344">
        <v>0.47</v>
      </c>
      <c r="D344">
        <v>0.72</v>
      </c>
      <c r="E344">
        <v>0.83</v>
      </c>
      <c r="F344">
        <v>0.86</v>
      </c>
      <c r="G344">
        <v>0.69</v>
      </c>
      <c r="H344">
        <v>0.78</v>
      </c>
      <c r="I344">
        <v>66</v>
      </c>
      <c r="J344">
        <v>11</v>
      </c>
      <c r="K344">
        <v>0.68</v>
      </c>
      <c r="L344" t="s">
        <v>12</v>
      </c>
    </row>
    <row r="345" spans="1:12" x14ac:dyDescent="0.3">
      <c r="A345">
        <v>90</v>
      </c>
      <c r="B345">
        <v>2021</v>
      </c>
      <c r="C345">
        <v>0.88</v>
      </c>
      <c r="D345">
        <v>0.45</v>
      </c>
      <c r="E345">
        <v>0.74</v>
      </c>
      <c r="F345">
        <v>0.85</v>
      </c>
      <c r="G345">
        <v>0.88</v>
      </c>
      <c r="H345">
        <v>0.78</v>
      </c>
      <c r="I345">
        <v>230</v>
      </c>
      <c r="J345">
        <v>6</v>
      </c>
      <c r="K345">
        <v>0.74</v>
      </c>
      <c r="L345" t="s">
        <v>13</v>
      </c>
    </row>
    <row r="346" spans="1:12" x14ac:dyDescent="0.3">
      <c r="A346">
        <v>90</v>
      </c>
      <c r="B346">
        <v>2021</v>
      </c>
      <c r="C346">
        <v>0.78</v>
      </c>
      <c r="D346">
        <v>0.76</v>
      </c>
      <c r="E346">
        <v>0.55000000000000004</v>
      </c>
      <c r="F346">
        <v>0.8</v>
      </c>
      <c r="G346">
        <v>0.81</v>
      </c>
      <c r="H346">
        <v>0.99</v>
      </c>
      <c r="I346">
        <v>124</v>
      </c>
      <c r="J346">
        <v>6</v>
      </c>
      <c r="K346">
        <v>0.74</v>
      </c>
      <c r="L346" t="s">
        <v>13</v>
      </c>
    </row>
    <row r="347" spans="1:12" x14ac:dyDescent="0.3">
      <c r="A347">
        <v>90</v>
      </c>
      <c r="B347">
        <v>2021</v>
      </c>
      <c r="C347">
        <v>0.31</v>
      </c>
      <c r="D347">
        <v>0.55000000000000004</v>
      </c>
      <c r="E347">
        <v>0.7</v>
      </c>
      <c r="F347">
        <v>0.78</v>
      </c>
      <c r="G347">
        <v>0.51</v>
      </c>
      <c r="H347">
        <v>0.03</v>
      </c>
      <c r="I347">
        <v>286</v>
      </c>
      <c r="J347">
        <v>10</v>
      </c>
      <c r="K347">
        <v>0.54</v>
      </c>
      <c r="L347" t="s">
        <v>12</v>
      </c>
    </row>
    <row r="348" spans="1:12" x14ac:dyDescent="0.3">
      <c r="A348">
        <v>90</v>
      </c>
      <c r="B348">
        <v>2021</v>
      </c>
      <c r="C348">
        <v>0.66</v>
      </c>
      <c r="D348">
        <v>0.74</v>
      </c>
      <c r="E348">
        <v>0.75</v>
      </c>
      <c r="F348">
        <v>0.89</v>
      </c>
      <c r="G348">
        <v>0.56999999999999995</v>
      </c>
      <c r="H348">
        <v>0.94</v>
      </c>
      <c r="I348">
        <v>150</v>
      </c>
      <c r="J348">
        <v>15</v>
      </c>
      <c r="K348">
        <v>0.72</v>
      </c>
      <c r="L348" t="s">
        <v>13</v>
      </c>
    </row>
    <row r="349" spans="1:12" x14ac:dyDescent="0.3">
      <c r="A349">
        <v>91</v>
      </c>
      <c r="B349">
        <v>2021</v>
      </c>
      <c r="C349">
        <v>0.82</v>
      </c>
      <c r="D349">
        <v>0.65</v>
      </c>
      <c r="E349">
        <v>0.6</v>
      </c>
      <c r="F349">
        <v>0.81</v>
      </c>
      <c r="G349">
        <v>0.39</v>
      </c>
      <c r="H349">
        <v>0.44</v>
      </c>
      <c r="I349">
        <v>197</v>
      </c>
      <c r="J349">
        <v>4</v>
      </c>
      <c r="K349">
        <v>0.69</v>
      </c>
      <c r="L349" t="s">
        <v>12</v>
      </c>
    </row>
    <row r="350" spans="1:12" x14ac:dyDescent="0.3">
      <c r="A350">
        <v>91</v>
      </c>
      <c r="B350">
        <v>2021</v>
      </c>
      <c r="C350">
        <v>0.99</v>
      </c>
      <c r="D350">
        <v>0.64</v>
      </c>
      <c r="E350">
        <v>0.71</v>
      </c>
      <c r="F350">
        <v>0.67</v>
      </c>
      <c r="G350">
        <v>0.38</v>
      </c>
      <c r="H350">
        <v>0.57999999999999996</v>
      </c>
      <c r="I350">
        <v>89</v>
      </c>
      <c r="J350">
        <v>1</v>
      </c>
      <c r="K350">
        <v>0.74</v>
      </c>
      <c r="L350" t="s">
        <v>13</v>
      </c>
    </row>
    <row r="351" spans="1:12" x14ac:dyDescent="0.3">
      <c r="A351">
        <v>92</v>
      </c>
      <c r="B351">
        <v>2021</v>
      </c>
      <c r="C351">
        <v>0.79</v>
      </c>
      <c r="D351">
        <v>0.51</v>
      </c>
      <c r="E351">
        <v>0.66</v>
      </c>
      <c r="F351">
        <v>0.77</v>
      </c>
      <c r="G351">
        <v>0.94</v>
      </c>
      <c r="H351">
        <v>0.24</v>
      </c>
      <c r="I351">
        <v>439</v>
      </c>
      <c r="J351">
        <v>12</v>
      </c>
      <c r="K351">
        <v>0.71</v>
      </c>
      <c r="L351" t="s">
        <v>13</v>
      </c>
    </row>
    <row r="352" spans="1:12" x14ac:dyDescent="0.3">
      <c r="A352">
        <v>92</v>
      </c>
      <c r="B352">
        <v>2021</v>
      </c>
      <c r="C352">
        <v>0.61</v>
      </c>
      <c r="D352">
        <v>0.69</v>
      </c>
      <c r="E352">
        <v>0.68</v>
      </c>
      <c r="F352">
        <v>0.96</v>
      </c>
      <c r="G352">
        <v>0.7</v>
      </c>
      <c r="H352">
        <v>0.76</v>
      </c>
      <c r="I352">
        <v>226</v>
      </c>
      <c r="J352">
        <v>2</v>
      </c>
      <c r="K352">
        <v>0.71</v>
      </c>
      <c r="L352" t="s">
        <v>13</v>
      </c>
    </row>
    <row r="353" spans="1:12" x14ac:dyDescent="0.3">
      <c r="A353">
        <v>92</v>
      </c>
      <c r="B353">
        <v>2021</v>
      </c>
      <c r="C353">
        <v>0.59</v>
      </c>
      <c r="D353">
        <v>0.98</v>
      </c>
      <c r="E353">
        <v>0.85</v>
      </c>
      <c r="F353">
        <v>0.89</v>
      </c>
      <c r="G353">
        <v>0.69</v>
      </c>
      <c r="H353">
        <v>0.97</v>
      </c>
      <c r="I353">
        <v>498</v>
      </c>
      <c r="J353">
        <v>8</v>
      </c>
      <c r="K353">
        <v>0.79</v>
      </c>
      <c r="L353" t="s">
        <v>13</v>
      </c>
    </row>
    <row r="354" spans="1:12" x14ac:dyDescent="0.3">
      <c r="A354">
        <v>92</v>
      </c>
      <c r="B354">
        <v>2021</v>
      </c>
      <c r="C354">
        <v>0.67</v>
      </c>
      <c r="D354">
        <v>0.86</v>
      </c>
      <c r="E354">
        <v>0.88</v>
      </c>
      <c r="F354">
        <v>0.85</v>
      </c>
      <c r="G354">
        <v>0.85</v>
      </c>
      <c r="H354">
        <v>0.33</v>
      </c>
      <c r="I354">
        <v>470</v>
      </c>
      <c r="J354">
        <v>6</v>
      </c>
      <c r="K354">
        <v>0.8</v>
      </c>
      <c r="L354" t="s">
        <v>13</v>
      </c>
    </row>
    <row r="355" spans="1:12" x14ac:dyDescent="0.3">
      <c r="A355">
        <v>93</v>
      </c>
      <c r="B355">
        <v>2021</v>
      </c>
      <c r="C355">
        <v>0.88</v>
      </c>
      <c r="D355">
        <v>0.98</v>
      </c>
      <c r="E355">
        <v>0.89</v>
      </c>
      <c r="F355">
        <v>0.85</v>
      </c>
      <c r="G355">
        <v>0.72</v>
      </c>
      <c r="H355">
        <v>0.85</v>
      </c>
      <c r="I355">
        <v>176</v>
      </c>
      <c r="J355">
        <v>7</v>
      </c>
      <c r="K355">
        <v>0.89</v>
      </c>
      <c r="L355" t="s">
        <v>13</v>
      </c>
    </row>
    <row r="356" spans="1:12" x14ac:dyDescent="0.3">
      <c r="A356">
        <v>93</v>
      </c>
      <c r="B356">
        <v>2021</v>
      </c>
      <c r="C356">
        <v>0.95</v>
      </c>
      <c r="D356">
        <v>0.74</v>
      </c>
      <c r="E356">
        <v>0.68</v>
      </c>
      <c r="F356">
        <v>0.9</v>
      </c>
      <c r="G356">
        <v>0.48</v>
      </c>
      <c r="H356">
        <v>0.69</v>
      </c>
      <c r="I356">
        <v>460</v>
      </c>
      <c r="J356">
        <v>1</v>
      </c>
      <c r="K356">
        <v>0.79</v>
      </c>
      <c r="L356" t="s">
        <v>13</v>
      </c>
    </row>
    <row r="357" spans="1:12" x14ac:dyDescent="0.3">
      <c r="A357">
        <v>93</v>
      </c>
      <c r="B357">
        <v>2021</v>
      </c>
      <c r="C357">
        <v>0.95</v>
      </c>
      <c r="D357">
        <v>0.97</v>
      </c>
      <c r="E357">
        <v>0.98</v>
      </c>
      <c r="F357">
        <v>0.94</v>
      </c>
      <c r="G357">
        <v>0.55000000000000004</v>
      </c>
      <c r="H357">
        <v>7.0000000000000007E-2</v>
      </c>
      <c r="I357">
        <v>221</v>
      </c>
      <c r="J357">
        <v>5</v>
      </c>
      <c r="K357">
        <v>0.92</v>
      </c>
      <c r="L357" t="s">
        <v>13</v>
      </c>
    </row>
    <row r="358" spans="1:12" x14ac:dyDescent="0.3">
      <c r="A358">
        <v>93</v>
      </c>
      <c r="B358">
        <v>2021</v>
      </c>
      <c r="C358">
        <v>0.56000000000000005</v>
      </c>
      <c r="D358">
        <v>0.57999999999999996</v>
      </c>
      <c r="E358">
        <v>0.55000000000000004</v>
      </c>
      <c r="F358">
        <v>0.8</v>
      </c>
      <c r="G358">
        <v>0.56999999999999995</v>
      </c>
      <c r="H358">
        <v>0.69</v>
      </c>
      <c r="I358">
        <v>133</v>
      </c>
      <c r="J358">
        <v>15</v>
      </c>
      <c r="K358">
        <v>0.6</v>
      </c>
      <c r="L358" t="s">
        <v>12</v>
      </c>
    </row>
    <row r="359" spans="1:12" x14ac:dyDescent="0.3">
      <c r="A359">
        <v>94</v>
      </c>
      <c r="B359">
        <v>2021</v>
      </c>
      <c r="C359">
        <v>0.9</v>
      </c>
      <c r="D359">
        <v>0.85</v>
      </c>
      <c r="E359">
        <v>0.7</v>
      </c>
      <c r="F359">
        <v>0.97</v>
      </c>
      <c r="G359">
        <v>0.99</v>
      </c>
      <c r="H359">
        <v>0.21</v>
      </c>
      <c r="I359">
        <v>84</v>
      </c>
      <c r="J359">
        <v>0</v>
      </c>
      <c r="K359">
        <v>0.87</v>
      </c>
      <c r="L359" t="s">
        <v>13</v>
      </c>
    </row>
    <row r="360" spans="1:12" x14ac:dyDescent="0.3">
      <c r="A360">
        <v>94</v>
      </c>
      <c r="B360">
        <v>2021</v>
      </c>
      <c r="C360">
        <v>0.38</v>
      </c>
      <c r="D360">
        <v>0.56000000000000005</v>
      </c>
      <c r="E360">
        <v>0.51</v>
      </c>
      <c r="F360">
        <v>0.72</v>
      </c>
      <c r="G360">
        <v>0.84</v>
      </c>
      <c r="H360">
        <v>0.52</v>
      </c>
      <c r="I360">
        <v>293</v>
      </c>
      <c r="J360">
        <v>11</v>
      </c>
      <c r="K360">
        <v>0.55000000000000004</v>
      </c>
      <c r="L360" t="s">
        <v>12</v>
      </c>
    </row>
    <row r="361" spans="1:12" x14ac:dyDescent="0.3">
      <c r="A361">
        <v>94</v>
      </c>
      <c r="B361">
        <v>2021</v>
      </c>
      <c r="C361">
        <v>0.92</v>
      </c>
      <c r="D361">
        <v>0.98</v>
      </c>
      <c r="E361">
        <v>0.95</v>
      </c>
      <c r="F361">
        <v>0.89</v>
      </c>
      <c r="G361">
        <v>0.71</v>
      </c>
      <c r="H361">
        <v>0.69</v>
      </c>
      <c r="I361">
        <v>104</v>
      </c>
      <c r="J361">
        <v>19</v>
      </c>
      <c r="K361">
        <v>0.92</v>
      </c>
      <c r="L361" t="s">
        <v>13</v>
      </c>
    </row>
    <row r="362" spans="1:12" x14ac:dyDescent="0.3">
      <c r="A362">
        <v>95</v>
      </c>
      <c r="B362">
        <v>2021</v>
      </c>
      <c r="C362">
        <v>0.67</v>
      </c>
      <c r="D362">
        <v>0.78</v>
      </c>
      <c r="E362">
        <v>0.98</v>
      </c>
      <c r="F362">
        <v>0.64</v>
      </c>
      <c r="G362">
        <v>0.52</v>
      </c>
      <c r="H362">
        <v>0.61</v>
      </c>
      <c r="I362">
        <v>164</v>
      </c>
      <c r="J362">
        <v>5</v>
      </c>
      <c r="K362">
        <v>0.74</v>
      </c>
      <c r="L362" t="s">
        <v>13</v>
      </c>
    </row>
    <row r="363" spans="1:12" x14ac:dyDescent="0.3">
      <c r="A363">
        <v>95</v>
      </c>
      <c r="B363">
        <v>2021</v>
      </c>
      <c r="C363">
        <v>0.34</v>
      </c>
      <c r="D363">
        <v>0.9</v>
      </c>
      <c r="E363">
        <v>0.89</v>
      </c>
      <c r="F363">
        <v>0.67</v>
      </c>
      <c r="G363">
        <v>0.74</v>
      </c>
      <c r="H363">
        <v>0.82</v>
      </c>
      <c r="I363">
        <v>117</v>
      </c>
      <c r="J363">
        <v>12</v>
      </c>
      <c r="K363">
        <v>0.68</v>
      </c>
      <c r="L363" t="s">
        <v>12</v>
      </c>
    </row>
    <row r="364" spans="1:12" x14ac:dyDescent="0.3">
      <c r="A364">
        <v>95</v>
      </c>
      <c r="B364">
        <v>2021</v>
      </c>
      <c r="C364">
        <v>0.81</v>
      </c>
      <c r="D364">
        <v>0.63</v>
      </c>
      <c r="E364">
        <v>0.5</v>
      </c>
      <c r="F364">
        <v>0.6</v>
      </c>
      <c r="G364">
        <v>0.62</v>
      </c>
      <c r="H364">
        <v>0.49</v>
      </c>
      <c r="I364">
        <v>225</v>
      </c>
      <c r="J364">
        <v>18</v>
      </c>
      <c r="K364">
        <v>0.65</v>
      </c>
      <c r="L364" t="s">
        <v>12</v>
      </c>
    </row>
    <row r="365" spans="1:12" x14ac:dyDescent="0.3">
      <c r="A365">
        <v>95</v>
      </c>
      <c r="B365">
        <v>2021</v>
      </c>
      <c r="C365">
        <v>0.84</v>
      </c>
      <c r="D365">
        <v>0.91</v>
      </c>
      <c r="E365">
        <v>0.89</v>
      </c>
      <c r="F365">
        <v>0.85</v>
      </c>
      <c r="G365">
        <v>0.66</v>
      </c>
      <c r="H365">
        <v>0.71</v>
      </c>
      <c r="I365">
        <v>281</v>
      </c>
      <c r="J365">
        <v>9</v>
      </c>
      <c r="K365">
        <v>0.85</v>
      </c>
      <c r="L365" t="s">
        <v>13</v>
      </c>
    </row>
    <row r="366" spans="1:12" x14ac:dyDescent="0.3">
      <c r="A366">
        <v>96</v>
      </c>
      <c r="B366">
        <v>2021</v>
      </c>
      <c r="C366">
        <v>0.65</v>
      </c>
      <c r="D366">
        <v>0.45</v>
      </c>
      <c r="E366">
        <v>0.7</v>
      </c>
      <c r="F366">
        <v>0.69</v>
      </c>
      <c r="G366">
        <v>0.59</v>
      </c>
      <c r="H366">
        <v>0.2</v>
      </c>
      <c r="I366">
        <v>440</v>
      </c>
      <c r="J366">
        <v>11</v>
      </c>
      <c r="K366">
        <v>0.61</v>
      </c>
      <c r="L366" t="s">
        <v>12</v>
      </c>
    </row>
    <row r="367" spans="1:12" x14ac:dyDescent="0.3">
      <c r="A367">
        <v>96</v>
      </c>
      <c r="B367">
        <v>2021</v>
      </c>
      <c r="C367">
        <v>0.39</v>
      </c>
      <c r="D367">
        <v>0.85</v>
      </c>
      <c r="E367">
        <v>0.74</v>
      </c>
      <c r="F367">
        <v>0.66</v>
      </c>
      <c r="G367">
        <v>0.48</v>
      </c>
      <c r="H367">
        <v>0.95</v>
      </c>
      <c r="I367">
        <v>301</v>
      </c>
      <c r="J367">
        <v>14</v>
      </c>
      <c r="K367">
        <v>0.62</v>
      </c>
      <c r="L367" t="s">
        <v>12</v>
      </c>
    </row>
    <row r="368" spans="1:12" x14ac:dyDescent="0.3">
      <c r="A368">
        <v>97</v>
      </c>
      <c r="B368">
        <v>2021</v>
      </c>
      <c r="C368">
        <v>0.71</v>
      </c>
      <c r="D368">
        <v>0.89</v>
      </c>
      <c r="E368">
        <v>0.7</v>
      </c>
      <c r="F368">
        <v>0.78</v>
      </c>
      <c r="G368">
        <v>0.81</v>
      </c>
      <c r="H368">
        <v>0.36</v>
      </c>
      <c r="I368">
        <v>104</v>
      </c>
      <c r="J368">
        <v>19</v>
      </c>
      <c r="K368">
        <v>0.77</v>
      </c>
      <c r="L368" t="s">
        <v>13</v>
      </c>
    </row>
    <row r="369" spans="1:12" x14ac:dyDescent="0.3">
      <c r="A369">
        <v>97</v>
      </c>
      <c r="B369">
        <v>2021</v>
      </c>
      <c r="C369">
        <v>0.67</v>
      </c>
      <c r="D369">
        <v>0.75</v>
      </c>
      <c r="E369">
        <v>0.5</v>
      </c>
      <c r="F369">
        <v>0.9</v>
      </c>
      <c r="G369">
        <v>0.8</v>
      </c>
      <c r="H369">
        <v>0.37</v>
      </c>
      <c r="I369">
        <v>488</v>
      </c>
      <c r="J369">
        <v>13</v>
      </c>
      <c r="K369">
        <v>0.7</v>
      </c>
      <c r="L369" t="s">
        <v>12</v>
      </c>
    </row>
    <row r="370" spans="1:12" x14ac:dyDescent="0.3">
      <c r="A370">
        <v>97</v>
      </c>
      <c r="B370">
        <v>2021</v>
      </c>
      <c r="C370">
        <v>0.71</v>
      </c>
      <c r="D370">
        <v>0.67</v>
      </c>
      <c r="E370">
        <v>0.89</v>
      </c>
      <c r="F370">
        <v>0.9</v>
      </c>
      <c r="G370">
        <v>0.68</v>
      </c>
      <c r="H370">
        <v>0.09</v>
      </c>
      <c r="I370">
        <v>246</v>
      </c>
      <c r="J370">
        <v>8</v>
      </c>
      <c r="K370">
        <v>0.76</v>
      </c>
      <c r="L370" t="s">
        <v>13</v>
      </c>
    </row>
    <row r="371" spans="1:12" x14ac:dyDescent="0.3">
      <c r="A371">
        <v>97</v>
      </c>
      <c r="B371">
        <v>2021</v>
      </c>
      <c r="C371">
        <v>0.44</v>
      </c>
      <c r="D371">
        <v>0.75</v>
      </c>
      <c r="E371">
        <v>0.73</v>
      </c>
      <c r="F371">
        <v>0.77</v>
      </c>
      <c r="G371">
        <v>0.92</v>
      </c>
      <c r="H371">
        <v>0.44</v>
      </c>
      <c r="I371">
        <v>209</v>
      </c>
      <c r="J371">
        <v>11</v>
      </c>
      <c r="K371">
        <v>0.67</v>
      </c>
      <c r="L371" t="s">
        <v>12</v>
      </c>
    </row>
    <row r="372" spans="1:12" x14ac:dyDescent="0.3">
      <c r="A372">
        <v>98</v>
      </c>
      <c r="B372">
        <v>2021</v>
      </c>
      <c r="C372">
        <v>0.34</v>
      </c>
      <c r="D372">
        <v>0.78</v>
      </c>
      <c r="E372">
        <v>0.69</v>
      </c>
      <c r="F372">
        <v>0.97</v>
      </c>
      <c r="G372">
        <v>0.68</v>
      </c>
      <c r="H372">
        <v>0.94</v>
      </c>
      <c r="I372">
        <v>187</v>
      </c>
      <c r="J372">
        <v>3</v>
      </c>
      <c r="K372">
        <v>0.65</v>
      </c>
      <c r="L372" t="s">
        <v>12</v>
      </c>
    </row>
    <row r="373" spans="1:12" x14ac:dyDescent="0.3">
      <c r="A373">
        <v>98</v>
      </c>
      <c r="B373">
        <v>2021</v>
      </c>
      <c r="C373">
        <v>0.55000000000000004</v>
      </c>
      <c r="D373">
        <v>0.74</v>
      </c>
      <c r="E373">
        <v>0.63</v>
      </c>
      <c r="F373">
        <v>0.97</v>
      </c>
      <c r="G373">
        <v>0.49</v>
      </c>
      <c r="H373">
        <v>0.9</v>
      </c>
      <c r="I373">
        <v>406</v>
      </c>
      <c r="J373">
        <v>15</v>
      </c>
      <c r="K373">
        <v>0.67</v>
      </c>
      <c r="L373" t="s">
        <v>12</v>
      </c>
    </row>
    <row r="374" spans="1:12" x14ac:dyDescent="0.3">
      <c r="A374">
        <v>98</v>
      </c>
      <c r="B374">
        <v>2021</v>
      </c>
      <c r="C374">
        <v>0.38</v>
      </c>
      <c r="D374">
        <v>0.82</v>
      </c>
      <c r="E374">
        <v>0.5</v>
      </c>
      <c r="F374">
        <v>0.79</v>
      </c>
      <c r="G374">
        <v>0.38</v>
      </c>
      <c r="H374">
        <v>0.85</v>
      </c>
      <c r="I374">
        <v>210</v>
      </c>
      <c r="J374">
        <v>0</v>
      </c>
      <c r="K374">
        <v>0.57999999999999996</v>
      </c>
      <c r="L374" t="s">
        <v>12</v>
      </c>
    </row>
    <row r="375" spans="1:12" x14ac:dyDescent="0.3">
      <c r="A375">
        <v>98</v>
      </c>
      <c r="B375">
        <v>2021</v>
      </c>
      <c r="C375">
        <v>0.5</v>
      </c>
      <c r="D375">
        <v>0.55000000000000004</v>
      </c>
      <c r="E375">
        <v>0.84</v>
      </c>
      <c r="F375">
        <v>0.67</v>
      </c>
      <c r="G375">
        <v>0.68</v>
      </c>
      <c r="H375">
        <v>0.99</v>
      </c>
      <c r="I375">
        <v>399</v>
      </c>
      <c r="J375">
        <v>17</v>
      </c>
      <c r="K375">
        <v>0.62</v>
      </c>
      <c r="L375" t="s">
        <v>12</v>
      </c>
    </row>
    <row r="376" spans="1:12" x14ac:dyDescent="0.3">
      <c r="A376">
        <v>99</v>
      </c>
      <c r="B376">
        <v>2021</v>
      </c>
      <c r="C376">
        <v>0.79</v>
      </c>
      <c r="D376">
        <v>0.41</v>
      </c>
      <c r="E376">
        <v>0.7</v>
      </c>
      <c r="F376">
        <v>0.73</v>
      </c>
      <c r="G376">
        <v>0.79</v>
      </c>
      <c r="H376">
        <v>0.77</v>
      </c>
      <c r="I376">
        <v>416</v>
      </c>
      <c r="J376">
        <v>10</v>
      </c>
      <c r="K376">
        <v>0.67</v>
      </c>
      <c r="L376" t="s">
        <v>12</v>
      </c>
    </row>
    <row r="377" spans="1:12" x14ac:dyDescent="0.3">
      <c r="A377">
        <v>100</v>
      </c>
      <c r="B377">
        <v>2021</v>
      </c>
      <c r="C377">
        <v>0.32</v>
      </c>
      <c r="D377">
        <v>0.45</v>
      </c>
      <c r="E377">
        <v>0.71</v>
      </c>
      <c r="F377">
        <v>0.98</v>
      </c>
      <c r="G377">
        <v>0.81</v>
      </c>
      <c r="H377">
        <v>0.09</v>
      </c>
      <c r="I377">
        <v>59</v>
      </c>
      <c r="J377">
        <v>8</v>
      </c>
      <c r="K377">
        <v>0.57999999999999996</v>
      </c>
      <c r="L377" t="s">
        <v>12</v>
      </c>
    </row>
    <row r="378" spans="1:12" x14ac:dyDescent="0.3">
      <c r="A378">
        <v>100</v>
      </c>
      <c r="B378">
        <v>2021</v>
      </c>
      <c r="C378">
        <v>0.47</v>
      </c>
      <c r="D378">
        <v>0.61</v>
      </c>
      <c r="E378">
        <v>0.88</v>
      </c>
      <c r="F378">
        <v>0.77</v>
      </c>
      <c r="G378">
        <v>0.89</v>
      </c>
      <c r="H378">
        <v>0.88</v>
      </c>
      <c r="I378">
        <v>124</v>
      </c>
      <c r="J378">
        <v>5</v>
      </c>
      <c r="K378">
        <v>0.67</v>
      </c>
      <c r="L378" t="s">
        <v>12</v>
      </c>
    </row>
    <row r="379" spans="1:12" x14ac:dyDescent="0.3">
      <c r="A379">
        <v>1</v>
      </c>
      <c r="B379">
        <v>2022</v>
      </c>
      <c r="C379">
        <v>0.99</v>
      </c>
      <c r="D379">
        <v>0.6</v>
      </c>
      <c r="E379">
        <v>0.7</v>
      </c>
      <c r="F379">
        <v>0.84</v>
      </c>
      <c r="G379">
        <v>0.86</v>
      </c>
      <c r="H379">
        <v>0.47</v>
      </c>
      <c r="I379">
        <v>451</v>
      </c>
      <c r="J379">
        <v>4</v>
      </c>
      <c r="K379">
        <v>0.8</v>
      </c>
      <c r="L379" t="s">
        <v>13</v>
      </c>
    </row>
    <row r="380" spans="1:12" x14ac:dyDescent="0.3">
      <c r="A380">
        <v>1</v>
      </c>
      <c r="B380">
        <v>2022</v>
      </c>
      <c r="C380">
        <v>0.38</v>
      </c>
      <c r="D380">
        <v>0.97</v>
      </c>
      <c r="E380">
        <v>0.93</v>
      </c>
      <c r="F380">
        <v>0.83</v>
      </c>
      <c r="G380">
        <v>0.77</v>
      </c>
      <c r="H380">
        <v>0.02</v>
      </c>
      <c r="I380">
        <v>495</v>
      </c>
      <c r="J380">
        <v>5</v>
      </c>
      <c r="K380">
        <v>0.74</v>
      </c>
      <c r="L380" t="s">
        <v>13</v>
      </c>
    </row>
    <row r="381" spans="1:12" x14ac:dyDescent="0.3">
      <c r="A381">
        <v>1</v>
      </c>
      <c r="B381">
        <v>2022</v>
      </c>
      <c r="C381">
        <v>0.48</v>
      </c>
      <c r="D381">
        <v>0.41</v>
      </c>
      <c r="E381">
        <v>0.82</v>
      </c>
      <c r="F381">
        <v>0.8</v>
      </c>
      <c r="G381">
        <v>0.61</v>
      </c>
      <c r="H381">
        <v>0.97</v>
      </c>
      <c r="I381">
        <v>76</v>
      </c>
      <c r="J381">
        <v>17</v>
      </c>
      <c r="K381">
        <v>0.59</v>
      </c>
      <c r="L381" t="s">
        <v>12</v>
      </c>
    </row>
    <row r="382" spans="1:12" x14ac:dyDescent="0.3">
      <c r="A382">
        <v>2</v>
      </c>
      <c r="B382">
        <v>2022</v>
      </c>
      <c r="C382">
        <v>0.59</v>
      </c>
      <c r="D382">
        <v>0.42</v>
      </c>
      <c r="E382">
        <v>0.67</v>
      </c>
      <c r="F382">
        <v>0.85</v>
      </c>
      <c r="G382">
        <v>0.78</v>
      </c>
      <c r="H382">
        <v>0.53</v>
      </c>
      <c r="I382">
        <v>267</v>
      </c>
      <c r="J382">
        <v>5</v>
      </c>
      <c r="K382">
        <v>0.62</v>
      </c>
      <c r="L382" t="s">
        <v>12</v>
      </c>
    </row>
    <row r="383" spans="1:12" x14ac:dyDescent="0.3">
      <c r="A383">
        <v>2</v>
      </c>
      <c r="B383">
        <v>2022</v>
      </c>
      <c r="C383">
        <v>0.66</v>
      </c>
      <c r="D383">
        <v>0.82</v>
      </c>
      <c r="E383">
        <v>0.97</v>
      </c>
      <c r="F383">
        <v>0.75</v>
      </c>
      <c r="G383">
        <v>0.8</v>
      </c>
      <c r="H383">
        <v>0.48</v>
      </c>
      <c r="I383">
        <v>220</v>
      </c>
      <c r="J383">
        <v>15</v>
      </c>
      <c r="K383">
        <v>0.79</v>
      </c>
      <c r="L383" t="s">
        <v>13</v>
      </c>
    </row>
    <row r="384" spans="1:12" x14ac:dyDescent="0.3">
      <c r="A384">
        <v>2</v>
      </c>
      <c r="B384">
        <v>2022</v>
      </c>
      <c r="C384">
        <v>0.63</v>
      </c>
      <c r="D384">
        <v>0.96</v>
      </c>
      <c r="E384">
        <v>0.82</v>
      </c>
      <c r="F384">
        <v>0.72</v>
      </c>
      <c r="G384">
        <v>0.67</v>
      </c>
      <c r="H384">
        <v>7.0000000000000007E-2</v>
      </c>
      <c r="I384">
        <v>375</v>
      </c>
      <c r="J384">
        <v>15</v>
      </c>
      <c r="K384">
        <v>0.77</v>
      </c>
      <c r="L384" t="s">
        <v>13</v>
      </c>
    </row>
    <row r="385" spans="1:12" x14ac:dyDescent="0.3">
      <c r="A385">
        <v>2</v>
      </c>
      <c r="B385">
        <v>2022</v>
      </c>
      <c r="C385">
        <v>0.66</v>
      </c>
      <c r="D385">
        <v>0.47</v>
      </c>
      <c r="E385">
        <v>0.98</v>
      </c>
      <c r="F385">
        <v>0.72</v>
      </c>
      <c r="G385">
        <v>0.9</v>
      </c>
      <c r="H385">
        <v>0.39</v>
      </c>
      <c r="I385">
        <v>477</v>
      </c>
      <c r="J385">
        <v>7</v>
      </c>
      <c r="K385">
        <v>0.71</v>
      </c>
      <c r="L385" t="s">
        <v>13</v>
      </c>
    </row>
    <row r="386" spans="1:12" x14ac:dyDescent="0.3">
      <c r="A386">
        <v>2</v>
      </c>
      <c r="B386">
        <v>2022</v>
      </c>
      <c r="C386">
        <v>0.46</v>
      </c>
      <c r="D386">
        <v>0.89</v>
      </c>
      <c r="E386">
        <v>0.94</v>
      </c>
      <c r="F386">
        <v>0.63</v>
      </c>
      <c r="G386">
        <v>0.32</v>
      </c>
      <c r="H386">
        <v>0.74</v>
      </c>
      <c r="I386">
        <v>415</v>
      </c>
      <c r="J386">
        <v>3</v>
      </c>
      <c r="K386">
        <v>0.68</v>
      </c>
      <c r="L386" t="s">
        <v>12</v>
      </c>
    </row>
    <row r="387" spans="1:12" x14ac:dyDescent="0.3">
      <c r="A387">
        <v>3</v>
      </c>
      <c r="B387">
        <v>2022</v>
      </c>
      <c r="C387">
        <v>0.49</v>
      </c>
      <c r="D387">
        <v>0.79</v>
      </c>
      <c r="E387">
        <v>0.7</v>
      </c>
      <c r="F387">
        <v>0.61</v>
      </c>
      <c r="G387">
        <v>0.41</v>
      </c>
      <c r="H387">
        <v>0.72</v>
      </c>
      <c r="I387">
        <v>398</v>
      </c>
      <c r="J387">
        <v>7</v>
      </c>
      <c r="K387">
        <v>0.62</v>
      </c>
      <c r="L387" t="s">
        <v>12</v>
      </c>
    </row>
    <row r="388" spans="1:12" x14ac:dyDescent="0.3">
      <c r="A388">
        <v>3</v>
      </c>
      <c r="B388">
        <v>2022</v>
      </c>
      <c r="C388">
        <v>0.99</v>
      </c>
      <c r="D388">
        <v>0.8</v>
      </c>
      <c r="E388">
        <v>0.64</v>
      </c>
      <c r="F388">
        <v>0.83</v>
      </c>
      <c r="G388">
        <v>0.38</v>
      </c>
      <c r="H388">
        <v>0.97</v>
      </c>
      <c r="I388">
        <v>421</v>
      </c>
      <c r="J388">
        <v>11</v>
      </c>
      <c r="K388">
        <v>0.79</v>
      </c>
      <c r="L388" t="s">
        <v>13</v>
      </c>
    </row>
    <row r="389" spans="1:12" x14ac:dyDescent="0.3">
      <c r="A389">
        <v>3</v>
      </c>
      <c r="B389">
        <v>2022</v>
      </c>
      <c r="C389">
        <v>0.49</v>
      </c>
      <c r="D389">
        <v>0.89</v>
      </c>
      <c r="E389">
        <v>0.77</v>
      </c>
      <c r="F389">
        <v>0.62</v>
      </c>
      <c r="G389">
        <v>0.62</v>
      </c>
      <c r="H389">
        <v>0.94</v>
      </c>
      <c r="I389">
        <v>75</v>
      </c>
      <c r="J389">
        <v>14</v>
      </c>
      <c r="K389">
        <v>0.68</v>
      </c>
      <c r="L389" t="s">
        <v>12</v>
      </c>
    </row>
    <row r="390" spans="1:12" x14ac:dyDescent="0.3">
      <c r="A390">
        <v>3</v>
      </c>
      <c r="B390">
        <v>2022</v>
      </c>
      <c r="C390">
        <v>0.78</v>
      </c>
      <c r="D390">
        <v>0.74</v>
      </c>
      <c r="E390">
        <v>0.57999999999999996</v>
      </c>
      <c r="F390">
        <v>0.72</v>
      </c>
      <c r="G390">
        <v>0.93</v>
      </c>
      <c r="H390">
        <v>0.69</v>
      </c>
      <c r="I390">
        <v>59</v>
      </c>
      <c r="J390">
        <v>5</v>
      </c>
      <c r="K390">
        <v>0.74</v>
      </c>
      <c r="L390" t="s">
        <v>13</v>
      </c>
    </row>
    <row r="391" spans="1:12" x14ac:dyDescent="0.3">
      <c r="A391">
        <v>3</v>
      </c>
      <c r="B391">
        <v>2022</v>
      </c>
      <c r="C391">
        <v>0.87</v>
      </c>
      <c r="D391">
        <v>0.47</v>
      </c>
      <c r="E391">
        <v>0.91</v>
      </c>
      <c r="F391">
        <v>0.84</v>
      </c>
      <c r="G391">
        <v>0.43</v>
      </c>
      <c r="H391">
        <v>0.54</v>
      </c>
      <c r="I391">
        <v>66</v>
      </c>
      <c r="J391">
        <v>18</v>
      </c>
      <c r="K391">
        <v>0.73</v>
      </c>
      <c r="L391" t="s">
        <v>13</v>
      </c>
    </row>
    <row r="392" spans="1:12" x14ac:dyDescent="0.3">
      <c r="A392">
        <v>3</v>
      </c>
      <c r="B392">
        <v>2022</v>
      </c>
      <c r="C392">
        <v>0.46</v>
      </c>
      <c r="D392">
        <v>0.74</v>
      </c>
      <c r="E392">
        <v>0.97</v>
      </c>
      <c r="F392">
        <v>0.8</v>
      </c>
      <c r="G392">
        <v>0.38</v>
      </c>
      <c r="H392">
        <v>0.63</v>
      </c>
      <c r="I392">
        <v>332</v>
      </c>
      <c r="J392">
        <v>14</v>
      </c>
      <c r="K392">
        <v>0.68</v>
      </c>
      <c r="L392" t="s">
        <v>12</v>
      </c>
    </row>
    <row r="393" spans="1:12" x14ac:dyDescent="0.3">
      <c r="A393">
        <v>4</v>
      </c>
      <c r="B393">
        <v>2022</v>
      </c>
      <c r="C393">
        <v>0.67</v>
      </c>
      <c r="D393">
        <v>0.5</v>
      </c>
      <c r="E393">
        <v>0.64</v>
      </c>
      <c r="F393">
        <v>0.61</v>
      </c>
      <c r="G393">
        <v>0.94</v>
      </c>
      <c r="H393">
        <v>0.12</v>
      </c>
      <c r="I393">
        <v>405</v>
      </c>
      <c r="J393">
        <v>8</v>
      </c>
      <c r="K393">
        <v>0.64</v>
      </c>
      <c r="L393" t="s">
        <v>12</v>
      </c>
    </row>
    <row r="394" spans="1:12" x14ac:dyDescent="0.3">
      <c r="A394">
        <v>4</v>
      </c>
      <c r="B394">
        <v>2022</v>
      </c>
      <c r="C394">
        <v>0.88</v>
      </c>
      <c r="D394">
        <v>0.42</v>
      </c>
      <c r="E394">
        <v>0.82</v>
      </c>
      <c r="F394">
        <v>0.74</v>
      </c>
      <c r="G394">
        <v>0.5</v>
      </c>
      <c r="H394">
        <v>0.39</v>
      </c>
      <c r="I394">
        <v>60</v>
      </c>
      <c r="J394">
        <v>7</v>
      </c>
      <c r="K394">
        <v>0.69</v>
      </c>
      <c r="L394" t="s">
        <v>12</v>
      </c>
    </row>
    <row r="395" spans="1:12" x14ac:dyDescent="0.3">
      <c r="A395">
        <v>4</v>
      </c>
      <c r="B395">
        <v>2022</v>
      </c>
      <c r="C395">
        <v>0.78</v>
      </c>
      <c r="D395">
        <v>0.54</v>
      </c>
      <c r="E395">
        <v>0.75</v>
      </c>
      <c r="F395">
        <v>0.96</v>
      </c>
      <c r="G395">
        <v>0.79</v>
      </c>
      <c r="H395">
        <v>0.39</v>
      </c>
      <c r="I395">
        <v>460</v>
      </c>
      <c r="J395">
        <v>7</v>
      </c>
      <c r="K395">
        <v>0.74</v>
      </c>
      <c r="L395" t="s">
        <v>13</v>
      </c>
    </row>
    <row r="396" spans="1:12" x14ac:dyDescent="0.3">
      <c r="A396">
        <v>4</v>
      </c>
      <c r="B396">
        <v>2022</v>
      </c>
      <c r="C396">
        <v>0.85</v>
      </c>
      <c r="D396">
        <v>0.6</v>
      </c>
      <c r="E396">
        <v>0.69</v>
      </c>
      <c r="F396">
        <v>0.96</v>
      </c>
      <c r="G396">
        <v>0.57999999999999996</v>
      </c>
      <c r="H396">
        <v>0.62</v>
      </c>
      <c r="I396">
        <v>145</v>
      </c>
      <c r="J396">
        <v>9</v>
      </c>
      <c r="K396">
        <v>0.75</v>
      </c>
      <c r="L396" t="s">
        <v>13</v>
      </c>
    </row>
    <row r="397" spans="1:12" x14ac:dyDescent="0.3">
      <c r="A397">
        <v>5</v>
      </c>
      <c r="B397">
        <v>2022</v>
      </c>
      <c r="C397">
        <v>0.53</v>
      </c>
      <c r="D397">
        <v>0.66</v>
      </c>
      <c r="E397">
        <v>0.75</v>
      </c>
      <c r="F397">
        <v>0.7</v>
      </c>
      <c r="G397">
        <v>0.38</v>
      </c>
      <c r="H397">
        <v>0.61</v>
      </c>
      <c r="I397">
        <v>369</v>
      </c>
      <c r="J397">
        <v>5</v>
      </c>
      <c r="K397">
        <v>0.62</v>
      </c>
      <c r="L397" t="s">
        <v>12</v>
      </c>
    </row>
    <row r="398" spans="1:12" x14ac:dyDescent="0.3">
      <c r="A398">
        <v>5</v>
      </c>
      <c r="B398">
        <v>2022</v>
      </c>
      <c r="C398">
        <v>0.67</v>
      </c>
      <c r="D398">
        <v>0.55000000000000004</v>
      </c>
      <c r="E398">
        <v>0.74</v>
      </c>
      <c r="F398">
        <v>0.76</v>
      </c>
      <c r="G398">
        <v>0.68</v>
      </c>
      <c r="H398">
        <v>0.75</v>
      </c>
      <c r="I398">
        <v>413</v>
      </c>
      <c r="J398">
        <v>10</v>
      </c>
      <c r="K398">
        <v>0.67</v>
      </c>
      <c r="L398" t="s">
        <v>12</v>
      </c>
    </row>
    <row r="399" spans="1:12" x14ac:dyDescent="0.3">
      <c r="A399">
        <v>5</v>
      </c>
      <c r="B399">
        <v>2022</v>
      </c>
      <c r="C399">
        <v>0.75</v>
      </c>
      <c r="D399">
        <v>0.45</v>
      </c>
      <c r="E399">
        <v>0.72</v>
      </c>
      <c r="F399">
        <v>0.72</v>
      </c>
      <c r="G399">
        <v>0.68</v>
      </c>
      <c r="H399">
        <v>0.13</v>
      </c>
      <c r="I399">
        <v>225</v>
      </c>
      <c r="J399">
        <v>11</v>
      </c>
      <c r="K399">
        <v>0.66</v>
      </c>
      <c r="L399" t="s">
        <v>12</v>
      </c>
    </row>
    <row r="400" spans="1:12" x14ac:dyDescent="0.3">
      <c r="A400">
        <v>5</v>
      </c>
      <c r="B400">
        <v>2022</v>
      </c>
      <c r="C400">
        <v>0.62</v>
      </c>
      <c r="D400">
        <v>0.44</v>
      </c>
      <c r="E400">
        <v>0.99</v>
      </c>
      <c r="F400">
        <v>0.94</v>
      </c>
      <c r="G400">
        <v>0.42</v>
      </c>
      <c r="H400">
        <v>0.9</v>
      </c>
      <c r="I400">
        <v>256</v>
      </c>
      <c r="J400">
        <v>14</v>
      </c>
      <c r="K400">
        <v>0.68</v>
      </c>
      <c r="L400" t="s">
        <v>12</v>
      </c>
    </row>
    <row r="401" spans="1:12" x14ac:dyDescent="0.3">
      <c r="A401">
        <v>5</v>
      </c>
      <c r="B401">
        <v>2022</v>
      </c>
      <c r="C401">
        <v>0.71</v>
      </c>
      <c r="D401">
        <v>0.9</v>
      </c>
      <c r="E401">
        <v>0.54</v>
      </c>
      <c r="F401">
        <v>0.88</v>
      </c>
      <c r="G401">
        <v>0.67</v>
      </c>
      <c r="H401">
        <v>0.38</v>
      </c>
      <c r="I401">
        <v>285</v>
      </c>
      <c r="J401">
        <v>0</v>
      </c>
      <c r="K401">
        <v>0.75</v>
      </c>
      <c r="L401" t="s">
        <v>13</v>
      </c>
    </row>
    <row r="402" spans="1:12" x14ac:dyDescent="0.3">
      <c r="A402">
        <v>5</v>
      </c>
      <c r="B402">
        <v>2022</v>
      </c>
      <c r="C402">
        <v>0.94</v>
      </c>
      <c r="D402">
        <v>0.8</v>
      </c>
      <c r="E402">
        <v>0.51</v>
      </c>
      <c r="F402">
        <v>0.68</v>
      </c>
      <c r="G402">
        <v>0.78</v>
      </c>
      <c r="H402">
        <v>0.76</v>
      </c>
      <c r="I402">
        <v>418</v>
      </c>
      <c r="J402">
        <v>15</v>
      </c>
      <c r="K402">
        <v>0.76</v>
      </c>
      <c r="L402" t="s">
        <v>13</v>
      </c>
    </row>
    <row r="403" spans="1:12" x14ac:dyDescent="0.3">
      <c r="A403">
        <v>6</v>
      </c>
      <c r="B403">
        <v>2022</v>
      </c>
      <c r="C403">
        <v>0.62</v>
      </c>
      <c r="D403">
        <v>0.83</v>
      </c>
      <c r="E403">
        <v>0.79</v>
      </c>
      <c r="F403">
        <v>0.8</v>
      </c>
      <c r="G403">
        <v>0.43</v>
      </c>
      <c r="H403">
        <v>0.46</v>
      </c>
      <c r="I403">
        <v>462</v>
      </c>
      <c r="J403">
        <v>5</v>
      </c>
      <c r="K403">
        <v>0.71</v>
      </c>
      <c r="L403" t="s">
        <v>13</v>
      </c>
    </row>
    <row r="404" spans="1:12" x14ac:dyDescent="0.3">
      <c r="A404">
        <v>6</v>
      </c>
      <c r="B404">
        <v>2022</v>
      </c>
      <c r="C404">
        <v>1</v>
      </c>
      <c r="D404">
        <v>0.56999999999999995</v>
      </c>
      <c r="E404">
        <v>0.64</v>
      </c>
      <c r="F404">
        <v>0.66</v>
      </c>
      <c r="G404">
        <v>0.41</v>
      </c>
      <c r="H404">
        <v>0.28999999999999998</v>
      </c>
      <c r="I404">
        <v>218</v>
      </c>
      <c r="J404">
        <v>13</v>
      </c>
      <c r="K404">
        <v>0.71</v>
      </c>
      <c r="L404" t="s">
        <v>13</v>
      </c>
    </row>
    <row r="405" spans="1:12" x14ac:dyDescent="0.3">
      <c r="A405">
        <v>6</v>
      </c>
      <c r="B405">
        <v>2022</v>
      </c>
      <c r="C405">
        <v>0.64</v>
      </c>
      <c r="D405">
        <v>0.82</v>
      </c>
      <c r="E405">
        <v>0.76</v>
      </c>
      <c r="F405">
        <v>0.76</v>
      </c>
      <c r="G405">
        <v>0.74</v>
      </c>
      <c r="H405">
        <v>0.97</v>
      </c>
      <c r="I405">
        <v>192</v>
      </c>
      <c r="J405">
        <v>2</v>
      </c>
      <c r="K405">
        <v>0.74</v>
      </c>
      <c r="L405" t="s">
        <v>13</v>
      </c>
    </row>
    <row r="406" spans="1:12" x14ac:dyDescent="0.3">
      <c r="A406">
        <v>6</v>
      </c>
      <c r="B406">
        <v>2022</v>
      </c>
      <c r="C406">
        <v>0.66</v>
      </c>
      <c r="D406">
        <v>0.82</v>
      </c>
      <c r="E406">
        <v>0.56000000000000005</v>
      </c>
      <c r="F406">
        <v>0.83</v>
      </c>
      <c r="G406">
        <v>0.47</v>
      </c>
      <c r="H406">
        <v>0.43</v>
      </c>
      <c r="I406">
        <v>129</v>
      </c>
      <c r="J406">
        <v>2</v>
      </c>
      <c r="K406">
        <v>0.69</v>
      </c>
      <c r="L406" t="s">
        <v>12</v>
      </c>
    </row>
    <row r="407" spans="1:12" x14ac:dyDescent="0.3">
      <c r="A407">
        <v>6</v>
      </c>
      <c r="B407">
        <v>2022</v>
      </c>
      <c r="C407">
        <v>0.46</v>
      </c>
      <c r="D407">
        <v>0.71</v>
      </c>
      <c r="E407">
        <v>0.76</v>
      </c>
      <c r="F407">
        <v>0.84</v>
      </c>
      <c r="G407">
        <v>0.34</v>
      </c>
      <c r="H407">
        <v>0.97</v>
      </c>
      <c r="I407">
        <v>105</v>
      </c>
      <c r="J407">
        <v>8</v>
      </c>
      <c r="K407">
        <v>0.63</v>
      </c>
      <c r="L407" t="s">
        <v>12</v>
      </c>
    </row>
    <row r="408" spans="1:12" x14ac:dyDescent="0.3">
      <c r="A408">
        <v>6</v>
      </c>
      <c r="B408">
        <v>2022</v>
      </c>
      <c r="C408">
        <v>0.57999999999999996</v>
      </c>
      <c r="D408">
        <v>0.76</v>
      </c>
      <c r="E408">
        <v>0.75</v>
      </c>
      <c r="F408">
        <v>0.72</v>
      </c>
      <c r="G408">
        <v>0.69</v>
      </c>
      <c r="H408">
        <v>0.67</v>
      </c>
      <c r="I408">
        <v>305</v>
      </c>
      <c r="J408">
        <v>14</v>
      </c>
      <c r="K408">
        <v>0.69</v>
      </c>
      <c r="L408" t="s">
        <v>12</v>
      </c>
    </row>
    <row r="409" spans="1:12" x14ac:dyDescent="0.3">
      <c r="A409">
        <v>7</v>
      </c>
      <c r="B409">
        <v>2022</v>
      </c>
      <c r="C409">
        <v>0.96</v>
      </c>
      <c r="D409">
        <v>0.59</v>
      </c>
      <c r="E409">
        <v>0.83</v>
      </c>
      <c r="F409">
        <v>0.63</v>
      </c>
      <c r="G409">
        <v>0.47</v>
      </c>
      <c r="H409">
        <v>0.77</v>
      </c>
      <c r="I409">
        <v>244</v>
      </c>
      <c r="J409">
        <v>7</v>
      </c>
      <c r="K409">
        <v>0.74</v>
      </c>
      <c r="L409" t="s">
        <v>13</v>
      </c>
    </row>
    <row r="410" spans="1:12" x14ac:dyDescent="0.3">
      <c r="A410">
        <v>7</v>
      </c>
      <c r="B410">
        <v>2022</v>
      </c>
      <c r="C410">
        <v>0.38</v>
      </c>
      <c r="D410">
        <v>0.84</v>
      </c>
      <c r="E410">
        <v>0.78</v>
      </c>
      <c r="F410">
        <v>0.81</v>
      </c>
      <c r="G410">
        <v>0.62</v>
      </c>
      <c r="H410">
        <v>0.98</v>
      </c>
      <c r="I410">
        <v>65</v>
      </c>
      <c r="J410">
        <v>4</v>
      </c>
      <c r="K410">
        <v>0.66</v>
      </c>
      <c r="L410" t="s">
        <v>12</v>
      </c>
    </row>
    <row r="411" spans="1:12" x14ac:dyDescent="0.3">
      <c r="A411">
        <v>8</v>
      </c>
      <c r="B411">
        <v>2022</v>
      </c>
      <c r="C411">
        <v>0.44</v>
      </c>
      <c r="D411">
        <v>0.43</v>
      </c>
      <c r="E411">
        <v>0.57999999999999996</v>
      </c>
      <c r="F411">
        <v>0.75</v>
      </c>
      <c r="G411">
        <v>0.45</v>
      </c>
      <c r="H411">
        <v>0.31</v>
      </c>
      <c r="I411">
        <v>290</v>
      </c>
      <c r="J411">
        <v>19</v>
      </c>
      <c r="K411">
        <v>0.51</v>
      </c>
      <c r="L411" t="s">
        <v>12</v>
      </c>
    </row>
    <row r="412" spans="1:12" x14ac:dyDescent="0.3">
      <c r="A412">
        <v>8</v>
      </c>
      <c r="B412">
        <v>2022</v>
      </c>
      <c r="C412">
        <v>0.43</v>
      </c>
      <c r="D412">
        <v>0.6</v>
      </c>
      <c r="E412">
        <v>0.77</v>
      </c>
      <c r="F412">
        <v>0.97</v>
      </c>
      <c r="G412">
        <v>0.68</v>
      </c>
      <c r="H412">
        <v>0.71</v>
      </c>
      <c r="I412">
        <v>101</v>
      </c>
      <c r="J412">
        <v>11</v>
      </c>
      <c r="K412">
        <v>0.65</v>
      </c>
      <c r="L412" t="s">
        <v>12</v>
      </c>
    </row>
    <row r="413" spans="1:12" x14ac:dyDescent="0.3">
      <c r="A413">
        <v>9</v>
      </c>
      <c r="B413">
        <v>2022</v>
      </c>
      <c r="C413">
        <v>0.37</v>
      </c>
      <c r="D413">
        <v>0.81</v>
      </c>
      <c r="E413">
        <v>0.72</v>
      </c>
      <c r="F413">
        <v>0.65</v>
      </c>
      <c r="G413">
        <v>0.65</v>
      </c>
      <c r="H413">
        <v>0.03</v>
      </c>
      <c r="I413">
        <v>255</v>
      </c>
      <c r="J413">
        <v>16</v>
      </c>
      <c r="K413">
        <v>0.62</v>
      </c>
      <c r="L413" t="s">
        <v>12</v>
      </c>
    </row>
    <row r="414" spans="1:12" x14ac:dyDescent="0.3">
      <c r="A414">
        <v>9</v>
      </c>
      <c r="B414">
        <v>2022</v>
      </c>
      <c r="C414">
        <v>0.85</v>
      </c>
      <c r="D414">
        <v>0.67</v>
      </c>
      <c r="E414">
        <v>0.82</v>
      </c>
      <c r="F414">
        <v>0.7</v>
      </c>
      <c r="G414">
        <v>0.79</v>
      </c>
      <c r="H414">
        <v>0.43</v>
      </c>
      <c r="I414">
        <v>469</v>
      </c>
      <c r="J414">
        <v>17</v>
      </c>
      <c r="K414">
        <v>0.77</v>
      </c>
      <c r="L414" t="s">
        <v>13</v>
      </c>
    </row>
    <row r="415" spans="1:12" x14ac:dyDescent="0.3">
      <c r="A415">
        <v>9</v>
      </c>
      <c r="B415">
        <v>2022</v>
      </c>
      <c r="C415">
        <v>0.83</v>
      </c>
      <c r="D415">
        <v>0.84</v>
      </c>
      <c r="E415">
        <v>0.93</v>
      </c>
      <c r="F415">
        <v>0.68</v>
      </c>
      <c r="G415">
        <v>0.57999999999999996</v>
      </c>
      <c r="H415">
        <v>0.95</v>
      </c>
      <c r="I415">
        <v>474</v>
      </c>
      <c r="J415">
        <v>7</v>
      </c>
      <c r="K415">
        <v>0.8</v>
      </c>
      <c r="L415" t="s">
        <v>13</v>
      </c>
    </row>
    <row r="416" spans="1:12" x14ac:dyDescent="0.3">
      <c r="A416">
        <v>9</v>
      </c>
      <c r="B416">
        <v>2022</v>
      </c>
      <c r="C416">
        <v>0.37</v>
      </c>
      <c r="D416">
        <v>0.47</v>
      </c>
      <c r="E416">
        <v>0.65</v>
      </c>
      <c r="F416">
        <v>0.85</v>
      </c>
      <c r="G416">
        <v>0.86</v>
      </c>
      <c r="H416">
        <v>0.9</v>
      </c>
      <c r="I416">
        <v>392</v>
      </c>
      <c r="J416">
        <v>14</v>
      </c>
      <c r="K416">
        <v>0.56999999999999995</v>
      </c>
      <c r="L416" t="s">
        <v>12</v>
      </c>
    </row>
    <row r="417" spans="1:12" x14ac:dyDescent="0.3">
      <c r="A417">
        <v>10</v>
      </c>
      <c r="B417">
        <v>2022</v>
      </c>
      <c r="C417">
        <v>0.69</v>
      </c>
      <c r="D417">
        <v>0.5</v>
      </c>
      <c r="E417">
        <v>0.71</v>
      </c>
      <c r="F417">
        <v>0.91</v>
      </c>
      <c r="G417">
        <v>0.64</v>
      </c>
      <c r="H417">
        <v>0.99</v>
      </c>
      <c r="I417">
        <v>316</v>
      </c>
      <c r="J417">
        <v>16</v>
      </c>
      <c r="K417">
        <v>0.67</v>
      </c>
      <c r="L417" t="s">
        <v>12</v>
      </c>
    </row>
    <row r="418" spans="1:12" x14ac:dyDescent="0.3">
      <c r="A418">
        <v>10</v>
      </c>
      <c r="B418">
        <v>2022</v>
      </c>
      <c r="C418">
        <v>0.86</v>
      </c>
      <c r="D418">
        <v>0.89</v>
      </c>
      <c r="E418">
        <v>0.97</v>
      </c>
      <c r="F418">
        <v>0.82</v>
      </c>
      <c r="G418">
        <v>0.44</v>
      </c>
      <c r="H418">
        <v>0.62</v>
      </c>
      <c r="I418">
        <v>370</v>
      </c>
      <c r="J418">
        <v>13</v>
      </c>
      <c r="K418">
        <v>0.84</v>
      </c>
      <c r="L418" t="s">
        <v>13</v>
      </c>
    </row>
    <row r="419" spans="1:12" x14ac:dyDescent="0.3">
      <c r="A419">
        <v>10</v>
      </c>
      <c r="B419">
        <v>2022</v>
      </c>
      <c r="C419">
        <v>0.91</v>
      </c>
      <c r="D419">
        <v>0.4</v>
      </c>
      <c r="E419">
        <v>0.69</v>
      </c>
      <c r="F419">
        <v>0.71</v>
      </c>
      <c r="G419">
        <v>0.7</v>
      </c>
      <c r="H419">
        <v>0.25</v>
      </c>
      <c r="I419">
        <v>451</v>
      </c>
      <c r="J419">
        <v>19</v>
      </c>
      <c r="K419">
        <v>0.69</v>
      </c>
      <c r="L419" t="s">
        <v>12</v>
      </c>
    </row>
    <row r="420" spans="1:12" x14ac:dyDescent="0.3">
      <c r="A420">
        <v>10</v>
      </c>
      <c r="B420">
        <v>2022</v>
      </c>
      <c r="C420">
        <v>0.88</v>
      </c>
      <c r="D420">
        <v>0.78</v>
      </c>
      <c r="E420">
        <v>0.7</v>
      </c>
      <c r="F420">
        <v>0.99</v>
      </c>
      <c r="G420">
        <v>0.63</v>
      </c>
      <c r="H420">
        <v>0.97</v>
      </c>
      <c r="I420">
        <v>389</v>
      </c>
      <c r="J420">
        <v>13</v>
      </c>
      <c r="K420">
        <v>0.81</v>
      </c>
      <c r="L420" t="s">
        <v>13</v>
      </c>
    </row>
    <row r="421" spans="1:12" x14ac:dyDescent="0.3">
      <c r="A421">
        <v>11</v>
      </c>
      <c r="B421">
        <v>2022</v>
      </c>
      <c r="C421">
        <v>0.88</v>
      </c>
      <c r="D421">
        <v>0.68</v>
      </c>
      <c r="E421">
        <v>0.68</v>
      </c>
      <c r="F421">
        <v>0.8</v>
      </c>
      <c r="G421">
        <v>0.88</v>
      </c>
      <c r="H421">
        <v>0.34</v>
      </c>
      <c r="I421">
        <v>326</v>
      </c>
      <c r="J421">
        <v>0</v>
      </c>
      <c r="K421">
        <v>0.78</v>
      </c>
      <c r="L421" t="s">
        <v>13</v>
      </c>
    </row>
    <row r="422" spans="1:12" x14ac:dyDescent="0.3">
      <c r="A422">
        <v>11</v>
      </c>
      <c r="B422">
        <v>2022</v>
      </c>
      <c r="C422">
        <v>0.36</v>
      </c>
      <c r="D422">
        <v>0.97</v>
      </c>
      <c r="E422">
        <v>0.63</v>
      </c>
      <c r="F422">
        <v>0.73</v>
      </c>
      <c r="G422">
        <v>0.57999999999999996</v>
      </c>
      <c r="H422">
        <v>0.05</v>
      </c>
      <c r="I422">
        <v>155</v>
      </c>
      <c r="J422">
        <v>12</v>
      </c>
      <c r="K422">
        <v>0.64</v>
      </c>
      <c r="L422" t="s">
        <v>12</v>
      </c>
    </row>
    <row r="423" spans="1:12" x14ac:dyDescent="0.3">
      <c r="A423">
        <v>11</v>
      </c>
      <c r="B423">
        <v>2022</v>
      </c>
      <c r="C423">
        <v>0.4</v>
      </c>
      <c r="D423">
        <v>0.89</v>
      </c>
      <c r="E423">
        <v>0.64</v>
      </c>
      <c r="F423">
        <v>0.74</v>
      </c>
      <c r="G423">
        <v>0.45</v>
      </c>
      <c r="H423">
        <v>0.59</v>
      </c>
      <c r="I423">
        <v>110</v>
      </c>
      <c r="J423">
        <v>9</v>
      </c>
      <c r="K423">
        <v>0.63</v>
      </c>
      <c r="L423" t="s">
        <v>12</v>
      </c>
    </row>
    <row r="424" spans="1:12" x14ac:dyDescent="0.3">
      <c r="A424">
        <v>11</v>
      </c>
      <c r="B424">
        <v>2022</v>
      </c>
      <c r="C424">
        <v>0.64</v>
      </c>
      <c r="D424">
        <v>0.68</v>
      </c>
      <c r="E424">
        <v>0.63</v>
      </c>
      <c r="F424">
        <v>0.97</v>
      </c>
      <c r="G424">
        <v>0.59</v>
      </c>
      <c r="H424">
        <v>0.86</v>
      </c>
      <c r="I424">
        <v>422</v>
      </c>
      <c r="J424">
        <v>8</v>
      </c>
      <c r="K424">
        <v>0.69</v>
      </c>
      <c r="L424" t="s">
        <v>12</v>
      </c>
    </row>
    <row r="425" spans="1:12" x14ac:dyDescent="0.3">
      <c r="A425">
        <v>12</v>
      </c>
      <c r="B425">
        <v>2022</v>
      </c>
      <c r="C425">
        <v>0.37</v>
      </c>
      <c r="D425">
        <v>0.41</v>
      </c>
      <c r="E425">
        <v>0.57999999999999996</v>
      </c>
      <c r="F425">
        <v>1</v>
      </c>
      <c r="G425">
        <v>0.43</v>
      </c>
      <c r="H425">
        <v>0.5</v>
      </c>
      <c r="I425">
        <v>420</v>
      </c>
      <c r="J425">
        <v>17</v>
      </c>
      <c r="K425">
        <v>0.52</v>
      </c>
      <c r="L425" t="s">
        <v>12</v>
      </c>
    </row>
    <row r="426" spans="1:12" x14ac:dyDescent="0.3">
      <c r="A426">
        <v>12</v>
      </c>
      <c r="B426">
        <v>2022</v>
      </c>
      <c r="C426">
        <v>0.55000000000000004</v>
      </c>
      <c r="D426">
        <v>0.55000000000000004</v>
      </c>
      <c r="E426">
        <v>0.63</v>
      </c>
      <c r="F426">
        <v>0.76</v>
      </c>
      <c r="G426">
        <v>0.79</v>
      </c>
      <c r="H426">
        <v>0.04</v>
      </c>
      <c r="I426">
        <v>387</v>
      </c>
      <c r="J426">
        <v>10</v>
      </c>
      <c r="K426">
        <v>0.62</v>
      </c>
      <c r="L426" t="s">
        <v>12</v>
      </c>
    </row>
    <row r="427" spans="1:12" x14ac:dyDescent="0.3">
      <c r="A427">
        <v>12</v>
      </c>
      <c r="B427">
        <v>2022</v>
      </c>
      <c r="C427">
        <v>0.56000000000000005</v>
      </c>
      <c r="D427">
        <v>0.45</v>
      </c>
      <c r="E427">
        <v>0.8</v>
      </c>
      <c r="F427">
        <v>0.86</v>
      </c>
      <c r="G427">
        <v>0.56000000000000005</v>
      </c>
      <c r="H427">
        <v>0.74</v>
      </c>
      <c r="I427">
        <v>346</v>
      </c>
      <c r="J427">
        <v>14</v>
      </c>
      <c r="K427">
        <v>0.63</v>
      </c>
      <c r="L427" t="s">
        <v>12</v>
      </c>
    </row>
    <row r="428" spans="1:12" x14ac:dyDescent="0.3">
      <c r="A428">
        <v>13</v>
      </c>
      <c r="B428">
        <v>2022</v>
      </c>
      <c r="C428">
        <v>0.97</v>
      </c>
      <c r="D428">
        <v>0.46</v>
      </c>
      <c r="E428">
        <v>0.74</v>
      </c>
      <c r="F428">
        <v>0.62</v>
      </c>
      <c r="G428">
        <v>0.65</v>
      </c>
      <c r="H428">
        <v>0.25</v>
      </c>
      <c r="I428">
        <v>346</v>
      </c>
      <c r="J428">
        <v>5</v>
      </c>
      <c r="K428">
        <v>0.71</v>
      </c>
      <c r="L428" t="s">
        <v>13</v>
      </c>
    </row>
    <row r="429" spans="1:12" x14ac:dyDescent="0.3">
      <c r="A429">
        <v>14</v>
      </c>
      <c r="B429">
        <v>2022</v>
      </c>
      <c r="C429">
        <v>0.61</v>
      </c>
      <c r="D429">
        <v>0.93</v>
      </c>
      <c r="E429">
        <v>0.68</v>
      </c>
      <c r="F429">
        <v>0.65</v>
      </c>
      <c r="G429">
        <v>0.4</v>
      </c>
      <c r="H429">
        <v>0.76</v>
      </c>
      <c r="I429">
        <v>450</v>
      </c>
      <c r="J429">
        <v>5</v>
      </c>
      <c r="K429">
        <v>0.69</v>
      </c>
      <c r="L429" t="s">
        <v>12</v>
      </c>
    </row>
    <row r="430" spans="1:12" x14ac:dyDescent="0.3">
      <c r="A430">
        <v>14</v>
      </c>
      <c r="B430">
        <v>2022</v>
      </c>
      <c r="C430">
        <v>0.61</v>
      </c>
      <c r="D430">
        <v>0.54</v>
      </c>
      <c r="E430">
        <v>0.85</v>
      </c>
      <c r="F430">
        <v>0.93</v>
      </c>
      <c r="G430">
        <v>0.68</v>
      </c>
      <c r="H430">
        <v>0.97</v>
      </c>
      <c r="I430">
        <v>388</v>
      </c>
      <c r="J430">
        <v>0</v>
      </c>
      <c r="K430">
        <v>0.7</v>
      </c>
      <c r="L430" t="s">
        <v>12</v>
      </c>
    </row>
    <row r="431" spans="1:12" x14ac:dyDescent="0.3">
      <c r="A431">
        <v>14</v>
      </c>
      <c r="B431">
        <v>2022</v>
      </c>
      <c r="C431">
        <v>0.95</v>
      </c>
      <c r="D431">
        <v>0.72</v>
      </c>
      <c r="E431">
        <v>0.63</v>
      </c>
      <c r="F431">
        <v>0.62</v>
      </c>
      <c r="G431">
        <v>0.81</v>
      </c>
      <c r="H431">
        <v>0.12</v>
      </c>
      <c r="I431">
        <v>495</v>
      </c>
      <c r="J431">
        <v>18</v>
      </c>
      <c r="K431">
        <v>0.76</v>
      </c>
      <c r="L431" t="s">
        <v>13</v>
      </c>
    </row>
    <row r="432" spans="1:12" x14ac:dyDescent="0.3">
      <c r="A432">
        <v>14</v>
      </c>
      <c r="B432">
        <v>2022</v>
      </c>
      <c r="C432">
        <v>0.48</v>
      </c>
      <c r="D432">
        <v>0.87</v>
      </c>
      <c r="E432">
        <v>0.98</v>
      </c>
      <c r="F432">
        <v>0.88</v>
      </c>
      <c r="G432">
        <v>0.72</v>
      </c>
      <c r="H432">
        <v>0.46</v>
      </c>
      <c r="I432">
        <v>309</v>
      </c>
      <c r="J432">
        <v>9</v>
      </c>
      <c r="K432">
        <v>0.76</v>
      </c>
      <c r="L432" t="s">
        <v>13</v>
      </c>
    </row>
    <row r="433" spans="1:12" x14ac:dyDescent="0.3">
      <c r="A433">
        <v>14</v>
      </c>
      <c r="B433">
        <v>2022</v>
      </c>
      <c r="C433">
        <v>0.51</v>
      </c>
      <c r="D433">
        <v>0.91</v>
      </c>
      <c r="E433">
        <v>0.88</v>
      </c>
      <c r="F433">
        <v>0.72</v>
      </c>
      <c r="G433">
        <v>0.6</v>
      </c>
      <c r="H433">
        <v>0.19</v>
      </c>
      <c r="I433">
        <v>261</v>
      </c>
      <c r="J433">
        <v>14</v>
      </c>
      <c r="K433">
        <v>0.72</v>
      </c>
      <c r="L433" t="s">
        <v>13</v>
      </c>
    </row>
    <row r="434" spans="1:12" x14ac:dyDescent="0.3">
      <c r="A434">
        <v>14</v>
      </c>
      <c r="B434">
        <v>2022</v>
      </c>
      <c r="C434">
        <v>0.76</v>
      </c>
      <c r="D434">
        <v>0.53</v>
      </c>
      <c r="E434">
        <v>0.85</v>
      </c>
      <c r="F434">
        <v>0.72</v>
      </c>
      <c r="G434">
        <v>0.91</v>
      </c>
      <c r="H434">
        <v>0.34</v>
      </c>
      <c r="I434">
        <v>369</v>
      </c>
      <c r="J434">
        <v>3</v>
      </c>
      <c r="K434">
        <v>0.73</v>
      </c>
      <c r="L434" t="s">
        <v>13</v>
      </c>
    </row>
    <row r="435" spans="1:12" x14ac:dyDescent="0.3">
      <c r="A435">
        <v>15</v>
      </c>
      <c r="B435">
        <v>2022</v>
      </c>
      <c r="C435">
        <v>0.63</v>
      </c>
      <c r="D435">
        <v>0.8</v>
      </c>
      <c r="E435">
        <v>0.7</v>
      </c>
      <c r="F435">
        <v>0.72</v>
      </c>
      <c r="G435">
        <v>0.74</v>
      </c>
      <c r="H435">
        <v>0.15</v>
      </c>
      <c r="I435">
        <v>247</v>
      </c>
      <c r="J435">
        <v>0</v>
      </c>
      <c r="K435">
        <v>0.71</v>
      </c>
      <c r="L435" t="s">
        <v>13</v>
      </c>
    </row>
    <row r="436" spans="1:12" x14ac:dyDescent="0.3">
      <c r="A436">
        <v>15</v>
      </c>
      <c r="B436">
        <v>2022</v>
      </c>
      <c r="C436">
        <v>0.34</v>
      </c>
      <c r="D436">
        <v>0.76</v>
      </c>
      <c r="E436">
        <v>0.71</v>
      </c>
      <c r="F436">
        <v>0.73</v>
      </c>
      <c r="G436">
        <v>0.36</v>
      </c>
      <c r="H436">
        <v>0.56000000000000005</v>
      </c>
      <c r="I436">
        <v>470</v>
      </c>
      <c r="J436">
        <v>5</v>
      </c>
      <c r="K436">
        <v>0.57999999999999996</v>
      </c>
      <c r="L436" t="s">
        <v>12</v>
      </c>
    </row>
    <row r="437" spans="1:12" x14ac:dyDescent="0.3">
      <c r="A437">
        <v>15</v>
      </c>
      <c r="B437">
        <v>2022</v>
      </c>
      <c r="C437">
        <v>0.91</v>
      </c>
      <c r="D437">
        <v>0.98</v>
      </c>
      <c r="E437">
        <v>0.96</v>
      </c>
      <c r="F437">
        <v>0.92</v>
      </c>
      <c r="G437">
        <v>0.75</v>
      </c>
      <c r="H437">
        <v>0.78</v>
      </c>
      <c r="I437">
        <v>247</v>
      </c>
      <c r="J437">
        <v>0</v>
      </c>
      <c r="K437">
        <v>0.92</v>
      </c>
      <c r="L437" t="s">
        <v>13</v>
      </c>
    </row>
    <row r="438" spans="1:12" x14ac:dyDescent="0.3">
      <c r="A438">
        <v>15</v>
      </c>
      <c r="B438">
        <v>2022</v>
      </c>
      <c r="C438">
        <v>0.42</v>
      </c>
      <c r="D438">
        <v>0.72</v>
      </c>
      <c r="E438">
        <v>0.68</v>
      </c>
      <c r="F438">
        <v>0.65</v>
      </c>
      <c r="G438">
        <v>0.33</v>
      </c>
      <c r="H438">
        <v>0.56000000000000005</v>
      </c>
      <c r="I438">
        <v>143</v>
      </c>
      <c r="J438">
        <v>7</v>
      </c>
      <c r="K438">
        <v>0.56999999999999995</v>
      </c>
      <c r="L438" t="s">
        <v>12</v>
      </c>
    </row>
    <row r="439" spans="1:12" x14ac:dyDescent="0.3">
      <c r="A439">
        <v>16</v>
      </c>
      <c r="B439">
        <v>2022</v>
      </c>
      <c r="C439">
        <v>0.73</v>
      </c>
      <c r="D439">
        <v>0.83</v>
      </c>
      <c r="E439">
        <v>0.64</v>
      </c>
      <c r="F439">
        <v>0.77</v>
      </c>
      <c r="G439">
        <v>0.39</v>
      </c>
      <c r="H439">
        <v>0.18</v>
      </c>
      <c r="I439">
        <v>400</v>
      </c>
      <c r="J439">
        <v>11</v>
      </c>
      <c r="K439">
        <v>0.71</v>
      </c>
      <c r="L439" t="s">
        <v>13</v>
      </c>
    </row>
    <row r="440" spans="1:12" x14ac:dyDescent="0.3">
      <c r="A440">
        <v>16</v>
      </c>
      <c r="B440">
        <v>2022</v>
      </c>
      <c r="C440">
        <v>0.7</v>
      </c>
      <c r="D440">
        <v>0.66</v>
      </c>
      <c r="E440">
        <v>0.64</v>
      </c>
      <c r="F440">
        <v>0.91</v>
      </c>
      <c r="G440">
        <v>0.46</v>
      </c>
      <c r="H440">
        <v>0.69</v>
      </c>
      <c r="I440">
        <v>345</v>
      </c>
      <c r="J440">
        <v>0</v>
      </c>
      <c r="K440">
        <v>0.69</v>
      </c>
      <c r="L440" t="s">
        <v>12</v>
      </c>
    </row>
    <row r="441" spans="1:12" x14ac:dyDescent="0.3">
      <c r="A441">
        <v>16</v>
      </c>
      <c r="B441">
        <v>2022</v>
      </c>
      <c r="C441">
        <v>0.5</v>
      </c>
      <c r="D441">
        <v>0.45</v>
      </c>
      <c r="E441">
        <v>0.56999999999999995</v>
      </c>
      <c r="F441">
        <v>0.88</v>
      </c>
      <c r="G441">
        <v>0.32</v>
      </c>
      <c r="H441">
        <v>0.86</v>
      </c>
      <c r="I441">
        <v>343</v>
      </c>
      <c r="J441">
        <v>12</v>
      </c>
      <c r="K441">
        <v>0.54</v>
      </c>
      <c r="L441" t="s">
        <v>12</v>
      </c>
    </row>
    <row r="442" spans="1:12" x14ac:dyDescent="0.3">
      <c r="A442">
        <v>16</v>
      </c>
      <c r="B442">
        <v>2022</v>
      </c>
      <c r="C442">
        <v>0.63</v>
      </c>
      <c r="D442">
        <v>0.41</v>
      </c>
      <c r="E442">
        <v>0.74</v>
      </c>
      <c r="F442">
        <v>0.62</v>
      </c>
      <c r="G442">
        <v>0.98</v>
      </c>
      <c r="H442">
        <v>0.79</v>
      </c>
      <c r="I442">
        <v>55</v>
      </c>
      <c r="J442">
        <v>4</v>
      </c>
      <c r="K442">
        <v>0.63</v>
      </c>
      <c r="L442" t="s">
        <v>12</v>
      </c>
    </row>
    <row r="443" spans="1:12" x14ac:dyDescent="0.3">
      <c r="A443">
        <v>17</v>
      </c>
      <c r="B443">
        <v>2022</v>
      </c>
      <c r="C443">
        <v>0.59</v>
      </c>
      <c r="D443">
        <v>0.84</v>
      </c>
      <c r="E443">
        <v>0.73</v>
      </c>
      <c r="F443">
        <v>0.94</v>
      </c>
      <c r="G443">
        <v>0.96</v>
      </c>
      <c r="H443">
        <v>0.34</v>
      </c>
      <c r="I443">
        <v>170</v>
      </c>
      <c r="J443">
        <v>3</v>
      </c>
      <c r="K443">
        <v>0.77</v>
      </c>
      <c r="L443" t="s">
        <v>13</v>
      </c>
    </row>
    <row r="444" spans="1:12" x14ac:dyDescent="0.3">
      <c r="A444">
        <v>17</v>
      </c>
      <c r="B444">
        <v>2022</v>
      </c>
      <c r="C444">
        <v>0.34</v>
      </c>
      <c r="D444">
        <v>0.41</v>
      </c>
      <c r="E444">
        <v>0.51</v>
      </c>
      <c r="F444">
        <v>0.6</v>
      </c>
      <c r="G444">
        <v>0.38</v>
      </c>
      <c r="H444">
        <v>0.24</v>
      </c>
      <c r="I444">
        <v>353</v>
      </c>
      <c r="J444">
        <v>18</v>
      </c>
      <c r="K444">
        <v>0.43</v>
      </c>
      <c r="L444" t="s">
        <v>12</v>
      </c>
    </row>
    <row r="445" spans="1:12" x14ac:dyDescent="0.3">
      <c r="A445">
        <v>18</v>
      </c>
      <c r="B445">
        <v>2022</v>
      </c>
      <c r="C445">
        <v>0.55000000000000004</v>
      </c>
      <c r="D445">
        <v>0.64</v>
      </c>
      <c r="E445">
        <v>0.55000000000000004</v>
      </c>
      <c r="F445">
        <v>0.89</v>
      </c>
      <c r="G445">
        <v>0.43</v>
      </c>
      <c r="H445">
        <v>0.56000000000000005</v>
      </c>
      <c r="I445">
        <v>322</v>
      </c>
      <c r="J445">
        <v>6</v>
      </c>
      <c r="K445">
        <v>0.61</v>
      </c>
      <c r="L445" t="s">
        <v>12</v>
      </c>
    </row>
    <row r="446" spans="1:12" x14ac:dyDescent="0.3">
      <c r="A446">
        <v>18</v>
      </c>
      <c r="B446">
        <v>2022</v>
      </c>
      <c r="C446">
        <v>0.34</v>
      </c>
      <c r="D446">
        <v>0.95</v>
      </c>
      <c r="E446">
        <v>0.85</v>
      </c>
      <c r="F446">
        <v>0.8</v>
      </c>
      <c r="G446">
        <v>0.61</v>
      </c>
      <c r="H446">
        <v>0.13</v>
      </c>
      <c r="I446">
        <v>435</v>
      </c>
      <c r="J446">
        <v>16</v>
      </c>
      <c r="K446">
        <v>0.69</v>
      </c>
      <c r="L446" t="s">
        <v>12</v>
      </c>
    </row>
    <row r="447" spans="1:12" x14ac:dyDescent="0.3">
      <c r="A447">
        <v>19</v>
      </c>
      <c r="B447">
        <v>2022</v>
      </c>
      <c r="C447">
        <v>0.99</v>
      </c>
      <c r="D447">
        <v>0.69</v>
      </c>
      <c r="E447">
        <v>0.93</v>
      </c>
      <c r="F447">
        <v>0.84</v>
      </c>
      <c r="G447">
        <v>0.56000000000000005</v>
      </c>
      <c r="H447">
        <v>0.28999999999999998</v>
      </c>
      <c r="I447">
        <v>466</v>
      </c>
      <c r="J447">
        <v>14</v>
      </c>
      <c r="K447">
        <v>0.84</v>
      </c>
      <c r="L447" t="s">
        <v>13</v>
      </c>
    </row>
    <row r="448" spans="1:12" x14ac:dyDescent="0.3">
      <c r="A448">
        <v>19</v>
      </c>
      <c r="B448">
        <v>2022</v>
      </c>
      <c r="C448">
        <v>0.57999999999999996</v>
      </c>
      <c r="D448">
        <v>0.69</v>
      </c>
      <c r="E448">
        <v>0.51</v>
      </c>
      <c r="F448">
        <v>0.76</v>
      </c>
      <c r="G448">
        <v>0.75</v>
      </c>
      <c r="H448">
        <v>0.02</v>
      </c>
      <c r="I448">
        <v>433</v>
      </c>
      <c r="J448">
        <v>15</v>
      </c>
      <c r="K448">
        <v>0.64</v>
      </c>
      <c r="L448" t="s">
        <v>12</v>
      </c>
    </row>
    <row r="449" spans="1:12" x14ac:dyDescent="0.3">
      <c r="A449">
        <v>19</v>
      </c>
      <c r="B449">
        <v>2022</v>
      </c>
      <c r="C449">
        <v>0.44</v>
      </c>
      <c r="D449">
        <v>0.78</v>
      </c>
      <c r="E449">
        <v>0.63</v>
      </c>
      <c r="F449">
        <v>0.95</v>
      </c>
      <c r="G449">
        <v>0.93</v>
      </c>
      <c r="H449">
        <v>0.3</v>
      </c>
      <c r="I449">
        <v>280</v>
      </c>
      <c r="J449">
        <v>18</v>
      </c>
      <c r="K449">
        <v>0.69</v>
      </c>
      <c r="L449" t="s">
        <v>12</v>
      </c>
    </row>
    <row r="450" spans="1:12" x14ac:dyDescent="0.3">
      <c r="A450">
        <v>19</v>
      </c>
      <c r="B450">
        <v>2022</v>
      </c>
      <c r="C450">
        <v>0.72</v>
      </c>
      <c r="D450">
        <v>0.43</v>
      </c>
      <c r="E450">
        <v>0.95</v>
      </c>
      <c r="F450">
        <v>0.81</v>
      </c>
      <c r="G450">
        <v>0.77</v>
      </c>
      <c r="H450">
        <v>0.83</v>
      </c>
      <c r="I450">
        <v>220</v>
      </c>
      <c r="J450">
        <v>6</v>
      </c>
      <c r="K450">
        <v>0.71</v>
      </c>
      <c r="L450" t="s">
        <v>13</v>
      </c>
    </row>
    <row r="451" spans="1:12" x14ac:dyDescent="0.3">
      <c r="A451">
        <v>19</v>
      </c>
      <c r="B451">
        <v>2022</v>
      </c>
      <c r="C451">
        <v>0.76</v>
      </c>
      <c r="D451">
        <v>0.66</v>
      </c>
      <c r="E451">
        <v>0.52</v>
      </c>
      <c r="F451">
        <v>0.97</v>
      </c>
      <c r="G451">
        <v>0.63</v>
      </c>
      <c r="H451">
        <v>0.03</v>
      </c>
      <c r="I451">
        <v>314</v>
      </c>
      <c r="J451">
        <v>11</v>
      </c>
      <c r="K451">
        <v>0.71</v>
      </c>
      <c r="L451" t="s">
        <v>13</v>
      </c>
    </row>
    <row r="452" spans="1:12" x14ac:dyDescent="0.3">
      <c r="A452">
        <v>19</v>
      </c>
      <c r="B452">
        <v>2022</v>
      </c>
      <c r="C452">
        <v>0.63</v>
      </c>
      <c r="D452">
        <v>0.54</v>
      </c>
      <c r="E452">
        <v>0.79</v>
      </c>
      <c r="F452">
        <v>0.97</v>
      </c>
      <c r="G452">
        <v>0.82</v>
      </c>
      <c r="H452">
        <v>0.67</v>
      </c>
      <c r="I452">
        <v>55</v>
      </c>
      <c r="J452">
        <v>13</v>
      </c>
      <c r="K452">
        <v>0.71</v>
      </c>
      <c r="L452" t="s">
        <v>13</v>
      </c>
    </row>
    <row r="453" spans="1:12" x14ac:dyDescent="0.3">
      <c r="A453">
        <v>19</v>
      </c>
      <c r="B453">
        <v>2022</v>
      </c>
      <c r="C453">
        <v>1</v>
      </c>
      <c r="D453">
        <v>0.46</v>
      </c>
      <c r="E453">
        <v>0.93</v>
      </c>
      <c r="F453">
        <v>0.79</v>
      </c>
      <c r="G453">
        <v>0.88</v>
      </c>
      <c r="H453">
        <v>0.82</v>
      </c>
      <c r="I453">
        <v>473</v>
      </c>
      <c r="J453">
        <v>11</v>
      </c>
      <c r="K453">
        <v>0.81</v>
      </c>
      <c r="L453" t="s">
        <v>13</v>
      </c>
    </row>
    <row r="454" spans="1:12" x14ac:dyDescent="0.3">
      <c r="A454">
        <v>20</v>
      </c>
      <c r="B454">
        <v>2022</v>
      </c>
      <c r="C454">
        <v>0.49</v>
      </c>
      <c r="D454">
        <v>0.46</v>
      </c>
      <c r="E454">
        <v>0.57999999999999996</v>
      </c>
      <c r="F454">
        <v>0.66</v>
      </c>
      <c r="G454">
        <v>0.98</v>
      </c>
      <c r="H454">
        <v>0.76</v>
      </c>
      <c r="I454">
        <v>345</v>
      </c>
      <c r="J454">
        <v>7</v>
      </c>
      <c r="K454">
        <v>0.56999999999999995</v>
      </c>
      <c r="L454" t="s">
        <v>12</v>
      </c>
    </row>
    <row r="455" spans="1:12" x14ac:dyDescent="0.3">
      <c r="A455">
        <v>20</v>
      </c>
      <c r="B455">
        <v>2022</v>
      </c>
      <c r="C455">
        <v>0.53</v>
      </c>
      <c r="D455">
        <v>0.83</v>
      </c>
      <c r="E455">
        <v>0.54</v>
      </c>
      <c r="F455">
        <v>0.97</v>
      </c>
      <c r="G455">
        <v>0.31</v>
      </c>
      <c r="H455">
        <v>0.96</v>
      </c>
      <c r="I455">
        <v>273</v>
      </c>
      <c r="J455">
        <v>13</v>
      </c>
      <c r="K455">
        <v>0.65</v>
      </c>
      <c r="L455" t="s">
        <v>12</v>
      </c>
    </row>
    <row r="456" spans="1:12" x14ac:dyDescent="0.3">
      <c r="A456">
        <v>20</v>
      </c>
      <c r="B456">
        <v>2022</v>
      </c>
      <c r="C456">
        <v>0.76</v>
      </c>
      <c r="D456">
        <v>0.43</v>
      </c>
      <c r="E456">
        <v>0.92</v>
      </c>
      <c r="F456">
        <v>0.7</v>
      </c>
      <c r="G456">
        <v>0.6</v>
      </c>
      <c r="H456">
        <v>0.67</v>
      </c>
      <c r="I456">
        <v>473</v>
      </c>
      <c r="J456">
        <v>2</v>
      </c>
      <c r="K456">
        <v>0.68</v>
      </c>
      <c r="L456" t="s">
        <v>12</v>
      </c>
    </row>
    <row r="457" spans="1:12" x14ac:dyDescent="0.3">
      <c r="A457">
        <v>20</v>
      </c>
      <c r="B457">
        <v>2022</v>
      </c>
      <c r="C457">
        <v>0.93</v>
      </c>
      <c r="D457">
        <v>0.5</v>
      </c>
      <c r="E457">
        <v>0.51</v>
      </c>
      <c r="F457">
        <v>0.96</v>
      </c>
      <c r="G457">
        <v>0.88</v>
      </c>
      <c r="H457">
        <v>0.97</v>
      </c>
      <c r="I457">
        <v>392</v>
      </c>
      <c r="J457">
        <v>0</v>
      </c>
      <c r="K457">
        <v>0.74</v>
      </c>
      <c r="L457" t="s">
        <v>13</v>
      </c>
    </row>
    <row r="458" spans="1:12" x14ac:dyDescent="0.3">
      <c r="A458">
        <v>21</v>
      </c>
      <c r="B458">
        <v>2022</v>
      </c>
      <c r="C458">
        <v>0.92</v>
      </c>
      <c r="D458">
        <v>0.75</v>
      </c>
      <c r="E458">
        <v>0.82</v>
      </c>
      <c r="F458">
        <v>0.66</v>
      </c>
      <c r="G458">
        <v>0.63</v>
      </c>
      <c r="H458">
        <v>0.72</v>
      </c>
      <c r="I458">
        <v>103</v>
      </c>
      <c r="J458">
        <v>15</v>
      </c>
      <c r="K458">
        <v>0.79</v>
      </c>
      <c r="L458" t="s">
        <v>13</v>
      </c>
    </row>
    <row r="459" spans="1:12" x14ac:dyDescent="0.3">
      <c r="A459">
        <v>21</v>
      </c>
      <c r="B459">
        <v>2022</v>
      </c>
      <c r="C459">
        <v>0.53</v>
      </c>
      <c r="D459">
        <v>0.56999999999999995</v>
      </c>
      <c r="E459">
        <v>0.59</v>
      </c>
      <c r="F459">
        <v>0.8</v>
      </c>
      <c r="G459">
        <v>0.49</v>
      </c>
      <c r="H459">
        <v>0.73</v>
      </c>
      <c r="I459">
        <v>186</v>
      </c>
      <c r="J459">
        <v>5</v>
      </c>
      <c r="K459">
        <v>0.59</v>
      </c>
      <c r="L459" t="s">
        <v>12</v>
      </c>
    </row>
    <row r="460" spans="1:12" x14ac:dyDescent="0.3">
      <c r="A460">
        <v>21</v>
      </c>
      <c r="B460">
        <v>2022</v>
      </c>
      <c r="C460">
        <v>0.75</v>
      </c>
      <c r="D460">
        <v>0.42</v>
      </c>
      <c r="E460">
        <v>0.81</v>
      </c>
      <c r="F460">
        <v>0.8</v>
      </c>
      <c r="G460">
        <v>0.68</v>
      </c>
      <c r="H460">
        <v>0.36</v>
      </c>
      <c r="I460">
        <v>351</v>
      </c>
      <c r="J460">
        <v>7</v>
      </c>
      <c r="K460">
        <v>0.68</v>
      </c>
      <c r="L460" t="s">
        <v>12</v>
      </c>
    </row>
    <row r="461" spans="1:12" x14ac:dyDescent="0.3">
      <c r="A461">
        <v>21</v>
      </c>
      <c r="B461">
        <v>2022</v>
      </c>
      <c r="C461">
        <v>0.65</v>
      </c>
      <c r="D461">
        <v>0.91</v>
      </c>
      <c r="E461">
        <v>0.9</v>
      </c>
      <c r="F461">
        <v>0.76</v>
      </c>
      <c r="G461">
        <v>0.46</v>
      </c>
      <c r="H461">
        <v>0.41</v>
      </c>
      <c r="I461">
        <v>406</v>
      </c>
      <c r="J461">
        <v>19</v>
      </c>
      <c r="K461">
        <v>0.76</v>
      </c>
      <c r="L461" t="s">
        <v>13</v>
      </c>
    </row>
    <row r="462" spans="1:12" x14ac:dyDescent="0.3">
      <c r="A462">
        <v>21</v>
      </c>
      <c r="B462">
        <v>2022</v>
      </c>
      <c r="C462">
        <v>0.48</v>
      </c>
      <c r="D462">
        <v>0.67</v>
      </c>
      <c r="E462">
        <v>0.52</v>
      </c>
      <c r="F462">
        <v>0.76</v>
      </c>
      <c r="G462">
        <v>0.7</v>
      </c>
      <c r="H462">
        <v>0.95</v>
      </c>
      <c r="I462">
        <v>83</v>
      </c>
      <c r="J462">
        <v>7</v>
      </c>
      <c r="K462">
        <v>0.6</v>
      </c>
      <c r="L462" t="s">
        <v>12</v>
      </c>
    </row>
    <row r="463" spans="1:12" x14ac:dyDescent="0.3">
      <c r="A463">
        <v>21</v>
      </c>
      <c r="B463">
        <v>2022</v>
      </c>
      <c r="C463">
        <v>0.42</v>
      </c>
      <c r="D463">
        <v>0.42</v>
      </c>
      <c r="E463">
        <v>0.95</v>
      </c>
      <c r="F463">
        <v>0.6</v>
      </c>
      <c r="G463">
        <v>0.82</v>
      </c>
      <c r="H463">
        <v>0.15</v>
      </c>
      <c r="I463">
        <v>410</v>
      </c>
      <c r="J463">
        <v>12</v>
      </c>
      <c r="K463">
        <v>0.59</v>
      </c>
      <c r="L463" t="s">
        <v>12</v>
      </c>
    </row>
    <row r="464" spans="1:12" x14ac:dyDescent="0.3">
      <c r="A464">
        <v>22</v>
      </c>
      <c r="B464">
        <v>2022</v>
      </c>
      <c r="C464">
        <v>0.76</v>
      </c>
      <c r="D464">
        <v>0.89</v>
      </c>
      <c r="E464">
        <v>0.89</v>
      </c>
      <c r="F464">
        <v>0.9</v>
      </c>
      <c r="G464">
        <v>0.43</v>
      </c>
      <c r="H464">
        <v>0.09</v>
      </c>
      <c r="I464">
        <v>406</v>
      </c>
      <c r="J464">
        <v>19</v>
      </c>
      <c r="K464">
        <v>0.81</v>
      </c>
      <c r="L464" t="s">
        <v>13</v>
      </c>
    </row>
    <row r="465" spans="1:12" x14ac:dyDescent="0.3">
      <c r="A465">
        <v>22</v>
      </c>
      <c r="B465">
        <v>2022</v>
      </c>
      <c r="C465">
        <v>0.53</v>
      </c>
      <c r="D465">
        <v>0.89</v>
      </c>
      <c r="E465">
        <v>0.8</v>
      </c>
      <c r="F465">
        <v>0.76</v>
      </c>
      <c r="G465">
        <v>0.63</v>
      </c>
      <c r="H465">
        <v>0.85</v>
      </c>
      <c r="I465">
        <v>311</v>
      </c>
      <c r="J465">
        <v>19</v>
      </c>
      <c r="K465">
        <v>0.72</v>
      </c>
      <c r="L465" t="s">
        <v>13</v>
      </c>
    </row>
    <row r="466" spans="1:12" x14ac:dyDescent="0.3">
      <c r="A466">
        <v>22</v>
      </c>
      <c r="B466">
        <v>2022</v>
      </c>
      <c r="C466">
        <v>0.8</v>
      </c>
      <c r="D466">
        <v>0.85</v>
      </c>
      <c r="E466">
        <v>0.53</v>
      </c>
      <c r="F466">
        <v>0.69</v>
      </c>
      <c r="G466">
        <v>0.49</v>
      </c>
      <c r="H466">
        <v>0.55000000000000004</v>
      </c>
      <c r="I466">
        <v>346</v>
      </c>
      <c r="J466">
        <v>10</v>
      </c>
      <c r="K466">
        <v>0.71</v>
      </c>
      <c r="L466" t="s">
        <v>13</v>
      </c>
    </row>
    <row r="467" spans="1:12" x14ac:dyDescent="0.3">
      <c r="A467">
        <v>22</v>
      </c>
      <c r="B467">
        <v>2022</v>
      </c>
      <c r="C467">
        <v>0.45</v>
      </c>
      <c r="D467">
        <v>0.52</v>
      </c>
      <c r="E467">
        <v>0.56000000000000005</v>
      </c>
      <c r="F467">
        <v>0.68</v>
      </c>
      <c r="G467">
        <v>0.32</v>
      </c>
      <c r="H467">
        <v>0.67</v>
      </c>
      <c r="I467">
        <v>52</v>
      </c>
      <c r="J467">
        <v>17</v>
      </c>
      <c r="K467">
        <v>0.51</v>
      </c>
      <c r="L467" t="s">
        <v>12</v>
      </c>
    </row>
    <row r="468" spans="1:12" x14ac:dyDescent="0.3">
      <c r="A468">
        <v>22</v>
      </c>
      <c r="B468">
        <v>2022</v>
      </c>
      <c r="C468">
        <v>0.92</v>
      </c>
      <c r="D468">
        <v>0.91</v>
      </c>
      <c r="E468">
        <v>0.69</v>
      </c>
      <c r="F468">
        <v>0.78</v>
      </c>
      <c r="G468">
        <v>0.31</v>
      </c>
      <c r="H468">
        <v>0.4</v>
      </c>
      <c r="I468">
        <v>123</v>
      </c>
      <c r="J468">
        <v>4</v>
      </c>
      <c r="K468">
        <v>0.79</v>
      </c>
      <c r="L468" t="s">
        <v>13</v>
      </c>
    </row>
    <row r="469" spans="1:12" x14ac:dyDescent="0.3">
      <c r="A469">
        <v>22</v>
      </c>
      <c r="B469">
        <v>2022</v>
      </c>
      <c r="C469">
        <v>0.59</v>
      </c>
      <c r="D469">
        <v>0.57999999999999996</v>
      </c>
      <c r="E469">
        <v>0.52</v>
      </c>
      <c r="F469">
        <v>0.9</v>
      </c>
      <c r="G469">
        <v>0.82</v>
      </c>
      <c r="H469">
        <v>0.67</v>
      </c>
      <c r="I469">
        <v>314</v>
      </c>
      <c r="J469">
        <v>1</v>
      </c>
      <c r="K469">
        <v>0.64</v>
      </c>
      <c r="L469" t="s">
        <v>12</v>
      </c>
    </row>
    <row r="470" spans="1:12" x14ac:dyDescent="0.3">
      <c r="A470">
        <v>23</v>
      </c>
      <c r="B470">
        <v>2022</v>
      </c>
      <c r="C470">
        <v>0.48</v>
      </c>
      <c r="D470">
        <v>0.8</v>
      </c>
      <c r="E470">
        <v>0.91</v>
      </c>
      <c r="F470">
        <v>0.82</v>
      </c>
      <c r="G470">
        <v>0.67</v>
      </c>
      <c r="H470">
        <v>0.24</v>
      </c>
      <c r="I470">
        <v>353</v>
      </c>
      <c r="J470">
        <v>11</v>
      </c>
      <c r="K470">
        <v>0.72</v>
      </c>
      <c r="L470" t="s">
        <v>13</v>
      </c>
    </row>
    <row r="471" spans="1:12" x14ac:dyDescent="0.3">
      <c r="A471">
        <v>23</v>
      </c>
      <c r="B471">
        <v>2022</v>
      </c>
      <c r="C471">
        <v>0.6</v>
      </c>
      <c r="D471">
        <v>0.98</v>
      </c>
      <c r="E471">
        <v>0.56999999999999995</v>
      </c>
      <c r="F471">
        <v>0.83</v>
      </c>
      <c r="G471">
        <v>0.44</v>
      </c>
      <c r="H471">
        <v>0.79</v>
      </c>
      <c r="I471">
        <v>143</v>
      </c>
      <c r="J471">
        <v>18</v>
      </c>
      <c r="K471">
        <v>0.71</v>
      </c>
      <c r="L471" t="s">
        <v>13</v>
      </c>
    </row>
    <row r="472" spans="1:12" x14ac:dyDescent="0.3">
      <c r="A472">
        <v>23</v>
      </c>
      <c r="B472">
        <v>2022</v>
      </c>
      <c r="C472">
        <v>0.43</v>
      </c>
      <c r="D472">
        <v>0.44</v>
      </c>
      <c r="E472">
        <v>0.61</v>
      </c>
      <c r="F472">
        <v>0.81</v>
      </c>
      <c r="G472">
        <v>0.79</v>
      </c>
      <c r="H472">
        <v>0.77</v>
      </c>
      <c r="I472">
        <v>358</v>
      </c>
      <c r="J472">
        <v>18</v>
      </c>
      <c r="K472">
        <v>0.56000000000000005</v>
      </c>
      <c r="L472" t="s">
        <v>12</v>
      </c>
    </row>
    <row r="473" spans="1:12" x14ac:dyDescent="0.3">
      <c r="A473">
        <v>23</v>
      </c>
      <c r="B473">
        <v>2022</v>
      </c>
      <c r="C473">
        <v>0.67</v>
      </c>
      <c r="D473">
        <v>0.73</v>
      </c>
      <c r="E473">
        <v>0.55000000000000004</v>
      </c>
      <c r="F473">
        <v>0.99</v>
      </c>
      <c r="G473">
        <v>0.7</v>
      </c>
      <c r="H473">
        <v>0.15</v>
      </c>
      <c r="I473">
        <v>184</v>
      </c>
      <c r="J473">
        <v>13</v>
      </c>
      <c r="K473">
        <v>0.71</v>
      </c>
      <c r="L473" t="s">
        <v>13</v>
      </c>
    </row>
    <row r="474" spans="1:12" x14ac:dyDescent="0.3">
      <c r="A474">
        <v>24</v>
      </c>
      <c r="B474">
        <v>2022</v>
      </c>
      <c r="C474">
        <v>0.32</v>
      </c>
      <c r="D474">
        <v>0.75</v>
      </c>
      <c r="E474">
        <v>0.97</v>
      </c>
      <c r="F474">
        <v>0.83</v>
      </c>
      <c r="G474">
        <v>0.56999999999999995</v>
      </c>
      <c r="H474">
        <v>0.64</v>
      </c>
      <c r="I474">
        <v>466</v>
      </c>
      <c r="J474">
        <v>18</v>
      </c>
      <c r="K474">
        <v>0.66</v>
      </c>
      <c r="L474" t="s">
        <v>12</v>
      </c>
    </row>
    <row r="475" spans="1:12" x14ac:dyDescent="0.3">
      <c r="A475">
        <v>24</v>
      </c>
      <c r="B475">
        <v>2022</v>
      </c>
      <c r="C475">
        <v>0.39</v>
      </c>
      <c r="D475">
        <v>0.92</v>
      </c>
      <c r="E475">
        <v>0.8</v>
      </c>
      <c r="F475">
        <v>0.65</v>
      </c>
      <c r="G475">
        <v>0.6</v>
      </c>
      <c r="H475">
        <v>0.16</v>
      </c>
      <c r="I475">
        <v>78</v>
      </c>
      <c r="J475">
        <v>13</v>
      </c>
      <c r="K475">
        <v>0.66</v>
      </c>
      <c r="L475" t="s">
        <v>12</v>
      </c>
    </row>
    <row r="476" spans="1:12" x14ac:dyDescent="0.3">
      <c r="A476">
        <v>24</v>
      </c>
      <c r="B476">
        <v>2022</v>
      </c>
      <c r="C476">
        <v>0.5</v>
      </c>
      <c r="D476">
        <v>0.51</v>
      </c>
      <c r="E476">
        <v>0.87</v>
      </c>
      <c r="F476">
        <v>0.7</v>
      </c>
      <c r="G476">
        <v>0.62</v>
      </c>
      <c r="H476">
        <v>0.39</v>
      </c>
      <c r="I476">
        <v>120</v>
      </c>
      <c r="J476">
        <v>13</v>
      </c>
      <c r="K476">
        <v>0.62</v>
      </c>
      <c r="L476" t="s">
        <v>12</v>
      </c>
    </row>
    <row r="477" spans="1:12" x14ac:dyDescent="0.3">
      <c r="A477">
        <v>24</v>
      </c>
      <c r="B477">
        <v>2022</v>
      </c>
      <c r="C477">
        <v>0.4</v>
      </c>
      <c r="D477">
        <v>0.48</v>
      </c>
      <c r="E477">
        <v>0.56000000000000005</v>
      </c>
      <c r="F477">
        <v>0.7</v>
      </c>
      <c r="G477">
        <v>0.51</v>
      </c>
      <c r="H477">
        <v>0.96</v>
      </c>
      <c r="I477">
        <v>232</v>
      </c>
      <c r="J477">
        <v>5</v>
      </c>
      <c r="K477">
        <v>0.51</v>
      </c>
      <c r="L477" t="s">
        <v>12</v>
      </c>
    </row>
    <row r="478" spans="1:12" x14ac:dyDescent="0.3">
      <c r="A478">
        <v>25</v>
      </c>
      <c r="B478">
        <v>2022</v>
      </c>
      <c r="C478">
        <v>0.43</v>
      </c>
      <c r="D478">
        <v>0.4</v>
      </c>
      <c r="E478">
        <v>0.53</v>
      </c>
      <c r="F478">
        <v>0.96</v>
      </c>
      <c r="G478">
        <v>0.75</v>
      </c>
      <c r="H478">
        <v>0.27</v>
      </c>
      <c r="I478">
        <v>260</v>
      </c>
      <c r="J478">
        <v>2</v>
      </c>
      <c r="K478">
        <v>0.55000000000000004</v>
      </c>
      <c r="L478" t="s">
        <v>12</v>
      </c>
    </row>
    <row r="479" spans="1:12" x14ac:dyDescent="0.3">
      <c r="A479">
        <v>25</v>
      </c>
      <c r="B479">
        <v>2022</v>
      </c>
      <c r="C479">
        <v>0.93</v>
      </c>
      <c r="D479">
        <v>0.45</v>
      </c>
      <c r="E479">
        <v>0.7</v>
      </c>
      <c r="F479">
        <v>0.64</v>
      </c>
      <c r="G479">
        <v>0.31</v>
      </c>
      <c r="H479">
        <v>0.66</v>
      </c>
      <c r="I479">
        <v>165</v>
      </c>
      <c r="J479">
        <v>15</v>
      </c>
      <c r="K479">
        <v>0.66</v>
      </c>
      <c r="L479" t="s">
        <v>12</v>
      </c>
    </row>
    <row r="480" spans="1:12" x14ac:dyDescent="0.3">
      <c r="A480">
        <v>25</v>
      </c>
      <c r="B480">
        <v>2022</v>
      </c>
      <c r="C480">
        <v>0.72</v>
      </c>
      <c r="D480">
        <v>0.63</v>
      </c>
      <c r="E480">
        <v>0.62</v>
      </c>
      <c r="F480">
        <v>0.64</v>
      </c>
      <c r="G480">
        <v>0.52</v>
      </c>
      <c r="H480">
        <v>0.1</v>
      </c>
      <c r="I480">
        <v>124</v>
      </c>
      <c r="J480">
        <v>6</v>
      </c>
      <c r="K480">
        <v>0.65</v>
      </c>
      <c r="L480" t="s">
        <v>12</v>
      </c>
    </row>
    <row r="481" spans="1:12" x14ac:dyDescent="0.3">
      <c r="A481">
        <v>25</v>
      </c>
      <c r="B481">
        <v>2022</v>
      </c>
      <c r="C481">
        <v>0.96</v>
      </c>
      <c r="D481">
        <v>0.81</v>
      </c>
      <c r="E481">
        <v>0.67</v>
      </c>
      <c r="F481">
        <v>0.8</v>
      </c>
      <c r="G481">
        <v>0.75</v>
      </c>
      <c r="H481">
        <v>0.51</v>
      </c>
      <c r="I481">
        <v>164</v>
      </c>
      <c r="J481">
        <v>1</v>
      </c>
      <c r="K481">
        <v>0.82</v>
      </c>
      <c r="L481" t="s">
        <v>13</v>
      </c>
    </row>
    <row r="482" spans="1:12" x14ac:dyDescent="0.3">
      <c r="A482">
        <v>25</v>
      </c>
      <c r="B482">
        <v>2022</v>
      </c>
      <c r="C482">
        <v>1</v>
      </c>
      <c r="D482">
        <v>0.87</v>
      </c>
      <c r="E482">
        <v>0.64</v>
      </c>
      <c r="F482">
        <v>0.76</v>
      </c>
      <c r="G482">
        <v>0.82</v>
      </c>
      <c r="H482">
        <v>0.97</v>
      </c>
      <c r="I482">
        <v>106</v>
      </c>
      <c r="J482">
        <v>3</v>
      </c>
      <c r="K482">
        <v>0.84</v>
      </c>
      <c r="L482" t="s">
        <v>13</v>
      </c>
    </row>
    <row r="483" spans="1:12" x14ac:dyDescent="0.3">
      <c r="A483">
        <v>25</v>
      </c>
      <c r="B483">
        <v>2022</v>
      </c>
      <c r="C483">
        <v>0.73</v>
      </c>
      <c r="D483">
        <v>0.72</v>
      </c>
      <c r="E483">
        <v>0.53</v>
      </c>
      <c r="F483">
        <v>0.63</v>
      </c>
      <c r="G483">
        <v>0.75</v>
      </c>
      <c r="H483">
        <v>0.47</v>
      </c>
      <c r="I483">
        <v>51</v>
      </c>
      <c r="J483">
        <v>17</v>
      </c>
      <c r="K483">
        <v>0.67</v>
      </c>
      <c r="L483" t="s">
        <v>12</v>
      </c>
    </row>
    <row r="484" spans="1:12" x14ac:dyDescent="0.3">
      <c r="A484">
        <v>26</v>
      </c>
      <c r="B484">
        <v>2022</v>
      </c>
      <c r="C484">
        <v>0.99</v>
      </c>
      <c r="D484">
        <v>0.78</v>
      </c>
      <c r="E484">
        <v>0.71</v>
      </c>
      <c r="F484">
        <v>0.67</v>
      </c>
      <c r="G484">
        <v>0.99</v>
      </c>
      <c r="H484">
        <v>0.82</v>
      </c>
      <c r="I484">
        <v>442</v>
      </c>
      <c r="J484">
        <v>1</v>
      </c>
      <c r="K484">
        <v>0.83</v>
      </c>
      <c r="L484" t="s">
        <v>13</v>
      </c>
    </row>
    <row r="485" spans="1:12" x14ac:dyDescent="0.3">
      <c r="A485">
        <v>26</v>
      </c>
      <c r="B485">
        <v>2022</v>
      </c>
      <c r="C485">
        <v>0.46</v>
      </c>
      <c r="D485">
        <v>0.56000000000000005</v>
      </c>
      <c r="E485">
        <v>0.83</v>
      </c>
      <c r="F485">
        <v>0.76</v>
      </c>
      <c r="G485">
        <v>0.44</v>
      </c>
      <c r="H485">
        <v>0.73</v>
      </c>
      <c r="I485">
        <v>134</v>
      </c>
      <c r="J485">
        <v>8</v>
      </c>
      <c r="K485">
        <v>0.6</v>
      </c>
      <c r="L485" t="s">
        <v>12</v>
      </c>
    </row>
    <row r="486" spans="1:12" x14ac:dyDescent="0.3">
      <c r="A486">
        <v>26</v>
      </c>
      <c r="B486">
        <v>2022</v>
      </c>
      <c r="C486">
        <v>0.89</v>
      </c>
      <c r="D486">
        <v>0.69</v>
      </c>
      <c r="E486">
        <v>0.66</v>
      </c>
      <c r="F486">
        <v>0.95</v>
      </c>
      <c r="G486">
        <v>0.41</v>
      </c>
      <c r="H486">
        <v>0.21</v>
      </c>
      <c r="I486">
        <v>221</v>
      </c>
      <c r="J486">
        <v>15</v>
      </c>
      <c r="K486">
        <v>0.76</v>
      </c>
      <c r="L486" t="s">
        <v>13</v>
      </c>
    </row>
    <row r="487" spans="1:12" x14ac:dyDescent="0.3">
      <c r="A487">
        <v>26</v>
      </c>
      <c r="B487">
        <v>2022</v>
      </c>
      <c r="C487">
        <v>0.92</v>
      </c>
      <c r="D487">
        <v>0.57999999999999996</v>
      </c>
      <c r="E487">
        <v>0.97</v>
      </c>
      <c r="F487">
        <v>0.78</v>
      </c>
      <c r="G487">
        <v>0.77</v>
      </c>
      <c r="H487">
        <v>0.27</v>
      </c>
      <c r="I487">
        <v>453</v>
      </c>
      <c r="J487">
        <v>10</v>
      </c>
      <c r="K487">
        <v>0.81</v>
      </c>
      <c r="L487" t="s">
        <v>13</v>
      </c>
    </row>
    <row r="488" spans="1:12" x14ac:dyDescent="0.3">
      <c r="A488">
        <v>27</v>
      </c>
      <c r="B488">
        <v>2022</v>
      </c>
      <c r="C488">
        <v>0.91</v>
      </c>
      <c r="D488">
        <v>0.84</v>
      </c>
      <c r="E488">
        <v>0.85</v>
      </c>
      <c r="F488">
        <v>0.88</v>
      </c>
      <c r="G488">
        <v>0.55000000000000004</v>
      </c>
      <c r="H488">
        <v>0.28999999999999998</v>
      </c>
      <c r="I488">
        <v>296</v>
      </c>
      <c r="J488">
        <v>2</v>
      </c>
      <c r="K488">
        <v>0.84</v>
      </c>
      <c r="L488" t="s">
        <v>13</v>
      </c>
    </row>
    <row r="489" spans="1:12" x14ac:dyDescent="0.3">
      <c r="A489">
        <v>27</v>
      </c>
      <c r="B489">
        <v>2022</v>
      </c>
      <c r="C489">
        <v>0.64</v>
      </c>
      <c r="D489">
        <v>0.74</v>
      </c>
      <c r="E489">
        <v>0.57999999999999996</v>
      </c>
      <c r="F489">
        <v>0.96</v>
      </c>
      <c r="G489">
        <v>0.46</v>
      </c>
      <c r="H489">
        <v>0.19</v>
      </c>
      <c r="I489">
        <v>272</v>
      </c>
      <c r="J489">
        <v>9</v>
      </c>
      <c r="K489">
        <v>0.68</v>
      </c>
      <c r="L489" t="s">
        <v>12</v>
      </c>
    </row>
    <row r="490" spans="1:12" x14ac:dyDescent="0.3">
      <c r="A490">
        <v>27</v>
      </c>
      <c r="B490">
        <v>2022</v>
      </c>
      <c r="C490">
        <v>0.62</v>
      </c>
      <c r="D490">
        <v>0.88</v>
      </c>
      <c r="E490">
        <v>0.56000000000000005</v>
      </c>
      <c r="F490">
        <v>0.63</v>
      </c>
      <c r="G490">
        <v>0.33</v>
      </c>
      <c r="H490">
        <v>0.54</v>
      </c>
      <c r="I490">
        <v>489</v>
      </c>
      <c r="J490">
        <v>17</v>
      </c>
      <c r="K490">
        <v>0.65</v>
      </c>
      <c r="L490" t="s">
        <v>12</v>
      </c>
    </row>
    <row r="491" spans="1:12" x14ac:dyDescent="0.3">
      <c r="A491">
        <v>28</v>
      </c>
      <c r="B491">
        <v>2022</v>
      </c>
      <c r="C491">
        <v>0.68</v>
      </c>
      <c r="D491">
        <v>0.88</v>
      </c>
      <c r="E491">
        <v>0.77</v>
      </c>
      <c r="F491">
        <v>0.85</v>
      </c>
      <c r="G491">
        <v>0.46</v>
      </c>
      <c r="H491">
        <v>0.85</v>
      </c>
      <c r="I491">
        <v>379</v>
      </c>
      <c r="J491">
        <v>4</v>
      </c>
      <c r="K491">
        <v>0.75</v>
      </c>
      <c r="L491" t="s">
        <v>13</v>
      </c>
    </row>
    <row r="492" spans="1:12" x14ac:dyDescent="0.3">
      <c r="A492">
        <v>28</v>
      </c>
      <c r="B492">
        <v>2022</v>
      </c>
      <c r="C492">
        <v>0.77</v>
      </c>
      <c r="D492">
        <v>0.5</v>
      </c>
      <c r="E492">
        <v>0.53</v>
      </c>
      <c r="F492">
        <v>0.73</v>
      </c>
      <c r="G492">
        <v>0.84</v>
      </c>
      <c r="H492">
        <v>0.41</v>
      </c>
      <c r="I492">
        <v>269</v>
      </c>
      <c r="J492">
        <v>0</v>
      </c>
      <c r="K492">
        <v>0.66</v>
      </c>
      <c r="L492" t="s">
        <v>12</v>
      </c>
    </row>
    <row r="493" spans="1:12" x14ac:dyDescent="0.3">
      <c r="A493">
        <v>28</v>
      </c>
      <c r="B493">
        <v>2022</v>
      </c>
      <c r="C493">
        <v>0.3</v>
      </c>
      <c r="D493">
        <v>0.63</v>
      </c>
      <c r="E493">
        <v>0.53</v>
      </c>
      <c r="F493">
        <v>0.97</v>
      </c>
      <c r="G493">
        <v>0.59</v>
      </c>
      <c r="H493">
        <v>0.46</v>
      </c>
      <c r="I493">
        <v>282</v>
      </c>
      <c r="J493">
        <v>9</v>
      </c>
      <c r="K493">
        <v>0.56000000000000005</v>
      </c>
      <c r="L493" t="s">
        <v>12</v>
      </c>
    </row>
    <row r="494" spans="1:12" x14ac:dyDescent="0.3">
      <c r="A494">
        <v>28</v>
      </c>
      <c r="B494">
        <v>2022</v>
      </c>
      <c r="C494">
        <v>0.36</v>
      </c>
      <c r="D494">
        <v>0.45</v>
      </c>
      <c r="E494">
        <v>0.8</v>
      </c>
      <c r="F494">
        <v>0.84</v>
      </c>
      <c r="G494">
        <v>0.59</v>
      </c>
      <c r="H494">
        <v>0.43</v>
      </c>
      <c r="I494">
        <v>179</v>
      </c>
      <c r="J494">
        <v>18</v>
      </c>
      <c r="K494">
        <v>0.56999999999999995</v>
      </c>
      <c r="L494" t="s">
        <v>12</v>
      </c>
    </row>
    <row r="495" spans="1:12" x14ac:dyDescent="0.3">
      <c r="A495">
        <v>28</v>
      </c>
      <c r="B495">
        <v>2022</v>
      </c>
      <c r="C495">
        <v>0.95</v>
      </c>
      <c r="D495">
        <v>0.81</v>
      </c>
      <c r="E495">
        <v>0.63</v>
      </c>
      <c r="F495">
        <v>0.86</v>
      </c>
      <c r="G495">
        <v>0.89</v>
      </c>
      <c r="H495">
        <v>0.4</v>
      </c>
      <c r="I495">
        <v>165</v>
      </c>
      <c r="J495">
        <v>2</v>
      </c>
      <c r="K495">
        <v>0.83</v>
      </c>
      <c r="L495" t="s">
        <v>13</v>
      </c>
    </row>
    <row r="496" spans="1:12" x14ac:dyDescent="0.3">
      <c r="A496">
        <v>28</v>
      </c>
      <c r="B496">
        <v>2022</v>
      </c>
      <c r="C496">
        <v>0.35</v>
      </c>
      <c r="D496">
        <v>0.64</v>
      </c>
      <c r="E496">
        <v>0.57999999999999996</v>
      </c>
      <c r="F496">
        <v>0.75</v>
      </c>
      <c r="G496">
        <v>0.74</v>
      </c>
      <c r="H496">
        <v>0.55000000000000004</v>
      </c>
      <c r="I496">
        <v>477</v>
      </c>
      <c r="J496">
        <v>13</v>
      </c>
      <c r="K496">
        <v>0.56999999999999995</v>
      </c>
      <c r="L496" t="s">
        <v>12</v>
      </c>
    </row>
    <row r="497" spans="1:12" x14ac:dyDescent="0.3">
      <c r="A497">
        <v>29</v>
      </c>
      <c r="B497">
        <v>2022</v>
      </c>
      <c r="C497">
        <v>0.96</v>
      </c>
      <c r="D497">
        <v>0.95</v>
      </c>
      <c r="E497">
        <v>0.51</v>
      </c>
      <c r="F497">
        <v>0.78</v>
      </c>
      <c r="G497">
        <v>0.98</v>
      </c>
      <c r="H497">
        <v>0.1</v>
      </c>
      <c r="I497">
        <v>107</v>
      </c>
      <c r="J497">
        <v>4</v>
      </c>
      <c r="K497">
        <v>0.84</v>
      </c>
      <c r="L497" t="s">
        <v>13</v>
      </c>
    </row>
    <row r="498" spans="1:12" x14ac:dyDescent="0.3">
      <c r="A498">
        <v>29</v>
      </c>
      <c r="B498">
        <v>2022</v>
      </c>
      <c r="C498">
        <v>0.38</v>
      </c>
      <c r="D498">
        <v>0.47</v>
      </c>
      <c r="E498">
        <v>0.71</v>
      </c>
      <c r="F498">
        <v>0.86</v>
      </c>
      <c r="G498">
        <v>0.8</v>
      </c>
      <c r="H498">
        <v>0.18</v>
      </c>
      <c r="I498">
        <v>453</v>
      </c>
      <c r="J498">
        <v>18</v>
      </c>
      <c r="K498">
        <v>0.57999999999999996</v>
      </c>
      <c r="L498" t="s">
        <v>12</v>
      </c>
    </row>
    <row r="499" spans="1:12" x14ac:dyDescent="0.3">
      <c r="A499">
        <v>29</v>
      </c>
      <c r="B499">
        <v>2022</v>
      </c>
      <c r="C499">
        <v>0.51</v>
      </c>
      <c r="D499">
        <v>0.79</v>
      </c>
      <c r="E499">
        <v>0.92</v>
      </c>
      <c r="F499">
        <v>0.82</v>
      </c>
      <c r="G499">
        <v>0.32</v>
      </c>
      <c r="H499">
        <v>0.46</v>
      </c>
      <c r="I499">
        <v>433</v>
      </c>
      <c r="J499">
        <v>10</v>
      </c>
      <c r="K499">
        <v>0.69</v>
      </c>
      <c r="L499" t="s">
        <v>12</v>
      </c>
    </row>
    <row r="500" spans="1:12" x14ac:dyDescent="0.3">
      <c r="A500">
        <v>29</v>
      </c>
      <c r="B500">
        <v>2022</v>
      </c>
      <c r="C500">
        <v>0.85</v>
      </c>
      <c r="D500">
        <v>0.55000000000000004</v>
      </c>
      <c r="E500">
        <v>0.83</v>
      </c>
      <c r="F500">
        <v>0.73</v>
      </c>
      <c r="G500">
        <v>0.66</v>
      </c>
      <c r="H500">
        <v>0.67</v>
      </c>
      <c r="I500">
        <v>295</v>
      </c>
      <c r="J500">
        <v>14</v>
      </c>
      <c r="K500">
        <v>0.73</v>
      </c>
      <c r="L500" t="s">
        <v>13</v>
      </c>
    </row>
    <row r="501" spans="1:12" x14ac:dyDescent="0.3">
      <c r="A501">
        <v>30</v>
      </c>
      <c r="B501">
        <v>2022</v>
      </c>
      <c r="C501">
        <v>0.93</v>
      </c>
      <c r="D501">
        <v>0.47</v>
      </c>
      <c r="E501">
        <v>0.98</v>
      </c>
      <c r="F501">
        <v>0.73</v>
      </c>
      <c r="G501">
        <v>0.92</v>
      </c>
      <c r="H501">
        <v>0.6</v>
      </c>
      <c r="I501">
        <v>250</v>
      </c>
      <c r="J501">
        <v>16</v>
      </c>
      <c r="K501">
        <v>0.79</v>
      </c>
      <c r="L501" t="s">
        <v>13</v>
      </c>
    </row>
    <row r="502" spans="1:12" x14ac:dyDescent="0.3">
      <c r="A502">
        <v>30</v>
      </c>
      <c r="B502">
        <v>2022</v>
      </c>
      <c r="C502">
        <v>0.42</v>
      </c>
      <c r="D502">
        <v>0.54</v>
      </c>
      <c r="E502">
        <v>0.79</v>
      </c>
      <c r="F502">
        <v>0.77</v>
      </c>
      <c r="G502">
        <v>0.66</v>
      </c>
      <c r="H502">
        <v>0.17</v>
      </c>
      <c r="I502">
        <v>420</v>
      </c>
      <c r="J502">
        <v>11</v>
      </c>
      <c r="K502">
        <v>0.6</v>
      </c>
      <c r="L502" t="s">
        <v>12</v>
      </c>
    </row>
    <row r="503" spans="1:12" x14ac:dyDescent="0.3">
      <c r="A503">
        <v>30</v>
      </c>
      <c r="B503">
        <v>2022</v>
      </c>
      <c r="C503">
        <v>0.42</v>
      </c>
      <c r="D503">
        <v>0.44</v>
      </c>
      <c r="E503">
        <v>0.72</v>
      </c>
      <c r="F503">
        <v>0.94</v>
      </c>
      <c r="G503">
        <v>0.35</v>
      </c>
      <c r="H503">
        <v>0.36</v>
      </c>
      <c r="I503">
        <v>243</v>
      </c>
      <c r="J503">
        <v>14</v>
      </c>
      <c r="K503">
        <v>0.56000000000000005</v>
      </c>
      <c r="L503" t="s">
        <v>12</v>
      </c>
    </row>
    <row r="504" spans="1:12" x14ac:dyDescent="0.3">
      <c r="A504">
        <v>31</v>
      </c>
      <c r="B504">
        <v>2022</v>
      </c>
      <c r="C504">
        <v>0.45</v>
      </c>
      <c r="D504">
        <v>0.72</v>
      </c>
      <c r="E504">
        <v>0.87</v>
      </c>
      <c r="F504">
        <v>0.85</v>
      </c>
      <c r="G504">
        <v>0.63</v>
      </c>
      <c r="H504">
        <v>0.96</v>
      </c>
      <c r="I504">
        <v>472</v>
      </c>
      <c r="J504">
        <v>12</v>
      </c>
      <c r="K504">
        <v>0.68</v>
      </c>
      <c r="L504" t="s">
        <v>12</v>
      </c>
    </row>
    <row r="505" spans="1:12" x14ac:dyDescent="0.3">
      <c r="A505">
        <v>31</v>
      </c>
      <c r="B505">
        <v>2022</v>
      </c>
      <c r="C505">
        <v>0.68</v>
      </c>
      <c r="D505">
        <v>1</v>
      </c>
      <c r="E505">
        <v>0.7</v>
      </c>
      <c r="F505">
        <v>0.85</v>
      </c>
      <c r="G505">
        <v>0.56000000000000005</v>
      </c>
      <c r="H505">
        <v>0.39</v>
      </c>
      <c r="I505">
        <v>363</v>
      </c>
      <c r="J505">
        <v>19</v>
      </c>
      <c r="K505">
        <v>0.78</v>
      </c>
      <c r="L505" t="s">
        <v>13</v>
      </c>
    </row>
    <row r="506" spans="1:12" x14ac:dyDescent="0.3">
      <c r="A506">
        <v>32</v>
      </c>
      <c r="B506">
        <v>2022</v>
      </c>
      <c r="C506">
        <v>0.84</v>
      </c>
      <c r="D506">
        <v>0.54</v>
      </c>
      <c r="E506">
        <v>0.56999999999999995</v>
      </c>
      <c r="F506">
        <v>0.95</v>
      </c>
      <c r="G506">
        <v>0.97</v>
      </c>
      <c r="H506">
        <v>0.03</v>
      </c>
      <c r="I506">
        <v>70</v>
      </c>
      <c r="J506">
        <v>14</v>
      </c>
      <c r="K506">
        <v>0.74</v>
      </c>
      <c r="L506" t="s">
        <v>13</v>
      </c>
    </row>
    <row r="507" spans="1:12" x14ac:dyDescent="0.3">
      <c r="A507">
        <v>32</v>
      </c>
      <c r="B507">
        <v>2022</v>
      </c>
      <c r="C507">
        <v>0.8</v>
      </c>
      <c r="D507">
        <v>0.66</v>
      </c>
      <c r="E507">
        <v>0.7</v>
      </c>
      <c r="F507">
        <v>0.65</v>
      </c>
      <c r="G507">
        <v>0.65</v>
      </c>
      <c r="H507">
        <v>0.13</v>
      </c>
      <c r="I507">
        <v>142</v>
      </c>
      <c r="J507">
        <v>18</v>
      </c>
      <c r="K507">
        <v>0.71</v>
      </c>
      <c r="L507" t="s">
        <v>13</v>
      </c>
    </row>
    <row r="508" spans="1:12" x14ac:dyDescent="0.3">
      <c r="A508">
        <v>32</v>
      </c>
      <c r="B508">
        <v>2022</v>
      </c>
      <c r="C508">
        <v>0.54</v>
      </c>
      <c r="D508">
        <v>0.68</v>
      </c>
      <c r="E508">
        <v>0.6</v>
      </c>
      <c r="F508">
        <v>0.69</v>
      </c>
      <c r="G508">
        <v>0.49</v>
      </c>
      <c r="H508">
        <v>0.45</v>
      </c>
      <c r="I508">
        <v>269</v>
      </c>
      <c r="J508">
        <v>13</v>
      </c>
      <c r="K508">
        <v>0.6</v>
      </c>
      <c r="L508" t="s">
        <v>12</v>
      </c>
    </row>
    <row r="509" spans="1:12" x14ac:dyDescent="0.3">
      <c r="A509">
        <v>32</v>
      </c>
      <c r="B509">
        <v>2022</v>
      </c>
      <c r="C509">
        <v>0.67</v>
      </c>
      <c r="D509">
        <v>0.94</v>
      </c>
      <c r="E509">
        <v>1</v>
      </c>
      <c r="F509">
        <v>0.9</v>
      </c>
      <c r="G509">
        <v>0.98</v>
      </c>
      <c r="H509">
        <v>0.79</v>
      </c>
      <c r="I509">
        <v>270</v>
      </c>
      <c r="J509">
        <v>7</v>
      </c>
      <c r="K509">
        <v>0.87</v>
      </c>
      <c r="L509" t="s">
        <v>13</v>
      </c>
    </row>
    <row r="510" spans="1:12" x14ac:dyDescent="0.3">
      <c r="A510">
        <v>33</v>
      </c>
      <c r="B510">
        <v>2022</v>
      </c>
      <c r="C510">
        <v>0.57999999999999996</v>
      </c>
      <c r="D510">
        <v>0.75</v>
      </c>
      <c r="E510">
        <v>0.65</v>
      </c>
      <c r="F510">
        <v>0.79</v>
      </c>
      <c r="G510">
        <v>0.86</v>
      </c>
      <c r="H510">
        <v>0.98</v>
      </c>
      <c r="I510">
        <v>52</v>
      </c>
      <c r="J510">
        <v>19</v>
      </c>
      <c r="K510">
        <v>0.7</v>
      </c>
      <c r="L510" t="s">
        <v>12</v>
      </c>
    </row>
    <row r="511" spans="1:12" x14ac:dyDescent="0.3">
      <c r="A511">
        <v>33</v>
      </c>
      <c r="B511">
        <v>2022</v>
      </c>
      <c r="C511">
        <v>0.49</v>
      </c>
      <c r="D511">
        <v>1</v>
      </c>
      <c r="E511">
        <v>0.65</v>
      </c>
      <c r="F511">
        <v>0.95</v>
      </c>
      <c r="G511">
        <v>0.77</v>
      </c>
      <c r="H511">
        <v>0.34</v>
      </c>
      <c r="I511">
        <v>487</v>
      </c>
      <c r="J511">
        <v>13</v>
      </c>
      <c r="K511">
        <v>0.75</v>
      </c>
      <c r="L511" t="s">
        <v>13</v>
      </c>
    </row>
    <row r="512" spans="1:12" x14ac:dyDescent="0.3">
      <c r="A512">
        <v>33</v>
      </c>
      <c r="B512">
        <v>2022</v>
      </c>
      <c r="C512">
        <v>0.56000000000000005</v>
      </c>
      <c r="D512">
        <v>0.73</v>
      </c>
      <c r="E512">
        <v>0.76</v>
      </c>
      <c r="F512">
        <v>0.64</v>
      </c>
      <c r="G512">
        <v>0.53</v>
      </c>
      <c r="H512">
        <v>0.02</v>
      </c>
      <c r="I512">
        <v>384</v>
      </c>
      <c r="J512">
        <v>14</v>
      </c>
      <c r="K512">
        <v>0.65</v>
      </c>
      <c r="L512" t="s">
        <v>12</v>
      </c>
    </row>
    <row r="513" spans="1:12" x14ac:dyDescent="0.3">
      <c r="A513">
        <v>34</v>
      </c>
      <c r="B513">
        <v>2022</v>
      </c>
      <c r="C513">
        <v>0.93</v>
      </c>
      <c r="D513">
        <v>0.76</v>
      </c>
      <c r="E513">
        <v>0.96</v>
      </c>
      <c r="F513">
        <v>0.64</v>
      </c>
      <c r="G513">
        <v>0.44</v>
      </c>
      <c r="H513">
        <v>0.05</v>
      </c>
      <c r="I513">
        <v>345</v>
      </c>
      <c r="J513">
        <v>15</v>
      </c>
      <c r="K513">
        <v>0.8</v>
      </c>
      <c r="L513" t="s">
        <v>13</v>
      </c>
    </row>
    <row r="514" spans="1:12" x14ac:dyDescent="0.3">
      <c r="A514">
        <v>34</v>
      </c>
      <c r="B514">
        <v>2022</v>
      </c>
      <c r="C514">
        <v>0.36</v>
      </c>
      <c r="D514">
        <v>0.84</v>
      </c>
      <c r="E514">
        <v>0.59</v>
      </c>
      <c r="F514">
        <v>0.94</v>
      </c>
      <c r="G514">
        <v>0.87</v>
      </c>
      <c r="H514">
        <v>0.54</v>
      </c>
      <c r="I514">
        <v>260</v>
      </c>
      <c r="J514">
        <v>11</v>
      </c>
      <c r="K514">
        <v>0.66</v>
      </c>
      <c r="L514" t="s">
        <v>12</v>
      </c>
    </row>
    <row r="515" spans="1:12" x14ac:dyDescent="0.3">
      <c r="A515">
        <v>34</v>
      </c>
      <c r="B515">
        <v>2022</v>
      </c>
      <c r="C515">
        <v>0.74</v>
      </c>
      <c r="D515">
        <v>0.9</v>
      </c>
      <c r="E515">
        <v>0.84</v>
      </c>
      <c r="F515">
        <v>0.68</v>
      </c>
      <c r="G515">
        <v>0.62</v>
      </c>
      <c r="H515">
        <v>0.91</v>
      </c>
      <c r="I515">
        <v>423</v>
      </c>
      <c r="J515">
        <v>18</v>
      </c>
      <c r="K515">
        <v>0.78</v>
      </c>
      <c r="L515" t="s">
        <v>13</v>
      </c>
    </row>
    <row r="516" spans="1:12" x14ac:dyDescent="0.3">
      <c r="A516">
        <v>34</v>
      </c>
      <c r="B516">
        <v>2022</v>
      </c>
      <c r="C516">
        <v>0.44</v>
      </c>
      <c r="D516">
        <v>0.85</v>
      </c>
      <c r="E516">
        <v>0.64</v>
      </c>
      <c r="F516">
        <v>0.93</v>
      </c>
      <c r="G516">
        <v>0.38</v>
      </c>
      <c r="H516">
        <v>0.76</v>
      </c>
      <c r="I516">
        <v>442</v>
      </c>
      <c r="J516">
        <v>6</v>
      </c>
      <c r="K516">
        <v>0.65</v>
      </c>
      <c r="L516" t="s">
        <v>12</v>
      </c>
    </row>
    <row r="517" spans="1:12" x14ac:dyDescent="0.3">
      <c r="A517">
        <v>36</v>
      </c>
      <c r="B517">
        <v>2022</v>
      </c>
      <c r="C517">
        <v>0.76</v>
      </c>
      <c r="D517">
        <v>0.59</v>
      </c>
      <c r="E517">
        <v>0.76</v>
      </c>
      <c r="F517">
        <v>0.82</v>
      </c>
      <c r="G517">
        <v>0.43</v>
      </c>
      <c r="H517">
        <v>0.97</v>
      </c>
      <c r="I517">
        <v>267</v>
      </c>
      <c r="J517">
        <v>11</v>
      </c>
      <c r="K517">
        <v>0.69</v>
      </c>
      <c r="L517" t="s">
        <v>12</v>
      </c>
    </row>
    <row r="518" spans="1:12" x14ac:dyDescent="0.3">
      <c r="A518">
        <v>36</v>
      </c>
      <c r="B518">
        <v>2022</v>
      </c>
      <c r="C518">
        <v>0.66</v>
      </c>
      <c r="D518">
        <v>0.76</v>
      </c>
      <c r="E518">
        <v>0.62</v>
      </c>
      <c r="F518">
        <v>0.62</v>
      </c>
      <c r="G518">
        <v>0.56999999999999995</v>
      </c>
      <c r="H518">
        <v>0.23</v>
      </c>
      <c r="I518">
        <v>448</v>
      </c>
      <c r="J518">
        <v>7</v>
      </c>
      <c r="K518">
        <v>0.66</v>
      </c>
      <c r="L518" t="s">
        <v>12</v>
      </c>
    </row>
    <row r="519" spans="1:12" x14ac:dyDescent="0.3">
      <c r="A519">
        <v>36</v>
      </c>
      <c r="B519">
        <v>2022</v>
      </c>
      <c r="C519">
        <v>0.8</v>
      </c>
      <c r="D519">
        <v>0.67</v>
      </c>
      <c r="E519">
        <v>0.63</v>
      </c>
      <c r="F519">
        <v>0.68</v>
      </c>
      <c r="G519">
        <v>0.77</v>
      </c>
      <c r="H519">
        <v>0</v>
      </c>
      <c r="I519">
        <v>105</v>
      </c>
      <c r="J519">
        <v>4</v>
      </c>
      <c r="K519">
        <v>0.71</v>
      </c>
      <c r="L519" t="s">
        <v>13</v>
      </c>
    </row>
    <row r="520" spans="1:12" x14ac:dyDescent="0.3">
      <c r="A520">
        <v>36</v>
      </c>
      <c r="B520">
        <v>2022</v>
      </c>
      <c r="C520">
        <v>0.83</v>
      </c>
      <c r="D520">
        <v>0.43</v>
      </c>
      <c r="E520">
        <v>0.69</v>
      </c>
      <c r="F520">
        <v>0.71</v>
      </c>
      <c r="G520">
        <v>0.56999999999999995</v>
      </c>
      <c r="H520">
        <v>0.16</v>
      </c>
      <c r="I520">
        <v>270</v>
      </c>
      <c r="J520">
        <v>17</v>
      </c>
      <c r="K520">
        <v>0.66</v>
      </c>
      <c r="L520" t="s">
        <v>12</v>
      </c>
    </row>
    <row r="521" spans="1:12" x14ac:dyDescent="0.3">
      <c r="A521">
        <v>36</v>
      </c>
      <c r="B521">
        <v>2022</v>
      </c>
      <c r="C521">
        <v>0.35</v>
      </c>
      <c r="D521">
        <v>0.68</v>
      </c>
      <c r="E521">
        <v>0.99</v>
      </c>
      <c r="F521">
        <v>0.91</v>
      </c>
      <c r="G521">
        <v>0.97</v>
      </c>
      <c r="H521">
        <v>0.78</v>
      </c>
      <c r="I521">
        <v>495</v>
      </c>
      <c r="J521">
        <v>4</v>
      </c>
      <c r="K521">
        <v>0.71</v>
      </c>
      <c r="L521" t="s">
        <v>13</v>
      </c>
    </row>
    <row r="522" spans="1:12" x14ac:dyDescent="0.3">
      <c r="A522">
        <v>36</v>
      </c>
      <c r="B522">
        <v>2022</v>
      </c>
      <c r="C522">
        <v>0.43</v>
      </c>
      <c r="D522">
        <v>0.62</v>
      </c>
      <c r="E522">
        <v>0.69</v>
      </c>
      <c r="F522">
        <v>0.79</v>
      </c>
      <c r="G522">
        <v>0.72</v>
      </c>
      <c r="H522">
        <v>0.56999999999999995</v>
      </c>
      <c r="I522">
        <v>350</v>
      </c>
      <c r="J522">
        <v>17</v>
      </c>
      <c r="K522">
        <v>0.61</v>
      </c>
      <c r="L522" t="s">
        <v>12</v>
      </c>
    </row>
    <row r="523" spans="1:12" x14ac:dyDescent="0.3">
      <c r="A523">
        <v>37</v>
      </c>
      <c r="B523">
        <v>2022</v>
      </c>
      <c r="C523">
        <v>0.84</v>
      </c>
      <c r="D523">
        <v>0.62</v>
      </c>
      <c r="E523">
        <v>0.53</v>
      </c>
      <c r="F523">
        <v>0.63</v>
      </c>
      <c r="G523">
        <v>0.37</v>
      </c>
      <c r="H523">
        <v>0.84</v>
      </c>
      <c r="I523">
        <v>316</v>
      </c>
      <c r="J523">
        <v>0</v>
      </c>
      <c r="K523">
        <v>0.64</v>
      </c>
      <c r="L523" t="s">
        <v>12</v>
      </c>
    </row>
    <row r="524" spans="1:12" x14ac:dyDescent="0.3">
      <c r="A524">
        <v>37</v>
      </c>
      <c r="B524">
        <v>2022</v>
      </c>
      <c r="C524">
        <v>0.32</v>
      </c>
      <c r="D524">
        <v>0.99</v>
      </c>
      <c r="E524">
        <v>0.52</v>
      </c>
      <c r="F524">
        <v>0.78</v>
      </c>
      <c r="G524">
        <v>0.65</v>
      </c>
      <c r="H524">
        <v>0.12</v>
      </c>
      <c r="I524">
        <v>208</v>
      </c>
      <c r="J524">
        <v>2</v>
      </c>
      <c r="K524">
        <v>0.63</v>
      </c>
      <c r="L524" t="s">
        <v>12</v>
      </c>
    </row>
    <row r="525" spans="1:12" x14ac:dyDescent="0.3">
      <c r="A525">
        <v>37</v>
      </c>
      <c r="B525">
        <v>2022</v>
      </c>
      <c r="C525">
        <v>0.61</v>
      </c>
      <c r="D525">
        <v>0.43</v>
      </c>
      <c r="E525">
        <v>0.91</v>
      </c>
      <c r="F525">
        <v>0.93</v>
      </c>
      <c r="G525">
        <v>0.71</v>
      </c>
      <c r="H525">
        <v>0.35</v>
      </c>
      <c r="I525">
        <v>142</v>
      </c>
      <c r="J525">
        <v>1</v>
      </c>
      <c r="K525">
        <v>0.68</v>
      </c>
      <c r="L525" t="s">
        <v>12</v>
      </c>
    </row>
    <row r="526" spans="1:12" x14ac:dyDescent="0.3">
      <c r="A526">
        <v>37</v>
      </c>
      <c r="B526">
        <v>2022</v>
      </c>
      <c r="C526">
        <v>0.92</v>
      </c>
      <c r="D526">
        <v>0.79</v>
      </c>
      <c r="E526">
        <v>0.73</v>
      </c>
      <c r="F526">
        <v>0.87</v>
      </c>
      <c r="G526">
        <v>0.73</v>
      </c>
      <c r="H526">
        <v>0.56999999999999995</v>
      </c>
      <c r="I526">
        <v>199</v>
      </c>
      <c r="J526">
        <v>15</v>
      </c>
      <c r="K526">
        <v>0.82</v>
      </c>
      <c r="L526" t="s">
        <v>13</v>
      </c>
    </row>
    <row r="527" spans="1:12" x14ac:dyDescent="0.3">
      <c r="A527">
        <v>38</v>
      </c>
      <c r="B527">
        <v>2022</v>
      </c>
      <c r="C527">
        <v>0.63</v>
      </c>
      <c r="D527">
        <v>0.69</v>
      </c>
      <c r="E527">
        <v>0.96</v>
      </c>
      <c r="F527">
        <v>0.83</v>
      </c>
      <c r="G527">
        <v>0.32</v>
      </c>
      <c r="H527">
        <v>0.91</v>
      </c>
      <c r="I527">
        <v>231</v>
      </c>
      <c r="J527">
        <v>6</v>
      </c>
      <c r="K527">
        <v>0.71</v>
      </c>
      <c r="L527" t="s">
        <v>13</v>
      </c>
    </row>
    <row r="528" spans="1:12" x14ac:dyDescent="0.3">
      <c r="A528">
        <v>38</v>
      </c>
      <c r="B528">
        <v>2022</v>
      </c>
      <c r="C528">
        <v>0.69</v>
      </c>
      <c r="D528">
        <v>0.79</v>
      </c>
      <c r="E528">
        <v>0.91</v>
      </c>
      <c r="F528">
        <v>0.68</v>
      </c>
      <c r="G528">
        <v>0.31</v>
      </c>
      <c r="H528">
        <v>0.14000000000000001</v>
      </c>
      <c r="I528">
        <v>362</v>
      </c>
      <c r="J528">
        <v>5</v>
      </c>
      <c r="K528">
        <v>0.72</v>
      </c>
      <c r="L528" t="s">
        <v>13</v>
      </c>
    </row>
    <row r="529" spans="1:12" x14ac:dyDescent="0.3">
      <c r="A529">
        <v>38</v>
      </c>
      <c r="B529">
        <v>2022</v>
      </c>
      <c r="C529">
        <v>0.33</v>
      </c>
      <c r="D529">
        <v>0.75</v>
      </c>
      <c r="E529">
        <v>0.53</v>
      </c>
      <c r="F529">
        <v>0.98</v>
      </c>
      <c r="G529">
        <v>0.4</v>
      </c>
      <c r="H529">
        <v>0.3</v>
      </c>
      <c r="I529">
        <v>258</v>
      </c>
      <c r="J529">
        <v>16</v>
      </c>
      <c r="K529">
        <v>0.57999999999999996</v>
      </c>
      <c r="L529" t="s">
        <v>12</v>
      </c>
    </row>
    <row r="530" spans="1:12" x14ac:dyDescent="0.3">
      <c r="A530">
        <v>39</v>
      </c>
      <c r="B530">
        <v>2022</v>
      </c>
      <c r="C530">
        <v>0.9</v>
      </c>
      <c r="D530">
        <v>0.68</v>
      </c>
      <c r="E530">
        <v>0.7</v>
      </c>
      <c r="F530">
        <v>0.78</v>
      </c>
      <c r="G530">
        <v>0.98</v>
      </c>
      <c r="H530">
        <v>0.85</v>
      </c>
      <c r="I530">
        <v>406</v>
      </c>
      <c r="J530">
        <v>5</v>
      </c>
      <c r="K530">
        <v>0.8</v>
      </c>
      <c r="L530" t="s">
        <v>13</v>
      </c>
    </row>
    <row r="531" spans="1:12" x14ac:dyDescent="0.3">
      <c r="A531">
        <v>39</v>
      </c>
      <c r="B531">
        <v>2022</v>
      </c>
      <c r="C531">
        <v>0.7</v>
      </c>
      <c r="D531">
        <v>0.7</v>
      </c>
      <c r="E531">
        <v>0.74</v>
      </c>
      <c r="F531">
        <v>0.78</v>
      </c>
      <c r="G531">
        <v>0.44</v>
      </c>
      <c r="H531">
        <v>0.76</v>
      </c>
      <c r="I531">
        <v>77</v>
      </c>
      <c r="J531">
        <v>3</v>
      </c>
      <c r="K531">
        <v>0.69</v>
      </c>
      <c r="L531" t="s">
        <v>12</v>
      </c>
    </row>
    <row r="532" spans="1:12" x14ac:dyDescent="0.3">
      <c r="A532">
        <v>40</v>
      </c>
      <c r="B532">
        <v>2022</v>
      </c>
      <c r="C532">
        <v>0.96</v>
      </c>
      <c r="D532">
        <v>0.9</v>
      </c>
      <c r="E532">
        <v>0.9</v>
      </c>
      <c r="F532">
        <v>0.68</v>
      </c>
      <c r="G532">
        <v>0.86</v>
      </c>
      <c r="H532">
        <v>0.85</v>
      </c>
      <c r="I532">
        <v>442</v>
      </c>
      <c r="J532">
        <v>10</v>
      </c>
      <c r="K532">
        <v>0.88</v>
      </c>
      <c r="L532" t="s">
        <v>13</v>
      </c>
    </row>
    <row r="533" spans="1:12" x14ac:dyDescent="0.3">
      <c r="A533">
        <v>40</v>
      </c>
      <c r="B533">
        <v>2022</v>
      </c>
      <c r="C533">
        <v>0.57999999999999996</v>
      </c>
      <c r="D533">
        <v>0.56000000000000005</v>
      </c>
      <c r="E533">
        <v>0.69</v>
      </c>
      <c r="F533">
        <v>0.8</v>
      </c>
      <c r="G533">
        <v>0.54</v>
      </c>
      <c r="H533">
        <v>0.24</v>
      </c>
      <c r="I533">
        <v>190</v>
      </c>
      <c r="J533">
        <v>11</v>
      </c>
      <c r="K533">
        <v>0.63</v>
      </c>
      <c r="L533" t="s">
        <v>12</v>
      </c>
    </row>
    <row r="534" spans="1:12" x14ac:dyDescent="0.3">
      <c r="A534">
        <v>40</v>
      </c>
      <c r="B534">
        <v>2022</v>
      </c>
      <c r="C534">
        <v>0.67</v>
      </c>
      <c r="D534">
        <v>0.94</v>
      </c>
      <c r="E534">
        <v>0.86</v>
      </c>
      <c r="F534">
        <v>0.8</v>
      </c>
      <c r="G534">
        <v>0.57999999999999996</v>
      </c>
      <c r="H534">
        <v>0.4</v>
      </c>
      <c r="I534">
        <v>331</v>
      </c>
      <c r="J534">
        <v>5</v>
      </c>
      <c r="K534">
        <v>0.79</v>
      </c>
      <c r="L534" t="s">
        <v>13</v>
      </c>
    </row>
    <row r="535" spans="1:12" x14ac:dyDescent="0.3">
      <c r="A535">
        <v>40</v>
      </c>
      <c r="B535">
        <v>2022</v>
      </c>
      <c r="C535">
        <v>0.62</v>
      </c>
      <c r="D535">
        <v>0.53</v>
      </c>
      <c r="E535">
        <v>0.75</v>
      </c>
      <c r="F535">
        <v>0.9</v>
      </c>
      <c r="G535">
        <v>0.66</v>
      </c>
      <c r="H535">
        <v>0.28999999999999998</v>
      </c>
      <c r="I535">
        <v>450</v>
      </c>
      <c r="J535">
        <v>7</v>
      </c>
      <c r="K535">
        <v>0.67</v>
      </c>
      <c r="L535" t="s">
        <v>12</v>
      </c>
    </row>
    <row r="536" spans="1:12" x14ac:dyDescent="0.3">
      <c r="A536">
        <v>41</v>
      </c>
      <c r="B536">
        <v>2022</v>
      </c>
      <c r="C536">
        <v>0.79</v>
      </c>
      <c r="D536">
        <v>0.52</v>
      </c>
      <c r="E536">
        <v>0.83</v>
      </c>
      <c r="F536">
        <v>0.93</v>
      </c>
      <c r="G536">
        <v>0.34</v>
      </c>
      <c r="H536">
        <v>0.91</v>
      </c>
      <c r="I536">
        <v>112</v>
      </c>
      <c r="J536">
        <v>0</v>
      </c>
      <c r="K536">
        <v>0.71</v>
      </c>
      <c r="L536" t="s">
        <v>13</v>
      </c>
    </row>
    <row r="537" spans="1:12" x14ac:dyDescent="0.3">
      <c r="A537">
        <v>41</v>
      </c>
      <c r="B537">
        <v>2022</v>
      </c>
      <c r="C537">
        <v>0.52</v>
      </c>
      <c r="D537">
        <v>0.47</v>
      </c>
      <c r="E537">
        <v>0.55000000000000004</v>
      </c>
      <c r="F537">
        <v>0.89</v>
      </c>
      <c r="G537">
        <v>0.9</v>
      </c>
      <c r="H537">
        <v>0.26</v>
      </c>
      <c r="I537">
        <v>404</v>
      </c>
      <c r="J537">
        <v>6</v>
      </c>
      <c r="K537">
        <v>0.61</v>
      </c>
      <c r="L537" t="s">
        <v>12</v>
      </c>
    </row>
    <row r="538" spans="1:12" x14ac:dyDescent="0.3">
      <c r="A538">
        <v>41</v>
      </c>
      <c r="B538">
        <v>2022</v>
      </c>
      <c r="C538">
        <v>0.49</v>
      </c>
      <c r="D538">
        <v>0.88</v>
      </c>
      <c r="E538">
        <v>0.81</v>
      </c>
      <c r="F538">
        <v>0.9</v>
      </c>
      <c r="G538">
        <v>0.61</v>
      </c>
      <c r="H538">
        <v>0.31</v>
      </c>
      <c r="I538">
        <v>369</v>
      </c>
      <c r="J538">
        <v>9</v>
      </c>
      <c r="K538">
        <v>0.73</v>
      </c>
      <c r="L538" t="s">
        <v>13</v>
      </c>
    </row>
    <row r="539" spans="1:12" x14ac:dyDescent="0.3">
      <c r="A539">
        <v>41</v>
      </c>
      <c r="B539">
        <v>2022</v>
      </c>
      <c r="C539">
        <v>0.49</v>
      </c>
      <c r="D539">
        <v>0.53</v>
      </c>
      <c r="E539">
        <v>0.73</v>
      </c>
      <c r="F539">
        <v>0.96</v>
      </c>
      <c r="G539">
        <v>0.37</v>
      </c>
      <c r="H539">
        <v>0.72</v>
      </c>
      <c r="I539">
        <v>411</v>
      </c>
      <c r="J539">
        <v>10</v>
      </c>
      <c r="K539">
        <v>0.61</v>
      </c>
      <c r="L539" t="s">
        <v>12</v>
      </c>
    </row>
    <row r="540" spans="1:12" x14ac:dyDescent="0.3">
      <c r="A540">
        <v>41</v>
      </c>
      <c r="B540">
        <v>2022</v>
      </c>
      <c r="C540">
        <v>0.6</v>
      </c>
      <c r="D540">
        <v>0.52</v>
      </c>
      <c r="E540">
        <v>0.51</v>
      </c>
      <c r="F540">
        <v>0.92</v>
      </c>
      <c r="G540">
        <v>0.31</v>
      </c>
      <c r="H540">
        <v>0.83</v>
      </c>
      <c r="I540">
        <v>386</v>
      </c>
      <c r="J540">
        <v>11</v>
      </c>
      <c r="K540">
        <v>0.57999999999999996</v>
      </c>
      <c r="L540" t="s">
        <v>12</v>
      </c>
    </row>
    <row r="541" spans="1:12" x14ac:dyDescent="0.3">
      <c r="A541">
        <v>41</v>
      </c>
      <c r="B541">
        <v>2022</v>
      </c>
      <c r="C541">
        <v>0.56000000000000005</v>
      </c>
      <c r="D541">
        <v>0.92</v>
      </c>
      <c r="E541">
        <v>0.61</v>
      </c>
      <c r="F541">
        <v>0.66</v>
      </c>
      <c r="G541">
        <v>0.94</v>
      </c>
      <c r="H541">
        <v>0.94</v>
      </c>
      <c r="I541">
        <v>199</v>
      </c>
      <c r="J541">
        <v>4</v>
      </c>
      <c r="K541">
        <v>0.71</v>
      </c>
      <c r="L541" t="s">
        <v>13</v>
      </c>
    </row>
    <row r="542" spans="1:12" x14ac:dyDescent="0.3">
      <c r="A542">
        <v>42</v>
      </c>
      <c r="B542">
        <v>2022</v>
      </c>
      <c r="C542">
        <v>0.34</v>
      </c>
      <c r="D542">
        <v>0.63</v>
      </c>
      <c r="E542">
        <v>0.62</v>
      </c>
      <c r="F542">
        <v>0.71</v>
      </c>
      <c r="G542">
        <v>0.69</v>
      </c>
      <c r="H542">
        <v>0.2</v>
      </c>
      <c r="I542">
        <v>457</v>
      </c>
      <c r="J542">
        <v>7</v>
      </c>
      <c r="K542">
        <v>0.56000000000000005</v>
      </c>
      <c r="L542" t="s">
        <v>12</v>
      </c>
    </row>
    <row r="543" spans="1:12" x14ac:dyDescent="0.3">
      <c r="A543">
        <v>42</v>
      </c>
      <c r="B543">
        <v>2022</v>
      </c>
      <c r="C543">
        <v>0.57999999999999996</v>
      </c>
      <c r="D543">
        <v>0.56999999999999995</v>
      </c>
      <c r="E543">
        <v>0.57999999999999996</v>
      </c>
      <c r="F543">
        <v>0.73</v>
      </c>
      <c r="G543">
        <v>0.73</v>
      </c>
      <c r="H543">
        <v>0.57999999999999996</v>
      </c>
      <c r="I543">
        <v>353</v>
      </c>
      <c r="J543">
        <v>11</v>
      </c>
      <c r="K543">
        <v>0.62</v>
      </c>
      <c r="L543" t="s">
        <v>12</v>
      </c>
    </row>
    <row r="544" spans="1:12" x14ac:dyDescent="0.3">
      <c r="A544">
        <v>42</v>
      </c>
      <c r="B544">
        <v>2022</v>
      </c>
      <c r="C544">
        <v>0.91</v>
      </c>
      <c r="D544">
        <v>0.67</v>
      </c>
      <c r="E544">
        <v>0.64</v>
      </c>
      <c r="F544">
        <v>0.96</v>
      </c>
      <c r="G544">
        <v>0.9</v>
      </c>
      <c r="H544">
        <v>0.16</v>
      </c>
      <c r="I544">
        <v>440</v>
      </c>
      <c r="J544">
        <v>8</v>
      </c>
      <c r="K544">
        <v>0.8</v>
      </c>
      <c r="L544" t="s">
        <v>13</v>
      </c>
    </row>
    <row r="545" spans="1:12" x14ac:dyDescent="0.3">
      <c r="A545">
        <v>43</v>
      </c>
      <c r="B545">
        <v>2022</v>
      </c>
      <c r="C545">
        <v>0.81</v>
      </c>
      <c r="D545">
        <v>0.44</v>
      </c>
      <c r="E545">
        <v>0.66</v>
      </c>
      <c r="F545">
        <v>0.82</v>
      </c>
      <c r="G545">
        <v>0.85</v>
      </c>
      <c r="H545">
        <v>0.32</v>
      </c>
      <c r="I545">
        <v>259</v>
      </c>
      <c r="J545">
        <v>0</v>
      </c>
      <c r="K545">
        <v>0.69</v>
      </c>
      <c r="L545" t="s">
        <v>12</v>
      </c>
    </row>
    <row r="546" spans="1:12" x14ac:dyDescent="0.3">
      <c r="A546">
        <v>43</v>
      </c>
      <c r="B546">
        <v>2022</v>
      </c>
      <c r="C546">
        <v>0.8</v>
      </c>
      <c r="D546">
        <v>0.63</v>
      </c>
      <c r="E546">
        <v>0.61</v>
      </c>
      <c r="F546">
        <v>0.84</v>
      </c>
      <c r="G546">
        <v>0.95</v>
      </c>
      <c r="H546">
        <v>0.93</v>
      </c>
      <c r="I546">
        <v>232</v>
      </c>
      <c r="J546">
        <v>4</v>
      </c>
      <c r="K546">
        <v>0.74</v>
      </c>
      <c r="L546" t="s">
        <v>13</v>
      </c>
    </row>
    <row r="547" spans="1:12" x14ac:dyDescent="0.3">
      <c r="A547">
        <v>43</v>
      </c>
      <c r="B547">
        <v>2022</v>
      </c>
      <c r="C547">
        <v>0.33</v>
      </c>
      <c r="D547">
        <v>0.41</v>
      </c>
      <c r="E547">
        <v>0.73</v>
      </c>
      <c r="F547">
        <v>0.65</v>
      </c>
      <c r="G547">
        <v>0.77</v>
      </c>
      <c r="H547">
        <v>0.21</v>
      </c>
      <c r="I547">
        <v>181</v>
      </c>
      <c r="J547">
        <v>13</v>
      </c>
      <c r="K547">
        <v>0.52</v>
      </c>
      <c r="L547" t="s">
        <v>12</v>
      </c>
    </row>
    <row r="548" spans="1:12" x14ac:dyDescent="0.3">
      <c r="A548">
        <v>43</v>
      </c>
      <c r="B548">
        <v>2022</v>
      </c>
      <c r="C548">
        <v>0.39</v>
      </c>
      <c r="D548">
        <v>0.45</v>
      </c>
      <c r="E548">
        <v>0.84</v>
      </c>
      <c r="F548">
        <v>0.76</v>
      </c>
      <c r="G548">
        <v>0.81</v>
      </c>
      <c r="H548">
        <v>0.11</v>
      </c>
      <c r="I548">
        <v>78</v>
      </c>
      <c r="J548">
        <v>15</v>
      </c>
      <c r="K548">
        <v>0.59</v>
      </c>
      <c r="L548" t="s">
        <v>12</v>
      </c>
    </row>
    <row r="549" spans="1:12" x14ac:dyDescent="0.3">
      <c r="A549">
        <v>44</v>
      </c>
      <c r="B549">
        <v>2022</v>
      </c>
      <c r="C549">
        <v>0.52</v>
      </c>
      <c r="D549">
        <v>0.94</v>
      </c>
      <c r="E549">
        <v>0.82</v>
      </c>
      <c r="F549">
        <v>0.72</v>
      </c>
      <c r="G549">
        <v>0.51</v>
      </c>
      <c r="H549">
        <v>0.89</v>
      </c>
      <c r="I549">
        <v>294</v>
      </c>
      <c r="J549">
        <v>2</v>
      </c>
      <c r="K549">
        <v>0.71</v>
      </c>
      <c r="L549" t="s">
        <v>13</v>
      </c>
    </row>
    <row r="550" spans="1:12" x14ac:dyDescent="0.3">
      <c r="A550">
        <v>44</v>
      </c>
      <c r="B550">
        <v>2022</v>
      </c>
      <c r="C550">
        <v>0.85</v>
      </c>
      <c r="D550">
        <v>0.76</v>
      </c>
      <c r="E550">
        <v>0.71</v>
      </c>
      <c r="F550">
        <v>0.98</v>
      </c>
      <c r="G550">
        <v>0.68</v>
      </c>
      <c r="H550">
        <v>0.61</v>
      </c>
      <c r="I550">
        <v>269</v>
      </c>
      <c r="J550">
        <v>18</v>
      </c>
      <c r="K550">
        <v>0.8</v>
      </c>
      <c r="L550" t="s">
        <v>13</v>
      </c>
    </row>
    <row r="551" spans="1:12" x14ac:dyDescent="0.3">
      <c r="A551">
        <v>44</v>
      </c>
      <c r="B551">
        <v>2022</v>
      </c>
      <c r="C551">
        <v>0.77</v>
      </c>
      <c r="D551">
        <v>0.87</v>
      </c>
      <c r="E551">
        <v>0.77</v>
      </c>
      <c r="F551">
        <v>0.84</v>
      </c>
      <c r="G551">
        <v>0.44</v>
      </c>
      <c r="H551">
        <v>0.28999999999999998</v>
      </c>
      <c r="I551">
        <v>441</v>
      </c>
      <c r="J551">
        <v>11</v>
      </c>
      <c r="K551">
        <v>0.77</v>
      </c>
      <c r="L551" t="s">
        <v>13</v>
      </c>
    </row>
    <row r="552" spans="1:12" x14ac:dyDescent="0.3">
      <c r="A552">
        <v>44</v>
      </c>
      <c r="B552">
        <v>2022</v>
      </c>
      <c r="C552">
        <v>0.79</v>
      </c>
      <c r="D552">
        <v>0.85</v>
      </c>
      <c r="E552">
        <v>0.89</v>
      </c>
      <c r="F552">
        <v>0.79</v>
      </c>
      <c r="G552">
        <v>0.6</v>
      </c>
      <c r="H552">
        <v>0.01</v>
      </c>
      <c r="I552">
        <v>253</v>
      </c>
      <c r="J552">
        <v>10</v>
      </c>
      <c r="K552">
        <v>0.81</v>
      </c>
      <c r="L552" t="s">
        <v>13</v>
      </c>
    </row>
    <row r="553" spans="1:12" x14ac:dyDescent="0.3">
      <c r="A553">
        <v>44</v>
      </c>
      <c r="B553">
        <v>2022</v>
      </c>
      <c r="C553">
        <v>0.4</v>
      </c>
      <c r="D553">
        <v>0.88</v>
      </c>
      <c r="E553">
        <v>0.8</v>
      </c>
      <c r="F553">
        <v>0.64</v>
      </c>
      <c r="G553">
        <v>0.96</v>
      </c>
      <c r="H553">
        <v>0.08</v>
      </c>
      <c r="I553">
        <v>414</v>
      </c>
      <c r="J553">
        <v>11</v>
      </c>
      <c r="K553">
        <v>0.69</v>
      </c>
      <c r="L553" t="s">
        <v>12</v>
      </c>
    </row>
    <row r="554" spans="1:12" x14ac:dyDescent="0.3">
      <c r="A554">
        <v>44</v>
      </c>
      <c r="B554">
        <v>2022</v>
      </c>
      <c r="C554">
        <v>0.9</v>
      </c>
      <c r="D554">
        <v>0.52</v>
      </c>
      <c r="E554">
        <v>0.57999999999999996</v>
      </c>
      <c r="F554">
        <v>0.68</v>
      </c>
      <c r="G554">
        <v>0.66</v>
      </c>
      <c r="H554">
        <v>0.12</v>
      </c>
      <c r="I554">
        <v>68</v>
      </c>
      <c r="J554">
        <v>8</v>
      </c>
      <c r="K554">
        <v>0.68</v>
      </c>
      <c r="L554" t="s">
        <v>12</v>
      </c>
    </row>
    <row r="555" spans="1:12" x14ac:dyDescent="0.3">
      <c r="A555">
        <v>45</v>
      </c>
      <c r="B555">
        <v>2022</v>
      </c>
      <c r="C555">
        <v>0.3</v>
      </c>
      <c r="D555">
        <v>0.46</v>
      </c>
      <c r="E555">
        <v>0.93</v>
      </c>
      <c r="F555">
        <v>0.87</v>
      </c>
      <c r="G555">
        <v>0.38</v>
      </c>
      <c r="H555">
        <v>0.84</v>
      </c>
      <c r="I555">
        <v>429</v>
      </c>
      <c r="J555">
        <v>15</v>
      </c>
      <c r="K555">
        <v>0.56000000000000005</v>
      </c>
      <c r="L555" t="s">
        <v>12</v>
      </c>
    </row>
    <row r="556" spans="1:12" x14ac:dyDescent="0.3">
      <c r="A556">
        <v>45</v>
      </c>
      <c r="B556">
        <v>2022</v>
      </c>
      <c r="C556">
        <v>0.92</v>
      </c>
      <c r="D556">
        <v>0.96</v>
      </c>
      <c r="E556">
        <v>0.96</v>
      </c>
      <c r="F556">
        <v>0.85</v>
      </c>
      <c r="G556">
        <v>0.74</v>
      </c>
      <c r="H556">
        <v>0.4</v>
      </c>
      <c r="I556">
        <v>279</v>
      </c>
      <c r="J556">
        <v>17</v>
      </c>
      <c r="K556">
        <v>0.91</v>
      </c>
      <c r="L556" t="s">
        <v>13</v>
      </c>
    </row>
    <row r="557" spans="1:12" x14ac:dyDescent="0.3">
      <c r="A557">
        <v>45</v>
      </c>
      <c r="B557">
        <v>2022</v>
      </c>
      <c r="C557">
        <v>0.44</v>
      </c>
      <c r="D557">
        <v>0.93</v>
      </c>
      <c r="E557">
        <v>0.56000000000000005</v>
      </c>
      <c r="F557">
        <v>0.6</v>
      </c>
      <c r="G557">
        <v>0.65</v>
      </c>
      <c r="H557">
        <v>0.57999999999999996</v>
      </c>
      <c r="I557">
        <v>96</v>
      </c>
      <c r="J557">
        <v>10</v>
      </c>
      <c r="K557">
        <v>0.63</v>
      </c>
      <c r="L557" t="s">
        <v>12</v>
      </c>
    </row>
    <row r="558" spans="1:12" x14ac:dyDescent="0.3">
      <c r="A558">
        <v>45</v>
      </c>
      <c r="B558">
        <v>2022</v>
      </c>
      <c r="C558">
        <v>0.64</v>
      </c>
      <c r="D558">
        <v>0.41</v>
      </c>
      <c r="E558">
        <v>0.96</v>
      </c>
      <c r="F558">
        <v>0.99</v>
      </c>
      <c r="G558">
        <v>0.46</v>
      </c>
      <c r="H558">
        <v>0.21</v>
      </c>
      <c r="I558">
        <v>108</v>
      </c>
      <c r="J558">
        <v>16</v>
      </c>
      <c r="K558">
        <v>0.68</v>
      </c>
      <c r="L558" t="s">
        <v>12</v>
      </c>
    </row>
    <row r="559" spans="1:12" x14ac:dyDescent="0.3">
      <c r="A559">
        <v>45</v>
      </c>
      <c r="B559">
        <v>2022</v>
      </c>
      <c r="C559">
        <v>0.55000000000000004</v>
      </c>
      <c r="D559">
        <v>0.53</v>
      </c>
      <c r="E559">
        <v>0.68</v>
      </c>
      <c r="F559">
        <v>0.86</v>
      </c>
      <c r="G559">
        <v>0.68</v>
      </c>
      <c r="H559">
        <v>0.74</v>
      </c>
      <c r="I559">
        <v>104</v>
      </c>
      <c r="J559">
        <v>3</v>
      </c>
      <c r="K559">
        <v>0.63</v>
      </c>
      <c r="L559" t="s">
        <v>12</v>
      </c>
    </row>
    <row r="560" spans="1:12" x14ac:dyDescent="0.3">
      <c r="A560">
        <v>45</v>
      </c>
      <c r="B560">
        <v>2022</v>
      </c>
      <c r="C560">
        <v>0.34</v>
      </c>
      <c r="D560">
        <v>0.99</v>
      </c>
      <c r="E560">
        <v>0.52</v>
      </c>
      <c r="F560">
        <v>0.86</v>
      </c>
      <c r="G560">
        <v>0.56000000000000005</v>
      </c>
      <c r="H560">
        <v>0.65</v>
      </c>
      <c r="I560">
        <v>149</v>
      </c>
      <c r="J560">
        <v>3</v>
      </c>
      <c r="K560">
        <v>0.64</v>
      </c>
      <c r="L560" t="s">
        <v>12</v>
      </c>
    </row>
    <row r="561" spans="1:12" x14ac:dyDescent="0.3">
      <c r="A561">
        <v>45</v>
      </c>
      <c r="B561">
        <v>2022</v>
      </c>
      <c r="C561">
        <v>0.63</v>
      </c>
      <c r="D561">
        <v>0.85</v>
      </c>
      <c r="E561">
        <v>0.69</v>
      </c>
      <c r="F561">
        <v>0.95</v>
      </c>
      <c r="G561">
        <v>0.56999999999999995</v>
      </c>
      <c r="H561">
        <v>0.35</v>
      </c>
      <c r="I561">
        <v>213</v>
      </c>
      <c r="J561">
        <v>3</v>
      </c>
      <c r="K561">
        <v>0.74</v>
      </c>
      <c r="L561" t="s">
        <v>13</v>
      </c>
    </row>
    <row r="562" spans="1:12" x14ac:dyDescent="0.3">
      <c r="A562">
        <v>46</v>
      </c>
      <c r="B562">
        <v>2022</v>
      </c>
      <c r="C562">
        <v>0.78</v>
      </c>
      <c r="D562">
        <v>0.96</v>
      </c>
      <c r="E562">
        <v>0.75</v>
      </c>
      <c r="F562">
        <v>0.69</v>
      </c>
      <c r="G562">
        <v>0.33</v>
      </c>
      <c r="H562">
        <v>0.42</v>
      </c>
      <c r="I562">
        <v>471</v>
      </c>
      <c r="J562">
        <v>1</v>
      </c>
      <c r="K562">
        <v>0.76</v>
      </c>
      <c r="L562" t="s">
        <v>13</v>
      </c>
    </row>
    <row r="563" spans="1:12" x14ac:dyDescent="0.3">
      <c r="A563">
        <v>46</v>
      </c>
      <c r="B563">
        <v>2022</v>
      </c>
      <c r="C563">
        <v>0.67</v>
      </c>
      <c r="D563">
        <v>0.57999999999999996</v>
      </c>
      <c r="E563">
        <v>0.68</v>
      </c>
      <c r="F563">
        <v>0.63</v>
      </c>
      <c r="G563">
        <v>0.99</v>
      </c>
      <c r="H563">
        <v>0.04</v>
      </c>
      <c r="I563">
        <v>143</v>
      </c>
      <c r="J563">
        <v>1</v>
      </c>
      <c r="K563">
        <v>0.68</v>
      </c>
      <c r="L563" t="s">
        <v>12</v>
      </c>
    </row>
    <row r="564" spans="1:12" x14ac:dyDescent="0.3">
      <c r="A564">
        <v>46</v>
      </c>
      <c r="B564">
        <v>2022</v>
      </c>
      <c r="C564">
        <v>0.5</v>
      </c>
      <c r="D564">
        <v>0.95</v>
      </c>
      <c r="E564">
        <v>0.93</v>
      </c>
      <c r="F564">
        <v>0.75</v>
      </c>
      <c r="G564">
        <v>0.35</v>
      </c>
      <c r="H564">
        <v>0.89</v>
      </c>
      <c r="I564">
        <v>227</v>
      </c>
      <c r="J564">
        <v>19</v>
      </c>
      <c r="K564">
        <v>0.72</v>
      </c>
      <c r="L564" t="s">
        <v>13</v>
      </c>
    </row>
    <row r="565" spans="1:12" x14ac:dyDescent="0.3">
      <c r="A565">
        <v>46</v>
      </c>
      <c r="B565">
        <v>2022</v>
      </c>
      <c r="C565">
        <v>0.65</v>
      </c>
      <c r="D565">
        <v>0.95</v>
      </c>
      <c r="E565">
        <v>0.85</v>
      </c>
      <c r="F565">
        <v>0.89</v>
      </c>
      <c r="G565">
        <v>0.36</v>
      </c>
      <c r="H565">
        <v>0.22</v>
      </c>
      <c r="I565">
        <v>133</v>
      </c>
      <c r="J565">
        <v>9</v>
      </c>
      <c r="K565">
        <v>0.77</v>
      </c>
      <c r="L565" t="s">
        <v>13</v>
      </c>
    </row>
    <row r="566" spans="1:12" x14ac:dyDescent="0.3">
      <c r="A566">
        <v>47</v>
      </c>
      <c r="B566">
        <v>2022</v>
      </c>
      <c r="C566">
        <v>0.67</v>
      </c>
      <c r="D566">
        <v>0.66</v>
      </c>
      <c r="E566">
        <v>0.7</v>
      </c>
      <c r="F566">
        <v>0.82</v>
      </c>
      <c r="G566">
        <v>0.41</v>
      </c>
      <c r="H566">
        <v>0.18</v>
      </c>
      <c r="I566">
        <v>462</v>
      </c>
      <c r="J566">
        <v>6</v>
      </c>
      <c r="K566">
        <v>0.67</v>
      </c>
      <c r="L566" t="s">
        <v>12</v>
      </c>
    </row>
    <row r="567" spans="1:12" x14ac:dyDescent="0.3">
      <c r="A567">
        <v>47</v>
      </c>
      <c r="B567">
        <v>2022</v>
      </c>
      <c r="C567">
        <v>0.47</v>
      </c>
      <c r="D567">
        <v>0.55000000000000004</v>
      </c>
      <c r="E567">
        <v>0.94</v>
      </c>
      <c r="F567">
        <v>0.68</v>
      </c>
      <c r="G567">
        <v>0.85</v>
      </c>
      <c r="H567">
        <v>0.46</v>
      </c>
      <c r="I567">
        <v>451</v>
      </c>
      <c r="J567">
        <v>13</v>
      </c>
      <c r="K567">
        <v>0.65</v>
      </c>
      <c r="L567" t="s">
        <v>12</v>
      </c>
    </row>
    <row r="568" spans="1:12" x14ac:dyDescent="0.3">
      <c r="A568">
        <v>47</v>
      </c>
      <c r="B568">
        <v>2022</v>
      </c>
      <c r="C568">
        <v>0.75</v>
      </c>
      <c r="D568">
        <v>0.74</v>
      </c>
      <c r="E568">
        <v>0.57999999999999996</v>
      </c>
      <c r="F568">
        <v>0.94</v>
      </c>
      <c r="G568">
        <v>0.97</v>
      </c>
      <c r="H568">
        <v>0.04</v>
      </c>
      <c r="I568">
        <v>439</v>
      </c>
      <c r="J568">
        <v>13</v>
      </c>
      <c r="K568">
        <v>0.76</v>
      </c>
      <c r="L568" t="s">
        <v>13</v>
      </c>
    </row>
    <row r="569" spans="1:12" x14ac:dyDescent="0.3">
      <c r="A569">
        <v>48</v>
      </c>
      <c r="B569">
        <v>2022</v>
      </c>
      <c r="C569">
        <v>0.79</v>
      </c>
      <c r="D569">
        <v>0.95</v>
      </c>
      <c r="E569">
        <v>0.69</v>
      </c>
      <c r="F569">
        <v>0.96</v>
      </c>
      <c r="G569">
        <v>0.94</v>
      </c>
      <c r="H569">
        <v>0.93</v>
      </c>
      <c r="I569">
        <v>55</v>
      </c>
      <c r="J569">
        <v>8</v>
      </c>
      <c r="K569">
        <v>0.85</v>
      </c>
      <c r="L569" t="s">
        <v>13</v>
      </c>
    </row>
    <row r="570" spans="1:12" x14ac:dyDescent="0.3">
      <c r="A570">
        <v>48</v>
      </c>
      <c r="B570">
        <v>2022</v>
      </c>
      <c r="C570">
        <v>0.39</v>
      </c>
      <c r="D570">
        <v>0.47</v>
      </c>
      <c r="E570">
        <v>0.52</v>
      </c>
      <c r="F570">
        <v>0.83</v>
      </c>
      <c r="G570">
        <v>0.47</v>
      </c>
      <c r="H570">
        <v>0.73</v>
      </c>
      <c r="I570">
        <v>407</v>
      </c>
      <c r="J570">
        <v>3</v>
      </c>
      <c r="K570">
        <v>0.51</v>
      </c>
      <c r="L570" t="s">
        <v>12</v>
      </c>
    </row>
    <row r="571" spans="1:12" x14ac:dyDescent="0.3">
      <c r="A571">
        <v>49</v>
      </c>
      <c r="B571">
        <v>2022</v>
      </c>
      <c r="C571">
        <v>0.55000000000000004</v>
      </c>
      <c r="D571">
        <v>0.88</v>
      </c>
      <c r="E571">
        <v>0.97</v>
      </c>
      <c r="F571">
        <v>0.85</v>
      </c>
      <c r="G571">
        <v>0.82</v>
      </c>
      <c r="H571">
        <v>0.81</v>
      </c>
      <c r="I571">
        <v>238</v>
      </c>
      <c r="J571">
        <v>0</v>
      </c>
      <c r="K571">
        <v>0.79</v>
      </c>
      <c r="L571" t="s">
        <v>13</v>
      </c>
    </row>
    <row r="572" spans="1:12" x14ac:dyDescent="0.3">
      <c r="A572">
        <v>49</v>
      </c>
      <c r="B572">
        <v>2022</v>
      </c>
      <c r="C572">
        <v>0.66</v>
      </c>
      <c r="D572">
        <v>0.9</v>
      </c>
      <c r="E572">
        <v>0.71</v>
      </c>
      <c r="F572">
        <v>0.68</v>
      </c>
      <c r="G572">
        <v>0.5</v>
      </c>
      <c r="H572">
        <v>0.51</v>
      </c>
      <c r="I572">
        <v>416</v>
      </c>
      <c r="J572">
        <v>1</v>
      </c>
      <c r="K572">
        <v>0.72</v>
      </c>
      <c r="L572" t="s">
        <v>13</v>
      </c>
    </row>
    <row r="573" spans="1:12" x14ac:dyDescent="0.3">
      <c r="A573">
        <v>49</v>
      </c>
      <c r="B573">
        <v>2022</v>
      </c>
      <c r="C573">
        <v>0.35</v>
      </c>
      <c r="D573">
        <v>0.68</v>
      </c>
      <c r="E573">
        <v>0.81</v>
      </c>
      <c r="F573">
        <v>0.64</v>
      </c>
      <c r="G573">
        <v>0.97</v>
      </c>
      <c r="H573">
        <v>0.98</v>
      </c>
      <c r="I573">
        <v>258</v>
      </c>
      <c r="J573">
        <v>4</v>
      </c>
      <c r="K573">
        <v>0.63</v>
      </c>
      <c r="L573" t="s">
        <v>12</v>
      </c>
    </row>
    <row r="574" spans="1:12" x14ac:dyDescent="0.3">
      <c r="A574">
        <v>49</v>
      </c>
      <c r="B574">
        <v>2022</v>
      </c>
      <c r="C574">
        <v>0.69</v>
      </c>
      <c r="D574">
        <v>0.56999999999999995</v>
      </c>
      <c r="E574">
        <v>0.97</v>
      </c>
      <c r="F574">
        <v>0.9</v>
      </c>
      <c r="G574">
        <v>0.98</v>
      </c>
      <c r="H574">
        <v>0.04</v>
      </c>
      <c r="I574">
        <v>255</v>
      </c>
      <c r="J574">
        <v>3</v>
      </c>
      <c r="K574">
        <v>0.78</v>
      </c>
      <c r="L574" t="s">
        <v>13</v>
      </c>
    </row>
    <row r="575" spans="1:12" x14ac:dyDescent="0.3">
      <c r="A575">
        <v>50</v>
      </c>
      <c r="B575">
        <v>2022</v>
      </c>
      <c r="C575">
        <v>0.33</v>
      </c>
      <c r="D575">
        <v>0.98</v>
      </c>
      <c r="E575">
        <v>0.84</v>
      </c>
      <c r="F575">
        <v>0.85</v>
      </c>
      <c r="G575">
        <v>0.49</v>
      </c>
      <c r="H575">
        <v>0.25</v>
      </c>
      <c r="I575">
        <v>96</v>
      </c>
      <c r="J575">
        <v>12</v>
      </c>
      <c r="K575">
        <v>0.69</v>
      </c>
      <c r="L575" t="s">
        <v>12</v>
      </c>
    </row>
    <row r="576" spans="1:12" x14ac:dyDescent="0.3">
      <c r="A576">
        <v>50</v>
      </c>
      <c r="B576">
        <v>2022</v>
      </c>
      <c r="C576">
        <v>0.52</v>
      </c>
      <c r="D576">
        <v>0.98</v>
      </c>
      <c r="E576">
        <v>0.71</v>
      </c>
      <c r="F576">
        <v>0.78</v>
      </c>
      <c r="G576">
        <v>0.7</v>
      </c>
      <c r="H576">
        <v>0.98</v>
      </c>
      <c r="I576">
        <v>245</v>
      </c>
      <c r="J576">
        <v>6</v>
      </c>
      <c r="K576">
        <v>0.73</v>
      </c>
      <c r="L576" t="s">
        <v>13</v>
      </c>
    </row>
    <row r="577" spans="1:12" x14ac:dyDescent="0.3">
      <c r="A577">
        <v>50</v>
      </c>
      <c r="B577">
        <v>2022</v>
      </c>
      <c r="C577">
        <v>0.83</v>
      </c>
      <c r="D577">
        <v>0.85</v>
      </c>
      <c r="E577">
        <v>0.56999999999999995</v>
      </c>
      <c r="F577">
        <v>0.95</v>
      </c>
      <c r="G577">
        <v>0.49</v>
      </c>
      <c r="H577">
        <v>0.98</v>
      </c>
      <c r="I577">
        <v>184</v>
      </c>
      <c r="J577">
        <v>11</v>
      </c>
      <c r="K577">
        <v>0.77</v>
      </c>
      <c r="L577" t="s">
        <v>13</v>
      </c>
    </row>
    <row r="578" spans="1:12" x14ac:dyDescent="0.3">
      <c r="A578">
        <v>50</v>
      </c>
      <c r="B578">
        <v>2022</v>
      </c>
      <c r="C578">
        <v>0.53</v>
      </c>
      <c r="D578">
        <v>0.46</v>
      </c>
      <c r="E578">
        <v>0.99</v>
      </c>
      <c r="F578">
        <v>0.71</v>
      </c>
      <c r="G578">
        <v>0.6</v>
      </c>
      <c r="H578">
        <v>0.65</v>
      </c>
      <c r="I578">
        <v>225</v>
      </c>
      <c r="J578">
        <v>13</v>
      </c>
      <c r="K578">
        <v>0.64</v>
      </c>
      <c r="L578" t="s">
        <v>12</v>
      </c>
    </row>
    <row r="579" spans="1:12" x14ac:dyDescent="0.3">
      <c r="A579">
        <v>50</v>
      </c>
      <c r="B579">
        <v>2022</v>
      </c>
      <c r="C579">
        <v>0.59</v>
      </c>
      <c r="D579">
        <v>0.98</v>
      </c>
      <c r="E579">
        <v>0.51</v>
      </c>
      <c r="F579">
        <v>0.72</v>
      </c>
      <c r="G579">
        <v>0.77</v>
      </c>
      <c r="H579">
        <v>0.89</v>
      </c>
      <c r="I579">
        <v>68</v>
      </c>
      <c r="J579">
        <v>8</v>
      </c>
      <c r="K579">
        <v>0.71</v>
      </c>
      <c r="L579" t="s">
        <v>13</v>
      </c>
    </row>
    <row r="580" spans="1:12" x14ac:dyDescent="0.3">
      <c r="A580">
        <v>50</v>
      </c>
      <c r="B580">
        <v>2022</v>
      </c>
      <c r="C580">
        <v>0.81</v>
      </c>
      <c r="D580">
        <v>1</v>
      </c>
      <c r="E580">
        <v>1</v>
      </c>
      <c r="F580">
        <v>0.9</v>
      </c>
      <c r="G580">
        <v>0.82</v>
      </c>
      <c r="H580">
        <v>0.25</v>
      </c>
      <c r="I580">
        <v>158</v>
      </c>
      <c r="J580">
        <v>11</v>
      </c>
      <c r="K580">
        <v>0.91</v>
      </c>
      <c r="L580" t="s">
        <v>13</v>
      </c>
    </row>
    <row r="581" spans="1:12" x14ac:dyDescent="0.3">
      <c r="A581">
        <v>50</v>
      </c>
      <c r="B581">
        <v>2022</v>
      </c>
      <c r="C581">
        <v>0.78</v>
      </c>
      <c r="D581">
        <v>0.46</v>
      </c>
      <c r="E581">
        <v>0.66</v>
      </c>
      <c r="F581">
        <v>0.63</v>
      </c>
      <c r="G581">
        <v>0.35</v>
      </c>
      <c r="H581">
        <v>0.2</v>
      </c>
      <c r="I581">
        <v>239</v>
      </c>
      <c r="J581">
        <v>2</v>
      </c>
      <c r="K581">
        <v>0.61</v>
      </c>
      <c r="L581" t="s">
        <v>12</v>
      </c>
    </row>
    <row r="582" spans="1:12" x14ac:dyDescent="0.3">
      <c r="A582">
        <v>51</v>
      </c>
      <c r="B582">
        <v>2022</v>
      </c>
      <c r="C582">
        <v>0.37</v>
      </c>
      <c r="D582">
        <v>0.59</v>
      </c>
      <c r="E582">
        <v>0.9</v>
      </c>
      <c r="F582">
        <v>0.98</v>
      </c>
      <c r="G582">
        <v>0.85</v>
      </c>
      <c r="H582">
        <v>0.69</v>
      </c>
      <c r="I582">
        <v>352</v>
      </c>
      <c r="J582">
        <v>11</v>
      </c>
      <c r="K582">
        <v>0.67</v>
      </c>
      <c r="L582" t="s">
        <v>12</v>
      </c>
    </row>
    <row r="583" spans="1:12" x14ac:dyDescent="0.3">
      <c r="A583">
        <v>51</v>
      </c>
      <c r="B583">
        <v>2022</v>
      </c>
      <c r="C583">
        <v>0.52</v>
      </c>
      <c r="D583">
        <v>0.89</v>
      </c>
      <c r="E583">
        <v>0.94</v>
      </c>
      <c r="F583">
        <v>0.72</v>
      </c>
      <c r="G583">
        <v>0.9</v>
      </c>
      <c r="H583">
        <v>0.86</v>
      </c>
      <c r="I583">
        <v>83</v>
      </c>
      <c r="J583">
        <v>3</v>
      </c>
      <c r="K583">
        <v>0.76</v>
      </c>
      <c r="L583" t="s">
        <v>13</v>
      </c>
    </row>
    <row r="584" spans="1:12" x14ac:dyDescent="0.3">
      <c r="A584">
        <v>51</v>
      </c>
      <c r="B584">
        <v>2022</v>
      </c>
      <c r="C584">
        <v>0.31</v>
      </c>
      <c r="D584">
        <v>0.59</v>
      </c>
      <c r="E584">
        <v>0.79</v>
      </c>
      <c r="F584">
        <v>0.66</v>
      </c>
      <c r="G584">
        <v>0.6</v>
      </c>
      <c r="H584">
        <v>0.55000000000000004</v>
      </c>
      <c r="I584">
        <v>320</v>
      </c>
      <c r="J584">
        <v>3</v>
      </c>
      <c r="K584">
        <v>0.56000000000000005</v>
      </c>
      <c r="L584" t="s">
        <v>12</v>
      </c>
    </row>
    <row r="585" spans="1:12" x14ac:dyDescent="0.3">
      <c r="A585">
        <v>51</v>
      </c>
      <c r="B585">
        <v>2022</v>
      </c>
      <c r="C585">
        <v>0.84</v>
      </c>
      <c r="D585">
        <v>0.77</v>
      </c>
      <c r="E585">
        <v>0.99</v>
      </c>
      <c r="F585">
        <v>0.75</v>
      </c>
      <c r="G585">
        <v>0.78</v>
      </c>
      <c r="H585">
        <v>0.06</v>
      </c>
      <c r="I585">
        <v>373</v>
      </c>
      <c r="J585">
        <v>8</v>
      </c>
      <c r="K585">
        <v>0.83</v>
      </c>
      <c r="L585" t="s">
        <v>13</v>
      </c>
    </row>
    <row r="586" spans="1:12" x14ac:dyDescent="0.3">
      <c r="A586">
        <v>52</v>
      </c>
      <c r="B586">
        <v>2022</v>
      </c>
      <c r="C586">
        <v>0.88</v>
      </c>
      <c r="D586">
        <v>0.62</v>
      </c>
      <c r="E586">
        <v>0.56000000000000005</v>
      </c>
      <c r="F586">
        <v>0.81</v>
      </c>
      <c r="G586">
        <v>0.84</v>
      </c>
      <c r="H586">
        <v>0.22</v>
      </c>
      <c r="I586">
        <v>54</v>
      </c>
      <c r="J586">
        <v>6</v>
      </c>
      <c r="K586">
        <v>0.74</v>
      </c>
      <c r="L586" t="s">
        <v>13</v>
      </c>
    </row>
    <row r="587" spans="1:12" x14ac:dyDescent="0.3">
      <c r="A587">
        <v>52</v>
      </c>
      <c r="B587">
        <v>2022</v>
      </c>
      <c r="C587">
        <v>0.44</v>
      </c>
      <c r="D587">
        <v>0.8</v>
      </c>
      <c r="E587">
        <v>0.98</v>
      </c>
      <c r="F587">
        <v>0.64</v>
      </c>
      <c r="G587">
        <v>0.77</v>
      </c>
      <c r="H587">
        <v>0.44</v>
      </c>
      <c r="I587">
        <v>54</v>
      </c>
      <c r="J587">
        <v>14</v>
      </c>
      <c r="K587">
        <v>0.7</v>
      </c>
      <c r="L587" t="s">
        <v>12</v>
      </c>
    </row>
    <row r="588" spans="1:12" x14ac:dyDescent="0.3">
      <c r="A588">
        <v>52</v>
      </c>
      <c r="B588">
        <v>2022</v>
      </c>
      <c r="C588">
        <v>0.81</v>
      </c>
      <c r="D588">
        <v>0.45</v>
      </c>
      <c r="E588">
        <v>0.86</v>
      </c>
      <c r="F588">
        <v>0.7</v>
      </c>
      <c r="G588">
        <v>0.91</v>
      </c>
      <c r="H588">
        <v>0.81</v>
      </c>
      <c r="I588">
        <v>169</v>
      </c>
      <c r="J588">
        <v>2</v>
      </c>
      <c r="K588">
        <v>0.72</v>
      </c>
      <c r="L588" t="s">
        <v>13</v>
      </c>
    </row>
    <row r="589" spans="1:12" x14ac:dyDescent="0.3">
      <c r="A589">
        <v>52</v>
      </c>
      <c r="B589">
        <v>2022</v>
      </c>
      <c r="C589">
        <v>0.43</v>
      </c>
      <c r="D589">
        <v>0.66</v>
      </c>
      <c r="E589">
        <v>0.79</v>
      </c>
      <c r="F589">
        <v>0.93</v>
      </c>
      <c r="G589">
        <v>0.99</v>
      </c>
      <c r="H589">
        <v>0.39</v>
      </c>
      <c r="I589">
        <v>121</v>
      </c>
      <c r="J589">
        <v>10</v>
      </c>
      <c r="K589">
        <v>0.69</v>
      </c>
      <c r="L589" t="s">
        <v>12</v>
      </c>
    </row>
    <row r="590" spans="1:12" x14ac:dyDescent="0.3">
      <c r="A590">
        <v>52</v>
      </c>
      <c r="B590">
        <v>2022</v>
      </c>
      <c r="C590">
        <v>0.6</v>
      </c>
      <c r="D590">
        <v>0.51</v>
      </c>
      <c r="E590">
        <v>0.68</v>
      </c>
      <c r="F590">
        <v>0.65</v>
      </c>
      <c r="G590">
        <v>0.62</v>
      </c>
      <c r="H590">
        <v>0.27</v>
      </c>
      <c r="I590">
        <v>348</v>
      </c>
      <c r="J590">
        <v>18</v>
      </c>
      <c r="K590">
        <v>0.6</v>
      </c>
      <c r="L590" t="s">
        <v>12</v>
      </c>
    </row>
    <row r="591" spans="1:12" x14ac:dyDescent="0.3">
      <c r="A591">
        <v>53</v>
      </c>
      <c r="B591">
        <v>2022</v>
      </c>
      <c r="C591">
        <v>0.35</v>
      </c>
      <c r="D591">
        <v>0.8</v>
      </c>
      <c r="E591">
        <v>0.9</v>
      </c>
      <c r="F591">
        <v>0.87</v>
      </c>
      <c r="G591">
        <v>0.65</v>
      </c>
      <c r="H591">
        <v>0.95</v>
      </c>
      <c r="I591">
        <v>261</v>
      </c>
      <c r="J591">
        <v>0</v>
      </c>
      <c r="K591">
        <v>0.68</v>
      </c>
      <c r="L591" t="s">
        <v>12</v>
      </c>
    </row>
    <row r="592" spans="1:12" x14ac:dyDescent="0.3">
      <c r="A592">
        <v>53</v>
      </c>
      <c r="B592">
        <v>2022</v>
      </c>
      <c r="C592">
        <v>0.61</v>
      </c>
      <c r="D592">
        <v>0.89</v>
      </c>
      <c r="E592">
        <v>0.96</v>
      </c>
      <c r="F592">
        <v>0.86</v>
      </c>
      <c r="G592">
        <v>0.87</v>
      </c>
      <c r="H592">
        <v>0.06</v>
      </c>
      <c r="I592">
        <v>182</v>
      </c>
      <c r="J592">
        <v>6</v>
      </c>
      <c r="K592">
        <v>0.81</v>
      </c>
      <c r="L592" t="s">
        <v>13</v>
      </c>
    </row>
    <row r="593" spans="1:12" x14ac:dyDescent="0.3">
      <c r="A593">
        <v>54</v>
      </c>
      <c r="B593">
        <v>2022</v>
      </c>
      <c r="C593">
        <v>0.49</v>
      </c>
      <c r="D593">
        <v>0.73</v>
      </c>
      <c r="E593">
        <v>0.67</v>
      </c>
      <c r="F593">
        <v>0.97</v>
      </c>
      <c r="G593">
        <v>0.95</v>
      </c>
      <c r="H593">
        <v>0.5</v>
      </c>
      <c r="I593">
        <v>178</v>
      </c>
      <c r="J593">
        <v>5</v>
      </c>
      <c r="K593">
        <v>0.7</v>
      </c>
      <c r="L593" t="s">
        <v>12</v>
      </c>
    </row>
    <row r="594" spans="1:12" x14ac:dyDescent="0.3">
      <c r="A594">
        <v>54</v>
      </c>
      <c r="B594">
        <v>2022</v>
      </c>
      <c r="C594">
        <v>0.6</v>
      </c>
      <c r="D594">
        <v>0.51</v>
      </c>
      <c r="E594">
        <v>0.64</v>
      </c>
      <c r="F594">
        <v>0.71</v>
      </c>
      <c r="G594">
        <v>0.66</v>
      </c>
      <c r="H594">
        <v>0.23</v>
      </c>
      <c r="I594">
        <v>491</v>
      </c>
      <c r="J594">
        <v>15</v>
      </c>
      <c r="K594">
        <v>0.61</v>
      </c>
      <c r="L594" t="s">
        <v>12</v>
      </c>
    </row>
    <row r="595" spans="1:12" x14ac:dyDescent="0.3">
      <c r="A595">
        <v>54</v>
      </c>
      <c r="B595">
        <v>2022</v>
      </c>
      <c r="C595">
        <v>0.9</v>
      </c>
      <c r="D595">
        <v>0.83</v>
      </c>
      <c r="E595">
        <v>0.74</v>
      </c>
      <c r="F595">
        <v>0.81</v>
      </c>
      <c r="G595">
        <v>0.98</v>
      </c>
      <c r="H595">
        <v>0.97</v>
      </c>
      <c r="I595">
        <v>375</v>
      </c>
      <c r="J595">
        <v>17</v>
      </c>
      <c r="K595">
        <v>0.85</v>
      </c>
      <c r="L595" t="s">
        <v>13</v>
      </c>
    </row>
    <row r="596" spans="1:12" x14ac:dyDescent="0.3">
      <c r="A596">
        <v>54</v>
      </c>
      <c r="B596">
        <v>2022</v>
      </c>
      <c r="C596">
        <v>0.45</v>
      </c>
      <c r="D596">
        <v>0.41</v>
      </c>
      <c r="E596">
        <v>0.74</v>
      </c>
      <c r="F596">
        <v>0.81</v>
      </c>
      <c r="G596">
        <v>0.47</v>
      </c>
      <c r="H596">
        <v>0.12</v>
      </c>
      <c r="I596">
        <v>306</v>
      </c>
      <c r="J596">
        <v>11</v>
      </c>
      <c r="K596">
        <v>0.55000000000000004</v>
      </c>
      <c r="L596" t="s">
        <v>12</v>
      </c>
    </row>
    <row r="597" spans="1:12" x14ac:dyDescent="0.3">
      <c r="A597">
        <v>54</v>
      </c>
      <c r="B597">
        <v>2022</v>
      </c>
      <c r="C597">
        <v>0.66</v>
      </c>
      <c r="D597">
        <v>0.66</v>
      </c>
      <c r="E597">
        <v>0.76</v>
      </c>
      <c r="F597">
        <v>0.87</v>
      </c>
      <c r="G597">
        <v>0.56999999999999995</v>
      </c>
      <c r="H597">
        <v>0.25</v>
      </c>
      <c r="I597">
        <v>141</v>
      </c>
      <c r="J597">
        <v>19</v>
      </c>
      <c r="K597">
        <v>0.7</v>
      </c>
      <c r="L597" t="s">
        <v>12</v>
      </c>
    </row>
    <row r="598" spans="1:12" x14ac:dyDescent="0.3">
      <c r="A598">
        <v>54</v>
      </c>
      <c r="B598">
        <v>2022</v>
      </c>
      <c r="C598">
        <v>0.56000000000000005</v>
      </c>
      <c r="D598">
        <v>0.82</v>
      </c>
      <c r="E598">
        <v>0.69</v>
      </c>
      <c r="F598">
        <v>0.7</v>
      </c>
      <c r="G598">
        <v>0.7</v>
      </c>
      <c r="H598">
        <v>0.42</v>
      </c>
      <c r="I598">
        <v>331</v>
      </c>
      <c r="J598">
        <v>12</v>
      </c>
      <c r="K598">
        <v>0.69</v>
      </c>
      <c r="L598" t="s">
        <v>12</v>
      </c>
    </row>
    <row r="599" spans="1:12" x14ac:dyDescent="0.3">
      <c r="A599">
        <v>55</v>
      </c>
      <c r="B599">
        <v>2022</v>
      </c>
      <c r="C599">
        <v>0.71</v>
      </c>
      <c r="D599">
        <v>0.77</v>
      </c>
      <c r="E599">
        <v>0.54</v>
      </c>
      <c r="F599">
        <v>0.87</v>
      </c>
      <c r="G599">
        <v>0.47</v>
      </c>
      <c r="H599">
        <v>0.71</v>
      </c>
      <c r="I599">
        <v>102</v>
      </c>
      <c r="J599">
        <v>14</v>
      </c>
      <c r="K599">
        <v>0.69</v>
      </c>
      <c r="L599" t="s">
        <v>12</v>
      </c>
    </row>
    <row r="600" spans="1:12" x14ac:dyDescent="0.3">
      <c r="A600">
        <v>55</v>
      </c>
      <c r="B600">
        <v>2022</v>
      </c>
      <c r="C600">
        <v>0.57999999999999996</v>
      </c>
      <c r="D600">
        <v>0.56000000000000005</v>
      </c>
      <c r="E600">
        <v>0.5</v>
      </c>
      <c r="F600">
        <v>0.89</v>
      </c>
      <c r="G600">
        <v>0.88</v>
      </c>
      <c r="H600">
        <v>0.4</v>
      </c>
      <c r="I600">
        <v>249</v>
      </c>
      <c r="J600">
        <v>9</v>
      </c>
      <c r="K600">
        <v>0.64</v>
      </c>
      <c r="L600" t="s">
        <v>12</v>
      </c>
    </row>
    <row r="601" spans="1:12" x14ac:dyDescent="0.3">
      <c r="A601">
        <v>56</v>
      </c>
      <c r="B601">
        <v>2022</v>
      </c>
      <c r="C601">
        <v>0.45</v>
      </c>
      <c r="D601">
        <v>0.51</v>
      </c>
      <c r="E601">
        <v>0.72</v>
      </c>
      <c r="F601">
        <v>0.93</v>
      </c>
      <c r="G601">
        <v>0.89</v>
      </c>
      <c r="H601">
        <v>0.52</v>
      </c>
      <c r="I601">
        <v>334</v>
      </c>
      <c r="J601">
        <v>0</v>
      </c>
      <c r="K601">
        <v>0.64</v>
      </c>
      <c r="L601" t="s">
        <v>12</v>
      </c>
    </row>
    <row r="602" spans="1:12" x14ac:dyDescent="0.3">
      <c r="A602">
        <v>56</v>
      </c>
      <c r="B602">
        <v>2022</v>
      </c>
      <c r="C602">
        <v>0.62</v>
      </c>
      <c r="D602">
        <v>0.87</v>
      </c>
      <c r="E602">
        <v>0.73</v>
      </c>
      <c r="F602">
        <v>0.83</v>
      </c>
      <c r="G602">
        <v>0.85</v>
      </c>
      <c r="H602">
        <v>0.56000000000000005</v>
      </c>
      <c r="I602">
        <v>213</v>
      </c>
      <c r="J602">
        <v>0</v>
      </c>
      <c r="K602">
        <v>0.76</v>
      </c>
      <c r="L602" t="s">
        <v>13</v>
      </c>
    </row>
    <row r="603" spans="1:12" x14ac:dyDescent="0.3">
      <c r="A603">
        <v>56</v>
      </c>
      <c r="B603">
        <v>2022</v>
      </c>
      <c r="C603">
        <v>0.8</v>
      </c>
      <c r="D603">
        <v>0.6</v>
      </c>
      <c r="E603">
        <v>0.64</v>
      </c>
      <c r="F603">
        <v>0.81</v>
      </c>
      <c r="G603">
        <v>0.36</v>
      </c>
      <c r="H603">
        <v>0.12</v>
      </c>
      <c r="I603">
        <v>478</v>
      </c>
      <c r="J603">
        <v>18</v>
      </c>
      <c r="K603">
        <v>0.68</v>
      </c>
      <c r="L603" t="s">
        <v>12</v>
      </c>
    </row>
    <row r="604" spans="1:12" x14ac:dyDescent="0.3">
      <c r="A604">
        <v>57</v>
      </c>
      <c r="B604">
        <v>2022</v>
      </c>
      <c r="C604">
        <v>0.87</v>
      </c>
      <c r="D604">
        <v>0.68</v>
      </c>
      <c r="E604">
        <v>0.54</v>
      </c>
      <c r="F604">
        <v>0.67</v>
      </c>
      <c r="G604">
        <v>0.34</v>
      </c>
      <c r="H604">
        <v>0.5</v>
      </c>
      <c r="I604">
        <v>257</v>
      </c>
      <c r="J604">
        <v>13</v>
      </c>
      <c r="K604">
        <v>0.67</v>
      </c>
      <c r="L604" t="s">
        <v>12</v>
      </c>
    </row>
    <row r="605" spans="1:12" x14ac:dyDescent="0.3">
      <c r="A605">
        <v>57</v>
      </c>
      <c r="B605">
        <v>2022</v>
      </c>
      <c r="C605">
        <v>0.94</v>
      </c>
      <c r="D605">
        <v>0.87</v>
      </c>
      <c r="E605">
        <v>0.88</v>
      </c>
      <c r="F605">
        <v>0.84</v>
      </c>
      <c r="G605">
        <v>0.74</v>
      </c>
      <c r="H605">
        <v>0.64</v>
      </c>
      <c r="I605">
        <v>185</v>
      </c>
      <c r="J605">
        <v>11</v>
      </c>
      <c r="K605">
        <v>0.88</v>
      </c>
      <c r="L605" t="s">
        <v>13</v>
      </c>
    </row>
    <row r="606" spans="1:12" x14ac:dyDescent="0.3">
      <c r="A606">
        <v>57</v>
      </c>
      <c r="B606">
        <v>2022</v>
      </c>
      <c r="C606">
        <v>0.33</v>
      </c>
      <c r="D606">
        <v>0.94</v>
      </c>
      <c r="E606">
        <v>0.76</v>
      </c>
      <c r="F606">
        <v>0.89</v>
      </c>
      <c r="G606">
        <v>0.89</v>
      </c>
      <c r="H606">
        <v>0.95</v>
      </c>
      <c r="I606">
        <v>198</v>
      </c>
      <c r="J606">
        <v>13</v>
      </c>
      <c r="K606">
        <v>0.71</v>
      </c>
      <c r="L606" t="s">
        <v>13</v>
      </c>
    </row>
    <row r="607" spans="1:12" x14ac:dyDescent="0.3">
      <c r="A607">
        <v>57</v>
      </c>
      <c r="B607">
        <v>2022</v>
      </c>
      <c r="C607">
        <v>0.48</v>
      </c>
      <c r="D607">
        <v>0.43</v>
      </c>
      <c r="E607">
        <v>0.98</v>
      </c>
      <c r="F607">
        <v>0.94</v>
      </c>
      <c r="G607">
        <v>0.94</v>
      </c>
      <c r="H607">
        <v>0.85</v>
      </c>
      <c r="I607">
        <v>470</v>
      </c>
      <c r="J607">
        <v>12</v>
      </c>
      <c r="K607">
        <v>0.68</v>
      </c>
      <c r="L607" t="s">
        <v>12</v>
      </c>
    </row>
    <row r="608" spans="1:12" x14ac:dyDescent="0.3">
      <c r="A608">
        <v>57</v>
      </c>
      <c r="B608">
        <v>2022</v>
      </c>
      <c r="C608">
        <v>0.39</v>
      </c>
      <c r="D608">
        <v>0.77</v>
      </c>
      <c r="E608">
        <v>0.6</v>
      </c>
      <c r="F608">
        <v>0.71</v>
      </c>
      <c r="G608">
        <v>0.82</v>
      </c>
      <c r="H608">
        <v>0.98</v>
      </c>
      <c r="I608">
        <v>339</v>
      </c>
      <c r="J608">
        <v>2</v>
      </c>
      <c r="K608">
        <v>0.62</v>
      </c>
      <c r="L608" t="s">
        <v>12</v>
      </c>
    </row>
    <row r="609" spans="1:12" x14ac:dyDescent="0.3">
      <c r="A609">
        <v>57</v>
      </c>
      <c r="B609">
        <v>2022</v>
      </c>
      <c r="C609">
        <v>0.54</v>
      </c>
      <c r="D609">
        <v>0.48</v>
      </c>
      <c r="E609">
        <v>0.56000000000000005</v>
      </c>
      <c r="F609">
        <v>0.93</v>
      </c>
      <c r="G609">
        <v>0.94</v>
      </c>
      <c r="H609">
        <v>0.78</v>
      </c>
      <c r="I609">
        <v>250</v>
      </c>
      <c r="J609">
        <v>11</v>
      </c>
      <c r="K609">
        <v>0.63</v>
      </c>
      <c r="L609" t="s">
        <v>12</v>
      </c>
    </row>
    <row r="610" spans="1:12" x14ac:dyDescent="0.3">
      <c r="A610">
        <v>57</v>
      </c>
      <c r="B610">
        <v>2022</v>
      </c>
      <c r="C610">
        <v>0.43</v>
      </c>
      <c r="D610">
        <v>0.69</v>
      </c>
      <c r="E610">
        <v>0.83</v>
      </c>
      <c r="F610">
        <v>0.66</v>
      </c>
      <c r="G610">
        <v>0.43</v>
      </c>
      <c r="H610">
        <v>0.2</v>
      </c>
      <c r="I610">
        <v>274</v>
      </c>
      <c r="J610">
        <v>11</v>
      </c>
      <c r="K610">
        <v>0.61</v>
      </c>
      <c r="L610" t="s">
        <v>12</v>
      </c>
    </row>
    <row r="611" spans="1:12" x14ac:dyDescent="0.3">
      <c r="A611">
        <v>58</v>
      </c>
      <c r="B611">
        <v>2022</v>
      </c>
      <c r="C611">
        <v>0.41</v>
      </c>
      <c r="D611">
        <v>0.68</v>
      </c>
      <c r="E611">
        <v>0.97</v>
      </c>
      <c r="F611">
        <v>0.64</v>
      </c>
      <c r="G611">
        <v>0.9</v>
      </c>
      <c r="H611">
        <v>0.53</v>
      </c>
      <c r="I611">
        <v>334</v>
      </c>
      <c r="J611">
        <v>10</v>
      </c>
      <c r="K611">
        <v>0.67</v>
      </c>
      <c r="L611" t="s">
        <v>12</v>
      </c>
    </row>
    <row r="612" spans="1:12" x14ac:dyDescent="0.3">
      <c r="A612">
        <v>58</v>
      </c>
      <c r="B612">
        <v>2022</v>
      </c>
      <c r="C612">
        <v>0.7</v>
      </c>
      <c r="D612">
        <v>0.96</v>
      </c>
      <c r="E612">
        <v>0.92</v>
      </c>
      <c r="F612">
        <v>0.87</v>
      </c>
      <c r="G612">
        <v>0.4</v>
      </c>
      <c r="H612">
        <v>0.25</v>
      </c>
      <c r="I612">
        <v>284</v>
      </c>
      <c r="J612">
        <v>12</v>
      </c>
      <c r="K612">
        <v>0.8</v>
      </c>
      <c r="L612" t="s">
        <v>13</v>
      </c>
    </row>
    <row r="613" spans="1:12" x14ac:dyDescent="0.3">
      <c r="A613">
        <v>58</v>
      </c>
      <c r="B613">
        <v>2022</v>
      </c>
      <c r="C613">
        <v>0.36</v>
      </c>
      <c r="D613">
        <v>0.85</v>
      </c>
      <c r="E613">
        <v>0.56999999999999995</v>
      </c>
      <c r="F613">
        <v>0.64</v>
      </c>
      <c r="G613">
        <v>0.69</v>
      </c>
      <c r="H613">
        <v>0.41</v>
      </c>
      <c r="I613">
        <v>461</v>
      </c>
      <c r="J613">
        <v>5</v>
      </c>
      <c r="K613">
        <v>0.6</v>
      </c>
      <c r="L613" t="s">
        <v>12</v>
      </c>
    </row>
    <row r="614" spans="1:12" x14ac:dyDescent="0.3">
      <c r="A614">
        <v>58</v>
      </c>
      <c r="B614">
        <v>2022</v>
      </c>
      <c r="C614">
        <v>0.6</v>
      </c>
      <c r="D614">
        <v>0.65</v>
      </c>
      <c r="E614">
        <v>0.52</v>
      </c>
      <c r="F614">
        <v>0.84</v>
      </c>
      <c r="G614">
        <v>0.68</v>
      </c>
      <c r="H614">
        <v>0.08</v>
      </c>
      <c r="I614">
        <v>122</v>
      </c>
      <c r="J614">
        <v>14</v>
      </c>
      <c r="K614">
        <v>0.64</v>
      </c>
      <c r="L614" t="s">
        <v>12</v>
      </c>
    </row>
    <row r="615" spans="1:12" x14ac:dyDescent="0.3">
      <c r="A615">
        <v>59</v>
      </c>
      <c r="B615">
        <v>2022</v>
      </c>
      <c r="C615">
        <v>0.84</v>
      </c>
      <c r="D615">
        <v>0.43</v>
      </c>
      <c r="E615">
        <v>0.51</v>
      </c>
      <c r="F615">
        <v>0.92</v>
      </c>
      <c r="G615">
        <v>0.63</v>
      </c>
      <c r="H615">
        <v>0.13</v>
      </c>
      <c r="I615">
        <v>181</v>
      </c>
      <c r="J615">
        <v>3</v>
      </c>
      <c r="K615">
        <v>0.66</v>
      </c>
      <c r="L615" t="s">
        <v>12</v>
      </c>
    </row>
    <row r="616" spans="1:12" x14ac:dyDescent="0.3">
      <c r="A616">
        <v>59</v>
      </c>
      <c r="B616">
        <v>2022</v>
      </c>
      <c r="C616">
        <v>0.36</v>
      </c>
      <c r="D616">
        <v>0.45</v>
      </c>
      <c r="E616">
        <v>0.96</v>
      </c>
      <c r="F616">
        <v>0.88</v>
      </c>
      <c r="G616">
        <v>0.39</v>
      </c>
      <c r="H616">
        <v>0.36</v>
      </c>
      <c r="I616">
        <v>368</v>
      </c>
      <c r="J616">
        <v>4</v>
      </c>
      <c r="K616">
        <v>0.57999999999999996</v>
      </c>
      <c r="L616" t="s">
        <v>12</v>
      </c>
    </row>
    <row r="617" spans="1:12" x14ac:dyDescent="0.3">
      <c r="A617">
        <v>59</v>
      </c>
      <c r="B617">
        <v>2022</v>
      </c>
      <c r="C617">
        <v>0.79</v>
      </c>
      <c r="D617">
        <v>0.95</v>
      </c>
      <c r="E617">
        <v>0.86</v>
      </c>
      <c r="F617">
        <v>0.75</v>
      </c>
      <c r="G617">
        <v>0.8</v>
      </c>
      <c r="H617">
        <v>0.04</v>
      </c>
      <c r="I617">
        <v>370</v>
      </c>
      <c r="J617">
        <v>14</v>
      </c>
      <c r="K617">
        <v>0.84</v>
      </c>
      <c r="L617" t="s">
        <v>13</v>
      </c>
    </row>
    <row r="618" spans="1:12" x14ac:dyDescent="0.3">
      <c r="A618">
        <v>59</v>
      </c>
      <c r="B618">
        <v>2022</v>
      </c>
      <c r="C618">
        <v>0.39</v>
      </c>
      <c r="D618">
        <v>0.69</v>
      </c>
      <c r="E618">
        <v>0.87</v>
      </c>
      <c r="F618">
        <v>0.64</v>
      </c>
      <c r="G618">
        <v>0.6</v>
      </c>
      <c r="H618">
        <v>0.02</v>
      </c>
      <c r="I618">
        <v>487</v>
      </c>
      <c r="J618">
        <v>6</v>
      </c>
      <c r="K618">
        <v>0.62</v>
      </c>
      <c r="L618" t="s">
        <v>12</v>
      </c>
    </row>
    <row r="619" spans="1:12" x14ac:dyDescent="0.3">
      <c r="A619">
        <v>60</v>
      </c>
      <c r="B619">
        <v>2022</v>
      </c>
      <c r="C619">
        <v>0.35</v>
      </c>
      <c r="D619">
        <v>0.64</v>
      </c>
      <c r="E619">
        <v>0.65</v>
      </c>
      <c r="F619">
        <v>0.69</v>
      </c>
      <c r="G619">
        <v>0.5</v>
      </c>
      <c r="H619">
        <v>0.8</v>
      </c>
      <c r="I619">
        <v>169</v>
      </c>
      <c r="J619">
        <v>6</v>
      </c>
      <c r="K619">
        <v>0.55000000000000004</v>
      </c>
      <c r="L619" t="s">
        <v>12</v>
      </c>
    </row>
    <row r="620" spans="1:12" x14ac:dyDescent="0.3">
      <c r="A620">
        <v>60</v>
      </c>
      <c r="B620">
        <v>2022</v>
      </c>
      <c r="C620">
        <v>0.6</v>
      </c>
      <c r="D620">
        <v>0.54</v>
      </c>
      <c r="E620">
        <v>0.76</v>
      </c>
      <c r="F620">
        <v>0.7</v>
      </c>
      <c r="G620">
        <v>0.96</v>
      </c>
      <c r="H620">
        <v>0.91</v>
      </c>
      <c r="I620">
        <v>156</v>
      </c>
      <c r="J620">
        <v>17</v>
      </c>
      <c r="K620">
        <v>0.67</v>
      </c>
      <c r="L620" t="s">
        <v>12</v>
      </c>
    </row>
    <row r="621" spans="1:12" x14ac:dyDescent="0.3">
      <c r="A621">
        <v>60</v>
      </c>
      <c r="B621">
        <v>2022</v>
      </c>
      <c r="C621">
        <v>0.76</v>
      </c>
      <c r="D621">
        <v>0.66</v>
      </c>
      <c r="E621">
        <v>0.94</v>
      </c>
      <c r="F621">
        <v>0.94</v>
      </c>
      <c r="G621">
        <v>0.67</v>
      </c>
      <c r="H621">
        <v>0.69</v>
      </c>
      <c r="I621">
        <v>214</v>
      </c>
      <c r="J621">
        <v>15</v>
      </c>
      <c r="K621">
        <v>0.79</v>
      </c>
      <c r="L621" t="s">
        <v>13</v>
      </c>
    </row>
    <row r="622" spans="1:12" x14ac:dyDescent="0.3">
      <c r="A622">
        <v>61</v>
      </c>
      <c r="B622">
        <v>2022</v>
      </c>
      <c r="C622">
        <v>0.35</v>
      </c>
      <c r="D622">
        <v>0.55000000000000004</v>
      </c>
      <c r="E622">
        <v>0.83</v>
      </c>
      <c r="F622">
        <v>0.96</v>
      </c>
      <c r="G622">
        <v>0.62</v>
      </c>
      <c r="H622">
        <v>0.61</v>
      </c>
      <c r="I622">
        <v>235</v>
      </c>
      <c r="J622">
        <v>5</v>
      </c>
      <c r="K622">
        <v>0.61</v>
      </c>
      <c r="L622" t="s">
        <v>12</v>
      </c>
    </row>
    <row r="623" spans="1:12" x14ac:dyDescent="0.3">
      <c r="A623">
        <v>62</v>
      </c>
      <c r="B623">
        <v>2022</v>
      </c>
      <c r="C623">
        <v>0.65</v>
      </c>
      <c r="D623">
        <v>0.93</v>
      </c>
      <c r="E623">
        <v>0.7</v>
      </c>
      <c r="F623">
        <v>0.71</v>
      </c>
      <c r="G623">
        <v>0.54</v>
      </c>
      <c r="H623">
        <v>0.71</v>
      </c>
      <c r="I623">
        <v>50</v>
      </c>
      <c r="J623">
        <v>9</v>
      </c>
      <c r="K623">
        <v>0.73</v>
      </c>
      <c r="L623" t="s">
        <v>13</v>
      </c>
    </row>
    <row r="624" spans="1:12" x14ac:dyDescent="0.3">
      <c r="A624">
        <v>62</v>
      </c>
      <c r="B624">
        <v>2022</v>
      </c>
      <c r="C624">
        <v>0.94</v>
      </c>
      <c r="D624">
        <v>0.46</v>
      </c>
      <c r="E624">
        <v>0.86</v>
      </c>
      <c r="F624">
        <v>0.66</v>
      </c>
      <c r="G624">
        <v>0.56999999999999995</v>
      </c>
      <c r="H624">
        <v>0.41</v>
      </c>
      <c r="I624">
        <v>469</v>
      </c>
      <c r="J624">
        <v>13</v>
      </c>
      <c r="K624">
        <v>0.72</v>
      </c>
      <c r="L624" t="s">
        <v>13</v>
      </c>
    </row>
    <row r="625" spans="1:12" x14ac:dyDescent="0.3">
      <c r="A625">
        <v>63</v>
      </c>
      <c r="B625">
        <v>2022</v>
      </c>
      <c r="C625">
        <v>0.42</v>
      </c>
      <c r="D625">
        <v>0.59</v>
      </c>
      <c r="E625">
        <v>0.72</v>
      </c>
      <c r="F625">
        <v>0.93</v>
      </c>
      <c r="G625">
        <v>0.95</v>
      </c>
      <c r="H625">
        <v>0.63</v>
      </c>
      <c r="I625">
        <v>236</v>
      </c>
      <c r="J625">
        <v>16</v>
      </c>
      <c r="K625">
        <v>0.65</v>
      </c>
      <c r="L625" t="s">
        <v>12</v>
      </c>
    </row>
    <row r="626" spans="1:12" x14ac:dyDescent="0.3">
      <c r="A626">
        <v>63</v>
      </c>
      <c r="B626">
        <v>2022</v>
      </c>
      <c r="C626">
        <v>0.53</v>
      </c>
      <c r="D626">
        <v>0.94</v>
      </c>
      <c r="E626">
        <v>0.55000000000000004</v>
      </c>
      <c r="F626">
        <v>0.65</v>
      </c>
      <c r="G626">
        <v>0.51</v>
      </c>
      <c r="H626">
        <v>0.96</v>
      </c>
      <c r="I626">
        <v>258</v>
      </c>
      <c r="J626">
        <v>2</v>
      </c>
      <c r="K626">
        <v>0.65</v>
      </c>
      <c r="L626" t="s">
        <v>12</v>
      </c>
    </row>
    <row r="627" spans="1:12" x14ac:dyDescent="0.3">
      <c r="A627">
        <v>63</v>
      </c>
      <c r="B627">
        <v>2022</v>
      </c>
      <c r="C627">
        <v>0.86</v>
      </c>
      <c r="D627">
        <v>0.49</v>
      </c>
      <c r="E627">
        <v>0.83</v>
      </c>
      <c r="F627">
        <v>0.73</v>
      </c>
      <c r="G627">
        <v>0.54</v>
      </c>
      <c r="H627">
        <v>0.66</v>
      </c>
      <c r="I627">
        <v>108</v>
      </c>
      <c r="J627">
        <v>17</v>
      </c>
      <c r="K627">
        <v>0.71</v>
      </c>
      <c r="L627" t="s">
        <v>13</v>
      </c>
    </row>
    <row r="628" spans="1:12" x14ac:dyDescent="0.3">
      <c r="A628">
        <v>64</v>
      </c>
      <c r="B628">
        <v>2022</v>
      </c>
      <c r="C628">
        <v>0.42</v>
      </c>
      <c r="D628">
        <v>0.84</v>
      </c>
      <c r="E628">
        <v>0.54</v>
      </c>
      <c r="F628">
        <v>0.84</v>
      </c>
      <c r="G628">
        <v>0.47</v>
      </c>
      <c r="H628">
        <v>0.39</v>
      </c>
      <c r="I628">
        <v>345</v>
      </c>
      <c r="J628">
        <v>10</v>
      </c>
      <c r="K628">
        <v>0.62</v>
      </c>
      <c r="L628" t="s">
        <v>12</v>
      </c>
    </row>
    <row r="629" spans="1:12" x14ac:dyDescent="0.3">
      <c r="A629">
        <v>64</v>
      </c>
      <c r="B629">
        <v>2022</v>
      </c>
      <c r="C629">
        <v>0.5</v>
      </c>
      <c r="D629">
        <v>0.59</v>
      </c>
      <c r="E629">
        <v>0.76</v>
      </c>
      <c r="F629">
        <v>0.87</v>
      </c>
      <c r="G629">
        <v>0.56999999999999995</v>
      </c>
      <c r="H629">
        <v>0.72</v>
      </c>
      <c r="I629">
        <v>154</v>
      </c>
      <c r="J629">
        <v>3</v>
      </c>
      <c r="K629">
        <v>0.64</v>
      </c>
      <c r="L629" t="s">
        <v>12</v>
      </c>
    </row>
    <row r="630" spans="1:12" x14ac:dyDescent="0.3">
      <c r="A630">
        <v>64</v>
      </c>
      <c r="B630">
        <v>2022</v>
      </c>
      <c r="C630">
        <v>0.5</v>
      </c>
      <c r="D630">
        <v>0.73</v>
      </c>
      <c r="E630">
        <v>0.64</v>
      </c>
      <c r="F630">
        <v>0.82</v>
      </c>
      <c r="G630">
        <v>0.38</v>
      </c>
      <c r="H630">
        <v>0.94</v>
      </c>
      <c r="I630">
        <v>120</v>
      </c>
      <c r="J630">
        <v>6</v>
      </c>
      <c r="K630">
        <v>0.62</v>
      </c>
      <c r="L630" t="s">
        <v>12</v>
      </c>
    </row>
    <row r="631" spans="1:12" x14ac:dyDescent="0.3">
      <c r="A631">
        <v>64</v>
      </c>
      <c r="B631">
        <v>2022</v>
      </c>
      <c r="C631">
        <v>0.6</v>
      </c>
      <c r="D631">
        <v>0.64</v>
      </c>
      <c r="E631">
        <v>0.86</v>
      </c>
      <c r="F631">
        <v>0.97</v>
      </c>
      <c r="G631">
        <v>0.77</v>
      </c>
      <c r="H631">
        <v>0.47</v>
      </c>
      <c r="I631">
        <v>206</v>
      </c>
      <c r="J631">
        <v>8</v>
      </c>
      <c r="K631">
        <v>0.73</v>
      </c>
      <c r="L631" t="s">
        <v>13</v>
      </c>
    </row>
    <row r="632" spans="1:12" x14ac:dyDescent="0.3">
      <c r="A632">
        <v>65</v>
      </c>
      <c r="B632">
        <v>2022</v>
      </c>
      <c r="C632">
        <v>0.59</v>
      </c>
      <c r="D632">
        <v>0.94</v>
      </c>
      <c r="E632">
        <v>0.57999999999999996</v>
      </c>
      <c r="F632">
        <v>1</v>
      </c>
      <c r="G632">
        <v>0.38</v>
      </c>
      <c r="H632">
        <v>0.01</v>
      </c>
      <c r="I632">
        <v>370</v>
      </c>
      <c r="J632">
        <v>15</v>
      </c>
      <c r="K632">
        <v>0.72</v>
      </c>
      <c r="L632" t="s">
        <v>13</v>
      </c>
    </row>
    <row r="633" spans="1:12" x14ac:dyDescent="0.3">
      <c r="A633">
        <v>67</v>
      </c>
      <c r="B633">
        <v>2022</v>
      </c>
      <c r="C633">
        <v>0.39</v>
      </c>
      <c r="D633">
        <v>0.57999999999999996</v>
      </c>
      <c r="E633">
        <v>0.68</v>
      </c>
      <c r="F633">
        <v>0.92</v>
      </c>
      <c r="G633">
        <v>0.5</v>
      </c>
      <c r="H633">
        <v>0.21</v>
      </c>
      <c r="I633">
        <v>106</v>
      </c>
      <c r="J633">
        <v>14</v>
      </c>
      <c r="K633">
        <v>0.59</v>
      </c>
      <c r="L633" t="s">
        <v>12</v>
      </c>
    </row>
    <row r="634" spans="1:12" x14ac:dyDescent="0.3">
      <c r="A634">
        <v>67</v>
      </c>
      <c r="B634">
        <v>2022</v>
      </c>
      <c r="C634">
        <v>0.41</v>
      </c>
      <c r="D634">
        <v>0.87</v>
      </c>
      <c r="E634">
        <v>0.87</v>
      </c>
      <c r="F634">
        <v>0.75</v>
      </c>
      <c r="G634">
        <v>0.32</v>
      </c>
      <c r="H634">
        <v>0.84</v>
      </c>
      <c r="I634">
        <v>127</v>
      </c>
      <c r="J634">
        <v>0</v>
      </c>
      <c r="K634">
        <v>0.66</v>
      </c>
      <c r="L634" t="s">
        <v>12</v>
      </c>
    </row>
    <row r="635" spans="1:12" x14ac:dyDescent="0.3">
      <c r="A635">
        <v>67</v>
      </c>
      <c r="B635">
        <v>2022</v>
      </c>
      <c r="C635">
        <v>0.55000000000000004</v>
      </c>
      <c r="D635">
        <v>0.64</v>
      </c>
      <c r="E635">
        <v>0.99</v>
      </c>
      <c r="F635">
        <v>0.64</v>
      </c>
      <c r="G635">
        <v>0.49</v>
      </c>
      <c r="H635">
        <v>0.49</v>
      </c>
      <c r="I635">
        <v>220</v>
      </c>
      <c r="J635">
        <v>6</v>
      </c>
      <c r="K635">
        <v>0.67</v>
      </c>
      <c r="L635" t="s">
        <v>12</v>
      </c>
    </row>
    <row r="636" spans="1:12" x14ac:dyDescent="0.3">
      <c r="A636">
        <v>67</v>
      </c>
      <c r="B636">
        <v>2022</v>
      </c>
      <c r="C636">
        <v>0.74</v>
      </c>
      <c r="D636">
        <v>0.43</v>
      </c>
      <c r="E636">
        <v>0.51</v>
      </c>
      <c r="F636">
        <v>0.78</v>
      </c>
      <c r="G636">
        <v>0.53</v>
      </c>
      <c r="H636">
        <v>0.44</v>
      </c>
      <c r="I636">
        <v>177</v>
      </c>
      <c r="J636">
        <v>4</v>
      </c>
      <c r="K636">
        <v>0.6</v>
      </c>
      <c r="L636" t="s">
        <v>12</v>
      </c>
    </row>
    <row r="637" spans="1:12" x14ac:dyDescent="0.3">
      <c r="A637">
        <v>67</v>
      </c>
      <c r="B637">
        <v>2022</v>
      </c>
      <c r="C637">
        <v>0.35</v>
      </c>
      <c r="D637">
        <v>0.81</v>
      </c>
      <c r="E637">
        <v>0.59</v>
      </c>
      <c r="F637">
        <v>0.74</v>
      </c>
      <c r="G637">
        <v>0.34</v>
      </c>
      <c r="H637">
        <v>0.27</v>
      </c>
      <c r="I637">
        <v>132</v>
      </c>
      <c r="J637">
        <v>2</v>
      </c>
      <c r="K637">
        <v>0.56999999999999995</v>
      </c>
      <c r="L637" t="s">
        <v>12</v>
      </c>
    </row>
    <row r="638" spans="1:12" x14ac:dyDescent="0.3">
      <c r="A638">
        <v>67</v>
      </c>
      <c r="B638">
        <v>2022</v>
      </c>
      <c r="C638">
        <v>0.79</v>
      </c>
      <c r="D638">
        <v>0.7</v>
      </c>
      <c r="E638">
        <v>0.72</v>
      </c>
      <c r="F638">
        <v>0.98</v>
      </c>
      <c r="G638">
        <v>0.44</v>
      </c>
      <c r="H638">
        <v>0.31</v>
      </c>
      <c r="I638">
        <v>463</v>
      </c>
      <c r="J638">
        <v>14</v>
      </c>
      <c r="K638">
        <v>0.75</v>
      </c>
      <c r="L638" t="s">
        <v>13</v>
      </c>
    </row>
    <row r="639" spans="1:12" x14ac:dyDescent="0.3">
      <c r="A639">
        <v>67</v>
      </c>
      <c r="B639">
        <v>2022</v>
      </c>
      <c r="C639">
        <v>0.98</v>
      </c>
      <c r="D639">
        <v>0.8</v>
      </c>
      <c r="E639">
        <v>0.57999999999999996</v>
      </c>
      <c r="F639">
        <v>0.65</v>
      </c>
      <c r="G639">
        <v>0.44</v>
      </c>
      <c r="H639">
        <v>0.77</v>
      </c>
      <c r="I639">
        <v>51</v>
      </c>
      <c r="J639">
        <v>0</v>
      </c>
      <c r="K639">
        <v>0.75</v>
      </c>
      <c r="L639" t="s">
        <v>13</v>
      </c>
    </row>
    <row r="640" spans="1:12" x14ac:dyDescent="0.3">
      <c r="A640">
        <v>67</v>
      </c>
      <c r="B640">
        <v>2022</v>
      </c>
      <c r="C640">
        <v>0.56000000000000005</v>
      </c>
      <c r="D640">
        <v>0.79</v>
      </c>
      <c r="E640">
        <v>0.62</v>
      </c>
      <c r="F640">
        <v>0.82</v>
      </c>
      <c r="G640">
        <v>0.85</v>
      </c>
      <c r="H640">
        <v>0.87</v>
      </c>
      <c r="I640">
        <v>137</v>
      </c>
      <c r="J640">
        <v>14</v>
      </c>
      <c r="K640">
        <v>0.7</v>
      </c>
      <c r="L640" t="s">
        <v>12</v>
      </c>
    </row>
    <row r="641" spans="1:12" x14ac:dyDescent="0.3">
      <c r="A641">
        <v>68</v>
      </c>
      <c r="B641">
        <v>2022</v>
      </c>
      <c r="C641">
        <v>0.81</v>
      </c>
      <c r="D641">
        <v>0.91</v>
      </c>
      <c r="E641">
        <v>0.84</v>
      </c>
      <c r="F641">
        <v>0.92</v>
      </c>
      <c r="G641">
        <v>0.84</v>
      </c>
      <c r="H641">
        <v>0.15</v>
      </c>
      <c r="I641">
        <v>488</v>
      </c>
      <c r="J641">
        <v>17</v>
      </c>
      <c r="K641">
        <v>0.86</v>
      </c>
      <c r="L641" t="s">
        <v>13</v>
      </c>
    </row>
    <row r="642" spans="1:12" x14ac:dyDescent="0.3">
      <c r="A642">
        <v>69</v>
      </c>
      <c r="B642">
        <v>2022</v>
      </c>
      <c r="C642">
        <v>0.31</v>
      </c>
      <c r="D642">
        <v>0.71</v>
      </c>
      <c r="E642">
        <v>0.56999999999999995</v>
      </c>
      <c r="F642">
        <v>0.95</v>
      </c>
      <c r="G642">
        <v>0.91</v>
      </c>
      <c r="H642">
        <v>0.42</v>
      </c>
      <c r="I642">
        <v>373</v>
      </c>
      <c r="J642">
        <v>4</v>
      </c>
      <c r="K642">
        <v>0.62</v>
      </c>
      <c r="L642" t="s">
        <v>12</v>
      </c>
    </row>
    <row r="643" spans="1:12" x14ac:dyDescent="0.3">
      <c r="A643">
        <v>69</v>
      </c>
      <c r="B643">
        <v>2022</v>
      </c>
      <c r="C643">
        <v>0.56000000000000005</v>
      </c>
      <c r="D643">
        <v>0.99</v>
      </c>
      <c r="E643">
        <v>0.83</v>
      </c>
      <c r="F643">
        <v>0.98</v>
      </c>
      <c r="G643">
        <v>0.44</v>
      </c>
      <c r="H643">
        <v>0.86</v>
      </c>
      <c r="I643">
        <v>329</v>
      </c>
      <c r="J643">
        <v>18</v>
      </c>
      <c r="K643">
        <v>0.77</v>
      </c>
      <c r="L643" t="s">
        <v>13</v>
      </c>
    </row>
    <row r="644" spans="1:12" x14ac:dyDescent="0.3">
      <c r="A644">
        <v>69</v>
      </c>
      <c r="B644">
        <v>2022</v>
      </c>
      <c r="C644">
        <v>0.37</v>
      </c>
      <c r="D644">
        <v>0.66</v>
      </c>
      <c r="E644">
        <v>0.67</v>
      </c>
      <c r="F644">
        <v>0.86</v>
      </c>
      <c r="G644">
        <v>0.95</v>
      </c>
      <c r="H644">
        <v>0.25</v>
      </c>
      <c r="I644">
        <v>172</v>
      </c>
      <c r="J644">
        <v>7</v>
      </c>
      <c r="K644">
        <v>0.63</v>
      </c>
      <c r="L644" t="s">
        <v>12</v>
      </c>
    </row>
    <row r="645" spans="1:12" x14ac:dyDescent="0.3">
      <c r="A645">
        <v>70</v>
      </c>
      <c r="B645">
        <v>2022</v>
      </c>
      <c r="C645">
        <v>0.93</v>
      </c>
      <c r="D645">
        <v>0.78</v>
      </c>
      <c r="E645">
        <v>0.72</v>
      </c>
      <c r="F645">
        <v>0.62</v>
      </c>
      <c r="G645">
        <v>0.65</v>
      </c>
      <c r="H645">
        <v>0.76</v>
      </c>
      <c r="I645">
        <v>338</v>
      </c>
      <c r="J645">
        <v>17</v>
      </c>
      <c r="K645">
        <v>0.78</v>
      </c>
      <c r="L645" t="s">
        <v>13</v>
      </c>
    </row>
    <row r="646" spans="1:12" x14ac:dyDescent="0.3">
      <c r="A646">
        <v>70</v>
      </c>
      <c r="B646">
        <v>2022</v>
      </c>
      <c r="C646">
        <v>0.94</v>
      </c>
      <c r="D646">
        <v>0.47</v>
      </c>
      <c r="E646">
        <v>0.88</v>
      </c>
      <c r="F646">
        <v>0.9</v>
      </c>
      <c r="G646">
        <v>0.87</v>
      </c>
      <c r="H646">
        <v>0.89</v>
      </c>
      <c r="I646">
        <v>245</v>
      </c>
      <c r="J646">
        <v>8</v>
      </c>
      <c r="K646">
        <v>0.8</v>
      </c>
      <c r="L646" t="s">
        <v>13</v>
      </c>
    </row>
    <row r="647" spans="1:12" x14ac:dyDescent="0.3">
      <c r="A647">
        <v>70</v>
      </c>
      <c r="B647">
        <v>2022</v>
      </c>
      <c r="C647">
        <v>0.44</v>
      </c>
      <c r="D647">
        <v>0.77</v>
      </c>
      <c r="E647">
        <v>0.54</v>
      </c>
      <c r="F647">
        <v>0.76</v>
      </c>
      <c r="G647">
        <v>0.8</v>
      </c>
      <c r="H647">
        <v>0.66</v>
      </c>
      <c r="I647">
        <v>66</v>
      </c>
      <c r="J647">
        <v>17</v>
      </c>
      <c r="K647">
        <v>0.63</v>
      </c>
      <c r="L647" t="s">
        <v>12</v>
      </c>
    </row>
    <row r="648" spans="1:12" x14ac:dyDescent="0.3">
      <c r="A648">
        <v>71</v>
      </c>
      <c r="B648">
        <v>2022</v>
      </c>
      <c r="C648">
        <v>0.93</v>
      </c>
      <c r="D648">
        <v>0.91</v>
      </c>
      <c r="E648">
        <v>0.66</v>
      </c>
      <c r="F648">
        <v>0.71</v>
      </c>
      <c r="G648">
        <v>0.99</v>
      </c>
      <c r="H648">
        <v>0.53</v>
      </c>
      <c r="I648">
        <v>117</v>
      </c>
      <c r="J648">
        <v>14</v>
      </c>
      <c r="K648">
        <v>0.84</v>
      </c>
      <c r="L648" t="s">
        <v>13</v>
      </c>
    </row>
    <row r="649" spans="1:12" x14ac:dyDescent="0.3">
      <c r="A649">
        <v>71</v>
      </c>
      <c r="B649">
        <v>2022</v>
      </c>
      <c r="C649">
        <v>0.91</v>
      </c>
      <c r="D649">
        <v>0.75</v>
      </c>
      <c r="E649">
        <v>0.67</v>
      </c>
      <c r="F649">
        <v>0.92</v>
      </c>
      <c r="G649">
        <v>0.68</v>
      </c>
      <c r="H649">
        <v>0.08</v>
      </c>
      <c r="I649">
        <v>332</v>
      </c>
      <c r="J649">
        <v>13</v>
      </c>
      <c r="K649">
        <v>0.8</v>
      </c>
      <c r="L649" t="s">
        <v>13</v>
      </c>
    </row>
    <row r="650" spans="1:12" x14ac:dyDescent="0.3">
      <c r="A650">
        <v>71</v>
      </c>
      <c r="B650">
        <v>2022</v>
      </c>
      <c r="C650">
        <v>0.33</v>
      </c>
      <c r="D650">
        <v>0.93</v>
      </c>
      <c r="E650">
        <v>0.91</v>
      </c>
      <c r="F650">
        <v>0.87</v>
      </c>
      <c r="G650">
        <v>0.54</v>
      </c>
      <c r="H650">
        <v>7.0000000000000007E-2</v>
      </c>
      <c r="I650">
        <v>303</v>
      </c>
      <c r="J650">
        <v>4</v>
      </c>
      <c r="K650">
        <v>0.7</v>
      </c>
      <c r="L650" t="s">
        <v>12</v>
      </c>
    </row>
    <row r="651" spans="1:12" x14ac:dyDescent="0.3">
      <c r="A651">
        <v>71</v>
      </c>
      <c r="B651">
        <v>2022</v>
      </c>
      <c r="C651">
        <v>0.35</v>
      </c>
      <c r="D651">
        <v>0.68</v>
      </c>
      <c r="E651">
        <v>0.65</v>
      </c>
      <c r="F651">
        <v>0.85</v>
      </c>
      <c r="G651">
        <v>0.33</v>
      </c>
      <c r="H651">
        <v>0.12</v>
      </c>
      <c r="I651">
        <v>331</v>
      </c>
      <c r="J651">
        <v>16</v>
      </c>
      <c r="K651">
        <v>0.56999999999999995</v>
      </c>
      <c r="L651" t="s">
        <v>12</v>
      </c>
    </row>
    <row r="652" spans="1:12" x14ac:dyDescent="0.3">
      <c r="A652">
        <v>72</v>
      </c>
      <c r="B652">
        <v>2022</v>
      </c>
      <c r="C652">
        <v>0.74</v>
      </c>
      <c r="D652">
        <v>0.87</v>
      </c>
      <c r="E652">
        <v>0.81</v>
      </c>
      <c r="F652">
        <v>0.79</v>
      </c>
      <c r="G652">
        <v>0.76</v>
      </c>
      <c r="H652">
        <v>0.55000000000000004</v>
      </c>
      <c r="I652">
        <v>439</v>
      </c>
      <c r="J652">
        <v>2</v>
      </c>
      <c r="K652">
        <v>0.8</v>
      </c>
      <c r="L652" t="s">
        <v>13</v>
      </c>
    </row>
    <row r="653" spans="1:12" x14ac:dyDescent="0.3">
      <c r="A653">
        <v>72</v>
      </c>
      <c r="B653">
        <v>2022</v>
      </c>
      <c r="C653">
        <v>0.95</v>
      </c>
      <c r="D653">
        <v>0.44</v>
      </c>
      <c r="E653">
        <v>0.55000000000000004</v>
      </c>
      <c r="F653">
        <v>0.67</v>
      </c>
      <c r="G653">
        <v>0.72</v>
      </c>
      <c r="H653">
        <v>0.15</v>
      </c>
      <c r="I653">
        <v>191</v>
      </c>
      <c r="J653">
        <v>12</v>
      </c>
      <c r="K653">
        <v>0.68</v>
      </c>
      <c r="L653" t="s">
        <v>12</v>
      </c>
    </row>
    <row r="654" spans="1:12" x14ac:dyDescent="0.3">
      <c r="A654">
        <v>74</v>
      </c>
      <c r="B654">
        <v>2022</v>
      </c>
      <c r="C654">
        <v>0.36</v>
      </c>
      <c r="D654">
        <v>0.95</v>
      </c>
      <c r="E654">
        <v>0.6</v>
      </c>
      <c r="F654">
        <v>0.77</v>
      </c>
      <c r="G654">
        <v>0.61</v>
      </c>
      <c r="H654">
        <v>0.6</v>
      </c>
      <c r="I654">
        <v>383</v>
      </c>
      <c r="J654">
        <v>3</v>
      </c>
      <c r="K654">
        <v>0.64</v>
      </c>
      <c r="L654" t="s">
        <v>12</v>
      </c>
    </row>
    <row r="655" spans="1:12" x14ac:dyDescent="0.3">
      <c r="A655">
        <v>74</v>
      </c>
      <c r="B655">
        <v>2022</v>
      </c>
      <c r="C655">
        <v>0.76</v>
      </c>
      <c r="D655">
        <v>0.66</v>
      </c>
      <c r="E655">
        <v>0.88</v>
      </c>
      <c r="F655">
        <v>1</v>
      </c>
      <c r="G655">
        <v>0.76</v>
      </c>
      <c r="H655">
        <v>0.05</v>
      </c>
      <c r="I655">
        <v>108</v>
      </c>
      <c r="J655">
        <v>0</v>
      </c>
      <c r="K655">
        <v>0.8</v>
      </c>
      <c r="L655" t="s">
        <v>13</v>
      </c>
    </row>
    <row r="656" spans="1:12" x14ac:dyDescent="0.3">
      <c r="A656">
        <v>74</v>
      </c>
      <c r="B656">
        <v>2022</v>
      </c>
      <c r="C656">
        <v>0.91</v>
      </c>
      <c r="D656">
        <v>0.78</v>
      </c>
      <c r="E656">
        <v>0.92</v>
      </c>
      <c r="F656">
        <v>0.7</v>
      </c>
      <c r="G656">
        <v>0.37</v>
      </c>
      <c r="H656">
        <v>0.62</v>
      </c>
      <c r="I656">
        <v>194</v>
      </c>
      <c r="J656">
        <v>5</v>
      </c>
      <c r="K656">
        <v>0.79</v>
      </c>
      <c r="L656" t="s">
        <v>13</v>
      </c>
    </row>
    <row r="657" spans="1:12" x14ac:dyDescent="0.3">
      <c r="A657">
        <v>74</v>
      </c>
      <c r="B657">
        <v>2022</v>
      </c>
      <c r="C657">
        <v>0.41</v>
      </c>
      <c r="D657">
        <v>0.4</v>
      </c>
      <c r="E657">
        <v>0.71</v>
      </c>
      <c r="F657">
        <v>0.65</v>
      </c>
      <c r="G657">
        <v>0.41</v>
      </c>
      <c r="H657">
        <v>0.08</v>
      </c>
      <c r="I657">
        <v>92</v>
      </c>
      <c r="J657">
        <v>7</v>
      </c>
      <c r="K657">
        <v>0.5</v>
      </c>
      <c r="L657" t="s">
        <v>12</v>
      </c>
    </row>
    <row r="658" spans="1:12" x14ac:dyDescent="0.3">
      <c r="A658">
        <v>75</v>
      </c>
      <c r="B658">
        <v>2022</v>
      </c>
      <c r="C658">
        <v>0.96</v>
      </c>
      <c r="D658">
        <v>0.5</v>
      </c>
      <c r="E658">
        <v>0.74</v>
      </c>
      <c r="F658">
        <v>0.64</v>
      </c>
      <c r="G658">
        <v>0.74</v>
      </c>
      <c r="H658">
        <v>0.55000000000000004</v>
      </c>
      <c r="I658">
        <v>430</v>
      </c>
      <c r="J658">
        <v>12</v>
      </c>
      <c r="K658">
        <v>0.73</v>
      </c>
      <c r="L658" t="s">
        <v>13</v>
      </c>
    </row>
    <row r="659" spans="1:12" x14ac:dyDescent="0.3">
      <c r="A659">
        <v>75</v>
      </c>
      <c r="B659">
        <v>2022</v>
      </c>
      <c r="C659">
        <v>0.81</v>
      </c>
      <c r="D659">
        <v>0.62</v>
      </c>
      <c r="E659">
        <v>0.54</v>
      </c>
      <c r="F659">
        <v>0.68</v>
      </c>
      <c r="G659">
        <v>0.68</v>
      </c>
      <c r="H659">
        <v>0.21</v>
      </c>
      <c r="I659">
        <v>146</v>
      </c>
      <c r="J659">
        <v>16</v>
      </c>
      <c r="K659">
        <v>0.68</v>
      </c>
      <c r="L659" t="s">
        <v>12</v>
      </c>
    </row>
    <row r="660" spans="1:12" x14ac:dyDescent="0.3">
      <c r="A660">
        <v>75</v>
      </c>
      <c r="B660">
        <v>2022</v>
      </c>
      <c r="C660">
        <v>0.34</v>
      </c>
      <c r="D660">
        <v>0.92</v>
      </c>
      <c r="E660">
        <v>0.67</v>
      </c>
      <c r="F660">
        <v>0.96</v>
      </c>
      <c r="G660">
        <v>0.96</v>
      </c>
      <c r="H660">
        <v>0.67</v>
      </c>
      <c r="I660">
        <v>416</v>
      </c>
      <c r="J660">
        <v>1</v>
      </c>
      <c r="K660">
        <v>0.71</v>
      </c>
      <c r="L660" t="s">
        <v>13</v>
      </c>
    </row>
    <row r="661" spans="1:12" x14ac:dyDescent="0.3">
      <c r="A661">
        <v>75</v>
      </c>
      <c r="B661">
        <v>2022</v>
      </c>
      <c r="C661">
        <v>0.8</v>
      </c>
      <c r="D661">
        <v>0.44</v>
      </c>
      <c r="E661">
        <v>0.67</v>
      </c>
      <c r="F661">
        <v>0.71</v>
      </c>
      <c r="G661">
        <v>0.69</v>
      </c>
      <c r="H661">
        <v>0.73</v>
      </c>
      <c r="I661">
        <v>315</v>
      </c>
      <c r="J661">
        <v>14</v>
      </c>
      <c r="K661">
        <v>0.66</v>
      </c>
      <c r="L661" t="s">
        <v>12</v>
      </c>
    </row>
    <row r="662" spans="1:12" x14ac:dyDescent="0.3">
      <c r="A662">
        <v>75</v>
      </c>
      <c r="B662">
        <v>2022</v>
      </c>
      <c r="C662">
        <v>0.81</v>
      </c>
      <c r="D662">
        <v>0.88</v>
      </c>
      <c r="E662">
        <v>0.9</v>
      </c>
      <c r="F662">
        <v>0.99</v>
      </c>
      <c r="G662">
        <v>0.85</v>
      </c>
      <c r="H662">
        <v>0.77</v>
      </c>
      <c r="I662">
        <v>379</v>
      </c>
      <c r="J662">
        <v>1</v>
      </c>
      <c r="K662">
        <v>0.88</v>
      </c>
      <c r="L662" t="s">
        <v>13</v>
      </c>
    </row>
    <row r="663" spans="1:12" x14ac:dyDescent="0.3">
      <c r="A663">
        <v>75</v>
      </c>
      <c r="B663">
        <v>2022</v>
      </c>
      <c r="C663">
        <v>0.41</v>
      </c>
      <c r="D663">
        <v>0.82</v>
      </c>
      <c r="E663">
        <v>0.63</v>
      </c>
      <c r="F663">
        <v>0.97</v>
      </c>
      <c r="G663">
        <v>0.39</v>
      </c>
      <c r="H663">
        <v>0.32</v>
      </c>
      <c r="I663">
        <v>428</v>
      </c>
      <c r="J663">
        <v>1</v>
      </c>
      <c r="K663">
        <v>0.64</v>
      </c>
      <c r="L663" t="s">
        <v>12</v>
      </c>
    </row>
    <row r="664" spans="1:12" x14ac:dyDescent="0.3">
      <c r="A664">
        <v>75</v>
      </c>
      <c r="B664">
        <v>2022</v>
      </c>
      <c r="C664">
        <v>0.89</v>
      </c>
      <c r="D664">
        <v>0.53</v>
      </c>
      <c r="E664">
        <v>0.68</v>
      </c>
      <c r="F664">
        <v>0.61</v>
      </c>
      <c r="G664">
        <v>0.98</v>
      </c>
      <c r="H664">
        <v>7.0000000000000007E-2</v>
      </c>
      <c r="I664">
        <v>239</v>
      </c>
      <c r="J664">
        <v>2</v>
      </c>
      <c r="K664">
        <v>0.73</v>
      </c>
      <c r="L664" t="s">
        <v>13</v>
      </c>
    </row>
    <row r="665" spans="1:12" x14ac:dyDescent="0.3">
      <c r="A665">
        <v>76</v>
      </c>
      <c r="B665">
        <v>2022</v>
      </c>
      <c r="C665">
        <v>0.55000000000000004</v>
      </c>
      <c r="D665">
        <v>0.85</v>
      </c>
      <c r="E665">
        <v>0.51</v>
      </c>
      <c r="F665">
        <v>0.65</v>
      </c>
      <c r="G665">
        <v>0.33</v>
      </c>
      <c r="H665">
        <v>0.04</v>
      </c>
      <c r="I665">
        <v>287</v>
      </c>
      <c r="J665">
        <v>19</v>
      </c>
      <c r="K665">
        <v>0.61</v>
      </c>
      <c r="L665" t="s">
        <v>12</v>
      </c>
    </row>
    <row r="666" spans="1:12" x14ac:dyDescent="0.3">
      <c r="A666">
        <v>76</v>
      </c>
      <c r="B666">
        <v>2022</v>
      </c>
      <c r="C666">
        <v>0.9</v>
      </c>
      <c r="D666">
        <v>0.65</v>
      </c>
      <c r="E666">
        <v>0.54</v>
      </c>
      <c r="F666">
        <v>0.78</v>
      </c>
      <c r="G666">
        <v>0.46</v>
      </c>
      <c r="H666">
        <v>0.28999999999999998</v>
      </c>
      <c r="I666">
        <v>434</v>
      </c>
      <c r="J666">
        <v>18</v>
      </c>
      <c r="K666">
        <v>0.7</v>
      </c>
      <c r="L666" t="s">
        <v>12</v>
      </c>
    </row>
    <row r="667" spans="1:12" x14ac:dyDescent="0.3">
      <c r="A667">
        <v>76</v>
      </c>
      <c r="B667">
        <v>2022</v>
      </c>
      <c r="C667">
        <v>0.42</v>
      </c>
      <c r="D667">
        <v>0.69</v>
      </c>
      <c r="E667">
        <v>0.85</v>
      </c>
      <c r="F667">
        <v>0.69</v>
      </c>
      <c r="G667">
        <v>0.3</v>
      </c>
      <c r="H667">
        <v>0.34</v>
      </c>
      <c r="I667">
        <v>142</v>
      </c>
      <c r="J667">
        <v>5</v>
      </c>
      <c r="K667">
        <v>0.6</v>
      </c>
      <c r="L667" t="s">
        <v>12</v>
      </c>
    </row>
    <row r="668" spans="1:12" x14ac:dyDescent="0.3">
      <c r="A668">
        <v>76</v>
      </c>
      <c r="B668">
        <v>2022</v>
      </c>
      <c r="C668">
        <v>0.71</v>
      </c>
      <c r="D668">
        <v>0.62</v>
      </c>
      <c r="E668">
        <v>0.68</v>
      </c>
      <c r="F668">
        <v>0.87</v>
      </c>
      <c r="G668">
        <v>0.56999999999999995</v>
      </c>
      <c r="H668">
        <v>0.26</v>
      </c>
      <c r="I668">
        <v>252</v>
      </c>
      <c r="J668">
        <v>11</v>
      </c>
      <c r="K668">
        <v>0.69</v>
      </c>
      <c r="L668" t="s">
        <v>12</v>
      </c>
    </row>
    <row r="669" spans="1:12" x14ac:dyDescent="0.3">
      <c r="A669">
        <v>77</v>
      </c>
      <c r="B669">
        <v>2022</v>
      </c>
      <c r="C669">
        <v>0.7</v>
      </c>
      <c r="D669">
        <v>0.63</v>
      </c>
      <c r="E669">
        <v>0.88</v>
      </c>
      <c r="F669">
        <v>0.72</v>
      </c>
      <c r="G669">
        <v>0.72</v>
      </c>
      <c r="H669">
        <v>0.54</v>
      </c>
      <c r="I669">
        <v>417</v>
      </c>
      <c r="J669">
        <v>19</v>
      </c>
      <c r="K669">
        <v>0.72</v>
      </c>
      <c r="L669" t="s">
        <v>13</v>
      </c>
    </row>
    <row r="670" spans="1:12" x14ac:dyDescent="0.3">
      <c r="A670">
        <v>78</v>
      </c>
      <c r="B670">
        <v>2022</v>
      </c>
      <c r="C670">
        <v>0.94</v>
      </c>
      <c r="D670">
        <v>0.59</v>
      </c>
      <c r="E670">
        <v>0.79</v>
      </c>
      <c r="F670">
        <v>0.87</v>
      </c>
      <c r="G670">
        <v>0.62</v>
      </c>
      <c r="H670">
        <v>0.71</v>
      </c>
      <c r="I670">
        <v>337</v>
      </c>
      <c r="J670">
        <v>18</v>
      </c>
      <c r="K670">
        <v>0.78</v>
      </c>
      <c r="L670" t="s">
        <v>13</v>
      </c>
    </row>
    <row r="671" spans="1:12" x14ac:dyDescent="0.3">
      <c r="A671">
        <v>78</v>
      </c>
      <c r="B671">
        <v>2022</v>
      </c>
      <c r="C671">
        <v>0.39</v>
      </c>
      <c r="D671">
        <v>0.54</v>
      </c>
      <c r="E671">
        <v>0.53</v>
      </c>
      <c r="F671">
        <v>0.86</v>
      </c>
      <c r="G671">
        <v>0.46</v>
      </c>
      <c r="H671">
        <v>0.18</v>
      </c>
      <c r="I671">
        <v>108</v>
      </c>
      <c r="J671">
        <v>4</v>
      </c>
      <c r="K671">
        <v>0.53</v>
      </c>
      <c r="L671" t="s">
        <v>12</v>
      </c>
    </row>
    <row r="672" spans="1:12" x14ac:dyDescent="0.3">
      <c r="A672">
        <v>78</v>
      </c>
      <c r="B672">
        <v>2022</v>
      </c>
      <c r="C672">
        <v>0.83</v>
      </c>
      <c r="D672">
        <v>0.7</v>
      </c>
      <c r="E672">
        <v>0.77</v>
      </c>
      <c r="F672">
        <v>0.98</v>
      </c>
      <c r="G672">
        <v>0.89</v>
      </c>
      <c r="H672">
        <v>0.91</v>
      </c>
      <c r="I672">
        <v>270</v>
      </c>
      <c r="J672">
        <v>11</v>
      </c>
      <c r="K672">
        <v>0.81</v>
      </c>
      <c r="L672" t="s">
        <v>13</v>
      </c>
    </row>
    <row r="673" spans="1:12" x14ac:dyDescent="0.3">
      <c r="A673">
        <v>78</v>
      </c>
      <c r="B673">
        <v>2022</v>
      </c>
      <c r="C673">
        <v>0.67</v>
      </c>
      <c r="D673">
        <v>0.78</v>
      </c>
      <c r="E673">
        <v>0.77</v>
      </c>
      <c r="F673">
        <v>0.65</v>
      </c>
      <c r="G673">
        <v>0.56000000000000005</v>
      </c>
      <c r="H673">
        <v>0.1</v>
      </c>
      <c r="I673">
        <v>190</v>
      </c>
      <c r="J673">
        <v>8</v>
      </c>
      <c r="K673">
        <v>0.7</v>
      </c>
      <c r="L673" t="s">
        <v>12</v>
      </c>
    </row>
    <row r="674" spans="1:12" x14ac:dyDescent="0.3">
      <c r="A674">
        <v>78</v>
      </c>
      <c r="B674">
        <v>2022</v>
      </c>
      <c r="C674">
        <v>0.43</v>
      </c>
      <c r="D674">
        <v>0.89</v>
      </c>
      <c r="E674">
        <v>0.56999999999999995</v>
      </c>
      <c r="F674">
        <v>0.79</v>
      </c>
      <c r="G674">
        <v>0.96</v>
      </c>
      <c r="H674">
        <v>0.19</v>
      </c>
      <c r="I674">
        <v>293</v>
      </c>
      <c r="J674">
        <v>1</v>
      </c>
      <c r="K674">
        <v>0.68</v>
      </c>
      <c r="L674" t="s">
        <v>12</v>
      </c>
    </row>
    <row r="675" spans="1:12" x14ac:dyDescent="0.3">
      <c r="A675">
        <v>78</v>
      </c>
      <c r="B675">
        <v>2022</v>
      </c>
      <c r="C675">
        <v>0.48</v>
      </c>
      <c r="D675">
        <v>0.92</v>
      </c>
      <c r="E675">
        <v>0.82</v>
      </c>
      <c r="F675">
        <v>0.61</v>
      </c>
      <c r="G675">
        <v>0.81</v>
      </c>
      <c r="H675">
        <v>0.04</v>
      </c>
      <c r="I675">
        <v>184</v>
      </c>
      <c r="J675">
        <v>17</v>
      </c>
      <c r="K675">
        <v>0.71</v>
      </c>
      <c r="L675" t="s">
        <v>13</v>
      </c>
    </row>
    <row r="676" spans="1:12" x14ac:dyDescent="0.3">
      <c r="A676">
        <v>78</v>
      </c>
      <c r="B676">
        <v>2022</v>
      </c>
      <c r="C676">
        <v>0.86</v>
      </c>
      <c r="D676">
        <v>0.79</v>
      </c>
      <c r="E676">
        <v>0.5</v>
      </c>
      <c r="F676">
        <v>0.7</v>
      </c>
      <c r="G676">
        <v>0.65</v>
      </c>
      <c r="H676">
        <v>0.62</v>
      </c>
      <c r="I676">
        <v>67</v>
      </c>
      <c r="J676">
        <v>6</v>
      </c>
      <c r="K676">
        <v>0.73</v>
      </c>
      <c r="L676" t="s">
        <v>13</v>
      </c>
    </row>
    <row r="677" spans="1:12" x14ac:dyDescent="0.3">
      <c r="A677">
        <v>78</v>
      </c>
      <c r="B677">
        <v>2022</v>
      </c>
      <c r="C677">
        <v>0.95</v>
      </c>
      <c r="D677">
        <v>0.79</v>
      </c>
      <c r="E677">
        <v>0.96</v>
      </c>
      <c r="F677">
        <v>0.93</v>
      </c>
      <c r="G677">
        <v>0.78</v>
      </c>
      <c r="H677">
        <v>0.36</v>
      </c>
      <c r="I677">
        <v>53</v>
      </c>
      <c r="J677">
        <v>18</v>
      </c>
      <c r="K677">
        <v>0.89</v>
      </c>
      <c r="L677" t="s">
        <v>13</v>
      </c>
    </row>
    <row r="678" spans="1:12" x14ac:dyDescent="0.3">
      <c r="A678">
        <v>78</v>
      </c>
      <c r="B678">
        <v>2022</v>
      </c>
      <c r="C678">
        <v>0.65</v>
      </c>
      <c r="D678">
        <v>0.86</v>
      </c>
      <c r="E678">
        <v>0.94</v>
      </c>
      <c r="F678">
        <v>0.64</v>
      </c>
      <c r="G678">
        <v>0.56999999999999995</v>
      </c>
      <c r="H678">
        <v>0.78</v>
      </c>
      <c r="I678">
        <v>264</v>
      </c>
      <c r="J678">
        <v>2</v>
      </c>
      <c r="K678">
        <v>0.75</v>
      </c>
      <c r="L678" t="s">
        <v>13</v>
      </c>
    </row>
    <row r="679" spans="1:12" x14ac:dyDescent="0.3">
      <c r="A679">
        <v>79</v>
      </c>
      <c r="B679">
        <v>2022</v>
      </c>
      <c r="C679">
        <v>0.76</v>
      </c>
      <c r="D679">
        <v>0.92</v>
      </c>
      <c r="E679">
        <v>0.5</v>
      </c>
      <c r="F679">
        <v>0.67</v>
      </c>
      <c r="G679">
        <v>0.56999999999999995</v>
      </c>
      <c r="H679">
        <v>0.38</v>
      </c>
      <c r="I679">
        <v>191</v>
      </c>
      <c r="J679">
        <v>3</v>
      </c>
      <c r="K679">
        <v>0.72</v>
      </c>
      <c r="L679" t="s">
        <v>13</v>
      </c>
    </row>
    <row r="680" spans="1:12" x14ac:dyDescent="0.3">
      <c r="A680">
        <v>79</v>
      </c>
      <c r="B680">
        <v>2022</v>
      </c>
      <c r="C680">
        <v>0.56000000000000005</v>
      </c>
      <c r="D680">
        <v>0.64</v>
      </c>
      <c r="E680">
        <v>0.77</v>
      </c>
      <c r="F680">
        <v>0.66</v>
      </c>
      <c r="G680">
        <v>0.78</v>
      </c>
      <c r="H680">
        <v>0.17</v>
      </c>
      <c r="I680">
        <v>174</v>
      </c>
      <c r="J680">
        <v>16</v>
      </c>
      <c r="K680">
        <v>0.66</v>
      </c>
      <c r="L680" t="s">
        <v>12</v>
      </c>
    </row>
    <row r="681" spans="1:12" x14ac:dyDescent="0.3">
      <c r="A681">
        <v>79</v>
      </c>
      <c r="B681">
        <v>2022</v>
      </c>
      <c r="C681">
        <v>0.93</v>
      </c>
      <c r="D681">
        <v>0.5</v>
      </c>
      <c r="E681">
        <v>0.98</v>
      </c>
      <c r="F681">
        <v>0.78</v>
      </c>
      <c r="G681">
        <v>0.96</v>
      </c>
      <c r="H681">
        <v>0.68</v>
      </c>
      <c r="I681">
        <v>50</v>
      </c>
      <c r="J681">
        <v>2</v>
      </c>
      <c r="K681">
        <v>0.81</v>
      </c>
      <c r="L681" t="s">
        <v>13</v>
      </c>
    </row>
    <row r="682" spans="1:12" x14ac:dyDescent="0.3">
      <c r="A682">
        <v>79</v>
      </c>
      <c r="B682">
        <v>2022</v>
      </c>
      <c r="C682">
        <v>0.76</v>
      </c>
      <c r="D682">
        <v>0.72</v>
      </c>
      <c r="E682">
        <v>0.98</v>
      </c>
      <c r="F682">
        <v>0.89</v>
      </c>
      <c r="G682">
        <v>0.45</v>
      </c>
      <c r="H682">
        <v>0.11</v>
      </c>
      <c r="I682">
        <v>348</v>
      </c>
      <c r="J682">
        <v>14</v>
      </c>
      <c r="K682">
        <v>0.78</v>
      </c>
      <c r="L682" t="s">
        <v>13</v>
      </c>
    </row>
    <row r="683" spans="1:12" x14ac:dyDescent="0.3">
      <c r="A683">
        <v>79</v>
      </c>
      <c r="B683">
        <v>2022</v>
      </c>
      <c r="C683">
        <v>0.75</v>
      </c>
      <c r="D683">
        <v>0.93</v>
      </c>
      <c r="E683">
        <v>0.84</v>
      </c>
      <c r="F683">
        <v>0.74</v>
      </c>
      <c r="G683">
        <v>0.66</v>
      </c>
      <c r="H683">
        <v>0.68</v>
      </c>
      <c r="I683">
        <v>227</v>
      </c>
      <c r="J683">
        <v>14</v>
      </c>
      <c r="K683">
        <v>0.8</v>
      </c>
      <c r="L683" t="s">
        <v>13</v>
      </c>
    </row>
    <row r="684" spans="1:12" x14ac:dyDescent="0.3">
      <c r="A684">
        <v>79</v>
      </c>
      <c r="B684">
        <v>2022</v>
      </c>
      <c r="C684">
        <v>0.67</v>
      </c>
      <c r="D684">
        <v>0.81</v>
      </c>
      <c r="E684">
        <v>0.82</v>
      </c>
      <c r="F684">
        <v>0.95</v>
      </c>
      <c r="G684">
        <v>0.71</v>
      </c>
      <c r="H684">
        <v>0.78</v>
      </c>
      <c r="I684">
        <v>494</v>
      </c>
      <c r="J684">
        <v>0</v>
      </c>
      <c r="K684">
        <v>0.78</v>
      </c>
      <c r="L684" t="s">
        <v>13</v>
      </c>
    </row>
    <row r="685" spans="1:12" x14ac:dyDescent="0.3">
      <c r="A685">
        <v>79</v>
      </c>
      <c r="B685">
        <v>2022</v>
      </c>
      <c r="C685">
        <v>0.89</v>
      </c>
      <c r="D685">
        <v>0.92</v>
      </c>
      <c r="E685">
        <v>0.8</v>
      </c>
      <c r="F685">
        <v>0.83</v>
      </c>
      <c r="G685">
        <v>0.87</v>
      </c>
      <c r="H685">
        <v>0.79</v>
      </c>
      <c r="I685">
        <v>229</v>
      </c>
      <c r="J685">
        <v>15</v>
      </c>
      <c r="K685">
        <v>0.87</v>
      </c>
      <c r="L685" t="s">
        <v>13</v>
      </c>
    </row>
    <row r="686" spans="1:12" x14ac:dyDescent="0.3">
      <c r="A686">
        <v>80</v>
      </c>
      <c r="B686">
        <v>2022</v>
      </c>
      <c r="C686">
        <v>0.43</v>
      </c>
      <c r="D686">
        <v>0.76</v>
      </c>
      <c r="E686">
        <v>0.71</v>
      </c>
      <c r="F686">
        <v>0.65</v>
      </c>
      <c r="G686">
        <v>0.32</v>
      </c>
      <c r="H686">
        <v>0.62</v>
      </c>
      <c r="I686">
        <v>275</v>
      </c>
      <c r="J686">
        <v>15</v>
      </c>
      <c r="K686">
        <v>0.59</v>
      </c>
      <c r="L686" t="s">
        <v>12</v>
      </c>
    </row>
    <row r="687" spans="1:12" x14ac:dyDescent="0.3">
      <c r="A687">
        <v>80</v>
      </c>
      <c r="B687">
        <v>2022</v>
      </c>
      <c r="C687">
        <v>0.33</v>
      </c>
      <c r="D687">
        <v>0.96</v>
      </c>
      <c r="E687">
        <v>0.83</v>
      </c>
      <c r="F687">
        <v>0.9</v>
      </c>
      <c r="G687">
        <v>0.52</v>
      </c>
      <c r="H687">
        <v>0.85</v>
      </c>
      <c r="I687">
        <v>118</v>
      </c>
      <c r="J687">
        <v>19</v>
      </c>
      <c r="K687">
        <v>0.69</v>
      </c>
      <c r="L687" t="s">
        <v>12</v>
      </c>
    </row>
    <row r="688" spans="1:12" x14ac:dyDescent="0.3">
      <c r="A688">
        <v>80</v>
      </c>
      <c r="B688">
        <v>2022</v>
      </c>
      <c r="C688">
        <v>0.95</v>
      </c>
      <c r="D688">
        <v>0.88</v>
      </c>
      <c r="E688">
        <v>0.72</v>
      </c>
      <c r="F688">
        <v>0.8</v>
      </c>
      <c r="G688">
        <v>0.49</v>
      </c>
      <c r="H688">
        <v>0.7</v>
      </c>
      <c r="I688">
        <v>317</v>
      </c>
      <c r="J688">
        <v>6</v>
      </c>
      <c r="K688">
        <v>0.82</v>
      </c>
      <c r="L688" t="s">
        <v>13</v>
      </c>
    </row>
    <row r="689" spans="1:12" x14ac:dyDescent="0.3">
      <c r="A689">
        <v>80</v>
      </c>
      <c r="B689">
        <v>2022</v>
      </c>
      <c r="C689">
        <v>0.67</v>
      </c>
      <c r="D689">
        <v>0.43</v>
      </c>
      <c r="E689">
        <v>0.67</v>
      </c>
      <c r="F689">
        <v>0.63</v>
      </c>
      <c r="G689">
        <v>0.57999999999999996</v>
      </c>
      <c r="H689">
        <v>0.67</v>
      </c>
      <c r="I689">
        <v>175</v>
      </c>
      <c r="J689">
        <v>7</v>
      </c>
      <c r="K689">
        <v>0.6</v>
      </c>
      <c r="L689" t="s">
        <v>12</v>
      </c>
    </row>
    <row r="690" spans="1:12" x14ac:dyDescent="0.3">
      <c r="A690">
        <v>80</v>
      </c>
      <c r="B690">
        <v>2022</v>
      </c>
      <c r="C690">
        <v>0.64</v>
      </c>
      <c r="D690">
        <v>0.57999999999999996</v>
      </c>
      <c r="E690">
        <v>0.55000000000000004</v>
      </c>
      <c r="F690">
        <v>0.63</v>
      </c>
      <c r="G690">
        <v>0.54</v>
      </c>
      <c r="H690">
        <v>0.8</v>
      </c>
      <c r="I690">
        <v>270</v>
      </c>
      <c r="J690">
        <v>16</v>
      </c>
      <c r="K690">
        <v>0.6</v>
      </c>
      <c r="L690" t="s">
        <v>12</v>
      </c>
    </row>
    <row r="691" spans="1:12" x14ac:dyDescent="0.3">
      <c r="A691">
        <v>81</v>
      </c>
      <c r="B691">
        <v>2022</v>
      </c>
      <c r="C691">
        <v>0.77</v>
      </c>
      <c r="D691">
        <v>0.81</v>
      </c>
      <c r="E691">
        <v>0.66</v>
      </c>
      <c r="F691">
        <v>0.65</v>
      </c>
      <c r="G691">
        <v>0.74</v>
      </c>
      <c r="H691">
        <v>0.13</v>
      </c>
      <c r="I691">
        <v>413</v>
      </c>
      <c r="J691">
        <v>11</v>
      </c>
      <c r="K691">
        <v>0.74</v>
      </c>
      <c r="L691" t="s">
        <v>13</v>
      </c>
    </row>
    <row r="692" spans="1:12" x14ac:dyDescent="0.3">
      <c r="A692">
        <v>81</v>
      </c>
      <c r="B692">
        <v>2022</v>
      </c>
      <c r="C692">
        <v>0.34</v>
      </c>
      <c r="D692">
        <v>0.46</v>
      </c>
      <c r="E692">
        <v>0.83</v>
      </c>
      <c r="F692">
        <v>0.72</v>
      </c>
      <c r="G692">
        <v>0.54</v>
      </c>
      <c r="H692">
        <v>0.49</v>
      </c>
      <c r="I692">
        <v>332</v>
      </c>
      <c r="J692">
        <v>13</v>
      </c>
      <c r="K692">
        <v>0.55000000000000004</v>
      </c>
      <c r="L692" t="s">
        <v>12</v>
      </c>
    </row>
    <row r="693" spans="1:12" x14ac:dyDescent="0.3">
      <c r="A693">
        <v>81</v>
      </c>
      <c r="B693">
        <v>2022</v>
      </c>
      <c r="C693">
        <v>0.89</v>
      </c>
      <c r="D693">
        <v>0.71</v>
      </c>
      <c r="E693">
        <v>0.89</v>
      </c>
      <c r="F693">
        <v>0.67</v>
      </c>
      <c r="G693">
        <v>0.7</v>
      </c>
      <c r="H693">
        <v>0.98</v>
      </c>
      <c r="I693">
        <v>160</v>
      </c>
      <c r="J693">
        <v>7</v>
      </c>
      <c r="K693">
        <v>0.79</v>
      </c>
      <c r="L693" t="s">
        <v>13</v>
      </c>
    </row>
    <row r="694" spans="1:12" x14ac:dyDescent="0.3">
      <c r="A694">
        <v>82</v>
      </c>
      <c r="B694">
        <v>2022</v>
      </c>
      <c r="C694">
        <v>0.78</v>
      </c>
      <c r="D694">
        <v>0.79</v>
      </c>
      <c r="E694">
        <v>0.61</v>
      </c>
      <c r="F694">
        <v>0.88</v>
      </c>
      <c r="G694">
        <v>0.47</v>
      </c>
      <c r="H694">
        <v>0.33</v>
      </c>
      <c r="I694">
        <v>453</v>
      </c>
      <c r="J694">
        <v>7</v>
      </c>
      <c r="K694">
        <v>0.73</v>
      </c>
      <c r="L694" t="s">
        <v>13</v>
      </c>
    </row>
    <row r="695" spans="1:12" x14ac:dyDescent="0.3">
      <c r="A695">
        <v>82</v>
      </c>
      <c r="B695">
        <v>2022</v>
      </c>
      <c r="C695">
        <v>0.71</v>
      </c>
      <c r="D695">
        <v>0.94</v>
      </c>
      <c r="E695">
        <v>0.66</v>
      </c>
      <c r="F695">
        <v>0.87</v>
      </c>
      <c r="G695">
        <v>0.43</v>
      </c>
      <c r="H695">
        <v>0.62</v>
      </c>
      <c r="I695">
        <v>87</v>
      </c>
      <c r="J695">
        <v>8</v>
      </c>
      <c r="K695">
        <v>0.75</v>
      </c>
      <c r="L695" t="s">
        <v>13</v>
      </c>
    </row>
    <row r="696" spans="1:12" x14ac:dyDescent="0.3">
      <c r="A696">
        <v>82</v>
      </c>
      <c r="B696">
        <v>2022</v>
      </c>
      <c r="C696">
        <v>0.54</v>
      </c>
      <c r="D696">
        <v>0.55000000000000004</v>
      </c>
      <c r="E696">
        <v>0.79</v>
      </c>
      <c r="F696">
        <v>0.99</v>
      </c>
      <c r="G696">
        <v>0.44</v>
      </c>
      <c r="H696">
        <v>0.1</v>
      </c>
      <c r="I696">
        <v>119</v>
      </c>
      <c r="J696">
        <v>7</v>
      </c>
      <c r="K696">
        <v>0.65</v>
      </c>
      <c r="L696" t="s">
        <v>12</v>
      </c>
    </row>
    <row r="697" spans="1:12" x14ac:dyDescent="0.3">
      <c r="A697">
        <v>82</v>
      </c>
      <c r="B697">
        <v>2022</v>
      </c>
      <c r="C697">
        <v>0.43</v>
      </c>
      <c r="D697">
        <v>0.55000000000000004</v>
      </c>
      <c r="E697">
        <v>0.65</v>
      </c>
      <c r="F697">
        <v>0.74</v>
      </c>
      <c r="G697">
        <v>0.59</v>
      </c>
      <c r="H697">
        <v>0.1</v>
      </c>
      <c r="I697">
        <v>400</v>
      </c>
      <c r="J697">
        <v>6</v>
      </c>
      <c r="K697">
        <v>0.56999999999999995</v>
      </c>
      <c r="L697" t="s">
        <v>12</v>
      </c>
    </row>
    <row r="698" spans="1:12" x14ac:dyDescent="0.3">
      <c r="A698">
        <v>82</v>
      </c>
      <c r="B698">
        <v>2022</v>
      </c>
      <c r="C698">
        <v>0.49</v>
      </c>
      <c r="D698">
        <v>0.55000000000000004</v>
      </c>
      <c r="E698">
        <v>0.62</v>
      </c>
      <c r="F698">
        <v>0.68</v>
      </c>
      <c r="G698">
        <v>0.7</v>
      </c>
      <c r="H698">
        <v>0.33</v>
      </c>
      <c r="I698">
        <v>434</v>
      </c>
      <c r="J698">
        <v>18</v>
      </c>
      <c r="K698">
        <v>0.57999999999999996</v>
      </c>
      <c r="L698" t="s">
        <v>12</v>
      </c>
    </row>
    <row r="699" spans="1:12" x14ac:dyDescent="0.3">
      <c r="A699">
        <v>83</v>
      </c>
      <c r="B699">
        <v>2022</v>
      </c>
      <c r="C699">
        <v>0.49</v>
      </c>
      <c r="D699">
        <v>0.49</v>
      </c>
      <c r="E699">
        <v>0.66</v>
      </c>
      <c r="F699">
        <v>0.94</v>
      </c>
      <c r="G699">
        <v>0.36</v>
      </c>
      <c r="H699">
        <v>0.99</v>
      </c>
      <c r="I699">
        <v>146</v>
      </c>
      <c r="J699">
        <v>11</v>
      </c>
      <c r="K699">
        <v>0.57999999999999996</v>
      </c>
      <c r="L699" t="s">
        <v>12</v>
      </c>
    </row>
    <row r="700" spans="1:12" x14ac:dyDescent="0.3">
      <c r="A700">
        <v>83</v>
      </c>
      <c r="B700">
        <v>2022</v>
      </c>
      <c r="C700">
        <v>0.91</v>
      </c>
      <c r="D700">
        <v>0.7</v>
      </c>
      <c r="E700">
        <v>0.9</v>
      </c>
      <c r="F700">
        <v>0.75</v>
      </c>
      <c r="G700">
        <v>0.39</v>
      </c>
      <c r="H700">
        <v>0.04</v>
      </c>
      <c r="I700">
        <v>485</v>
      </c>
      <c r="J700">
        <v>18</v>
      </c>
      <c r="K700">
        <v>0.78</v>
      </c>
      <c r="L700" t="s">
        <v>13</v>
      </c>
    </row>
    <row r="701" spans="1:12" x14ac:dyDescent="0.3">
      <c r="A701">
        <v>84</v>
      </c>
      <c r="B701">
        <v>2022</v>
      </c>
      <c r="C701">
        <v>0.66</v>
      </c>
      <c r="D701">
        <v>0.49</v>
      </c>
      <c r="E701">
        <v>0.53</v>
      </c>
      <c r="F701">
        <v>0.89</v>
      </c>
      <c r="G701">
        <v>0.69</v>
      </c>
      <c r="H701">
        <v>0.36</v>
      </c>
      <c r="I701">
        <v>435</v>
      </c>
      <c r="J701">
        <v>19</v>
      </c>
      <c r="K701">
        <v>0.63</v>
      </c>
      <c r="L701" t="s">
        <v>12</v>
      </c>
    </row>
    <row r="702" spans="1:12" x14ac:dyDescent="0.3">
      <c r="A702">
        <v>84</v>
      </c>
      <c r="B702">
        <v>2022</v>
      </c>
      <c r="C702">
        <v>0.31</v>
      </c>
      <c r="D702">
        <v>0.98</v>
      </c>
      <c r="E702">
        <v>0.6</v>
      </c>
      <c r="F702">
        <v>0.93</v>
      </c>
      <c r="G702">
        <v>0.69</v>
      </c>
      <c r="H702">
        <v>0.26</v>
      </c>
      <c r="I702">
        <v>60</v>
      </c>
      <c r="J702">
        <v>1</v>
      </c>
      <c r="K702">
        <v>0.67</v>
      </c>
      <c r="L702" t="s">
        <v>12</v>
      </c>
    </row>
    <row r="703" spans="1:12" x14ac:dyDescent="0.3">
      <c r="A703">
        <v>84</v>
      </c>
      <c r="B703">
        <v>2022</v>
      </c>
      <c r="C703">
        <v>0.5</v>
      </c>
      <c r="D703">
        <v>0.84</v>
      </c>
      <c r="E703">
        <v>0.55000000000000004</v>
      </c>
      <c r="F703">
        <v>0.9</v>
      </c>
      <c r="G703">
        <v>0.33</v>
      </c>
      <c r="H703">
        <v>0.2</v>
      </c>
      <c r="I703">
        <v>468</v>
      </c>
      <c r="J703">
        <v>10</v>
      </c>
      <c r="K703">
        <v>0.64</v>
      </c>
      <c r="L703" t="s">
        <v>12</v>
      </c>
    </row>
    <row r="704" spans="1:12" x14ac:dyDescent="0.3">
      <c r="A704">
        <v>85</v>
      </c>
      <c r="B704">
        <v>2022</v>
      </c>
      <c r="C704">
        <v>0.48</v>
      </c>
      <c r="D704">
        <v>0.67</v>
      </c>
      <c r="E704">
        <v>0.85</v>
      </c>
      <c r="F704">
        <v>0.63</v>
      </c>
      <c r="G704">
        <v>0.72</v>
      </c>
      <c r="H704">
        <v>0.59</v>
      </c>
      <c r="I704">
        <v>300</v>
      </c>
      <c r="J704">
        <v>3</v>
      </c>
      <c r="K704">
        <v>0.65</v>
      </c>
      <c r="L704" t="s">
        <v>12</v>
      </c>
    </row>
    <row r="705" spans="1:12" x14ac:dyDescent="0.3">
      <c r="A705">
        <v>86</v>
      </c>
      <c r="B705">
        <v>2022</v>
      </c>
      <c r="C705">
        <v>0.67</v>
      </c>
      <c r="D705">
        <v>0.54</v>
      </c>
      <c r="E705">
        <v>0.67</v>
      </c>
      <c r="F705">
        <v>0.79</v>
      </c>
      <c r="G705">
        <v>0.55000000000000004</v>
      </c>
      <c r="H705">
        <v>0.65</v>
      </c>
      <c r="I705">
        <v>195</v>
      </c>
      <c r="J705">
        <v>14</v>
      </c>
      <c r="K705">
        <v>0.64</v>
      </c>
      <c r="L705" t="s">
        <v>12</v>
      </c>
    </row>
    <row r="706" spans="1:12" x14ac:dyDescent="0.3">
      <c r="A706">
        <v>86</v>
      </c>
      <c r="B706">
        <v>2022</v>
      </c>
      <c r="C706">
        <v>0.76</v>
      </c>
      <c r="D706">
        <v>0.99</v>
      </c>
      <c r="E706">
        <v>0.69</v>
      </c>
      <c r="F706">
        <v>0.61</v>
      </c>
      <c r="G706">
        <v>0.47</v>
      </c>
      <c r="H706">
        <v>0.83</v>
      </c>
      <c r="I706">
        <v>352</v>
      </c>
      <c r="J706">
        <v>7</v>
      </c>
      <c r="K706">
        <v>0.75</v>
      </c>
      <c r="L706" t="s">
        <v>13</v>
      </c>
    </row>
    <row r="707" spans="1:12" x14ac:dyDescent="0.3">
      <c r="A707">
        <v>86</v>
      </c>
      <c r="B707">
        <v>2022</v>
      </c>
      <c r="C707">
        <v>1</v>
      </c>
      <c r="D707">
        <v>0.8</v>
      </c>
      <c r="E707">
        <v>0.78</v>
      </c>
      <c r="F707">
        <v>0.89</v>
      </c>
      <c r="G707">
        <v>0.63</v>
      </c>
      <c r="H707">
        <v>0.06</v>
      </c>
      <c r="I707">
        <v>349</v>
      </c>
      <c r="J707">
        <v>3</v>
      </c>
      <c r="K707">
        <v>0.85</v>
      </c>
      <c r="L707" t="s">
        <v>13</v>
      </c>
    </row>
    <row r="708" spans="1:12" x14ac:dyDescent="0.3">
      <c r="A708">
        <v>86</v>
      </c>
      <c r="B708">
        <v>2022</v>
      </c>
      <c r="C708">
        <v>0.94</v>
      </c>
      <c r="D708">
        <v>0.6</v>
      </c>
      <c r="E708">
        <v>0.73</v>
      </c>
      <c r="F708">
        <v>0.87</v>
      </c>
      <c r="G708">
        <v>0.68</v>
      </c>
      <c r="H708">
        <v>0.35</v>
      </c>
      <c r="I708">
        <v>237</v>
      </c>
      <c r="J708">
        <v>13</v>
      </c>
      <c r="K708">
        <v>0.78</v>
      </c>
      <c r="L708" t="s">
        <v>13</v>
      </c>
    </row>
    <row r="709" spans="1:12" x14ac:dyDescent="0.3">
      <c r="A709">
        <v>86</v>
      </c>
      <c r="B709">
        <v>2022</v>
      </c>
      <c r="C709">
        <v>0.77</v>
      </c>
      <c r="D709">
        <v>0.41</v>
      </c>
      <c r="E709">
        <v>0.75</v>
      </c>
      <c r="F709">
        <v>0.84</v>
      </c>
      <c r="G709">
        <v>0.54</v>
      </c>
      <c r="H709">
        <v>0.67</v>
      </c>
      <c r="I709">
        <v>254</v>
      </c>
      <c r="J709">
        <v>5</v>
      </c>
      <c r="K709">
        <v>0.66</v>
      </c>
      <c r="L709" t="s">
        <v>12</v>
      </c>
    </row>
    <row r="710" spans="1:12" x14ac:dyDescent="0.3">
      <c r="A710">
        <v>86</v>
      </c>
      <c r="B710">
        <v>2022</v>
      </c>
      <c r="C710">
        <v>0.67</v>
      </c>
      <c r="D710">
        <v>0.47</v>
      </c>
      <c r="E710">
        <v>0.77</v>
      </c>
      <c r="F710">
        <v>0.6</v>
      </c>
      <c r="G710">
        <v>0.53</v>
      </c>
      <c r="H710">
        <v>0.22</v>
      </c>
      <c r="I710">
        <v>418</v>
      </c>
      <c r="J710">
        <v>15</v>
      </c>
      <c r="K710">
        <v>0.62</v>
      </c>
      <c r="L710" t="s">
        <v>12</v>
      </c>
    </row>
    <row r="711" spans="1:12" x14ac:dyDescent="0.3">
      <c r="A711">
        <v>87</v>
      </c>
      <c r="B711">
        <v>2022</v>
      </c>
      <c r="C711">
        <v>0.93</v>
      </c>
      <c r="D711">
        <v>0.95</v>
      </c>
      <c r="E711">
        <v>0.66</v>
      </c>
      <c r="F711">
        <v>0.88</v>
      </c>
      <c r="G711">
        <v>0.49</v>
      </c>
      <c r="H711">
        <v>0.19</v>
      </c>
      <c r="I711">
        <v>207</v>
      </c>
      <c r="J711">
        <v>2</v>
      </c>
      <c r="K711">
        <v>0.83</v>
      </c>
      <c r="L711" t="s">
        <v>13</v>
      </c>
    </row>
    <row r="712" spans="1:12" x14ac:dyDescent="0.3">
      <c r="A712">
        <v>87</v>
      </c>
      <c r="B712">
        <v>2022</v>
      </c>
      <c r="C712">
        <v>0.74</v>
      </c>
      <c r="D712">
        <v>0.61</v>
      </c>
      <c r="E712">
        <v>0.89</v>
      </c>
      <c r="F712">
        <v>0.69</v>
      </c>
      <c r="G712">
        <v>0.75</v>
      </c>
      <c r="H712">
        <v>0.24</v>
      </c>
      <c r="I712">
        <v>218</v>
      </c>
      <c r="J712">
        <v>9</v>
      </c>
      <c r="K712">
        <v>0.73</v>
      </c>
      <c r="L712" t="s">
        <v>13</v>
      </c>
    </row>
    <row r="713" spans="1:12" x14ac:dyDescent="0.3">
      <c r="A713">
        <v>87</v>
      </c>
      <c r="B713">
        <v>2022</v>
      </c>
      <c r="C713">
        <v>0.87</v>
      </c>
      <c r="D713">
        <v>0.97</v>
      </c>
      <c r="E713">
        <v>0.56999999999999995</v>
      </c>
      <c r="F713">
        <v>0.8</v>
      </c>
      <c r="G713">
        <v>0.45</v>
      </c>
      <c r="H713">
        <v>0.06</v>
      </c>
      <c r="I713">
        <v>80</v>
      </c>
      <c r="J713">
        <v>9</v>
      </c>
      <c r="K713">
        <v>0.78</v>
      </c>
      <c r="L713" t="s">
        <v>13</v>
      </c>
    </row>
    <row r="714" spans="1:12" x14ac:dyDescent="0.3">
      <c r="A714">
        <v>87</v>
      </c>
      <c r="B714">
        <v>2022</v>
      </c>
      <c r="C714">
        <v>0.76</v>
      </c>
      <c r="D714">
        <v>0.43</v>
      </c>
      <c r="E714">
        <v>0.55000000000000004</v>
      </c>
      <c r="F714">
        <v>0.65</v>
      </c>
      <c r="G714">
        <v>0.36</v>
      </c>
      <c r="H714">
        <v>0.18</v>
      </c>
      <c r="I714">
        <v>164</v>
      </c>
      <c r="J714">
        <v>0</v>
      </c>
      <c r="K714">
        <v>0.57999999999999996</v>
      </c>
      <c r="L714" t="s">
        <v>12</v>
      </c>
    </row>
    <row r="715" spans="1:12" x14ac:dyDescent="0.3">
      <c r="A715">
        <v>88</v>
      </c>
      <c r="B715">
        <v>2022</v>
      </c>
      <c r="C715">
        <v>0.82</v>
      </c>
      <c r="D715">
        <v>0.42</v>
      </c>
      <c r="E715">
        <v>0.63</v>
      </c>
      <c r="F715">
        <v>0.89</v>
      </c>
      <c r="G715">
        <v>0.93</v>
      </c>
      <c r="H715">
        <v>0.51</v>
      </c>
      <c r="I715">
        <v>288</v>
      </c>
      <c r="J715">
        <v>12</v>
      </c>
      <c r="K715">
        <v>0.7</v>
      </c>
      <c r="L715" t="s">
        <v>12</v>
      </c>
    </row>
    <row r="716" spans="1:12" x14ac:dyDescent="0.3">
      <c r="A716">
        <v>88</v>
      </c>
      <c r="B716">
        <v>2022</v>
      </c>
      <c r="C716">
        <v>0.68</v>
      </c>
      <c r="D716">
        <v>0.97</v>
      </c>
      <c r="E716">
        <v>0.81</v>
      </c>
      <c r="F716">
        <v>0.93</v>
      </c>
      <c r="G716">
        <v>0.76</v>
      </c>
      <c r="H716">
        <v>0.84</v>
      </c>
      <c r="I716">
        <v>357</v>
      </c>
      <c r="J716">
        <v>6</v>
      </c>
      <c r="K716">
        <v>0.82</v>
      </c>
      <c r="L716" t="s">
        <v>13</v>
      </c>
    </row>
    <row r="717" spans="1:12" x14ac:dyDescent="0.3">
      <c r="A717">
        <v>88</v>
      </c>
      <c r="B717">
        <v>2022</v>
      </c>
      <c r="C717">
        <v>0.85</v>
      </c>
      <c r="D717">
        <v>0.5</v>
      </c>
      <c r="E717">
        <v>0.67</v>
      </c>
      <c r="F717">
        <v>0.9</v>
      </c>
      <c r="G717">
        <v>0.97</v>
      </c>
      <c r="H717">
        <v>0.37</v>
      </c>
      <c r="I717">
        <v>228</v>
      </c>
      <c r="J717">
        <v>13</v>
      </c>
      <c r="K717">
        <v>0.75</v>
      </c>
      <c r="L717" t="s">
        <v>13</v>
      </c>
    </row>
    <row r="718" spans="1:12" x14ac:dyDescent="0.3">
      <c r="A718">
        <v>89</v>
      </c>
      <c r="B718">
        <v>2022</v>
      </c>
      <c r="C718">
        <v>0.77</v>
      </c>
      <c r="D718">
        <v>0.87</v>
      </c>
      <c r="E718">
        <v>0.93</v>
      </c>
      <c r="F718">
        <v>0.73</v>
      </c>
      <c r="G718">
        <v>0.68</v>
      </c>
      <c r="H718">
        <v>0.84</v>
      </c>
      <c r="I718">
        <v>386</v>
      </c>
      <c r="J718">
        <v>8</v>
      </c>
      <c r="K718">
        <v>0.81</v>
      </c>
      <c r="L718" t="s">
        <v>13</v>
      </c>
    </row>
    <row r="719" spans="1:12" x14ac:dyDescent="0.3">
      <c r="A719">
        <v>89</v>
      </c>
      <c r="B719">
        <v>2022</v>
      </c>
      <c r="C719">
        <v>0.69</v>
      </c>
      <c r="D719">
        <v>0.41</v>
      </c>
      <c r="E719">
        <v>0.85</v>
      </c>
      <c r="F719">
        <v>0.75</v>
      </c>
      <c r="G719">
        <v>0.96</v>
      </c>
      <c r="H719">
        <v>0.82</v>
      </c>
      <c r="I719">
        <v>322</v>
      </c>
      <c r="J719">
        <v>2</v>
      </c>
      <c r="K719">
        <v>0.69</v>
      </c>
      <c r="L719" t="s">
        <v>12</v>
      </c>
    </row>
    <row r="720" spans="1:12" x14ac:dyDescent="0.3">
      <c r="A720">
        <v>89</v>
      </c>
      <c r="B720">
        <v>2022</v>
      </c>
      <c r="C720">
        <v>0.99</v>
      </c>
      <c r="D720">
        <v>0.64</v>
      </c>
      <c r="E720">
        <v>0.68</v>
      </c>
      <c r="F720">
        <v>0.73</v>
      </c>
      <c r="G720">
        <v>0.93</v>
      </c>
      <c r="H720">
        <v>0.5</v>
      </c>
      <c r="I720">
        <v>160</v>
      </c>
      <c r="J720">
        <v>19</v>
      </c>
      <c r="K720">
        <v>0.8</v>
      </c>
      <c r="L720" t="s">
        <v>13</v>
      </c>
    </row>
    <row r="721" spans="1:12" x14ac:dyDescent="0.3">
      <c r="A721">
        <v>89</v>
      </c>
      <c r="B721">
        <v>2022</v>
      </c>
      <c r="C721">
        <v>0.87</v>
      </c>
      <c r="D721">
        <v>0.96</v>
      </c>
      <c r="E721">
        <v>0.89</v>
      </c>
      <c r="F721">
        <v>0.65</v>
      </c>
      <c r="G721">
        <v>0.36</v>
      </c>
      <c r="H721">
        <v>0.02</v>
      </c>
      <c r="I721">
        <v>147</v>
      </c>
      <c r="J721">
        <v>19</v>
      </c>
      <c r="K721">
        <v>0.81</v>
      </c>
      <c r="L721" t="s">
        <v>13</v>
      </c>
    </row>
    <row r="722" spans="1:12" x14ac:dyDescent="0.3">
      <c r="A722">
        <v>90</v>
      </c>
      <c r="B722">
        <v>2022</v>
      </c>
      <c r="C722">
        <v>0.46</v>
      </c>
      <c r="D722">
        <v>0.56000000000000005</v>
      </c>
      <c r="E722">
        <v>0.68</v>
      </c>
      <c r="F722">
        <v>0.7</v>
      </c>
      <c r="G722">
        <v>0.62</v>
      </c>
      <c r="H722">
        <v>0.03</v>
      </c>
      <c r="I722">
        <v>250</v>
      </c>
      <c r="J722">
        <v>0</v>
      </c>
      <c r="K722">
        <v>0.57999999999999996</v>
      </c>
      <c r="L722" t="s">
        <v>12</v>
      </c>
    </row>
    <row r="723" spans="1:12" x14ac:dyDescent="0.3">
      <c r="A723">
        <v>90</v>
      </c>
      <c r="B723">
        <v>2022</v>
      </c>
      <c r="C723">
        <v>0.39</v>
      </c>
      <c r="D723">
        <v>0.67</v>
      </c>
      <c r="E723">
        <v>0.73</v>
      </c>
      <c r="F723">
        <v>0.98</v>
      </c>
      <c r="G723">
        <v>0.6</v>
      </c>
      <c r="H723">
        <v>0.55000000000000004</v>
      </c>
      <c r="I723">
        <v>288</v>
      </c>
      <c r="J723">
        <v>2</v>
      </c>
      <c r="K723">
        <v>0.64</v>
      </c>
      <c r="L723" t="s">
        <v>12</v>
      </c>
    </row>
    <row r="724" spans="1:12" x14ac:dyDescent="0.3">
      <c r="A724">
        <v>90</v>
      </c>
      <c r="B724">
        <v>2022</v>
      </c>
      <c r="C724">
        <v>0.94</v>
      </c>
      <c r="D724">
        <v>0.52</v>
      </c>
      <c r="E724">
        <v>0.99</v>
      </c>
      <c r="F724">
        <v>0.89</v>
      </c>
      <c r="G724">
        <v>0.84</v>
      </c>
      <c r="H724">
        <v>0.66</v>
      </c>
      <c r="I724">
        <v>326</v>
      </c>
      <c r="J724">
        <v>19</v>
      </c>
      <c r="K724">
        <v>0.83</v>
      </c>
      <c r="L724" t="s">
        <v>13</v>
      </c>
    </row>
    <row r="725" spans="1:12" x14ac:dyDescent="0.3">
      <c r="A725">
        <v>91</v>
      </c>
      <c r="B725">
        <v>2022</v>
      </c>
      <c r="C725">
        <v>0.93</v>
      </c>
      <c r="D725">
        <v>0.47</v>
      </c>
      <c r="E725">
        <v>0.75</v>
      </c>
      <c r="F725">
        <v>0.6</v>
      </c>
      <c r="G725">
        <v>0.63</v>
      </c>
      <c r="H725">
        <v>0.06</v>
      </c>
      <c r="I725">
        <v>366</v>
      </c>
      <c r="J725">
        <v>8</v>
      </c>
      <c r="K725">
        <v>0.7</v>
      </c>
      <c r="L725" t="s">
        <v>12</v>
      </c>
    </row>
    <row r="726" spans="1:12" x14ac:dyDescent="0.3">
      <c r="A726">
        <v>91</v>
      </c>
      <c r="B726">
        <v>2022</v>
      </c>
      <c r="C726">
        <v>0.72</v>
      </c>
      <c r="D726">
        <v>0.8</v>
      </c>
      <c r="E726">
        <v>0.59</v>
      </c>
      <c r="F726">
        <v>0.97</v>
      </c>
      <c r="G726">
        <v>0.59</v>
      </c>
      <c r="H726">
        <v>0.38</v>
      </c>
      <c r="I726">
        <v>171</v>
      </c>
      <c r="J726">
        <v>13</v>
      </c>
      <c r="K726">
        <v>0.74</v>
      </c>
      <c r="L726" t="s">
        <v>13</v>
      </c>
    </row>
    <row r="727" spans="1:12" x14ac:dyDescent="0.3">
      <c r="A727">
        <v>91</v>
      </c>
      <c r="B727">
        <v>2022</v>
      </c>
      <c r="C727">
        <v>0.84</v>
      </c>
      <c r="D727">
        <v>0.66</v>
      </c>
      <c r="E727">
        <v>0.88</v>
      </c>
      <c r="F727">
        <v>0.75</v>
      </c>
      <c r="G727">
        <v>0.47</v>
      </c>
      <c r="H727">
        <v>0.73</v>
      </c>
      <c r="I727">
        <v>210</v>
      </c>
      <c r="J727">
        <v>13</v>
      </c>
      <c r="K727">
        <v>0.75</v>
      </c>
      <c r="L727" t="s">
        <v>13</v>
      </c>
    </row>
    <row r="728" spans="1:12" x14ac:dyDescent="0.3">
      <c r="A728">
        <v>92</v>
      </c>
      <c r="B728">
        <v>2022</v>
      </c>
      <c r="C728">
        <v>0.43</v>
      </c>
      <c r="D728">
        <v>0.94</v>
      </c>
      <c r="E728">
        <v>0.72</v>
      </c>
      <c r="F728">
        <v>0.68</v>
      </c>
      <c r="G728">
        <v>0.61</v>
      </c>
      <c r="H728">
        <v>0.41</v>
      </c>
      <c r="I728">
        <v>51</v>
      </c>
      <c r="J728">
        <v>7</v>
      </c>
      <c r="K728">
        <v>0.67</v>
      </c>
      <c r="L728" t="s">
        <v>12</v>
      </c>
    </row>
    <row r="729" spans="1:12" x14ac:dyDescent="0.3">
      <c r="A729">
        <v>92</v>
      </c>
      <c r="B729">
        <v>2022</v>
      </c>
      <c r="C729">
        <v>0.84</v>
      </c>
      <c r="D729">
        <v>0.45</v>
      </c>
      <c r="E729">
        <v>0.61</v>
      </c>
      <c r="F729">
        <v>0.8</v>
      </c>
      <c r="G729">
        <v>0.31</v>
      </c>
      <c r="H729">
        <v>0.25</v>
      </c>
      <c r="I729">
        <v>350</v>
      </c>
      <c r="J729">
        <v>1</v>
      </c>
      <c r="K729">
        <v>0.64</v>
      </c>
      <c r="L729" t="s">
        <v>12</v>
      </c>
    </row>
    <row r="730" spans="1:12" x14ac:dyDescent="0.3">
      <c r="A730">
        <v>92</v>
      </c>
      <c r="B730">
        <v>2022</v>
      </c>
      <c r="C730">
        <v>0.78</v>
      </c>
      <c r="D730">
        <v>0.72</v>
      </c>
      <c r="E730">
        <v>0.72</v>
      </c>
      <c r="F730">
        <v>0.75</v>
      </c>
      <c r="G730">
        <v>0.89</v>
      </c>
      <c r="H730">
        <v>0.22</v>
      </c>
      <c r="I730">
        <v>489</v>
      </c>
      <c r="J730">
        <v>4</v>
      </c>
      <c r="K730">
        <v>0.76</v>
      </c>
      <c r="L730" t="s">
        <v>13</v>
      </c>
    </row>
    <row r="731" spans="1:12" x14ac:dyDescent="0.3">
      <c r="A731">
        <v>92</v>
      </c>
      <c r="B731">
        <v>2022</v>
      </c>
      <c r="C731">
        <v>0.79</v>
      </c>
      <c r="D731">
        <v>0.84</v>
      </c>
      <c r="E731">
        <v>0.65</v>
      </c>
      <c r="F731">
        <v>0.72</v>
      </c>
      <c r="G731">
        <v>0.85</v>
      </c>
      <c r="H731">
        <v>0.3</v>
      </c>
      <c r="I731">
        <v>310</v>
      </c>
      <c r="J731">
        <v>17</v>
      </c>
      <c r="K731">
        <v>0.77</v>
      </c>
      <c r="L731" t="s">
        <v>13</v>
      </c>
    </row>
    <row r="732" spans="1:12" x14ac:dyDescent="0.3">
      <c r="A732">
        <v>93</v>
      </c>
      <c r="B732">
        <v>2022</v>
      </c>
      <c r="C732">
        <v>0.76</v>
      </c>
      <c r="D732">
        <v>0.56999999999999995</v>
      </c>
      <c r="E732">
        <v>0.98</v>
      </c>
      <c r="F732">
        <v>0.73</v>
      </c>
      <c r="G732">
        <v>1</v>
      </c>
      <c r="H732">
        <v>1</v>
      </c>
      <c r="I732">
        <v>103</v>
      </c>
      <c r="J732">
        <v>19</v>
      </c>
      <c r="K732">
        <v>0.78</v>
      </c>
      <c r="L732" t="s">
        <v>13</v>
      </c>
    </row>
    <row r="733" spans="1:12" x14ac:dyDescent="0.3">
      <c r="A733">
        <v>94</v>
      </c>
      <c r="B733">
        <v>2022</v>
      </c>
      <c r="C733">
        <v>0.82</v>
      </c>
      <c r="D733">
        <v>0.73</v>
      </c>
      <c r="E733">
        <v>0.94</v>
      </c>
      <c r="F733">
        <v>0.82</v>
      </c>
      <c r="G733">
        <v>0.67</v>
      </c>
      <c r="H733">
        <v>0.2</v>
      </c>
      <c r="I733">
        <v>261</v>
      </c>
      <c r="J733">
        <v>4</v>
      </c>
      <c r="K733">
        <v>0.81</v>
      </c>
      <c r="L733" t="s">
        <v>13</v>
      </c>
    </row>
    <row r="734" spans="1:12" x14ac:dyDescent="0.3">
      <c r="A734">
        <v>94</v>
      </c>
      <c r="B734">
        <v>2022</v>
      </c>
      <c r="C734">
        <v>0.42</v>
      </c>
      <c r="D734">
        <v>0.91</v>
      </c>
      <c r="E734">
        <v>0.65</v>
      </c>
      <c r="F734">
        <v>0.84</v>
      </c>
      <c r="G734">
        <v>0.65</v>
      </c>
      <c r="H734">
        <v>0.05</v>
      </c>
      <c r="I734">
        <v>210</v>
      </c>
      <c r="J734">
        <v>11</v>
      </c>
      <c r="K734">
        <v>0.67</v>
      </c>
      <c r="L734" t="s">
        <v>12</v>
      </c>
    </row>
    <row r="735" spans="1:12" x14ac:dyDescent="0.3">
      <c r="A735">
        <v>94</v>
      </c>
      <c r="B735">
        <v>2022</v>
      </c>
      <c r="C735">
        <v>0.59</v>
      </c>
      <c r="D735">
        <v>0.79</v>
      </c>
      <c r="E735">
        <v>1</v>
      </c>
      <c r="F735">
        <v>0.98</v>
      </c>
      <c r="G735">
        <v>0.3</v>
      </c>
      <c r="H735">
        <v>0.89</v>
      </c>
      <c r="I735">
        <v>158</v>
      </c>
      <c r="J735">
        <v>7</v>
      </c>
      <c r="K735">
        <v>0.75</v>
      </c>
      <c r="L735" t="s">
        <v>13</v>
      </c>
    </row>
    <row r="736" spans="1:12" x14ac:dyDescent="0.3">
      <c r="A736">
        <v>95</v>
      </c>
      <c r="B736">
        <v>2022</v>
      </c>
      <c r="C736">
        <v>0.31</v>
      </c>
      <c r="D736">
        <v>0.45</v>
      </c>
      <c r="E736">
        <v>0.6</v>
      </c>
      <c r="F736">
        <v>0.61</v>
      </c>
      <c r="G736">
        <v>0.43</v>
      </c>
      <c r="H736">
        <v>0.57999999999999996</v>
      </c>
      <c r="I736">
        <v>237</v>
      </c>
      <c r="J736">
        <v>17</v>
      </c>
      <c r="K736">
        <v>0.46</v>
      </c>
      <c r="L736" t="s">
        <v>12</v>
      </c>
    </row>
    <row r="737" spans="1:12" x14ac:dyDescent="0.3">
      <c r="A737">
        <v>95</v>
      </c>
      <c r="B737">
        <v>2022</v>
      </c>
      <c r="C737">
        <v>0.74</v>
      </c>
      <c r="D737">
        <v>0.72</v>
      </c>
      <c r="E737">
        <v>0.89</v>
      </c>
      <c r="F737">
        <v>0.64</v>
      </c>
      <c r="G737">
        <v>0.83</v>
      </c>
      <c r="H737">
        <v>0.54</v>
      </c>
      <c r="I737">
        <v>273</v>
      </c>
      <c r="J737">
        <v>1</v>
      </c>
      <c r="K737">
        <v>0.76</v>
      </c>
      <c r="L737" t="s">
        <v>13</v>
      </c>
    </row>
    <row r="738" spans="1:12" x14ac:dyDescent="0.3">
      <c r="A738">
        <v>95</v>
      </c>
      <c r="B738">
        <v>2022</v>
      </c>
      <c r="C738">
        <v>0.6</v>
      </c>
      <c r="D738">
        <v>0.61</v>
      </c>
      <c r="E738">
        <v>0.53</v>
      </c>
      <c r="F738">
        <v>0.62</v>
      </c>
      <c r="G738">
        <v>0.78</v>
      </c>
      <c r="H738">
        <v>0.46</v>
      </c>
      <c r="I738">
        <v>89</v>
      </c>
      <c r="J738">
        <v>4</v>
      </c>
      <c r="K738">
        <v>0.61</v>
      </c>
      <c r="L738" t="s">
        <v>12</v>
      </c>
    </row>
    <row r="739" spans="1:12" x14ac:dyDescent="0.3">
      <c r="A739">
        <v>95</v>
      </c>
      <c r="B739">
        <v>2022</v>
      </c>
      <c r="C739">
        <v>0.35</v>
      </c>
      <c r="D739">
        <v>0.89</v>
      </c>
      <c r="E739">
        <v>0.82</v>
      </c>
      <c r="F739">
        <v>0.86</v>
      </c>
      <c r="G739">
        <v>0.39</v>
      </c>
      <c r="H739">
        <v>0.65</v>
      </c>
      <c r="I739">
        <v>152</v>
      </c>
      <c r="J739">
        <v>0</v>
      </c>
      <c r="K739">
        <v>0.66</v>
      </c>
      <c r="L739" t="s">
        <v>12</v>
      </c>
    </row>
    <row r="740" spans="1:12" x14ac:dyDescent="0.3">
      <c r="A740">
        <v>95</v>
      </c>
      <c r="B740">
        <v>2022</v>
      </c>
      <c r="C740">
        <v>0.46</v>
      </c>
      <c r="D740">
        <v>0.54</v>
      </c>
      <c r="E740">
        <v>0.69</v>
      </c>
      <c r="F740">
        <v>0.69</v>
      </c>
      <c r="G740">
        <v>0.69</v>
      </c>
      <c r="H740">
        <v>0.13</v>
      </c>
      <c r="I740">
        <v>393</v>
      </c>
      <c r="J740">
        <v>2</v>
      </c>
      <c r="K740">
        <v>0.57999999999999996</v>
      </c>
      <c r="L740" t="s">
        <v>12</v>
      </c>
    </row>
    <row r="741" spans="1:12" x14ac:dyDescent="0.3">
      <c r="A741">
        <v>95</v>
      </c>
      <c r="B741">
        <v>2022</v>
      </c>
      <c r="C741">
        <v>0.82</v>
      </c>
      <c r="D741">
        <v>0.74</v>
      </c>
      <c r="E741">
        <v>0.94</v>
      </c>
      <c r="F741">
        <v>0.87</v>
      </c>
      <c r="G741">
        <v>0.75</v>
      </c>
      <c r="H741">
        <v>0.25</v>
      </c>
      <c r="I741">
        <v>182</v>
      </c>
      <c r="J741">
        <v>1</v>
      </c>
      <c r="K741">
        <v>0.82</v>
      </c>
      <c r="L741" t="s">
        <v>13</v>
      </c>
    </row>
    <row r="742" spans="1:12" x14ac:dyDescent="0.3">
      <c r="A742">
        <v>96</v>
      </c>
      <c r="B742">
        <v>2022</v>
      </c>
      <c r="C742">
        <v>0.49</v>
      </c>
      <c r="D742">
        <v>0.86</v>
      </c>
      <c r="E742">
        <v>0.6</v>
      </c>
      <c r="F742">
        <v>0.73</v>
      </c>
      <c r="G742">
        <v>0.63</v>
      </c>
      <c r="H742">
        <v>0.94</v>
      </c>
      <c r="I742">
        <v>380</v>
      </c>
      <c r="J742">
        <v>13</v>
      </c>
      <c r="K742">
        <v>0.65</v>
      </c>
      <c r="L742" t="s">
        <v>12</v>
      </c>
    </row>
    <row r="743" spans="1:12" x14ac:dyDescent="0.3">
      <c r="A743">
        <v>97</v>
      </c>
      <c r="B743">
        <v>2022</v>
      </c>
      <c r="C743">
        <v>0.38</v>
      </c>
      <c r="D743">
        <v>0.96</v>
      </c>
      <c r="E743">
        <v>0.59</v>
      </c>
      <c r="F743">
        <v>0.85</v>
      </c>
      <c r="G743">
        <v>0.46</v>
      </c>
      <c r="H743">
        <v>0.31</v>
      </c>
      <c r="I743">
        <v>305</v>
      </c>
      <c r="J743">
        <v>1</v>
      </c>
      <c r="K743">
        <v>0.65</v>
      </c>
      <c r="L743" t="s">
        <v>12</v>
      </c>
    </row>
    <row r="744" spans="1:12" x14ac:dyDescent="0.3">
      <c r="A744">
        <v>97</v>
      </c>
      <c r="B744">
        <v>2022</v>
      </c>
      <c r="C744">
        <v>0.98</v>
      </c>
      <c r="D744">
        <v>0.79</v>
      </c>
      <c r="E744">
        <v>0.78</v>
      </c>
      <c r="F744">
        <v>0.97</v>
      </c>
      <c r="G744">
        <v>0.71</v>
      </c>
      <c r="H744">
        <v>0.53</v>
      </c>
      <c r="I744">
        <v>111</v>
      </c>
      <c r="J744">
        <v>16</v>
      </c>
      <c r="K744">
        <v>0.86</v>
      </c>
      <c r="L744" t="s">
        <v>13</v>
      </c>
    </row>
    <row r="745" spans="1:12" x14ac:dyDescent="0.3">
      <c r="A745">
        <v>98</v>
      </c>
      <c r="B745">
        <v>2022</v>
      </c>
      <c r="C745">
        <v>0.46</v>
      </c>
      <c r="D745">
        <v>0.41</v>
      </c>
      <c r="E745">
        <v>0.92</v>
      </c>
      <c r="F745">
        <v>0.99</v>
      </c>
      <c r="G745">
        <v>0.39</v>
      </c>
      <c r="H745">
        <v>0.23</v>
      </c>
      <c r="I745">
        <v>113</v>
      </c>
      <c r="J745">
        <v>1</v>
      </c>
      <c r="K745">
        <v>0.61</v>
      </c>
      <c r="L745" t="s">
        <v>12</v>
      </c>
    </row>
    <row r="746" spans="1:12" x14ac:dyDescent="0.3">
      <c r="A746">
        <v>98</v>
      </c>
      <c r="B746">
        <v>2022</v>
      </c>
      <c r="C746">
        <v>0.38</v>
      </c>
      <c r="D746">
        <v>0.62</v>
      </c>
      <c r="E746">
        <v>0.57999999999999996</v>
      </c>
      <c r="F746">
        <v>0.7</v>
      </c>
      <c r="G746">
        <v>0.41</v>
      </c>
      <c r="H746">
        <v>0.89</v>
      </c>
      <c r="I746">
        <v>245</v>
      </c>
      <c r="J746">
        <v>17</v>
      </c>
      <c r="K746">
        <v>0.53</v>
      </c>
      <c r="L746" t="s">
        <v>12</v>
      </c>
    </row>
    <row r="747" spans="1:12" x14ac:dyDescent="0.3">
      <c r="A747">
        <v>99</v>
      </c>
      <c r="B747">
        <v>2022</v>
      </c>
      <c r="C747">
        <v>0.67</v>
      </c>
      <c r="D747">
        <v>0.79</v>
      </c>
      <c r="E747">
        <v>0.83</v>
      </c>
      <c r="F747">
        <v>0.75</v>
      </c>
      <c r="G747">
        <v>0.69</v>
      </c>
      <c r="H747">
        <v>0.48</v>
      </c>
      <c r="I747">
        <v>180</v>
      </c>
      <c r="J747">
        <v>4</v>
      </c>
      <c r="K747">
        <v>0.75</v>
      </c>
      <c r="L747" t="s">
        <v>13</v>
      </c>
    </row>
    <row r="748" spans="1:12" x14ac:dyDescent="0.3">
      <c r="A748">
        <v>99</v>
      </c>
      <c r="B748">
        <v>2022</v>
      </c>
      <c r="C748">
        <v>0.39</v>
      </c>
      <c r="D748">
        <v>0.82</v>
      </c>
      <c r="E748">
        <v>0.71</v>
      </c>
      <c r="F748">
        <v>0.81</v>
      </c>
      <c r="G748">
        <v>0.93</v>
      </c>
      <c r="H748">
        <v>0.89</v>
      </c>
      <c r="I748">
        <v>278</v>
      </c>
      <c r="J748">
        <v>5</v>
      </c>
      <c r="K748">
        <v>0.68</v>
      </c>
      <c r="L748" t="s">
        <v>12</v>
      </c>
    </row>
    <row r="749" spans="1:12" x14ac:dyDescent="0.3">
      <c r="A749">
        <v>100</v>
      </c>
      <c r="B749">
        <v>2022</v>
      </c>
      <c r="C749">
        <v>0.69</v>
      </c>
      <c r="D749">
        <v>0.75</v>
      </c>
      <c r="E749">
        <v>0.78</v>
      </c>
      <c r="F749">
        <v>0.75</v>
      </c>
      <c r="G749">
        <v>0.54</v>
      </c>
      <c r="H749">
        <v>0.9</v>
      </c>
      <c r="I749">
        <v>369</v>
      </c>
      <c r="J749">
        <v>1</v>
      </c>
      <c r="K749">
        <v>0.72</v>
      </c>
      <c r="L749" t="s">
        <v>13</v>
      </c>
    </row>
    <row r="750" spans="1:12" x14ac:dyDescent="0.3">
      <c r="A750">
        <v>100</v>
      </c>
      <c r="B750">
        <v>2022</v>
      </c>
      <c r="C750">
        <v>0.88</v>
      </c>
      <c r="D750">
        <v>0.7</v>
      </c>
      <c r="E750">
        <v>0.5</v>
      </c>
      <c r="F750">
        <v>0.71</v>
      </c>
      <c r="G750">
        <v>0.73</v>
      </c>
      <c r="H750">
        <v>0.98</v>
      </c>
      <c r="I750">
        <v>66</v>
      </c>
      <c r="J750">
        <v>7</v>
      </c>
      <c r="K750">
        <v>0.72</v>
      </c>
      <c r="L750" t="s">
        <v>13</v>
      </c>
    </row>
    <row r="751" spans="1:12" x14ac:dyDescent="0.3">
      <c r="A751">
        <v>100</v>
      </c>
      <c r="B751">
        <v>2022</v>
      </c>
      <c r="C751">
        <v>0.47</v>
      </c>
      <c r="D751">
        <v>0.98</v>
      </c>
      <c r="E751">
        <v>0.59</v>
      </c>
      <c r="F751">
        <v>0.94</v>
      </c>
      <c r="G751">
        <v>0.64</v>
      </c>
      <c r="H751">
        <v>0.25</v>
      </c>
      <c r="I751">
        <v>365</v>
      </c>
      <c r="J751">
        <v>14</v>
      </c>
      <c r="K751">
        <v>0.71</v>
      </c>
      <c r="L751" t="s">
        <v>13</v>
      </c>
    </row>
    <row r="752" spans="1:12" x14ac:dyDescent="0.3">
      <c r="A752">
        <v>100</v>
      </c>
      <c r="B752">
        <v>2022</v>
      </c>
      <c r="C752">
        <v>0.32</v>
      </c>
      <c r="D752">
        <v>0.61</v>
      </c>
      <c r="E752">
        <v>0.67</v>
      </c>
      <c r="F752">
        <v>0.76</v>
      </c>
      <c r="G752">
        <v>0.4</v>
      </c>
      <c r="H752">
        <v>0.74</v>
      </c>
      <c r="I752">
        <v>325</v>
      </c>
      <c r="J752">
        <v>13</v>
      </c>
      <c r="K752">
        <v>0.54</v>
      </c>
      <c r="L752" t="s">
        <v>12</v>
      </c>
    </row>
    <row r="753" spans="1:12" x14ac:dyDescent="0.3">
      <c r="A753">
        <v>1</v>
      </c>
      <c r="B753">
        <v>2023</v>
      </c>
      <c r="C753">
        <v>0.42</v>
      </c>
      <c r="D753">
        <v>0.75</v>
      </c>
      <c r="E753">
        <v>0.78</v>
      </c>
      <c r="F753">
        <v>0.9</v>
      </c>
      <c r="G753">
        <v>0.65</v>
      </c>
      <c r="H753">
        <v>0.27</v>
      </c>
      <c r="I753">
        <v>476</v>
      </c>
      <c r="J753">
        <v>16</v>
      </c>
      <c r="K753">
        <v>0.67</v>
      </c>
      <c r="L753" t="s">
        <v>12</v>
      </c>
    </row>
    <row r="754" spans="1:12" x14ac:dyDescent="0.3">
      <c r="A754">
        <v>2</v>
      </c>
      <c r="B754">
        <v>2023</v>
      </c>
      <c r="C754">
        <v>0.82</v>
      </c>
      <c r="D754">
        <v>0.72</v>
      </c>
      <c r="E754">
        <v>0.93</v>
      </c>
      <c r="F754">
        <v>0.88</v>
      </c>
      <c r="G754">
        <v>0.31</v>
      </c>
      <c r="H754">
        <v>0.39</v>
      </c>
      <c r="I754">
        <v>137</v>
      </c>
      <c r="J754">
        <v>11</v>
      </c>
      <c r="K754">
        <v>0.78</v>
      </c>
      <c r="L754" t="s">
        <v>13</v>
      </c>
    </row>
    <row r="755" spans="1:12" x14ac:dyDescent="0.3">
      <c r="A755">
        <v>2</v>
      </c>
      <c r="B755">
        <v>2023</v>
      </c>
      <c r="C755">
        <v>0.71</v>
      </c>
      <c r="D755">
        <v>0.99</v>
      </c>
      <c r="E755">
        <v>0.57999999999999996</v>
      </c>
      <c r="F755">
        <v>0.62</v>
      </c>
      <c r="G755">
        <v>0.85</v>
      </c>
      <c r="H755">
        <v>0.25</v>
      </c>
      <c r="I755">
        <v>399</v>
      </c>
      <c r="J755">
        <v>19</v>
      </c>
      <c r="K755">
        <v>0.75</v>
      </c>
      <c r="L755" t="s">
        <v>13</v>
      </c>
    </row>
    <row r="756" spans="1:12" x14ac:dyDescent="0.3">
      <c r="A756">
        <v>2</v>
      </c>
      <c r="B756">
        <v>2023</v>
      </c>
      <c r="C756">
        <v>0.56999999999999995</v>
      </c>
      <c r="D756">
        <v>0.4</v>
      </c>
      <c r="E756">
        <v>0.81</v>
      </c>
      <c r="F756">
        <v>0.77</v>
      </c>
      <c r="G756">
        <v>0.39</v>
      </c>
      <c r="H756">
        <v>0.3</v>
      </c>
      <c r="I756">
        <v>179</v>
      </c>
      <c r="J756">
        <v>15</v>
      </c>
      <c r="K756">
        <v>0.59</v>
      </c>
      <c r="L756" t="s">
        <v>12</v>
      </c>
    </row>
    <row r="757" spans="1:12" x14ac:dyDescent="0.3">
      <c r="A757">
        <v>3</v>
      </c>
      <c r="B757">
        <v>2023</v>
      </c>
      <c r="C757">
        <v>0.7</v>
      </c>
      <c r="D757">
        <v>0.7</v>
      </c>
      <c r="E757">
        <v>0.93</v>
      </c>
      <c r="F757">
        <v>0.81</v>
      </c>
      <c r="G757">
        <v>0.48</v>
      </c>
      <c r="H757">
        <v>0.68</v>
      </c>
      <c r="I757">
        <v>460</v>
      </c>
      <c r="J757">
        <v>12</v>
      </c>
      <c r="K757">
        <v>0.74</v>
      </c>
      <c r="L757" t="s">
        <v>13</v>
      </c>
    </row>
    <row r="758" spans="1:12" x14ac:dyDescent="0.3">
      <c r="A758">
        <v>3</v>
      </c>
      <c r="B758">
        <v>2023</v>
      </c>
      <c r="C758">
        <v>0.56999999999999995</v>
      </c>
      <c r="D758">
        <v>0.87</v>
      </c>
      <c r="E758">
        <v>0.86</v>
      </c>
      <c r="F758">
        <v>0.62</v>
      </c>
      <c r="G758">
        <v>0.71</v>
      </c>
      <c r="H758">
        <v>0.13</v>
      </c>
      <c r="I758">
        <v>234</v>
      </c>
      <c r="J758">
        <v>16</v>
      </c>
      <c r="K758">
        <v>0.72</v>
      </c>
      <c r="L758" t="s">
        <v>13</v>
      </c>
    </row>
    <row r="759" spans="1:12" x14ac:dyDescent="0.3">
      <c r="A759">
        <v>4</v>
      </c>
      <c r="B759">
        <v>2023</v>
      </c>
      <c r="C759">
        <v>0.84</v>
      </c>
      <c r="D759">
        <v>0.43</v>
      </c>
      <c r="E759">
        <v>1</v>
      </c>
      <c r="F759">
        <v>0.79</v>
      </c>
      <c r="G759">
        <v>0.5</v>
      </c>
      <c r="H759">
        <v>0.88</v>
      </c>
      <c r="I759">
        <v>429</v>
      </c>
      <c r="J759">
        <v>8</v>
      </c>
      <c r="K759">
        <v>0.73</v>
      </c>
      <c r="L759" t="s">
        <v>13</v>
      </c>
    </row>
    <row r="760" spans="1:12" x14ac:dyDescent="0.3">
      <c r="A760">
        <v>4</v>
      </c>
      <c r="B760">
        <v>2023</v>
      </c>
      <c r="C760">
        <v>0.92</v>
      </c>
      <c r="D760">
        <v>0.88</v>
      </c>
      <c r="E760">
        <v>0.75</v>
      </c>
      <c r="F760">
        <v>0.99</v>
      </c>
      <c r="G760">
        <v>0.59</v>
      </c>
      <c r="H760">
        <v>0.98</v>
      </c>
      <c r="I760">
        <v>70</v>
      </c>
      <c r="J760">
        <v>12</v>
      </c>
      <c r="K760">
        <v>0.85</v>
      </c>
      <c r="L760" t="s">
        <v>13</v>
      </c>
    </row>
    <row r="761" spans="1:12" x14ac:dyDescent="0.3">
      <c r="A761">
        <v>4</v>
      </c>
      <c r="B761">
        <v>2023</v>
      </c>
      <c r="C761">
        <v>0.95</v>
      </c>
      <c r="D761">
        <v>0.81</v>
      </c>
      <c r="E761">
        <v>0.65</v>
      </c>
      <c r="F761">
        <v>0.75</v>
      </c>
      <c r="G761">
        <v>0.69</v>
      </c>
      <c r="H761">
        <v>0.79</v>
      </c>
      <c r="I761">
        <v>77</v>
      </c>
      <c r="J761">
        <v>10</v>
      </c>
      <c r="K761">
        <v>0.8</v>
      </c>
      <c r="L761" t="s">
        <v>13</v>
      </c>
    </row>
    <row r="762" spans="1:12" x14ac:dyDescent="0.3">
      <c r="A762">
        <v>4</v>
      </c>
      <c r="B762">
        <v>2023</v>
      </c>
      <c r="C762">
        <v>0.79</v>
      </c>
      <c r="D762">
        <v>0.97</v>
      </c>
      <c r="E762">
        <v>1</v>
      </c>
      <c r="F762">
        <v>0.78</v>
      </c>
      <c r="G762">
        <v>0.48</v>
      </c>
      <c r="H762">
        <v>0.44</v>
      </c>
      <c r="I762">
        <v>473</v>
      </c>
      <c r="J762">
        <v>12</v>
      </c>
      <c r="K762">
        <v>0.84</v>
      </c>
      <c r="L762" t="s">
        <v>13</v>
      </c>
    </row>
    <row r="763" spans="1:12" x14ac:dyDescent="0.3">
      <c r="A763">
        <v>4</v>
      </c>
      <c r="B763">
        <v>2023</v>
      </c>
      <c r="C763">
        <v>0.96</v>
      </c>
      <c r="D763">
        <v>0.49</v>
      </c>
      <c r="E763">
        <v>0.5</v>
      </c>
      <c r="F763">
        <v>0.7</v>
      </c>
      <c r="G763">
        <v>0.87</v>
      </c>
      <c r="H763">
        <v>0.21</v>
      </c>
      <c r="I763">
        <v>392</v>
      </c>
      <c r="J763">
        <v>1</v>
      </c>
      <c r="K763">
        <v>0.7</v>
      </c>
      <c r="L763" t="s">
        <v>12</v>
      </c>
    </row>
    <row r="764" spans="1:12" x14ac:dyDescent="0.3">
      <c r="A764">
        <v>5</v>
      </c>
      <c r="B764">
        <v>2023</v>
      </c>
      <c r="C764">
        <v>0.97</v>
      </c>
      <c r="D764">
        <v>0.68</v>
      </c>
      <c r="E764">
        <v>0.94</v>
      </c>
      <c r="F764">
        <v>0.6</v>
      </c>
      <c r="G764">
        <v>0.87</v>
      </c>
      <c r="H764">
        <v>0.23</v>
      </c>
      <c r="I764">
        <v>88</v>
      </c>
      <c r="J764">
        <v>17</v>
      </c>
      <c r="K764">
        <v>0.83</v>
      </c>
      <c r="L764" t="s">
        <v>13</v>
      </c>
    </row>
    <row r="765" spans="1:12" x14ac:dyDescent="0.3">
      <c r="A765">
        <v>5</v>
      </c>
      <c r="B765">
        <v>2023</v>
      </c>
      <c r="C765">
        <v>0.43</v>
      </c>
      <c r="D765">
        <v>0.53</v>
      </c>
      <c r="E765">
        <v>0.74</v>
      </c>
      <c r="F765">
        <v>0.9</v>
      </c>
      <c r="G765">
        <v>0.73</v>
      </c>
      <c r="H765">
        <v>0.3</v>
      </c>
      <c r="I765">
        <v>132</v>
      </c>
      <c r="J765">
        <v>8</v>
      </c>
      <c r="K765">
        <v>0.62</v>
      </c>
      <c r="L765" t="s">
        <v>12</v>
      </c>
    </row>
    <row r="766" spans="1:12" x14ac:dyDescent="0.3">
      <c r="A766">
        <v>5</v>
      </c>
      <c r="B766">
        <v>2023</v>
      </c>
      <c r="C766">
        <v>0.47</v>
      </c>
      <c r="D766">
        <v>0.83</v>
      </c>
      <c r="E766">
        <v>0.89</v>
      </c>
      <c r="F766">
        <v>0.87</v>
      </c>
      <c r="G766">
        <v>0.73</v>
      </c>
      <c r="H766">
        <v>0.89</v>
      </c>
      <c r="I766">
        <v>382</v>
      </c>
      <c r="J766">
        <v>8</v>
      </c>
      <c r="K766">
        <v>0.73</v>
      </c>
      <c r="L766" t="s">
        <v>13</v>
      </c>
    </row>
    <row r="767" spans="1:12" x14ac:dyDescent="0.3">
      <c r="A767">
        <v>5</v>
      </c>
      <c r="B767">
        <v>2023</v>
      </c>
      <c r="C767">
        <v>0.69</v>
      </c>
      <c r="D767">
        <v>0.49</v>
      </c>
      <c r="E767">
        <v>0.9</v>
      </c>
      <c r="F767">
        <v>0.97</v>
      </c>
      <c r="G767">
        <v>0.42</v>
      </c>
      <c r="H767">
        <v>0.82</v>
      </c>
      <c r="I767">
        <v>158</v>
      </c>
      <c r="J767">
        <v>9</v>
      </c>
      <c r="K767">
        <v>0.7</v>
      </c>
      <c r="L767" t="s">
        <v>12</v>
      </c>
    </row>
    <row r="768" spans="1:12" x14ac:dyDescent="0.3">
      <c r="A768">
        <v>6</v>
      </c>
      <c r="B768">
        <v>2023</v>
      </c>
      <c r="C768">
        <v>0.77</v>
      </c>
      <c r="D768">
        <v>0.82</v>
      </c>
      <c r="E768">
        <v>0.81</v>
      </c>
      <c r="F768">
        <v>0.73</v>
      </c>
      <c r="G768">
        <v>0.49</v>
      </c>
      <c r="H768">
        <v>0.6</v>
      </c>
      <c r="I768">
        <v>462</v>
      </c>
      <c r="J768">
        <v>3</v>
      </c>
      <c r="K768">
        <v>0.76</v>
      </c>
      <c r="L768" t="s">
        <v>13</v>
      </c>
    </row>
    <row r="769" spans="1:12" x14ac:dyDescent="0.3">
      <c r="A769">
        <v>6</v>
      </c>
      <c r="B769">
        <v>2023</v>
      </c>
      <c r="C769">
        <v>0.96</v>
      </c>
      <c r="D769">
        <v>0.48</v>
      </c>
      <c r="E769">
        <v>0.54</v>
      </c>
      <c r="F769">
        <v>0.82</v>
      </c>
      <c r="G769">
        <v>0.5</v>
      </c>
      <c r="H769">
        <v>0.83</v>
      </c>
      <c r="I769">
        <v>478</v>
      </c>
      <c r="J769">
        <v>15</v>
      </c>
      <c r="K769">
        <v>0.69</v>
      </c>
      <c r="L769" t="s">
        <v>12</v>
      </c>
    </row>
    <row r="770" spans="1:12" x14ac:dyDescent="0.3">
      <c r="A770">
        <v>7</v>
      </c>
      <c r="B770">
        <v>2023</v>
      </c>
      <c r="C770">
        <v>0.76</v>
      </c>
      <c r="D770">
        <v>0.74</v>
      </c>
      <c r="E770">
        <v>0.55000000000000004</v>
      </c>
      <c r="F770">
        <v>0.75</v>
      </c>
      <c r="G770">
        <v>0.49</v>
      </c>
      <c r="H770">
        <v>0.24</v>
      </c>
      <c r="I770">
        <v>87</v>
      </c>
      <c r="J770">
        <v>5</v>
      </c>
      <c r="K770">
        <v>0.68</v>
      </c>
      <c r="L770" t="s">
        <v>12</v>
      </c>
    </row>
    <row r="771" spans="1:12" x14ac:dyDescent="0.3">
      <c r="A771">
        <v>7</v>
      </c>
      <c r="B771">
        <v>2023</v>
      </c>
      <c r="C771">
        <v>0.59</v>
      </c>
      <c r="D771">
        <v>0.9</v>
      </c>
      <c r="E771">
        <v>0.87</v>
      </c>
      <c r="F771">
        <v>0.91</v>
      </c>
      <c r="G771">
        <v>0.31</v>
      </c>
      <c r="H771">
        <v>0.42</v>
      </c>
      <c r="I771">
        <v>268</v>
      </c>
      <c r="J771">
        <v>5</v>
      </c>
      <c r="K771">
        <v>0.74</v>
      </c>
      <c r="L771" t="s">
        <v>13</v>
      </c>
    </row>
    <row r="772" spans="1:12" x14ac:dyDescent="0.3">
      <c r="A772">
        <v>7</v>
      </c>
      <c r="B772">
        <v>2023</v>
      </c>
      <c r="C772">
        <v>0.43</v>
      </c>
      <c r="D772">
        <v>0.5</v>
      </c>
      <c r="E772">
        <v>0.55000000000000004</v>
      </c>
      <c r="F772">
        <v>0.86</v>
      </c>
      <c r="G772">
        <v>0.84</v>
      </c>
      <c r="H772">
        <v>0.27</v>
      </c>
      <c r="I772">
        <v>87</v>
      </c>
      <c r="J772">
        <v>14</v>
      </c>
      <c r="K772">
        <v>0.57999999999999996</v>
      </c>
      <c r="L772" t="s">
        <v>12</v>
      </c>
    </row>
    <row r="773" spans="1:12" x14ac:dyDescent="0.3">
      <c r="A773">
        <v>7</v>
      </c>
      <c r="B773">
        <v>2023</v>
      </c>
      <c r="C773">
        <v>0.51</v>
      </c>
      <c r="D773">
        <v>0.93</v>
      </c>
      <c r="E773">
        <v>0.92</v>
      </c>
      <c r="F773">
        <v>0.79</v>
      </c>
      <c r="G773">
        <v>0.33</v>
      </c>
      <c r="H773">
        <v>0.64</v>
      </c>
      <c r="I773">
        <v>125</v>
      </c>
      <c r="J773">
        <v>16</v>
      </c>
      <c r="K773">
        <v>0.72</v>
      </c>
      <c r="L773" t="s">
        <v>13</v>
      </c>
    </row>
    <row r="774" spans="1:12" x14ac:dyDescent="0.3">
      <c r="A774">
        <v>7</v>
      </c>
      <c r="B774">
        <v>2023</v>
      </c>
      <c r="C774">
        <v>0.87</v>
      </c>
      <c r="D774">
        <v>0.48</v>
      </c>
      <c r="E774">
        <v>1</v>
      </c>
      <c r="F774">
        <v>0.7</v>
      </c>
      <c r="G774">
        <v>0.81</v>
      </c>
      <c r="H774">
        <v>0.91</v>
      </c>
      <c r="I774">
        <v>477</v>
      </c>
      <c r="J774">
        <v>12</v>
      </c>
      <c r="K774">
        <v>0.77</v>
      </c>
      <c r="L774" t="s">
        <v>13</v>
      </c>
    </row>
    <row r="775" spans="1:12" x14ac:dyDescent="0.3">
      <c r="A775">
        <v>7</v>
      </c>
      <c r="B775">
        <v>2023</v>
      </c>
      <c r="C775">
        <v>0.79</v>
      </c>
      <c r="D775">
        <v>0.55000000000000004</v>
      </c>
      <c r="E775">
        <v>0.78</v>
      </c>
      <c r="F775">
        <v>0.81</v>
      </c>
      <c r="G775">
        <v>0.4</v>
      </c>
      <c r="H775">
        <v>0.59</v>
      </c>
      <c r="I775">
        <v>176</v>
      </c>
      <c r="J775">
        <v>10</v>
      </c>
      <c r="K775">
        <v>0.69</v>
      </c>
      <c r="L775" t="s">
        <v>12</v>
      </c>
    </row>
    <row r="776" spans="1:12" x14ac:dyDescent="0.3">
      <c r="A776">
        <v>8</v>
      </c>
      <c r="B776">
        <v>2023</v>
      </c>
      <c r="C776">
        <v>0.84</v>
      </c>
      <c r="D776">
        <v>0.66</v>
      </c>
      <c r="E776">
        <v>0.6</v>
      </c>
      <c r="F776">
        <v>0.92</v>
      </c>
      <c r="G776">
        <v>0.53</v>
      </c>
      <c r="H776">
        <v>0.87</v>
      </c>
      <c r="I776">
        <v>402</v>
      </c>
      <c r="J776">
        <v>4</v>
      </c>
      <c r="K776">
        <v>0.73</v>
      </c>
      <c r="L776" t="s">
        <v>13</v>
      </c>
    </row>
    <row r="777" spans="1:12" x14ac:dyDescent="0.3">
      <c r="A777">
        <v>8</v>
      </c>
      <c r="B777">
        <v>2023</v>
      </c>
      <c r="C777">
        <v>0.43</v>
      </c>
      <c r="D777">
        <v>0.76</v>
      </c>
      <c r="E777">
        <v>0.93</v>
      </c>
      <c r="F777">
        <v>0.95</v>
      </c>
      <c r="G777">
        <v>0.81</v>
      </c>
      <c r="H777">
        <v>0.75</v>
      </c>
      <c r="I777">
        <v>385</v>
      </c>
      <c r="J777">
        <v>16</v>
      </c>
      <c r="K777">
        <v>0.73</v>
      </c>
      <c r="L777" t="s">
        <v>13</v>
      </c>
    </row>
    <row r="778" spans="1:12" x14ac:dyDescent="0.3">
      <c r="A778">
        <v>8</v>
      </c>
      <c r="B778">
        <v>2023</v>
      </c>
      <c r="C778">
        <v>0.65</v>
      </c>
      <c r="D778">
        <v>0.5</v>
      </c>
      <c r="E778">
        <v>0.68</v>
      </c>
      <c r="F778">
        <v>0.64</v>
      </c>
      <c r="G778">
        <v>0.7</v>
      </c>
      <c r="H778">
        <v>0.1</v>
      </c>
      <c r="I778">
        <v>228</v>
      </c>
      <c r="J778">
        <v>4</v>
      </c>
      <c r="K778">
        <v>0.62</v>
      </c>
      <c r="L778" t="s">
        <v>12</v>
      </c>
    </row>
    <row r="779" spans="1:12" x14ac:dyDescent="0.3">
      <c r="A779">
        <v>8</v>
      </c>
      <c r="B779">
        <v>2023</v>
      </c>
      <c r="C779">
        <v>0.52</v>
      </c>
      <c r="D779">
        <v>0.48</v>
      </c>
      <c r="E779">
        <v>0.88</v>
      </c>
      <c r="F779">
        <v>0.94</v>
      </c>
      <c r="G779">
        <v>0.48</v>
      </c>
      <c r="H779">
        <v>0.41</v>
      </c>
      <c r="I779">
        <v>423</v>
      </c>
      <c r="J779">
        <v>15</v>
      </c>
      <c r="K779">
        <v>0.64</v>
      </c>
      <c r="L779" t="s">
        <v>12</v>
      </c>
    </row>
    <row r="780" spans="1:12" x14ac:dyDescent="0.3">
      <c r="A780">
        <v>9</v>
      </c>
      <c r="B780">
        <v>2023</v>
      </c>
      <c r="C780">
        <v>0.44</v>
      </c>
      <c r="D780">
        <v>0.53</v>
      </c>
      <c r="E780">
        <v>0.52</v>
      </c>
      <c r="F780">
        <v>0.73</v>
      </c>
      <c r="G780">
        <v>0.69</v>
      </c>
      <c r="H780">
        <v>0.86</v>
      </c>
      <c r="I780">
        <v>430</v>
      </c>
      <c r="J780">
        <v>2</v>
      </c>
      <c r="K780">
        <v>0.55000000000000004</v>
      </c>
      <c r="L780" t="s">
        <v>12</v>
      </c>
    </row>
    <row r="781" spans="1:12" x14ac:dyDescent="0.3">
      <c r="A781">
        <v>9</v>
      </c>
      <c r="B781">
        <v>2023</v>
      </c>
      <c r="C781">
        <v>0.98</v>
      </c>
      <c r="D781">
        <v>0.83</v>
      </c>
      <c r="E781">
        <v>1</v>
      </c>
      <c r="F781">
        <v>0.88</v>
      </c>
      <c r="G781">
        <v>0.51</v>
      </c>
      <c r="H781">
        <v>0.67</v>
      </c>
      <c r="I781">
        <v>479</v>
      </c>
      <c r="J781">
        <v>1</v>
      </c>
      <c r="K781">
        <v>0.88</v>
      </c>
      <c r="L781" t="s">
        <v>13</v>
      </c>
    </row>
    <row r="782" spans="1:12" x14ac:dyDescent="0.3">
      <c r="A782">
        <v>9</v>
      </c>
      <c r="B782">
        <v>2023</v>
      </c>
      <c r="C782">
        <v>0.94</v>
      </c>
      <c r="D782">
        <v>0.95</v>
      </c>
      <c r="E782">
        <v>0.66</v>
      </c>
      <c r="F782">
        <v>0.88</v>
      </c>
      <c r="G782">
        <v>0.77</v>
      </c>
      <c r="H782">
        <v>0.81</v>
      </c>
      <c r="I782">
        <v>252</v>
      </c>
      <c r="J782">
        <v>5</v>
      </c>
      <c r="K782">
        <v>0.86</v>
      </c>
      <c r="L782" t="s">
        <v>13</v>
      </c>
    </row>
    <row r="783" spans="1:12" x14ac:dyDescent="0.3">
      <c r="A783">
        <v>10</v>
      </c>
      <c r="B783">
        <v>2023</v>
      </c>
      <c r="C783">
        <v>0.99</v>
      </c>
      <c r="D783">
        <v>0.43</v>
      </c>
      <c r="E783">
        <v>0.55000000000000004</v>
      </c>
      <c r="F783">
        <v>0.89</v>
      </c>
      <c r="G783">
        <v>0.5</v>
      </c>
      <c r="H783">
        <v>0.18</v>
      </c>
      <c r="I783">
        <v>262</v>
      </c>
      <c r="J783">
        <v>16</v>
      </c>
      <c r="K783">
        <v>0.7</v>
      </c>
      <c r="L783" t="s">
        <v>12</v>
      </c>
    </row>
    <row r="784" spans="1:12" x14ac:dyDescent="0.3">
      <c r="A784">
        <v>10</v>
      </c>
      <c r="B784">
        <v>2023</v>
      </c>
      <c r="C784">
        <v>0.33</v>
      </c>
      <c r="D784">
        <v>0.59</v>
      </c>
      <c r="E784">
        <v>0.79</v>
      </c>
      <c r="F784">
        <v>0.98</v>
      </c>
      <c r="G784">
        <v>0.9</v>
      </c>
      <c r="H784">
        <v>0.23</v>
      </c>
      <c r="I784">
        <v>111</v>
      </c>
      <c r="J784">
        <v>13</v>
      </c>
      <c r="K784">
        <v>0.64</v>
      </c>
      <c r="L784" t="s">
        <v>12</v>
      </c>
    </row>
    <row r="785" spans="1:12" x14ac:dyDescent="0.3">
      <c r="A785">
        <v>10</v>
      </c>
      <c r="B785">
        <v>2023</v>
      </c>
      <c r="C785">
        <v>0.84</v>
      </c>
      <c r="D785">
        <v>0.44</v>
      </c>
      <c r="E785">
        <v>0.96</v>
      </c>
      <c r="F785">
        <v>0.62</v>
      </c>
      <c r="G785">
        <v>0.64</v>
      </c>
      <c r="H785">
        <v>0.72</v>
      </c>
      <c r="I785">
        <v>288</v>
      </c>
      <c r="J785">
        <v>13</v>
      </c>
      <c r="K785">
        <v>0.71</v>
      </c>
      <c r="L785" t="s">
        <v>13</v>
      </c>
    </row>
    <row r="786" spans="1:12" x14ac:dyDescent="0.3">
      <c r="A786">
        <v>11</v>
      </c>
      <c r="B786">
        <v>2023</v>
      </c>
      <c r="C786">
        <v>0.6</v>
      </c>
      <c r="D786">
        <v>0.6</v>
      </c>
      <c r="E786">
        <v>0.92</v>
      </c>
      <c r="F786">
        <v>0.66</v>
      </c>
      <c r="G786">
        <v>0.6</v>
      </c>
      <c r="H786">
        <v>0.9</v>
      </c>
      <c r="I786">
        <v>203</v>
      </c>
      <c r="J786">
        <v>7</v>
      </c>
      <c r="K786">
        <v>0.67</v>
      </c>
      <c r="L786" t="s">
        <v>12</v>
      </c>
    </row>
    <row r="787" spans="1:12" x14ac:dyDescent="0.3">
      <c r="A787">
        <v>11</v>
      </c>
      <c r="B787">
        <v>2023</v>
      </c>
      <c r="C787">
        <v>0.68</v>
      </c>
      <c r="D787">
        <v>0.79</v>
      </c>
      <c r="E787">
        <v>0.88</v>
      </c>
      <c r="F787">
        <v>0.85</v>
      </c>
      <c r="G787">
        <v>0.68</v>
      </c>
      <c r="H787">
        <v>0.75</v>
      </c>
      <c r="I787">
        <v>89</v>
      </c>
      <c r="J787">
        <v>18</v>
      </c>
      <c r="K787">
        <v>0.77</v>
      </c>
      <c r="L787" t="s">
        <v>13</v>
      </c>
    </row>
    <row r="788" spans="1:12" x14ac:dyDescent="0.3">
      <c r="A788">
        <v>11</v>
      </c>
      <c r="B788">
        <v>2023</v>
      </c>
      <c r="C788">
        <v>0.59</v>
      </c>
      <c r="D788">
        <v>0.96</v>
      </c>
      <c r="E788">
        <v>0.69</v>
      </c>
      <c r="F788">
        <v>0.87</v>
      </c>
      <c r="G788">
        <v>0.48</v>
      </c>
      <c r="H788">
        <v>0.13</v>
      </c>
      <c r="I788">
        <v>368</v>
      </c>
      <c r="J788">
        <v>1</v>
      </c>
      <c r="K788">
        <v>0.73</v>
      </c>
      <c r="L788" t="s">
        <v>13</v>
      </c>
    </row>
    <row r="789" spans="1:12" x14ac:dyDescent="0.3">
      <c r="A789">
        <v>11</v>
      </c>
      <c r="B789">
        <v>2023</v>
      </c>
      <c r="C789">
        <v>0.72</v>
      </c>
      <c r="D789">
        <v>0.47</v>
      </c>
      <c r="E789">
        <v>0.77</v>
      </c>
      <c r="F789">
        <v>0.6</v>
      </c>
      <c r="G789">
        <v>0.65</v>
      </c>
      <c r="H789">
        <v>0.7</v>
      </c>
      <c r="I789">
        <v>169</v>
      </c>
      <c r="J789">
        <v>0</v>
      </c>
      <c r="K789">
        <v>0.64</v>
      </c>
      <c r="L789" t="s">
        <v>12</v>
      </c>
    </row>
    <row r="790" spans="1:12" x14ac:dyDescent="0.3">
      <c r="A790">
        <v>12</v>
      </c>
      <c r="B790">
        <v>2023</v>
      </c>
      <c r="C790">
        <v>0.96</v>
      </c>
      <c r="D790">
        <v>0.72</v>
      </c>
      <c r="E790">
        <v>0.87</v>
      </c>
      <c r="F790">
        <v>0.97</v>
      </c>
      <c r="G790">
        <v>0.98</v>
      </c>
      <c r="H790">
        <v>0.83</v>
      </c>
      <c r="I790">
        <v>103</v>
      </c>
      <c r="J790">
        <v>19</v>
      </c>
      <c r="K790">
        <v>0.89</v>
      </c>
      <c r="L790" t="s">
        <v>13</v>
      </c>
    </row>
    <row r="791" spans="1:12" x14ac:dyDescent="0.3">
      <c r="A791">
        <v>12</v>
      </c>
      <c r="B791">
        <v>2023</v>
      </c>
      <c r="C791">
        <v>0.7</v>
      </c>
      <c r="D791">
        <v>0.95</v>
      </c>
      <c r="E791">
        <v>0.98</v>
      </c>
      <c r="F791">
        <v>0.82</v>
      </c>
      <c r="G791">
        <v>0.62</v>
      </c>
      <c r="H791">
        <v>0.95</v>
      </c>
      <c r="I791">
        <v>488</v>
      </c>
      <c r="J791">
        <v>3</v>
      </c>
      <c r="K791">
        <v>0.83</v>
      </c>
      <c r="L791" t="s">
        <v>13</v>
      </c>
    </row>
    <row r="792" spans="1:12" x14ac:dyDescent="0.3">
      <c r="A792">
        <v>12</v>
      </c>
      <c r="B792">
        <v>2023</v>
      </c>
      <c r="C792">
        <v>0.35</v>
      </c>
      <c r="D792">
        <v>0.5</v>
      </c>
      <c r="E792">
        <v>0.66</v>
      </c>
      <c r="F792">
        <v>0.73</v>
      </c>
      <c r="G792">
        <v>0.76</v>
      </c>
      <c r="H792">
        <v>0.62</v>
      </c>
      <c r="I792">
        <v>442</v>
      </c>
      <c r="J792">
        <v>18</v>
      </c>
      <c r="K792">
        <v>0.55000000000000004</v>
      </c>
      <c r="L792" t="s">
        <v>12</v>
      </c>
    </row>
    <row r="793" spans="1:12" x14ac:dyDescent="0.3">
      <c r="A793">
        <v>13</v>
      </c>
      <c r="B793">
        <v>2023</v>
      </c>
      <c r="C793">
        <v>0.73</v>
      </c>
      <c r="D793">
        <v>0.49</v>
      </c>
      <c r="E793">
        <v>0.98</v>
      </c>
      <c r="F793">
        <v>0.81</v>
      </c>
      <c r="G793">
        <v>0.35</v>
      </c>
      <c r="H793">
        <v>0.63</v>
      </c>
      <c r="I793">
        <v>254</v>
      </c>
      <c r="J793">
        <v>14</v>
      </c>
      <c r="K793">
        <v>0.69</v>
      </c>
      <c r="L793" t="s">
        <v>12</v>
      </c>
    </row>
    <row r="794" spans="1:12" x14ac:dyDescent="0.3">
      <c r="A794">
        <v>13</v>
      </c>
      <c r="B794">
        <v>2023</v>
      </c>
      <c r="C794">
        <v>0.74</v>
      </c>
      <c r="D794">
        <v>0.62</v>
      </c>
      <c r="E794">
        <v>0.77</v>
      </c>
      <c r="F794">
        <v>0.92</v>
      </c>
      <c r="G794">
        <v>0.87</v>
      </c>
      <c r="H794">
        <v>0.96</v>
      </c>
      <c r="I794">
        <v>57</v>
      </c>
      <c r="J794">
        <v>12</v>
      </c>
      <c r="K794">
        <v>0.76</v>
      </c>
      <c r="L794" t="s">
        <v>13</v>
      </c>
    </row>
    <row r="795" spans="1:12" x14ac:dyDescent="0.3">
      <c r="A795">
        <v>13</v>
      </c>
      <c r="B795">
        <v>2023</v>
      </c>
      <c r="C795">
        <v>0.38</v>
      </c>
      <c r="D795">
        <v>0.92</v>
      </c>
      <c r="E795">
        <v>0.92</v>
      </c>
      <c r="F795">
        <v>0.86</v>
      </c>
      <c r="G795">
        <v>0.65</v>
      </c>
      <c r="H795">
        <v>0.72</v>
      </c>
      <c r="I795">
        <v>299</v>
      </c>
      <c r="J795">
        <v>13</v>
      </c>
      <c r="K795">
        <v>0.72</v>
      </c>
      <c r="L795" t="s">
        <v>13</v>
      </c>
    </row>
    <row r="796" spans="1:12" x14ac:dyDescent="0.3">
      <c r="A796">
        <v>13</v>
      </c>
      <c r="B796">
        <v>2023</v>
      </c>
      <c r="C796">
        <v>0.66</v>
      </c>
      <c r="D796">
        <v>0.48</v>
      </c>
      <c r="E796">
        <v>0.62</v>
      </c>
      <c r="F796">
        <v>0.78</v>
      </c>
      <c r="G796">
        <v>0.43</v>
      </c>
      <c r="H796">
        <v>0.27</v>
      </c>
      <c r="I796">
        <v>63</v>
      </c>
      <c r="J796">
        <v>7</v>
      </c>
      <c r="K796">
        <v>0.6</v>
      </c>
      <c r="L796" t="s">
        <v>12</v>
      </c>
    </row>
    <row r="797" spans="1:12" x14ac:dyDescent="0.3">
      <c r="A797">
        <v>13</v>
      </c>
      <c r="B797">
        <v>2023</v>
      </c>
      <c r="C797">
        <v>0.43</v>
      </c>
      <c r="D797">
        <v>0.88</v>
      </c>
      <c r="E797">
        <v>0.71</v>
      </c>
      <c r="F797">
        <v>0.64</v>
      </c>
      <c r="G797">
        <v>0.64</v>
      </c>
      <c r="H797">
        <v>0.09</v>
      </c>
      <c r="I797">
        <v>337</v>
      </c>
      <c r="J797">
        <v>0</v>
      </c>
      <c r="K797">
        <v>0.65</v>
      </c>
      <c r="L797" t="s">
        <v>12</v>
      </c>
    </row>
    <row r="798" spans="1:12" x14ac:dyDescent="0.3">
      <c r="A798">
        <v>14</v>
      </c>
      <c r="B798">
        <v>2023</v>
      </c>
      <c r="C798">
        <v>0.85</v>
      </c>
      <c r="D798">
        <v>0.47</v>
      </c>
      <c r="E798">
        <v>0.56000000000000005</v>
      </c>
      <c r="F798">
        <v>0.97</v>
      </c>
      <c r="G798">
        <v>0.36</v>
      </c>
      <c r="H798">
        <v>0.69</v>
      </c>
      <c r="I798">
        <v>66</v>
      </c>
      <c r="J798">
        <v>4</v>
      </c>
      <c r="K798">
        <v>0.67</v>
      </c>
      <c r="L798" t="s">
        <v>12</v>
      </c>
    </row>
    <row r="799" spans="1:12" x14ac:dyDescent="0.3">
      <c r="A799">
        <v>15</v>
      </c>
      <c r="B799">
        <v>2023</v>
      </c>
      <c r="C799">
        <v>0.99</v>
      </c>
      <c r="D799">
        <v>0.97</v>
      </c>
      <c r="E799">
        <v>0.52</v>
      </c>
      <c r="F799">
        <v>0.88</v>
      </c>
      <c r="G799">
        <v>0.95</v>
      </c>
      <c r="H799">
        <v>0.18</v>
      </c>
      <c r="I799">
        <v>135</v>
      </c>
      <c r="J799">
        <v>6</v>
      </c>
      <c r="K799">
        <v>0.87</v>
      </c>
      <c r="L799" t="s">
        <v>13</v>
      </c>
    </row>
    <row r="800" spans="1:12" x14ac:dyDescent="0.3">
      <c r="A800">
        <v>15</v>
      </c>
      <c r="B800">
        <v>2023</v>
      </c>
      <c r="C800">
        <v>0.86</v>
      </c>
      <c r="D800">
        <v>0.47</v>
      </c>
      <c r="E800">
        <v>0.56000000000000005</v>
      </c>
      <c r="F800">
        <v>0.94</v>
      </c>
      <c r="G800">
        <v>0.54</v>
      </c>
      <c r="H800">
        <v>0.03</v>
      </c>
      <c r="I800">
        <v>218</v>
      </c>
      <c r="J800">
        <v>8</v>
      </c>
      <c r="K800">
        <v>0.68</v>
      </c>
      <c r="L800" t="s">
        <v>12</v>
      </c>
    </row>
    <row r="801" spans="1:12" x14ac:dyDescent="0.3">
      <c r="A801">
        <v>15</v>
      </c>
      <c r="B801">
        <v>2023</v>
      </c>
      <c r="C801">
        <v>0.69</v>
      </c>
      <c r="D801">
        <v>0.82</v>
      </c>
      <c r="E801">
        <v>0.83</v>
      </c>
      <c r="F801">
        <v>0.92</v>
      </c>
      <c r="G801">
        <v>0.92</v>
      </c>
      <c r="H801">
        <v>0.82</v>
      </c>
      <c r="I801">
        <v>309</v>
      </c>
      <c r="J801">
        <v>9</v>
      </c>
      <c r="K801">
        <v>0.81</v>
      </c>
      <c r="L801" t="s">
        <v>13</v>
      </c>
    </row>
    <row r="802" spans="1:12" x14ac:dyDescent="0.3">
      <c r="A802">
        <v>15</v>
      </c>
      <c r="B802">
        <v>2023</v>
      </c>
      <c r="C802">
        <v>0.37</v>
      </c>
      <c r="D802">
        <v>0.41</v>
      </c>
      <c r="E802">
        <v>0.56999999999999995</v>
      </c>
      <c r="F802">
        <v>0.89</v>
      </c>
      <c r="G802">
        <v>0.98</v>
      </c>
      <c r="H802">
        <v>0.98</v>
      </c>
      <c r="I802">
        <v>284</v>
      </c>
      <c r="J802">
        <v>1</v>
      </c>
      <c r="K802">
        <v>0.56000000000000005</v>
      </c>
      <c r="L802" t="s">
        <v>12</v>
      </c>
    </row>
    <row r="803" spans="1:12" x14ac:dyDescent="0.3">
      <c r="A803">
        <v>15</v>
      </c>
      <c r="B803">
        <v>2023</v>
      </c>
      <c r="C803">
        <v>0.59</v>
      </c>
      <c r="D803">
        <v>0.56999999999999995</v>
      </c>
      <c r="E803">
        <v>0.78</v>
      </c>
      <c r="F803">
        <v>0.72</v>
      </c>
      <c r="G803">
        <v>0.36</v>
      </c>
      <c r="H803">
        <v>0</v>
      </c>
      <c r="I803">
        <v>330</v>
      </c>
      <c r="J803">
        <v>8</v>
      </c>
      <c r="K803">
        <v>0.62</v>
      </c>
      <c r="L803" t="s">
        <v>12</v>
      </c>
    </row>
    <row r="804" spans="1:12" x14ac:dyDescent="0.3">
      <c r="A804">
        <v>15</v>
      </c>
      <c r="B804">
        <v>2023</v>
      </c>
      <c r="C804">
        <v>1</v>
      </c>
      <c r="D804">
        <v>0.5</v>
      </c>
      <c r="E804">
        <v>0.89</v>
      </c>
      <c r="F804">
        <v>0.69</v>
      </c>
      <c r="G804">
        <v>0.36</v>
      </c>
      <c r="H804">
        <v>0.87</v>
      </c>
      <c r="I804">
        <v>397</v>
      </c>
      <c r="J804">
        <v>0</v>
      </c>
      <c r="K804">
        <v>0.74</v>
      </c>
      <c r="L804" t="s">
        <v>13</v>
      </c>
    </row>
    <row r="805" spans="1:12" x14ac:dyDescent="0.3">
      <c r="A805">
        <v>15</v>
      </c>
      <c r="B805">
        <v>2023</v>
      </c>
      <c r="C805">
        <v>0.61</v>
      </c>
      <c r="D805">
        <v>0.56999999999999995</v>
      </c>
      <c r="E805">
        <v>0.97</v>
      </c>
      <c r="F805">
        <v>0.95</v>
      </c>
      <c r="G805">
        <v>0.36</v>
      </c>
      <c r="H805">
        <v>0.52</v>
      </c>
      <c r="I805">
        <v>146</v>
      </c>
      <c r="J805">
        <v>14</v>
      </c>
      <c r="K805">
        <v>0.7</v>
      </c>
      <c r="L805" t="s">
        <v>12</v>
      </c>
    </row>
    <row r="806" spans="1:12" x14ac:dyDescent="0.3">
      <c r="A806">
        <v>16</v>
      </c>
      <c r="B806">
        <v>2023</v>
      </c>
      <c r="C806">
        <v>0.76</v>
      </c>
      <c r="D806">
        <v>0.73</v>
      </c>
      <c r="E806">
        <v>0.94</v>
      </c>
      <c r="F806">
        <v>0.87</v>
      </c>
      <c r="G806">
        <v>0.68</v>
      </c>
      <c r="H806">
        <v>0.83</v>
      </c>
      <c r="I806">
        <v>266</v>
      </c>
      <c r="J806">
        <v>7</v>
      </c>
      <c r="K806">
        <v>0.8</v>
      </c>
      <c r="L806" t="s">
        <v>13</v>
      </c>
    </row>
    <row r="807" spans="1:12" x14ac:dyDescent="0.3">
      <c r="A807">
        <v>16</v>
      </c>
      <c r="B807">
        <v>2023</v>
      </c>
      <c r="C807">
        <v>0.74</v>
      </c>
      <c r="D807">
        <v>0.55000000000000004</v>
      </c>
      <c r="E807">
        <v>0.57999999999999996</v>
      </c>
      <c r="F807">
        <v>0.67</v>
      </c>
      <c r="G807">
        <v>0.31</v>
      </c>
      <c r="H807">
        <v>0.39</v>
      </c>
      <c r="I807">
        <v>438</v>
      </c>
      <c r="J807">
        <v>11</v>
      </c>
      <c r="K807">
        <v>0.61</v>
      </c>
      <c r="L807" t="s">
        <v>12</v>
      </c>
    </row>
    <row r="808" spans="1:12" x14ac:dyDescent="0.3">
      <c r="A808">
        <v>16</v>
      </c>
      <c r="B808">
        <v>2023</v>
      </c>
      <c r="C808">
        <v>0.63</v>
      </c>
      <c r="D808">
        <v>0.68</v>
      </c>
      <c r="E808">
        <v>0.52</v>
      </c>
      <c r="F808">
        <v>0.7</v>
      </c>
      <c r="G808">
        <v>0.41</v>
      </c>
      <c r="H808">
        <v>0.89</v>
      </c>
      <c r="I808">
        <v>177</v>
      </c>
      <c r="J808">
        <v>16</v>
      </c>
      <c r="K808">
        <v>0.61</v>
      </c>
      <c r="L808" t="s">
        <v>12</v>
      </c>
    </row>
    <row r="809" spans="1:12" x14ac:dyDescent="0.3">
      <c r="A809">
        <v>16</v>
      </c>
      <c r="B809">
        <v>2023</v>
      </c>
      <c r="C809">
        <v>0.89</v>
      </c>
      <c r="D809">
        <v>0.91</v>
      </c>
      <c r="E809">
        <v>0.66</v>
      </c>
      <c r="F809">
        <v>0.64</v>
      </c>
      <c r="G809">
        <v>0.79</v>
      </c>
      <c r="H809">
        <v>0.36</v>
      </c>
      <c r="I809">
        <v>396</v>
      </c>
      <c r="J809">
        <v>4</v>
      </c>
      <c r="K809">
        <v>0.8</v>
      </c>
      <c r="L809" t="s">
        <v>13</v>
      </c>
    </row>
    <row r="810" spans="1:12" x14ac:dyDescent="0.3">
      <c r="A810">
        <v>17</v>
      </c>
      <c r="B810">
        <v>2023</v>
      </c>
      <c r="C810">
        <v>0.61</v>
      </c>
      <c r="D810">
        <v>0.45</v>
      </c>
      <c r="E810">
        <v>0.51</v>
      </c>
      <c r="F810">
        <v>0.99</v>
      </c>
      <c r="G810">
        <v>0.89</v>
      </c>
      <c r="H810">
        <v>0.7</v>
      </c>
      <c r="I810">
        <v>178</v>
      </c>
      <c r="J810">
        <v>0</v>
      </c>
      <c r="K810">
        <v>0.63</v>
      </c>
      <c r="L810" t="s">
        <v>12</v>
      </c>
    </row>
    <row r="811" spans="1:12" x14ac:dyDescent="0.3">
      <c r="A811">
        <v>17</v>
      </c>
      <c r="B811">
        <v>2023</v>
      </c>
      <c r="C811">
        <v>0.57999999999999996</v>
      </c>
      <c r="D811">
        <v>0.97</v>
      </c>
      <c r="E811">
        <v>0.98</v>
      </c>
      <c r="F811">
        <v>0.76</v>
      </c>
      <c r="G811">
        <v>0.9</v>
      </c>
      <c r="H811">
        <v>0.77</v>
      </c>
      <c r="I811">
        <v>143</v>
      </c>
      <c r="J811">
        <v>0</v>
      </c>
      <c r="K811">
        <v>0.82</v>
      </c>
      <c r="L811" t="s">
        <v>13</v>
      </c>
    </row>
    <row r="812" spans="1:12" x14ac:dyDescent="0.3">
      <c r="A812">
        <v>17</v>
      </c>
      <c r="B812">
        <v>2023</v>
      </c>
      <c r="C812">
        <v>0.68</v>
      </c>
      <c r="D812">
        <v>0.67</v>
      </c>
      <c r="E812">
        <v>0.82</v>
      </c>
      <c r="F812">
        <v>0.93</v>
      </c>
      <c r="G812">
        <v>0.6</v>
      </c>
      <c r="H812">
        <v>0.64</v>
      </c>
      <c r="I812">
        <v>369</v>
      </c>
      <c r="J812">
        <v>7</v>
      </c>
      <c r="K812">
        <v>0.74</v>
      </c>
      <c r="L812" t="s">
        <v>13</v>
      </c>
    </row>
    <row r="813" spans="1:12" x14ac:dyDescent="0.3">
      <c r="A813">
        <v>17</v>
      </c>
      <c r="B813">
        <v>2023</v>
      </c>
      <c r="C813">
        <v>0.99</v>
      </c>
      <c r="D813">
        <v>0.51</v>
      </c>
      <c r="E813">
        <v>0.8</v>
      </c>
      <c r="F813">
        <v>0.64</v>
      </c>
      <c r="G813">
        <v>0.81</v>
      </c>
      <c r="H813">
        <v>0.99</v>
      </c>
      <c r="I813">
        <v>424</v>
      </c>
      <c r="J813">
        <v>10</v>
      </c>
      <c r="K813">
        <v>0.76</v>
      </c>
      <c r="L813" t="s">
        <v>13</v>
      </c>
    </row>
    <row r="814" spans="1:12" x14ac:dyDescent="0.3">
      <c r="A814">
        <v>19</v>
      </c>
      <c r="B814">
        <v>2023</v>
      </c>
      <c r="C814">
        <v>0.39</v>
      </c>
      <c r="D814">
        <v>0.56000000000000005</v>
      </c>
      <c r="E814">
        <v>0.7</v>
      </c>
      <c r="F814">
        <v>0.77</v>
      </c>
      <c r="G814">
        <v>0.59</v>
      </c>
      <c r="H814">
        <v>0.91</v>
      </c>
      <c r="I814">
        <v>158</v>
      </c>
      <c r="J814">
        <v>11</v>
      </c>
      <c r="K814">
        <v>0.56999999999999995</v>
      </c>
      <c r="L814" t="s">
        <v>12</v>
      </c>
    </row>
    <row r="815" spans="1:12" x14ac:dyDescent="0.3">
      <c r="A815">
        <v>19</v>
      </c>
      <c r="B815">
        <v>2023</v>
      </c>
      <c r="C815">
        <v>0.94</v>
      </c>
      <c r="D815">
        <v>0.76</v>
      </c>
      <c r="E815">
        <v>0.76</v>
      </c>
      <c r="F815">
        <v>0.82</v>
      </c>
      <c r="G815">
        <v>0.98</v>
      </c>
      <c r="H815">
        <v>0.77</v>
      </c>
      <c r="I815">
        <v>60</v>
      </c>
      <c r="J815">
        <v>15</v>
      </c>
      <c r="K815">
        <v>0.84</v>
      </c>
      <c r="L815" t="s">
        <v>13</v>
      </c>
    </row>
    <row r="816" spans="1:12" x14ac:dyDescent="0.3">
      <c r="A816">
        <v>19</v>
      </c>
      <c r="B816">
        <v>2023</v>
      </c>
      <c r="C816">
        <v>0.34</v>
      </c>
      <c r="D816">
        <v>0.63</v>
      </c>
      <c r="E816">
        <v>0.72</v>
      </c>
      <c r="F816">
        <v>0.66</v>
      </c>
      <c r="G816">
        <v>0.37</v>
      </c>
      <c r="H816">
        <v>0.54</v>
      </c>
      <c r="I816">
        <v>347</v>
      </c>
      <c r="J816">
        <v>1</v>
      </c>
      <c r="K816">
        <v>0.54</v>
      </c>
      <c r="L816" t="s">
        <v>12</v>
      </c>
    </row>
    <row r="817" spans="1:12" x14ac:dyDescent="0.3">
      <c r="A817">
        <v>19</v>
      </c>
      <c r="B817">
        <v>2023</v>
      </c>
      <c r="C817">
        <v>0.7</v>
      </c>
      <c r="D817">
        <v>0.81</v>
      </c>
      <c r="E817">
        <v>0.56000000000000005</v>
      </c>
      <c r="F817">
        <v>0.65</v>
      </c>
      <c r="G817">
        <v>0.7</v>
      </c>
      <c r="H817">
        <v>0.27</v>
      </c>
      <c r="I817">
        <v>175</v>
      </c>
      <c r="J817">
        <v>11</v>
      </c>
      <c r="K817">
        <v>0.69</v>
      </c>
      <c r="L817" t="s">
        <v>12</v>
      </c>
    </row>
    <row r="818" spans="1:12" x14ac:dyDescent="0.3">
      <c r="A818">
        <v>20</v>
      </c>
      <c r="B818">
        <v>2023</v>
      </c>
      <c r="C818">
        <v>0.6</v>
      </c>
      <c r="D818">
        <v>0.82</v>
      </c>
      <c r="E818">
        <v>0.73</v>
      </c>
      <c r="F818">
        <v>0.64</v>
      </c>
      <c r="G818">
        <v>0.69</v>
      </c>
      <c r="H818">
        <v>0.64</v>
      </c>
      <c r="I818">
        <v>455</v>
      </c>
      <c r="J818">
        <v>2</v>
      </c>
      <c r="K818">
        <v>0.7</v>
      </c>
      <c r="L818" t="s">
        <v>12</v>
      </c>
    </row>
    <row r="819" spans="1:12" x14ac:dyDescent="0.3">
      <c r="A819">
        <v>20</v>
      </c>
      <c r="B819">
        <v>2023</v>
      </c>
      <c r="C819">
        <v>0.75</v>
      </c>
      <c r="D819">
        <v>0.97</v>
      </c>
      <c r="E819">
        <v>0.94</v>
      </c>
      <c r="F819">
        <v>0.83</v>
      </c>
      <c r="G819">
        <v>0.88</v>
      </c>
      <c r="H819">
        <v>0.64</v>
      </c>
      <c r="I819">
        <v>487</v>
      </c>
      <c r="J819">
        <v>10</v>
      </c>
      <c r="K819">
        <v>0.87</v>
      </c>
      <c r="L819" t="s">
        <v>13</v>
      </c>
    </row>
    <row r="820" spans="1:12" x14ac:dyDescent="0.3">
      <c r="A820">
        <v>20</v>
      </c>
      <c r="B820">
        <v>2023</v>
      </c>
      <c r="C820">
        <v>0.43</v>
      </c>
      <c r="D820">
        <v>0.96</v>
      </c>
      <c r="E820">
        <v>0.76</v>
      </c>
      <c r="F820">
        <v>1</v>
      </c>
      <c r="G820">
        <v>0.67</v>
      </c>
      <c r="H820">
        <v>0.54</v>
      </c>
      <c r="I820">
        <v>254</v>
      </c>
      <c r="J820">
        <v>15</v>
      </c>
      <c r="K820">
        <v>0.74</v>
      </c>
      <c r="L820" t="s">
        <v>13</v>
      </c>
    </row>
    <row r="821" spans="1:12" x14ac:dyDescent="0.3">
      <c r="A821">
        <v>20</v>
      </c>
      <c r="B821">
        <v>2023</v>
      </c>
      <c r="C821">
        <v>0.98</v>
      </c>
      <c r="D821">
        <v>0.73</v>
      </c>
      <c r="E821">
        <v>0.73</v>
      </c>
      <c r="F821">
        <v>0.99</v>
      </c>
      <c r="G821">
        <v>0.69</v>
      </c>
      <c r="H821">
        <v>0.66</v>
      </c>
      <c r="I821">
        <v>399</v>
      </c>
      <c r="J821">
        <v>1</v>
      </c>
      <c r="K821">
        <v>0.84</v>
      </c>
      <c r="L821" t="s">
        <v>13</v>
      </c>
    </row>
    <row r="822" spans="1:12" x14ac:dyDescent="0.3">
      <c r="A822">
        <v>20</v>
      </c>
      <c r="B822">
        <v>2023</v>
      </c>
      <c r="C822">
        <v>0.45</v>
      </c>
      <c r="D822">
        <v>0.64</v>
      </c>
      <c r="E822">
        <v>0.53</v>
      </c>
      <c r="F822">
        <v>0.69</v>
      </c>
      <c r="G822">
        <v>0.86</v>
      </c>
      <c r="H822">
        <v>0.8</v>
      </c>
      <c r="I822">
        <v>261</v>
      </c>
      <c r="J822">
        <v>1</v>
      </c>
      <c r="K822">
        <v>0.59</v>
      </c>
      <c r="L822" t="s">
        <v>12</v>
      </c>
    </row>
    <row r="823" spans="1:12" x14ac:dyDescent="0.3">
      <c r="A823">
        <v>20</v>
      </c>
      <c r="B823">
        <v>2023</v>
      </c>
      <c r="C823">
        <v>0.37</v>
      </c>
      <c r="D823">
        <v>0.42</v>
      </c>
      <c r="E823">
        <v>0.73</v>
      </c>
      <c r="F823">
        <v>0.93</v>
      </c>
      <c r="G823">
        <v>0.52</v>
      </c>
      <c r="H823">
        <v>0.38</v>
      </c>
      <c r="I823">
        <v>154</v>
      </c>
      <c r="J823">
        <v>2</v>
      </c>
      <c r="K823">
        <v>0.55000000000000004</v>
      </c>
      <c r="L823" t="s">
        <v>12</v>
      </c>
    </row>
    <row r="824" spans="1:12" x14ac:dyDescent="0.3">
      <c r="A824">
        <v>21</v>
      </c>
      <c r="B824">
        <v>2023</v>
      </c>
      <c r="C824">
        <v>0.56999999999999995</v>
      </c>
      <c r="D824">
        <v>0.67</v>
      </c>
      <c r="E824">
        <v>0.62</v>
      </c>
      <c r="F824">
        <v>0.75</v>
      </c>
      <c r="G824">
        <v>0.46</v>
      </c>
      <c r="H824">
        <v>7.0000000000000007E-2</v>
      </c>
      <c r="I824">
        <v>404</v>
      </c>
      <c r="J824">
        <v>7</v>
      </c>
      <c r="K824">
        <v>0.62</v>
      </c>
      <c r="L824" t="s">
        <v>12</v>
      </c>
    </row>
    <row r="825" spans="1:12" x14ac:dyDescent="0.3">
      <c r="A825">
        <v>21</v>
      </c>
      <c r="B825">
        <v>2023</v>
      </c>
      <c r="C825">
        <v>0.31</v>
      </c>
      <c r="D825">
        <v>0.79</v>
      </c>
      <c r="E825">
        <v>0.95</v>
      </c>
      <c r="F825">
        <v>0.7</v>
      </c>
      <c r="G825">
        <v>0.95</v>
      </c>
      <c r="H825">
        <v>0.06</v>
      </c>
      <c r="I825">
        <v>326</v>
      </c>
      <c r="J825">
        <v>12</v>
      </c>
      <c r="K825">
        <v>0.68</v>
      </c>
      <c r="L825" t="s">
        <v>12</v>
      </c>
    </row>
    <row r="826" spans="1:12" x14ac:dyDescent="0.3">
      <c r="A826">
        <v>21</v>
      </c>
      <c r="B826">
        <v>2023</v>
      </c>
      <c r="C826">
        <v>0.55000000000000004</v>
      </c>
      <c r="D826">
        <v>0.46</v>
      </c>
      <c r="E826">
        <v>0.98</v>
      </c>
      <c r="F826">
        <v>0.86</v>
      </c>
      <c r="G826">
        <v>0.62</v>
      </c>
      <c r="H826">
        <v>0.4</v>
      </c>
      <c r="I826">
        <v>462</v>
      </c>
      <c r="J826">
        <v>16</v>
      </c>
      <c r="K826">
        <v>0.67</v>
      </c>
      <c r="L826" t="s">
        <v>12</v>
      </c>
    </row>
    <row r="827" spans="1:12" x14ac:dyDescent="0.3">
      <c r="A827">
        <v>21</v>
      </c>
      <c r="B827">
        <v>2023</v>
      </c>
      <c r="C827">
        <v>0.84</v>
      </c>
      <c r="D827">
        <v>0.98</v>
      </c>
      <c r="E827">
        <v>0.75</v>
      </c>
      <c r="F827">
        <v>0.64</v>
      </c>
      <c r="G827">
        <v>0.61</v>
      </c>
      <c r="H827">
        <v>0.48</v>
      </c>
      <c r="I827">
        <v>421</v>
      </c>
      <c r="J827">
        <v>15</v>
      </c>
      <c r="K827">
        <v>0.8</v>
      </c>
      <c r="L827" t="s">
        <v>13</v>
      </c>
    </row>
    <row r="828" spans="1:12" x14ac:dyDescent="0.3">
      <c r="A828">
        <v>21</v>
      </c>
      <c r="B828">
        <v>2023</v>
      </c>
      <c r="C828">
        <v>0.81</v>
      </c>
      <c r="D828">
        <v>0.9</v>
      </c>
      <c r="E828">
        <v>0.7</v>
      </c>
      <c r="F828">
        <v>0.78</v>
      </c>
      <c r="G828">
        <v>0.9</v>
      </c>
      <c r="H828">
        <v>0.78</v>
      </c>
      <c r="I828">
        <v>105</v>
      </c>
      <c r="J828">
        <v>10</v>
      </c>
      <c r="K828">
        <v>0.82</v>
      </c>
      <c r="L828" t="s">
        <v>13</v>
      </c>
    </row>
    <row r="829" spans="1:12" x14ac:dyDescent="0.3">
      <c r="A829">
        <v>22</v>
      </c>
      <c r="B829">
        <v>2023</v>
      </c>
      <c r="C829">
        <v>0.62</v>
      </c>
      <c r="D829">
        <v>0.7</v>
      </c>
      <c r="E829">
        <v>0.52</v>
      </c>
      <c r="F829">
        <v>0.68</v>
      </c>
      <c r="G829">
        <v>0.88</v>
      </c>
      <c r="H829">
        <v>0.83</v>
      </c>
      <c r="I829">
        <v>330</v>
      </c>
      <c r="J829">
        <v>0</v>
      </c>
      <c r="K829">
        <v>0.65</v>
      </c>
      <c r="L829" t="s">
        <v>12</v>
      </c>
    </row>
    <row r="830" spans="1:12" x14ac:dyDescent="0.3">
      <c r="A830">
        <v>22</v>
      </c>
      <c r="B830">
        <v>2023</v>
      </c>
      <c r="C830">
        <v>0.54</v>
      </c>
      <c r="D830">
        <v>0.65</v>
      </c>
      <c r="E830">
        <v>0.75</v>
      </c>
      <c r="F830">
        <v>0.79</v>
      </c>
      <c r="G830">
        <v>0.49</v>
      </c>
      <c r="H830">
        <v>0.03</v>
      </c>
      <c r="I830">
        <v>195</v>
      </c>
      <c r="J830">
        <v>2</v>
      </c>
      <c r="K830">
        <v>0.64</v>
      </c>
      <c r="L830" t="s">
        <v>12</v>
      </c>
    </row>
    <row r="831" spans="1:12" x14ac:dyDescent="0.3">
      <c r="A831">
        <v>22</v>
      </c>
      <c r="B831">
        <v>2023</v>
      </c>
      <c r="C831">
        <v>0.7</v>
      </c>
      <c r="D831">
        <v>0.76</v>
      </c>
      <c r="E831">
        <v>0.66</v>
      </c>
      <c r="F831">
        <v>0.74</v>
      </c>
      <c r="G831">
        <v>0.83</v>
      </c>
      <c r="H831">
        <v>0.57999999999999996</v>
      </c>
      <c r="I831">
        <v>469</v>
      </c>
      <c r="J831">
        <v>9</v>
      </c>
      <c r="K831">
        <v>0.73</v>
      </c>
      <c r="L831" t="s">
        <v>13</v>
      </c>
    </row>
    <row r="832" spans="1:12" x14ac:dyDescent="0.3">
      <c r="A832">
        <v>23</v>
      </c>
      <c r="B832">
        <v>2023</v>
      </c>
      <c r="C832">
        <v>0.91</v>
      </c>
      <c r="D832">
        <v>0.63</v>
      </c>
      <c r="E832">
        <v>0.65</v>
      </c>
      <c r="F832">
        <v>0.86</v>
      </c>
      <c r="G832">
        <v>0.53</v>
      </c>
      <c r="H832">
        <v>0.63</v>
      </c>
      <c r="I832">
        <v>248</v>
      </c>
      <c r="J832">
        <v>14</v>
      </c>
      <c r="K832">
        <v>0.74</v>
      </c>
      <c r="L832" t="s">
        <v>13</v>
      </c>
    </row>
    <row r="833" spans="1:12" x14ac:dyDescent="0.3">
      <c r="A833">
        <v>23</v>
      </c>
      <c r="B833">
        <v>2023</v>
      </c>
      <c r="C833">
        <v>0.7</v>
      </c>
      <c r="D833">
        <v>0.53</v>
      </c>
      <c r="E833">
        <v>0.87</v>
      </c>
      <c r="F833">
        <v>0.61</v>
      </c>
      <c r="G833">
        <v>0.55000000000000004</v>
      </c>
      <c r="H833">
        <v>0.78</v>
      </c>
      <c r="I833">
        <v>389</v>
      </c>
      <c r="J833">
        <v>5</v>
      </c>
      <c r="K833">
        <v>0.66</v>
      </c>
      <c r="L833" t="s">
        <v>12</v>
      </c>
    </row>
    <row r="834" spans="1:12" x14ac:dyDescent="0.3">
      <c r="A834">
        <v>23</v>
      </c>
      <c r="B834">
        <v>2023</v>
      </c>
      <c r="C834">
        <v>0.32</v>
      </c>
      <c r="D834">
        <v>0.72</v>
      </c>
      <c r="E834">
        <v>0.52</v>
      </c>
      <c r="F834">
        <v>0.92</v>
      </c>
      <c r="G834">
        <v>0.52</v>
      </c>
      <c r="H834">
        <v>0.56000000000000005</v>
      </c>
      <c r="I834">
        <v>119</v>
      </c>
      <c r="J834">
        <v>0</v>
      </c>
      <c r="K834">
        <v>0.56999999999999995</v>
      </c>
      <c r="L834" t="s">
        <v>12</v>
      </c>
    </row>
    <row r="835" spans="1:12" x14ac:dyDescent="0.3">
      <c r="A835">
        <v>23</v>
      </c>
      <c r="B835">
        <v>2023</v>
      </c>
      <c r="C835">
        <v>0.44</v>
      </c>
      <c r="D835">
        <v>0.86</v>
      </c>
      <c r="E835">
        <v>0.71</v>
      </c>
      <c r="F835">
        <v>0.83</v>
      </c>
      <c r="G835">
        <v>0.31</v>
      </c>
      <c r="H835">
        <v>0.03</v>
      </c>
      <c r="I835">
        <v>445</v>
      </c>
      <c r="J835">
        <v>4</v>
      </c>
      <c r="K835">
        <v>0.64</v>
      </c>
      <c r="L835" t="s">
        <v>12</v>
      </c>
    </row>
    <row r="836" spans="1:12" x14ac:dyDescent="0.3">
      <c r="A836">
        <v>23</v>
      </c>
      <c r="B836">
        <v>2023</v>
      </c>
      <c r="C836">
        <v>0.78</v>
      </c>
      <c r="D836">
        <v>0.43</v>
      </c>
      <c r="E836">
        <v>0.89</v>
      </c>
      <c r="F836">
        <v>0.94</v>
      </c>
      <c r="G836">
        <v>0.86</v>
      </c>
      <c r="H836">
        <v>0.51</v>
      </c>
      <c r="I836">
        <v>177</v>
      </c>
      <c r="J836">
        <v>12</v>
      </c>
      <c r="K836">
        <v>0.75</v>
      </c>
      <c r="L836" t="s">
        <v>13</v>
      </c>
    </row>
    <row r="837" spans="1:12" x14ac:dyDescent="0.3">
      <c r="A837">
        <v>24</v>
      </c>
      <c r="B837">
        <v>2023</v>
      </c>
      <c r="C837">
        <v>0.31</v>
      </c>
      <c r="D837">
        <v>0.98</v>
      </c>
      <c r="E837">
        <v>0.92</v>
      </c>
      <c r="F837">
        <v>0.68</v>
      </c>
      <c r="G837">
        <v>0.43</v>
      </c>
      <c r="H837">
        <v>0.18</v>
      </c>
      <c r="I837">
        <v>363</v>
      </c>
      <c r="J837">
        <v>11</v>
      </c>
      <c r="K837">
        <v>0.67</v>
      </c>
      <c r="L837" t="s">
        <v>12</v>
      </c>
    </row>
    <row r="838" spans="1:12" x14ac:dyDescent="0.3">
      <c r="A838">
        <v>24</v>
      </c>
      <c r="B838">
        <v>2023</v>
      </c>
      <c r="C838">
        <v>0.31</v>
      </c>
      <c r="D838">
        <v>0.97</v>
      </c>
      <c r="E838">
        <v>0.87</v>
      </c>
      <c r="F838">
        <v>0.74</v>
      </c>
      <c r="G838">
        <v>0.51</v>
      </c>
      <c r="H838">
        <v>0.35</v>
      </c>
      <c r="I838">
        <v>448</v>
      </c>
      <c r="J838">
        <v>18</v>
      </c>
      <c r="K838">
        <v>0.67</v>
      </c>
      <c r="L838" t="s">
        <v>12</v>
      </c>
    </row>
    <row r="839" spans="1:12" x14ac:dyDescent="0.3">
      <c r="A839">
        <v>24</v>
      </c>
      <c r="B839">
        <v>2023</v>
      </c>
      <c r="C839">
        <v>0.94</v>
      </c>
      <c r="D839">
        <v>0.91</v>
      </c>
      <c r="E839">
        <v>0.56000000000000005</v>
      </c>
      <c r="F839">
        <v>0.64</v>
      </c>
      <c r="G839">
        <v>0.71</v>
      </c>
      <c r="H839">
        <v>0.53</v>
      </c>
      <c r="I839">
        <v>361</v>
      </c>
      <c r="J839">
        <v>3</v>
      </c>
      <c r="K839">
        <v>0.79</v>
      </c>
      <c r="L839" t="s">
        <v>13</v>
      </c>
    </row>
    <row r="840" spans="1:12" x14ac:dyDescent="0.3">
      <c r="A840">
        <v>24</v>
      </c>
      <c r="B840">
        <v>2023</v>
      </c>
      <c r="C840">
        <v>0.4</v>
      </c>
      <c r="D840">
        <v>0.7</v>
      </c>
      <c r="E840">
        <v>0.7</v>
      </c>
      <c r="F840">
        <v>0.84</v>
      </c>
      <c r="G840">
        <v>0.33</v>
      </c>
      <c r="H840">
        <v>0.75</v>
      </c>
      <c r="I840">
        <v>361</v>
      </c>
      <c r="J840">
        <v>7</v>
      </c>
      <c r="K840">
        <v>0.59</v>
      </c>
      <c r="L840" t="s">
        <v>12</v>
      </c>
    </row>
    <row r="841" spans="1:12" x14ac:dyDescent="0.3">
      <c r="A841">
        <v>24</v>
      </c>
      <c r="B841">
        <v>2023</v>
      </c>
      <c r="C841">
        <v>0.36</v>
      </c>
      <c r="D841">
        <v>0.8</v>
      </c>
      <c r="E841">
        <v>0.64</v>
      </c>
      <c r="F841">
        <v>0.86</v>
      </c>
      <c r="G841">
        <v>0.73</v>
      </c>
      <c r="H841">
        <v>0.15</v>
      </c>
      <c r="I841">
        <v>353</v>
      </c>
      <c r="J841">
        <v>3</v>
      </c>
      <c r="K841">
        <v>0.64</v>
      </c>
      <c r="L841" t="s">
        <v>12</v>
      </c>
    </row>
    <row r="842" spans="1:12" x14ac:dyDescent="0.3">
      <c r="A842">
        <v>24</v>
      </c>
      <c r="B842">
        <v>2023</v>
      </c>
      <c r="C842">
        <v>0.51</v>
      </c>
      <c r="D842">
        <v>0.56999999999999995</v>
      </c>
      <c r="E842">
        <v>0.93</v>
      </c>
      <c r="F842">
        <v>0.6</v>
      </c>
      <c r="G842">
        <v>0.44</v>
      </c>
      <c r="H842">
        <v>0.59</v>
      </c>
      <c r="I842">
        <v>444</v>
      </c>
      <c r="J842">
        <v>5</v>
      </c>
      <c r="K842">
        <v>0.62</v>
      </c>
      <c r="L842" t="s">
        <v>12</v>
      </c>
    </row>
    <row r="843" spans="1:12" x14ac:dyDescent="0.3">
      <c r="A843">
        <v>25</v>
      </c>
      <c r="B843">
        <v>2023</v>
      </c>
      <c r="C843">
        <v>0.94</v>
      </c>
      <c r="D843">
        <v>0.72</v>
      </c>
      <c r="E843">
        <v>0.75</v>
      </c>
      <c r="F843">
        <v>0.64</v>
      </c>
      <c r="G843">
        <v>0.76</v>
      </c>
      <c r="H843">
        <v>0.82</v>
      </c>
      <c r="I843">
        <v>227</v>
      </c>
      <c r="J843">
        <v>10</v>
      </c>
      <c r="K843">
        <v>0.78</v>
      </c>
      <c r="L843" t="s">
        <v>13</v>
      </c>
    </row>
    <row r="844" spans="1:12" x14ac:dyDescent="0.3">
      <c r="A844">
        <v>25</v>
      </c>
      <c r="B844">
        <v>2023</v>
      </c>
      <c r="C844">
        <v>0.83</v>
      </c>
      <c r="D844">
        <v>0.46</v>
      </c>
      <c r="E844">
        <v>0.76</v>
      </c>
      <c r="F844">
        <v>0.8</v>
      </c>
      <c r="G844">
        <v>0.56000000000000005</v>
      </c>
      <c r="H844">
        <v>0.93</v>
      </c>
      <c r="I844">
        <v>137</v>
      </c>
      <c r="J844">
        <v>1</v>
      </c>
      <c r="K844">
        <v>0.69</v>
      </c>
      <c r="L844" t="s">
        <v>12</v>
      </c>
    </row>
    <row r="845" spans="1:12" x14ac:dyDescent="0.3">
      <c r="A845">
        <v>25</v>
      </c>
      <c r="B845">
        <v>2023</v>
      </c>
      <c r="C845">
        <v>0.63</v>
      </c>
      <c r="D845">
        <v>0.74</v>
      </c>
      <c r="E845">
        <v>0.81</v>
      </c>
      <c r="F845">
        <v>0.88</v>
      </c>
      <c r="G845">
        <v>0.48</v>
      </c>
      <c r="H845">
        <v>0.01</v>
      </c>
      <c r="I845">
        <v>205</v>
      </c>
      <c r="J845">
        <v>8</v>
      </c>
      <c r="K845">
        <v>0.72</v>
      </c>
      <c r="L845" t="s">
        <v>13</v>
      </c>
    </row>
    <row r="846" spans="1:12" x14ac:dyDescent="0.3">
      <c r="A846">
        <v>25</v>
      </c>
      <c r="B846">
        <v>2023</v>
      </c>
      <c r="C846">
        <v>0.48</v>
      </c>
      <c r="D846">
        <v>0.6</v>
      </c>
      <c r="E846">
        <v>0.57999999999999996</v>
      </c>
      <c r="F846">
        <v>0.67</v>
      </c>
      <c r="G846">
        <v>0.85</v>
      </c>
      <c r="H846">
        <v>0.38</v>
      </c>
      <c r="I846">
        <v>394</v>
      </c>
      <c r="J846">
        <v>12</v>
      </c>
      <c r="K846">
        <v>0.6</v>
      </c>
      <c r="L846" t="s">
        <v>12</v>
      </c>
    </row>
    <row r="847" spans="1:12" x14ac:dyDescent="0.3">
      <c r="A847">
        <v>25</v>
      </c>
      <c r="B847">
        <v>2023</v>
      </c>
      <c r="C847">
        <v>0.61</v>
      </c>
      <c r="D847">
        <v>0.42</v>
      </c>
      <c r="E847">
        <v>0.68</v>
      </c>
      <c r="F847">
        <v>0.93</v>
      </c>
      <c r="G847">
        <v>0.79</v>
      </c>
      <c r="H847">
        <v>0.46</v>
      </c>
      <c r="I847">
        <v>118</v>
      </c>
      <c r="J847">
        <v>8</v>
      </c>
      <c r="K847">
        <v>0.64</v>
      </c>
      <c r="L847" t="s">
        <v>12</v>
      </c>
    </row>
    <row r="848" spans="1:12" x14ac:dyDescent="0.3">
      <c r="A848">
        <v>25</v>
      </c>
      <c r="B848">
        <v>2023</v>
      </c>
      <c r="C848">
        <v>0.33</v>
      </c>
      <c r="D848">
        <v>0.86</v>
      </c>
      <c r="E848">
        <v>0.92</v>
      </c>
      <c r="F848">
        <v>0.68</v>
      </c>
      <c r="G848">
        <v>0.44</v>
      </c>
      <c r="H848">
        <v>0.04</v>
      </c>
      <c r="I848">
        <v>296</v>
      </c>
      <c r="J848">
        <v>3</v>
      </c>
      <c r="K848">
        <v>0.64</v>
      </c>
      <c r="L848" t="s">
        <v>12</v>
      </c>
    </row>
    <row r="849" spans="1:12" x14ac:dyDescent="0.3">
      <c r="A849">
        <v>26</v>
      </c>
      <c r="B849">
        <v>2023</v>
      </c>
      <c r="C849">
        <v>0.99</v>
      </c>
      <c r="D849">
        <v>0.8</v>
      </c>
      <c r="E849">
        <v>0.92</v>
      </c>
      <c r="F849">
        <v>0.73</v>
      </c>
      <c r="G849">
        <v>0.77</v>
      </c>
      <c r="H849">
        <v>0.59</v>
      </c>
      <c r="I849">
        <v>499</v>
      </c>
      <c r="J849">
        <v>16</v>
      </c>
      <c r="K849">
        <v>0.87</v>
      </c>
      <c r="L849" t="s">
        <v>13</v>
      </c>
    </row>
    <row r="850" spans="1:12" x14ac:dyDescent="0.3">
      <c r="A850">
        <v>26</v>
      </c>
      <c r="B850">
        <v>2023</v>
      </c>
      <c r="C850">
        <v>0.51</v>
      </c>
      <c r="D850">
        <v>0.78</v>
      </c>
      <c r="E850">
        <v>0.64</v>
      </c>
      <c r="F850">
        <v>0.69</v>
      </c>
      <c r="G850">
        <v>0.81</v>
      </c>
      <c r="H850">
        <v>0.04</v>
      </c>
      <c r="I850">
        <v>330</v>
      </c>
      <c r="J850">
        <v>14</v>
      </c>
      <c r="K850">
        <v>0.66</v>
      </c>
      <c r="L850" t="s">
        <v>12</v>
      </c>
    </row>
    <row r="851" spans="1:12" x14ac:dyDescent="0.3">
      <c r="A851">
        <v>26</v>
      </c>
      <c r="B851">
        <v>2023</v>
      </c>
      <c r="C851">
        <v>0.86</v>
      </c>
      <c r="D851">
        <v>0.88</v>
      </c>
      <c r="E851">
        <v>0.56000000000000005</v>
      </c>
      <c r="F851">
        <v>0.76</v>
      </c>
      <c r="G851">
        <v>0.42</v>
      </c>
      <c r="H851">
        <v>0.25</v>
      </c>
      <c r="I851">
        <v>108</v>
      </c>
      <c r="J851">
        <v>11</v>
      </c>
      <c r="K851">
        <v>0.75</v>
      </c>
      <c r="L851" t="s">
        <v>13</v>
      </c>
    </row>
    <row r="852" spans="1:12" x14ac:dyDescent="0.3">
      <c r="A852">
        <v>27</v>
      </c>
      <c r="B852">
        <v>2023</v>
      </c>
      <c r="C852">
        <v>0.94</v>
      </c>
      <c r="D852">
        <v>0.62</v>
      </c>
      <c r="E852">
        <v>0.86</v>
      </c>
      <c r="F852">
        <v>0.96</v>
      </c>
      <c r="G852">
        <v>0.62</v>
      </c>
      <c r="H852">
        <v>0.44</v>
      </c>
      <c r="I852">
        <v>224</v>
      </c>
      <c r="J852">
        <v>14</v>
      </c>
      <c r="K852">
        <v>0.82</v>
      </c>
      <c r="L852" t="s">
        <v>13</v>
      </c>
    </row>
    <row r="853" spans="1:12" x14ac:dyDescent="0.3">
      <c r="A853">
        <v>27</v>
      </c>
      <c r="B853">
        <v>2023</v>
      </c>
      <c r="C853">
        <v>0.33</v>
      </c>
      <c r="D853">
        <v>0.7</v>
      </c>
      <c r="E853">
        <v>0.84</v>
      </c>
      <c r="F853">
        <v>0.7</v>
      </c>
      <c r="G853">
        <v>0.52</v>
      </c>
      <c r="H853">
        <v>0.61</v>
      </c>
      <c r="I853">
        <v>114</v>
      </c>
      <c r="J853">
        <v>2</v>
      </c>
      <c r="K853">
        <v>0.6</v>
      </c>
      <c r="L853" t="s">
        <v>12</v>
      </c>
    </row>
    <row r="854" spans="1:12" x14ac:dyDescent="0.3">
      <c r="A854">
        <v>27</v>
      </c>
      <c r="B854">
        <v>2023</v>
      </c>
      <c r="C854">
        <v>0.82</v>
      </c>
      <c r="D854">
        <v>0.83</v>
      </c>
      <c r="E854">
        <v>0.62</v>
      </c>
      <c r="F854">
        <v>0.9</v>
      </c>
      <c r="G854">
        <v>0.94</v>
      </c>
      <c r="H854">
        <v>0.11</v>
      </c>
      <c r="I854">
        <v>339</v>
      </c>
      <c r="J854">
        <v>17</v>
      </c>
      <c r="K854">
        <v>0.81</v>
      </c>
      <c r="L854" t="s">
        <v>13</v>
      </c>
    </row>
    <row r="855" spans="1:12" x14ac:dyDescent="0.3">
      <c r="A855">
        <v>27</v>
      </c>
      <c r="B855">
        <v>2023</v>
      </c>
      <c r="C855">
        <v>0.73</v>
      </c>
      <c r="D855">
        <v>0.76</v>
      </c>
      <c r="E855">
        <v>0.65</v>
      </c>
      <c r="F855">
        <v>0.87</v>
      </c>
      <c r="G855">
        <v>0.86</v>
      </c>
      <c r="H855">
        <v>0.11</v>
      </c>
      <c r="I855">
        <v>117</v>
      </c>
      <c r="J855">
        <v>19</v>
      </c>
      <c r="K855">
        <v>0.76</v>
      </c>
      <c r="L855" t="s">
        <v>13</v>
      </c>
    </row>
    <row r="856" spans="1:12" x14ac:dyDescent="0.3">
      <c r="A856">
        <v>28</v>
      </c>
      <c r="B856">
        <v>2023</v>
      </c>
      <c r="C856">
        <v>0.57999999999999996</v>
      </c>
      <c r="D856">
        <v>0.48</v>
      </c>
      <c r="E856">
        <v>0.57999999999999996</v>
      </c>
      <c r="F856">
        <v>0.98</v>
      </c>
      <c r="G856">
        <v>0.92</v>
      </c>
      <c r="H856">
        <v>0.91</v>
      </c>
      <c r="I856">
        <v>458</v>
      </c>
      <c r="J856">
        <v>8</v>
      </c>
      <c r="K856">
        <v>0.65</v>
      </c>
      <c r="L856" t="s">
        <v>12</v>
      </c>
    </row>
    <row r="857" spans="1:12" x14ac:dyDescent="0.3">
      <c r="A857">
        <v>28</v>
      </c>
      <c r="B857">
        <v>2023</v>
      </c>
      <c r="C857">
        <v>0.42</v>
      </c>
      <c r="D857">
        <v>0.4</v>
      </c>
      <c r="E857">
        <v>0.72</v>
      </c>
      <c r="F857">
        <v>0.63</v>
      </c>
      <c r="G857">
        <v>0.78</v>
      </c>
      <c r="H857">
        <v>0.24</v>
      </c>
      <c r="I857">
        <v>364</v>
      </c>
      <c r="J857">
        <v>7</v>
      </c>
      <c r="K857">
        <v>0.54</v>
      </c>
      <c r="L857" t="s">
        <v>12</v>
      </c>
    </row>
    <row r="858" spans="1:12" x14ac:dyDescent="0.3">
      <c r="A858">
        <v>28</v>
      </c>
      <c r="B858">
        <v>2023</v>
      </c>
      <c r="C858">
        <v>0.52</v>
      </c>
      <c r="D858">
        <v>0.45</v>
      </c>
      <c r="E858">
        <v>0.61</v>
      </c>
      <c r="F858">
        <v>0.68</v>
      </c>
      <c r="G858">
        <v>0.6</v>
      </c>
      <c r="H858">
        <v>0.66</v>
      </c>
      <c r="I858">
        <v>445</v>
      </c>
      <c r="J858">
        <v>1</v>
      </c>
      <c r="K858">
        <v>0.55000000000000004</v>
      </c>
      <c r="L858" t="s">
        <v>12</v>
      </c>
    </row>
    <row r="859" spans="1:12" x14ac:dyDescent="0.3">
      <c r="A859">
        <v>28</v>
      </c>
      <c r="B859">
        <v>2023</v>
      </c>
      <c r="C859">
        <v>0.81</v>
      </c>
      <c r="D859">
        <v>0.62</v>
      </c>
      <c r="E859">
        <v>0.51</v>
      </c>
      <c r="F859">
        <v>0.64</v>
      </c>
      <c r="G859">
        <v>0.65</v>
      </c>
      <c r="H859">
        <v>0.69</v>
      </c>
      <c r="I859">
        <v>289</v>
      </c>
      <c r="J859">
        <v>17</v>
      </c>
      <c r="K859">
        <v>0.66</v>
      </c>
      <c r="L859" t="s">
        <v>12</v>
      </c>
    </row>
    <row r="860" spans="1:12" x14ac:dyDescent="0.3">
      <c r="A860">
        <v>28</v>
      </c>
      <c r="B860">
        <v>2023</v>
      </c>
      <c r="C860">
        <v>0.44</v>
      </c>
      <c r="D860">
        <v>0.73</v>
      </c>
      <c r="E860">
        <v>1</v>
      </c>
      <c r="F860">
        <v>0.83</v>
      </c>
      <c r="G860">
        <v>0.33</v>
      </c>
      <c r="H860">
        <v>0.8</v>
      </c>
      <c r="I860">
        <v>329</v>
      </c>
      <c r="J860">
        <v>12</v>
      </c>
      <c r="K860">
        <v>0.67</v>
      </c>
      <c r="L860" t="s">
        <v>12</v>
      </c>
    </row>
    <row r="861" spans="1:12" x14ac:dyDescent="0.3">
      <c r="A861">
        <v>29</v>
      </c>
      <c r="B861">
        <v>2023</v>
      </c>
      <c r="C861">
        <v>0.64</v>
      </c>
      <c r="D861">
        <v>0.82</v>
      </c>
      <c r="E861">
        <v>0.78</v>
      </c>
      <c r="F861">
        <v>0.69</v>
      </c>
      <c r="G861">
        <v>0.45</v>
      </c>
      <c r="H861">
        <v>0.3</v>
      </c>
      <c r="I861">
        <v>360</v>
      </c>
      <c r="J861">
        <v>19</v>
      </c>
      <c r="K861">
        <v>0.7</v>
      </c>
      <c r="L861" t="s">
        <v>12</v>
      </c>
    </row>
    <row r="862" spans="1:12" x14ac:dyDescent="0.3">
      <c r="A862">
        <v>29</v>
      </c>
      <c r="B862">
        <v>2023</v>
      </c>
      <c r="C862">
        <v>0.85</v>
      </c>
      <c r="D862">
        <v>0.5</v>
      </c>
      <c r="E862">
        <v>0.76</v>
      </c>
      <c r="F862">
        <v>0.79</v>
      </c>
      <c r="G862">
        <v>0.74</v>
      </c>
      <c r="H862">
        <v>0.95</v>
      </c>
      <c r="I862">
        <v>240</v>
      </c>
      <c r="J862">
        <v>11</v>
      </c>
      <c r="K862">
        <v>0.72</v>
      </c>
      <c r="L862" t="s">
        <v>13</v>
      </c>
    </row>
    <row r="863" spans="1:12" x14ac:dyDescent="0.3">
      <c r="A863">
        <v>29</v>
      </c>
      <c r="B863">
        <v>2023</v>
      </c>
      <c r="C863">
        <v>0.62</v>
      </c>
      <c r="D863">
        <v>0.41</v>
      </c>
      <c r="E863">
        <v>0.56000000000000005</v>
      </c>
      <c r="F863">
        <v>0.67</v>
      </c>
      <c r="G863">
        <v>0.38</v>
      </c>
      <c r="H863">
        <v>0.34</v>
      </c>
      <c r="I863">
        <v>65</v>
      </c>
      <c r="J863">
        <v>16</v>
      </c>
      <c r="K863">
        <v>0.54</v>
      </c>
      <c r="L863" t="s">
        <v>12</v>
      </c>
    </row>
    <row r="864" spans="1:12" x14ac:dyDescent="0.3">
      <c r="A864">
        <v>29</v>
      </c>
      <c r="B864">
        <v>2023</v>
      </c>
      <c r="C864">
        <v>0.46</v>
      </c>
      <c r="D864">
        <v>0.41</v>
      </c>
      <c r="E864">
        <v>0.8</v>
      </c>
      <c r="F864">
        <v>0.87</v>
      </c>
      <c r="G864">
        <v>0.72</v>
      </c>
      <c r="H864">
        <v>7.0000000000000007E-2</v>
      </c>
      <c r="I864">
        <v>270</v>
      </c>
      <c r="J864">
        <v>18</v>
      </c>
      <c r="K864">
        <v>0.6</v>
      </c>
      <c r="L864" t="s">
        <v>12</v>
      </c>
    </row>
    <row r="865" spans="1:12" x14ac:dyDescent="0.3">
      <c r="A865">
        <v>29</v>
      </c>
      <c r="B865">
        <v>2023</v>
      </c>
      <c r="C865">
        <v>0.75</v>
      </c>
      <c r="D865">
        <v>0.63</v>
      </c>
      <c r="E865">
        <v>0.71</v>
      </c>
      <c r="F865">
        <v>0.63</v>
      </c>
      <c r="G865">
        <v>0.32</v>
      </c>
      <c r="H865">
        <v>0.7</v>
      </c>
      <c r="I865">
        <v>97</v>
      </c>
      <c r="J865">
        <v>15</v>
      </c>
      <c r="K865">
        <v>0.65</v>
      </c>
      <c r="L865" t="s">
        <v>12</v>
      </c>
    </row>
    <row r="866" spans="1:12" x14ac:dyDescent="0.3">
      <c r="A866">
        <v>30</v>
      </c>
      <c r="B866">
        <v>2023</v>
      </c>
      <c r="C866">
        <v>0.36</v>
      </c>
      <c r="D866">
        <v>0.84</v>
      </c>
      <c r="E866">
        <v>0.77</v>
      </c>
      <c r="F866">
        <v>0.78</v>
      </c>
      <c r="G866">
        <v>0.94</v>
      </c>
      <c r="H866">
        <v>0.3</v>
      </c>
      <c r="I866">
        <v>155</v>
      </c>
      <c r="J866">
        <v>18</v>
      </c>
      <c r="K866">
        <v>0.68</v>
      </c>
      <c r="L866" t="s">
        <v>12</v>
      </c>
    </row>
    <row r="867" spans="1:12" x14ac:dyDescent="0.3">
      <c r="A867">
        <v>31</v>
      </c>
      <c r="B867">
        <v>2023</v>
      </c>
      <c r="C867">
        <v>0.69</v>
      </c>
      <c r="D867">
        <v>0.88</v>
      </c>
      <c r="E867">
        <v>0.56999999999999995</v>
      </c>
      <c r="F867">
        <v>0.83</v>
      </c>
      <c r="G867">
        <v>0.65</v>
      </c>
      <c r="H867">
        <v>0.14000000000000001</v>
      </c>
      <c r="I867">
        <v>404</v>
      </c>
      <c r="J867">
        <v>11</v>
      </c>
      <c r="K867">
        <v>0.73</v>
      </c>
      <c r="L867" t="s">
        <v>13</v>
      </c>
    </row>
    <row r="868" spans="1:12" x14ac:dyDescent="0.3">
      <c r="A868">
        <v>31</v>
      </c>
      <c r="B868">
        <v>2023</v>
      </c>
      <c r="C868">
        <v>0.52</v>
      </c>
      <c r="D868">
        <v>0.81</v>
      </c>
      <c r="E868">
        <v>0.74</v>
      </c>
      <c r="F868">
        <v>0.99</v>
      </c>
      <c r="G868">
        <v>0.91</v>
      </c>
      <c r="H868">
        <v>0.36</v>
      </c>
      <c r="I868">
        <v>455</v>
      </c>
      <c r="J868">
        <v>5</v>
      </c>
      <c r="K868">
        <v>0.75</v>
      </c>
      <c r="L868" t="s">
        <v>13</v>
      </c>
    </row>
    <row r="869" spans="1:12" x14ac:dyDescent="0.3">
      <c r="A869">
        <v>31</v>
      </c>
      <c r="B869">
        <v>2023</v>
      </c>
      <c r="C869">
        <v>0.8</v>
      </c>
      <c r="D869">
        <v>0.93</v>
      </c>
      <c r="E869">
        <v>0.69</v>
      </c>
      <c r="F869">
        <v>0.63</v>
      </c>
      <c r="G869">
        <v>0.97</v>
      </c>
      <c r="H869">
        <v>0.44</v>
      </c>
      <c r="I869">
        <v>498</v>
      </c>
      <c r="J869">
        <v>19</v>
      </c>
      <c r="K869">
        <v>0.8</v>
      </c>
      <c r="L869" t="s">
        <v>13</v>
      </c>
    </row>
    <row r="870" spans="1:12" x14ac:dyDescent="0.3">
      <c r="A870">
        <v>32</v>
      </c>
      <c r="B870">
        <v>2023</v>
      </c>
      <c r="C870">
        <v>0.35</v>
      </c>
      <c r="D870">
        <v>0.41</v>
      </c>
      <c r="E870">
        <v>0.53</v>
      </c>
      <c r="F870">
        <v>0.64</v>
      </c>
      <c r="G870">
        <v>0.33</v>
      </c>
      <c r="H870">
        <v>0.48</v>
      </c>
      <c r="I870">
        <v>321</v>
      </c>
      <c r="J870">
        <v>11</v>
      </c>
      <c r="K870">
        <v>0.44</v>
      </c>
      <c r="L870" t="s">
        <v>12</v>
      </c>
    </row>
    <row r="871" spans="1:12" x14ac:dyDescent="0.3">
      <c r="A871">
        <v>32</v>
      </c>
      <c r="B871">
        <v>2023</v>
      </c>
      <c r="C871">
        <v>0.3</v>
      </c>
      <c r="D871">
        <v>0.96</v>
      </c>
      <c r="E871">
        <v>0.71</v>
      </c>
      <c r="F871">
        <v>0.76</v>
      </c>
      <c r="G871">
        <v>0.56999999999999995</v>
      </c>
      <c r="H871">
        <v>7.0000000000000007E-2</v>
      </c>
      <c r="I871">
        <v>78</v>
      </c>
      <c r="J871">
        <v>18</v>
      </c>
      <c r="K871">
        <v>0.64</v>
      </c>
      <c r="L871" t="s">
        <v>12</v>
      </c>
    </row>
    <row r="872" spans="1:12" x14ac:dyDescent="0.3">
      <c r="A872">
        <v>32</v>
      </c>
      <c r="B872">
        <v>2023</v>
      </c>
      <c r="C872">
        <v>0.88</v>
      </c>
      <c r="D872">
        <v>0.62</v>
      </c>
      <c r="E872">
        <v>0.93</v>
      </c>
      <c r="F872">
        <v>0.64</v>
      </c>
      <c r="G872">
        <v>0.95</v>
      </c>
      <c r="H872">
        <v>0.63</v>
      </c>
      <c r="I872">
        <v>392</v>
      </c>
      <c r="J872">
        <v>8</v>
      </c>
      <c r="K872">
        <v>0.8</v>
      </c>
      <c r="L872" t="s">
        <v>13</v>
      </c>
    </row>
    <row r="873" spans="1:12" x14ac:dyDescent="0.3">
      <c r="A873">
        <v>32</v>
      </c>
      <c r="B873">
        <v>2023</v>
      </c>
      <c r="C873">
        <v>0.37</v>
      </c>
      <c r="D873">
        <v>0.83</v>
      </c>
      <c r="E873">
        <v>0.75</v>
      </c>
      <c r="F873">
        <v>0.88</v>
      </c>
      <c r="G873">
        <v>0.47</v>
      </c>
      <c r="H873">
        <v>0.32</v>
      </c>
      <c r="I873">
        <v>299</v>
      </c>
      <c r="J873">
        <v>2</v>
      </c>
      <c r="K873">
        <v>0.65</v>
      </c>
      <c r="L873" t="s">
        <v>12</v>
      </c>
    </row>
    <row r="874" spans="1:12" x14ac:dyDescent="0.3">
      <c r="A874">
        <v>33</v>
      </c>
      <c r="B874">
        <v>2023</v>
      </c>
      <c r="C874">
        <v>0.95</v>
      </c>
      <c r="D874">
        <v>0.92</v>
      </c>
      <c r="E874">
        <v>0.71</v>
      </c>
      <c r="F874">
        <v>0.88</v>
      </c>
      <c r="G874">
        <v>0.93</v>
      </c>
      <c r="H874">
        <v>0.85</v>
      </c>
      <c r="I874">
        <v>248</v>
      </c>
      <c r="J874">
        <v>14</v>
      </c>
      <c r="K874">
        <v>0.88</v>
      </c>
      <c r="L874" t="s">
        <v>13</v>
      </c>
    </row>
    <row r="875" spans="1:12" x14ac:dyDescent="0.3">
      <c r="A875">
        <v>33</v>
      </c>
      <c r="B875">
        <v>2023</v>
      </c>
      <c r="C875">
        <v>0.85</v>
      </c>
      <c r="D875">
        <v>0.44</v>
      </c>
      <c r="E875">
        <v>0.6</v>
      </c>
      <c r="F875">
        <v>0.86</v>
      </c>
      <c r="G875">
        <v>0.9</v>
      </c>
      <c r="H875">
        <v>0.25</v>
      </c>
      <c r="I875">
        <v>91</v>
      </c>
      <c r="J875">
        <v>1</v>
      </c>
      <c r="K875">
        <v>0.7</v>
      </c>
      <c r="L875" t="s">
        <v>12</v>
      </c>
    </row>
    <row r="876" spans="1:12" x14ac:dyDescent="0.3">
      <c r="A876">
        <v>33</v>
      </c>
      <c r="B876">
        <v>2023</v>
      </c>
      <c r="C876">
        <v>0.66</v>
      </c>
      <c r="D876">
        <v>0.71</v>
      </c>
      <c r="E876">
        <v>0.91</v>
      </c>
      <c r="F876">
        <v>0.9</v>
      </c>
      <c r="G876">
        <v>0.94</v>
      </c>
      <c r="H876">
        <v>0.83</v>
      </c>
      <c r="I876">
        <v>172</v>
      </c>
      <c r="J876">
        <v>7</v>
      </c>
      <c r="K876">
        <v>0.79</v>
      </c>
      <c r="L876" t="s">
        <v>13</v>
      </c>
    </row>
    <row r="877" spans="1:12" x14ac:dyDescent="0.3">
      <c r="A877">
        <v>33</v>
      </c>
      <c r="B877">
        <v>2023</v>
      </c>
      <c r="C877">
        <v>0.89</v>
      </c>
      <c r="D877">
        <v>0.55000000000000004</v>
      </c>
      <c r="E877">
        <v>0.94</v>
      </c>
      <c r="F877">
        <v>0.9</v>
      </c>
      <c r="G877">
        <v>0.81</v>
      </c>
      <c r="H877">
        <v>0.35</v>
      </c>
      <c r="I877">
        <v>333</v>
      </c>
      <c r="J877">
        <v>1</v>
      </c>
      <c r="K877">
        <v>0.81</v>
      </c>
      <c r="L877" t="s">
        <v>13</v>
      </c>
    </row>
    <row r="878" spans="1:12" x14ac:dyDescent="0.3">
      <c r="A878">
        <v>35</v>
      </c>
      <c r="B878">
        <v>2023</v>
      </c>
      <c r="C878">
        <v>0.44</v>
      </c>
      <c r="D878">
        <v>1</v>
      </c>
      <c r="E878">
        <v>0.54</v>
      </c>
      <c r="F878">
        <v>0.6</v>
      </c>
      <c r="G878">
        <v>0.33</v>
      </c>
      <c r="H878">
        <v>0.34</v>
      </c>
      <c r="I878">
        <v>86</v>
      </c>
      <c r="J878">
        <v>0</v>
      </c>
      <c r="K878">
        <v>0.61</v>
      </c>
      <c r="L878" t="s">
        <v>12</v>
      </c>
    </row>
    <row r="879" spans="1:12" x14ac:dyDescent="0.3">
      <c r="A879">
        <v>35</v>
      </c>
      <c r="B879">
        <v>2023</v>
      </c>
      <c r="C879">
        <v>0.69</v>
      </c>
      <c r="D879">
        <v>0.98</v>
      </c>
      <c r="E879">
        <v>0.59</v>
      </c>
      <c r="F879">
        <v>0.74</v>
      </c>
      <c r="G879">
        <v>0.7</v>
      </c>
      <c r="H879">
        <v>0.87</v>
      </c>
      <c r="I879">
        <v>286</v>
      </c>
      <c r="J879">
        <v>4</v>
      </c>
      <c r="K879">
        <v>0.75</v>
      </c>
      <c r="L879" t="s">
        <v>13</v>
      </c>
    </row>
    <row r="880" spans="1:12" x14ac:dyDescent="0.3">
      <c r="A880">
        <v>36</v>
      </c>
      <c r="B880">
        <v>2023</v>
      </c>
      <c r="C880">
        <v>0.39</v>
      </c>
      <c r="D880">
        <v>0.85</v>
      </c>
      <c r="E880">
        <v>0.51</v>
      </c>
      <c r="F880">
        <v>0.61</v>
      </c>
      <c r="G880">
        <v>0.53</v>
      </c>
      <c r="H880">
        <v>0.49</v>
      </c>
      <c r="I880">
        <v>484</v>
      </c>
      <c r="J880">
        <v>10</v>
      </c>
      <c r="K880">
        <v>0.57999999999999996</v>
      </c>
      <c r="L880" t="s">
        <v>12</v>
      </c>
    </row>
    <row r="881" spans="1:12" x14ac:dyDescent="0.3">
      <c r="A881">
        <v>36</v>
      </c>
      <c r="B881">
        <v>2023</v>
      </c>
      <c r="C881">
        <v>0.68</v>
      </c>
      <c r="D881">
        <v>0.56000000000000005</v>
      </c>
      <c r="E881">
        <v>0.74</v>
      </c>
      <c r="F881">
        <v>0.9</v>
      </c>
      <c r="G881">
        <v>0.44</v>
      </c>
      <c r="H881">
        <v>0.28999999999999998</v>
      </c>
      <c r="I881">
        <v>270</v>
      </c>
      <c r="J881">
        <v>19</v>
      </c>
      <c r="K881">
        <v>0.67</v>
      </c>
      <c r="L881" t="s">
        <v>12</v>
      </c>
    </row>
    <row r="882" spans="1:12" x14ac:dyDescent="0.3">
      <c r="A882">
        <v>36</v>
      </c>
      <c r="B882">
        <v>2023</v>
      </c>
      <c r="C882">
        <v>0.46</v>
      </c>
      <c r="D882">
        <v>0.73</v>
      </c>
      <c r="E882">
        <v>0.82</v>
      </c>
      <c r="F882">
        <v>0.67</v>
      </c>
      <c r="G882">
        <v>0.98</v>
      </c>
      <c r="H882">
        <v>0.49</v>
      </c>
      <c r="I882">
        <v>74</v>
      </c>
      <c r="J882">
        <v>16</v>
      </c>
      <c r="K882">
        <v>0.68</v>
      </c>
      <c r="L882" t="s">
        <v>12</v>
      </c>
    </row>
    <row r="883" spans="1:12" x14ac:dyDescent="0.3">
      <c r="A883">
        <v>37</v>
      </c>
      <c r="B883">
        <v>2023</v>
      </c>
      <c r="C883">
        <v>0.95</v>
      </c>
      <c r="D883">
        <v>0.59</v>
      </c>
      <c r="E883">
        <v>0.8</v>
      </c>
      <c r="F883">
        <v>0.75</v>
      </c>
      <c r="G883">
        <v>0.62</v>
      </c>
      <c r="H883">
        <v>0.55000000000000004</v>
      </c>
      <c r="I883">
        <v>187</v>
      </c>
      <c r="J883">
        <v>11</v>
      </c>
      <c r="K883">
        <v>0.77</v>
      </c>
      <c r="L883" t="s">
        <v>13</v>
      </c>
    </row>
    <row r="884" spans="1:12" x14ac:dyDescent="0.3">
      <c r="A884">
        <v>37</v>
      </c>
      <c r="B884">
        <v>2023</v>
      </c>
      <c r="C884">
        <v>0.82</v>
      </c>
      <c r="D884">
        <v>0.42</v>
      </c>
      <c r="E884">
        <v>0.79</v>
      </c>
      <c r="F884">
        <v>0.91</v>
      </c>
      <c r="G884">
        <v>0.31</v>
      </c>
      <c r="H884">
        <v>0.55000000000000004</v>
      </c>
      <c r="I884">
        <v>115</v>
      </c>
      <c r="J884">
        <v>14</v>
      </c>
      <c r="K884">
        <v>0.68</v>
      </c>
      <c r="L884" t="s">
        <v>12</v>
      </c>
    </row>
    <row r="885" spans="1:12" x14ac:dyDescent="0.3">
      <c r="A885">
        <v>37</v>
      </c>
      <c r="B885">
        <v>2023</v>
      </c>
      <c r="C885">
        <v>0.95</v>
      </c>
      <c r="D885">
        <v>0.79</v>
      </c>
      <c r="E885">
        <v>0.69</v>
      </c>
      <c r="F885">
        <v>0.9</v>
      </c>
      <c r="G885">
        <v>0.77</v>
      </c>
      <c r="H885">
        <v>0.53</v>
      </c>
      <c r="I885">
        <v>407</v>
      </c>
      <c r="J885">
        <v>14</v>
      </c>
      <c r="K885">
        <v>0.83</v>
      </c>
      <c r="L885" t="s">
        <v>13</v>
      </c>
    </row>
    <row r="886" spans="1:12" x14ac:dyDescent="0.3">
      <c r="A886">
        <v>37</v>
      </c>
      <c r="B886">
        <v>2023</v>
      </c>
      <c r="C886">
        <v>0.63</v>
      </c>
      <c r="D886">
        <v>0.56000000000000005</v>
      </c>
      <c r="E886">
        <v>0.87</v>
      </c>
      <c r="F886">
        <v>0.85</v>
      </c>
      <c r="G886">
        <v>0.91</v>
      </c>
      <c r="H886">
        <v>0.08</v>
      </c>
      <c r="I886">
        <v>226</v>
      </c>
      <c r="J886">
        <v>8</v>
      </c>
      <c r="K886">
        <v>0.72</v>
      </c>
      <c r="L886" t="s">
        <v>13</v>
      </c>
    </row>
    <row r="887" spans="1:12" x14ac:dyDescent="0.3">
      <c r="A887">
        <v>37</v>
      </c>
      <c r="B887">
        <v>2023</v>
      </c>
      <c r="C887">
        <v>0.86</v>
      </c>
      <c r="D887">
        <v>0.64</v>
      </c>
      <c r="E887">
        <v>0.61</v>
      </c>
      <c r="F887">
        <v>0.96</v>
      </c>
      <c r="G887">
        <v>0.95</v>
      </c>
      <c r="H887">
        <v>0.5</v>
      </c>
      <c r="I887">
        <v>127</v>
      </c>
      <c r="J887">
        <v>6</v>
      </c>
      <c r="K887">
        <v>0.78</v>
      </c>
      <c r="L887" t="s">
        <v>13</v>
      </c>
    </row>
    <row r="888" spans="1:12" x14ac:dyDescent="0.3">
      <c r="A888">
        <v>37</v>
      </c>
      <c r="B888">
        <v>2023</v>
      </c>
      <c r="C888">
        <v>0.52</v>
      </c>
      <c r="D888">
        <v>0.52</v>
      </c>
      <c r="E888">
        <v>0.77</v>
      </c>
      <c r="F888">
        <v>0.78</v>
      </c>
      <c r="G888">
        <v>0.91</v>
      </c>
      <c r="H888">
        <v>0.1</v>
      </c>
      <c r="I888">
        <v>226</v>
      </c>
      <c r="J888">
        <v>9</v>
      </c>
      <c r="K888">
        <v>0.65</v>
      </c>
      <c r="L888" t="s">
        <v>12</v>
      </c>
    </row>
    <row r="889" spans="1:12" x14ac:dyDescent="0.3">
      <c r="A889">
        <v>37</v>
      </c>
      <c r="B889">
        <v>2023</v>
      </c>
      <c r="C889">
        <v>0.33</v>
      </c>
      <c r="D889">
        <v>0.57999999999999996</v>
      </c>
      <c r="E889">
        <v>0.89</v>
      </c>
      <c r="F889">
        <v>0.9</v>
      </c>
      <c r="G889">
        <v>0.45</v>
      </c>
      <c r="H889">
        <v>0.2</v>
      </c>
      <c r="I889">
        <v>81</v>
      </c>
      <c r="J889">
        <v>6</v>
      </c>
      <c r="K889">
        <v>0.6</v>
      </c>
      <c r="L889" t="s">
        <v>12</v>
      </c>
    </row>
    <row r="890" spans="1:12" x14ac:dyDescent="0.3">
      <c r="A890">
        <v>37</v>
      </c>
      <c r="B890">
        <v>2023</v>
      </c>
      <c r="C890">
        <v>0.78</v>
      </c>
      <c r="D890">
        <v>0.53</v>
      </c>
      <c r="E890">
        <v>0.99</v>
      </c>
      <c r="F890">
        <v>0.94</v>
      </c>
      <c r="G890">
        <v>0.85</v>
      </c>
      <c r="H890">
        <v>0.33</v>
      </c>
      <c r="I890">
        <v>168</v>
      </c>
      <c r="J890">
        <v>5</v>
      </c>
      <c r="K890">
        <v>0.79</v>
      </c>
      <c r="L890" t="s">
        <v>13</v>
      </c>
    </row>
    <row r="891" spans="1:12" x14ac:dyDescent="0.3">
      <c r="A891">
        <v>38</v>
      </c>
      <c r="B891">
        <v>2023</v>
      </c>
      <c r="C891">
        <v>0.75</v>
      </c>
      <c r="D891">
        <v>0.59</v>
      </c>
      <c r="E891">
        <v>0.63</v>
      </c>
      <c r="F891">
        <v>0.68</v>
      </c>
      <c r="G891">
        <v>0.79</v>
      </c>
      <c r="H891">
        <v>0.22</v>
      </c>
      <c r="I891">
        <v>405</v>
      </c>
      <c r="J891">
        <v>6</v>
      </c>
      <c r="K891">
        <v>0.68</v>
      </c>
      <c r="L891" t="s">
        <v>12</v>
      </c>
    </row>
    <row r="892" spans="1:12" x14ac:dyDescent="0.3">
      <c r="A892">
        <v>38</v>
      </c>
      <c r="B892">
        <v>2023</v>
      </c>
      <c r="C892">
        <v>0.59</v>
      </c>
      <c r="D892">
        <v>0.99</v>
      </c>
      <c r="E892">
        <v>0.83</v>
      </c>
      <c r="F892">
        <v>0.9</v>
      </c>
      <c r="G892">
        <v>0.32</v>
      </c>
      <c r="H892">
        <v>0.12</v>
      </c>
      <c r="I892">
        <v>395</v>
      </c>
      <c r="J892">
        <v>17</v>
      </c>
      <c r="K892">
        <v>0.76</v>
      </c>
      <c r="L892" t="s">
        <v>13</v>
      </c>
    </row>
    <row r="893" spans="1:12" x14ac:dyDescent="0.3">
      <c r="A893">
        <v>38</v>
      </c>
      <c r="B893">
        <v>2023</v>
      </c>
      <c r="C893">
        <v>0.86</v>
      </c>
      <c r="D893">
        <v>0.48</v>
      </c>
      <c r="E893">
        <v>0.89</v>
      </c>
      <c r="F893">
        <v>0.85</v>
      </c>
      <c r="G893">
        <v>0.59</v>
      </c>
      <c r="H893">
        <v>0.25</v>
      </c>
      <c r="I893">
        <v>439</v>
      </c>
      <c r="J893">
        <v>12</v>
      </c>
      <c r="K893">
        <v>0.74</v>
      </c>
      <c r="L893" t="s">
        <v>13</v>
      </c>
    </row>
    <row r="894" spans="1:12" x14ac:dyDescent="0.3">
      <c r="A894">
        <v>38</v>
      </c>
      <c r="B894">
        <v>2023</v>
      </c>
      <c r="C894">
        <v>0.57999999999999996</v>
      </c>
      <c r="D894">
        <v>0.83</v>
      </c>
      <c r="E894">
        <v>0.81</v>
      </c>
      <c r="F894">
        <v>0.71</v>
      </c>
      <c r="G894">
        <v>0.76</v>
      </c>
      <c r="H894">
        <v>0.66</v>
      </c>
      <c r="I894">
        <v>381</v>
      </c>
      <c r="J894">
        <v>7</v>
      </c>
      <c r="K894">
        <v>0.73</v>
      </c>
      <c r="L894" t="s">
        <v>13</v>
      </c>
    </row>
    <row r="895" spans="1:12" x14ac:dyDescent="0.3">
      <c r="A895">
        <v>40</v>
      </c>
      <c r="B895">
        <v>2023</v>
      </c>
      <c r="C895">
        <v>0.66</v>
      </c>
      <c r="D895">
        <v>0.91</v>
      </c>
      <c r="E895">
        <v>0.73</v>
      </c>
      <c r="F895">
        <v>0.74</v>
      </c>
      <c r="G895">
        <v>0.68</v>
      </c>
      <c r="H895">
        <v>0.72</v>
      </c>
      <c r="I895">
        <v>76</v>
      </c>
      <c r="J895">
        <v>3</v>
      </c>
      <c r="K895">
        <v>0.75</v>
      </c>
      <c r="L895" t="s">
        <v>13</v>
      </c>
    </row>
    <row r="896" spans="1:12" x14ac:dyDescent="0.3">
      <c r="A896">
        <v>40</v>
      </c>
      <c r="B896">
        <v>2023</v>
      </c>
      <c r="C896">
        <v>0.49</v>
      </c>
      <c r="D896">
        <v>0.7</v>
      </c>
      <c r="E896">
        <v>0.89</v>
      </c>
      <c r="F896">
        <v>0.94</v>
      </c>
      <c r="G896">
        <v>0.89</v>
      </c>
      <c r="H896">
        <v>0.36</v>
      </c>
      <c r="I896">
        <v>322</v>
      </c>
      <c r="J896">
        <v>3</v>
      </c>
      <c r="K896">
        <v>0.73</v>
      </c>
      <c r="L896" t="s">
        <v>13</v>
      </c>
    </row>
    <row r="897" spans="1:12" x14ac:dyDescent="0.3">
      <c r="A897">
        <v>40</v>
      </c>
      <c r="B897">
        <v>2023</v>
      </c>
      <c r="C897">
        <v>0.75</v>
      </c>
      <c r="D897">
        <v>0.48</v>
      </c>
      <c r="E897">
        <v>0.96</v>
      </c>
      <c r="F897">
        <v>0.64</v>
      </c>
      <c r="G897">
        <v>0.97</v>
      </c>
      <c r="H897">
        <v>0.61</v>
      </c>
      <c r="I897">
        <v>248</v>
      </c>
      <c r="J897">
        <v>1</v>
      </c>
      <c r="K897">
        <v>0.73</v>
      </c>
      <c r="L897" t="s">
        <v>13</v>
      </c>
    </row>
    <row r="898" spans="1:12" x14ac:dyDescent="0.3">
      <c r="A898">
        <v>40</v>
      </c>
      <c r="B898">
        <v>2023</v>
      </c>
      <c r="C898">
        <v>0.9</v>
      </c>
      <c r="D898">
        <v>0.7</v>
      </c>
      <c r="E898">
        <v>0.84</v>
      </c>
      <c r="F898">
        <v>0.76</v>
      </c>
      <c r="G898">
        <v>0.48</v>
      </c>
      <c r="H898">
        <v>0.95</v>
      </c>
      <c r="I898">
        <v>283</v>
      </c>
      <c r="J898">
        <v>2</v>
      </c>
      <c r="K898">
        <v>0.78</v>
      </c>
      <c r="L898" t="s">
        <v>13</v>
      </c>
    </row>
    <row r="899" spans="1:12" x14ac:dyDescent="0.3">
      <c r="A899">
        <v>41</v>
      </c>
      <c r="B899">
        <v>2023</v>
      </c>
      <c r="C899">
        <v>0.56000000000000005</v>
      </c>
      <c r="D899">
        <v>0.68</v>
      </c>
      <c r="E899">
        <v>0.82</v>
      </c>
      <c r="F899">
        <v>0.96</v>
      </c>
      <c r="G899">
        <v>0.59</v>
      </c>
      <c r="H899">
        <v>0.78</v>
      </c>
      <c r="I899">
        <v>217</v>
      </c>
      <c r="J899">
        <v>18</v>
      </c>
      <c r="K899">
        <v>0.7</v>
      </c>
      <c r="L899" t="s">
        <v>12</v>
      </c>
    </row>
    <row r="900" spans="1:12" x14ac:dyDescent="0.3">
      <c r="A900">
        <v>42</v>
      </c>
      <c r="B900">
        <v>2023</v>
      </c>
      <c r="C900">
        <v>0.71</v>
      </c>
      <c r="D900">
        <v>0.95</v>
      </c>
      <c r="E900">
        <v>0.61</v>
      </c>
      <c r="F900">
        <v>0.85</v>
      </c>
      <c r="G900">
        <v>0.74</v>
      </c>
      <c r="H900">
        <v>0.73</v>
      </c>
      <c r="I900">
        <v>404</v>
      </c>
      <c r="J900">
        <v>7</v>
      </c>
      <c r="K900">
        <v>0.77</v>
      </c>
      <c r="L900" t="s">
        <v>13</v>
      </c>
    </row>
    <row r="901" spans="1:12" x14ac:dyDescent="0.3">
      <c r="A901">
        <v>42</v>
      </c>
      <c r="B901">
        <v>2023</v>
      </c>
      <c r="C901">
        <v>0.51</v>
      </c>
      <c r="D901">
        <v>0.74</v>
      </c>
      <c r="E901">
        <v>0.65</v>
      </c>
      <c r="F901">
        <v>0.67</v>
      </c>
      <c r="G901">
        <v>0.59</v>
      </c>
      <c r="H901">
        <v>0.23</v>
      </c>
      <c r="I901">
        <v>454</v>
      </c>
      <c r="J901">
        <v>3</v>
      </c>
      <c r="K901">
        <v>0.63</v>
      </c>
      <c r="L901" t="s">
        <v>12</v>
      </c>
    </row>
    <row r="902" spans="1:12" x14ac:dyDescent="0.3">
      <c r="A902">
        <v>42</v>
      </c>
      <c r="B902">
        <v>2023</v>
      </c>
      <c r="C902">
        <v>0.7</v>
      </c>
      <c r="D902">
        <v>0.55000000000000004</v>
      </c>
      <c r="E902">
        <v>0.83</v>
      </c>
      <c r="F902">
        <v>0.93</v>
      </c>
      <c r="G902">
        <v>0.62</v>
      </c>
      <c r="H902">
        <v>0.68</v>
      </c>
      <c r="I902">
        <v>196</v>
      </c>
      <c r="J902">
        <v>7</v>
      </c>
      <c r="K902">
        <v>0.72</v>
      </c>
      <c r="L902" t="s">
        <v>13</v>
      </c>
    </row>
    <row r="903" spans="1:12" x14ac:dyDescent="0.3">
      <c r="A903">
        <v>43</v>
      </c>
      <c r="B903">
        <v>2023</v>
      </c>
      <c r="C903">
        <v>0.53</v>
      </c>
      <c r="D903">
        <v>0.84</v>
      </c>
      <c r="E903">
        <v>0.71</v>
      </c>
      <c r="F903">
        <v>0.83</v>
      </c>
      <c r="G903">
        <v>0.88</v>
      </c>
      <c r="H903">
        <v>0.8</v>
      </c>
      <c r="I903">
        <v>302</v>
      </c>
      <c r="J903">
        <v>16</v>
      </c>
      <c r="K903">
        <v>0.72</v>
      </c>
      <c r="L903" t="s">
        <v>13</v>
      </c>
    </row>
    <row r="904" spans="1:12" x14ac:dyDescent="0.3">
      <c r="A904">
        <v>43</v>
      </c>
      <c r="B904">
        <v>2023</v>
      </c>
      <c r="C904">
        <v>0.38</v>
      </c>
      <c r="D904">
        <v>0.62</v>
      </c>
      <c r="E904">
        <v>0.51</v>
      </c>
      <c r="F904">
        <v>0.86</v>
      </c>
      <c r="G904">
        <v>0.92</v>
      </c>
      <c r="H904">
        <v>0.88</v>
      </c>
      <c r="I904">
        <v>228</v>
      </c>
      <c r="J904">
        <v>4</v>
      </c>
      <c r="K904">
        <v>0.59</v>
      </c>
      <c r="L904" t="s">
        <v>12</v>
      </c>
    </row>
    <row r="905" spans="1:12" x14ac:dyDescent="0.3">
      <c r="A905">
        <v>43</v>
      </c>
      <c r="B905">
        <v>2023</v>
      </c>
      <c r="C905">
        <v>0.36</v>
      </c>
      <c r="D905">
        <v>0.79</v>
      </c>
      <c r="E905">
        <v>0.81</v>
      </c>
      <c r="F905">
        <v>0.69</v>
      </c>
      <c r="G905">
        <v>0.68</v>
      </c>
      <c r="H905">
        <v>0.22</v>
      </c>
      <c r="I905">
        <v>400</v>
      </c>
      <c r="J905">
        <v>16</v>
      </c>
      <c r="K905">
        <v>0.64</v>
      </c>
      <c r="L905" t="s">
        <v>12</v>
      </c>
    </row>
    <row r="906" spans="1:12" x14ac:dyDescent="0.3">
      <c r="A906">
        <v>44</v>
      </c>
      <c r="B906">
        <v>2023</v>
      </c>
      <c r="C906">
        <v>0.59</v>
      </c>
      <c r="D906">
        <v>0.69</v>
      </c>
      <c r="E906">
        <v>0.54</v>
      </c>
      <c r="F906">
        <v>0.71</v>
      </c>
      <c r="G906">
        <v>0.53</v>
      </c>
      <c r="H906">
        <v>0.95</v>
      </c>
      <c r="I906">
        <v>376</v>
      </c>
      <c r="J906">
        <v>17</v>
      </c>
      <c r="K906">
        <v>0.62</v>
      </c>
      <c r="L906" t="s">
        <v>12</v>
      </c>
    </row>
    <row r="907" spans="1:12" x14ac:dyDescent="0.3">
      <c r="A907">
        <v>44</v>
      </c>
      <c r="B907">
        <v>2023</v>
      </c>
      <c r="C907">
        <v>0.54</v>
      </c>
      <c r="D907">
        <v>0.65</v>
      </c>
      <c r="E907">
        <v>0.51</v>
      </c>
      <c r="F907">
        <v>0.75</v>
      </c>
      <c r="G907">
        <v>0.49</v>
      </c>
      <c r="H907">
        <v>0.51</v>
      </c>
      <c r="I907">
        <v>156</v>
      </c>
      <c r="J907">
        <v>3</v>
      </c>
      <c r="K907">
        <v>0.59</v>
      </c>
      <c r="L907" t="s">
        <v>12</v>
      </c>
    </row>
    <row r="908" spans="1:12" x14ac:dyDescent="0.3">
      <c r="A908">
        <v>45</v>
      </c>
      <c r="B908">
        <v>2023</v>
      </c>
      <c r="C908">
        <v>0.51</v>
      </c>
      <c r="D908">
        <v>0.44</v>
      </c>
      <c r="E908">
        <v>0.61</v>
      </c>
      <c r="F908">
        <v>0.7</v>
      </c>
      <c r="G908">
        <v>0.64</v>
      </c>
      <c r="H908">
        <v>0.75</v>
      </c>
      <c r="I908">
        <v>477</v>
      </c>
      <c r="J908">
        <v>3</v>
      </c>
      <c r="K908">
        <v>0.55000000000000004</v>
      </c>
      <c r="L908" t="s">
        <v>12</v>
      </c>
    </row>
    <row r="909" spans="1:12" x14ac:dyDescent="0.3">
      <c r="A909">
        <v>45</v>
      </c>
      <c r="B909">
        <v>2023</v>
      </c>
      <c r="C909">
        <v>0.32</v>
      </c>
      <c r="D909">
        <v>0.41</v>
      </c>
      <c r="E909">
        <v>0.94</v>
      </c>
      <c r="F909">
        <v>0.62</v>
      </c>
      <c r="G909">
        <v>0.81</v>
      </c>
      <c r="H909">
        <v>0.87</v>
      </c>
      <c r="I909">
        <v>467</v>
      </c>
      <c r="J909">
        <v>11</v>
      </c>
      <c r="K909">
        <v>0.56000000000000005</v>
      </c>
      <c r="L909" t="s">
        <v>12</v>
      </c>
    </row>
    <row r="910" spans="1:12" x14ac:dyDescent="0.3">
      <c r="A910">
        <v>45</v>
      </c>
      <c r="B910">
        <v>2023</v>
      </c>
      <c r="C910">
        <v>0.33</v>
      </c>
      <c r="D910">
        <v>0.77</v>
      </c>
      <c r="E910">
        <v>0.65</v>
      </c>
      <c r="F910">
        <v>0.63</v>
      </c>
      <c r="G910">
        <v>0.83</v>
      </c>
      <c r="H910">
        <v>0.31</v>
      </c>
      <c r="I910">
        <v>289</v>
      </c>
      <c r="J910">
        <v>2</v>
      </c>
      <c r="K910">
        <v>0.6</v>
      </c>
      <c r="L910" t="s">
        <v>12</v>
      </c>
    </row>
    <row r="911" spans="1:12" x14ac:dyDescent="0.3">
      <c r="A911">
        <v>45</v>
      </c>
      <c r="B911">
        <v>2023</v>
      </c>
      <c r="C911">
        <v>0.85</v>
      </c>
      <c r="D911">
        <v>0.96</v>
      </c>
      <c r="E911">
        <v>0.62</v>
      </c>
      <c r="F911">
        <v>0.83</v>
      </c>
      <c r="G911">
        <v>0.49</v>
      </c>
      <c r="H911">
        <v>0.82</v>
      </c>
      <c r="I911">
        <v>329</v>
      </c>
      <c r="J911">
        <v>1</v>
      </c>
      <c r="K911">
        <v>0.79</v>
      </c>
      <c r="L911" t="s">
        <v>13</v>
      </c>
    </row>
    <row r="912" spans="1:12" x14ac:dyDescent="0.3">
      <c r="A912">
        <v>45</v>
      </c>
      <c r="B912">
        <v>2023</v>
      </c>
      <c r="C912">
        <v>0.5</v>
      </c>
      <c r="D912">
        <v>0.41</v>
      </c>
      <c r="E912">
        <v>0.81</v>
      </c>
      <c r="F912">
        <v>0.7</v>
      </c>
      <c r="G912">
        <v>0.77</v>
      </c>
      <c r="H912">
        <v>0.75</v>
      </c>
      <c r="I912">
        <v>492</v>
      </c>
      <c r="J912">
        <v>7</v>
      </c>
      <c r="K912">
        <v>0.6</v>
      </c>
      <c r="L912" t="s">
        <v>12</v>
      </c>
    </row>
    <row r="913" spans="1:12" x14ac:dyDescent="0.3">
      <c r="A913">
        <v>45</v>
      </c>
      <c r="B913">
        <v>2023</v>
      </c>
      <c r="C913">
        <v>0.78</v>
      </c>
      <c r="D913">
        <v>0.77</v>
      </c>
      <c r="E913">
        <v>0.57999999999999996</v>
      </c>
      <c r="F913">
        <v>0.94</v>
      </c>
      <c r="G913">
        <v>0.44</v>
      </c>
      <c r="H913">
        <v>0.93</v>
      </c>
      <c r="I913">
        <v>210</v>
      </c>
      <c r="J913">
        <v>6</v>
      </c>
      <c r="K913">
        <v>0.73</v>
      </c>
      <c r="L913" t="s">
        <v>13</v>
      </c>
    </row>
    <row r="914" spans="1:12" x14ac:dyDescent="0.3">
      <c r="A914">
        <v>46</v>
      </c>
      <c r="B914">
        <v>2023</v>
      </c>
      <c r="C914">
        <v>0.45</v>
      </c>
      <c r="D914">
        <v>0.92</v>
      </c>
      <c r="E914">
        <v>0.94</v>
      </c>
      <c r="F914">
        <v>0.68</v>
      </c>
      <c r="G914">
        <v>0.82</v>
      </c>
      <c r="H914">
        <v>0.28999999999999998</v>
      </c>
      <c r="I914">
        <v>122</v>
      </c>
      <c r="J914">
        <v>2</v>
      </c>
      <c r="K914">
        <v>0.74</v>
      </c>
      <c r="L914" t="s">
        <v>13</v>
      </c>
    </row>
    <row r="915" spans="1:12" x14ac:dyDescent="0.3">
      <c r="A915">
        <v>46</v>
      </c>
      <c r="B915">
        <v>2023</v>
      </c>
      <c r="C915">
        <v>0.79</v>
      </c>
      <c r="D915">
        <v>0.41</v>
      </c>
      <c r="E915">
        <v>0.82</v>
      </c>
      <c r="F915">
        <v>0.67</v>
      </c>
      <c r="G915">
        <v>0.7</v>
      </c>
      <c r="H915">
        <v>0.5</v>
      </c>
      <c r="I915">
        <v>397</v>
      </c>
      <c r="J915">
        <v>7</v>
      </c>
      <c r="K915">
        <v>0.67</v>
      </c>
      <c r="L915" t="s">
        <v>12</v>
      </c>
    </row>
    <row r="916" spans="1:12" x14ac:dyDescent="0.3">
      <c r="A916">
        <v>46</v>
      </c>
      <c r="B916">
        <v>2023</v>
      </c>
      <c r="C916">
        <v>0.63</v>
      </c>
      <c r="D916">
        <v>0.85</v>
      </c>
      <c r="E916">
        <v>0.56999999999999995</v>
      </c>
      <c r="F916">
        <v>0.87</v>
      </c>
      <c r="G916">
        <v>0.47</v>
      </c>
      <c r="H916">
        <v>0.44</v>
      </c>
      <c r="I916">
        <v>50</v>
      </c>
      <c r="J916">
        <v>5</v>
      </c>
      <c r="K916">
        <v>0.69</v>
      </c>
      <c r="L916" t="s">
        <v>12</v>
      </c>
    </row>
    <row r="917" spans="1:12" x14ac:dyDescent="0.3">
      <c r="A917">
        <v>47</v>
      </c>
      <c r="B917">
        <v>2023</v>
      </c>
      <c r="C917">
        <v>0.89</v>
      </c>
      <c r="D917">
        <v>0.8</v>
      </c>
      <c r="E917">
        <v>0.85</v>
      </c>
      <c r="F917">
        <v>0.75</v>
      </c>
      <c r="G917">
        <v>0.92</v>
      </c>
      <c r="H917">
        <v>0.73</v>
      </c>
      <c r="I917">
        <v>200</v>
      </c>
      <c r="J917">
        <v>17</v>
      </c>
      <c r="K917">
        <v>0.84</v>
      </c>
      <c r="L917" t="s">
        <v>13</v>
      </c>
    </row>
    <row r="918" spans="1:12" x14ac:dyDescent="0.3">
      <c r="A918">
        <v>47</v>
      </c>
      <c r="B918">
        <v>2023</v>
      </c>
      <c r="C918">
        <v>0.56999999999999995</v>
      </c>
      <c r="D918">
        <v>0.69</v>
      </c>
      <c r="E918">
        <v>0.68</v>
      </c>
      <c r="F918">
        <v>0.73</v>
      </c>
      <c r="G918">
        <v>0.97</v>
      </c>
      <c r="H918">
        <v>0.64</v>
      </c>
      <c r="I918">
        <v>475</v>
      </c>
      <c r="J918">
        <v>15</v>
      </c>
      <c r="K918">
        <v>0.69</v>
      </c>
      <c r="L918" t="s">
        <v>12</v>
      </c>
    </row>
    <row r="919" spans="1:12" x14ac:dyDescent="0.3">
      <c r="A919">
        <v>47</v>
      </c>
      <c r="B919">
        <v>2023</v>
      </c>
      <c r="C919">
        <v>0.39</v>
      </c>
      <c r="D919">
        <v>0.93</v>
      </c>
      <c r="E919">
        <v>0.88</v>
      </c>
      <c r="F919">
        <v>0.77</v>
      </c>
      <c r="G919">
        <v>0.66</v>
      </c>
      <c r="H919">
        <v>0.37</v>
      </c>
      <c r="I919">
        <v>339</v>
      </c>
      <c r="J919">
        <v>15</v>
      </c>
      <c r="K919">
        <v>0.71</v>
      </c>
      <c r="L919" t="s">
        <v>13</v>
      </c>
    </row>
    <row r="920" spans="1:12" x14ac:dyDescent="0.3">
      <c r="A920">
        <v>47</v>
      </c>
      <c r="B920">
        <v>2023</v>
      </c>
      <c r="C920">
        <v>0.33</v>
      </c>
      <c r="D920">
        <v>0.77</v>
      </c>
      <c r="E920">
        <v>0.78</v>
      </c>
      <c r="F920">
        <v>0.76</v>
      </c>
      <c r="G920">
        <v>0.75</v>
      </c>
      <c r="H920">
        <v>0.55000000000000004</v>
      </c>
      <c r="I920">
        <v>352</v>
      </c>
      <c r="J920">
        <v>1</v>
      </c>
      <c r="K920">
        <v>0.64</v>
      </c>
      <c r="L920" t="s">
        <v>12</v>
      </c>
    </row>
    <row r="921" spans="1:12" x14ac:dyDescent="0.3">
      <c r="A921">
        <v>47</v>
      </c>
      <c r="B921">
        <v>2023</v>
      </c>
      <c r="C921">
        <v>0.31</v>
      </c>
      <c r="D921">
        <v>0.56000000000000005</v>
      </c>
      <c r="E921">
        <v>0.55000000000000004</v>
      </c>
      <c r="F921">
        <v>0.86</v>
      </c>
      <c r="G921">
        <v>0.52</v>
      </c>
      <c r="H921">
        <v>0.77</v>
      </c>
      <c r="I921">
        <v>459</v>
      </c>
      <c r="J921">
        <v>2</v>
      </c>
      <c r="K921">
        <v>0.52</v>
      </c>
      <c r="L921" t="s">
        <v>12</v>
      </c>
    </row>
    <row r="922" spans="1:12" x14ac:dyDescent="0.3">
      <c r="A922">
        <v>47</v>
      </c>
      <c r="B922">
        <v>2023</v>
      </c>
      <c r="C922">
        <v>0.59</v>
      </c>
      <c r="D922">
        <v>0.96</v>
      </c>
      <c r="E922">
        <v>0.67</v>
      </c>
      <c r="F922">
        <v>0.99</v>
      </c>
      <c r="G922">
        <v>0.94</v>
      </c>
      <c r="H922">
        <v>0.63</v>
      </c>
      <c r="I922">
        <v>367</v>
      </c>
      <c r="J922">
        <v>19</v>
      </c>
      <c r="K922">
        <v>0.79</v>
      </c>
      <c r="L922" t="s">
        <v>13</v>
      </c>
    </row>
    <row r="923" spans="1:12" x14ac:dyDescent="0.3">
      <c r="A923">
        <v>47</v>
      </c>
      <c r="B923">
        <v>2023</v>
      </c>
      <c r="C923">
        <v>0.63</v>
      </c>
      <c r="D923">
        <v>0.99</v>
      </c>
      <c r="E923">
        <v>0.94</v>
      </c>
      <c r="F923">
        <v>0.73</v>
      </c>
      <c r="G923">
        <v>0.6</v>
      </c>
      <c r="H923">
        <v>0.67</v>
      </c>
      <c r="I923">
        <v>427</v>
      </c>
      <c r="J923">
        <v>7</v>
      </c>
      <c r="K923">
        <v>0.79</v>
      </c>
      <c r="L923" t="s">
        <v>13</v>
      </c>
    </row>
    <row r="924" spans="1:12" x14ac:dyDescent="0.3">
      <c r="A924">
        <v>47</v>
      </c>
      <c r="B924">
        <v>2023</v>
      </c>
      <c r="C924">
        <v>0.53</v>
      </c>
      <c r="D924">
        <v>0.74</v>
      </c>
      <c r="E924">
        <v>0.94</v>
      </c>
      <c r="F924">
        <v>0.92</v>
      </c>
      <c r="G924">
        <v>0.69</v>
      </c>
      <c r="H924">
        <v>7.0000000000000007E-2</v>
      </c>
      <c r="I924">
        <v>461</v>
      </c>
      <c r="J924">
        <v>4</v>
      </c>
      <c r="K924">
        <v>0.74</v>
      </c>
      <c r="L924" t="s">
        <v>13</v>
      </c>
    </row>
    <row r="925" spans="1:12" x14ac:dyDescent="0.3">
      <c r="A925">
        <v>48</v>
      </c>
      <c r="B925">
        <v>2023</v>
      </c>
      <c r="C925">
        <v>0.78</v>
      </c>
      <c r="D925">
        <v>0.54</v>
      </c>
      <c r="E925">
        <v>0.56999999999999995</v>
      </c>
      <c r="F925">
        <v>0.95</v>
      </c>
      <c r="G925">
        <v>0.49</v>
      </c>
      <c r="H925">
        <v>0.22</v>
      </c>
      <c r="I925">
        <v>172</v>
      </c>
      <c r="J925">
        <v>4</v>
      </c>
      <c r="K925">
        <v>0.67</v>
      </c>
      <c r="L925" t="s">
        <v>12</v>
      </c>
    </row>
    <row r="926" spans="1:12" x14ac:dyDescent="0.3">
      <c r="A926">
        <v>48</v>
      </c>
      <c r="B926">
        <v>2023</v>
      </c>
      <c r="C926">
        <v>0.77</v>
      </c>
      <c r="D926">
        <v>0.93</v>
      </c>
      <c r="E926">
        <v>0.9</v>
      </c>
      <c r="F926">
        <v>0.67</v>
      </c>
      <c r="G926">
        <v>0.51</v>
      </c>
      <c r="H926">
        <v>0.72</v>
      </c>
      <c r="I926">
        <v>383</v>
      </c>
      <c r="J926">
        <v>17</v>
      </c>
      <c r="K926">
        <v>0.8</v>
      </c>
      <c r="L926" t="s">
        <v>13</v>
      </c>
    </row>
    <row r="927" spans="1:12" x14ac:dyDescent="0.3">
      <c r="A927">
        <v>49</v>
      </c>
      <c r="B927">
        <v>2023</v>
      </c>
      <c r="C927">
        <v>0.39</v>
      </c>
      <c r="D927">
        <v>0.94</v>
      </c>
      <c r="E927">
        <v>0.8</v>
      </c>
      <c r="F927">
        <v>0.85</v>
      </c>
      <c r="G927">
        <v>0.73</v>
      </c>
      <c r="H927">
        <v>0.3</v>
      </c>
      <c r="I927">
        <v>253</v>
      </c>
      <c r="J927">
        <v>7</v>
      </c>
      <c r="K927">
        <v>0.71</v>
      </c>
      <c r="L927" t="s">
        <v>13</v>
      </c>
    </row>
    <row r="928" spans="1:12" x14ac:dyDescent="0.3">
      <c r="A928">
        <v>49</v>
      </c>
      <c r="B928">
        <v>2023</v>
      </c>
      <c r="C928">
        <v>0.71</v>
      </c>
      <c r="D928">
        <v>0.66</v>
      </c>
      <c r="E928">
        <v>0.86</v>
      </c>
      <c r="F928">
        <v>0.79</v>
      </c>
      <c r="G928">
        <v>0.91</v>
      </c>
      <c r="H928">
        <v>0.9</v>
      </c>
      <c r="I928">
        <v>311</v>
      </c>
      <c r="J928">
        <v>6</v>
      </c>
      <c r="K928">
        <v>0.76</v>
      </c>
      <c r="L928" t="s">
        <v>13</v>
      </c>
    </row>
    <row r="929" spans="1:12" x14ac:dyDescent="0.3">
      <c r="A929">
        <v>49</v>
      </c>
      <c r="B929">
        <v>2023</v>
      </c>
      <c r="C929">
        <v>0.63</v>
      </c>
      <c r="D929">
        <v>0.61</v>
      </c>
      <c r="E929">
        <v>0.84</v>
      </c>
      <c r="F929">
        <v>0.86</v>
      </c>
      <c r="G929">
        <v>0.8</v>
      </c>
      <c r="H929">
        <v>0.27</v>
      </c>
      <c r="I929">
        <v>121</v>
      </c>
      <c r="J929">
        <v>4</v>
      </c>
      <c r="K929">
        <v>0.72</v>
      </c>
      <c r="L929" t="s">
        <v>13</v>
      </c>
    </row>
    <row r="930" spans="1:12" x14ac:dyDescent="0.3">
      <c r="A930">
        <v>49</v>
      </c>
      <c r="B930">
        <v>2023</v>
      </c>
      <c r="C930">
        <v>0.89</v>
      </c>
      <c r="D930">
        <v>0.83</v>
      </c>
      <c r="E930">
        <v>0.84</v>
      </c>
      <c r="F930">
        <v>0.96</v>
      </c>
      <c r="G930">
        <v>0.78</v>
      </c>
      <c r="H930">
        <v>0.28000000000000003</v>
      </c>
      <c r="I930">
        <v>107</v>
      </c>
      <c r="J930">
        <v>13</v>
      </c>
      <c r="K930">
        <v>0.86</v>
      </c>
      <c r="L930" t="s">
        <v>13</v>
      </c>
    </row>
    <row r="931" spans="1:12" x14ac:dyDescent="0.3">
      <c r="A931">
        <v>49</v>
      </c>
      <c r="B931">
        <v>2023</v>
      </c>
      <c r="C931">
        <v>0.85</v>
      </c>
      <c r="D931">
        <v>0.72</v>
      </c>
      <c r="E931">
        <v>0.66</v>
      </c>
      <c r="F931">
        <v>0.65</v>
      </c>
      <c r="G931">
        <v>0.92</v>
      </c>
      <c r="H931">
        <v>0.47</v>
      </c>
      <c r="I931">
        <v>125</v>
      </c>
      <c r="J931">
        <v>0</v>
      </c>
      <c r="K931">
        <v>0.76</v>
      </c>
      <c r="L931" t="s">
        <v>13</v>
      </c>
    </row>
    <row r="932" spans="1:12" x14ac:dyDescent="0.3">
      <c r="A932">
        <v>49</v>
      </c>
      <c r="B932">
        <v>2023</v>
      </c>
      <c r="C932">
        <v>0.63</v>
      </c>
      <c r="D932">
        <v>0.54</v>
      </c>
      <c r="E932">
        <v>0.6</v>
      </c>
      <c r="F932">
        <v>0.77</v>
      </c>
      <c r="G932">
        <v>0.83</v>
      </c>
      <c r="H932">
        <v>0.61</v>
      </c>
      <c r="I932">
        <v>132</v>
      </c>
      <c r="J932">
        <v>0</v>
      </c>
      <c r="K932">
        <v>0.64</v>
      </c>
      <c r="L932" t="s">
        <v>12</v>
      </c>
    </row>
    <row r="933" spans="1:12" x14ac:dyDescent="0.3">
      <c r="A933">
        <v>49</v>
      </c>
      <c r="B933">
        <v>2023</v>
      </c>
      <c r="C933">
        <v>0.9</v>
      </c>
      <c r="D933">
        <v>0.75</v>
      </c>
      <c r="E933">
        <v>0.94</v>
      </c>
      <c r="F933">
        <v>0.92</v>
      </c>
      <c r="G933">
        <v>0.77</v>
      </c>
      <c r="H933">
        <v>0.61</v>
      </c>
      <c r="I933">
        <v>89</v>
      </c>
      <c r="J933">
        <v>15</v>
      </c>
      <c r="K933">
        <v>0.86</v>
      </c>
      <c r="L933" t="s">
        <v>13</v>
      </c>
    </row>
    <row r="934" spans="1:12" x14ac:dyDescent="0.3">
      <c r="A934">
        <v>49</v>
      </c>
      <c r="B934">
        <v>2023</v>
      </c>
      <c r="C934">
        <v>0.67</v>
      </c>
      <c r="D934">
        <v>0.86</v>
      </c>
      <c r="E934">
        <v>0.67</v>
      </c>
      <c r="F934">
        <v>0.75</v>
      </c>
      <c r="G934">
        <v>0.95</v>
      </c>
      <c r="H934">
        <v>0.21</v>
      </c>
      <c r="I934">
        <v>199</v>
      </c>
      <c r="J934">
        <v>10</v>
      </c>
      <c r="K934">
        <v>0.76</v>
      </c>
      <c r="L934" t="s">
        <v>13</v>
      </c>
    </row>
    <row r="935" spans="1:12" x14ac:dyDescent="0.3">
      <c r="A935">
        <v>50</v>
      </c>
      <c r="B935">
        <v>2023</v>
      </c>
      <c r="C935">
        <v>0.86</v>
      </c>
      <c r="D935">
        <v>0.67</v>
      </c>
      <c r="E935">
        <v>0.66</v>
      </c>
      <c r="F935">
        <v>0.66</v>
      </c>
      <c r="G935">
        <v>0.42</v>
      </c>
      <c r="H935">
        <v>0.66</v>
      </c>
      <c r="I935">
        <v>464</v>
      </c>
      <c r="J935">
        <v>9</v>
      </c>
      <c r="K935">
        <v>0.7</v>
      </c>
      <c r="L935" t="s">
        <v>12</v>
      </c>
    </row>
    <row r="936" spans="1:12" x14ac:dyDescent="0.3">
      <c r="A936">
        <v>50</v>
      </c>
      <c r="B936">
        <v>2023</v>
      </c>
      <c r="C936">
        <v>0.45</v>
      </c>
      <c r="D936">
        <v>0.7</v>
      </c>
      <c r="E936">
        <v>0.91</v>
      </c>
      <c r="F936">
        <v>0.93</v>
      </c>
      <c r="G936">
        <v>0.86</v>
      </c>
      <c r="H936">
        <v>0.82</v>
      </c>
      <c r="I936">
        <v>111</v>
      </c>
      <c r="J936">
        <v>19</v>
      </c>
      <c r="K936">
        <v>0.72</v>
      </c>
      <c r="L936" t="s">
        <v>13</v>
      </c>
    </row>
    <row r="937" spans="1:12" x14ac:dyDescent="0.3">
      <c r="A937">
        <v>50</v>
      </c>
      <c r="B937">
        <v>2023</v>
      </c>
      <c r="C937">
        <v>0.43</v>
      </c>
      <c r="D937">
        <v>0.69</v>
      </c>
      <c r="E937">
        <v>0.7</v>
      </c>
      <c r="F937">
        <v>0.92</v>
      </c>
      <c r="G937">
        <v>0.83</v>
      </c>
      <c r="H937">
        <v>0.13</v>
      </c>
      <c r="I937">
        <v>394</v>
      </c>
      <c r="J937">
        <v>11</v>
      </c>
      <c r="K937">
        <v>0.66</v>
      </c>
      <c r="L937" t="s">
        <v>12</v>
      </c>
    </row>
    <row r="938" spans="1:12" x14ac:dyDescent="0.3">
      <c r="A938">
        <v>51</v>
      </c>
      <c r="B938">
        <v>2023</v>
      </c>
      <c r="C938">
        <v>0.6</v>
      </c>
      <c r="D938">
        <v>0.61</v>
      </c>
      <c r="E938">
        <v>0.82</v>
      </c>
      <c r="F938">
        <v>0.87</v>
      </c>
      <c r="G938">
        <v>0.9</v>
      </c>
      <c r="H938">
        <v>0.23</v>
      </c>
      <c r="I938">
        <v>353</v>
      </c>
      <c r="J938">
        <v>18</v>
      </c>
      <c r="K938">
        <v>0.72</v>
      </c>
      <c r="L938" t="s">
        <v>13</v>
      </c>
    </row>
    <row r="939" spans="1:12" x14ac:dyDescent="0.3">
      <c r="A939">
        <v>51</v>
      </c>
      <c r="B939">
        <v>2023</v>
      </c>
      <c r="C939">
        <v>0.6</v>
      </c>
      <c r="D939">
        <v>0.6</v>
      </c>
      <c r="E939">
        <v>0.87</v>
      </c>
      <c r="F939">
        <v>0.88</v>
      </c>
      <c r="G939">
        <v>0.42</v>
      </c>
      <c r="H939">
        <v>0.88</v>
      </c>
      <c r="I939">
        <v>338</v>
      </c>
      <c r="J939">
        <v>19</v>
      </c>
      <c r="K939">
        <v>0.68</v>
      </c>
      <c r="L939" t="s">
        <v>12</v>
      </c>
    </row>
    <row r="940" spans="1:12" x14ac:dyDescent="0.3">
      <c r="A940">
        <v>51</v>
      </c>
      <c r="B940">
        <v>2023</v>
      </c>
      <c r="C940">
        <v>0.54</v>
      </c>
      <c r="D940">
        <v>0.93</v>
      </c>
      <c r="E940">
        <v>0.6</v>
      </c>
      <c r="F940">
        <v>0.63</v>
      </c>
      <c r="G940">
        <v>0.85</v>
      </c>
      <c r="H940">
        <v>0.84</v>
      </c>
      <c r="I940">
        <v>413</v>
      </c>
      <c r="J940">
        <v>7</v>
      </c>
      <c r="K940">
        <v>0.69</v>
      </c>
      <c r="L940" t="s">
        <v>12</v>
      </c>
    </row>
    <row r="941" spans="1:12" x14ac:dyDescent="0.3">
      <c r="A941">
        <v>51</v>
      </c>
      <c r="B941">
        <v>2023</v>
      </c>
      <c r="C941">
        <v>0.44</v>
      </c>
      <c r="D941">
        <v>0.48</v>
      </c>
      <c r="E941">
        <v>0.71</v>
      </c>
      <c r="F941">
        <v>0.65</v>
      </c>
      <c r="G941">
        <v>0.59</v>
      </c>
      <c r="H941">
        <v>0.15</v>
      </c>
      <c r="I941">
        <v>476</v>
      </c>
      <c r="J941">
        <v>1</v>
      </c>
      <c r="K941">
        <v>0.55000000000000004</v>
      </c>
      <c r="L941" t="s">
        <v>12</v>
      </c>
    </row>
    <row r="942" spans="1:12" x14ac:dyDescent="0.3">
      <c r="A942">
        <v>51</v>
      </c>
      <c r="B942">
        <v>2023</v>
      </c>
      <c r="C942">
        <v>0.74</v>
      </c>
      <c r="D942">
        <v>0.41</v>
      </c>
      <c r="E942">
        <v>0.74</v>
      </c>
      <c r="F942">
        <v>0.86</v>
      </c>
      <c r="G942">
        <v>0.94</v>
      </c>
      <c r="H942">
        <v>0.38</v>
      </c>
      <c r="I942">
        <v>375</v>
      </c>
      <c r="J942">
        <v>5</v>
      </c>
      <c r="K942">
        <v>0.7</v>
      </c>
      <c r="L942" t="s">
        <v>12</v>
      </c>
    </row>
    <row r="943" spans="1:12" x14ac:dyDescent="0.3">
      <c r="A943">
        <v>52</v>
      </c>
      <c r="B943">
        <v>2023</v>
      </c>
      <c r="C943">
        <v>0.98</v>
      </c>
      <c r="D943">
        <v>0.69</v>
      </c>
      <c r="E943">
        <v>0.57999999999999996</v>
      </c>
      <c r="F943">
        <v>0.74</v>
      </c>
      <c r="G943">
        <v>0.59</v>
      </c>
      <c r="H943">
        <v>0.76</v>
      </c>
      <c r="I943">
        <v>402</v>
      </c>
      <c r="J943">
        <v>2</v>
      </c>
      <c r="K943">
        <v>0.75</v>
      </c>
      <c r="L943" t="s">
        <v>13</v>
      </c>
    </row>
    <row r="944" spans="1:12" x14ac:dyDescent="0.3">
      <c r="A944">
        <v>52</v>
      </c>
      <c r="B944">
        <v>2023</v>
      </c>
      <c r="C944">
        <v>0.86</v>
      </c>
      <c r="D944">
        <v>0.9</v>
      </c>
      <c r="E944">
        <v>0.93</v>
      </c>
      <c r="F944">
        <v>0.77</v>
      </c>
      <c r="G944">
        <v>0.79</v>
      </c>
      <c r="H944">
        <v>0.27</v>
      </c>
      <c r="I944">
        <v>241</v>
      </c>
      <c r="J944">
        <v>6</v>
      </c>
      <c r="K944">
        <v>0.86</v>
      </c>
      <c r="L944" t="s">
        <v>13</v>
      </c>
    </row>
    <row r="945" spans="1:12" x14ac:dyDescent="0.3">
      <c r="A945">
        <v>52</v>
      </c>
      <c r="B945">
        <v>2023</v>
      </c>
      <c r="C945">
        <v>0.8</v>
      </c>
      <c r="D945">
        <v>0.63</v>
      </c>
      <c r="E945">
        <v>0.7</v>
      </c>
      <c r="F945">
        <v>0.91</v>
      </c>
      <c r="G945">
        <v>0.97</v>
      </c>
      <c r="H945">
        <v>0.13</v>
      </c>
      <c r="I945">
        <v>144</v>
      </c>
      <c r="J945">
        <v>16</v>
      </c>
      <c r="K945">
        <v>0.77</v>
      </c>
      <c r="L945" t="s">
        <v>13</v>
      </c>
    </row>
    <row r="946" spans="1:12" x14ac:dyDescent="0.3">
      <c r="A946">
        <v>52</v>
      </c>
      <c r="B946">
        <v>2023</v>
      </c>
      <c r="C946">
        <v>0.45</v>
      </c>
      <c r="D946">
        <v>0.81</v>
      </c>
      <c r="E946">
        <v>0.98</v>
      </c>
      <c r="F946">
        <v>0.78</v>
      </c>
      <c r="G946">
        <v>0.67</v>
      </c>
      <c r="H946">
        <v>0.24</v>
      </c>
      <c r="I946">
        <v>122</v>
      </c>
      <c r="J946">
        <v>3</v>
      </c>
      <c r="K946">
        <v>0.72</v>
      </c>
      <c r="L946" t="s">
        <v>13</v>
      </c>
    </row>
    <row r="947" spans="1:12" x14ac:dyDescent="0.3">
      <c r="A947">
        <v>53</v>
      </c>
      <c r="B947">
        <v>2023</v>
      </c>
      <c r="C947">
        <v>0.88</v>
      </c>
      <c r="D947">
        <v>0.69</v>
      </c>
      <c r="E947">
        <v>0.88</v>
      </c>
      <c r="F947">
        <v>0.93</v>
      </c>
      <c r="G947">
        <v>0.54</v>
      </c>
      <c r="H947">
        <v>0.89</v>
      </c>
      <c r="I947">
        <v>206</v>
      </c>
      <c r="J947">
        <v>5</v>
      </c>
      <c r="K947">
        <v>0.81</v>
      </c>
      <c r="L947" t="s">
        <v>13</v>
      </c>
    </row>
    <row r="948" spans="1:12" x14ac:dyDescent="0.3">
      <c r="A948">
        <v>53</v>
      </c>
      <c r="B948">
        <v>2023</v>
      </c>
      <c r="C948">
        <v>0.54</v>
      </c>
      <c r="D948">
        <v>0.6</v>
      </c>
      <c r="E948">
        <v>0.95</v>
      </c>
      <c r="F948">
        <v>0.62</v>
      </c>
      <c r="G948">
        <v>0.55000000000000004</v>
      </c>
      <c r="H948">
        <v>0.12</v>
      </c>
      <c r="I948">
        <v>451</v>
      </c>
      <c r="J948">
        <v>0</v>
      </c>
      <c r="K948">
        <v>0.65</v>
      </c>
      <c r="L948" t="s">
        <v>12</v>
      </c>
    </row>
    <row r="949" spans="1:12" x14ac:dyDescent="0.3">
      <c r="A949">
        <v>54</v>
      </c>
      <c r="B949">
        <v>2023</v>
      </c>
      <c r="C949">
        <v>0.66</v>
      </c>
      <c r="D949">
        <v>0.91</v>
      </c>
      <c r="E949">
        <v>0.78</v>
      </c>
      <c r="F949">
        <v>0.82</v>
      </c>
      <c r="G949">
        <v>0.91</v>
      </c>
      <c r="H949">
        <v>0.4</v>
      </c>
      <c r="I949">
        <v>161</v>
      </c>
      <c r="J949">
        <v>14</v>
      </c>
      <c r="K949">
        <v>0.8</v>
      </c>
      <c r="L949" t="s">
        <v>13</v>
      </c>
    </row>
    <row r="950" spans="1:12" x14ac:dyDescent="0.3">
      <c r="A950">
        <v>54</v>
      </c>
      <c r="B950">
        <v>2023</v>
      </c>
      <c r="C950">
        <v>0.31</v>
      </c>
      <c r="D950">
        <v>0.45</v>
      </c>
      <c r="E950">
        <v>0.66</v>
      </c>
      <c r="F950">
        <v>0.61</v>
      </c>
      <c r="G950">
        <v>0.31</v>
      </c>
      <c r="H950">
        <v>0.92</v>
      </c>
      <c r="I950">
        <v>482</v>
      </c>
      <c r="J950">
        <v>3</v>
      </c>
      <c r="K950">
        <v>0.46</v>
      </c>
      <c r="L950" t="s">
        <v>12</v>
      </c>
    </row>
    <row r="951" spans="1:12" x14ac:dyDescent="0.3">
      <c r="A951">
        <v>54</v>
      </c>
      <c r="B951">
        <v>2023</v>
      </c>
      <c r="C951">
        <v>0.67</v>
      </c>
      <c r="D951">
        <v>0.92</v>
      </c>
      <c r="E951">
        <v>1</v>
      </c>
      <c r="F951">
        <v>0.83</v>
      </c>
      <c r="G951">
        <v>0.87</v>
      </c>
      <c r="H951">
        <v>0.33</v>
      </c>
      <c r="I951">
        <v>160</v>
      </c>
      <c r="J951">
        <v>0</v>
      </c>
      <c r="K951">
        <v>0.84</v>
      </c>
      <c r="L951" t="s">
        <v>13</v>
      </c>
    </row>
    <row r="952" spans="1:12" x14ac:dyDescent="0.3">
      <c r="A952">
        <v>54</v>
      </c>
      <c r="B952">
        <v>2023</v>
      </c>
      <c r="C952">
        <v>0.87</v>
      </c>
      <c r="D952">
        <v>0.55000000000000004</v>
      </c>
      <c r="E952">
        <v>0.71</v>
      </c>
      <c r="F952">
        <v>0.94</v>
      </c>
      <c r="G952">
        <v>0.91</v>
      </c>
      <c r="H952">
        <v>0.24</v>
      </c>
      <c r="I952">
        <v>166</v>
      </c>
      <c r="J952">
        <v>6</v>
      </c>
      <c r="K952">
        <v>0.77</v>
      </c>
      <c r="L952" t="s">
        <v>13</v>
      </c>
    </row>
    <row r="953" spans="1:12" x14ac:dyDescent="0.3">
      <c r="A953">
        <v>54</v>
      </c>
      <c r="B953">
        <v>2023</v>
      </c>
      <c r="C953">
        <v>0.74</v>
      </c>
      <c r="D953">
        <v>0.96</v>
      </c>
      <c r="E953">
        <v>0.6</v>
      </c>
      <c r="F953">
        <v>0.89</v>
      </c>
      <c r="G953">
        <v>0.91</v>
      </c>
      <c r="H953">
        <v>0.52</v>
      </c>
      <c r="I953">
        <v>261</v>
      </c>
      <c r="J953">
        <v>15</v>
      </c>
      <c r="K953">
        <v>0.81</v>
      </c>
      <c r="L953" t="s">
        <v>13</v>
      </c>
    </row>
    <row r="954" spans="1:12" x14ac:dyDescent="0.3">
      <c r="A954">
        <v>54</v>
      </c>
      <c r="B954">
        <v>2023</v>
      </c>
      <c r="C954">
        <v>0.95</v>
      </c>
      <c r="D954">
        <v>0.64</v>
      </c>
      <c r="E954">
        <v>0.95</v>
      </c>
      <c r="F954">
        <v>0.75</v>
      </c>
      <c r="G954">
        <v>0.82</v>
      </c>
      <c r="H954">
        <v>0.48</v>
      </c>
      <c r="I954">
        <v>52</v>
      </c>
      <c r="J954">
        <v>19</v>
      </c>
      <c r="K954">
        <v>0.83</v>
      </c>
      <c r="L954" t="s">
        <v>13</v>
      </c>
    </row>
    <row r="955" spans="1:12" x14ac:dyDescent="0.3">
      <c r="A955">
        <v>54</v>
      </c>
      <c r="B955">
        <v>2023</v>
      </c>
      <c r="C955">
        <v>0.72</v>
      </c>
      <c r="D955">
        <v>0.56999999999999995</v>
      </c>
      <c r="E955">
        <v>0.8</v>
      </c>
      <c r="F955">
        <v>0.72</v>
      </c>
      <c r="G955">
        <v>0.34</v>
      </c>
      <c r="H955">
        <v>0</v>
      </c>
      <c r="I955">
        <v>341</v>
      </c>
      <c r="J955">
        <v>4</v>
      </c>
      <c r="K955">
        <v>0.66</v>
      </c>
      <c r="L955" t="s">
        <v>12</v>
      </c>
    </row>
    <row r="956" spans="1:12" x14ac:dyDescent="0.3">
      <c r="A956">
        <v>55</v>
      </c>
      <c r="B956">
        <v>2023</v>
      </c>
      <c r="C956">
        <v>0.89</v>
      </c>
      <c r="D956">
        <v>0.59</v>
      </c>
      <c r="E956">
        <v>0.84</v>
      </c>
      <c r="F956">
        <v>0.98</v>
      </c>
      <c r="G956">
        <v>0.81</v>
      </c>
      <c r="H956">
        <v>0.49</v>
      </c>
      <c r="I956">
        <v>242</v>
      </c>
      <c r="J956">
        <v>18</v>
      </c>
      <c r="K956">
        <v>0.81</v>
      </c>
      <c r="L956" t="s">
        <v>13</v>
      </c>
    </row>
    <row r="957" spans="1:12" x14ac:dyDescent="0.3">
      <c r="A957">
        <v>55</v>
      </c>
      <c r="B957">
        <v>2023</v>
      </c>
      <c r="C957">
        <v>0.51</v>
      </c>
      <c r="D957">
        <v>0.67</v>
      </c>
      <c r="E957">
        <v>0.86</v>
      </c>
      <c r="F957">
        <v>0.88</v>
      </c>
      <c r="G957">
        <v>0.99</v>
      </c>
      <c r="H957">
        <v>0.23</v>
      </c>
      <c r="I957">
        <v>230</v>
      </c>
      <c r="J957">
        <v>12</v>
      </c>
      <c r="K957">
        <v>0.72</v>
      </c>
      <c r="L957" t="s">
        <v>13</v>
      </c>
    </row>
    <row r="958" spans="1:12" x14ac:dyDescent="0.3">
      <c r="A958">
        <v>55</v>
      </c>
      <c r="B958">
        <v>2023</v>
      </c>
      <c r="C958">
        <v>0.45</v>
      </c>
      <c r="D958">
        <v>0.87</v>
      </c>
      <c r="E958">
        <v>0.72</v>
      </c>
      <c r="F958">
        <v>0.68</v>
      </c>
      <c r="G958">
        <v>0.93</v>
      </c>
      <c r="H958">
        <v>0.2</v>
      </c>
      <c r="I958">
        <v>155</v>
      </c>
      <c r="J958">
        <v>3</v>
      </c>
      <c r="K958">
        <v>0.69</v>
      </c>
      <c r="L958" t="s">
        <v>12</v>
      </c>
    </row>
    <row r="959" spans="1:12" x14ac:dyDescent="0.3">
      <c r="A959">
        <v>55</v>
      </c>
      <c r="B959">
        <v>2023</v>
      </c>
      <c r="C959">
        <v>0.37</v>
      </c>
      <c r="D959">
        <v>0.99</v>
      </c>
      <c r="E959">
        <v>0.62</v>
      </c>
      <c r="F959">
        <v>0.68</v>
      </c>
      <c r="G959">
        <v>0.67</v>
      </c>
      <c r="H959">
        <v>0.54</v>
      </c>
      <c r="I959">
        <v>448</v>
      </c>
      <c r="J959">
        <v>3</v>
      </c>
      <c r="K959">
        <v>0.65</v>
      </c>
      <c r="L959" t="s">
        <v>12</v>
      </c>
    </row>
    <row r="960" spans="1:12" x14ac:dyDescent="0.3">
      <c r="A960">
        <v>56</v>
      </c>
      <c r="B960">
        <v>2023</v>
      </c>
      <c r="C960">
        <v>0.54</v>
      </c>
      <c r="D960">
        <v>0.68</v>
      </c>
      <c r="E960">
        <v>0.81</v>
      </c>
      <c r="F960">
        <v>0.75</v>
      </c>
      <c r="G960">
        <v>0.89</v>
      </c>
      <c r="H960">
        <v>0.59</v>
      </c>
      <c r="I960">
        <v>306</v>
      </c>
      <c r="J960">
        <v>13</v>
      </c>
      <c r="K960">
        <v>0.7</v>
      </c>
      <c r="L960" t="s">
        <v>12</v>
      </c>
    </row>
    <row r="961" spans="1:12" x14ac:dyDescent="0.3">
      <c r="A961">
        <v>56</v>
      </c>
      <c r="B961">
        <v>2023</v>
      </c>
      <c r="C961">
        <v>0.51</v>
      </c>
      <c r="D961">
        <v>0.55000000000000004</v>
      </c>
      <c r="E961">
        <v>0.69</v>
      </c>
      <c r="F961">
        <v>0.74</v>
      </c>
      <c r="G961">
        <v>0.56000000000000005</v>
      </c>
      <c r="H961">
        <v>0.32</v>
      </c>
      <c r="I961">
        <v>382</v>
      </c>
      <c r="J961">
        <v>15</v>
      </c>
      <c r="K961">
        <v>0.6</v>
      </c>
      <c r="L961" t="s">
        <v>12</v>
      </c>
    </row>
    <row r="962" spans="1:12" x14ac:dyDescent="0.3">
      <c r="A962">
        <v>56</v>
      </c>
      <c r="B962">
        <v>2023</v>
      </c>
      <c r="C962">
        <v>0.91</v>
      </c>
      <c r="D962">
        <v>0.65</v>
      </c>
      <c r="E962">
        <v>0.57999999999999996</v>
      </c>
      <c r="F962">
        <v>0.9</v>
      </c>
      <c r="G962">
        <v>0.88</v>
      </c>
      <c r="H962">
        <v>0.88</v>
      </c>
      <c r="I962">
        <v>403</v>
      </c>
      <c r="J962">
        <v>9</v>
      </c>
      <c r="K962">
        <v>0.77</v>
      </c>
      <c r="L962" t="s">
        <v>13</v>
      </c>
    </row>
    <row r="963" spans="1:12" x14ac:dyDescent="0.3">
      <c r="A963">
        <v>57</v>
      </c>
      <c r="B963">
        <v>2023</v>
      </c>
      <c r="C963">
        <v>0.73</v>
      </c>
      <c r="D963">
        <v>0.62</v>
      </c>
      <c r="E963">
        <v>0.89</v>
      </c>
      <c r="F963">
        <v>0.67</v>
      </c>
      <c r="G963">
        <v>0.56999999999999995</v>
      </c>
      <c r="H963">
        <v>0.35</v>
      </c>
      <c r="I963">
        <v>301</v>
      </c>
      <c r="J963">
        <v>8</v>
      </c>
      <c r="K963">
        <v>0.71</v>
      </c>
      <c r="L963" t="s">
        <v>13</v>
      </c>
    </row>
    <row r="964" spans="1:12" x14ac:dyDescent="0.3">
      <c r="A964">
        <v>57</v>
      </c>
      <c r="B964">
        <v>2023</v>
      </c>
      <c r="C964">
        <v>0.81</v>
      </c>
      <c r="D964">
        <v>0.47</v>
      </c>
      <c r="E964">
        <v>0.61</v>
      </c>
      <c r="F964">
        <v>0.73</v>
      </c>
      <c r="G964">
        <v>0.45</v>
      </c>
      <c r="H964">
        <v>0.39</v>
      </c>
      <c r="I964">
        <v>465</v>
      </c>
      <c r="J964">
        <v>1</v>
      </c>
      <c r="K964">
        <v>0.64</v>
      </c>
      <c r="L964" t="s">
        <v>12</v>
      </c>
    </row>
    <row r="965" spans="1:12" x14ac:dyDescent="0.3">
      <c r="A965">
        <v>58</v>
      </c>
      <c r="B965">
        <v>2023</v>
      </c>
      <c r="C965">
        <v>0.54</v>
      </c>
      <c r="D965">
        <v>0.81</v>
      </c>
      <c r="E965">
        <v>0.78</v>
      </c>
      <c r="F965">
        <v>0.71</v>
      </c>
      <c r="G965">
        <v>0.92</v>
      </c>
      <c r="H965">
        <v>0.8</v>
      </c>
      <c r="I965">
        <v>217</v>
      </c>
      <c r="J965">
        <v>0</v>
      </c>
      <c r="K965">
        <v>0.72</v>
      </c>
      <c r="L965" t="s">
        <v>13</v>
      </c>
    </row>
    <row r="966" spans="1:12" x14ac:dyDescent="0.3">
      <c r="A966">
        <v>58</v>
      </c>
      <c r="B966">
        <v>2023</v>
      </c>
      <c r="C966">
        <v>0.96</v>
      </c>
      <c r="D966">
        <v>0.56999999999999995</v>
      </c>
      <c r="E966">
        <v>0.67</v>
      </c>
      <c r="F966">
        <v>0.88</v>
      </c>
      <c r="G966">
        <v>0.84</v>
      </c>
      <c r="H966">
        <v>0.93</v>
      </c>
      <c r="I966">
        <v>123</v>
      </c>
      <c r="J966">
        <v>10</v>
      </c>
      <c r="K966">
        <v>0.78</v>
      </c>
      <c r="L966" t="s">
        <v>13</v>
      </c>
    </row>
    <row r="967" spans="1:12" x14ac:dyDescent="0.3">
      <c r="A967">
        <v>58</v>
      </c>
      <c r="B967">
        <v>2023</v>
      </c>
      <c r="C967">
        <v>0.78</v>
      </c>
      <c r="D967">
        <v>0.53</v>
      </c>
      <c r="E967">
        <v>0.81</v>
      </c>
      <c r="F967">
        <v>0.95</v>
      </c>
      <c r="G967">
        <v>0.79</v>
      </c>
      <c r="H967">
        <v>0.24</v>
      </c>
      <c r="I967">
        <v>197</v>
      </c>
      <c r="J967">
        <v>16</v>
      </c>
      <c r="K967">
        <v>0.75</v>
      </c>
      <c r="L967" t="s">
        <v>13</v>
      </c>
    </row>
    <row r="968" spans="1:12" x14ac:dyDescent="0.3">
      <c r="A968">
        <v>59</v>
      </c>
      <c r="B968">
        <v>2023</v>
      </c>
      <c r="C968">
        <v>0.99</v>
      </c>
      <c r="D968">
        <v>0.76</v>
      </c>
      <c r="E968">
        <v>0.62</v>
      </c>
      <c r="F968">
        <v>0.64</v>
      </c>
      <c r="G968">
        <v>0.41</v>
      </c>
      <c r="H968">
        <v>0.25</v>
      </c>
      <c r="I968">
        <v>53</v>
      </c>
      <c r="J968">
        <v>10</v>
      </c>
      <c r="K968">
        <v>0.75</v>
      </c>
      <c r="L968" t="s">
        <v>13</v>
      </c>
    </row>
    <row r="969" spans="1:12" x14ac:dyDescent="0.3">
      <c r="A969">
        <v>59</v>
      </c>
      <c r="B969">
        <v>2023</v>
      </c>
      <c r="C969">
        <v>0.41</v>
      </c>
      <c r="D969">
        <v>0.6</v>
      </c>
      <c r="E969">
        <v>0.62</v>
      </c>
      <c r="F969">
        <v>0.97</v>
      </c>
      <c r="G969">
        <v>0.37</v>
      </c>
      <c r="H969">
        <v>0.7</v>
      </c>
      <c r="I969">
        <v>237</v>
      </c>
      <c r="J969">
        <v>6</v>
      </c>
      <c r="K969">
        <v>0.57999999999999996</v>
      </c>
      <c r="L969" t="s">
        <v>12</v>
      </c>
    </row>
    <row r="970" spans="1:12" x14ac:dyDescent="0.3">
      <c r="A970">
        <v>59</v>
      </c>
      <c r="B970">
        <v>2023</v>
      </c>
      <c r="C970">
        <v>0.83</v>
      </c>
      <c r="D970">
        <v>0.54</v>
      </c>
      <c r="E970">
        <v>0.98</v>
      </c>
      <c r="F970">
        <v>0.66</v>
      </c>
      <c r="G970">
        <v>0.78</v>
      </c>
      <c r="H970">
        <v>0.22</v>
      </c>
      <c r="I970">
        <v>117</v>
      </c>
      <c r="J970">
        <v>4</v>
      </c>
      <c r="K970">
        <v>0.76</v>
      </c>
      <c r="L970" t="s">
        <v>13</v>
      </c>
    </row>
    <row r="971" spans="1:12" x14ac:dyDescent="0.3">
      <c r="A971">
        <v>59</v>
      </c>
      <c r="B971">
        <v>2023</v>
      </c>
      <c r="C971">
        <v>0.83</v>
      </c>
      <c r="D971">
        <v>0.65</v>
      </c>
      <c r="E971">
        <v>0.5</v>
      </c>
      <c r="F971">
        <v>0.73</v>
      </c>
      <c r="G971">
        <v>0.67</v>
      </c>
      <c r="H971">
        <v>0.32</v>
      </c>
      <c r="I971">
        <v>305</v>
      </c>
      <c r="J971">
        <v>4</v>
      </c>
      <c r="K971">
        <v>0.69</v>
      </c>
      <c r="L971" t="s">
        <v>12</v>
      </c>
    </row>
    <row r="972" spans="1:12" x14ac:dyDescent="0.3">
      <c r="A972">
        <v>59</v>
      </c>
      <c r="B972">
        <v>2023</v>
      </c>
      <c r="C972">
        <v>0.89</v>
      </c>
      <c r="D972">
        <v>0.63</v>
      </c>
      <c r="E972">
        <v>0.65</v>
      </c>
      <c r="F972">
        <v>0.96</v>
      </c>
      <c r="G972">
        <v>1</v>
      </c>
      <c r="H972">
        <v>0.67</v>
      </c>
      <c r="I972">
        <v>206</v>
      </c>
      <c r="J972">
        <v>1</v>
      </c>
      <c r="K972">
        <v>0.8</v>
      </c>
      <c r="L972" t="s">
        <v>13</v>
      </c>
    </row>
    <row r="973" spans="1:12" x14ac:dyDescent="0.3">
      <c r="A973">
        <v>60</v>
      </c>
      <c r="B973">
        <v>2023</v>
      </c>
      <c r="C973">
        <v>0.62</v>
      </c>
      <c r="D973">
        <v>0.43</v>
      </c>
      <c r="E973">
        <v>0.89</v>
      </c>
      <c r="F973">
        <v>0.68</v>
      </c>
      <c r="G973">
        <v>0.48</v>
      </c>
      <c r="H973">
        <v>0.16</v>
      </c>
      <c r="I973">
        <v>432</v>
      </c>
      <c r="J973">
        <v>3</v>
      </c>
      <c r="K973">
        <v>0.62</v>
      </c>
      <c r="L973" t="s">
        <v>12</v>
      </c>
    </row>
    <row r="974" spans="1:12" x14ac:dyDescent="0.3">
      <c r="A974">
        <v>60</v>
      </c>
      <c r="B974">
        <v>2023</v>
      </c>
      <c r="C974">
        <v>0.57999999999999996</v>
      </c>
      <c r="D974">
        <v>0.54</v>
      </c>
      <c r="E974">
        <v>0.63</v>
      </c>
      <c r="F974">
        <v>0.79</v>
      </c>
      <c r="G974">
        <v>0.56000000000000005</v>
      </c>
      <c r="H974">
        <v>0.91</v>
      </c>
      <c r="I974">
        <v>191</v>
      </c>
      <c r="J974">
        <v>11</v>
      </c>
      <c r="K974">
        <v>0.61</v>
      </c>
      <c r="L974" t="s">
        <v>12</v>
      </c>
    </row>
    <row r="975" spans="1:12" x14ac:dyDescent="0.3">
      <c r="A975">
        <v>60</v>
      </c>
      <c r="B975">
        <v>2023</v>
      </c>
      <c r="C975">
        <v>0.34</v>
      </c>
      <c r="D975">
        <v>0.94</v>
      </c>
      <c r="E975">
        <v>0.9</v>
      </c>
      <c r="F975">
        <v>0.69</v>
      </c>
      <c r="G975">
        <v>0.56999999999999995</v>
      </c>
      <c r="H975">
        <v>0.27</v>
      </c>
      <c r="I975">
        <v>173</v>
      </c>
      <c r="J975">
        <v>5</v>
      </c>
      <c r="K975">
        <v>0.68</v>
      </c>
      <c r="L975" t="s">
        <v>12</v>
      </c>
    </row>
    <row r="976" spans="1:12" x14ac:dyDescent="0.3">
      <c r="A976">
        <v>61</v>
      </c>
      <c r="B976">
        <v>2023</v>
      </c>
      <c r="C976">
        <v>0.32</v>
      </c>
      <c r="D976">
        <v>0.79</v>
      </c>
      <c r="E976">
        <v>0.68</v>
      </c>
      <c r="F976">
        <v>0.95</v>
      </c>
      <c r="G976">
        <v>0.63</v>
      </c>
      <c r="H976">
        <v>0.97</v>
      </c>
      <c r="I976">
        <v>479</v>
      </c>
      <c r="J976">
        <v>16</v>
      </c>
      <c r="K976">
        <v>0.64</v>
      </c>
      <c r="L976" t="s">
        <v>12</v>
      </c>
    </row>
    <row r="977" spans="1:12" x14ac:dyDescent="0.3">
      <c r="A977">
        <v>61</v>
      </c>
      <c r="B977">
        <v>2023</v>
      </c>
      <c r="C977">
        <v>0.47</v>
      </c>
      <c r="D977">
        <v>0.79</v>
      </c>
      <c r="E977">
        <v>0.64</v>
      </c>
      <c r="F977">
        <v>0.69</v>
      </c>
      <c r="G977">
        <v>0.48</v>
      </c>
      <c r="H977">
        <v>0.49</v>
      </c>
      <c r="I977">
        <v>96</v>
      </c>
      <c r="J977">
        <v>6</v>
      </c>
      <c r="K977">
        <v>0.62</v>
      </c>
      <c r="L977" t="s">
        <v>12</v>
      </c>
    </row>
    <row r="978" spans="1:12" x14ac:dyDescent="0.3">
      <c r="A978">
        <v>61</v>
      </c>
      <c r="B978">
        <v>2023</v>
      </c>
      <c r="C978">
        <v>0.82</v>
      </c>
      <c r="D978">
        <v>0.64</v>
      </c>
      <c r="E978">
        <v>0.61</v>
      </c>
      <c r="F978">
        <v>0.81</v>
      </c>
      <c r="G978">
        <v>0.94</v>
      </c>
      <c r="H978">
        <v>0.64</v>
      </c>
      <c r="I978">
        <v>71</v>
      </c>
      <c r="J978">
        <v>13</v>
      </c>
      <c r="K978">
        <v>0.74</v>
      </c>
      <c r="L978" t="s">
        <v>13</v>
      </c>
    </row>
    <row r="979" spans="1:12" x14ac:dyDescent="0.3">
      <c r="A979">
        <v>62</v>
      </c>
      <c r="B979">
        <v>2023</v>
      </c>
      <c r="C979">
        <v>0.81</v>
      </c>
      <c r="D979">
        <v>0.88</v>
      </c>
      <c r="E979">
        <v>0.83</v>
      </c>
      <c r="F979">
        <v>0.88</v>
      </c>
      <c r="G979">
        <v>0.89</v>
      </c>
      <c r="H979">
        <v>0.25</v>
      </c>
      <c r="I979">
        <v>138</v>
      </c>
      <c r="J979">
        <v>11</v>
      </c>
      <c r="K979">
        <v>0.85</v>
      </c>
      <c r="L979" t="s">
        <v>13</v>
      </c>
    </row>
    <row r="980" spans="1:12" x14ac:dyDescent="0.3">
      <c r="A980">
        <v>63</v>
      </c>
      <c r="B980">
        <v>2023</v>
      </c>
      <c r="C980">
        <v>0.41</v>
      </c>
      <c r="D980">
        <v>0.46</v>
      </c>
      <c r="E980">
        <v>0.79</v>
      </c>
      <c r="F980">
        <v>0.95</v>
      </c>
      <c r="G980">
        <v>0.6</v>
      </c>
      <c r="H980">
        <v>0.16</v>
      </c>
      <c r="I980">
        <v>235</v>
      </c>
      <c r="J980">
        <v>15</v>
      </c>
      <c r="K980">
        <v>0.6</v>
      </c>
      <c r="L980" t="s">
        <v>12</v>
      </c>
    </row>
    <row r="981" spans="1:12" x14ac:dyDescent="0.3">
      <c r="A981">
        <v>63</v>
      </c>
      <c r="B981">
        <v>2023</v>
      </c>
      <c r="C981">
        <v>0.61</v>
      </c>
      <c r="D981">
        <v>0.71</v>
      </c>
      <c r="E981">
        <v>0.81</v>
      </c>
      <c r="F981">
        <v>0.97</v>
      </c>
      <c r="G981">
        <v>0.31</v>
      </c>
      <c r="H981">
        <v>0.48</v>
      </c>
      <c r="I981">
        <v>398</v>
      </c>
      <c r="J981">
        <v>10</v>
      </c>
      <c r="K981">
        <v>0.7</v>
      </c>
      <c r="L981" t="s">
        <v>12</v>
      </c>
    </row>
    <row r="982" spans="1:12" x14ac:dyDescent="0.3">
      <c r="A982">
        <v>63</v>
      </c>
      <c r="B982">
        <v>2023</v>
      </c>
      <c r="C982">
        <v>0.63</v>
      </c>
      <c r="D982">
        <v>0.67</v>
      </c>
      <c r="E982">
        <v>0.75</v>
      </c>
      <c r="F982">
        <v>0.94</v>
      </c>
      <c r="G982">
        <v>0.62</v>
      </c>
      <c r="H982">
        <v>0.94</v>
      </c>
      <c r="I982">
        <v>63</v>
      </c>
      <c r="J982">
        <v>10</v>
      </c>
      <c r="K982">
        <v>0.71</v>
      </c>
      <c r="L982" t="s">
        <v>13</v>
      </c>
    </row>
    <row r="983" spans="1:12" x14ac:dyDescent="0.3">
      <c r="A983">
        <v>63</v>
      </c>
      <c r="B983">
        <v>2023</v>
      </c>
      <c r="C983">
        <v>0.88</v>
      </c>
      <c r="D983">
        <v>0.83</v>
      </c>
      <c r="E983">
        <v>0.85</v>
      </c>
      <c r="F983">
        <v>0.73</v>
      </c>
      <c r="G983">
        <v>0.46</v>
      </c>
      <c r="H983">
        <v>0.21</v>
      </c>
      <c r="I983">
        <v>465</v>
      </c>
      <c r="J983">
        <v>5</v>
      </c>
      <c r="K983">
        <v>0.8</v>
      </c>
      <c r="L983" t="s">
        <v>13</v>
      </c>
    </row>
    <row r="984" spans="1:12" x14ac:dyDescent="0.3">
      <c r="A984">
        <v>63</v>
      </c>
      <c r="B984">
        <v>2023</v>
      </c>
      <c r="C984">
        <v>0.94</v>
      </c>
      <c r="D984">
        <v>0.59</v>
      </c>
      <c r="E984">
        <v>0.63</v>
      </c>
      <c r="F984">
        <v>0.81</v>
      </c>
      <c r="G984">
        <v>0.88</v>
      </c>
      <c r="H984">
        <v>0.1</v>
      </c>
      <c r="I984">
        <v>97</v>
      </c>
      <c r="J984">
        <v>18</v>
      </c>
      <c r="K984">
        <v>0.76</v>
      </c>
      <c r="L984" t="s">
        <v>13</v>
      </c>
    </row>
    <row r="985" spans="1:12" x14ac:dyDescent="0.3">
      <c r="A985">
        <v>63</v>
      </c>
      <c r="B985">
        <v>2023</v>
      </c>
      <c r="C985">
        <v>0.46</v>
      </c>
      <c r="D985">
        <v>0.77</v>
      </c>
      <c r="E985">
        <v>0.75</v>
      </c>
      <c r="F985">
        <v>1</v>
      </c>
      <c r="G985">
        <v>0.99</v>
      </c>
      <c r="H985">
        <v>0.64</v>
      </c>
      <c r="I985">
        <v>110</v>
      </c>
      <c r="J985">
        <v>13</v>
      </c>
      <c r="K985">
        <v>0.73</v>
      </c>
      <c r="L985" t="s">
        <v>13</v>
      </c>
    </row>
    <row r="986" spans="1:12" x14ac:dyDescent="0.3">
      <c r="A986">
        <v>63</v>
      </c>
      <c r="B986">
        <v>2023</v>
      </c>
      <c r="C986">
        <v>0.62</v>
      </c>
      <c r="D986">
        <v>0.62</v>
      </c>
      <c r="E986">
        <v>0.65</v>
      </c>
      <c r="F986">
        <v>0.67</v>
      </c>
      <c r="G986">
        <v>0.85</v>
      </c>
      <c r="H986">
        <v>0.96</v>
      </c>
      <c r="I986">
        <v>402</v>
      </c>
      <c r="J986">
        <v>12</v>
      </c>
      <c r="K986">
        <v>0.66</v>
      </c>
      <c r="L986" t="s">
        <v>12</v>
      </c>
    </row>
    <row r="987" spans="1:12" x14ac:dyDescent="0.3">
      <c r="A987">
        <v>63</v>
      </c>
      <c r="B987">
        <v>2023</v>
      </c>
      <c r="C987">
        <v>0.86</v>
      </c>
      <c r="D987">
        <v>0.97</v>
      </c>
      <c r="E987">
        <v>0.52</v>
      </c>
      <c r="F987">
        <v>0.62</v>
      </c>
      <c r="G987">
        <v>0.54</v>
      </c>
      <c r="H987">
        <v>0.09</v>
      </c>
      <c r="I987">
        <v>114</v>
      </c>
      <c r="J987">
        <v>15</v>
      </c>
      <c r="K987">
        <v>0.75</v>
      </c>
      <c r="L987" t="s">
        <v>13</v>
      </c>
    </row>
    <row r="988" spans="1:12" x14ac:dyDescent="0.3">
      <c r="A988">
        <v>63</v>
      </c>
      <c r="B988">
        <v>2023</v>
      </c>
      <c r="C988">
        <v>0.79</v>
      </c>
      <c r="D988">
        <v>0.8</v>
      </c>
      <c r="E988">
        <v>0.69</v>
      </c>
      <c r="F988">
        <v>0.87</v>
      </c>
      <c r="G988">
        <v>0.93</v>
      </c>
      <c r="H988">
        <v>0.33</v>
      </c>
      <c r="I988">
        <v>370</v>
      </c>
      <c r="J988">
        <v>10</v>
      </c>
      <c r="K988">
        <v>0.8</v>
      </c>
      <c r="L988" t="s">
        <v>13</v>
      </c>
    </row>
    <row r="989" spans="1:12" x14ac:dyDescent="0.3">
      <c r="A989">
        <v>64</v>
      </c>
      <c r="B989">
        <v>2023</v>
      </c>
      <c r="C989">
        <v>0.67</v>
      </c>
      <c r="D989">
        <v>0.87</v>
      </c>
      <c r="E989">
        <v>0.62</v>
      </c>
      <c r="F989">
        <v>0.74</v>
      </c>
      <c r="G989">
        <v>0.32</v>
      </c>
      <c r="H989">
        <v>0.96</v>
      </c>
      <c r="I989">
        <v>112</v>
      </c>
      <c r="J989">
        <v>7</v>
      </c>
      <c r="K989">
        <v>0.69</v>
      </c>
      <c r="L989" t="s">
        <v>12</v>
      </c>
    </row>
    <row r="990" spans="1:12" x14ac:dyDescent="0.3">
      <c r="A990">
        <v>64</v>
      </c>
      <c r="B990">
        <v>2023</v>
      </c>
      <c r="C990">
        <v>0.34</v>
      </c>
      <c r="D990">
        <v>0.52</v>
      </c>
      <c r="E990">
        <v>0.71</v>
      </c>
      <c r="F990">
        <v>0.69</v>
      </c>
      <c r="G990">
        <v>0.3</v>
      </c>
      <c r="H990">
        <v>0.92</v>
      </c>
      <c r="I990">
        <v>369</v>
      </c>
      <c r="J990">
        <v>1</v>
      </c>
      <c r="K990">
        <v>0.51</v>
      </c>
      <c r="L990" t="s">
        <v>12</v>
      </c>
    </row>
    <row r="991" spans="1:12" x14ac:dyDescent="0.3">
      <c r="A991">
        <v>64</v>
      </c>
      <c r="B991">
        <v>2023</v>
      </c>
      <c r="C991">
        <v>0.86</v>
      </c>
      <c r="D991">
        <v>0.51</v>
      </c>
      <c r="E991">
        <v>0.55000000000000004</v>
      </c>
      <c r="F991">
        <v>0.95</v>
      </c>
      <c r="G991">
        <v>0.54</v>
      </c>
      <c r="H991">
        <v>0.68</v>
      </c>
      <c r="I991">
        <v>327</v>
      </c>
      <c r="J991">
        <v>0</v>
      </c>
      <c r="K991">
        <v>0.69</v>
      </c>
      <c r="L991" t="s">
        <v>12</v>
      </c>
    </row>
    <row r="992" spans="1:12" x14ac:dyDescent="0.3">
      <c r="A992">
        <v>64</v>
      </c>
      <c r="B992">
        <v>2023</v>
      </c>
      <c r="C992">
        <v>0.66</v>
      </c>
      <c r="D992">
        <v>0.68</v>
      </c>
      <c r="E992">
        <v>0.63</v>
      </c>
      <c r="F992">
        <v>0.93</v>
      </c>
      <c r="G992">
        <v>0.93</v>
      </c>
      <c r="H992">
        <v>0.78</v>
      </c>
      <c r="I992">
        <v>424</v>
      </c>
      <c r="J992">
        <v>12</v>
      </c>
      <c r="K992">
        <v>0.73</v>
      </c>
      <c r="L992" t="s">
        <v>13</v>
      </c>
    </row>
    <row r="993" spans="1:12" x14ac:dyDescent="0.3">
      <c r="A993">
        <v>64</v>
      </c>
      <c r="B993">
        <v>2023</v>
      </c>
      <c r="C993">
        <v>0.66</v>
      </c>
      <c r="D993">
        <v>0.68</v>
      </c>
      <c r="E993">
        <v>0.66</v>
      </c>
      <c r="F993">
        <v>0.83</v>
      </c>
      <c r="G993">
        <v>0.81</v>
      </c>
      <c r="H993">
        <v>0.41</v>
      </c>
      <c r="I993">
        <v>141</v>
      </c>
      <c r="J993">
        <v>18</v>
      </c>
      <c r="K993">
        <v>0.71</v>
      </c>
      <c r="L993" t="s">
        <v>13</v>
      </c>
    </row>
    <row r="994" spans="1:12" x14ac:dyDescent="0.3">
      <c r="A994">
        <v>64</v>
      </c>
      <c r="B994">
        <v>2023</v>
      </c>
      <c r="C994">
        <v>0.61</v>
      </c>
      <c r="D994">
        <v>0.92</v>
      </c>
      <c r="E994">
        <v>0.78</v>
      </c>
      <c r="F994">
        <v>0.66</v>
      </c>
      <c r="G994">
        <v>0.78</v>
      </c>
      <c r="H994">
        <v>0.51</v>
      </c>
      <c r="I994">
        <v>99</v>
      </c>
      <c r="J994">
        <v>11</v>
      </c>
      <c r="K994">
        <v>0.75</v>
      </c>
      <c r="L994" t="s">
        <v>13</v>
      </c>
    </row>
    <row r="995" spans="1:12" x14ac:dyDescent="0.3">
      <c r="A995">
        <v>64</v>
      </c>
      <c r="B995">
        <v>2023</v>
      </c>
      <c r="C995">
        <v>0.5</v>
      </c>
      <c r="D995">
        <v>0.62</v>
      </c>
      <c r="E995">
        <v>0.73</v>
      </c>
      <c r="F995">
        <v>0.99</v>
      </c>
      <c r="G995">
        <v>0.42</v>
      </c>
      <c r="H995">
        <v>0.36</v>
      </c>
      <c r="I995">
        <v>339</v>
      </c>
      <c r="J995">
        <v>19</v>
      </c>
      <c r="K995">
        <v>0.64</v>
      </c>
      <c r="L995" t="s">
        <v>12</v>
      </c>
    </row>
    <row r="996" spans="1:12" x14ac:dyDescent="0.3">
      <c r="A996">
        <v>64</v>
      </c>
      <c r="B996">
        <v>2023</v>
      </c>
      <c r="C996">
        <v>0.85</v>
      </c>
      <c r="D996">
        <v>0.59</v>
      </c>
      <c r="E996">
        <v>0.54</v>
      </c>
      <c r="F996">
        <v>0.79</v>
      </c>
      <c r="G996">
        <v>0.82</v>
      </c>
      <c r="H996">
        <v>0.22</v>
      </c>
      <c r="I996">
        <v>487</v>
      </c>
      <c r="J996">
        <v>3</v>
      </c>
      <c r="K996">
        <v>0.71</v>
      </c>
      <c r="L996" t="s">
        <v>13</v>
      </c>
    </row>
    <row r="997" spans="1:12" x14ac:dyDescent="0.3">
      <c r="A997">
        <v>65</v>
      </c>
      <c r="B997">
        <v>2023</v>
      </c>
      <c r="C997">
        <v>0.37</v>
      </c>
      <c r="D997">
        <v>0.49</v>
      </c>
      <c r="E997">
        <v>0.97</v>
      </c>
      <c r="F997">
        <v>0.89</v>
      </c>
      <c r="G997">
        <v>0.92</v>
      </c>
      <c r="H997">
        <v>0.2</v>
      </c>
      <c r="I997">
        <v>327</v>
      </c>
      <c r="J997">
        <v>3</v>
      </c>
      <c r="K997">
        <v>0.65</v>
      </c>
      <c r="L997" t="s">
        <v>12</v>
      </c>
    </row>
    <row r="998" spans="1:12" x14ac:dyDescent="0.3">
      <c r="A998">
        <v>65</v>
      </c>
      <c r="B998">
        <v>2023</v>
      </c>
      <c r="C998">
        <v>0.77</v>
      </c>
      <c r="D998">
        <v>0.69</v>
      </c>
      <c r="E998">
        <v>0.71</v>
      </c>
      <c r="F998">
        <v>0.74</v>
      </c>
      <c r="G998">
        <v>0.72</v>
      </c>
      <c r="H998">
        <v>0.57999999999999996</v>
      </c>
      <c r="I998">
        <v>274</v>
      </c>
      <c r="J998">
        <v>6</v>
      </c>
      <c r="K998">
        <v>0.73</v>
      </c>
      <c r="L998" t="s">
        <v>13</v>
      </c>
    </row>
    <row r="999" spans="1:12" x14ac:dyDescent="0.3">
      <c r="A999">
        <v>65</v>
      </c>
      <c r="B999">
        <v>2023</v>
      </c>
      <c r="C999">
        <v>0.76</v>
      </c>
      <c r="D999">
        <v>0.64</v>
      </c>
      <c r="E999">
        <v>0.68</v>
      </c>
      <c r="F999">
        <v>0.88</v>
      </c>
      <c r="G999">
        <v>0.56999999999999995</v>
      </c>
      <c r="H999">
        <v>0.35</v>
      </c>
      <c r="I999">
        <v>160</v>
      </c>
      <c r="J999">
        <v>4</v>
      </c>
      <c r="K999">
        <v>0.71</v>
      </c>
      <c r="L999" t="s">
        <v>13</v>
      </c>
    </row>
    <row r="1000" spans="1:12" x14ac:dyDescent="0.3">
      <c r="A1000">
        <v>65</v>
      </c>
      <c r="B1000">
        <v>2023</v>
      </c>
      <c r="C1000">
        <v>0.3</v>
      </c>
      <c r="D1000">
        <v>0.7</v>
      </c>
      <c r="E1000">
        <v>0.88</v>
      </c>
      <c r="F1000">
        <v>0.93</v>
      </c>
      <c r="G1000">
        <v>0.92</v>
      </c>
      <c r="H1000">
        <v>0.49</v>
      </c>
      <c r="I1000">
        <v>455</v>
      </c>
      <c r="J1000">
        <v>14</v>
      </c>
      <c r="K1000">
        <v>0.67</v>
      </c>
      <c r="L1000" t="s">
        <v>12</v>
      </c>
    </row>
    <row r="1001" spans="1:12" x14ac:dyDescent="0.3">
      <c r="A1001">
        <v>65</v>
      </c>
      <c r="B1001">
        <v>2023</v>
      </c>
      <c r="C1001">
        <v>0.45</v>
      </c>
      <c r="D1001">
        <v>0.51</v>
      </c>
      <c r="E1001">
        <v>0.73</v>
      </c>
      <c r="F1001">
        <v>0.9</v>
      </c>
      <c r="G1001">
        <v>0.5</v>
      </c>
      <c r="H1001">
        <v>0.02</v>
      </c>
      <c r="I1001">
        <v>402</v>
      </c>
      <c r="J1001">
        <v>4</v>
      </c>
      <c r="K1001">
        <v>0.59</v>
      </c>
      <c r="L1001" t="s">
        <v>12</v>
      </c>
    </row>
    <row r="1002" spans="1:12" x14ac:dyDescent="0.3">
      <c r="A1002">
        <v>66</v>
      </c>
      <c r="B1002">
        <v>2023</v>
      </c>
      <c r="C1002">
        <v>0.42</v>
      </c>
      <c r="D1002">
        <v>0.75</v>
      </c>
      <c r="E1002">
        <v>0.63</v>
      </c>
      <c r="F1002">
        <v>0.7</v>
      </c>
      <c r="G1002">
        <v>0.64</v>
      </c>
      <c r="H1002">
        <v>0.65</v>
      </c>
      <c r="I1002">
        <v>352</v>
      </c>
      <c r="J1002">
        <v>3</v>
      </c>
      <c r="K1002">
        <v>0.61</v>
      </c>
      <c r="L1002" t="s">
        <v>12</v>
      </c>
    </row>
    <row r="1003" spans="1:12" x14ac:dyDescent="0.3">
      <c r="A1003">
        <v>67</v>
      </c>
      <c r="B1003">
        <v>2023</v>
      </c>
      <c r="C1003">
        <v>0.56000000000000005</v>
      </c>
      <c r="D1003">
        <v>0.54</v>
      </c>
      <c r="E1003">
        <v>0.78</v>
      </c>
      <c r="F1003">
        <v>0.92</v>
      </c>
      <c r="G1003">
        <v>0.3</v>
      </c>
      <c r="H1003">
        <v>0.63</v>
      </c>
      <c r="I1003">
        <v>161</v>
      </c>
      <c r="J1003">
        <v>5</v>
      </c>
      <c r="K1003">
        <v>0.63</v>
      </c>
      <c r="L1003" t="s">
        <v>12</v>
      </c>
    </row>
    <row r="1004" spans="1:12" x14ac:dyDescent="0.3">
      <c r="A1004">
        <v>67</v>
      </c>
      <c r="B1004">
        <v>2023</v>
      </c>
      <c r="C1004">
        <v>0.73</v>
      </c>
      <c r="D1004">
        <v>1</v>
      </c>
      <c r="E1004">
        <v>0.87</v>
      </c>
      <c r="F1004">
        <v>0.69</v>
      </c>
      <c r="G1004">
        <v>0.89</v>
      </c>
      <c r="H1004">
        <v>0.41</v>
      </c>
      <c r="I1004">
        <v>285</v>
      </c>
      <c r="J1004">
        <v>8</v>
      </c>
      <c r="K1004">
        <v>0.84</v>
      </c>
      <c r="L1004" t="s">
        <v>13</v>
      </c>
    </row>
    <row r="1005" spans="1:12" x14ac:dyDescent="0.3">
      <c r="A1005">
        <v>67</v>
      </c>
      <c r="B1005">
        <v>2023</v>
      </c>
      <c r="C1005">
        <v>0.34</v>
      </c>
      <c r="D1005">
        <v>0.73</v>
      </c>
      <c r="E1005">
        <v>0.65</v>
      </c>
      <c r="F1005">
        <v>0.81</v>
      </c>
      <c r="G1005">
        <v>0.39</v>
      </c>
      <c r="H1005">
        <v>0.93</v>
      </c>
      <c r="I1005">
        <v>81</v>
      </c>
      <c r="J1005">
        <v>10</v>
      </c>
      <c r="K1005">
        <v>0.57999999999999996</v>
      </c>
      <c r="L1005" t="s">
        <v>12</v>
      </c>
    </row>
    <row r="1006" spans="1:12" x14ac:dyDescent="0.3">
      <c r="A1006">
        <v>68</v>
      </c>
      <c r="B1006">
        <v>2023</v>
      </c>
      <c r="C1006">
        <v>0.88</v>
      </c>
      <c r="D1006">
        <v>0.93</v>
      </c>
      <c r="E1006">
        <v>0.79</v>
      </c>
      <c r="F1006">
        <v>0.81</v>
      </c>
      <c r="G1006">
        <v>0.6</v>
      </c>
      <c r="H1006">
        <v>0.32</v>
      </c>
      <c r="I1006">
        <v>125</v>
      </c>
      <c r="J1006">
        <v>13</v>
      </c>
      <c r="K1006">
        <v>0.84</v>
      </c>
      <c r="L1006" t="s">
        <v>13</v>
      </c>
    </row>
    <row r="1007" spans="1:12" x14ac:dyDescent="0.3">
      <c r="A1007">
        <v>68</v>
      </c>
      <c r="B1007">
        <v>2023</v>
      </c>
      <c r="C1007">
        <v>1</v>
      </c>
      <c r="D1007">
        <v>0.86</v>
      </c>
      <c r="E1007">
        <v>0.88</v>
      </c>
      <c r="F1007">
        <v>0.98</v>
      </c>
      <c r="G1007">
        <v>0.92</v>
      </c>
      <c r="H1007">
        <v>0.32</v>
      </c>
      <c r="I1007">
        <v>412</v>
      </c>
      <c r="J1007">
        <v>15</v>
      </c>
      <c r="K1007">
        <v>0.93</v>
      </c>
      <c r="L1007" t="s">
        <v>13</v>
      </c>
    </row>
    <row r="1008" spans="1:12" x14ac:dyDescent="0.3">
      <c r="A1008">
        <v>68</v>
      </c>
      <c r="B1008">
        <v>2023</v>
      </c>
      <c r="C1008">
        <v>0.39</v>
      </c>
      <c r="D1008">
        <v>0.9</v>
      </c>
      <c r="E1008">
        <v>0.93</v>
      </c>
      <c r="F1008">
        <v>0.78</v>
      </c>
      <c r="G1008">
        <v>0.8</v>
      </c>
      <c r="H1008">
        <v>0.87</v>
      </c>
      <c r="I1008">
        <v>87</v>
      </c>
      <c r="J1008">
        <v>5</v>
      </c>
      <c r="K1008">
        <v>0.73</v>
      </c>
      <c r="L1008" t="s">
        <v>13</v>
      </c>
    </row>
    <row r="1009" spans="1:12" x14ac:dyDescent="0.3">
      <c r="A1009">
        <v>69</v>
      </c>
      <c r="B1009">
        <v>2023</v>
      </c>
      <c r="C1009">
        <v>0.64</v>
      </c>
      <c r="D1009">
        <v>0.47</v>
      </c>
      <c r="E1009">
        <v>0.98</v>
      </c>
      <c r="F1009">
        <v>0.89</v>
      </c>
      <c r="G1009">
        <v>0.97</v>
      </c>
      <c r="H1009">
        <v>0.23</v>
      </c>
      <c r="I1009">
        <v>92</v>
      </c>
      <c r="J1009">
        <v>9</v>
      </c>
      <c r="K1009">
        <v>0.74</v>
      </c>
      <c r="L1009" t="s">
        <v>13</v>
      </c>
    </row>
    <row r="1010" spans="1:12" x14ac:dyDescent="0.3">
      <c r="A1010">
        <v>69</v>
      </c>
      <c r="B1010">
        <v>2023</v>
      </c>
      <c r="C1010">
        <v>0.47</v>
      </c>
      <c r="D1010">
        <v>0.44</v>
      </c>
      <c r="E1010">
        <v>0.73</v>
      </c>
      <c r="F1010">
        <v>0.89</v>
      </c>
      <c r="G1010">
        <v>0.72</v>
      </c>
      <c r="H1010">
        <v>0.67</v>
      </c>
      <c r="I1010">
        <v>387</v>
      </c>
      <c r="J1010">
        <v>15</v>
      </c>
      <c r="K1010">
        <v>0.6</v>
      </c>
      <c r="L1010" t="s">
        <v>12</v>
      </c>
    </row>
    <row r="1011" spans="1:12" x14ac:dyDescent="0.3">
      <c r="A1011">
        <v>69</v>
      </c>
      <c r="B1011">
        <v>2023</v>
      </c>
      <c r="C1011">
        <v>0.7</v>
      </c>
      <c r="D1011">
        <v>0.63</v>
      </c>
      <c r="E1011">
        <v>0.98</v>
      </c>
      <c r="F1011">
        <v>0.71</v>
      </c>
      <c r="G1011">
        <v>0.57999999999999996</v>
      </c>
      <c r="H1011">
        <v>0.98</v>
      </c>
      <c r="I1011">
        <v>493</v>
      </c>
      <c r="J1011">
        <v>10</v>
      </c>
      <c r="K1011">
        <v>0.73</v>
      </c>
      <c r="L1011" t="s">
        <v>13</v>
      </c>
    </row>
    <row r="1012" spans="1:12" x14ac:dyDescent="0.3">
      <c r="A1012">
        <v>69</v>
      </c>
      <c r="B1012">
        <v>2023</v>
      </c>
      <c r="C1012">
        <v>0.34</v>
      </c>
      <c r="D1012">
        <v>0.48</v>
      </c>
      <c r="E1012">
        <v>0.93</v>
      </c>
      <c r="F1012">
        <v>0.85</v>
      </c>
      <c r="G1012">
        <v>0.48</v>
      </c>
      <c r="H1012">
        <v>0.56000000000000005</v>
      </c>
      <c r="I1012">
        <v>385</v>
      </c>
      <c r="J1012">
        <v>5</v>
      </c>
      <c r="K1012">
        <v>0.57999999999999996</v>
      </c>
      <c r="L1012" t="s">
        <v>12</v>
      </c>
    </row>
    <row r="1013" spans="1:12" x14ac:dyDescent="0.3">
      <c r="A1013">
        <v>70</v>
      </c>
      <c r="B1013">
        <v>2023</v>
      </c>
      <c r="C1013">
        <v>0.68</v>
      </c>
      <c r="D1013">
        <v>0.89</v>
      </c>
      <c r="E1013">
        <v>0.59</v>
      </c>
      <c r="F1013">
        <v>0.92</v>
      </c>
      <c r="G1013">
        <v>0.79</v>
      </c>
      <c r="H1013">
        <v>0.56000000000000005</v>
      </c>
      <c r="I1013">
        <v>88</v>
      </c>
      <c r="J1013">
        <v>6</v>
      </c>
      <c r="K1013">
        <v>0.76</v>
      </c>
      <c r="L1013" t="s">
        <v>13</v>
      </c>
    </row>
    <row r="1014" spans="1:12" x14ac:dyDescent="0.3">
      <c r="A1014">
        <v>70</v>
      </c>
      <c r="B1014">
        <v>2023</v>
      </c>
      <c r="C1014">
        <v>0.89</v>
      </c>
      <c r="D1014">
        <v>0.75</v>
      </c>
      <c r="E1014">
        <v>0.6</v>
      </c>
      <c r="F1014">
        <v>0.83</v>
      </c>
      <c r="G1014">
        <v>0.65</v>
      </c>
      <c r="H1014">
        <v>0.4</v>
      </c>
      <c r="I1014">
        <v>495</v>
      </c>
      <c r="J1014">
        <v>3</v>
      </c>
      <c r="K1014">
        <v>0.76</v>
      </c>
      <c r="L1014" t="s">
        <v>13</v>
      </c>
    </row>
    <row r="1015" spans="1:12" x14ac:dyDescent="0.3">
      <c r="A1015">
        <v>70</v>
      </c>
      <c r="B1015">
        <v>2023</v>
      </c>
      <c r="C1015">
        <v>0.38</v>
      </c>
      <c r="D1015">
        <v>0.99</v>
      </c>
      <c r="E1015">
        <v>0.64</v>
      </c>
      <c r="F1015">
        <v>0.99</v>
      </c>
      <c r="G1015">
        <v>0.43</v>
      </c>
      <c r="H1015">
        <v>0.36</v>
      </c>
      <c r="I1015">
        <v>383</v>
      </c>
      <c r="J1015">
        <v>14</v>
      </c>
      <c r="K1015">
        <v>0.68</v>
      </c>
      <c r="L1015" t="s">
        <v>12</v>
      </c>
    </row>
    <row r="1016" spans="1:12" x14ac:dyDescent="0.3">
      <c r="A1016">
        <v>70</v>
      </c>
      <c r="B1016">
        <v>2023</v>
      </c>
      <c r="C1016">
        <v>0.85</v>
      </c>
      <c r="D1016">
        <v>0.99</v>
      </c>
      <c r="E1016">
        <v>0.77</v>
      </c>
      <c r="F1016">
        <v>0.87</v>
      </c>
      <c r="G1016">
        <v>0.47</v>
      </c>
      <c r="H1016">
        <v>0.44</v>
      </c>
      <c r="I1016">
        <v>120</v>
      </c>
      <c r="J1016">
        <v>13</v>
      </c>
      <c r="K1016">
        <v>0.83</v>
      </c>
      <c r="L1016" t="s">
        <v>13</v>
      </c>
    </row>
    <row r="1017" spans="1:12" x14ac:dyDescent="0.3">
      <c r="A1017">
        <v>72</v>
      </c>
      <c r="B1017">
        <v>2023</v>
      </c>
      <c r="C1017">
        <v>0.59</v>
      </c>
      <c r="D1017">
        <v>0.88</v>
      </c>
      <c r="E1017">
        <v>0.74</v>
      </c>
      <c r="F1017">
        <v>0.61</v>
      </c>
      <c r="G1017">
        <v>0.6</v>
      </c>
      <c r="H1017">
        <v>0.03</v>
      </c>
      <c r="I1017">
        <v>151</v>
      </c>
      <c r="J1017">
        <v>15</v>
      </c>
      <c r="K1017">
        <v>0.7</v>
      </c>
      <c r="L1017" t="s">
        <v>12</v>
      </c>
    </row>
    <row r="1018" spans="1:12" x14ac:dyDescent="0.3">
      <c r="A1018">
        <v>72</v>
      </c>
      <c r="B1018">
        <v>2023</v>
      </c>
      <c r="C1018">
        <v>0.39</v>
      </c>
      <c r="D1018">
        <v>0.94</v>
      </c>
      <c r="E1018">
        <v>0.54</v>
      </c>
      <c r="F1018">
        <v>0.96</v>
      </c>
      <c r="G1018">
        <v>1</v>
      </c>
      <c r="H1018">
        <v>0.7</v>
      </c>
      <c r="I1018">
        <v>407</v>
      </c>
      <c r="J1018">
        <v>13</v>
      </c>
      <c r="K1018">
        <v>0.7</v>
      </c>
      <c r="L1018" t="s">
        <v>12</v>
      </c>
    </row>
    <row r="1019" spans="1:12" x14ac:dyDescent="0.3">
      <c r="A1019">
        <v>72</v>
      </c>
      <c r="B1019">
        <v>2023</v>
      </c>
      <c r="C1019">
        <v>0.9</v>
      </c>
      <c r="D1019">
        <v>0.7</v>
      </c>
      <c r="E1019">
        <v>0.84</v>
      </c>
      <c r="F1019">
        <v>0.84</v>
      </c>
      <c r="G1019">
        <v>0.89</v>
      </c>
      <c r="H1019">
        <v>0.28000000000000003</v>
      </c>
      <c r="I1019">
        <v>327</v>
      </c>
      <c r="J1019">
        <v>12</v>
      </c>
      <c r="K1019">
        <v>0.83</v>
      </c>
      <c r="L1019" t="s">
        <v>13</v>
      </c>
    </row>
    <row r="1020" spans="1:12" x14ac:dyDescent="0.3">
      <c r="A1020">
        <v>72</v>
      </c>
      <c r="B1020">
        <v>2023</v>
      </c>
      <c r="C1020">
        <v>0.31</v>
      </c>
      <c r="D1020">
        <v>0.92</v>
      </c>
      <c r="E1020">
        <v>0.73</v>
      </c>
      <c r="F1020">
        <v>0.6</v>
      </c>
      <c r="G1020">
        <v>0.57999999999999996</v>
      </c>
      <c r="H1020">
        <v>0.19</v>
      </c>
      <c r="I1020">
        <v>281</v>
      </c>
      <c r="J1020">
        <v>15</v>
      </c>
      <c r="K1020">
        <v>0.62</v>
      </c>
      <c r="L1020" t="s">
        <v>12</v>
      </c>
    </row>
    <row r="1021" spans="1:12" x14ac:dyDescent="0.3">
      <c r="A1021">
        <v>73</v>
      </c>
      <c r="B1021">
        <v>2023</v>
      </c>
      <c r="C1021">
        <v>0.97</v>
      </c>
      <c r="D1021">
        <v>0.55000000000000004</v>
      </c>
      <c r="E1021">
        <v>0.67</v>
      </c>
      <c r="F1021">
        <v>0.96</v>
      </c>
      <c r="G1021">
        <v>0.98</v>
      </c>
      <c r="H1021">
        <v>0.44</v>
      </c>
      <c r="I1021">
        <v>253</v>
      </c>
      <c r="J1021">
        <v>1</v>
      </c>
      <c r="K1021">
        <v>0.8</v>
      </c>
      <c r="L1021" t="s">
        <v>13</v>
      </c>
    </row>
    <row r="1022" spans="1:12" x14ac:dyDescent="0.3">
      <c r="A1022">
        <v>73</v>
      </c>
      <c r="B1022">
        <v>2023</v>
      </c>
      <c r="C1022">
        <v>0.9</v>
      </c>
      <c r="D1022">
        <v>0.92</v>
      </c>
      <c r="E1022">
        <v>0.7</v>
      </c>
      <c r="F1022">
        <v>0.9</v>
      </c>
      <c r="G1022">
        <v>0.4</v>
      </c>
      <c r="H1022">
        <v>0.01</v>
      </c>
      <c r="I1022">
        <v>89</v>
      </c>
      <c r="J1022">
        <v>18</v>
      </c>
      <c r="K1022">
        <v>0.82</v>
      </c>
      <c r="L1022" t="s">
        <v>13</v>
      </c>
    </row>
    <row r="1023" spans="1:12" x14ac:dyDescent="0.3">
      <c r="A1023">
        <v>73</v>
      </c>
      <c r="B1023">
        <v>2023</v>
      </c>
      <c r="C1023">
        <v>0.74</v>
      </c>
      <c r="D1023">
        <v>0.48</v>
      </c>
      <c r="E1023">
        <v>0.88</v>
      </c>
      <c r="F1023">
        <v>0.71</v>
      </c>
      <c r="G1023">
        <v>0.93</v>
      </c>
      <c r="H1023">
        <v>0.82</v>
      </c>
      <c r="I1023">
        <v>100</v>
      </c>
      <c r="J1023">
        <v>18</v>
      </c>
      <c r="K1023">
        <v>0.72</v>
      </c>
      <c r="L1023" t="s">
        <v>13</v>
      </c>
    </row>
    <row r="1024" spans="1:12" x14ac:dyDescent="0.3">
      <c r="A1024">
        <v>74</v>
      </c>
      <c r="B1024">
        <v>2023</v>
      </c>
      <c r="C1024">
        <v>0.49</v>
      </c>
      <c r="D1024">
        <v>0.71</v>
      </c>
      <c r="E1024">
        <v>0.63</v>
      </c>
      <c r="F1024">
        <v>0.85</v>
      </c>
      <c r="G1024">
        <v>0.64</v>
      </c>
      <c r="H1024">
        <v>0.36</v>
      </c>
      <c r="I1024">
        <v>97</v>
      </c>
      <c r="J1024">
        <v>19</v>
      </c>
      <c r="K1024">
        <v>0.64</v>
      </c>
      <c r="L1024" t="s">
        <v>12</v>
      </c>
    </row>
    <row r="1025" spans="1:12" x14ac:dyDescent="0.3">
      <c r="A1025">
        <v>74</v>
      </c>
      <c r="B1025">
        <v>2023</v>
      </c>
      <c r="C1025">
        <v>0.55000000000000004</v>
      </c>
      <c r="D1025">
        <v>0.85</v>
      </c>
      <c r="E1025">
        <v>0.75</v>
      </c>
      <c r="F1025">
        <v>0.65</v>
      </c>
      <c r="G1025">
        <v>0.71</v>
      </c>
      <c r="H1025">
        <v>0.3</v>
      </c>
      <c r="I1025">
        <v>52</v>
      </c>
      <c r="J1025">
        <v>5</v>
      </c>
      <c r="K1025">
        <v>0.7</v>
      </c>
      <c r="L1025" t="s">
        <v>12</v>
      </c>
    </row>
    <row r="1026" spans="1:12" x14ac:dyDescent="0.3">
      <c r="A1026">
        <v>74</v>
      </c>
      <c r="B1026">
        <v>2023</v>
      </c>
      <c r="C1026">
        <v>0.74</v>
      </c>
      <c r="D1026">
        <v>0.85</v>
      </c>
      <c r="E1026">
        <v>0.72</v>
      </c>
      <c r="F1026">
        <v>0.97</v>
      </c>
      <c r="G1026">
        <v>0.74</v>
      </c>
      <c r="H1026">
        <v>0.28999999999999998</v>
      </c>
      <c r="I1026">
        <v>221</v>
      </c>
      <c r="J1026">
        <v>14</v>
      </c>
      <c r="K1026">
        <v>0.8</v>
      </c>
      <c r="L1026" t="s">
        <v>13</v>
      </c>
    </row>
    <row r="1027" spans="1:12" x14ac:dyDescent="0.3">
      <c r="A1027">
        <v>74</v>
      </c>
      <c r="B1027">
        <v>2023</v>
      </c>
      <c r="C1027">
        <v>0.44</v>
      </c>
      <c r="D1027">
        <v>0.95</v>
      </c>
      <c r="E1027">
        <v>0.93</v>
      </c>
      <c r="F1027">
        <v>0.68</v>
      </c>
      <c r="G1027">
        <v>0.91</v>
      </c>
      <c r="H1027">
        <v>0.21</v>
      </c>
      <c r="I1027">
        <v>302</v>
      </c>
      <c r="J1027">
        <v>0</v>
      </c>
      <c r="K1027">
        <v>0.75</v>
      </c>
      <c r="L1027" t="s">
        <v>13</v>
      </c>
    </row>
    <row r="1028" spans="1:12" x14ac:dyDescent="0.3">
      <c r="A1028">
        <v>76</v>
      </c>
      <c r="B1028">
        <v>2023</v>
      </c>
      <c r="C1028">
        <v>0.54</v>
      </c>
      <c r="D1028">
        <v>0.63</v>
      </c>
      <c r="E1028">
        <v>0.55000000000000004</v>
      </c>
      <c r="F1028">
        <v>0.83</v>
      </c>
      <c r="G1028">
        <v>0.33</v>
      </c>
      <c r="H1028">
        <v>0.47</v>
      </c>
      <c r="I1028">
        <v>112</v>
      </c>
      <c r="J1028">
        <v>16</v>
      </c>
      <c r="K1028">
        <v>0.59</v>
      </c>
      <c r="L1028" t="s">
        <v>12</v>
      </c>
    </row>
    <row r="1029" spans="1:12" x14ac:dyDescent="0.3">
      <c r="A1029">
        <v>76</v>
      </c>
      <c r="B1029">
        <v>2023</v>
      </c>
      <c r="C1029">
        <v>0.95</v>
      </c>
      <c r="D1029">
        <v>0.81</v>
      </c>
      <c r="E1029">
        <v>0.84</v>
      </c>
      <c r="F1029">
        <v>0.69</v>
      </c>
      <c r="G1029">
        <v>0.76</v>
      </c>
      <c r="H1029">
        <v>0.39</v>
      </c>
      <c r="I1029">
        <v>118</v>
      </c>
      <c r="J1029">
        <v>8</v>
      </c>
      <c r="K1029">
        <v>0.84</v>
      </c>
      <c r="L1029" t="s">
        <v>13</v>
      </c>
    </row>
    <row r="1030" spans="1:12" x14ac:dyDescent="0.3">
      <c r="A1030">
        <v>76</v>
      </c>
      <c r="B1030">
        <v>2023</v>
      </c>
      <c r="C1030">
        <v>0.34</v>
      </c>
      <c r="D1030">
        <v>0.44</v>
      </c>
      <c r="E1030">
        <v>0.59</v>
      </c>
      <c r="F1030">
        <v>0.61</v>
      </c>
      <c r="G1030">
        <v>0.82</v>
      </c>
      <c r="H1030">
        <v>0.72</v>
      </c>
      <c r="I1030">
        <v>260</v>
      </c>
      <c r="J1030">
        <v>15</v>
      </c>
      <c r="K1030">
        <v>0.5</v>
      </c>
      <c r="L1030" t="s">
        <v>12</v>
      </c>
    </row>
    <row r="1031" spans="1:12" x14ac:dyDescent="0.3">
      <c r="A1031">
        <v>76</v>
      </c>
      <c r="B1031">
        <v>2023</v>
      </c>
      <c r="C1031">
        <v>0.69</v>
      </c>
      <c r="D1031">
        <v>0.86</v>
      </c>
      <c r="E1031">
        <v>0.69</v>
      </c>
      <c r="F1031">
        <v>0.89</v>
      </c>
      <c r="G1031">
        <v>0.59</v>
      </c>
      <c r="H1031">
        <v>0.28000000000000003</v>
      </c>
      <c r="I1031">
        <v>77</v>
      </c>
      <c r="J1031">
        <v>3</v>
      </c>
      <c r="K1031">
        <v>0.75</v>
      </c>
      <c r="L1031" t="s">
        <v>13</v>
      </c>
    </row>
    <row r="1032" spans="1:12" x14ac:dyDescent="0.3">
      <c r="A1032">
        <v>76</v>
      </c>
      <c r="B1032">
        <v>2023</v>
      </c>
      <c r="C1032">
        <v>0.99</v>
      </c>
      <c r="D1032">
        <v>0.96</v>
      </c>
      <c r="E1032">
        <v>0.87</v>
      </c>
      <c r="F1032">
        <v>0.88</v>
      </c>
      <c r="G1032">
        <v>0.54</v>
      </c>
      <c r="H1032">
        <v>0.1</v>
      </c>
      <c r="I1032">
        <v>328</v>
      </c>
      <c r="J1032">
        <v>13</v>
      </c>
      <c r="K1032">
        <v>0.9</v>
      </c>
      <c r="L1032" t="s">
        <v>13</v>
      </c>
    </row>
    <row r="1033" spans="1:12" x14ac:dyDescent="0.3">
      <c r="A1033">
        <v>76</v>
      </c>
      <c r="B1033">
        <v>2023</v>
      </c>
      <c r="C1033">
        <v>0.74</v>
      </c>
      <c r="D1033">
        <v>0.43</v>
      </c>
      <c r="E1033">
        <v>0.59</v>
      </c>
      <c r="F1033">
        <v>0.77</v>
      </c>
      <c r="G1033">
        <v>0.55000000000000004</v>
      </c>
      <c r="H1033">
        <v>0.39</v>
      </c>
      <c r="I1033">
        <v>245</v>
      </c>
      <c r="J1033">
        <v>17</v>
      </c>
      <c r="K1033">
        <v>0.62</v>
      </c>
      <c r="L1033" t="s">
        <v>12</v>
      </c>
    </row>
    <row r="1034" spans="1:12" x14ac:dyDescent="0.3">
      <c r="A1034">
        <v>77</v>
      </c>
      <c r="B1034">
        <v>2023</v>
      </c>
      <c r="C1034">
        <v>0.71</v>
      </c>
      <c r="D1034">
        <v>0.6</v>
      </c>
      <c r="E1034">
        <v>0.77</v>
      </c>
      <c r="F1034">
        <v>0.78</v>
      </c>
      <c r="G1034">
        <v>0.71</v>
      </c>
      <c r="H1034">
        <v>0.4</v>
      </c>
      <c r="I1034">
        <v>449</v>
      </c>
      <c r="J1034">
        <v>7</v>
      </c>
      <c r="K1034">
        <v>0.7</v>
      </c>
      <c r="L1034" t="s">
        <v>12</v>
      </c>
    </row>
    <row r="1035" spans="1:12" x14ac:dyDescent="0.3">
      <c r="A1035">
        <v>77</v>
      </c>
      <c r="B1035">
        <v>2023</v>
      </c>
      <c r="C1035">
        <v>0.91</v>
      </c>
      <c r="D1035">
        <v>0.73</v>
      </c>
      <c r="E1035">
        <v>0.98</v>
      </c>
      <c r="F1035">
        <v>0.62</v>
      </c>
      <c r="G1035">
        <v>0.37</v>
      </c>
      <c r="H1035">
        <v>0.04</v>
      </c>
      <c r="I1035">
        <v>474</v>
      </c>
      <c r="J1035">
        <v>16</v>
      </c>
      <c r="K1035">
        <v>0.78</v>
      </c>
      <c r="L1035" t="s">
        <v>13</v>
      </c>
    </row>
    <row r="1036" spans="1:12" x14ac:dyDescent="0.3">
      <c r="A1036">
        <v>77</v>
      </c>
      <c r="B1036">
        <v>2023</v>
      </c>
      <c r="C1036">
        <v>0.43</v>
      </c>
      <c r="D1036">
        <v>0.94</v>
      </c>
      <c r="E1036">
        <v>0.84</v>
      </c>
      <c r="F1036">
        <v>0.85</v>
      </c>
      <c r="G1036">
        <v>0.37</v>
      </c>
      <c r="H1036">
        <v>0.6</v>
      </c>
      <c r="I1036">
        <v>362</v>
      </c>
      <c r="J1036">
        <v>16</v>
      </c>
      <c r="K1036">
        <v>0.7</v>
      </c>
      <c r="L1036" t="s">
        <v>12</v>
      </c>
    </row>
    <row r="1037" spans="1:12" x14ac:dyDescent="0.3">
      <c r="A1037">
        <v>77</v>
      </c>
      <c r="B1037">
        <v>2023</v>
      </c>
      <c r="C1037">
        <v>0.87</v>
      </c>
      <c r="D1037">
        <v>0.51</v>
      </c>
      <c r="E1037">
        <v>0.56000000000000005</v>
      </c>
      <c r="F1037">
        <v>0.89</v>
      </c>
      <c r="G1037">
        <v>0.41</v>
      </c>
      <c r="H1037">
        <v>0.85</v>
      </c>
      <c r="I1037">
        <v>265</v>
      </c>
      <c r="J1037">
        <v>4</v>
      </c>
      <c r="K1037">
        <v>0.68</v>
      </c>
      <c r="L1037" t="s">
        <v>12</v>
      </c>
    </row>
    <row r="1038" spans="1:12" x14ac:dyDescent="0.3">
      <c r="A1038">
        <v>77</v>
      </c>
      <c r="B1038">
        <v>2023</v>
      </c>
      <c r="C1038">
        <v>0.4</v>
      </c>
      <c r="D1038">
        <v>0.4</v>
      </c>
      <c r="E1038">
        <v>0.62</v>
      </c>
      <c r="F1038">
        <v>0.88</v>
      </c>
      <c r="G1038">
        <v>0.37</v>
      </c>
      <c r="H1038">
        <v>0.91</v>
      </c>
      <c r="I1038">
        <v>76</v>
      </c>
      <c r="J1038">
        <v>16</v>
      </c>
      <c r="K1038">
        <v>0.51</v>
      </c>
      <c r="L1038" t="s">
        <v>12</v>
      </c>
    </row>
    <row r="1039" spans="1:12" x14ac:dyDescent="0.3">
      <c r="A1039">
        <v>77</v>
      </c>
      <c r="B1039">
        <v>2023</v>
      </c>
      <c r="C1039">
        <v>0.32</v>
      </c>
      <c r="D1039">
        <v>0.52</v>
      </c>
      <c r="E1039">
        <v>0.63</v>
      </c>
      <c r="F1039">
        <v>0.63</v>
      </c>
      <c r="G1039">
        <v>0.55000000000000004</v>
      </c>
      <c r="H1039">
        <v>0.03</v>
      </c>
      <c r="I1039">
        <v>291</v>
      </c>
      <c r="J1039">
        <v>9</v>
      </c>
      <c r="K1039">
        <v>0.5</v>
      </c>
      <c r="L1039" t="s">
        <v>12</v>
      </c>
    </row>
    <row r="1040" spans="1:12" x14ac:dyDescent="0.3">
      <c r="A1040">
        <v>78</v>
      </c>
      <c r="B1040">
        <v>2023</v>
      </c>
      <c r="C1040">
        <v>0.38</v>
      </c>
      <c r="D1040">
        <v>0.76</v>
      </c>
      <c r="E1040">
        <v>0.74</v>
      </c>
      <c r="F1040">
        <v>0.61</v>
      </c>
      <c r="G1040">
        <v>0.56999999999999995</v>
      </c>
      <c r="H1040">
        <v>0.11</v>
      </c>
      <c r="I1040">
        <v>117</v>
      </c>
      <c r="J1040">
        <v>10</v>
      </c>
      <c r="K1040">
        <v>0.6</v>
      </c>
      <c r="L1040" t="s">
        <v>12</v>
      </c>
    </row>
    <row r="1041" spans="1:12" x14ac:dyDescent="0.3">
      <c r="A1041">
        <v>78</v>
      </c>
      <c r="B1041">
        <v>2023</v>
      </c>
      <c r="C1041">
        <v>0.48</v>
      </c>
      <c r="D1041">
        <v>0.81</v>
      </c>
      <c r="E1041">
        <v>0.96</v>
      </c>
      <c r="F1041">
        <v>0.74</v>
      </c>
      <c r="G1041">
        <v>0.65</v>
      </c>
      <c r="H1041">
        <v>0.46</v>
      </c>
      <c r="I1041">
        <v>467</v>
      </c>
      <c r="J1041">
        <v>17</v>
      </c>
      <c r="K1041">
        <v>0.71</v>
      </c>
      <c r="L1041" t="s">
        <v>13</v>
      </c>
    </row>
    <row r="1042" spans="1:12" x14ac:dyDescent="0.3">
      <c r="A1042">
        <v>80</v>
      </c>
      <c r="B1042">
        <v>2023</v>
      </c>
      <c r="C1042">
        <v>0.76</v>
      </c>
      <c r="D1042">
        <v>0.64</v>
      </c>
      <c r="E1042">
        <v>0.8</v>
      </c>
      <c r="F1042">
        <v>0.64</v>
      </c>
      <c r="G1042">
        <v>0.31</v>
      </c>
      <c r="H1042">
        <v>0.91</v>
      </c>
      <c r="I1042">
        <v>304</v>
      </c>
      <c r="J1042">
        <v>19</v>
      </c>
      <c r="K1042">
        <v>0.68</v>
      </c>
      <c r="L1042" t="s">
        <v>12</v>
      </c>
    </row>
    <row r="1043" spans="1:12" x14ac:dyDescent="0.3">
      <c r="A1043">
        <v>80</v>
      </c>
      <c r="B1043">
        <v>2023</v>
      </c>
      <c r="C1043">
        <v>0.72</v>
      </c>
      <c r="D1043">
        <v>0.79</v>
      </c>
      <c r="E1043">
        <v>0.88</v>
      </c>
      <c r="F1043">
        <v>0.65</v>
      </c>
      <c r="G1043">
        <v>0.88</v>
      </c>
      <c r="H1043">
        <v>0.71</v>
      </c>
      <c r="I1043">
        <v>252</v>
      </c>
      <c r="J1043">
        <v>2</v>
      </c>
      <c r="K1043">
        <v>0.78</v>
      </c>
      <c r="L1043" t="s">
        <v>13</v>
      </c>
    </row>
    <row r="1044" spans="1:12" x14ac:dyDescent="0.3">
      <c r="A1044">
        <v>80</v>
      </c>
      <c r="B1044">
        <v>2023</v>
      </c>
      <c r="C1044">
        <v>0.66</v>
      </c>
      <c r="D1044">
        <v>0.81</v>
      </c>
      <c r="E1044">
        <v>0.72</v>
      </c>
      <c r="F1044">
        <v>0.7</v>
      </c>
      <c r="G1044">
        <v>0.3</v>
      </c>
      <c r="H1044">
        <v>0.56000000000000005</v>
      </c>
      <c r="I1044">
        <v>122</v>
      </c>
      <c r="J1044">
        <v>3</v>
      </c>
      <c r="K1044">
        <v>0.68</v>
      </c>
      <c r="L1044" t="s">
        <v>12</v>
      </c>
    </row>
    <row r="1045" spans="1:12" x14ac:dyDescent="0.3">
      <c r="A1045">
        <v>81</v>
      </c>
      <c r="B1045">
        <v>2023</v>
      </c>
      <c r="C1045">
        <v>0.35</v>
      </c>
      <c r="D1045">
        <v>0.85</v>
      </c>
      <c r="E1045">
        <v>0.86</v>
      </c>
      <c r="F1045">
        <v>0.62</v>
      </c>
      <c r="G1045">
        <v>0.69</v>
      </c>
      <c r="H1045">
        <v>0.08</v>
      </c>
      <c r="I1045">
        <v>53</v>
      </c>
      <c r="J1045">
        <v>11</v>
      </c>
      <c r="K1045">
        <v>0.65</v>
      </c>
      <c r="L1045" t="s">
        <v>12</v>
      </c>
    </row>
    <row r="1046" spans="1:12" x14ac:dyDescent="0.3">
      <c r="A1046">
        <v>81</v>
      </c>
      <c r="B1046">
        <v>2023</v>
      </c>
      <c r="C1046">
        <v>0.31</v>
      </c>
      <c r="D1046">
        <v>0.49</v>
      </c>
      <c r="E1046">
        <v>0.69</v>
      </c>
      <c r="F1046">
        <v>0.87</v>
      </c>
      <c r="G1046">
        <v>0.46</v>
      </c>
      <c r="H1046">
        <v>0.42</v>
      </c>
      <c r="I1046">
        <v>193</v>
      </c>
      <c r="J1046">
        <v>12</v>
      </c>
      <c r="K1046">
        <v>0.53</v>
      </c>
      <c r="L1046" t="s">
        <v>12</v>
      </c>
    </row>
    <row r="1047" spans="1:12" x14ac:dyDescent="0.3">
      <c r="A1047">
        <v>82</v>
      </c>
      <c r="B1047">
        <v>2023</v>
      </c>
      <c r="C1047">
        <v>0.97</v>
      </c>
      <c r="D1047">
        <v>0.74</v>
      </c>
      <c r="E1047">
        <v>0.97</v>
      </c>
      <c r="F1047">
        <v>0.62</v>
      </c>
      <c r="G1047">
        <v>0.59</v>
      </c>
      <c r="H1047">
        <v>0.26</v>
      </c>
      <c r="I1047">
        <v>362</v>
      </c>
      <c r="J1047">
        <v>4</v>
      </c>
      <c r="K1047">
        <v>0.82</v>
      </c>
      <c r="L1047" t="s">
        <v>13</v>
      </c>
    </row>
    <row r="1048" spans="1:12" x14ac:dyDescent="0.3">
      <c r="A1048">
        <v>83</v>
      </c>
      <c r="B1048">
        <v>2023</v>
      </c>
      <c r="C1048">
        <v>0.88</v>
      </c>
      <c r="D1048">
        <v>0.82</v>
      </c>
      <c r="E1048">
        <v>0.92</v>
      </c>
      <c r="F1048">
        <v>0.99</v>
      </c>
      <c r="G1048">
        <v>0.73</v>
      </c>
      <c r="H1048">
        <v>0.56000000000000005</v>
      </c>
      <c r="I1048">
        <v>173</v>
      </c>
      <c r="J1048">
        <v>18</v>
      </c>
      <c r="K1048">
        <v>0.87</v>
      </c>
      <c r="L1048" t="s">
        <v>13</v>
      </c>
    </row>
    <row r="1049" spans="1:12" x14ac:dyDescent="0.3">
      <c r="A1049">
        <v>83</v>
      </c>
      <c r="B1049">
        <v>2023</v>
      </c>
      <c r="C1049">
        <v>0.62</v>
      </c>
      <c r="D1049">
        <v>0.99</v>
      </c>
      <c r="E1049">
        <v>0.6</v>
      </c>
      <c r="F1049">
        <v>0.63</v>
      </c>
      <c r="G1049">
        <v>0.9</v>
      </c>
      <c r="H1049">
        <v>0.87</v>
      </c>
      <c r="I1049">
        <v>368</v>
      </c>
      <c r="J1049">
        <v>6</v>
      </c>
      <c r="K1049">
        <v>0.74</v>
      </c>
      <c r="L1049" t="s">
        <v>13</v>
      </c>
    </row>
    <row r="1050" spans="1:12" x14ac:dyDescent="0.3">
      <c r="A1050">
        <v>84</v>
      </c>
      <c r="B1050">
        <v>2023</v>
      </c>
      <c r="C1050">
        <v>0.82</v>
      </c>
      <c r="D1050">
        <v>0.66</v>
      </c>
      <c r="E1050">
        <v>0.85</v>
      </c>
      <c r="F1050">
        <v>0.83</v>
      </c>
      <c r="G1050">
        <v>0.97</v>
      </c>
      <c r="H1050">
        <v>0.6</v>
      </c>
      <c r="I1050">
        <v>108</v>
      </c>
      <c r="J1050">
        <v>12</v>
      </c>
      <c r="K1050">
        <v>0.8</v>
      </c>
      <c r="L1050" t="s">
        <v>13</v>
      </c>
    </row>
    <row r="1051" spans="1:12" x14ac:dyDescent="0.3">
      <c r="A1051">
        <v>84</v>
      </c>
      <c r="B1051">
        <v>2023</v>
      </c>
      <c r="C1051">
        <v>0.76</v>
      </c>
      <c r="D1051">
        <v>0.85</v>
      </c>
      <c r="E1051">
        <v>0.73</v>
      </c>
      <c r="F1051">
        <v>0.63</v>
      </c>
      <c r="G1051">
        <v>0.84</v>
      </c>
      <c r="H1051">
        <v>0.05</v>
      </c>
      <c r="I1051">
        <v>298</v>
      </c>
      <c r="J1051">
        <v>8</v>
      </c>
      <c r="K1051">
        <v>0.76</v>
      </c>
      <c r="L1051" t="s">
        <v>13</v>
      </c>
    </row>
    <row r="1052" spans="1:12" x14ac:dyDescent="0.3">
      <c r="A1052">
        <v>85</v>
      </c>
      <c r="B1052">
        <v>2023</v>
      </c>
      <c r="C1052">
        <v>0.4</v>
      </c>
      <c r="D1052">
        <v>0.61</v>
      </c>
      <c r="E1052">
        <v>0.73</v>
      </c>
      <c r="F1052">
        <v>0.9</v>
      </c>
      <c r="G1052">
        <v>0.76</v>
      </c>
      <c r="H1052">
        <v>0.62</v>
      </c>
      <c r="I1052">
        <v>199</v>
      </c>
      <c r="J1052">
        <v>16</v>
      </c>
      <c r="K1052">
        <v>0.63</v>
      </c>
      <c r="L1052" t="s">
        <v>12</v>
      </c>
    </row>
    <row r="1053" spans="1:12" x14ac:dyDescent="0.3">
      <c r="A1053">
        <v>85</v>
      </c>
      <c r="B1053">
        <v>2023</v>
      </c>
      <c r="C1053">
        <v>0.64</v>
      </c>
      <c r="D1053">
        <v>0.45</v>
      </c>
      <c r="E1053">
        <v>0.92</v>
      </c>
      <c r="F1053">
        <v>0.89</v>
      </c>
      <c r="G1053">
        <v>0.96</v>
      </c>
      <c r="H1053">
        <v>0.69</v>
      </c>
      <c r="I1053">
        <v>283</v>
      </c>
      <c r="J1053">
        <v>9</v>
      </c>
      <c r="K1053">
        <v>0.72</v>
      </c>
      <c r="L1053" t="s">
        <v>13</v>
      </c>
    </row>
    <row r="1054" spans="1:12" x14ac:dyDescent="0.3">
      <c r="A1054">
        <v>85</v>
      </c>
      <c r="B1054">
        <v>2023</v>
      </c>
      <c r="C1054">
        <v>0.4</v>
      </c>
      <c r="D1054">
        <v>0.48</v>
      </c>
      <c r="E1054">
        <v>0.79</v>
      </c>
      <c r="F1054">
        <v>0.99</v>
      </c>
      <c r="G1054">
        <v>0.37</v>
      </c>
      <c r="H1054">
        <v>0.28999999999999998</v>
      </c>
      <c r="I1054">
        <v>402</v>
      </c>
      <c r="J1054">
        <v>19</v>
      </c>
      <c r="K1054">
        <v>0.57999999999999996</v>
      </c>
      <c r="L1054" t="s">
        <v>12</v>
      </c>
    </row>
    <row r="1055" spans="1:12" x14ac:dyDescent="0.3">
      <c r="A1055">
        <v>86</v>
      </c>
      <c r="B1055">
        <v>2023</v>
      </c>
      <c r="C1055">
        <v>0.69</v>
      </c>
      <c r="D1055">
        <v>0.63</v>
      </c>
      <c r="E1055">
        <v>0.99</v>
      </c>
      <c r="F1055">
        <v>0.94</v>
      </c>
      <c r="G1055">
        <v>0.81</v>
      </c>
      <c r="H1055">
        <v>0.24</v>
      </c>
      <c r="I1055">
        <v>447</v>
      </c>
      <c r="J1055">
        <v>6</v>
      </c>
      <c r="K1055">
        <v>0.78</v>
      </c>
      <c r="L1055" t="s">
        <v>13</v>
      </c>
    </row>
    <row r="1056" spans="1:12" x14ac:dyDescent="0.3">
      <c r="A1056">
        <v>86</v>
      </c>
      <c r="B1056">
        <v>2023</v>
      </c>
      <c r="C1056">
        <v>0.37</v>
      </c>
      <c r="D1056">
        <v>0.69</v>
      </c>
      <c r="E1056">
        <v>0.63</v>
      </c>
      <c r="F1056">
        <v>0.71</v>
      </c>
      <c r="G1056">
        <v>0.52</v>
      </c>
      <c r="H1056">
        <v>0.8</v>
      </c>
      <c r="I1056">
        <v>340</v>
      </c>
      <c r="J1056">
        <v>7</v>
      </c>
      <c r="K1056">
        <v>0.56999999999999995</v>
      </c>
      <c r="L1056" t="s">
        <v>12</v>
      </c>
    </row>
    <row r="1057" spans="1:12" x14ac:dyDescent="0.3">
      <c r="A1057">
        <v>86</v>
      </c>
      <c r="B1057">
        <v>2023</v>
      </c>
      <c r="C1057">
        <v>0.85</v>
      </c>
      <c r="D1057">
        <v>0.65</v>
      </c>
      <c r="E1057">
        <v>0.91</v>
      </c>
      <c r="F1057">
        <v>0.87</v>
      </c>
      <c r="G1057">
        <v>0.85</v>
      </c>
      <c r="H1057">
        <v>0.82</v>
      </c>
      <c r="I1057">
        <v>410</v>
      </c>
      <c r="J1057">
        <v>18</v>
      </c>
      <c r="K1057">
        <v>0.82</v>
      </c>
      <c r="L1057" t="s">
        <v>13</v>
      </c>
    </row>
    <row r="1058" spans="1:12" x14ac:dyDescent="0.3">
      <c r="A1058">
        <v>86</v>
      </c>
      <c r="B1058">
        <v>2023</v>
      </c>
      <c r="C1058">
        <v>0.65</v>
      </c>
      <c r="D1058">
        <v>0.67</v>
      </c>
      <c r="E1058">
        <v>0.67</v>
      </c>
      <c r="F1058">
        <v>0.88</v>
      </c>
      <c r="G1058">
        <v>0.83</v>
      </c>
      <c r="H1058">
        <v>0.85</v>
      </c>
      <c r="I1058">
        <v>403</v>
      </c>
      <c r="J1058">
        <v>7</v>
      </c>
      <c r="K1058">
        <v>0.71</v>
      </c>
      <c r="L1058" t="s">
        <v>13</v>
      </c>
    </row>
    <row r="1059" spans="1:12" x14ac:dyDescent="0.3">
      <c r="A1059">
        <v>86</v>
      </c>
      <c r="B1059">
        <v>2023</v>
      </c>
      <c r="C1059">
        <v>0.71</v>
      </c>
      <c r="D1059">
        <v>0.49</v>
      </c>
      <c r="E1059">
        <v>0.72</v>
      </c>
      <c r="F1059">
        <v>0.74</v>
      </c>
      <c r="G1059">
        <v>0.65</v>
      </c>
      <c r="H1059">
        <v>0.87</v>
      </c>
      <c r="I1059">
        <v>292</v>
      </c>
      <c r="J1059">
        <v>18</v>
      </c>
      <c r="K1059">
        <v>0.66</v>
      </c>
      <c r="L1059" t="s">
        <v>12</v>
      </c>
    </row>
    <row r="1060" spans="1:12" x14ac:dyDescent="0.3">
      <c r="A1060">
        <v>87</v>
      </c>
      <c r="B1060">
        <v>2023</v>
      </c>
      <c r="C1060">
        <v>0.91</v>
      </c>
      <c r="D1060">
        <v>0.85</v>
      </c>
      <c r="E1060">
        <v>0.93</v>
      </c>
      <c r="F1060">
        <v>0.8</v>
      </c>
      <c r="G1060">
        <v>0.39</v>
      </c>
      <c r="H1060">
        <v>0.7</v>
      </c>
      <c r="I1060">
        <v>121</v>
      </c>
      <c r="J1060">
        <v>8</v>
      </c>
      <c r="K1060">
        <v>0.83</v>
      </c>
      <c r="L1060" t="s">
        <v>13</v>
      </c>
    </row>
    <row r="1061" spans="1:12" x14ac:dyDescent="0.3">
      <c r="A1061">
        <v>87</v>
      </c>
      <c r="B1061">
        <v>2023</v>
      </c>
      <c r="C1061">
        <v>0.95</v>
      </c>
      <c r="D1061">
        <v>0.91</v>
      </c>
      <c r="E1061">
        <v>0.89</v>
      </c>
      <c r="F1061">
        <v>0.76</v>
      </c>
      <c r="G1061">
        <v>0.65</v>
      </c>
      <c r="H1061">
        <v>0.46</v>
      </c>
      <c r="I1061">
        <v>243</v>
      </c>
      <c r="J1061">
        <v>12</v>
      </c>
      <c r="K1061">
        <v>0.87</v>
      </c>
      <c r="L1061" t="s">
        <v>13</v>
      </c>
    </row>
    <row r="1062" spans="1:12" x14ac:dyDescent="0.3">
      <c r="A1062">
        <v>87</v>
      </c>
      <c r="B1062">
        <v>2023</v>
      </c>
      <c r="C1062">
        <v>0.96</v>
      </c>
      <c r="D1062">
        <v>0.44</v>
      </c>
      <c r="E1062">
        <v>0.95</v>
      </c>
      <c r="F1062">
        <v>0.72</v>
      </c>
      <c r="G1062">
        <v>0.65</v>
      </c>
      <c r="H1062">
        <v>0.42</v>
      </c>
      <c r="I1062">
        <v>430</v>
      </c>
      <c r="J1062">
        <v>11</v>
      </c>
      <c r="K1062">
        <v>0.76</v>
      </c>
      <c r="L1062" t="s">
        <v>13</v>
      </c>
    </row>
    <row r="1063" spans="1:12" x14ac:dyDescent="0.3">
      <c r="A1063">
        <v>88</v>
      </c>
      <c r="B1063">
        <v>2023</v>
      </c>
      <c r="C1063">
        <v>0.99</v>
      </c>
      <c r="D1063">
        <v>0.49</v>
      </c>
      <c r="E1063">
        <v>0.73</v>
      </c>
      <c r="F1063">
        <v>0.87</v>
      </c>
      <c r="G1063">
        <v>0.57999999999999996</v>
      </c>
      <c r="H1063">
        <v>0.97</v>
      </c>
      <c r="I1063">
        <v>215</v>
      </c>
      <c r="J1063">
        <v>10</v>
      </c>
      <c r="K1063">
        <v>0.75</v>
      </c>
      <c r="L1063" t="s">
        <v>13</v>
      </c>
    </row>
    <row r="1064" spans="1:12" x14ac:dyDescent="0.3">
      <c r="A1064">
        <v>88</v>
      </c>
      <c r="B1064">
        <v>2023</v>
      </c>
      <c r="C1064">
        <v>0.55000000000000004</v>
      </c>
      <c r="D1064">
        <v>0.55000000000000004</v>
      </c>
      <c r="E1064">
        <v>0.84</v>
      </c>
      <c r="F1064">
        <v>0.87</v>
      </c>
      <c r="G1064">
        <v>0.65</v>
      </c>
      <c r="H1064">
        <v>0.78</v>
      </c>
      <c r="I1064">
        <v>110</v>
      </c>
      <c r="J1064">
        <v>1</v>
      </c>
      <c r="K1064">
        <v>0.67</v>
      </c>
      <c r="L1064" t="s">
        <v>12</v>
      </c>
    </row>
    <row r="1065" spans="1:12" x14ac:dyDescent="0.3">
      <c r="A1065">
        <v>88</v>
      </c>
      <c r="B1065">
        <v>2023</v>
      </c>
      <c r="C1065">
        <v>0.33</v>
      </c>
      <c r="D1065">
        <v>0.4</v>
      </c>
      <c r="E1065">
        <v>0.68</v>
      </c>
      <c r="F1065">
        <v>0.7</v>
      </c>
      <c r="G1065">
        <v>0.34</v>
      </c>
      <c r="H1065">
        <v>0.18</v>
      </c>
      <c r="I1065">
        <v>297</v>
      </c>
      <c r="J1065">
        <v>5</v>
      </c>
      <c r="K1065">
        <v>0.47</v>
      </c>
      <c r="L1065" t="s">
        <v>12</v>
      </c>
    </row>
    <row r="1066" spans="1:12" x14ac:dyDescent="0.3">
      <c r="A1066">
        <v>88</v>
      </c>
      <c r="B1066">
        <v>2023</v>
      </c>
      <c r="C1066">
        <v>0.54</v>
      </c>
      <c r="D1066">
        <v>0.43</v>
      </c>
      <c r="E1066">
        <v>0.7</v>
      </c>
      <c r="F1066">
        <v>0.65</v>
      </c>
      <c r="G1066">
        <v>0.54</v>
      </c>
      <c r="H1066">
        <v>0.79</v>
      </c>
      <c r="I1066">
        <v>355</v>
      </c>
      <c r="J1066">
        <v>12</v>
      </c>
      <c r="K1066">
        <v>0.56000000000000005</v>
      </c>
      <c r="L1066" t="s">
        <v>12</v>
      </c>
    </row>
    <row r="1067" spans="1:12" x14ac:dyDescent="0.3">
      <c r="A1067">
        <v>89</v>
      </c>
      <c r="B1067">
        <v>2023</v>
      </c>
      <c r="C1067">
        <v>0.35</v>
      </c>
      <c r="D1067">
        <v>0.54</v>
      </c>
      <c r="E1067">
        <v>0.87</v>
      </c>
      <c r="F1067">
        <v>0.84</v>
      </c>
      <c r="G1067">
        <v>0.35</v>
      </c>
      <c r="H1067">
        <v>0.88</v>
      </c>
      <c r="I1067">
        <v>51</v>
      </c>
      <c r="J1067">
        <v>8</v>
      </c>
      <c r="K1067">
        <v>0.57999999999999996</v>
      </c>
      <c r="L1067" t="s">
        <v>12</v>
      </c>
    </row>
    <row r="1068" spans="1:12" x14ac:dyDescent="0.3">
      <c r="A1068">
        <v>89</v>
      </c>
      <c r="B1068">
        <v>2023</v>
      </c>
      <c r="C1068">
        <v>0.49</v>
      </c>
      <c r="D1068">
        <v>0.56999999999999995</v>
      </c>
      <c r="E1068">
        <v>0.83</v>
      </c>
      <c r="F1068">
        <v>0.99</v>
      </c>
      <c r="G1068">
        <v>0.72</v>
      </c>
      <c r="H1068">
        <v>0.08</v>
      </c>
      <c r="I1068">
        <v>206</v>
      </c>
      <c r="J1068">
        <v>14</v>
      </c>
      <c r="K1068">
        <v>0.68</v>
      </c>
      <c r="L1068" t="s">
        <v>12</v>
      </c>
    </row>
    <row r="1069" spans="1:12" x14ac:dyDescent="0.3">
      <c r="A1069">
        <v>90</v>
      </c>
      <c r="B1069">
        <v>2023</v>
      </c>
      <c r="C1069">
        <v>0.78</v>
      </c>
      <c r="D1069">
        <v>0.42</v>
      </c>
      <c r="E1069">
        <v>0.8</v>
      </c>
      <c r="F1069">
        <v>0.79</v>
      </c>
      <c r="G1069">
        <v>0.37</v>
      </c>
      <c r="H1069">
        <v>0.28000000000000003</v>
      </c>
      <c r="I1069">
        <v>263</v>
      </c>
      <c r="J1069">
        <v>18</v>
      </c>
      <c r="K1069">
        <v>0.65</v>
      </c>
      <c r="L1069" t="s">
        <v>12</v>
      </c>
    </row>
    <row r="1070" spans="1:12" x14ac:dyDescent="0.3">
      <c r="A1070">
        <v>90</v>
      </c>
      <c r="B1070">
        <v>2023</v>
      </c>
      <c r="C1070">
        <v>0.52</v>
      </c>
      <c r="D1070">
        <v>0.88</v>
      </c>
      <c r="E1070">
        <v>0.56999999999999995</v>
      </c>
      <c r="F1070">
        <v>0.91</v>
      </c>
      <c r="G1070">
        <v>0.35</v>
      </c>
      <c r="H1070">
        <v>0.01</v>
      </c>
      <c r="I1070">
        <v>186</v>
      </c>
      <c r="J1070">
        <v>1</v>
      </c>
      <c r="K1070">
        <v>0.66</v>
      </c>
      <c r="L1070" t="s">
        <v>12</v>
      </c>
    </row>
    <row r="1071" spans="1:12" x14ac:dyDescent="0.3">
      <c r="A1071">
        <v>91</v>
      </c>
      <c r="B1071">
        <v>2023</v>
      </c>
      <c r="C1071">
        <v>0.78</v>
      </c>
      <c r="D1071">
        <v>0.63</v>
      </c>
      <c r="E1071">
        <v>0.77</v>
      </c>
      <c r="F1071">
        <v>0.81</v>
      </c>
      <c r="G1071">
        <v>0.89</v>
      </c>
      <c r="H1071">
        <v>0.84</v>
      </c>
      <c r="I1071">
        <v>61</v>
      </c>
      <c r="J1071">
        <v>16</v>
      </c>
      <c r="K1071">
        <v>0.76</v>
      </c>
      <c r="L1071" t="s">
        <v>13</v>
      </c>
    </row>
    <row r="1072" spans="1:12" x14ac:dyDescent="0.3">
      <c r="A1072">
        <v>92</v>
      </c>
      <c r="B1072">
        <v>2023</v>
      </c>
      <c r="C1072">
        <v>0.54</v>
      </c>
      <c r="D1072">
        <v>0.44</v>
      </c>
      <c r="E1072">
        <v>0.7</v>
      </c>
      <c r="F1072">
        <v>0.72</v>
      </c>
      <c r="G1072">
        <v>0.77</v>
      </c>
      <c r="H1072">
        <v>0.61</v>
      </c>
      <c r="I1072">
        <v>467</v>
      </c>
      <c r="J1072">
        <v>15</v>
      </c>
      <c r="K1072">
        <v>0.6</v>
      </c>
      <c r="L1072" t="s">
        <v>12</v>
      </c>
    </row>
    <row r="1073" spans="1:12" x14ac:dyDescent="0.3">
      <c r="A1073">
        <v>92</v>
      </c>
      <c r="B1073">
        <v>2023</v>
      </c>
      <c r="C1073">
        <v>0.77</v>
      </c>
      <c r="D1073">
        <v>0.63</v>
      </c>
      <c r="E1073">
        <v>0.98</v>
      </c>
      <c r="F1073">
        <v>0.95</v>
      </c>
      <c r="G1073">
        <v>0.8</v>
      </c>
      <c r="H1073">
        <v>0.71</v>
      </c>
      <c r="I1073">
        <v>57</v>
      </c>
      <c r="J1073">
        <v>19</v>
      </c>
      <c r="K1073">
        <v>0.81</v>
      </c>
      <c r="L1073" t="s">
        <v>13</v>
      </c>
    </row>
    <row r="1074" spans="1:12" x14ac:dyDescent="0.3">
      <c r="A1074">
        <v>92</v>
      </c>
      <c r="B1074">
        <v>2023</v>
      </c>
      <c r="C1074">
        <v>0.48</v>
      </c>
      <c r="D1074">
        <v>0.43</v>
      </c>
      <c r="E1074">
        <v>0.62</v>
      </c>
      <c r="F1074">
        <v>0.92</v>
      </c>
      <c r="G1074">
        <v>0.9</v>
      </c>
      <c r="H1074">
        <v>0.48</v>
      </c>
      <c r="I1074">
        <v>454</v>
      </c>
      <c r="J1074">
        <v>11</v>
      </c>
      <c r="K1074">
        <v>0.6</v>
      </c>
      <c r="L1074" t="s">
        <v>12</v>
      </c>
    </row>
    <row r="1075" spans="1:12" x14ac:dyDescent="0.3">
      <c r="A1075">
        <v>92</v>
      </c>
      <c r="B1075">
        <v>2023</v>
      </c>
      <c r="C1075">
        <v>0.99</v>
      </c>
      <c r="D1075">
        <v>0.81</v>
      </c>
      <c r="E1075">
        <v>0.82</v>
      </c>
      <c r="F1075">
        <v>0.61</v>
      </c>
      <c r="G1075">
        <v>0.9</v>
      </c>
      <c r="H1075">
        <v>0.15</v>
      </c>
      <c r="I1075">
        <v>243</v>
      </c>
      <c r="J1075">
        <v>13</v>
      </c>
      <c r="K1075">
        <v>0.84</v>
      </c>
      <c r="L1075" t="s">
        <v>13</v>
      </c>
    </row>
    <row r="1076" spans="1:12" x14ac:dyDescent="0.3">
      <c r="A1076">
        <v>92</v>
      </c>
      <c r="B1076">
        <v>2023</v>
      </c>
      <c r="C1076">
        <v>0.37</v>
      </c>
      <c r="D1076">
        <v>0.7</v>
      </c>
      <c r="E1076">
        <v>0.94</v>
      </c>
      <c r="F1076">
        <v>0.95</v>
      </c>
      <c r="G1076">
        <v>0.31</v>
      </c>
      <c r="H1076">
        <v>0.89</v>
      </c>
      <c r="I1076">
        <v>392</v>
      </c>
      <c r="J1076">
        <v>13</v>
      </c>
      <c r="K1076">
        <v>0.65</v>
      </c>
      <c r="L1076" t="s">
        <v>12</v>
      </c>
    </row>
    <row r="1077" spans="1:12" x14ac:dyDescent="0.3">
      <c r="A1077">
        <v>93</v>
      </c>
      <c r="B1077">
        <v>2023</v>
      </c>
      <c r="C1077">
        <v>0.67</v>
      </c>
      <c r="D1077">
        <v>0.49</v>
      </c>
      <c r="E1077">
        <v>0.51</v>
      </c>
      <c r="F1077">
        <v>0.77</v>
      </c>
      <c r="G1077">
        <v>0.51</v>
      </c>
      <c r="H1077">
        <v>0.49</v>
      </c>
      <c r="I1077">
        <v>350</v>
      </c>
      <c r="J1077">
        <v>14</v>
      </c>
      <c r="K1077">
        <v>0.59</v>
      </c>
      <c r="L1077" t="s">
        <v>12</v>
      </c>
    </row>
    <row r="1078" spans="1:12" x14ac:dyDescent="0.3">
      <c r="A1078">
        <v>93</v>
      </c>
      <c r="B1078">
        <v>2023</v>
      </c>
      <c r="C1078">
        <v>0.92</v>
      </c>
      <c r="D1078">
        <v>0.56000000000000005</v>
      </c>
      <c r="E1078">
        <v>0.6</v>
      </c>
      <c r="F1078">
        <v>0.79</v>
      </c>
      <c r="G1078">
        <v>0.31</v>
      </c>
      <c r="H1078">
        <v>0.03</v>
      </c>
      <c r="I1078">
        <v>185</v>
      </c>
      <c r="J1078">
        <v>15</v>
      </c>
      <c r="K1078">
        <v>0.69</v>
      </c>
      <c r="L1078" t="s">
        <v>12</v>
      </c>
    </row>
    <row r="1079" spans="1:12" x14ac:dyDescent="0.3">
      <c r="A1079">
        <v>93</v>
      </c>
      <c r="B1079">
        <v>2023</v>
      </c>
      <c r="C1079">
        <v>0.5</v>
      </c>
      <c r="D1079">
        <v>0.47</v>
      </c>
      <c r="E1079">
        <v>0.85</v>
      </c>
      <c r="F1079">
        <v>0.86</v>
      </c>
      <c r="G1079">
        <v>0.56000000000000005</v>
      </c>
      <c r="H1079">
        <v>0.95</v>
      </c>
      <c r="I1079">
        <v>427</v>
      </c>
      <c r="J1079">
        <v>5</v>
      </c>
      <c r="K1079">
        <v>0.62</v>
      </c>
      <c r="L1079" t="s">
        <v>12</v>
      </c>
    </row>
    <row r="1080" spans="1:12" x14ac:dyDescent="0.3">
      <c r="A1080">
        <v>93</v>
      </c>
      <c r="B1080">
        <v>2023</v>
      </c>
      <c r="C1080">
        <v>0.31</v>
      </c>
      <c r="D1080">
        <v>0.48</v>
      </c>
      <c r="E1080">
        <v>0.84</v>
      </c>
      <c r="F1080">
        <v>0.9</v>
      </c>
      <c r="G1080">
        <v>0.38</v>
      </c>
      <c r="H1080">
        <v>0.23</v>
      </c>
      <c r="I1080">
        <v>395</v>
      </c>
      <c r="J1080">
        <v>18</v>
      </c>
      <c r="K1080">
        <v>0.55000000000000004</v>
      </c>
      <c r="L1080" t="s">
        <v>12</v>
      </c>
    </row>
    <row r="1081" spans="1:12" x14ac:dyDescent="0.3">
      <c r="A1081">
        <v>93</v>
      </c>
      <c r="B1081">
        <v>2023</v>
      </c>
      <c r="C1081">
        <v>0.67</v>
      </c>
      <c r="D1081">
        <v>0.91</v>
      </c>
      <c r="E1081">
        <v>0.53</v>
      </c>
      <c r="F1081">
        <v>0.81</v>
      </c>
      <c r="G1081">
        <v>0.68</v>
      </c>
      <c r="H1081">
        <v>0.86</v>
      </c>
      <c r="I1081">
        <v>80</v>
      </c>
      <c r="J1081">
        <v>3</v>
      </c>
      <c r="K1081">
        <v>0.72</v>
      </c>
      <c r="L1081" t="s">
        <v>13</v>
      </c>
    </row>
    <row r="1082" spans="1:12" x14ac:dyDescent="0.3">
      <c r="A1082">
        <v>94</v>
      </c>
      <c r="B1082">
        <v>2023</v>
      </c>
      <c r="C1082">
        <v>0.85</v>
      </c>
      <c r="D1082">
        <v>0.49</v>
      </c>
      <c r="E1082">
        <v>0.66</v>
      </c>
      <c r="F1082">
        <v>0.7</v>
      </c>
      <c r="G1082">
        <v>0.82</v>
      </c>
      <c r="H1082">
        <v>0.03</v>
      </c>
      <c r="I1082">
        <v>135</v>
      </c>
      <c r="J1082">
        <v>1</v>
      </c>
      <c r="K1082">
        <v>0.7</v>
      </c>
      <c r="L1082" t="s">
        <v>12</v>
      </c>
    </row>
    <row r="1083" spans="1:12" x14ac:dyDescent="0.3">
      <c r="A1083">
        <v>94</v>
      </c>
      <c r="B1083">
        <v>2023</v>
      </c>
      <c r="C1083">
        <v>0.48</v>
      </c>
      <c r="D1083">
        <v>0.77</v>
      </c>
      <c r="E1083">
        <v>0.97</v>
      </c>
      <c r="F1083">
        <v>0.62</v>
      </c>
      <c r="G1083">
        <v>0.3</v>
      </c>
      <c r="H1083">
        <v>0.6</v>
      </c>
      <c r="I1083">
        <v>484</v>
      </c>
      <c r="J1083">
        <v>12</v>
      </c>
      <c r="K1083">
        <v>0.65</v>
      </c>
      <c r="L1083" t="s">
        <v>12</v>
      </c>
    </row>
    <row r="1084" spans="1:12" x14ac:dyDescent="0.3">
      <c r="A1084">
        <v>95</v>
      </c>
      <c r="B1084">
        <v>2023</v>
      </c>
      <c r="C1084">
        <v>0.42</v>
      </c>
      <c r="D1084">
        <v>0.67</v>
      </c>
      <c r="E1084">
        <v>0.6</v>
      </c>
      <c r="F1084">
        <v>0.62</v>
      </c>
      <c r="G1084">
        <v>0.89</v>
      </c>
      <c r="H1084">
        <v>0.98</v>
      </c>
      <c r="I1084">
        <v>382</v>
      </c>
      <c r="J1084">
        <v>17</v>
      </c>
      <c r="K1084">
        <v>0.6</v>
      </c>
      <c r="L1084" t="s">
        <v>12</v>
      </c>
    </row>
    <row r="1085" spans="1:12" x14ac:dyDescent="0.3">
      <c r="A1085">
        <v>95</v>
      </c>
      <c r="B1085">
        <v>2023</v>
      </c>
      <c r="C1085">
        <v>0.98</v>
      </c>
      <c r="D1085">
        <v>0.79</v>
      </c>
      <c r="E1085">
        <v>0.52</v>
      </c>
      <c r="F1085">
        <v>0.89</v>
      </c>
      <c r="G1085">
        <v>0.93</v>
      </c>
      <c r="H1085">
        <v>0.8</v>
      </c>
      <c r="I1085">
        <v>295</v>
      </c>
      <c r="J1085">
        <v>7</v>
      </c>
      <c r="K1085">
        <v>0.82</v>
      </c>
      <c r="L1085" t="s">
        <v>13</v>
      </c>
    </row>
    <row r="1086" spans="1:12" x14ac:dyDescent="0.3">
      <c r="A1086">
        <v>95</v>
      </c>
      <c r="B1086">
        <v>2023</v>
      </c>
      <c r="C1086">
        <v>0.57999999999999996</v>
      </c>
      <c r="D1086">
        <v>0.64</v>
      </c>
      <c r="E1086">
        <v>0.57999999999999996</v>
      </c>
      <c r="F1086">
        <v>0.75</v>
      </c>
      <c r="G1086">
        <v>0.91</v>
      </c>
      <c r="H1086">
        <v>0.36</v>
      </c>
      <c r="I1086">
        <v>178</v>
      </c>
      <c r="J1086">
        <v>2</v>
      </c>
      <c r="K1086">
        <v>0.65</v>
      </c>
      <c r="L1086" t="s">
        <v>12</v>
      </c>
    </row>
    <row r="1087" spans="1:12" x14ac:dyDescent="0.3">
      <c r="A1087">
        <v>96</v>
      </c>
      <c r="B1087">
        <v>2023</v>
      </c>
      <c r="C1087">
        <v>0.52</v>
      </c>
      <c r="D1087">
        <v>0.85</v>
      </c>
      <c r="E1087">
        <v>0.63</v>
      </c>
      <c r="F1087">
        <v>0.82</v>
      </c>
      <c r="G1087">
        <v>0.81</v>
      </c>
      <c r="H1087">
        <v>0.11</v>
      </c>
      <c r="I1087">
        <v>262</v>
      </c>
      <c r="J1087">
        <v>14</v>
      </c>
      <c r="K1087">
        <v>0.7</v>
      </c>
      <c r="L1087" t="s">
        <v>12</v>
      </c>
    </row>
    <row r="1088" spans="1:12" x14ac:dyDescent="0.3">
      <c r="A1088">
        <v>96</v>
      </c>
      <c r="B1088">
        <v>2023</v>
      </c>
      <c r="C1088">
        <v>0.62</v>
      </c>
      <c r="D1088">
        <v>0.84</v>
      </c>
      <c r="E1088">
        <v>0.55000000000000004</v>
      </c>
      <c r="F1088">
        <v>0.76</v>
      </c>
      <c r="G1088">
        <v>0.99</v>
      </c>
      <c r="H1088">
        <v>0.81</v>
      </c>
      <c r="I1088">
        <v>422</v>
      </c>
      <c r="J1088">
        <v>14</v>
      </c>
      <c r="K1088">
        <v>0.72</v>
      </c>
      <c r="L1088" t="s">
        <v>13</v>
      </c>
    </row>
    <row r="1089" spans="1:12" x14ac:dyDescent="0.3">
      <c r="A1089">
        <v>96</v>
      </c>
      <c r="B1089">
        <v>2023</v>
      </c>
      <c r="C1089">
        <v>0.83</v>
      </c>
      <c r="D1089">
        <v>0.71</v>
      </c>
      <c r="E1089">
        <v>0.96</v>
      </c>
      <c r="F1089">
        <v>0.93</v>
      </c>
      <c r="G1089">
        <v>0.89</v>
      </c>
      <c r="H1089">
        <v>0.67</v>
      </c>
      <c r="I1089">
        <v>453</v>
      </c>
      <c r="J1089">
        <v>4</v>
      </c>
      <c r="K1089">
        <v>0.85</v>
      </c>
      <c r="L1089" t="s">
        <v>13</v>
      </c>
    </row>
    <row r="1090" spans="1:12" x14ac:dyDescent="0.3">
      <c r="A1090">
        <v>97</v>
      </c>
      <c r="B1090">
        <v>2023</v>
      </c>
      <c r="C1090">
        <v>0.99</v>
      </c>
      <c r="D1090">
        <v>0.57999999999999996</v>
      </c>
      <c r="E1090">
        <v>0.61</v>
      </c>
      <c r="F1090">
        <v>0.91</v>
      </c>
      <c r="G1090">
        <v>0.48</v>
      </c>
      <c r="H1090">
        <v>0.87</v>
      </c>
      <c r="I1090">
        <v>157</v>
      </c>
      <c r="J1090">
        <v>18</v>
      </c>
      <c r="K1090">
        <v>0.75</v>
      </c>
      <c r="L1090" t="s">
        <v>13</v>
      </c>
    </row>
    <row r="1091" spans="1:12" x14ac:dyDescent="0.3">
      <c r="A1091">
        <v>98</v>
      </c>
      <c r="B1091">
        <v>2023</v>
      </c>
      <c r="C1091">
        <v>0.91</v>
      </c>
      <c r="D1091">
        <v>0.56000000000000005</v>
      </c>
      <c r="E1091">
        <v>0.56000000000000005</v>
      </c>
      <c r="F1091">
        <v>0.96</v>
      </c>
      <c r="G1091">
        <v>0.97</v>
      </c>
      <c r="H1091">
        <v>0.86</v>
      </c>
      <c r="I1091">
        <v>58</v>
      </c>
      <c r="J1091">
        <v>14</v>
      </c>
      <c r="K1091">
        <v>0.77</v>
      </c>
      <c r="L1091" t="s">
        <v>13</v>
      </c>
    </row>
    <row r="1092" spans="1:12" x14ac:dyDescent="0.3">
      <c r="A1092">
        <v>98</v>
      </c>
      <c r="B1092">
        <v>2023</v>
      </c>
      <c r="C1092">
        <v>0.37</v>
      </c>
      <c r="D1092">
        <v>0.75</v>
      </c>
      <c r="E1092">
        <v>0.73</v>
      </c>
      <c r="F1092">
        <v>0.91</v>
      </c>
      <c r="G1092">
        <v>0.45</v>
      </c>
      <c r="H1092">
        <v>0.45</v>
      </c>
      <c r="I1092">
        <v>394</v>
      </c>
      <c r="J1092">
        <v>16</v>
      </c>
      <c r="K1092">
        <v>0.63</v>
      </c>
      <c r="L1092" t="s">
        <v>12</v>
      </c>
    </row>
    <row r="1093" spans="1:12" x14ac:dyDescent="0.3">
      <c r="A1093">
        <v>99</v>
      </c>
      <c r="B1093">
        <v>2023</v>
      </c>
      <c r="C1093">
        <v>0.61</v>
      </c>
      <c r="D1093">
        <v>0.68</v>
      </c>
      <c r="E1093">
        <v>0.8</v>
      </c>
      <c r="F1093">
        <v>0.81</v>
      </c>
      <c r="G1093">
        <v>0.9</v>
      </c>
      <c r="H1093">
        <v>0.05</v>
      </c>
      <c r="I1093">
        <v>185</v>
      </c>
      <c r="J1093">
        <v>10</v>
      </c>
      <c r="K1093">
        <v>0.72</v>
      </c>
      <c r="L1093" t="s">
        <v>13</v>
      </c>
    </row>
    <row r="1094" spans="1:12" x14ac:dyDescent="0.3">
      <c r="A1094">
        <v>100</v>
      </c>
      <c r="B1094">
        <v>2023</v>
      </c>
      <c r="C1094">
        <v>0.34</v>
      </c>
      <c r="D1094">
        <v>0.94</v>
      </c>
      <c r="E1094">
        <v>0.56999999999999995</v>
      </c>
      <c r="F1094">
        <v>0.81</v>
      </c>
      <c r="G1094">
        <v>0.59</v>
      </c>
      <c r="H1094">
        <v>0.35</v>
      </c>
      <c r="I1094">
        <v>176</v>
      </c>
      <c r="J1094">
        <v>14</v>
      </c>
      <c r="K1094">
        <v>0.63</v>
      </c>
      <c r="L1094" t="s">
        <v>12</v>
      </c>
    </row>
    <row r="1095" spans="1:12" x14ac:dyDescent="0.3">
      <c r="A1095">
        <v>100</v>
      </c>
      <c r="B1095">
        <v>2023</v>
      </c>
      <c r="C1095">
        <v>0.85</v>
      </c>
      <c r="D1095">
        <v>0.84</v>
      </c>
      <c r="E1095">
        <v>0.65</v>
      </c>
      <c r="F1095">
        <v>0.73</v>
      </c>
      <c r="G1095">
        <v>0.85</v>
      </c>
      <c r="H1095">
        <v>0.46</v>
      </c>
      <c r="I1095">
        <v>390</v>
      </c>
      <c r="J1095">
        <v>7</v>
      </c>
      <c r="K1095">
        <v>0.79</v>
      </c>
      <c r="L1095" t="s">
        <v>13</v>
      </c>
    </row>
    <row r="1096" spans="1:12" x14ac:dyDescent="0.3">
      <c r="A1096">
        <v>100</v>
      </c>
      <c r="B1096">
        <v>2023</v>
      </c>
      <c r="C1096">
        <v>0.41</v>
      </c>
      <c r="D1096">
        <v>0.56999999999999995</v>
      </c>
      <c r="E1096">
        <v>0.69</v>
      </c>
      <c r="F1096">
        <v>0.9</v>
      </c>
      <c r="G1096">
        <v>0.68</v>
      </c>
      <c r="H1096">
        <v>0.08</v>
      </c>
      <c r="I1096">
        <v>179</v>
      </c>
      <c r="J1096">
        <v>19</v>
      </c>
      <c r="K1096">
        <v>0.61</v>
      </c>
      <c r="L1096" t="s">
        <v>12</v>
      </c>
    </row>
    <row r="1097" spans="1:12" x14ac:dyDescent="0.3">
      <c r="A1097">
        <v>100</v>
      </c>
      <c r="B1097">
        <v>2023</v>
      </c>
      <c r="C1097">
        <v>0.34</v>
      </c>
      <c r="D1097">
        <v>0.59</v>
      </c>
      <c r="E1097">
        <v>1</v>
      </c>
      <c r="F1097">
        <v>0.77</v>
      </c>
      <c r="G1097">
        <v>0.39</v>
      </c>
      <c r="H1097">
        <v>0.97</v>
      </c>
      <c r="I1097">
        <v>422</v>
      </c>
      <c r="J1097">
        <v>6</v>
      </c>
      <c r="K1097">
        <v>0.6</v>
      </c>
      <c r="L1097" t="s">
        <v>12</v>
      </c>
    </row>
    <row r="1098" spans="1:12" x14ac:dyDescent="0.3">
      <c r="A1098">
        <v>1</v>
      </c>
      <c r="B1098">
        <v>2024</v>
      </c>
      <c r="C1098">
        <v>0.34</v>
      </c>
      <c r="D1098">
        <v>0.5</v>
      </c>
      <c r="E1098">
        <v>0.85</v>
      </c>
      <c r="F1098">
        <v>0.88</v>
      </c>
      <c r="G1098">
        <v>0.93</v>
      </c>
      <c r="H1098">
        <v>0.57999999999999996</v>
      </c>
      <c r="I1098">
        <v>68</v>
      </c>
      <c r="J1098">
        <v>1</v>
      </c>
      <c r="K1098">
        <v>0.62</v>
      </c>
      <c r="L1098" t="s">
        <v>12</v>
      </c>
    </row>
    <row r="1099" spans="1:12" x14ac:dyDescent="0.3">
      <c r="A1099">
        <v>2</v>
      </c>
      <c r="B1099">
        <v>2024</v>
      </c>
      <c r="C1099">
        <v>0.63</v>
      </c>
      <c r="D1099">
        <v>0.94</v>
      </c>
      <c r="E1099">
        <v>0.76</v>
      </c>
      <c r="F1099">
        <v>0.88</v>
      </c>
      <c r="G1099">
        <v>0.48</v>
      </c>
      <c r="H1099">
        <v>0.45</v>
      </c>
      <c r="I1099">
        <v>331</v>
      </c>
      <c r="J1099">
        <v>15</v>
      </c>
      <c r="K1099">
        <v>0.76</v>
      </c>
      <c r="L1099" t="s">
        <v>13</v>
      </c>
    </row>
    <row r="1100" spans="1:12" x14ac:dyDescent="0.3">
      <c r="A1100">
        <v>2</v>
      </c>
      <c r="B1100">
        <v>2024</v>
      </c>
      <c r="C1100">
        <v>0.82</v>
      </c>
      <c r="D1100">
        <v>0.53</v>
      </c>
      <c r="E1100">
        <v>0.93</v>
      </c>
      <c r="F1100">
        <v>0.98</v>
      </c>
      <c r="G1100">
        <v>0.47</v>
      </c>
      <c r="H1100">
        <v>0.88</v>
      </c>
      <c r="I1100">
        <v>473</v>
      </c>
      <c r="J1100">
        <v>12</v>
      </c>
      <c r="K1100">
        <v>0.76</v>
      </c>
      <c r="L1100" t="s">
        <v>13</v>
      </c>
    </row>
    <row r="1101" spans="1:12" x14ac:dyDescent="0.3">
      <c r="A1101">
        <v>3</v>
      </c>
      <c r="B1101">
        <v>2024</v>
      </c>
      <c r="C1101">
        <v>0.79</v>
      </c>
      <c r="D1101">
        <v>0.91</v>
      </c>
      <c r="E1101">
        <v>0.71</v>
      </c>
      <c r="F1101">
        <v>0.72</v>
      </c>
      <c r="G1101">
        <v>0.96</v>
      </c>
      <c r="H1101">
        <v>0.52</v>
      </c>
      <c r="I1101">
        <v>241</v>
      </c>
      <c r="J1101">
        <v>3</v>
      </c>
      <c r="K1101">
        <v>0.81</v>
      </c>
      <c r="L1101" t="s">
        <v>13</v>
      </c>
    </row>
    <row r="1102" spans="1:12" x14ac:dyDescent="0.3">
      <c r="A1102">
        <v>3</v>
      </c>
      <c r="B1102">
        <v>2024</v>
      </c>
      <c r="C1102">
        <v>0.84</v>
      </c>
      <c r="D1102">
        <v>0.6</v>
      </c>
      <c r="E1102">
        <v>0.78</v>
      </c>
      <c r="F1102">
        <v>0.68</v>
      </c>
      <c r="G1102">
        <v>0.82</v>
      </c>
      <c r="H1102">
        <v>0.05</v>
      </c>
      <c r="I1102">
        <v>75</v>
      </c>
      <c r="J1102">
        <v>13</v>
      </c>
      <c r="K1102">
        <v>0.74</v>
      </c>
      <c r="L1102" t="s">
        <v>13</v>
      </c>
    </row>
    <row r="1103" spans="1:12" x14ac:dyDescent="0.3">
      <c r="A1103">
        <v>3</v>
      </c>
      <c r="B1103">
        <v>2024</v>
      </c>
      <c r="C1103">
        <v>0.86</v>
      </c>
      <c r="D1103">
        <v>0.88</v>
      </c>
      <c r="E1103">
        <v>0.71</v>
      </c>
      <c r="F1103">
        <v>0.71</v>
      </c>
      <c r="G1103">
        <v>0.5</v>
      </c>
      <c r="H1103">
        <v>0.48</v>
      </c>
      <c r="I1103">
        <v>75</v>
      </c>
      <c r="J1103">
        <v>18</v>
      </c>
      <c r="K1103">
        <v>0.78</v>
      </c>
      <c r="L1103" t="s">
        <v>13</v>
      </c>
    </row>
    <row r="1104" spans="1:12" x14ac:dyDescent="0.3">
      <c r="A1104">
        <v>3</v>
      </c>
      <c r="B1104">
        <v>2024</v>
      </c>
      <c r="C1104">
        <v>0.32</v>
      </c>
      <c r="D1104">
        <v>0.78</v>
      </c>
      <c r="E1104">
        <v>0.71</v>
      </c>
      <c r="F1104">
        <v>0.71</v>
      </c>
      <c r="G1104">
        <v>0.44</v>
      </c>
      <c r="H1104">
        <v>0.65</v>
      </c>
      <c r="I1104">
        <v>330</v>
      </c>
      <c r="J1104">
        <v>9</v>
      </c>
      <c r="K1104">
        <v>0.57999999999999996</v>
      </c>
      <c r="L1104" t="s">
        <v>12</v>
      </c>
    </row>
    <row r="1105" spans="1:12" x14ac:dyDescent="0.3">
      <c r="A1105">
        <v>3</v>
      </c>
      <c r="B1105">
        <v>2024</v>
      </c>
      <c r="C1105">
        <v>0.5</v>
      </c>
      <c r="D1105">
        <v>0.79</v>
      </c>
      <c r="E1105">
        <v>0.82</v>
      </c>
      <c r="F1105">
        <v>0.68</v>
      </c>
      <c r="G1105">
        <v>0.32</v>
      </c>
      <c r="H1105">
        <v>0.43</v>
      </c>
      <c r="I1105">
        <v>490</v>
      </c>
      <c r="J1105">
        <v>11</v>
      </c>
      <c r="K1105">
        <v>0.65</v>
      </c>
      <c r="L1105" t="s">
        <v>12</v>
      </c>
    </row>
    <row r="1106" spans="1:12" x14ac:dyDescent="0.3">
      <c r="A1106">
        <v>3</v>
      </c>
      <c r="B1106">
        <v>2024</v>
      </c>
      <c r="C1106">
        <v>0.32</v>
      </c>
      <c r="D1106">
        <v>0.63</v>
      </c>
      <c r="E1106">
        <v>0.85</v>
      </c>
      <c r="F1106">
        <v>0.7</v>
      </c>
      <c r="G1106">
        <v>0.97</v>
      </c>
      <c r="H1106">
        <v>0.03</v>
      </c>
      <c r="I1106">
        <v>477</v>
      </c>
      <c r="J1106">
        <v>14</v>
      </c>
      <c r="K1106">
        <v>0.63</v>
      </c>
      <c r="L1106" t="s">
        <v>12</v>
      </c>
    </row>
    <row r="1107" spans="1:12" x14ac:dyDescent="0.3">
      <c r="A1107">
        <v>4</v>
      </c>
      <c r="B1107">
        <v>2024</v>
      </c>
      <c r="C1107">
        <v>0.54</v>
      </c>
      <c r="D1107">
        <v>0.94</v>
      </c>
      <c r="E1107">
        <v>0.74</v>
      </c>
      <c r="F1107">
        <v>0.87</v>
      </c>
      <c r="G1107">
        <v>0.42</v>
      </c>
      <c r="H1107">
        <v>0.19</v>
      </c>
      <c r="I1107">
        <v>452</v>
      </c>
      <c r="J1107">
        <v>4</v>
      </c>
      <c r="K1107">
        <v>0.72</v>
      </c>
      <c r="L1107" t="s">
        <v>13</v>
      </c>
    </row>
    <row r="1108" spans="1:12" x14ac:dyDescent="0.3">
      <c r="A1108">
        <v>4</v>
      </c>
      <c r="B1108">
        <v>2024</v>
      </c>
      <c r="C1108">
        <v>0.85</v>
      </c>
      <c r="D1108">
        <v>0.53</v>
      </c>
      <c r="E1108">
        <v>0.56999999999999995</v>
      </c>
      <c r="F1108">
        <v>0.87</v>
      </c>
      <c r="G1108">
        <v>0.3</v>
      </c>
      <c r="H1108">
        <v>0.18</v>
      </c>
      <c r="I1108">
        <v>251</v>
      </c>
      <c r="J1108">
        <v>5</v>
      </c>
      <c r="K1108">
        <v>0.66</v>
      </c>
      <c r="L1108" t="s">
        <v>12</v>
      </c>
    </row>
    <row r="1109" spans="1:12" x14ac:dyDescent="0.3">
      <c r="A1109">
        <v>4</v>
      </c>
      <c r="B1109">
        <v>2024</v>
      </c>
      <c r="C1109">
        <v>0.59</v>
      </c>
      <c r="D1109">
        <v>0.68</v>
      </c>
      <c r="E1109">
        <v>0.71</v>
      </c>
      <c r="F1109">
        <v>0.94</v>
      </c>
      <c r="G1109">
        <v>0.46</v>
      </c>
      <c r="H1109">
        <v>0.01</v>
      </c>
      <c r="I1109">
        <v>191</v>
      </c>
      <c r="J1109">
        <v>7</v>
      </c>
      <c r="K1109">
        <v>0.68</v>
      </c>
      <c r="L1109" t="s">
        <v>12</v>
      </c>
    </row>
    <row r="1110" spans="1:12" x14ac:dyDescent="0.3">
      <c r="A1110">
        <v>4</v>
      </c>
      <c r="B1110">
        <v>2024</v>
      </c>
      <c r="C1110">
        <v>0.56000000000000005</v>
      </c>
      <c r="D1110">
        <v>0.43</v>
      </c>
      <c r="E1110">
        <v>0.99</v>
      </c>
      <c r="F1110">
        <v>0.61</v>
      </c>
      <c r="G1110">
        <v>0.96</v>
      </c>
      <c r="H1110">
        <v>0.37</v>
      </c>
      <c r="I1110">
        <v>299</v>
      </c>
      <c r="J1110">
        <v>15</v>
      </c>
      <c r="K1110">
        <v>0.66</v>
      </c>
      <c r="L1110" t="s">
        <v>12</v>
      </c>
    </row>
    <row r="1111" spans="1:12" x14ac:dyDescent="0.3">
      <c r="A1111">
        <v>4</v>
      </c>
      <c r="B1111">
        <v>2024</v>
      </c>
      <c r="C1111">
        <v>0.42</v>
      </c>
      <c r="D1111">
        <v>0.89</v>
      </c>
      <c r="E1111">
        <v>0.68</v>
      </c>
      <c r="F1111">
        <v>0.72</v>
      </c>
      <c r="G1111">
        <v>0.88</v>
      </c>
      <c r="H1111">
        <v>0.64</v>
      </c>
      <c r="I1111">
        <v>232</v>
      </c>
      <c r="J1111">
        <v>17</v>
      </c>
      <c r="K1111">
        <v>0.68</v>
      </c>
      <c r="L1111" t="s">
        <v>12</v>
      </c>
    </row>
    <row r="1112" spans="1:12" x14ac:dyDescent="0.3">
      <c r="A1112">
        <v>5</v>
      </c>
      <c r="B1112">
        <v>2024</v>
      </c>
      <c r="C1112">
        <v>0.46</v>
      </c>
      <c r="D1112">
        <v>0.77</v>
      </c>
      <c r="E1112">
        <v>0.72</v>
      </c>
      <c r="F1112">
        <v>0.63</v>
      </c>
      <c r="G1112">
        <v>0.64</v>
      </c>
      <c r="H1112">
        <v>0.7</v>
      </c>
      <c r="I1112">
        <v>160</v>
      </c>
      <c r="J1112">
        <v>19</v>
      </c>
      <c r="K1112">
        <v>0.63</v>
      </c>
      <c r="L1112" t="s">
        <v>12</v>
      </c>
    </row>
    <row r="1113" spans="1:12" x14ac:dyDescent="0.3">
      <c r="A1113">
        <v>5</v>
      </c>
      <c r="B1113">
        <v>2024</v>
      </c>
      <c r="C1113">
        <v>0.84</v>
      </c>
      <c r="D1113">
        <v>0.77</v>
      </c>
      <c r="E1113">
        <v>0.8</v>
      </c>
      <c r="F1113">
        <v>0.82</v>
      </c>
      <c r="G1113">
        <v>0.71</v>
      </c>
      <c r="H1113">
        <v>0.93</v>
      </c>
      <c r="I1113">
        <v>446</v>
      </c>
      <c r="J1113">
        <v>15</v>
      </c>
      <c r="K1113">
        <v>0.8</v>
      </c>
      <c r="L1113" t="s">
        <v>13</v>
      </c>
    </row>
    <row r="1114" spans="1:12" x14ac:dyDescent="0.3">
      <c r="A1114">
        <v>5</v>
      </c>
      <c r="B1114">
        <v>2024</v>
      </c>
      <c r="C1114">
        <v>0.75</v>
      </c>
      <c r="D1114">
        <v>0.51</v>
      </c>
      <c r="E1114">
        <v>0.78</v>
      </c>
      <c r="F1114">
        <v>0.99</v>
      </c>
      <c r="G1114">
        <v>0.66</v>
      </c>
      <c r="H1114">
        <v>0.93</v>
      </c>
      <c r="I1114">
        <v>428</v>
      </c>
      <c r="J1114">
        <v>2</v>
      </c>
      <c r="K1114">
        <v>0.72</v>
      </c>
      <c r="L1114" t="s">
        <v>13</v>
      </c>
    </row>
    <row r="1115" spans="1:12" x14ac:dyDescent="0.3">
      <c r="A1115">
        <v>6</v>
      </c>
      <c r="B1115">
        <v>2024</v>
      </c>
      <c r="C1115">
        <v>0.66</v>
      </c>
      <c r="D1115">
        <v>0.5</v>
      </c>
      <c r="E1115">
        <v>0.54</v>
      </c>
      <c r="F1115">
        <v>0.61</v>
      </c>
      <c r="G1115">
        <v>0.42</v>
      </c>
      <c r="H1115">
        <v>0.89</v>
      </c>
      <c r="I1115">
        <v>171</v>
      </c>
      <c r="J1115">
        <v>9</v>
      </c>
      <c r="K1115">
        <v>0.56000000000000005</v>
      </c>
      <c r="L1115" t="s">
        <v>12</v>
      </c>
    </row>
    <row r="1116" spans="1:12" x14ac:dyDescent="0.3">
      <c r="A1116">
        <v>7</v>
      </c>
      <c r="B1116">
        <v>2024</v>
      </c>
      <c r="C1116">
        <v>0.98</v>
      </c>
      <c r="D1116">
        <v>0.84</v>
      </c>
      <c r="E1116">
        <v>0.85</v>
      </c>
      <c r="F1116">
        <v>0.94</v>
      </c>
      <c r="G1116">
        <v>0.38</v>
      </c>
      <c r="H1116">
        <v>0.71</v>
      </c>
      <c r="I1116">
        <v>179</v>
      </c>
      <c r="J1116">
        <v>0</v>
      </c>
      <c r="K1116">
        <v>0.85</v>
      </c>
      <c r="L1116" t="s">
        <v>13</v>
      </c>
    </row>
    <row r="1117" spans="1:12" x14ac:dyDescent="0.3">
      <c r="A1117">
        <v>7</v>
      </c>
      <c r="B1117">
        <v>2024</v>
      </c>
      <c r="C1117">
        <v>0.4</v>
      </c>
      <c r="D1117">
        <v>0.46</v>
      </c>
      <c r="E1117">
        <v>0.51</v>
      </c>
      <c r="F1117">
        <v>0.77</v>
      </c>
      <c r="G1117">
        <v>0.43</v>
      </c>
      <c r="H1117">
        <v>0.02</v>
      </c>
      <c r="I1117">
        <v>114</v>
      </c>
      <c r="J1117">
        <v>3</v>
      </c>
      <c r="K1117">
        <v>0.5</v>
      </c>
      <c r="L1117" t="s">
        <v>12</v>
      </c>
    </row>
    <row r="1118" spans="1:12" x14ac:dyDescent="0.3">
      <c r="A1118">
        <v>7</v>
      </c>
      <c r="B1118">
        <v>2024</v>
      </c>
      <c r="C1118">
        <v>0.39</v>
      </c>
      <c r="D1118">
        <v>0.61</v>
      </c>
      <c r="E1118">
        <v>0.67</v>
      </c>
      <c r="F1118">
        <v>0.83</v>
      </c>
      <c r="G1118">
        <v>0.5</v>
      </c>
      <c r="H1118">
        <v>0.12</v>
      </c>
      <c r="I1118">
        <v>386</v>
      </c>
      <c r="J1118">
        <v>17</v>
      </c>
      <c r="K1118">
        <v>0.57999999999999996</v>
      </c>
      <c r="L1118" t="s">
        <v>12</v>
      </c>
    </row>
    <row r="1119" spans="1:12" x14ac:dyDescent="0.3">
      <c r="A1119">
        <v>7</v>
      </c>
      <c r="B1119">
        <v>2024</v>
      </c>
      <c r="C1119">
        <v>0.49</v>
      </c>
      <c r="D1119">
        <v>0.53</v>
      </c>
      <c r="E1119">
        <v>0.54</v>
      </c>
      <c r="F1119">
        <v>0.66</v>
      </c>
      <c r="G1119">
        <v>0.84</v>
      </c>
      <c r="H1119">
        <v>0.72</v>
      </c>
      <c r="I1119">
        <v>436</v>
      </c>
      <c r="J1119">
        <v>10</v>
      </c>
      <c r="K1119">
        <v>0.56999999999999995</v>
      </c>
      <c r="L1119" t="s">
        <v>12</v>
      </c>
    </row>
    <row r="1120" spans="1:12" x14ac:dyDescent="0.3">
      <c r="A1120">
        <v>8</v>
      </c>
      <c r="B1120">
        <v>2024</v>
      </c>
      <c r="C1120">
        <v>0.3</v>
      </c>
      <c r="D1120">
        <v>0.89</v>
      </c>
      <c r="E1120">
        <v>0.68</v>
      </c>
      <c r="F1120">
        <v>0.82</v>
      </c>
      <c r="G1120">
        <v>0.77</v>
      </c>
      <c r="H1120">
        <v>0.7</v>
      </c>
      <c r="I1120">
        <v>98</v>
      </c>
      <c r="J1120">
        <v>18</v>
      </c>
      <c r="K1120">
        <v>0.65</v>
      </c>
      <c r="L1120" t="s">
        <v>12</v>
      </c>
    </row>
    <row r="1121" spans="1:12" x14ac:dyDescent="0.3">
      <c r="A1121">
        <v>8</v>
      </c>
      <c r="B1121">
        <v>2024</v>
      </c>
      <c r="C1121">
        <v>0.46</v>
      </c>
      <c r="D1121">
        <v>0.96</v>
      </c>
      <c r="E1121">
        <v>0.86</v>
      </c>
      <c r="F1121">
        <v>0.91</v>
      </c>
      <c r="G1121">
        <v>0.44</v>
      </c>
      <c r="H1121">
        <v>0.23</v>
      </c>
      <c r="I1121">
        <v>484</v>
      </c>
      <c r="J1121">
        <v>10</v>
      </c>
      <c r="K1121">
        <v>0.73</v>
      </c>
      <c r="L1121" t="s">
        <v>13</v>
      </c>
    </row>
    <row r="1122" spans="1:12" x14ac:dyDescent="0.3">
      <c r="A1122">
        <v>8</v>
      </c>
      <c r="B1122">
        <v>2024</v>
      </c>
      <c r="C1122">
        <v>0.94</v>
      </c>
      <c r="D1122">
        <v>0.7</v>
      </c>
      <c r="E1122">
        <v>0.63</v>
      </c>
      <c r="F1122">
        <v>0.84</v>
      </c>
      <c r="G1122">
        <v>0.44</v>
      </c>
      <c r="H1122">
        <v>7.0000000000000007E-2</v>
      </c>
      <c r="I1122">
        <v>176</v>
      </c>
      <c r="J1122">
        <v>12</v>
      </c>
      <c r="K1122">
        <v>0.75</v>
      </c>
      <c r="L1122" t="s">
        <v>13</v>
      </c>
    </row>
    <row r="1123" spans="1:12" x14ac:dyDescent="0.3">
      <c r="A1123">
        <v>9</v>
      </c>
      <c r="B1123">
        <v>2024</v>
      </c>
      <c r="C1123">
        <v>0.84</v>
      </c>
      <c r="D1123">
        <v>0.5</v>
      </c>
      <c r="E1123">
        <v>0.52</v>
      </c>
      <c r="F1123">
        <v>0.86</v>
      </c>
      <c r="G1123">
        <v>0.84</v>
      </c>
      <c r="H1123">
        <v>0.81</v>
      </c>
      <c r="I1123">
        <v>100</v>
      </c>
      <c r="J1123">
        <v>19</v>
      </c>
      <c r="K1123">
        <v>0.69</v>
      </c>
      <c r="L1123" t="s">
        <v>12</v>
      </c>
    </row>
    <row r="1124" spans="1:12" x14ac:dyDescent="0.3">
      <c r="A1124">
        <v>9</v>
      </c>
      <c r="B1124">
        <v>2024</v>
      </c>
      <c r="C1124">
        <v>0.41</v>
      </c>
      <c r="D1124">
        <v>0.9</v>
      </c>
      <c r="E1124">
        <v>0.68</v>
      </c>
      <c r="F1124">
        <v>0.71</v>
      </c>
      <c r="G1124">
        <v>0.89</v>
      </c>
      <c r="H1124">
        <v>0.05</v>
      </c>
      <c r="I1124">
        <v>430</v>
      </c>
      <c r="J1124">
        <v>2</v>
      </c>
      <c r="K1124">
        <v>0.68</v>
      </c>
      <c r="L1124" t="s">
        <v>12</v>
      </c>
    </row>
    <row r="1125" spans="1:12" x14ac:dyDescent="0.3">
      <c r="A1125">
        <v>9</v>
      </c>
      <c r="B1125">
        <v>2024</v>
      </c>
      <c r="C1125">
        <v>0.89</v>
      </c>
      <c r="D1125">
        <v>0.94</v>
      </c>
      <c r="E1125">
        <v>0.54</v>
      </c>
      <c r="F1125">
        <v>0.85</v>
      </c>
      <c r="G1125">
        <v>0.78</v>
      </c>
      <c r="H1125">
        <v>0.53</v>
      </c>
      <c r="I1125">
        <v>318</v>
      </c>
      <c r="J1125">
        <v>10</v>
      </c>
      <c r="K1125">
        <v>0.82</v>
      </c>
      <c r="L1125" t="s">
        <v>13</v>
      </c>
    </row>
    <row r="1126" spans="1:12" x14ac:dyDescent="0.3">
      <c r="A1126">
        <v>9</v>
      </c>
      <c r="B1126">
        <v>2024</v>
      </c>
      <c r="C1126">
        <v>0.98</v>
      </c>
      <c r="D1126">
        <v>0.64</v>
      </c>
      <c r="E1126">
        <v>0.8</v>
      </c>
      <c r="F1126">
        <v>0.7</v>
      </c>
      <c r="G1126">
        <v>0.64</v>
      </c>
      <c r="H1126">
        <v>7.0000000000000007E-2</v>
      </c>
      <c r="I1126">
        <v>167</v>
      </c>
      <c r="J1126">
        <v>3</v>
      </c>
      <c r="K1126">
        <v>0.78</v>
      </c>
      <c r="L1126" t="s">
        <v>13</v>
      </c>
    </row>
    <row r="1127" spans="1:12" x14ac:dyDescent="0.3">
      <c r="A1127">
        <v>9</v>
      </c>
      <c r="B1127">
        <v>2024</v>
      </c>
      <c r="C1127">
        <v>0.63</v>
      </c>
      <c r="D1127">
        <v>0.45</v>
      </c>
      <c r="E1127">
        <v>0.53</v>
      </c>
      <c r="F1127">
        <v>0.75</v>
      </c>
      <c r="G1127">
        <v>0.62</v>
      </c>
      <c r="H1127">
        <v>0.61</v>
      </c>
      <c r="I1127">
        <v>58</v>
      </c>
      <c r="J1127">
        <v>8</v>
      </c>
      <c r="K1127">
        <v>0.57999999999999996</v>
      </c>
      <c r="L1127" t="s">
        <v>12</v>
      </c>
    </row>
    <row r="1128" spans="1:12" x14ac:dyDescent="0.3">
      <c r="A1128">
        <v>10</v>
      </c>
      <c r="B1128">
        <v>2024</v>
      </c>
      <c r="C1128">
        <v>0.77</v>
      </c>
      <c r="D1128">
        <v>0.54</v>
      </c>
      <c r="E1128">
        <v>0.8</v>
      </c>
      <c r="F1128">
        <v>0.88</v>
      </c>
      <c r="G1128">
        <v>0.36</v>
      </c>
      <c r="H1128">
        <v>0.5</v>
      </c>
      <c r="I1128">
        <v>158</v>
      </c>
      <c r="J1128">
        <v>19</v>
      </c>
      <c r="K1128">
        <v>0.69</v>
      </c>
      <c r="L1128" t="s">
        <v>12</v>
      </c>
    </row>
    <row r="1129" spans="1:12" x14ac:dyDescent="0.3">
      <c r="A1129">
        <v>10</v>
      </c>
      <c r="B1129">
        <v>2024</v>
      </c>
      <c r="C1129">
        <v>0.99</v>
      </c>
      <c r="D1129">
        <v>0.96</v>
      </c>
      <c r="E1129">
        <v>0.95</v>
      </c>
      <c r="F1129">
        <v>0.89</v>
      </c>
      <c r="G1129">
        <v>0.56000000000000005</v>
      </c>
      <c r="H1129">
        <v>0.11</v>
      </c>
      <c r="I1129">
        <v>260</v>
      </c>
      <c r="J1129">
        <v>14</v>
      </c>
      <c r="K1129">
        <v>0.92</v>
      </c>
      <c r="L1129" t="s">
        <v>13</v>
      </c>
    </row>
    <row r="1130" spans="1:12" x14ac:dyDescent="0.3">
      <c r="A1130">
        <v>10</v>
      </c>
      <c r="B1130">
        <v>2024</v>
      </c>
      <c r="C1130">
        <v>0.43</v>
      </c>
      <c r="D1130">
        <v>0.97</v>
      </c>
      <c r="E1130">
        <v>0.87</v>
      </c>
      <c r="F1130">
        <v>0.89</v>
      </c>
      <c r="G1130">
        <v>0.35</v>
      </c>
      <c r="H1130">
        <v>0.9</v>
      </c>
      <c r="I1130">
        <v>52</v>
      </c>
      <c r="J1130">
        <v>2</v>
      </c>
      <c r="K1130">
        <v>0.71</v>
      </c>
      <c r="L1130" t="s">
        <v>13</v>
      </c>
    </row>
    <row r="1131" spans="1:12" x14ac:dyDescent="0.3">
      <c r="A1131">
        <v>11</v>
      </c>
      <c r="B1131">
        <v>2024</v>
      </c>
      <c r="C1131">
        <v>0.76</v>
      </c>
      <c r="D1131">
        <v>0.47</v>
      </c>
      <c r="E1131">
        <v>0.82</v>
      </c>
      <c r="F1131">
        <v>0.8</v>
      </c>
      <c r="G1131">
        <v>0.57999999999999996</v>
      </c>
      <c r="H1131">
        <v>0.95</v>
      </c>
      <c r="I1131">
        <v>495</v>
      </c>
      <c r="J1131">
        <v>11</v>
      </c>
      <c r="K1131">
        <v>0.69</v>
      </c>
      <c r="L1131" t="s">
        <v>12</v>
      </c>
    </row>
    <row r="1132" spans="1:12" x14ac:dyDescent="0.3">
      <c r="A1132">
        <v>11</v>
      </c>
      <c r="B1132">
        <v>2024</v>
      </c>
      <c r="C1132">
        <v>0.66</v>
      </c>
      <c r="D1132">
        <v>0.52</v>
      </c>
      <c r="E1132">
        <v>0.9</v>
      </c>
      <c r="F1132">
        <v>0.67</v>
      </c>
      <c r="G1132">
        <v>0.36</v>
      </c>
      <c r="H1132">
        <v>0.44</v>
      </c>
      <c r="I1132">
        <v>63</v>
      </c>
      <c r="J1132">
        <v>15</v>
      </c>
      <c r="K1132">
        <v>0.64</v>
      </c>
      <c r="L1132" t="s">
        <v>12</v>
      </c>
    </row>
    <row r="1133" spans="1:12" x14ac:dyDescent="0.3">
      <c r="A1133">
        <v>11</v>
      </c>
      <c r="B1133">
        <v>2024</v>
      </c>
      <c r="C1133">
        <v>0.4</v>
      </c>
      <c r="D1133">
        <v>0.8</v>
      </c>
      <c r="E1133">
        <v>0.76</v>
      </c>
      <c r="F1133">
        <v>0.86</v>
      </c>
      <c r="G1133">
        <v>0.54</v>
      </c>
      <c r="H1133">
        <v>0.91</v>
      </c>
      <c r="I1133">
        <v>360</v>
      </c>
      <c r="J1133">
        <v>8</v>
      </c>
      <c r="K1133">
        <v>0.66</v>
      </c>
      <c r="L1133" t="s">
        <v>12</v>
      </c>
    </row>
    <row r="1134" spans="1:12" x14ac:dyDescent="0.3">
      <c r="A1134">
        <v>11</v>
      </c>
      <c r="B1134">
        <v>2024</v>
      </c>
      <c r="C1134">
        <v>0.51</v>
      </c>
      <c r="D1134">
        <v>0.94</v>
      </c>
      <c r="E1134">
        <v>0.99</v>
      </c>
      <c r="F1134">
        <v>0.94</v>
      </c>
      <c r="G1134">
        <v>0.38</v>
      </c>
      <c r="H1134">
        <v>0.95</v>
      </c>
      <c r="I1134">
        <v>323</v>
      </c>
      <c r="J1134">
        <v>10</v>
      </c>
      <c r="K1134">
        <v>0.77</v>
      </c>
      <c r="L1134" t="s">
        <v>13</v>
      </c>
    </row>
    <row r="1135" spans="1:12" x14ac:dyDescent="0.3">
      <c r="A1135">
        <v>11</v>
      </c>
      <c r="B1135">
        <v>2024</v>
      </c>
      <c r="C1135">
        <v>0.45</v>
      </c>
      <c r="D1135">
        <v>0.7</v>
      </c>
      <c r="E1135">
        <v>0.67</v>
      </c>
      <c r="F1135">
        <v>0.76</v>
      </c>
      <c r="G1135">
        <v>0.55000000000000004</v>
      </c>
      <c r="H1135">
        <v>0.83</v>
      </c>
      <c r="I1135">
        <v>188</v>
      </c>
      <c r="J1135">
        <v>19</v>
      </c>
      <c r="K1135">
        <v>0.61</v>
      </c>
      <c r="L1135" t="s">
        <v>12</v>
      </c>
    </row>
    <row r="1136" spans="1:12" x14ac:dyDescent="0.3">
      <c r="A1136">
        <v>13</v>
      </c>
      <c r="B1136">
        <v>2024</v>
      </c>
      <c r="C1136">
        <v>0.98</v>
      </c>
      <c r="D1136">
        <v>0.91</v>
      </c>
      <c r="E1136">
        <v>0.85</v>
      </c>
      <c r="F1136">
        <v>0.89</v>
      </c>
      <c r="G1136">
        <v>0.69</v>
      </c>
      <c r="H1136">
        <v>0.95</v>
      </c>
      <c r="I1136">
        <v>114</v>
      </c>
      <c r="J1136">
        <v>16</v>
      </c>
      <c r="K1136">
        <v>0.89</v>
      </c>
      <c r="L1136" t="s">
        <v>13</v>
      </c>
    </row>
    <row r="1137" spans="1:12" x14ac:dyDescent="0.3">
      <c r="A1137">
        <v>13</v>
      </c>
      <c r="B1137">
        <v>2024</v>
      </c>
      <c r="C1137">
        <v>0.35</v>
      </c>
      <c r="D1137">
        <v>0.94</v>
      </c>
      <c r="E1137">
        <v>0.61</v>
      </c>
      <c r="F1137">
        <v>0.9</v>
      </c>
      <c r="G1137">
        <v>0.52</v>
      </c>
      <c r="H1137">
        <v>0.86</v>
      </c>
      <c r="I1137">
        <v>190</v>
      </c>
      <c r="J1137">
        <v>7</v>
      </c>
      <c r="K1137">
        <v>0.65</v>
      </c>
      <c r="L1137" t="s">
        <v>12</v>
      </c>
    </row>
    <row r="1138" spans="1:12" x14ac:dyDescent="0.3">
      <c r="A1138">
        <v>13</v>
      </c>
      <c r="B1138">
        <v>2024</v>
      </c>
      <c r="C1138">
        <v>0.95</v>
      </c>
      <c r="D1138">
        <v>0.95</v>
      </c>
      <c r="E1138">
        <v>0.76</v>
      </c>
      <c r="F1138">
        <v>0.89</v>
      </c>
      <c r="G1138">
        <v>0.61</v>
      </c>
      <c r="H1138">
        <v>0.63</v>
      </c>
      <c r="I1138">
        <v>66</v>
      </c>
      <c r="J1138">
        <v>15</v>
      </c>
      <c r="K1138">
        <v>0.87</v>
      </c>
      <c r="L1138" t="s">
        <v>13</v>
      </c>
    </row>
    <row r="1139" spans="1:12" x14ac:dyDescent="0.3">
      <c r="A1139">
        <v>13</v>
      </c>
      <c r="B1139">
        <v>2024</v>
      </c>
      <c r="C1139">
        <v>0.57999999999999996</v>
      </c>
      <c r="D1139">
        <v>0.96</v>
      </c>
      <c r="E1139">
        <v>0.97</v>
      </c>
      <c r="F1139">
        <v>0.65</v>
      </c>
      <c r="G1139">
        <v>0.97</v>
      </c>
      <c r="H1139">
        <v>0.37</v>
      </c>
      <c r="I1139">
        <v>70</v>
      </c>
      <c r="J1139">
        <v>18</v>
      </c>
      <c r="K1139">
        <v>0.8</v>
      </c>
      <c r="L1139" t="s">
        <v>13</v>
      </c>
    </row>
    <row r="1140" spans="1:12" x14ac:dyDescent="0.3">
      <c r="A1140">
        <v>13</v>
      </c>
      <c r="B1140">
        <v>2024</v>
      </c>
      <c r="C1140">
        <v>0.72</v>
      </c>
      <c r="D1140">
        <v>0.44</v>
      </c>
      <c r="E1140">
        <v>0.63</v>
      </c>
      <c r="F1140">
        <v>0.68</v>
      </c>
      <c r="G1140">
        <v>0.31</v>
      </c>
      <c r="H1140">
        <v>0.54</v>
      </c>
      <c r="I1140">
        <v>211</v>
      </c>
      <c r="J1140">
        <v>15</v>
      </c>
      <c r="K1140">
        <v>0.59</v>
      </c>
      <c r="L1140" t="s">
        <v>12</v>
      </c>
    </row>
    <row r="1141" spans="1:12" x14ac:dyDescent="0.3">
      <c r="A1141">
        <v>14</v>
      </c>
      <c r="B1141">
        <v>2024</v>
      </c>
      <c r="C1141">
        <v>0.31</v>
      </c>
      <c r="D1141">
        <v>0.73</v>
      </c>
      <c r="E1141">
        <v>0.87</v>
      </c>
      <c r="F1141">
        <v>0.69</v>
      </c>
      <c r="G1141">
        <v>0.34</v>
      </c>
      <c r="H1141">
        <v>0.16</v>
      </c>
      <c r="I1141">
        <v>256</v>
      </c>
      <c r="J1141">
        <v>13</v>
      </c>
      <c r="K1141">
        <v>0.59</v>
      </c>
      <c r="L1141" t="s">
        <v>12</v>
      </c>
    </row>
    <row r="1142" spans="1:12" x14ac:dyDescent="0.3">
      <c r="A1142">
        <v>14</v>
      </c>
      <c r="B1142">
        <v>2024</v>
      </c>
      <c r="C1142">
        <v>0.56000000000000005</v>
      </c>
      <c r="D1142">
        <v>0.54</v>
      </c>
      <c r="E1142">
        <v>0.73</v>
      </c>
      <c r="F1142">
        <v>0.82</v>
      </c>
      <c r="G1142">
        <v>0.4</v>
      </c>
      <c r="H1142">
        <v>0.56000000000000005</v>
      </c>
      <c r="I1142">
        <v>241</v>
      </c>
      <c r="J1142">
        <v>8</v>
      </c>
      <c r="K1142">
        <v>0.61</v>
      </c>
      <c r="L1142" t="s">
        <v>12</v>
      </c>
    </row>
    <row r="1143" spans="1:12" x14ac:dyDescent="0.3">
      <c r="A1143">
        <v>15</v>
      </c>
      <c r="B1143">
        <v>2024</v>
      </c>
      <c r="C1143">
        <v>0.64</v>
      </c>
      <c r="D1143">
        <v>0.88</v>
      </c>
      <c r="E1143">
        <v>0.79</v>
      </c>
      <c r="F1143">
        <v>0.74</v>
      </c>
      <c r="G1143">
        <v>0.87</v>
      </c>
      <c r="H1143">
        <v>0.24</v>
      </c>
      <c r="I1143">
        <v>482</v>
      </c>
      <c r="J1143">
        <v>12</v>
      </c>
      <c r="K1143">
        <v>0.77</v>
      </c>
      <c r="L1143" t="s">
        <v>13</v>
      </c>
    </row>
    <row r="1144" spans="1:12" x14ac:dyDescent="0.3">
      <c r="A1144">
        <v>15</v>
      </c>
      <c r="B1144">
        <v>2024</v>
      </c>
      <c r="C1144">
        <v>0.44</v>
      </c>
      <c r="D1144">
        <v>0.96</v>
      </c>
      <c r="E1144">
        <v>0.68</v>
      </c>
      <c r="F1144">
        <v>0.64</v>
      </c>
      <c r="G1144">
        <v>0.79</v>
      </c>
      <c r="H1144">
        <v>0.3</v>
      </c>
      <c r="I1144">
        <v>201</v>
      </c>
      <c r="J1144">
        <v>1</v>
      </c>
      <c r="K1144">
        <v>0.68</v>
      </c>
      <c r="L1144" t="s">
        <v>12</v>
      </c>
    </row>
    <row r="1145" spans="1:12" x14ac:dyDescent="0.3">
      <c r="A1145">
        <v>15</v>
      </c>
      <c r="B1145">
        <v>2024</v>
      </c>
      <c r="C1145">
        <v>0.59</v>
      </c>
      <c r="D1145">
        <v>0.96</v>
      </c>
      <c r="E1145">
        <v>0.82</v>
      </c>
      <c r="F1145">
        <v>0.92</v>
      </c>
      <c r="G1145">
        <v>0.63</v>
      </c>
      <c r="H1145">
        <v>0.36</v>
      </c>
      <c r="I1145">
        <v>172</v>
      </c>
      <c r="J1145">
        <v>7</v>
      </c>
      <c r="K1145">
        <v>0.78</v>
      </c>
      <c r="L1145" t="s">
        <v>13</v>
      </c>
    </row>
    <row r="1146" spans="1:12" x14ac:dyDescent="0.3">
      <c r="A1146">
        <v>15</v>
      </c>
      <c r="B1146">
        <v>2024</v>
      </c>
      <c r="C1146">
        <v>0.56999999999999995</v>
      </c>
      <c r="D1146">
        <v>0.73</v>
      </c>
      <c r="E1146">
        <v>0.79</v>
      </c>
      <c r="F1146">
        <v>0.67</v>
      </c>
      <c r="G1146">
        <v>0.57999999999999996</v>
      </c>
      <c r="H1146">
        <v>0.34</v>
      </c>
      <c r="I1146">
        <v>443</v>
      </c>
      <c r="J1146">
        <v>12</v>
      </c>
      <c r="K1146">
        <v>0.67</v>
      </c>
      <c r="L1146" t="s">
        <v>12</v>
      </c>
    </row>
    <row r="1147" spans="1:12" x14ac:dyDescent="0.3">
      <c r="A1147">
        <v>15</v>
      </c>
      <c r="B1147">
        <v>2024</v>
      </c>
      <c r="C1147">
        <v>0.8</v>
      </c>
      <c r="D1147">
        <v>0.54</v>
      </c>
      <c r="E1147">
        <v>0.99</v>
      </c>
      <c r="F1147">
        <v>0.82</v>
      </c>
      <c r="G1147">
        <v>0.79</v>
      </c>
      <c r="H1147">
        <v>0.12</v>
      </c>
      <c r="I1147">
        <v>448</v>
      </c>
      <c r="J1147">
        <v>12</v>
      </c>
      <c r="K1147">
        <v>0.77</v>
      </c>
      <c r="L1147" t="s">
        <v>13</v>
      </c>
    </row>
    <row r="1148" spans="1:12" x14ac:dyDescent="0.3">
      <c r="A1148">
        <v>16</v>
      </c>
      <c r="B1148">
        <v>2024</v>
      </c>
      <c r="C1148">
        <v>0.99</v>
      </c>
      <c r="D1148">
        <v>0.68</v>
      </c>
      <c r="E1148">
        <v>0.69</v>
      </c>
      <c r="F1148">
        <v>0.65</v>
      </c>
      <c r="G1148">
        <v>0.98</v>
      </c>
      <c r="H1148">
        <v>0.02</v>
      </c>
      <c r="I1148">
        <v>409</v>
      </c>
      <c r="J1148">
        <v>11</v>
      </c>
      <c r="K1148">
        <v>0.8</v>
      </c>
      <c r="L1148" t="s">
        <v>13</v>
      </c>
    </row>
    <row r="1149" spans="1:12" x14ac:dyDescent="0.3">
      <c r="A1149">
        <v>16</v>
      </c>
      <c r="B1149">
        <v>2024</v>
      </c>
      <c r="C1149">
        <v>0.86</v>
      </c>
      <c r="D1149">
        <v>0.5</v>
      </c>
      <c r="E1149">
        <v>0.77</v>
      </c>
      <c r="F1149">
        <v>0.68</v>
      </c>
      <c r="G1149">
        <v>0.8</v>
      </c>
      <c r="H1149">
        <v>0.27</v>
      </c>
      <c r="I1149">
        <v>415</v>
      </c>
      <c r="J1149">
        <v>17</v>
      </c>
      <c r="K1149">
        <v>0.72</v>
      </c>
      <c r="L1149" t="s">
        <v>13</v>
      </c>
    </row>
    <row r="1150" spans="1:12" x14ac:dyDescent="0.3">
      <c r="A1150">
        <v>16</v>
      </c>
      <c r="B1150">
        <v>2024</v>
      </c>
      <c r="C1150">
        <v>0.56000000000000005</v>
      </c>
      <c r="D1150">
        <v>0.96</v>
      </c>
      <c r="E1150">
        <v>0.75</v>
      </c>
      <c r="F1150">
        <v>0.86</v>
      </c>
      <c r="G1150">
        <v>0.94</v>
      </c>
      <c r="H1150">
        <v>0.87</v>
      </c>
      <c r="I1150">
        <v>251</v>
      </c>
      <c r="J1150">
        <v>17</v>
      </c>
      <c r="K1150">
        <v>0.78</v>
      </c>
      <c r="L1150" t="s">
        <v>13</v>
      </c>
    </row>
    <row r="1151" spans="1:12" x14ac:dyDescent="0.3">
      <c r="A1151">
        <v>17</v>
      </c>
      <c r="B1151">
        <v>2024</v>
      </c>
      <c r="C1151">
        <v>0.65</v>
      </c>
      <c r="D1151">
        <v>0.51</v>
      </c>
      <c r="E1151">
        <v>0.84</v>
      </c>
      <c r="F1151">
        <v>1</v>
      </c>
      <c r="G1151">
        <v>0.82</v>
      </c>
      <c r="H1151">
        <v>0.74</v>
      </c>
      <c r="I1151">
        <v>139</v>
      </c>
      <c r="J1151">
        <v>15</v>
      </c>
      <c r="K1151">
        <v>0.72</v>
      </c>
      <c r="L1151" t="s">
        <v>13</v>
      </c>
    </row>
    <row r="1152" spans="1:12" x14ac:dyDescent="0.3">
      <c r="A1152">
        <v>17</v>
      </c>
      <c r="B1152">
        <v>2024</v>
      </c>
      <c r="C1152">
        <v>0.48</v>
      </c>
      <c r="D1152">
        <v>0.41</v>
      </c>
      <c r="E1152">
        <v>0.77</v>
      </c>
      <c r="F1152">
        <v>0.94</v>
      </c>
      <c r="G1152">
        <v>0.97</v>
      </c>
      <c r="H1152">
        <v>0.56999999999999995</v>
      </c>
      <c r="I1152">
        <v>250</v>
      </c>
      <c r="J1152">
        <v>5</v>
      </c>
      <c r="K1152">
        <v>0.64</v>
      </c>
      <c r="L1152" t="s">
        <v>12</v>
      </c>
    </row>
    <row r="1153" spans="1:12" x14ac:dyDescent="0.3">
      <c r="A1153">
        <v>17</v>
      </c>
      <c r="B1153">
        <v>2024</v>
      </c>
      <c r="C1153">
        <v>0.99</v>
      </c>
      <c r="D1153">
        <v>0.51</v>
      </c>
      <c r="E1153">
        <v>0.74</v>
      </c>
      <c r="F1153">
        <v>0.95</v>
      </c>
      <c r="G1153">
        <v>0.46</v>
      </c>
      <c r="H1153">
        <v>0.48</v>
      </c>
      <c r="I1153">
        <v>430</v>
      </c>
      <c r="J1153">
        <v>3</v>
      </c>
      <c r="K1153">
        <v>0.76</v>
      </c>
      <c r="L1153" t="s">
        <v>13</v>
      </c>
    </row>
    <row r="1154" spans="1:12" x14ac:dyDescent="0.3">
      <c r="A1154">
        <v>17</v>
      </c>
      <c r="B1154">
        <v>2024</v>
      </c>
      <c r="C1154">
        <v>0.36</v>
      </c>
      <c r="D1154">
        <v>0.73</v>
      </c>
      <c r="E1154">
        <v>0.64</v>
      </c>
      <c r="F1154">
        <v>0.85</v>
      </c>
      <c r="G1154">
        <v>0.98</v>
      </c>
      <c r="H1154">
        <v>0.11</v>
      </c>
      <c r="I1154">
        <v>487</v>
      </c>
      <c r="J1154">
        <v>10</v>
      </c>
      <c r="K1154">
        <v>0.64</v>
      </c>
      <c r="L1154" t="s">
        <v>12</v>
      </c>
    </row>
    <row r="1155" spans="1:12" x14ac:dyDescent="0.3">
      <c r="A1155">
        <v>17</v>
      </c>
      <c r="B1155">
        <v>2024</v>
      </c>
      <c r="C1155">
        <v>0.87</v>
      </c>
      <c r="D1155">
        <v>0.53</v>
      </c>
      <c r="E1155">
        <v>0.9</v>
      </c>
      <c r="F1155">
        <v>0.76</v>
      </c>
      <c r="G1155">
        <v>0.43</v>
      </c>
      <c r="H1155">
        <v>0.76</v>
      </c>
      <c r="I1155">
        <v>205</v>
      </c>
      <c r="J1155">
        <v>9</v>
      </c>
      <c r="K1155">
        <v>0.73</v>
      </c>
      <c r="L1155" t="s">
        <v>13</v>
      </c>
    </row>
    <row r="1156" spans="1:12" x14ac:dyDescent="0.3">
      <c r="A1156">
        <v>18</v>
      </c>
      <c r="B1156">
        <v>2024</v>
      </c>
      <c r="C1156">
        <v>0.77</v>
      </c>
      <c r="D1156">
        <v>0.56999999999999995</v>
      </c>
      <c r="E1156">
        <v>0.65</v>
      </c>
      <c r="F1156">
        <v>0.92</v>
      </c>
      <c r="G1156">
        <v>0.61</v>
      </c>
      <c r="H1156">
        <v>0.8</v>
      </c>
      <c r="I1156">
        <v>244</v>
      </c>
      <c r="J1156">
        <v>11</v>
      </c>
      <c r="K1156">
        <v>0.7</v>
      </c>
      <c r="L1156" t="s">
        <v>12</v>
      </c>
    </row>
    <row r="1157" spans="1:12" x14ac:dyDescent="0.3">
      <c r="A1157">
        <v>18</v>
      </c>
      <c r="B1157">
        <v>2024</v>
      </c>
      <c r="C1157">
        <v>0.51</v>
      </c>
      <c r="D1157">
        <v>0.49</v>
      </c>
      <c r="E1157">
        <v>0.57999999999999996</v>
      </c>
      <c r="F1157">
        <v>0.77</v>
      </c>
      <c r="G1157">
        <v>0.72</v>
      </c>
      <c r="H1157">
        <v>0.08</v>
      </c>
      <c r="I1157">
        <v>353</v>
      </c>
      <c r="J1157">
        <v>13</v>
      </c>
      <c r="K1157">
        <v>0.57999999999999996</v>
      </c>
      <c r="L1157" t="s">
        <v>12</v>
      </c>
    </row>
    <row r="1158" spans="1:12" x14ac:dyDescent="0.3">
      <c r="A1158">
        <v>18</v>
      </c>
      <c r="B1158">
        <v>2024</v>
      </c>
      <c r="C1158">
        <v>0.34</v>
      </c>
      <c r="D1158">
        <v>0.54</v>
      </c>
      <c r="E1158">
        <v>0.71</v>
      </c>
      <c r="F1158">
        <v>0.89</v>
      </c>
      <c r="G1158">
        <v>0.74</v>
      </c>
      <c r="H1158">
        <v>0.24</v>
      </c>
      <c r="I1158">
        <v>306</v>
      </c>
      <c r="J1158">
        <v>8</v>
      </c>
      <c r="K1158">
        <v>0.59</v>
      </c>
      <c r="L1158" t="s">
        <v>12</v>
      </c>
    </row>
    <row r="1159" spans="1:12" x14ac:dyDescent="0.3">
      <c r="A1159">
        <v>19</v>
      </c>
      <c r="B1159">
        <v>2024</v>
      </c>
      <c r="C1159">
        <v>0.75</v>
      </c>
      <c r="D1159">
        <v>0.5</v>
      </c>
      <c r="E1159">
        <v>0.85</v>
      </c>
      <c r="F1159">
        <v>0.75</v>
      </c>
      <c r="G1159">
        <v>0.96</v>
      </c>
      <c r="H1159">
        <v>0.14000000000000001</v>
      </c>
      <c r="I1159">
        <v>490</v>
      </c>
      <c r="J1159">
        <v>17</v>
      </c>
      <c r="K1159">
        <v>0.73</v>
      </c>
      <c r="L1159" t="s">
        <v>13</v>
      </c>
    </row>
    <row r="1160" spans="1:12" x14ac:dyDescent="0.3">
      <c r="A1160">
        <v>19</v>
      </c>
      <c r="B1160">
        <v>2024</v>
      </c>
      <c r="C1160">
        <v>0.55000000000000004</v>
      </c>
      <c r="D1160">
        <v>0.97</v>
      </c>
      <c r="E1160">
        <v>0.84</v>
      </c>
      <c r="F1160">
        <v>0.79</v>
      </c>
      <c r="G1160">
        <v>0.65</v>
      </c>
      <c r="H1160">
        <v>0.08</v>
      </c>
      <c r="I1160">
        <v>118</v>
      </c>
      <c r="J1160">
        <v>2</v>
      </c>
      <c r="K1160">
        <v>0.76</v>
      </c>
      <c r="L1160" t="s">
        <v>13</v>
      </c>
    </row>
    <row r="1161" spans="1:12" x14ac:dyDescent="0.3">
      <c r="A1161">
        <v>19</v>
      </c>
      <c r="B1161">
        <v>2024</v>
      </c>
      <c r="C1161">
        <v>0.35</v>
      </c>
      <c r="D1161">
        <v>0.5</v>
      </c>
      <c r="E1161">
        <v>0.61</v>
      </c>
      <c r="F1161">
        <v>0.72</v>
      </c>
      <c r="G1161">
        <v>1</v>
      </c>
      <c r="H1161">
        <v>0.7</v>
      </c>
      <c r="I1161">
        <v>308</v>
      </c>
      <c r="J1161">
        <v>15</v>
      </c>
      <c r="K1161">
        <v>0.56000000000000005</v>
      </c>
      <c r="L1161" t="s">
        <v>12</v>
      </c>
    </row>
    <row r="1162" spans="1:12" x14ac:dyDescent="0.3">
      <c r="A1162">
        <v>19</v>
      </c>
      <c r="B1162">
        <v>2024</v>
      </c>
      <c r="C1162">
        <v>0.77</v>
      </c>
      <c r="D1162">
        <v>0.9</v>
      </c>
      <c r="E1162">
        <v>0.84</v>
      </c>
      <c r="F1162">
        <v>0.93</v>
      </c>
      <c r="G1162">
        <v>0.57999999999999996</v>
      </c>
      <c r="H1162">
        <v>0.16</v>
      </c>
      <c r="I1162">
        <v>175</v>
      </c>
      <c r="J1162">
        <v>10</v>
      </c>
      <c r="K1162">
        <v>0.82</v>
      </c>
      <c r="L1162" t="s">
        <v>13</v>
      </c>
    </row>
    <row r="1163" spans="1:12" x14ac:dyDescent="0.3">
      <c r="A1163">
        <v>19</v>
      </c>
      <c r="B1163">
        <v>2024</v>
      </c>
      <c r="C1163">
        <v>0.76</v>
      </c>
      <c r="D1163">
        <v>0.9</v>
      </c>
      <c r="E1163">
        <v>0.61</v>
      </c>
      <c r="F1163">
        <v>0.65</v>
      </c>
      <c r="G1163">
        <v>0.9</v>
      </c>
      <c r="H1163">
        <v>0.16</v>
      </c>
      <c r="I1163">
        <v>154</v>
      </c>
      <c r="J1163">
        <v>17</v>
      </c>
      <c r="K1163">
        <v>0.76</v>
      </c>
      <c r="L1163" t="s">
        <v>13</v>
      </c>
    </row>
    <row r="1164" spans="1:12" x14ac:dyDescent="0.3">
      <c r="A1164">
        <v>19</v>
      </c>
      <c r="B1164">
        <v>2024</v>
      </c>
      <c r="C1164">
        <v>0.4</v>
      </c>
      <c r="D1164">
        <v>0.64</v>
      </c>
      <c r="E1164">
        <v>0.95</v>
      </c>
      <c r="F1164">
        <v>1</v>
      </c>
      <c r="G1164">
        <v>0.99</v>
      </c>
      <c r="H1164">
        <v>0.88</v>
      </c>
      <c r="I1164">
        <v>450</v>
      </c>
      <c r="J1164">
        <v>17</v>
      </c>
      <c r="K1164">
        <v>0.72</v>
      </c>
      <c r="L1164" t="s">
        <v>13</v>
      </c>
    </row>
    <row r="1165" spans="1:12" x14ac:dyDescent="0.3">
      <c r="A1165">
        <v>19</v>
      </c>
      <c r="B1165">
        <v>2024</v>
      </c>
      <c r="C1165">
        <v>0.98</v>
      </c>
      <c r="D1165">
        <v>0.75</v>
      </c>
      <c r="E1165">
        <v>0.93</v>
      </c>
      <c r="F1165">
        <v>0.98</v>
      </c>
      <c r="G1165">
        <v>0.77</v>
      </c>
      <c r="H1165">
        <v>0.55000000000000004</v>
      </c>
      <c r="I1165">
        <v>135</v>
      </c>
      <c r="J1165">
        <v>11</v>
      </c>
      <c r="K1165">
        <v>0.89</v>
      </c>
      <c r="L1165" t="s">
        <v>13</v>
      </c>
    </row>
    <row r="1166" spans="1:12" x14ac:dyDescent="0.3">
      <c r="A1166">
        <v>19</v>
      </c>
      <c r="B1166">
        <v>2024</v>
      </c>
      <c r="C1166">
        <v>0.76</v>
      </c>
      <c r="D1166">
        <v>0.52</v>
      </c>
      <c r="E1166">
        <v>0.65</v>
      </c>
      <c r="F1166">
        <v>0.65</v>
      </c>
      <c r="G1166">
        <v>0.56999999999999995</v>
      </c>
      <c r="H1166">
        <v>0.2</v>
      </c>
      <c r="I1166">
        <v>273</v>
      </c>
      <c r="J1166">
        <v>7</v>
      </c>
      <c r="K1166">
        <v>0.64</v>
      </c>
      <c r="L1166" t="s">
        <v>12</v>
      </c>
    </row>
    <row r="1167" spans="1:12" x14ac:dyDescent="0.3">
      <c r="A1167">
        <v>20</v>
      </c>
      <c r="B1167">
        <v>2024</v>
      </c>
      <c r="C1167">
        <v>0.5</v>
      </c>
      <c r="D1167">
        <v>0.68</v>
      </c>
      <c r="E1167">
        <v>0.72</v>
      </c>
      <c r="F1167">
        <v>0.69</v>
      </c>
      <c r="G1167">
        <v>0.57999999999999996</v>
      </c>
      <c r="H1167">
        <v>0.04</v>
      </c>
      <c r="I1167">
        <v>282</v>
      </c>
      <c r="J1167">
        <v>8</v>
      </c>
      <c r="K1167">
        <v>0.63</v>
      </c>
      <c r="L1167" t="s">
        <v>12</v>
      </c>
    </row>
    <row r="1168" spans="1:12" x14ac:dyDescent="0.3">
      <c r="A1168">
        <v>20</v>
      </c>
      <c r="B1168">
        <v>2024</v>
      </c>
      <c r="C1168">
        <v>0.78</v>
      </c>
      <c r="D1168">
        <v>0.96</v>
      </c>
      <c r="E1168">
        <v>0.52</v>
      </c>
      <c r="F1168">
        <v>0.73</v>
      </c>
      <c r="G1168">
        <v>0.61</v>
      </c>
      <c r="H1168">
        <v>0.9</v>
      </c>
      <c r="I1168">
        <v>99</v>
      </c>
      <c r="J1168">
        <v>0</v>
      </c>
      <c r="K1168">
        <v>0.75</v>
      </c>
      <c r="L1168" t="s">
        <v>13</v>
      </c>
    </row>
    <row r="1169" spans="1:12" x14ac:dyDescent="0.3">
      <c r="A1169">
        <v>20</v>
      </c>
      <c r="B1169">
        <v>2024</v>
      </c>
      <c r="C1169">
        <v>0.84</v>
      </c>
      <c r="D1169">
        <v>0.8</v>
      </c>
      <c r="E1169">
        <v>0.86</v>
      </c>
      <c r="F1169">
        <v>0.8</v>
      </c>
      <c r="G1169">
        <v>0.74</v>
      </c>
      <c r="H1169">
        <v>0.81</v>
      </c>
      <c r="I1169">
        <v>243</v>
      </c>
      <c r="J1169">
        <v>14</v>
      </c>
      <c r="K1169">
        <v>0.82</v>
      </c>
      <c r="L1169" t="s">
        <v>13</v>
      </c>
    </row>
    <row r="1170" spans="1:12" x14ac:dyDescent="0.3">
      <c r="A1170">
        <v>20</v>
      </c>
      <c r="B1170">
        <v>2024</v>
      </c>
      <c r="C1170">
        <v>0.46</v>
      </c>
      <c r="D1170">
        <v>0.96</v>
      </c>
      <c r="E1170">
        <v>0.67</v>
      </c>
      <c r="F1170">
        <v>0.66</v>
      </c>
      <c r="G1170">
        <v>0.69</v>
      </c>
      <c r="H1170">
        <v>0.94</v>
      </c>
      <c r="I1170">
        <v>451</v>
      </c>
      <c r="J1170">
        <v>1</v>
      </c>
      <c r="K1170">
        <v>0.68</v>
      </c>
      <c r="L1170" t="s">
        <v>12</v>
      </c>
    </row>
    <row r="1171" spans="1:12" x14ac:dyDescent="0.3">
      <c r="A1171">
        <v>21</v>
      </c>
      <c r="B1171">
        <v>2024</v>
      </c>
      <c r="C1171">
        <v>0.75</v>
      </c>
      <c r="D1171">
        <v>0.8</v>
      </c>
      <c r="E1171">
        <v>0.95</v>
      </c>
      <c r="F1171">
        <v>0.85</v>
      </c>
      <c r="G1171">
        <v>0.73</v>
      </c>
      <c r="H1171">
        <v>7.0000000000000007E-2</v>
      </c>
      <c r="I1171">
        <v>393</v>
      </c>
      <c r="J1171">
        <v>12</v>
      </c>
      <c r="K1171">
        <v>0.82</v>
      </c>
      <c r="L1171" t="s">
        <v>13</v>
      </c>
    </row>
    <row r="1172" spans="1:12" x14ac:dyDescent="0.3">
      <c r="A1172">
        <v>21</v>
      </c>
      <c r="B1172">
        <v>2024</v>
      </c>
      <c r="C1172">
        <v>0.88</v>
      </c>
      <c r="D1172">
        <v>0.73</v>
      </c>
      <c r="E1172">
        <v>0.57999999999999996</v>
      </c>
      <c r="F1172">
        <v>0.83</v>
      </c>
      <c r="G1172">
        <v>1</v>
      </c>
      <c r="H1172">
        <v>0.15</v>
      </c>
      <c r="I1172">
        <v>403</v>
      </c>
      <c r="J1172">
        <v>10</v>
      </c>
      <c r="K1172">
        <v>0.79</v>
      </c>
      <c r="L1172" t="s">
        <v>13</v>
      </c>
    </row>
    <row r="1173" spans="1:12" x14ac:dyDescent="0.3">
      <c r="A1173">
        <v>21</v>
      </c>
      <c r="B1173">
        <v>2024</v>
      </c>
      <c r="C1173">
        <v>0.91</v>
      </c>
      <c r="D1173">
        <v>0.71</v>
      </c>
      <c r="E1173">
        <v>0.85</v>
      </c>
      <c r="F1173">
        <v>0.76</v>
      </c>
      <c r="G1173">
        <v>0.69</v>
      </c>
      <c r="H1173">
        <v>0.94</v>
      </c>
      <c r="I1173">
        <v>249</v>
      </c>
      <c r="J1173">
        <v>10</v>
      </c>
      <c r="K1173">
        <v>0.8</v>
      </c>
      <c r="L1173" t="s">
        <v>13</v>
      </c>
    </row>
    <row r="1174" spans="1:12" x14ac:dyDescent="0.3">
      <c r="A1174">
        <v>21</v>
      </c>
      <c r="B1174">
        <v>2024</v>
      </c>
      <c r="C1174">
        <v>0.82</v>
      </c>
      <c r="D1174">
        <v>0.66</v>
      </c>
      <c r="E1174">
        <v>0.62</v>
      </c>
      <c r="F1174">
        <v>0.85</v>
      </c>
      <c r="G1174">
        <v>0.42</v>
      </c>
      <c r="H1174">
        <v>0.76</v>
      </c>
      <c r="I1174">
        <v>291</v>
      </c>
      <c r="J1174">
        <v>12</v>
      </c>
      <c r="K1174">
        <v>0.7</v>
      </c>
      <c r="L1174" t="s">
        <v>12</v>
      </c>
    </row>
    <row r="1175" spans="1:12" x14ac:dyDescent="0.3">
      <c r="A1175">
        <v>21</v>
      </c>
      <c r="B1175">
        <v>2024</v>
      </c>
      <c r="C1175">
        <v>0.62</v>
      </c>
      <c r="D1175">
        <v>0.69</v>
      </c>
      <c r="E1175">
        <v>0.78</v>
      </c>
      <c r="F1175">
        <v>0.93</v>
      </c>
      <c r="G1175">
        <v>0.78</v>
      </c>
      <c r="H1175">
        <v>0.66</v>
      </c>
      <c r="I1175">
        <v>278</v>
      </c>
      <c r="J1175">
        <v>12</v>
      </c>
      <c r="K1175">
        <v>0.73</v>
      </c>
      <c r="L1175" t="s">
        <v>13</v>
      </c>
    </row>
    <row r="1176" spans="1:12" x14ac:dyDescent="0.3">
      <c r="A1176">
        <v>21</v>
      </c>
      <c r="B1176">
        <v>2024</v>
      </c>
      <c r="C1176">
        <v>0.6</v>
      </c>
      <c r="D1176">
        <v>0.41</v>
      </c>
      <c r="E1176">
        <v>0.66</v>
      </c>
      <c r="F1176">
        <v>0.75</v>
      </c>
      <c r="G1176">
        <v>0.56000000000000005</v>
      </c>
      <c r="H1176">
        <v>0.98</v>
      </c>
      <c r="I1176">
        <v>239</v>
      </c>
      <c r="J1176">
        <v>5</v>
      </c>
      <c r="K1176">
        <v>0.57999999999999996</v>
      </c>
      <c r="L1176" t="s">
        <v>12</v>
      </c>
    </row>
    <row r="1177" spans="1:12" x14ac:dyDescent="0.3">
      <c r="A1177">
        <v>22</v>
      </c>
      <c r="B1177">
        <v>2024</v>
      </c>
      <c r="C1177">
        <v>0.47</v>
      </c>
      <c r="D1177">
        <v>0.47</v>
      </c>
      <c r="E1177">
        <v>0.6</v>
      </c>
      <c r="F1177">
        <v>0.95</v>
      </c>
      <c r="G1177">
        <v>0.75</v>
      </c>
      <c r="H1177">
        <v>0.28999999999999998</v>
      </c>
      <c r="I1177">
        <v>81</v>
      </c>
      <c r="J1177">
        <v>6</v>
      </c>
      <c r="K1177">
        <v>0.6</v>
      </c>
      <c r="L1177" t="s">
        <v>12</v>
      </c>
    </row>
    <row r="1178" spans="1:12" x14ac:dyDescent="0.3">
      <c r="A1178">
        <v>22</v>
      </c>
      <c r="B1178">
        <v>2024</v>
      </c>
      <c r="C1178">
        <v>0.4</v>
      </c>
      <c r="D1178">
        <v>0.87</v>
      </c>
      <c r="E1178">
        <v>0.64</v>
      </c>
      <c r="F1178">
        <v>0.8</v>
      </c>
      <c r="G1178">
        <v>0.5</v>
      </c>
      <c r="H1178">
        <v>0.13</v>
      </c>
      <c r="I1178">
        <v>403</v>
      </c>
      <c r="J1178">
        <v>10</v>
      </c>
      <c r="K1178">
        <v>0.64</v>
      </c>
      <c r="L1178" t="s">
        <v>12</v>
      </c>
    </row>
    <row r="1179" spans="1:12" x14ac:dyDescent="0.3">
      <c r="A1179">
        <v>22</v>
      </c>
      <c r="B1179">
        <v>2024</v>
      </c>
      <c r="C1179">
        <v>0.39</v>
      </c>
      <c r="D1179">
        <v>0.84</v>
      </c>
      <c r="E1179">
        <v>0.63</v>
      </c>
      <c r="F1179">
        <v>0.78</v>
      </c>
      <c r="G1179">
        <v>0.92</v>
      </c>
      <c r="H1179">
        <v>0.97</v>
      </c>
      <c r="I1179">
        <v>67</v>
      </c>
      <c r="J1179">
        <v>8</v>
      </c>
      <c r="K1179">
        <v>0.66</v>
      </c>
      <c r="L1179" t="s">
        <v>12</v>
      </c>
    </row>
    <row r="1180" spans="1:12" x14ac:dyDescent="0.3">
      <c r="A1180">
        <v>22</v>
      </c>
      <c r="B1180">
        <v>2024</v>
      </c>
      <c r="C1180">
        <v>0.52</v>
      </c>
      <c r="D1180">
        <v>0.54</v>
      </c>
      <c r="E1180">
        <v>0.94</v>
      </c>
      <c r="F1180">
        <v>0.93</v>
      </c>
      <c r="G1180">
        <v>0.46</v>
      </c>
      <c r="H1180">
        <v>0.04</v>
      </c>
      <c r="I1180">
        <v>350</v>
      </c>
      <c r="J1180">
        <v>0</v>
      </c>
      <c r="K1180">
        <v>0.66</v>
      </c>
      <c r="L1180" t="s">
        <v>12</v>
      </c>
    </row>
    <row r="1181" spans="1:12" x14ac:dyDescent="0.3">
      <c r="A1181">
        <v>23</v>
      </c>
      <c r="B1181">
        <v>2024</v>
      </c>
      <c r="C1181">
        <v>0.79</v>
      </c>
      <c r="D1181">
        <v>0.65</v>
      </c>
      <c r="E1181">
        <v>0.75</v>
      </c>
      <c r="F1181">
        <v>0.6</v>
      </c>
      <c r="G1181">
        <v>0.78</v>
      </c>
      <c r="H1181">
        <v>0.66</v>
      </c>
      <c r="I1181">
        <v>288</v>
      </c>
      <c r="J1181">
        <v>14</v>
      </c>
      <c r="K1181">
        <v>0.72</v>
      </c>
      <c r="L1181" t="s">
        <v>13</v>
      </c>
    </row>
    <row r="1182" spans="1:12" x14ac:dyDescent="0.3">
      <c r="A1182">
        <v>23</v>
      </c>
      <c r="B1182">
        <v>2024</v>
      </c>
      <c r="C1182">
        <v>0.76</v>
      </c>
      <c r="D1182">
        <v>0.47</v>
      </c>
      <c r="E1182">
        <v>0.77</v>
      </c>
      <c r="F1182">
        <v>0.77</v>
      </c>
      <c r="G1182">
        <v>0.49</v>
      </c>
      <c r="H1182">
        <v>0.6</v>
      </c>
      <c r="I1182">
        <v>78</v>
      </c>
      <c r="J1182">
        <v>14</v>
      </c>
      <c r="K1182">
        <v>0.66</v>
      </c>
      <c r="L1182" t="s">
        <v>12</v>
      </c>
    </row>
    <row r="1183" spans="1:12" x14ac:dyDescent="0.3">
      <c r="A1183">
        <v>23</v>
      </c>
      <c r="B1183">
        <v>2024</v>
      </c>
      <c r="C1183">
        <v>0.45</v>
      </c>
      <c r="D1183">
        <v>0.86</v>
      </c>
      <c r="E1183">
        <v>0.51</v>
      </c>
      <c r="F1183">
        <v>0.87</v>
      </c>
      <c r="G1183">
        <v>0.63</v>
      </c>
      <c r="H1183">
        <v>0.35</v>
      </c>
      <c r="I1183">
        <v>71</v>
      </c>
      <c r="J1183">
        <v>6</v>
      </c>
      <c r="K1183">
        <v>0.65</v>
      </c>
      <c r="L1183" t="s">
        <v>12</v>
      </c>
    </row>
    <row r="1184" spans="1:12" x14ac:dyDescent="0.3">
      <c r="A1184">
        <v>24</v>
      </c>
      <c r="B1184">
        <v>2024</v>
      </c>
      <c r="C1184">
        <v>0.36</v>
      </c>
      <c r="D1184">
        <v>0.5</v>
      </c>
      <c r="E1184">
        <v>0.95</v>
      </c>
      <c r="F1184">
        <v>0.84</v>
      </c>
      <c r="G1184">
        <v>0.31</v>
      </c>
      <c r="H1184">
        <v>0.1</v>
      </c>
      <c r="I1184">
        <v>148</v>
      </c>
      <c r="J1184">
        <v>17</v>
      </c>
      <c r="K1184">
        <v>0.57999999999999996</v>
      </c>
      <c r="L1184" t="s">
        <v>12</v>
      </c>
    </row>
    <row r="1185" spans="1:12" x14ac:dyDescent="0.3">
      <c r="A1185">
        <v>24</v>
      </c>
      <c r="B1185">
        <v>2024</v>
      </c>
      <c r="C1185">
        <v>0.77</v>
      </c>
      <c r="D1185">
        <v>0.88</v>
      </c>
      <c r="E1185">
        <v>0.83</v>
      </c>
      <c r="F1185">
        <v>0.76</v>
      </c>
      <c r="G1185">
        <v>0.66</v>
      </c>
      <c r="H1185">
        <v>0.8</v>
      </c>
      <c r="I1185">
        <v>479</v>
      </c>
      <c r="J1185">
        <v>11</v>
      </c>
      <c r="K1185">
        <v>0.8</v>
      </c>
      <c r="L1185" t="s">
        <v>13</v>
      </c>
    </row>
    <row r="1186" spans="1:12" x14ac:dyDescent="0.3">
      <c r="A1186">
        <v>24</v>
      </c>
      <c r="B1186">
        <v>2024</v>
      </c>
      <c r="C1186">
        <v>0.7</v>
      </c>
      <c r="D1186">
        <v>0.83</v>
      </c>
      <c r="E1186">
        <v>0.55000000000000004</v>
      </c>
      <c r="F1186">
        <v>0.9</v>
      </c>
      <c r="G1186">
        <v>0.4</v>
      </c>
      <c r="H1186">
        <v>7.0000000000000007E-2</v>
      </c>
      <c r="I1186">
        <v>476</v>
      </c>
      <c r="J1186">
        <v>1</v>
      </c>
      <c r="K1186">
        <v>0.7</v>
      </c>
      <c r="L1186" t="s">
        <v>12</v>
      </c>
    </row>
    <row r="1187" spans="1:12" x14ac:dyDescent="0.3">
      <c r="A1187">
        <v>25</v>
      </c>
      <c r="B1187">
        <v>2024</v>
      </c>
      <c r="C1187">
        <v>0.43</v>
      </c>
      <c r="D1187">
        <v>0.88</v>
      </c>
      <c r="E1187">
        <v>0.84</v>
      </c>
      <c r="F1187">
        <v>0.82</v>
      </c>
      <c r="G1187">
        <v>0.63</v>
      </c>
      <c r="H1187">
        <v>0.92</v>
      </c>
      <c r="I1187">
        <v>163</v>
      </c>
      <c r="J1187">
        <v>14</v>
      </c>
      <c r="K1187">
        <v>0.7</v>
      </c>
      <c r="L1187" t="s">
        <v>12</v>
      </c>
    </row>
    <row r="1188" spans="1:12" x14ac:dyDescent="0.3">
      <c r="A1188">
        <v>25</v>
      </c>
      <c r="B1188">
        <v>2024</v>
      </c>
      <c r="C1188">
        <v>0.3</v>
      </c>
      <c r="D1188">
        <v>0.7</v>
      </c>
      <c r="E1188">
        <v>0.69</v>
      </c>
      <c r="F1188">
        <v>0.99</v>
      </c>
      <c r="G1188">
        <v>0.41</v>
      </c>
      <c r="H1188">
        <v>0.35</v>
      </c>
      <c r="I1188">
        <v>409</v>
      </c>
      <c r="J1188">
        <v>2</v>
      </c>
      <c r="K1188">
        <v>0.59</v>
      </c>
      <c r="L1188" t="s">
        <v>12</v>
      </c>
    </row>
    <row r="1189" spans="1:12" x14ac:dyDescent="0.3">
      <c r="A1189">
        <v>25</v>
      </c>
      <c r="B1189">
        <v>2024</v>
      </c>
      <c r="C1189">
        <v>0.36</v>
      </c>
      <c r="D1189">
        <v>0.73</v>
      </c>
      <c r="E1189">
        <v>0.95</v>
      </c>
      <c r="F1189">
        <v>0.71</v>
      </c>
      <c r="G1189">
        <v>0.53</v>
      </c>
      <c r="H1189">
        <v>0.12</v>
      </c>
      <c r="I1189">
        <v>373</v>
      </c>
      <c r="J1189">
        <v>18</v>
      </c>
      <c r="K1189">
        <v>0.64</v>
      </c>
      <c r="L1189" t="s">
        <v>12</v>
      </c>
    </row>
    <row r="1190" spans="1:12" x14ac:dyDescent="0.3">
      <c r="A1190">
        <v>25</v>
      </c>
      <c r="B1190">
        <v>2024</v>
      </c>
      <c r="C1190">
        <v>0.59</v>
      </c>
      <c r="D1190">
        <v>0.52</v>
      </c>
      <c r="E1190">
        <v>0.94</v>
      </c>
      <c r="F1190">
        <v>0.66</v>
      </c>
      <c r="G1190">
        <v>0.62</v>
      </c>
      <c r="H1190">
        <v>0.61</v>
      </c>
      <c r="I1190">
        <v>111</v>
      </c>
      <c r="J1190">
        <v>16</v>
      </c>
      <c r="K1190">
        <v>0.66</v>
      </c>
      <c r="L1190" t="s">
        <v>12</v>
      </c>
    </row>
    <row r="1191" spans="1:12" x14ac:dyDescent="0.3">
      <c r="A1191">
        <v>25</v>
      </c>
      <c r="B1191">
        <v>2024</v>
      </c>
      <c r="C1191">
        <v>0.64</v>
      </c>
      <c r="D1191">
        <v>0.93</v>
      </c>
      <c r="E1191">
        <v>0.71</v>
      </c>
      <c r="F1191">
        <v>0.81</v>
      </c>
      <c r="G1191">
        <v>0.33</v>
      </c>
      <c r="H1191">
        <v>0</v>
      </c>
      <c r="I1191">
        <v>145</v>
      </c>
      <c r="J1191">
        <v>8</v>
      </c>
      <c r="K1191">
        <v>0.72</v>
      </c>
      <c r="L1191" t="s">
        <v>13</v>
      </c>
    </row>
    <row r="1192" spans="1:12" x14ac:dyDescent="0.3">
      <c r="A1192">
        <v>25</v>
      </c>
      <c r="B1192">
        <v>2024</v>
      </c>
      <c r="C1192">
        <v>0.86</v>
      </c>
      <c r="D1192">
        <v>0.48</v>
      </c>
      <c r="E1192">
        <v>0.7</v>
      </c>
      <c r="F1192">
        <v>0.71</v>
      </c>
      <c r="G1192">
        <v>0.5</v>
      </c>
      <c r="H1192">
        <v>0.12</v>
      </c>
      <c r="I1192">
        <v>225</v>
      </c>
      <c r="J1192">
        <v>2</v>
      </c>
      <c r="K1192">
        <v>0.67</v>
      </c>
      <c r="L1192" t="s">
        <v>12</v>
      </c>
    </row>
    <row r="1193" spans="1:12" x14ac:dyDescent="0.3">
      <c r="A1193">
        <v>26</v>
      </c>
      <c r="B1193">
        <v>2024</v>
      </c>
      <c r="C1193">
        <v>0.86</v>
      </c>
      <c r="D1193">
        <v>0.85</v>
      </c>
      <c r="E1193">
        <v>0.59</v>
      </c>
      <c r="F1193">
        <v>0.68</v>
      </c>
      <c r="G1193">
        <v>0.56000000000000005</v>
      </c>
      <c r="H1193">
        <v>0.48</v>
      </c>
      <c r="I1193">
        <v>77</v>
      </c>
      <c r="J1193">
        <v>13</v>
      </c>
      <c r="K1193">
        <v>0.75</v>
      </c>
      <c r="L1193" t="s">
        <v>13</v>
      </c>
    </row>
    <row r="1194" spans="1:12" x14ac:dyDescent="0.3">
      <c r="A1194">
        <v>26</v>
      </c>
      <c r="B1194">
        <v>2024</v>
      </c>
      <c r="C1194">
        <v>0.84</v>
      </c>
      <c r="D1194">
        <v>0.96</v>
      </c>
      <c r="E1194">
        <v>0.95</v>
      </c>
      <c r="F1194">
        <v>0.93</v>
      </c>
      <c r="G1194">
        <v>0.92</v>
      </c>
      <c r="H1194">
        <v>0.2</v>
      </c>
      <c r="I1194">
        <v>376</v>
      </c>
      <c r="J1194">
        <v>11</v>
      </c>
      <c r="K1194">
        <v>0.91</v>
      </c>
      <c r="L1194" t="s">
        <v>13</v>
      </c>
    </row>
    <row r="1195" spans="1:12" x14ac:dyDescent="0.3">
      <c r="A1195">
        <v>26</v>
      </c>
      <c r="B1195">
        <v>2024</v>
      </c>
      <c r="C1195">
        <v>0.79</v>
      </c>
      <c r="D1195">
        <v>0.65</v>
      </c>
      <c r="E1195">
        <v>0.94</v>
      </c>
      <c r="F1195">
        <v>0.72</v>
      </c>
      <c r="G1195">
        <v>0.31</v>
      </c>
      <c r="H1195">
        <v>0.3</v>
      </c>
      <c r="I1195">
        <v>216</v>
      </c>
      <c r="J1195">
        <v>0</v>
      </c>
      <c r="K1195">
        <v>0.73</v>
      </c>
      <c r="L1195" t="s">
        <v>13</v>
      </c>
    </row>
    <row r="1196" spans="1:12" x14ac:dyDescent="0.3">
      <c r="A1196">
        <v>26</v>
      </c>
      <c r="B1196">
        <v>2024</v>
      </c>
      <c r="C1196">
        <v>0.49</v>
      </c>
      <c r="D1196">
        <v>0.65</v>
      </c>
      <c r="E1196">
        <v>0.62</v>
      </c>
      <c r="F1196">
        <v>0.65</v>
      </c>
      <c r="G1196">
        <v>0.9</v>
      </c>
      <c r="H1196">
        <v>0.56000000000000005</v>
      </c>
      <c r="I1196">
        <v>149</v>
      </c>
      <c r="J1196">
        <v>18</v>
      </c>
      <c r="K1196">
        <v>0.62</v>
      </c>
      <c r="L1196" t="s">
        <v>12</v>
      </c>
    </row>
    <row r="1197" spans="1:12" x14ac:dyDescent="0.3">
      <c r="A1197">
        <v>27</v>
      </c>
      <c r="B1197">
        <v>2024</v>
      </c>
      <c r="C1197">
        <v>0.9</v>
      </c>
      <c r="D1197">
        <v>0.81</v>
      </c>
      <c r="E1197">
        <v>0.94</v>
      </c>
      <c r="F1197">
        <v>0.68</v>
      </c>
      <c r="G1197">
        <v>0.91</v>
      </c>
      <c r="H1197">
        <v>0.06</v>
      </c>
      <c r="I1197">
        <v>68</v>
      </c>
      <c r="J1197">
        <v>7</v>
      </c>
      <c r="K1197">
        <v>0.85</v>
      </c>
      <c r="L1197" t="s">
        <v>13</v>
      </c>
    </row>
    <row r="1198" spans="1:12" x14ac:dyDescent="0.3">
      <c r="A1198">
        <v>27</v>
      </c>
      <c r="B1198">
        <v>2024</v>
      </c>
      <c r="C1198">
        <v>0.82</v>
      </c>
      <c r="D1198">
        <v>0.88</v>
      </c>
      <c r="E1198">
        <v>0.98</v>
      </c>
      <c r="F1198">
        <v>0.83</v>
      </c>
      <c r="G1198">
        <v>0.45</v>
      </c>
      <c r="H1198">
        <v>0.86</v>
      </c>
      <c r="I1198">
        <v>213</v>
      </c>
      <c r="J1198">
        <v>8</v>
      </c>
      <c r="K1198">
        <v>0.83</v>
      </c>
      <c r="L1198" t="s">
        <v>13</v>
      </c>
    </row>
    <row r="1199" spans="1:12" x14ac:dyDescent="0.3">
      <c r="A1199">
        <v>27</v>
      </c>
      <c r="B1199">
        <v>2024</v>
      </c>
      <c r="C1199">
        <v>0.81</v>
      </c>
      <c r="D1199">
        <v>0.85</v>
      </c>
      <c r="E1199">
        <v>0.63</v>
      </c>
      <c r="F1199">
        <v>0.77</v>
      </c>
      <c r="G1199">
        <v>0.36</v>
      </c>
      <c r="H1199">
        <v>0.61</v>
      </c>
      <c r="I1199">
        <v>425</v>
      </c>
      <c r="J1199">
        <v>7</v>
      </c>
      <c r="K1199">
        <v>0.73</v>
      </c>
      <c r="L1199" t="s">
        <v>13</v>
      </c>
    </row>
    <row r="1200" spans="1:12" x14ac:dyDescent="0.3">
      <c r="A1200">
        <v>29</v>
      </c>
      <c r="B1200">
        <v>2024</v>
      </c>
      <c r="C1200">
        <v>0.81</v>
      </c>
      <c r="D1200">
        <v>0.61</v>
      </c>
      <c r="E1200">
        <v>0.7</v>
      </c>
      <c r="F1200">
        <v>0.65</v>
      </c>
      <c r="G1200">
        <v>0.42</v>
      </c>
      <c r="H1200">
        <v>0.83</v>
      </c>
      <c r="I1200">
        <v>79</v>
      </c>
      <c r="J1200">
        <v>12</v>
      </c>
      <c r="K1200">
        <v>0.68</v>
      </c>
      <c r="L1200" t="s">
        <v>12</v>
      </c>
    </row>
    <row r="1201" spans="1:12" x14ac:dyDescent="0.3">
      <c r="A1201">
        <v>29</v>
      </c>
      <c r="B1201">
        <v>2024</v>
      </c>
      <c r="C1201">
        <v>0.57999999999999996</v>
      </c>
      <c r="D1201">
        <v>0.52</v>
      </c>
      <c r="E1201">
        <v>0.54</v>
      </c>
      <c r="F1201">
        <v>0.91</v>
      </c>
      <c r="G1201">
        <v>0.47</v>
      </c>
      <c r="H1201">
        <v>0.61</v>
      </c>
      <c r="I1201">
        <v>255</v>
      </c>
      <c r="J1201">
        <v>9</v>
      </c>
      <c r="K1201">
        <v>0.6</v>
      </c>
      <c r="L1201" t="s">
        <v>12</v>
      </c>
    </row>
    <row r="1202" spans="1:12" x14ac:dyDescent="0.3">
      <c r="A1202">
        <v>30</v>
      </c>
      <c r="B1202">
        <v>2024</v>
      </c>
      <c r="C1202">
        <v>0.57999999999999996</v>
      </c>
      <c r="D1202">
        <v>0.47</v>
      </c>
      <c r="E1202">
        <v>0.94</v>
      </c>
      <c r="F1202">
        <v>0.77</v>
      </c>
      <c r="G1202">
        <v>0.56999999999999995</v>
      </c>
      <c r="H1202">
        <v>0.66</v>
      </c>
      <c r="I1202">
        <v>113</v>
      </c>
      <c r="J1202">
        <v>19</v>
      </c>
      <c r="K1202">
        <v>0.65</v>
      </c>
      <c r="L1202" t="s">
        <v>12</v>
      </c>
    </row>
    <row r="1203" spans="1:12" x14ac:dyDescent="0.3">
      <c r="A1203">
        <v>30</v>
      </c>
      <c r="B1203">
        <v>2024</v>
      </c>
      <c r="C1203">
        <v>0.4</v>
      </c>
      <c r="D1203">
        <v>0.46</v>
      </c>
      <c r="E1203">
        <v>0.71</v>
      </c>
      <c r="F1203">
        <v>0.92</v>
      </c>
      <c r="G1203">
        <v>0.4</v>
      </c>
      <c r="H1203">
        <v>0.13</v>
      </c>
      <c r="I1203">
        <v>156</v>
      </c>
      <c r="J1203">
        <v>12</v>
      </c>
      <c r="K1203">
        <v>0.56000000000000005</v>
      </c>
      <c r="L1203" t="s">
        <v>12</v>
      </c>
    </row>
    <row r="1204" spans="1:12" x14ac:dyDescent="0.3">
      <c r="A1204">
        <v>31</v>
      </c>
      <c r="B1204">
        <v>2024</v>
      </c>
      <c r="C1204">
        <v>0.61</v>
      </c>
      <c r="D1204">
        <v>0.46</v>
      </c>
      <c r="E1204">
        <v>0.82</v>
      </c>
      <c r="F1204">
        <v>0.69</v>
      </c>
      <c r="G1204">
        <v>0.73</v>
      </c>
      <c r="H1204">
        <v>0.65</v>
      </c>
      <c r="I1204">
        <v>336</v>
      </c>
      <c r="J1204">
        <v>18</v>
      </c>
      <c r="K1204">
        <v>0.64</v>
      </c>
      <c r="L1204" t="s">
        <v>12</v>
      </c>
    </row>
    <row r="1205" spans="1:12" x14ac:dyDescent="0.3">
      <c r="A1205">
        <v>31</v>
      </c>
      <c r="B1205">
        <v>2024</v>
      </c>
      <c r="C1205">
        <v>0.39</v>
      </c>
      <c r="D1205">
        <v>0.82</v>
      </c>
      <c r="E1205">
        <v>0.56000000000000005</v>
      </c>
      <c r="F1205">
        <v>0.69</v>
      </c>
      <c r="G1205">
        <v>0.55000000000000004</v>
      </c>
      <c r="H1205">
        <v>0.76</v>
      </c>
      <c r="I1205">
        <v>254</v>
      </c>
      <c r="J1205">
        <v>15</v>
      </c>
      <c r="K1205">
        <v>0.59</v>
      </c>
      <c r="L1205" t="s">
        <v>12</v>
      </c>
    </row>
    <row r="1206" spans="1:12" x14ac:dyDescent="0.3">
      <c r="A1206">
        <v>31</v>
      </c>
      <c r="B1206">
        <v>2024</v>
      </c>
      <c r="C1206">
        <v>0.64</v>
      </c>
      <c r="D1206">
        <v>0.65</v>
      </c>
      <c r="E1206">
        <v>0.55000000000000004</v>
      </c>
      <c r="F1206">
        <v>0.97</v>
      </c>
      <c r="G1206">
        <v>0.86</v>
      </c>
      <c r="H1206">
        <v>0.23</v>
      </c>
      <c r="I1206">
        <v>149</v>
      </c>
      <c r="J1206">
        <v>19</v>
      </c>
      <c r="K1206">
        <v>0.7</v>
      </c>
      <c r="L1206" t="s">
        <v>12</v>
      </c>
    </row>
    <row r="1207" spans="1:12" x14ac:dyDescent="0.3">
      <c r="A1207">
        <v>32</v>
      </c>
      <c r="B1207">
        <v>2024</v>
      </c>
      <c r="C1207">
        <v>0.36</v>
      </c>
      <c r="D1207">
        <v>0.62</v>
      </c>
      <c r="E1207">
        <v>0.62</v>
      </c>
      <c r="F1207">
        <v>0.92</v>
      </c>
      <c r="G1207">
        <v>0.63</v>
      </c>
      <c r="H1207">
        <v>0.98</v>
      </c>
      <c r="I1207">
        <v>444</v>
      </c>
      <c r="J1207">
        <v>15</v>
      </c>
      <c r="K1207">
        <v>0.59</v>
      </c>
      <c r="L1207" t="s">
        <v>12</v>
      </c>
    </row>
    <row r="1208" spans="1:12" x14ac:dyDescent="0.3">
      <c r="A1208">
        <v>32</v>
      </c>
      <c r="B1208">
        <v>2024</v>
      </c>
      <c r="C1208">
        <v>0.79</v>
      </c>
      <c r="D1208">
        <v>0.74</v>
      </c>
      <c r="E1208">
        <v>0.5</v>
      </c>
      <c r="F1208">
        <v>0.73</v>
      </c>
      <c r="G1208">
        <v>0.66</v>
      </c>
      <c r="H1208">
        <v>0.09</v>
      </c>
      <c r="I1208">
        <v>463</v>
      </c>
      <c r="J1208">
        <v>0</v>
      </c>
      <c r="K1208">
        <v>0.7</v>
      </c>
      <c r="L1208" t="s">
        <v>12</v>
      </c>
    </row>
    <row r="1209" spans="1:12" x14ac:dyDescent="0.3">
      <c r="A1209">
        <v>32</v>
      </c>
      <c r="B1209">
        <v>2024</v>
      </c>
      <c r="C1209">
        <v>0.68</v>
      </c>
      <c r="D1209">
        <v>0.47</v>
      </c>
      <c r="E1209">
        <v>0.51</v>
      </c>
      <c r="F1209">
        <v>0.62</v>
      </c>
      <c r="G1209">
        <v>0.97</v>
      </c>
      <c r="H1209">
        <v>0.14000000000000001</v>
      </c>
      <c r="I1209">
        <v>240</v>
      </c>
      <c r="J1209">
        <v>13</v>
      </c>
      <c r="K1209">
        <v>0.61</v>
      </c>
      <c r="L1209" t="s">
        <v>12</v>
      </c>
    </row>
    <row r="1210" spans="1:12" x14ac:dyDescent="0.3">
      <c r="A1210">
        <v>32</v>
      </c>
      <c r="B1210">
        <v>2024</v>
      </c>
      <c r="C1210">
        <v>0.77</v>
      </c>
      <c r="D1210">
        <v>0.74</v>
      </c>
      <c r="E1210">
        <v>0.66</v>
      </c>
      <c r="F1210">
        <v>0.81</v>
      </c>
      <c r="G1210">
        <v>0.47</v>
      </c>
      <c r="H1210">
        <v>0.86</v>
      </c>
      <c r="I1210">
        <v>415</v>
      </c>
      <c r="J1210">
        <v>10</v>
      </c>
      <c r="K1210">
        <v>0.72</v>
      </c>
      <c r="L1210" t="s">
        <v>13</v>
      </c>
    </row>
    <row r="1211" spans="1:12" x14ac:dyDescent="0.3">
      <c r="A1211">
        <v>33</v>
      </c>
      <c r="B1211">
        <v>2024</v>
      </c>
      <c r="C1211">
        <v>0.39</v>
      </c>
      <c r="D1211">
        <v>0.81</v>
      </c>
      <c r="E1211">
        <v>0.97</v>
      </c>
      <c r="F1211">
        <v>0.71</v>
      </c>
      <c r="G1211">
        <v>0.63</v>
      </c>
      <c r="H1211">
        <v>0.63</v>
      </c>
      <c r="I1211">
        <v>342</v>
      </c>
      <c r="J1211">
        <v>9</v>
      </c>
      <c r="K1211">
        <v>0.68</v>
      </c>
      <c r="L1211" t="s">
        <v>12</v>
      </c>
    </row>
    <row r="1212" spans="1:12" x14ac:dyDescent="0.3">
      <c r="A1212">
        <v>33</v>
      </c>
      <c r="B1212">
        <v>2024</v>
      </c>
      <c r="C1212">
        <v>0.56000000000000005</v>
      </c>
      <c r="D1212">
        <v>0.67</v>
      </c>
      <c r="E1212">
        <v>0.66</v>
      </c>
      <c r="F1212">
        <v>0.67</v>
      </c>
      <c r="G1212">
        <v>0.4</v>
      </c>
      <c r="H1212">
        <v>0.95</v>
      </c>
      <c r="I1212">
        <v>277</v>
      </c>
      <c r="J1212">
        <v>9</v>
      </c>
      <c r="K1212">
        <v>0.61</v>
      </c>
      <c r="L1212" t="s">
        <v>12</v>
      </c>
    </row>
    <row r="1213" spans="1:12" x14ac:dyDescent="0.3">
      <c r="A1213">
        <v>34</v>
      </c>
      <c r="B1213">
        <v>2024</v>
      </c>
      <c r="C1213">
        <v>1</v>
      </c>
      <c r="D1213">
        <v>0.99</v>
      </c>
      <c r="E1213">
        <v>0.83</v>
      </c>
      <c r="F1213">
        <v>0.65</v>
      </c>
      <c r="G1213">
        <v>0.78</v>
      </c>
      <c r="H1213">
        <v>0.09</v>
      </c>
      <c r="I1213">
        <v>245</v>
      </c>
      <c r="J1213">
        <v>19</v>
      </c>
      <c r="K1213">
        <v>0.89</v>
      </c>
      <c r="L1213" t="s">
        <v>13</v>
      </c>
    </row>
    <row r="1214" spans="1:12" x14ac:dyDescent="0.3">
      <c r="A1214">
        <v>34</v>
      </c>
      <c r="B1214">
        <v>2024</v>
      </c>
      <c r="C1214">
        <v>0.6</v>
      </c>
      <c r="D1214">
        <v>0.49</v>
      </c>
      <c r="E1214">
        <v>0.95</v>
      </c>
      <c r="F1214">
        <v>0.74</v>
      </c>
      <c r="G1214">
        <v>0.41</v>
      </c>
      <c r="H1214">
        <v>0.03</v>
      </c>
      <c r="I1214">
        <v>493</v>
      </c>
      <c r="J1214">
        <v>17</v>
      </c>
      <c r="K1214">
        <v>0.64</v>
      </c>
      <c r="L1214" t="s">
        <v>12</v>
      </c>
    </row>
    <row r="1215" spans="1:12" x14ac:dyDescent="0.3">
      <c r="A1215">
        <v>34</v>
      </c>
      <c r="B1215">
        <v>2024</v>
      </c>
      <c r="C1215">
        <v>0.78</v>
      </c>
      <c r="D1215">
        <v>0.89</v>
      </c>
      <c r="E1215">
        <v>0.71</v>
      </c>
      <c r="F1215">
        <v>0.72</v>
      </c>
      <c r="G1215">
        <v>0.96</v>
      </c>
      <c r="H1215">
        <v>0.68</v>
      </c>
      <c r="I1215">
        <v>100</v>
      </c>
      <c r="J1215">
        <v>2</v>
      </c>
      <c r="K1215">
        <v>0.8</v>
      </c>
      <c r="L1215" t="s">
        <v>13</v>
      </c>
    </row>
    <row r="1216" spans="1:12" x14ac:dyDescent="0.3">
      <c r="A1216">
        <v>34</v>
      </c>
      <c r="B1216">
        <v>2024</v>
      </c>
      <c r="C1216">
        <v>0.89</v>
      </c>
      <c r="D1216">
        <v>0.93</v>
      </c>
      <c r="E1216">
        <v>0.74</v>
      </c>
      <c r="F1216">
        <v>0.89</v>
      </c>
      <c r="G1216">
        <v>0.52</v>
      </c>
      <c r="H1216">
        <v>0.34</v>
      </c>
      <c r="I1216">
        <v>162</v>
      </c>
      <c r="J1216">
        <v>12</v>
      </c>
      <c r="K1216">
        <v>0.83</v>
      </c>
      <c r="L1216" t="s">
        <v>13</v>
      </c>
    </row>
    <row r="1217" spans="1:12" x14ac:dyDescent="0.3">
      <c r="A1217">
        <v>35</v>
      </c>
      <c r="B1217">
        <v>2024</v>
      </c>
      <c r="C1217">
        <v>0.85</v>
      </c>
      <c r="D1217">
        <v>0.98</v>
      </c>
      <c r="E1217">
        <v>0.69</v>
      </c>
      <c r="F1217">
        <v>0.77</v>
      </c>
      <c r="G1217">
        <v>0.89</v>
      </c>
      <c r="H1217">
        <v>0.27</v>
      </c>
      <c r="I1217">
        <v>378</v>
      </c>
      <c r="J1217">
        <v>12</v>
      </c>
      <c r="K1217">
        <v>0.84</v>
      </c>
      <c r="L1217" t="s">
        <v>13</v>
      </c>
    </row>
    <row r="1218" spans="1:12" x14ac:dyDescent="0.3">
      <c r="A1218">
        <v>35</v>
      </c>
      <c r="B1218">
        <v>2024</v>
      </c>
      <c r="C1218">
        <v>0.98</v>
      </c>
      <c r="D1218">
        <v>0.57999999999999996</v>
      </c>
      <c r="E1218">
        <v>0.88</v>
      </c>
      <c r="F1218">
        <v>0.77</v>
      </c>
      <c r="G1218">
        <v>0.69</v>
      </c>
      <c r="H1218">
        <v>0.82</v>
      </c>
      <c r="I1218">
        <v>254</v>
      </c>
      <c r="J1218">
        <v>7</v>
      </c>
      <c r="K1218">
        <v>0.8</v>
      </c>
      <c r="L1218" t="s">
        <v>13</v>
      </c>
    </row>
    <row r="1219" spans="1:12" x14ac:dyDescent="0.3">
      <c r="A1219">
        <v>36</v>
      </c>
      <c r="B1219">
        <v>2024</v>
      </c>
      <c r="C1219">
        <v>0.41</v>
      </c>
      <c r="D1219">
        <v>0.9</v>
      </c>
      <c r="E1219">
        <v>0.92</v>
      </c>
      <c r="F1219">
        <v>0.98</v>
      </c>
      <c r="G1219">
        <v>0.41</v>
      </c>
      <c r="H1219">
        <v>0.62</v>
      </c>
      <c r="I1219">
        <v>499</v>
      </c>
      <c r="J1219">
        <v>8</v>
      </c>
      <c r="K1219">
        <v>0.72</v>
      </c>
      <c r="L1219" t="s">
        <v>13</v>
      </c>
    </row>
    <row r="1220" spans="1:12" x14ac:dyDescent="0.3">
      <c r="A1220">
        <v>36</v>
      </c>
      <c r="B1220">
        <v>2024</v>
      </c>
      <c r="C1220">
        <v>0.34</v>
      </c>
      <c r="D1220">
        <v>0.78</v>
      </c>
      <c r="E1220">
        <v>0.64</v>
      </c>
      <c r="F1220">
        <v>0.71</v>
      </c>
      <c r="G1220">
        <v>0.53</v>
      </c>
      <c r="H1220">
        <v>0.66</v>
      </c>
      <c r="I1220">
        <v>229</v>
      </c>
      <c r="J1220">
        <v>4</v>
      </c>
      <c r="K1220">
        <v>0.57999999999999996</v>
      </c>
      <c r="L1220" t="s">
        <v>12</v>
      </c>
    </row>
    <row r="1221" spans="1:12" x14ac:dyDescent="0.3">
      <c r="A1221">
        <v>36</v>
      </c>
      <c r="B1221">
        <v>2024</v>
      </c>
      <c r="C1221">
        <v>0.73</v>
      </c>
      <c r="D1221">
        <v>0.56000000000000005</v>
      </c>
      <c r="E1221">
        <v>0.64</v>
      </c>
      <c r="F1221">
        <v>0.8</v>
      </c>
      <c r="G1221">
        <v>0.86</v>
      </c>
      <c r="H1221">
        <v>0.05</v>
      </c>
      <c r="I1221">
        <v>253</v>
      </c>
      <c r="J1221">
        <v>15</v>
      </c>
      <c r="K1221">
        <v>0.69</v>
      </c>
      <c r="L1221" t="s">
        <v>12</v>
      </c>
    </row>
    <row r="1222" spans="1:12" x14ac:dyDescent="0.3">
      <c r="A1222">
        <v>36</v>
      </c>
      <c r="B1222">
        <v>2024</v>
      </c>
      <c r="C1222">
        <v>0.63</v>
      </c>
      <c r="D1222">
        <v>0.6</v>
      </c>
      <c r="E1222">
        <v>0.55000000000000004</v>
      </c>
      <c r="F1222">
        <v>0.66</v>
      </c>
      <c r="G1222">
        <v>0.32</v>
      </c>
      <c r="H1222">
        <v>0.47</v>
      </c>
      <c r="I1222">
        <v>345</v>
      </c>
      <c r="J1222">
        <v>18</v>
      </c>
      <c r="K1222">
        <v>0.57999999999999996</v>
      </c>
      <c r="L1222" t="s">
        <v>12</v>
      </c>
    </row>
    <row r="1223" spans="1:12" x14ac:dyDescent="0.3">
      <c r="A1223">
        <v>36</v>
      </c>
      <c r="B1223">
        <v>2024</v>
      </c>
      <c r="C1223">
        <v>0.77</v>
      </c>
      <c r="D1223">
        <v>0.52</v>
      </c>
      <c r="E1223">
        <v>0.97</v>
      </c>
      <c r="F1223">
        <v>0.71</v>
      </c>
      <c r="G1223">
        <v>0.4</v>
      </c>
      <c r="H1223">
        <v>0.09</v>
      </c>
      <c r="I1223">
        <v>221</v>
      </c>
      <c r="J1223">
        <v>6</v>
      </c>
      <c r="K1223">
        <v>0.7</v>
      </c>
      <c r="L1223" t="s">
        <v>12</v>
      </c>
    </row>
    <row r="1224" spans="1:12" x14ac:dyDescent="0.3">
      <c r="A1224">
        <v>37</v>
      </c>
      <c r="B1224">
        <v>2024</v>
      </c>
      <c r="C1224">
        <v>0.59</v>
      </c>
      <c r="D1224">
        <v>0.7</v>
      </c>
      <c r="E1224">
        <v>0.89</v>
      </c>
      <c r="F1224">
        <v>0.84</v>
      </c>
      <c r="G1224">
        <v>0.44</v>
      </c>
      <c r="H1224">
        <v>0.59</v>
      </c>
      <c r="I1224">
        <v>184</v>
      </c>
      <c r="J1224">
        <v>10</v>
      </c>
      <c r="K1224">
        <v>0.7</v>
      </c>
      <c r="L1224" t="s">
        <v>12</v>
      </c>
    </row>
    <row r="1225" spans="1:12" x14ac:dyDescent="0.3">
      <c r="A1225">
        <v>37</v>
      </c>
      <c r="B1225">
        <v>2024</v>
      </c>
      <c r="C1225">
        <v>0.45</v>
      </c>
      <c r="D1225">
        <v>0.45</v>
      </c>
      <c r="E1225">
        <v>0.78</v>
      </c>
      <c r="F1225">
        <v>0.61</v>
      </c>
      <c r="G1225">
        <v>0.59</v>
      </c>
      <c r="H1225">
        <v>7.0000000000000007E-2</v>
      </c>
      <c r="I1225">
        <v>156</v>
      </c>
      <c r="J1225">
        <v>8</v>
      </c>
      <c r="K1225">
        <v>0.55000000000000004</v>
      </c>
      <c r="L1225" t="s">
        <v>12</v>
      </c>
    </row>
    <row r="1226" spans="1:12" x14ac:dyDescent="0.3">
      <c r="A1226">
        <v>37</v>
      </c>
      <c r="B1226">
        <v>2024</v>
      </c>
      <c r="C1226">
        <v>0.49</v>
      </c>
      <c r="D1226">
        <v>0.96</v>
      </c>
      <c r="E1226">
        <v>0.73</v>
      </c>
      <c r="F1226">
        <v>0.65</v>
      </c>
      <c r="G1226">
        <v>0.6</v>
      </c>
      <c r="H1226">
        <v>0.13</v>
      </c>
      <c r="I1226">
        <v>202</v>
      </c>
      <c r="J1226">
        <v>13</v>
      </c>
      <c r="K1226">
        <v>0.69</v>
      </c>
      <c r="L1226" t="s">
        <v>12</v>
      </c>
    </row>
    <row r="1227" spans="1:12" x14ac:dyDescent="0.3">
      <c r="A1227">
        <v>38</v>
      </c>
      <c r="B1227">
        <v>2024</v>
      </c>
      <c r="C1227">
        <v>0.55000000000000004</v>
      </c>
      <c r="D1227">
        <v>0.49</v>
      </c>
      <c r="E1227">
        <v>0.75</v>
      </c>
      <c r="F1227">
        <v>0.78</v>
      </c>
      <c r="G1227">
        <v>0.93</v>
      </c>
      <c r="H1227">
        <v>0.93</v>
      </c>
      <c r="I1227">
        <v>288</v>
      </c>
      <c r="J1227">
        <v>13</v>
      </c>
      <c r="K1227">
        <v>0.65</v>
      </c>
      <c r="L1227" t="s">
        <v>12</v>
      </c>
    </row>
    <row r="1228" spans="1:12" x14ac:dyDescent="0.3">
      <c r="A1228">
        <v>38</v>
      </c>
      <c r="B1228">
        <v>2024</v>
      </c>
      <c r="C1228">
        <v>0.89</v>
      </c>
      <c r="D1228">
        <v>0.43</v>
      </c>
      <c r="E1228">
        <v>0.97</v>
      </c>
      <c r="F1228">
        <v>0.65</v>
      </c>
      <c r="G1228">
        <v>0.32</v>
      </c>
      <c r="H1228">
        <v>0.41</v>
      </c>
      <c r="I1228">
        <v>356</v>
      </c>
      <c r="J1228">
        <v>7</v>
      </c>
      <c r="K1228">
        <v>0.7</v>
      </c>
      <c r="L1228" t="s">
        <v>12</v>
      </c>
    </row>
    <row r="1229" spans="1:12" x14ac:dyDescent="0.3">
      <c r="A1229">
        <v>39</v>
      </c>
      <c r="B1229">
        <v>2024</v>
      </c>
      <c r="C1229">
        <v>0.62</v>
      </c>
      <c r="D1229">
        <v>0.87</v>
      </c>
      <c r="E1229">
        <v>0.8</v>
      </c>
      <c r="F1229">
        <v>0.86</v>
      </c>
      <c r="G1229">
        <v>1</v>
      </c>
      <c r="H1229">
        <v>7.0000000000000007E-2</v>
      </c>
      <c r="I1229">
        <v>70</v>
      </c>
      <c r="J1229">
        <v>6</v>
      </c>
      <c r="K1229">
        <v>0.79</v>
      </c>
      <c r="L1229" t="s">
        <v>13</v>
      </c>
    </row>
    <row r="1230" spans="1:12" x14ac:dyDescent="0.3">
      <c r="A1230">
        <v>39</v>
      </c>
      <c r="B1230">
        <v>2024</v>
      </c>
      <c r="C1230">
        <v>0.61</v>
      </c>
      <c r="D1230">
        <v>0.97</v>
      </c>
      <c r="E1230">
        <v>0.8</v>
      </c>
      <c r="F1230">
        <v>0.69</v>
      </c>
      <c r="G1230">
        <v>0.64</v>
      </c>
      <c r="H1230">
        <v>0.68</v>
      </c>
      <c r="I1230">
        <v>497</v>
      </c>
      <c r="J1230">
        <v>13</v>
      </c>
      <c r="K1230">
        <v>0.75</v>
      </c>
      <c r="L1230" t="s">
        <v>13</v>
      </c>
    </row>
    <row r="1231" spans="1:12" x14ac:dyDescent="0.3">
      <c r="A1231">
        <v>39</v>
      </c>
      <c r="B1231">
        <v>2024</v>
      </c>
      <c r="C1231">
        <v>0.43</v>
      </c>
      <c r="D1231">
        <v>0.95</v>
      </c>
      <c r="E1231">
        <v>0.88</v>
      </c>
      <c r="F1231">
        <v>0.97</v>
      </c>
      <c r="G1231">
        <v>0.52</v>
      </c>
      <c r="H1231">
        <v>0.94</v>
      </c>
      <c r="I1231">
        <v>132</v>
      </c>
      <c r="J1231">
        <v>11</v>
      </c>
      <c r="K1231">
        <v>0.74</v>
      </c>
      <c r="L1231" t="s">
        <v>13</v>
      </c>
    </row>
    <row r="1232" spans="1:12" x14ac:dyDescent="0.3">
      <c r="A1232">
        <v>39</v>
      </c>
      <c r="B1232">
        <v>2024</v>
      </c>
      <c r="C1232">
        <v>0.73</v>
      </c>
      <c r="D1232">
        <v>0.5</v>
      </c>
      <c r="E1232">
        <v>0.54</v>
      </c>
      <c r="F1232">
        <v>0.87</v>
      </c>
      <c r="G1232">
        <v>0.94</v>
      </c>
      <c r="H1232">
        <v>0.46</v>
      </c>
      <c r="I1232">
        <v>354</v>
      </c>
      <c r="J1232">
        <v>2</v>
      </c>
      <c r="K1232">
        <v>0.68</v>
      </c>
      <c r="L1232" t="s">
        <v>12</v>
      </c>
    </row>
    <row r="1233" spans="1:12" x14ac:dyDescent="0.3">
      <c r="A1233">
        <v>40</v>
      </c>
      <c r="B1233">
        <v>2024</v>
      </c>
      <c r="C1233">
        <v>0.89</v>
      </c>
      <c r="D1233">
        <v>0.48</v>
      </c>
      <c r="E1233">
        <v>0.9</v>
      </c>
      <c r="F1233">
        <v>0.68</v>
      </c>
      <c r="G1233">
        <v>0.41</v>
      </c>
      <c r="H1233">
        <v>0.16</v>
      </c>
      <c r="I1233">
        <v>54</v>
      </c>
      <c r="J1233">
        <v>18</v>
      </c>
      <c r="K1233">
        <v>0.71</v>
      </c>
      <c r="L1233" t="s">
        <v>13</v>
      </c>
    </row>
    <row r="1234" spans="1:12" x14ac:dyDescent="0.3">
      <c r="A1234">
        <v>40</v>
      </c>
      <c r="B1234">
        <v>2024</v>
      </c>
      <c r="C1234">
        <v>0.39</v>
      </c>
      <c r="D1234">
        <v>0.98</v>
      </c>
      <c r="E1234">
        <v>0.73</v>
      </c>
      <c r="F1234">
        <v>0.69</v>
      </c>
      <c r="G1234">
        <v>0.35</v>
      </c>
      <c r="H1234">
        <v>0.17</v>
      </c>
      <c r="I1234">
        <v>142</v>
      </c>
      <c r="J1234">
        <v>9</v>
      </c>
      <c r="K1234">
        <v>0.65</v>
      </c>
      <c r="L1234" t="s">
        <v>12</v>
      </c>
    </row>
    <row r="1235" spans="1:12" x14ac:dyDescent="0.3">
      <c r="A1235">
        <v>40</v>
      </c>
      <c r="B1235">
        <v>2024</v>
      </c>
      <c r="C1235">
        <v>0.49</v>
      </c>
      <c r="D1235">
        <v>0.88</v>
      </c>
      <c r="E1235">
        <v>0.66</v>
      </c>
      <c r="F1235">
        <v>0.72</v>
      </c>
      <c r="G1235">
        <v>0.46</v>
      </c>
      <c r="H1235">
        <v>0.13</v>
      </c>
      <c r="I1235">
        <v>88</v>
      </c>
      <c r="J1235">
        <v>16</v>
      </c>
      <c r="K1235">
        <v>0.65</v>
      </c>
      <c r="L1235" t="s">
        <v>12</v>
      </c>
    </row>
    <row r="1236" spans="1:12" x14ac:dyDescent="0.3">
      <c r="A1236">
        <v>40</v>
      </c>
      <c r="B1236">
        <v>2024</v>
      </c>
      <c r="C1236">
        <v>0.31</v>
      </c>
      <c r="D1236">
        <v>0.71</v>
      </c>
      <c r="E1236">
        <v>0.74</v>
      </c>
      <c r="F1236">
        <v>0.86</v>
      </c>
      <c r="G1236">
        <v>0.69</v>
      </c>
      <c r="H1236">
        <v>0.69</v>
      </c>
      <c r="I1236">
        <v>493</v>
      </c>
      <c r="J1236">
        <v>6</v>
      </c>
      <c r="K1236">
        <v>0.62</v>
      </c>
      <c r="L1236" t="s">
        <v>12</v>
      </c>
    </row>
    <row r="1237" spans="1:12" x14ac:dyDescent="0.3">
      <c r="A1237">
        <v>41</v>
      </c>
      <c r="B1237">
        <v>2024</v>
      </c>
      <c r="C1237">
        <v>0.9</v>
      </c>
      <c r="D1237">
        <v>0.77</v>
      </c>
      <c r="E1237">
        <v>0.67</v>
      </c>
      <c r="F1237">
        <v>0.63</v>
      </c>
      <c r="G1237">
        <v>0.52</v>
      </c>
      <c r="H1237">
        <v>0.33</v>
      </c>
      <c r="I1237">
        <v>148</v>
      </c>
      <c r="J1237">
        <v>11</v>
      </c>
      <c r="K1237">
        <v>0.74</v>
      </c>
      <c r="L1237" t="s">
        <v>13</v>
      </c>
    </row>
    <row r="1238" spans="1:12" x14ac:dyDescent="0.3">
      <c r="A1238">
        <v>41</v>
      </c>
      <c r="B1238">
        <v>2024</v>
      </c>
      <c r="C1238">
        <v>0.81</v>
      </c>
      <c r="D1238">
        <v>0.45</v>
      </c>
      <c r="E1238">
        <v>0.53</v>
      </c>
      <c r="F1238">
        <v>0.7</v>
      </c>
      <c r="G1238">
        <v>0.41</v>
      </c>
      <c r="H1238">
        <v>0.87</v>
      </c>
      <c r="I1238">
        <v>171</v>
      </c>
      <c r="J1238">
        <v>18</v>
      </c>
      <c r="K1238">
        <v>0.61</v>
      </c>
      <c r="L1238" t="s">
        <v>12</v>
      </c>
    </row>
    <row r="1239" spans="1:12" x14ac:dyDescent="0.3">
      <c r="A1239">
        <v>41</v>
      </c>
      <c r="B1239">
        <v>2024</v>
      </c>
      <c r="C1239">
        <v>0.39</v>
      </c>
      <c r="D1239">
        <v>0.64</v>
      </c>
      <c r="E1239">
        <v>0.96</v>
      </c>
      <c r="F1239">
        <v>0.79</v>
      </c>
      <c r="G1239">
        <v>0.31</v>
      </c>
      <c r="H1239">
        <v>0.28000000000000003</v>
      </c>
      <c r="I1239">
        <v>155</v>
      </c>
      <c r="J1239">
        <v>6</v>
      </c>
      <c r="K1239">
        <v>0.62</v>
      </c>
      <c r="L1239" t="s">
        <v>12</v>
      </c>
    </row>
    <row r="1240" spans="1:12" x14ac:dyDescent="0.3">
      <c r="A1240">
        <v>41</v>
      </c>
      <c r="B1240">
        <v>2024</v>
      </c>
      <c r="C1240">
        <v>0.53</v>
      </c>
      <c r="D1240">
        <v>0.55000000000000004</v>
      </c>
      <c r="E1240">
        <v>0.73</v>
      </c>
      <c r="F1240">
        <v>0.65</v>
      </c>
      <c r="G1240">
        <v>0.95</v>
      </c>
      <c r="H1240">
        <v>0.87</v>
      </c>
      <c r="I1240">
        <v>430</v>
      </c>
      <c r="J1240">
        <v>13</v>
      </c>
      <c r="K1240">
        <v>0.64</v>
      </c>
      <c r="L1240" t="s">
        <v>12</v>
      </c>
    </row>
    <row r="1241" spans="1:12" x14ac:dyDescent="0.3">
      <c r="A1241">
        <v>41</v>
      </c>
      <c r="B1241">
        <v>2024</v>
      </c>
      <c r="C1241">
        <v>0.9</v>
      </c>
      <c r="D1241">
        <v>0.67</v>
      </c>
      <c r="E1241">
        <v>0.53</v>
      </c>
      <c r="F1241">
        <v>0.79</v>
      </c>
      <c r="G1241">
        <v>0.78</v>
      </c>
      <c r="H1241">
        <v>0.61</v>
      </c>
      <c r="I1241">
        <v>148</v>
      </c>
      <c r="J1241">
        <v>17</v>
      </c>
      <c r="K1241">
        <v>0.74</v>
      </c>
      <c r="L1241" t="s">
        <v>13</v>
      </c>
    </row>
    <row r="1242" spans="1:12" x14ac:dyDescent="0.3">
      <c r="A1242">
        <v>41</v>
      </c>
      <c r="B1242">
        <v>2024</v>
      </c>
      <c r="C1242">
        <v>0.88</v>
      </c>
      <c r="D1242">
        <v>0.46</v>
      </c>
      <c r="E1242">
        <v>0.61</v>
      </c>
      <c r="F1242">
        <v>0.6</v>
      </c>
      <c r="G1242">
        <v>0.51</v>
      </c>
      <c r="H1242">
        <v>0.11</v>
      </c>
      <c r="I1242">
        <v>79</v>
      </c>
      <c r="J1242">
        <v>12</v>
      </c>
      <c r="K1242">
        <v>0.64</v>
      </c>
      <c r="L1242" t="s">
        <v>12</v>
      </c>
    </row>
    <row r="1243" spans="1:12" x14ac:dyDescent="0.3">
      <c r="A1243">
        <v>41</v>
      </c>
      <c r="B1243">
        <v>2024</v>
      </c>
      <c r="C1243">
        <v>0.36</v>
      </c>
      <c r="D1243">
        <v>0.69</v>
      </c>
      <c r="E1243">
        <v>0.6</v>
      </c>
      <c r="F1243">
        <v>0.68</v>
      </c>
      <c r="G1243">
        <v>0.96</v>
      </c>
      <c r="H1243">
        <v>0.76</v>
      </c>
      <c r="I1243">
        <v>321</v>
      </c>
      <c r="J1243">
        <v>7</v>
      </c>
      <c r="K1243">
        <v>0.6</v>
      </c>
      <c r="L1243" t="s">
        <v>12</v>
      </c>
    </row>
    <row r="1244" spans="1:12" x14ac:dyDescent="0.3">
      <c r="A1244">
        <v>41</v>
      </c>
      <c r="B1244">
        <v>2024</v>
      </c>
      <c r="C1244">
        <v>0.59</v>
      </c>
      <c r="D1244">
        <v>0.73</v>
      </c>
      <c r="E1244">
        <v>0.62</v>
      </c>
      <c r="F1244">
        <v>0.62</v>
      </c>
      <c r="G1244">
        <v>0.96</v>
      </c>
      <c r="H1244">
        <v>0.19</v>
      </c>
      <c r="I1244">
        <v>441</v>
      </c>
      <c r="J1244">
        <v>5</v>
      </c>
      <c r="K1244">
        <v>0.67</v>
      </c>
      <c r="L1244" t="s">
        <v>12</v>
      </c>
    </row>
    <row r="1245" spans="1:12" x14ac:dyDescent="0.3">
      <c r="A1245">
        <v>42</v>
      </c>
      <c r="B1245">
        <v>2024</v>
      </c>
      <c r="C1245">
        <v>0.73</v>
      </c>
      <c r="D1245">
        <v>0.52</v>
      </c>
      <c r="E1245">
        <v>0.8</v>
      </c>
      <c r="F1245">
        <v>0.87</v>
      </c>
      <c r="G1245">
        <v>0.67</v>
      </c>
      <c r="H1245">
        <v>0.72</v>
      </c>
      <c r="I1245">
        <v>158</v>
      </c>
      <c r="J1245">
        <v>4</v>
      </c>
      <c r="K1245">
        <v>0.71</v>
      </c>
      <c r="L1245" t="s">
        <v>13</v>
      </c>
    </row>
    <row r="1246" spans="1:12" x14ac:dyDescent="0.3">
      <c r="A1246">
        <v>42</v>
      </c>
      <c r="B1246">
        <v>2024</v>
      </c>
      <c r="C1246">
        <v>0.74</v>
      </c>
      <c r="D1246">
        <v>0.59</v>
      </c>
      <c r="E1246">
        <v>0.62</v>
      </c>
      <c r="F1246">
        <v>0.6</v>
      </c>
      <c r="G1246">
        <v>0.46</v>
      </c>
      <c r="H1246">
        <v>0.14000000000000001</v>
      </c>
      <c r="I1246">
        <v>303</v>
      </c>
      <c r="J1246">
        <v>14</v>
      </c>
      <c r="K1246">
        <v>0.63</v>
      </c>
      <c r="L1246" t="s">
        <v>12</v>
      </c>
    </row>
    <row r="1247" spans="1:12" x14ac:dyDescent="0.3">
      <c r="A1247">
        <v>42</v>
      </c>
      <c r="B1247">
        <v>2024</v>
      </c>
      <c r="C1247">
        <v>0.64</v>
      </c>
      <c r="D1247">
        <v>0.62</v>
      </c>
      <c r="E1247">
        <v>0.82</v>
      </c>
      <c r="F1247">
        <v>0.98</v>
      </c>
      <c r="G1247">
        <v>0.33</v>
      </c>
      <c r="H1247">
        <v>0.92</v>
      </c>
      <c r="I1247">
        <v>152</v>
      </c>
      <c r="J1247">
        <v>0</v>
      </c>
      <c r="K1247">
        <v>0.69</v>
      </c>
      <c r="L1247" t="s">
        <v>12</v>
      </c>
    </row>
    <row r="1248" spans="1:12" x14ac:dyDescent="0.3">
      <c r="A1248">
        <v>42</v>
      </c>
      <c r="B1248">
        <v>2024</v>
      </c>
      <c r="C1248">
        <v>0.73</v>
      </c>
      <c r="D1248">
        <v>0.62</v>
      </c>
      <c r="E1248">
        <v>0.88</v>
      </c>
      <c r="F1248">
        <v>0.75</v>
      </c>
      <c r="G1248">
        <v>0.64</v>
      </c>
      <c r="H1248">
        <v>0.41</v>
      </c>
      <c r="I1248">
        <v>277</v>
      </c>
      <c r="J1248">
        <v>8</v>
      </c>
      <c r="K1248">
        <v>0.73</v>
      </c>
      <c r="L1248" t="s">
        <v>13</v>
      </c>
    </row>
    <row r="1249" spans="1:12" x14ac:dyDescent="0.3">
      <c r="A1249">
        <v>43</v>
      </c>
      <c r="B1249">
        <v>2024</v>
      </c>
      <c r="C1249">
        <v>0.72</v>
      </c>
      <c r="D1249">
        <v>0.93</v>
      </c>
      <c r="E1249">
        <v>0.71</v>
      </c>
      <c r="F1249">
        <v>0.84</v>
      </c>
      <c r="G1249">
        <v>0.74</v>
      </c>
      <c r="H1249">
        <v>0.42</v>
      </c>
      <c r="I1249">
        <v>134</v>
      </c>
      <c r="J1249">
        <v>3</v>
      </c>
      <c r="K1249">
        <v>0.79</v>
      </c>
      <c r="L1249" t="s">
        <v>13</v>
      </c>
    </row>
    <row r="1250" spans="1:12" x14ac:dyDescent="0.3">
      <c r="A1250">
        <v>43</v>
      </c>
      <c r="B1250">
        <v>2024</v>
      </c>
      <c r="C1250">
        <v>0.79</v>
      </c>
      <c r="D1250">
        <v>0.93</v>
      </c>
      <c r="E1250">
        <v>0.74</v>
      </c>
      <c r="F1250">
        <v>0.75</v>
      </c>
      <c r="G1250">
        <v>0.48</v>
      </c>
      <c r="H1250">
        <v>0.6</v>
      </c>
      <c r="I1250">
        <v>178</v>
      </c>
      <c r="J1250">
        <v>15</v>
      </c>
      <c r="K1250">
        <v>0.78</v>
      </c>
      <c r="L1250" t="s">
        <v>13</v>
      </c>
    </row>
    <row r="1251" spans="1:12" x14ac:dyDescent="0.3">
      <c r="A1251">
        <v>43</v>
      </c>
      <c r="B1251">
        <v>2024</v>
      </c>
      <c r="C1251">
        <v>0.42</v>
      </c>
      <c r="D1251">
        <v>0.5</v>
      </c>
      <c r="E1251">
        <v>0.92</v>
      </c>
      <c r="F1251">
        <v>0.71</v>
      </c>
      <c r="G1251">
        <v>0.8</v>
      </c>
      <c r="H1251">
        <v>0.56999999999999995</v>
      </c>
      <c r="I1251">
        <v>91</v>
      </c>
      <c r="J1251">
        <v>1</v>
      </c>
      <c r="K1251">
        <v>0.62</v>
      </c>
      <c r="L1251" t="s">
        <v>12</v>
      </c>
    </row>
    <row r="1252" spans="1:12" x14ac:dyDescent="0.3">
      <c r="A1252">
        <v>44</v>
      </c>
      <c r="B1252">
        <v>2024</v>
      </c>
      <c r="C1252">
        <v>0.85</v>
      </c>
      <c r="D1252">
        <v>0.94</v>
      </c>
      <c r="E1252">
        <v>0.72</v>
      </c>
      <c r="F1252">
        <v>0.96</v>
      </c>
      <c r="G1252">
        <v>0.56000000000000005</v>
      </c>
      <c r="H1252">
        <v>0.96</v>
      </c>
      <c r="I1252">
        <v>470</v>
      </c>
      <c r="J1252">
        <v>16</v>
      </c>
      <c r="K1252">
        <v>0.83</v>
      </c>
      <c r="L1252" t="s">
        <v>13</v>
      </c>
    </row>
    <row r="1253" spans="1:12" x14ac:dyDescent="0.3">
      <c r="A1253">
        <v>44</v>
      </c>
      <c r="B1253">
        <v>2024</v>
      </c>
      <c r="C1253">
        <v>0.4</v>
      </c>
      <c r="D1253">
        <v>0.73</v>
      </c>
      <c r="E1253">
        <v>0.88</v>
      </c>
      <c r="F1253">
        <v>0.71</v>
      </c>
      <c r="G1253">
        <v>0.45</v>
      </c>
      <c r="H1253">
        <v>0.52</v>
      </c>
      <c r="I1253">
        <v>83</v>
      </c>
      <c r="J1253">
        <v>15</v>
      </c>
      <c r="K1253">
        <v>0.63</v>
      </c>
      <c r="L1253" t="s">
        <v>12</v>
      </c>
    </row>
    <row r="1254" spans="1:12" x14ac:dyDescent="0.3">
      <c r="A1254">
        <v>45</v>
      </c>
      <c r="B1254">
        <v>2024</v>
      </c>
      <c r="C1254">
        <v>0.56000000000000005</v>
      </c>
      <c r="D1254">
        <v>0.56000000000000005</v>
      </c>
      <c r="E1254">
        <v>0.82</v>
      </c>
      <c r="F1254">
        <v>0.8</v>
      </c>
      <c r="G1254">
        <v>0.49</v>
      </c>
      <c r="H1254">
        <v>0.15</v>
      </c>
      <c r="I1254">
        <v>245</v>
      </c>
      <c r="J1254">
        <v>1</v>
      </c>
      <c r="K1254">
        <v>0.64</v>
      </c>
      <c r="L1254" t="s">
        <v>12</v>
      </c>
    </row>
    <row r="1255" spans="1:12" x14ac:dyDescent="0.3">
      <c r="A1255">
        <v>45</v>
      </c>
      <c r="B1255">
        <v>2024</v>
      </c>
      <c r="C1255">
        <v>0.37</v>
      </c>
      <c r="D1255">
        <v>0.53</v>
      </c>
      <c r="E1255">
        <v>0.96</v>
      </c>
      <c r="F1255">
        <v>0.77</v>
      </c>
      <c r="G1255">
        <v>0.57999999999999996</v>
      </c>
      <c r="H1255">
        <v>0.31</v>
      </c>
      <c r="I1255">
        <v>174</v>
      </c>
      <c r="J1255">
        <v>14</v>
      </c>
      <c r="K1255">
        <v>0.61</v>
      </c>
      <c r="L1255" t="s">
        <v>12</v>
      </c>
    </row>
    <row r="1256" spans="1:12" x14ac:dyDescent="0.3">
      <c r="A1256">
        <v>45</v>
      </c>
      <c r="B1256">
        <v>2024</v>
      </c>
      <c r="C1256">
        <v>0.73</v>
      </c>
      <c r="D1256">
        <v>0.75</v>
      </c>
      <c r="E1256">
        <v>0.63</v>
      </c>
      <c r="F1256">
        <v>0.9</v>
      </c>
      <c r="G1256">
        <v>0.36</v>
      </c>
      <c r="H1256">
        <v>0.92</v>
      </c>
      <c r="I1256">
        <v>198</v>
      </c>
      <c r="J1256">
        <v>7</v>
      </c>
      <c r="K1256">
        <v>0.7</v>
      </c>
      <c r="L1256" t="s">
        <v>12</v>
      </c>
    </row>
    <row r="1257" spans="1:12" x14ac:dyDescent="0.3">
      <c r="A1257">
        <v>45</v>
      </c>
      <c r="B1257">
        <v>2024</v>
      </c>
      <c r="C1257">
        <v>0.74</v>
      </c>
      <c r="D1257">
        <v>0.45</v>
      </c>
      <c r="E1257">
        <v>0.56000000000000005</v>
      </c>
      <c r="F1257">
        <v>0.62</v>
      </c>
      <c r="G1257">
        <v>0.48</v>
      </c>
      <c r="H1257">
        <v>0.14000000000000001</v>
      </c>
      <c r="I1257">
        <v>102</v>
      </c>
      <c r="J1257">
        <v>5</v>
      </c>
      <c r="K1257">
        <v>0.59</v>
      </c>
      <c r="L1257" t="s">
        <v>12</v>
      </c>
    </row>
    <row r="1258" spans="1:12" x14ac:dyDescent="0.3">
      <c r="A1258">
        <v>45</v>
      </c>
      <c r="B1258">
        <v>2024</v>
      </c>
      <c r="C1258">
        <v>0.36</v>
      </c>
      <c r="D1258">
        <v>0.45</v>
      </c>
      <c r="E1258">
        <v>0.71</v>
      </c>
      <c r="F1258">
        <v>0.98</v>
      </c>
      <c r="G1258">
        <v>0.45</v>
      </c>
      <c r="H1258">
        <v>0.26</v>
      </c>
      <c r="I1258">
        <v>342</v>
      </c>
      <c r="J1258">
        <v>12</v>
      </c>
      <c r="K1258">
        <v>0.55000000000000004</v>
      </c>
      <c r="L1258" t="s">
        <v>12</v>
      </c>
    </row>
    <row r="1259" spans="1:12" x14ac:dyDescent="0.3">
      <c r="A1259">
        <v>46</v>
      </c>
      <c r="B1259">
        <v>2024</v>
      </c>
      <c r="C1259">
        <v>0.43</v>
      </c>
      <c r="D1259">
        <v>0.63</v>
      </c>
      <c r="E1259">
        <v>0.7</v>
      </c>
      <c r="F1259">
        <v>0.95</v>
      </c>
      <c r="G1259">
        <v>0.66</v>
      </c>
      <c r="H1259">
        <v>0.72</v>
      </c>
      <c r="I1259">
        <v>278</v>
      </c>
      <c r="J1259">
        <v>15</v>
      </c>
      <c r="K1259">
        <v>0.64</v>
      </c>
      <c r="L1259" t="s">
        <v>12</v>
      </c>
    </row>
    <row r="1260" spans="1:12" x14ac:dyDescent="0.3">
      <c r="A1260">
        <v>46</v>
      </c>
      <c r="B1260">
        <v>2024</v>
      </c>
      <c r="C1260">
        <v>0.75</v>
      </c>
      <c r="D1260">
        <v>0.62</v>
      </c>
      <c r="E1260">
        <v>0.65</v>
      </c>
      <c r="F1260">
        <v>0.95</v>
      </c>
      <c r="G1260">
        <v>0.62</v>
      </c>
      <c r="H1260">
        <v>0.1</v>
      </c>
      <c r="I1260">
        <v>332</v>
      </c>
      <c r="J1260">
        <v>7</v>
      </c>
      <c r="K1260">
        <v>0.71</v>
      </c>
      <c r="L1260" t="s">
        <v>13</v>
      </c>
    </row>
    <row r="1261" spans="1:12" x14ac:dyDescent="0.3">
      <c r="A1261">
        <v>46</v>
      </c>
      <c r="B1261">
        <v>2024</v>
      </c>
      <c r="C1261">
        <v>0.6</v>
      </c>
      <c r="D1261">
        <v>0.71</v>
      </c>
      <c r="E1261">
        <v>0.56999999999999995</v>
      </c>
      <c r="F1261">
        <v>0.82</v>
      </c>
      <c r="G1261">
        <v>0.4</v>
      </c>
      <c r="H1261">
        <v>0.61</v>
      </c>
      <c r="I1261">
        <v>90</v>
      </c>
      <c r="J1261">
        <v>14</v>
      </c>
      <c r="K1261">
        <v>0.63</v>
      </c>
      <c r="L1261" t="s">
        <v>12</v>
      </c>
    </row>
    <row r="1262" spans="1:12" x14ac:dyDescent="0.3">
      <c r="A1262">
        <v>47</v>
      </c>
      <c r="B1262">
        <v>2024</v>
      </c>
      <c r="C1262">
        <v>0.38</v>
      </c>
      <c r="D1262">
        <v>0.82</v>
      </c>
      <c r="E1262">
        <v>0.77</v>
      </c>
      <c r="F1262">
        <v>0.64</v>
      </c>
      <c r="G1262">
        <v>0.47</v>
      </c>
      <c r="H1262">
        <v>0.01</v>
      </c>
      <c r="I1262">
        <v>425</v>
      </c>
      <c r="J1262">
        <v>19</v>
      </c>
      <c r="K1262">
        <v>0.62</v>
      </c>
      <c r="L1262" t="s">
        <v>12</v>
      </c>
    </row>
    <row r="1263" spans="1:12" x14ac:dyDescent="0.3">
      <c r="A1263">
        <v>47</v>
      </c>
      <c r="B1263">
        <v>2024</v>
      </c>
      <c r="C1263">
        <v>0.78</v>
      </c>
      <c r="D1263">
        <v>0.47</v>
      </c>
      <c r="E1263">
        <v>0.69</v>
      </c>
      <c r="F1263">
        <v>0.78</v>
      </c>
      <c r="G1263">
        <v>0.56000000000000005</v>
      </c>
      <c r="H1263">
        <v>0.12</v>
      </c>
      <c r="I1263">
        <v>461</v>
      </c>
      <c r="J1263">
        <v>7</v>
      </c>
      <c r="K1263">
        <v>0.66</v>
      </c>
      <c r="L1263" t="s">
        <v>12</v>
      </c>
    </row>
    <row r="1264" spans="1:12" x14ac:dyDescent="0.3">
      <c r="A1264">
        <v>47</v>
      </c>
      <c r="B1264">
        <v>2024</v>
      </c>
      <c r="C1264">
        <v>0.99</v>
      </c>
      <c r="D1264">
        <v>0.85</v>
      </c>
      <c r="E1264">
        <v>0.7</v>
      </c>
      <c r="F1264">
        <v>0.84</v>
      </c>
      <c r="G1264">
        <v>0.76</v>
      </c>
      <c r="H1264">
        <v>0.08</v>
      </c>
      <c r="I1264">
        <v>336</v>
      </c>
      <c r="J1264">
        <v>9</v>
      </c>
      <c r="K1264">
        <v>0.85</v>
      </c>
      <c r="L1264" t="s">
        <v>13</v>
      </c>
    </row>
    <row r="1265" spans="1:12" x14ac:dyDescent="0.3">
      <c r="A1265">
        <v>47</v>
      </c>
      <c r="B1265">
        <v>2024</v>
      </c>
      <c r="C1265">
        <v>0.82</v>
      </c>
      <c r="D1265">
        <v>0.89</v>
      </c>
      <c r="E1265">
        <v>0.56000000000000005</v>
      </c>
      <c r="F1265">
        <v>0.61</v>
      </c>
      <c r="G1265">
        <v>0.78</v>
      </c>
      <c r="H1265">
        <v>0.3</v>
      </c>
      <c r="I1265">
        <v>386</v>
      </c>
      <c r="J1265">
        <v>11</v>
      </c>
      <c r="K1265">
        <v>0.75</v>
      </c>
      <c r="L1265" t="s">
        <v>13</v>
      </c>
    </row>
    <row r="1266" spans="1:12" x14ac:dyDescent="0.3">
      <c r="A1266">
        <v>47</v>
      </c>
      <c r="B1266">
        <v>2024</v>
      </c>
      <c r="C1266">
        <v>0.98</v>
      </c>
      <c r="D1266">
        <v>0.83</v>
      </c>
      <c r="E1266">
        <v>0.66</v>
      </c>
      <c r="F1266">
        <v>0.73</v>
      </c>
      <c r="G1266">
        <v>0.61</v>
      </c>
      <c r="H1266">
        <v>0.63</v>
      </c>
      <c r="I1266">
        <v>199</v>
      </c>
      <c r="J1266">
        <v>15</v>
      </c>
      <c r="K1266">
        <v>0.8</v>
      </c>
      <c r="L1266" t="s">
        <v>13</v>
      </c>
    </row>
    <row r="1267" spans="1:12" x14ac:dyDescent="0.3">
      <c r="A1267">
        <v>47</v>
      </c>
      <c r="B1267">
        <v>2024</v>
      </c>
      <c r="C1267">
        <v>0.85</v>
      </c>
      <c r="D1267">
        <v>0.67</v>
      </c>
      <c r="E1267">
        <v>0.6</v>
      </c>
      <c r="F1267">
        <v>0.68</v>
      </c>
      <c r="G1267">
        <v>0.41</v>
      </c>
      <c r="H1267">
        <v>0.55000000000000004</v>
      </c>
      <c r="I1267">
        <v>312</v>
      </c>
      <c r="J1267">
        <v>5</v>
      </c>
      <c r="K1267">
        <v>0.69</v>
      </c>
      <c r="L1267" t="s">
        <v>12</v>
      </c>
    </row>
    <row r="1268" spans="1:12" x14ac:dyDescent="0.3">
      <c r="A1268">
        <v>48</v>
      </c>
      <c r="B1268">
        <v>2024</v>
      </c>
      <c r="C1268">
        <v>0.84</v>
      </c>
      <c r="D1268">
        <v>0.84</v>
      </c>
      <c r="E1268">
        <v>0.9</v>
      </c>
      <c r="F1268">
        <v>0.71</v>
      </c>
      <c r="G1268">
        <v>0.92</v>
      </c>
      <c r="H1268">
        <v>0.14000000000000001</v>
      </c>
      <c r="I1268">
        <v>275</v>
      </c>
      <c r="J1268">
        <v>5</v>
      </c>
      <c r="K1268">
        <v>0.84</v>
      </c>
      <c r="L1268" t="s">
        <v>13</v>
      </c>
    </row>
    <row r="1269" spans="1:12" x14ac:dyDescent="0.3">
      <c r="A1269">
        <v>48</v>
      </c>
      <c r="B1269">
        <v>2024</v>
      </c>
      <c r="C1269">
        <v>0.52</v>
      </c>
      <c r="D1269">
        <v>0.76</v>
      </c>
      <c r="E1269">
        <v>0.8</v>
      </c>
      <c r="F1269">
        <v>0.79</v>
      </c>
      <c r="G1269">
        <v>0.87</v>
      </c>
      <c r="H1269">
        <v>0.06</v>
      </c>
      <c r="I1269">
        <v>171</v>
      </c>
      <c r="J1269">
        <v>13</v>
      </c>
      <c r="K1269">
        <v>0.71</v>
      </c>
      <c r="L1269" t="s">
        <v>13</v>
      </c>
    </row>
    <row r="1270" spans="1:12" x14ac:dyDescent="0.3">
      <c r="A1270">
        <v>48</v>
      </c>
      <c r="B1270">
        <v>2024</v>
      </c>
      <c r="C1270">
        <v>0.43</v>
      </c>
      <c r="D1270">
        <v>0.63</v>
      </c>
      <c r="E1270">
        <v>0.95</v>
      </c>
      <c r="F1270">
        <v>0.6</v>
      </c>
      <c r="G1270">
        <v>0.77</v>
      </c>
      <c r="H1270">
        <v>0.48</v>
      </c>
      <c r="I1270">
        <v>349</v>
      </c>
      <c r="J1270">
        <v>16</v>
      </c>
      <c r="K1270">
        <v>0.64</v>
      </c>
      <c r="L1270" t="s">
        <v>12</v>
      </c>
    </row>
    <row r="1271" spans="1:12" x14ac:dyDescent="0.3">
      <c r="A1271">
        <v>49</v>
      </c>
      <c r="B1271">
        <v>2024</v>
      </c>
      <c r="C1271">
        <v>0.59</v>
      </c>
      <c r="D1271">
        <v>0.45</v>
      </c>
      <c r="E1271">
        <v>1</v>
      </c>
      <c r="F1271">
        <v>0.8</v>
      </c>
      <c r="G1271">
        <v>0.72</v>
      </c>
      <c r="H1271">
        <v>7.0000000000000007E-2</v>
      </c>
      <c r="I1271">
        <v>264</v>
      </c>
      <c r="J1271">
        <v>18</v>
      </c>
      <c r="K1271">
        <v>0.68</v>
      </c>
      <c r="L1271" t="s">
        <v>12</v>
      </c>
    </row>
    <row r="1272" spans="1:12" x14ac:dyDescent="0.3">
      <c r="A1272">
        <v>49</v>
      </c>
      <c r="B1272">
        <v>2024</v>
      </c>
      <c r="C1272">
        <v>0.77</v>
      </c>
      <c r="D1272">
        <v>0.82</v>
      </c>
      <c r="E1272">
        <v>0.65</v>
      </c>
      <c r="F1272">
        <v>0.79</v>
      </c>
      <c r="G1272">
        <v>0.97</v>
      </c>
      <c r="H1272">
        <v>0.77</v>
      </c>
      <c r="I1272">
        <v>329</v>
      </c>
      <c r="J1272">
        <v>18</v>
      </c>
      <c r="K1272">
        <v>0.78</v>
      </c>
      <c r="L1272" t="s">
        <v>13</v>
      </c>
    </row>
    <row r="1273" spans="1:12" x14ac:dyDescent="0.3">
      <c r="A1273">
        <v>49</v>
      </c>
      <c r="B1273">
        <v>2024</v>
      </c>
      <c r="C1273">
        <v>0.48</v>
      </c>
      <c r="D1273">
        <v>0.99</v>
      </c>
      <c r="E1273">
        <v>0.93</v>
      </c>
      <c r="F1273">
        <v>0.92</v>
      </c>
      <c r="G1273">
        <v>0.39</v>
      </c>
      <c r="H1273">
        <v>0.76</v>
      </c>
      <c r="I1273">
        <v>478</v>
      </c>
      <c r="J1273">
        <v>7</v>
      </c>
      <c r="K1273">
        <v>0.75</v>
      </c>
      <c r="L1273" t="s">
        <v>13</v>
      </c>
    </row>
    <row r="1274" spans="1:12" x14ac:dyDescent="0.3">
      <c r="A1274">
        <v>49</v>
      </c>
      <c r="B1274">
        <v>2024</v>
      </c>
      <c r="C1274">
        <v>0.68</v>
      </c>
      <c r="D1274">
        <v>0.82</v>
      </c>
      <c r="E1274">
        <v>1</v>
      </c>
      <c r="F1274">
        <v>0.77</v>
      </c>
      <c r="G1274">
        <v>0.6</v>
      </c>
      <c r="H1274">
        <v>0.84</v>
      </c>
      <c r="I1274">
        <v>483</v>
      </c>
      <c r="J1274">
        <v>2</v>
      </c>
      <c r="K1274">
        <v>0.78</v>
      </c>
      <c r="L1274" t="s">
        <v>13</v>
      </c>
    </row>
    <row r="1275" spans="1:12" x14ac:dyDescent="0.3">
      <c r="A1275">
        <v>50</v>
      </c>
      <c r="B1275">
        <v>2024</v>
      </c>
      <c r="C1275">
        <v>0.97</v>
      </c>
      <c r="D1275">
        <v>0.54</v>
      </c>
      <c r="E1275">
        <v>0.55000000000000004</v>
      </c>
      <c r="F1275">
        <v>0.66</v>
      </c>
      <c r="G1275">
        <v>0.79</v>
      </c>
      <c r="H1275">
        <v>0.73</v>
      </c>
      <c r="I1275">
        <v>172</v>
      </c>
      <c r="J1275">
        <v>6</v>
      </c>
      <c r="K1275">
        <v>0.71</v>
      </c>
      <c r="L1275" t="s">
        <v>13</v>
      </c>
    </row>
    <row r="1276" spans="1:12" x14ac:dyDescent="0.3">
      <c r="A1276">
        <v>51</v>
      </c>
      <c r="B1276">
        <v>2024</v>
      </c>
      <c r="C1276">
        <v>0.45</v>
      </c>
      <c r="D1276">
        <v>0.81</v>
      </c>
      <c r="E1276">
        <v>0.8</v>
      </c>
      <c r="F1276">
        <v>0.85</v>
      </c>
      <c r="G1276">
        <v>0.96</v>
      </c>
      <c r="H1276">
        <v>0.78</v>
      </c>
      <c r="I1276">
        <v>415</v>
      </c>
      <c r="J1276">
        <v>19</v>
      </c>
      <c r="K1276">
        <v>0.72</v>
      </c>
      <c r="L1276" t="s">
        <v>13</v>
      </c>
    </row>
    <row r="1277" spans="1:12" x14ac:dyDescent="0.3">
      <c r="A1277">
        <v>51</v>
      </c>
      <c r="B1277">
        <v>2024</v>
      </c>
      <c r="C1277">
        <v>0.5</v>
      </c>
      <c r="D1277">
        <v>0.87</v>
      </c>
      <c r="E1277">
        <v>0.9</v>
      </c>
      <c r="F1277">
        <v>0.99</v>
      </c>
      <c r="G1277">
        <v>0.72</v>
      </c>
      <c r="H1277">
        <v>0.08</v>
      </c>
      <c r="I1277">
        <v>245</v>
      </c>
      <c r="J1277">
        <v>2</v>
      </c>
      <c r="K1277">
        <v>0.77</v>
      </c>
      <c r="L1277" t="s">
        <v>13</v>
      </c>
    </row>
    <row r="1278" spans="1:12" x14ac:dyDescent="0.3">
      <c r="A1278">
        <v>51</v>
      </c>
      <c r="B1278">
        <v>2024</v>
      </c>
      <c r="C1278">
        <v>0.82</v>
      </c>
      <c r="D1278">
        <v>0.72</v>
      </c>
      <c r="E1278">
        <v>0.9</v>
      </c>
      <c r="F1278">
        <v>0.91</v>
      </c>
      <c r="G1278">
        <v>0.45</v>
      </c>
      <c r="H1278">
        <v>0.72</v>
      </c>
      <c r="I1278">
        <v>444</v>
      </c>
      <c r="J1278">
        <v>13</v>
      </c>
      <c r="K1278">
        <v>0.79</v>
      </c>
      <c r="L1278" t="s">
        <v>13</v>
      </c>
    </row>
    <row r="1279" spans="1:12" x14ac:dyDescent="0.3">
      <c r="A1279">
        <v>51</v>
      </c>
      <c r="B1279">
        <v>2024</v>
      </c>
      <c r="C1279">
        <v>0.54</v>
      </c>
      <c r="D1279">
        <v>0.63</v>
      </c>
      <c r="E1279">
        <v>0.84</v>
      </c>
      <c r="F1279">
        <v>0.8</v>
      </c>
      <c r="G1279">
        <v>0.36</v>
      </c>
      <c r="H1279">
        <v>0.39</v>
      </c>
      <c r="I1279">
        <v>168</v>
      </c>
      <c r="J1279">
        <v>1</v>
      </c>
      <c r="K1279">
        <v>0.64</v>
      </c>
      <c r="L1279" t="s">
        <v>12</v>
      </c>
    </row>
    <row r="1280" spans="1:12" x14ac:dyDescent="0.3">
      <c r="A1280">
        <v>52</v>
      </c>
      <c r="B1280">
        <v>2024</v>
      </c>
      <c r="C1280">
        <v>0.46</v>
      </c>
      <c r="D1280">
        <v>0.97</v>
      </c>
      <c r="E1280">
        <v>0.82</v>
      </c>
      <c r="F1280">
        <v>0.84</v>
      </c>
      <c r="G1280">
        <v>0.66</v>
      </c>
      <c r="H1280">
        <v>0.23</v>
      </c>
      <c r="I1280">
        <v>275</v>
      </c>
      <c r="J1280">
        <v>8</v>
      </c>
      <c r="K1280">
        <v>0.74</v>
      </c>
      <c r="L1280" t="s">
        <v>13</v>
      </c>
    </row>
    <row r="1281" spans="1:12" x14ac:dyDescent="0.3">
      <c r="A1281">
        <v>52</v>
      </c>
      <c r="B1281">
        <v>2024</v>
      </c>
      <c r="C1281">
        <v>0.76</v>
      </c>
      <c r="D1281">
        <v>0.89</v>
      </c>
      <c r="E1281">
        <v>0.81</v>
      </c>
      <c r="F1281">
        <v>0.94</v>
      </c>
      <c r="G1281">
        <v>0.56999999999999995</v>
      </c>
      <c r="H1281">
        <v>0.96</v>
      </c>
      <c r="I1281">
        <v>162</v>
      </c>
      <c r="J1281">
        <v>8</v>
      </c>
      <c r="K1281">
        <v>0.81</v>
      </c>
      <c r="L1281" t="s">
        <v>13</v>
      </c>
    </row>
    <row r="1282" spans="1:12" x14ac:dyDescent="0.3">
      <c r="A1282">
        <v>52</v>
      </c>
      <c r="B1282">
        <v>2024</v>
      </c>
      <c r="C1282">
        <v>0.36</v>
      </c>
      <c r="D1282">
        <v>0.57999999999999996</v>
      </c>
      <c r="E1282">
        <v>0.98</v>
      </c>
      <c r="F1282">
        <v>0.98</v>
      </c>
      <c r="G1282">
        <v>0.53</v>
      </c>
      <c r="H1282">
        <v>0.56999999999999995</v>
      </c>
      <c r="I1282">
        <v>136</v>
      </c>
      <c r="J1282">
        <v>8</v>
      </c>
      <c r="K1282">
        <v>0.65</v>
      </c>
      <c r="L1282" t="s">
        <v>12</v>
      </c>
    </row>
    <row r="1283" spans="1:12" x14ac:dyDescent="0.3">
      <c r="A1283">
        <v>52</v>
      </c>
      <c r="B1283">
        <v>2024</v>
      </c>
      <c r="C1283">
        <v>0.91</v>
      </c>
      <c r="D1283">
        <v>0.54</v>
      </c>
      <c r="E1283">
        <v>0.61</v>
      </c>
      <c r="F1283">
        <v>0.89</v>
      </c>
      <c r="G1283">
        <v>0.52</v>
      </c>
      <c r="H1283">
        <v>0.51</v>
      </c>
      <c r="I1283">
        <v>362</v>
      </c>
      <c r="J1283">
        <v>14</v>
      </c>
      <c r="K1283">
        <v>0.72</v>
      </c>
      <c r="L1283" t="s">
        <v>13</v>
      </c>
    </row>
    <row r="1284" spans="1:12" x14ac:dyDescent="0.3">
      <c r="A1284">
        <v>52</v>
      </c>
      <c r="B1284">
        <v>2024</v>
      </c>
      <c r="C1284">
        <v>0.72</v>
      </c>
      <c r="D1284">
        <v>0.56999999999999995</v>
      </c>
      <c r="E1284">
        <v>0.93</v>
      </c>
      <c r="F1284">
        <v>0.71</v>
      </c>
      <c r="G1284">
        <v>0.78</v>
      </c>
      <c r="H1284">
        <v>0.67</v>
      </c>
      <c r="I1284">
        <v>327</v>
      </c>
      <c r="J1284">
        <v>0</v>
      </c>
      <c r="K1284">
        <v>0.73</v>
      </c>
      <c r="L1284" t="s">
        <v>13</v>
      </c>
    </row>
    <row r="1285" spans="1:12" x14ac:dyDescent="0.3">
      <c r="A1285">
        <v>52</v>
      </c>
      <c r="B1285">
        <v>2024</v>
      </c>
      <c r="C1285">
        <v>0.62</v>
      </c>
      <c r="D1285">
        <v>0.74</v>
      </c>
      <c r="E1285">
        <v>0.85</v>
      </c>
      <c r="F1285">
        <v>0.84</v>
      </c>
      <c r="G1285">
        <v>0.92</v>
      </c>
      <c r="H1285">
        <v>0.36</v>
      </c>
      <c r="I1285">
        <v>144</v>
      </c>
      <c r="J1285">
        <v>7</v>
      </c>
      <c r="K1285">
        <v>0.76</v>
      </c>
      <c r="L1285" t="s">
        <v>13</v>
      </c>
    </row>
    <row r="1286" spans="1:12" x14ac:dyDescent="0.3">
      <c r="A1286">
        <v>52</v>
      </c>
      <c r="B1286">
        <v>2024</v>
      </c>
      <c r="C1286">
        <v>0.88</v>
      </c>
      <c r="D1286">
        <v>0.6</v>
      </c>
      <c r="E1286">
        <v>0.64</v>
      </c>
      <c r="F1286">
        <v>0.82</v>
      </c>
      <c r="G1286">
        <v>0.81</v>
      </c>
      <c r="H1286">
        <v>0.99</v>
      </c>
      <c r="I1286">
        <v>142</v>
      </c>
      <c r="J1286">
        <v>10</v>
      </c>
      <c r="K1286">
        <v>0.75</v>
      </c>
      <c r="L1286" t="s">
        <v>13</v>
      </c>
    </row>
    <row r="1287" spans="1:12" x14ac:dyDescent="0.3">
      <c r="A1287">
        <v>52</v>
      </c>
      <c r="B1287">
        <v>2024</v>
      </c>
      <c r="C1287">
        <v>0.84</v>
      </c>
      <c r="D1287">
        <v>0.73</v>
      </c>
      <c r="E1287">
        <v>0.92</v>
      </c>
      <c r="F1287">
        <v>0.64</v>
      </c>
      <c r="G1287">
        <v>0.94</v>
      </c>
      <c r="H1287">
        <v>0.93</v>
      </c>
      <c r="I1287">
        <v>68</v>
      </c>
      <c r="J1287">
        <v>9</v>
      </c>
      <c r="K1287">
        <v>0.81</v>
      </c>
      <c r="L1287" t="s">
        <v>13</v>
      </c>
    </row>
    <row r="1288" spans="1:12" x14ac:dyDescent="0.3">
      <c r="A1288">
        <v>52</v>
      </c>
      <c r="B1288">
        <v>2024</v>
      </c>
      <c r="C1288">
        <v>0.79</v>
      </c>
      <c r="D1288">
        <v>0.57999999999999996</v>
      </c>
      <c r="E1288">
        <v>0.88</v>
      </c>
      <c r="F1288">
        <v>0.68</v>
      </c>
      <c r="G1288">
        <v>0.68</v>
      </c>
      <c r="H1288">
        <v>0.8</v>
      </c>
      <c r="I1288">
        <v>416</v>
      </c>
      <c r="J1288">
        <v>1</v>
      </c>
      <c r="K1288">
        <v>0.73</v>
      </c>
      <c r="L1288" t="s">
        <v>13</v>
      </c>
    </row>
    <row r="1289" spans="1:12" x14ac:dyDescent="0.3">
      <c r="A1289">
        <v>52</v>
      </c>
      <c r="B1289">
        <v>2024</v>
      </c>
      <c r="C1289">
        <v>0.43</v>
      </c>
      <c r="D1289">
        <v>0.78</v>
      </c>
      <c r="E1289">
        <v>0.59</v>
      </c>
      <c r="F1289">
        <v>0.63</v>
      </c>
      <c r="G1289">
        <v>0.53</v>
      </c>
      <c r="H1289">
        <v>0.23</v>
      </c>
      <c r="I1289">
        <v>210</v>
      </c>
      <c r="J1289">
        <v>11</v>
      </c>
      <c r="K1289">
        <v>0.59</v>
      </c>
      <c r="L1289" t="s">
        <v>12</v>
      </c>
    </row>
    <row r="1290" spans="1:12" x14ac:dyDescent="0.3">
      <c r="A1290">
        <v>52</v>
      </c>
      <c r="B1290">
        <v>2024</v>
      </c>
      <c r="C1290">
        <v>0.61</v>
      </c>
      <c r="D1290">
        <v>0.53</v>
      </c>
      <c r="E1290">
        <v>0.83</v>
      </c>
      <c r="F1290">
        <v>0.87</v>
      </c>
      <c r="G1290">
        <v>0.78</v>
      </c>
      <c r="H1290">
        <v>0.03</v>
      </c>
      <c r="I1290">
        <v>468</v>
      </c>
      <c r="J1290">
        <v>1</v>
      </c>
      <c r="K1290">
        <v>0.69</v>
      </c>
      <c r="L1290" t="s">
        <v>12</v>
      </c>
    </row>
    <row r="1291" spans="1:12" x14ac:dyDescent="0.3">
      <c r="A1291">
        <v>52</v>
      </c>
      <c r="B1291">
        <v>2024</v>
      </c>
      <c r="C1291">
        <v>0.79</v>
      </c>
      <c r="D1291">
        <v>0.9</v>
      </c>
      <c r="E1291">
        <v>0.52</v>
      </c>
      <c r="F1291">
        <v>0.73</v>
      </c>
      <c r="G1291">
        <v>0.97</v>
      </c>
      <c r="H1291">
        <v>0.95</v>
      </c>
      <c r="I1291">
        <v>389</v>
      </c>
      <c r="J1291">
        <v>1</v>
      </c>
      <c r="K1291">
        <v>0.77</v>
      </c>
      <c r="L1291" t="s">
        <v>13</v>
      </c>
    </row>
    <row r="1292" spans="1:12" x14ac:dyDescent="0.3">
      <c r="A1292">
        <v>53</v>
      </c>
      <c r="B1292">
        <v>2024</v>
      </c>
      <c r="C1292">
        <v>0.41</v>
      </c>
      <c r="D1292">
        <v>0.43</v>
      </c>
      <c r="E1292">
        <v>0.56000000000000005</v>
      </c>
      <c r="F1292">
        <v>0.84</v>
      </c>
      <c r="G1292">
        <v>0.37</v>
      </c>
      <c r="H1292">
        <v>0.38</v>
      </c>
      <c r="I1292">
        <v>383</v>
      </c>
      <c r="J1292">
        <v>17</v>
      </c>
      <c r="K1292">
        <v>0.51</v>
      </c>
      <c r="L1292" t="s">
        <v>12</v>
      </c>
    </row>
    <row r="1293" spans="1:12" x14ac:dyDescent="0.3">
      <c r="A1293">
        <v>53</v>
      </c>
      <c r="B1293">
        <v>2024</v>
      </c>
      <c r="C1293">
        <v>0.37</v>
      </c>
      <c r="D1293">
        <v>0.81</v>
      </c>
      <c r="E1293">
        <v>0.62</v>
      </c>
      <c r="F1293">
        <v>0.96</v>
      </c>
      <c r="G1293">
        <v>0.89</v>
      </c>
      <c r="H1293">
        <v>0.71</v>
      </c>
      <c r="I1293">
        <v>447</v>
      </c>
      <c r="J1293">
        <v>9</v>
      </c>
      <c r="K1293">
        <v>0.67</v>
      </c>
      <c r="L1293" t="s">
        <v>12</v>
      </c>
    </row>
    <row r="1294" spans="1:12" x14ac:dyDescent="0.3">
      <c r="A1294">
        <v>53</v>
      </c>
      <c r="B1294">
        <v>2024</v>
      </c>
      <c r="C1294">
        <v>0.87</v>
      </c>
      <c r="D1294">
        <v>0.91</v>
      </c>
      <c r="E1294">
        <v>0.97</v>
      </c>
      <c r="F1294">
        <v>0.63</v>
      </c>
      <c r="G1294">
        <v>0.56999999999999995</v>
      </c>
      <c r="H1294">
        <v>7.0000000000000007E-2</v>
      </c>
      <c r="I1294">
        <v>413</v>
      </c>
      <c r="J1294">
        <v>1</v>
      </c>
      <c r="K1294">
        <v>0.83</v>
      </c>
      <c r="L1294" t="s">
        <v>13</v>
      </c>
    </row>
    <row r="1295" spans="1:12" x14ac:dyDescent="0.3">
      <c r="A1295">
        <v>53</v>
      </c>
      <c r="B1295">
        <v>2024</v>
      </c>
      <c r="C1295">
        <v>0.42</v>
      </c>
      <c r="D1295">
        <v>0.95</v>
      </c>
      <c r="E1295">
        <v>0.91</v>
      </c>
      <c r="F1295">
        <v>0.74</v>
      </c>
      <c r="G1295">
        <v>0.76</v>
      </c>
      <c r="H1295">
        <v>0.54</v>
      </c>
      <c r="I1295">
        <v>70</v>
      </c>
      <c r="J1295">
        <v>3</v>
      </c>
      <c r="K1295">
        <v>0.73</v>
      </c>
      <c r="L1295" t="s">
        <v>13</v>
      </c>
    </row>
    <row r="1296" spans="1:12" x14ac:dyDescent="0.3">
      <c r="A1296">
        <v>53</v>
      </c>
      <c r="B1296">
        <v>2024</v>
      </c>
      <c r="C1296">
        <v>0.55000000000000004</v>
      </c>
      <c r="D1296">
        <v>0.86</v>
      </c>
      <c r="E1296">
        <v>0.9</v>
      </c>
      <c r="F1296">
        <v>0.66</v>
      </c>
      <c r="G1296">
        <v>0.56000000000000005</v>
      </c>
      <c r="H1296">
        <v>0.37</v>
      </c>
      <c r="I1296">
        <v>490</v>
      </c>
      <c r="J1296">
        <v>4</v>
      </c>
      <c r="K1296">
        <v>0.72</v>
      </c>
      <c r="L1296" t="s">
        <v>13</v>
      </c>
    </row>
    <row r="1297" spans="1:12" x14ac:dyDescent="0.3">
      <c r="A1297">
        <v>53</v>
      </c>
      <c r="B1297">
        <v>2024</v>
      </c>
      <c r="C1297">
        <v>0.41</v>
      </c>
      <c r="D1297">
        <v>0.8</v>
      </c>
      <c r="E1297">
        <v>0.88</v>
      </c>
      <c r="F1297">
        <v>0.64</v>
      </c>
      <c r="G1297">
        <v>0.63</v>
      </c>
      <c r="H1297">
        <v>7.0000000000000007E-2</v>
      </c>
      <c r="I1297">
        <v>52</v>
      </c>
      <c r="J1297">
        <v>1</v>
      </c>
      <c r="K1297">
        <v>0.66</v>
      </c>
      <c r="L1297" t="s">
        <v>12</v>
      </c>
    </row>
    <row r="1298" spans="1:12" x14ac:dyDescent="0.3">
      <c r="A1298">
        <v>53</v>
      </c>
      <c r="B1298">
        <v>2024</v>
      </c>
      <c r="C1298">
        <v>0.66</v>
      </c>
      <c r="D1298">
        <v>0.61</v>
      </c>
      <c r="E1298">
        <v>0.84</v>
      </c>
      <c r="F1298">
        <v>0.98</v>
      </c>
      <c r="G1298">
        <v>0.64</v>
      </c>
      <c r="H1298">
        <v>0.47</v>
      </c>
      <c r="I1298">
        <v>205</v>
      </c>
      <c r="J1298">
        <v>7</v>
      </c>
      <c r="K1298">
        <v>0.73</v>
      </c>
      <c r="L1298" t="s">
        <v>13</v>
      </c>
    </row>
    <row r="1299" spans="1:12" x14ac:dyDescent="0.3">
      <c r="A1299">
        <v>54</v>
      </c>
      <c r="B1299">
        <v>2024</v>
      </c>
      <c r="C1299">
        <v>0.45</v>
      </c>
      <c r="D1299">
        <v>0.56999999999999995</v>
      </c>
      <c r="E1299">
        <v>0.86</v>
      </c>
      <c r="F1299">
        <v>0.6</v>
      </c>
      <c r="G1299">
        <v>0.59</v>
      </c>
      <c r="H1299">
        <v>0.92</v>
      </c>
      <c r="I1299">
        <v>390</v>
      </c>
      <c r="J1299">
        <v>15</v>
      </c>
      <c r="K1299">
        <v>0.6</v>
      </c>
      <c r="L1299" t="s">
        <v>12</v>
      </c>
    </row>
    <row r="1300" spans="1:12" x14ac:dyDescent="0.3">
      <c r="A1300">
        <v>54</v>
      </c>
      <c r="B1300">
        <v>2024</v>
      </c>
      <c r="C1300">
        <v>0.64</v>
      </c>
      <c r="D1300">
        <v>0.41</v>
      </c>
      <c r="E1300">
        <v>0.55000000000000004</v>
      </c>
      <c r="F1300">
        <v>0.73</v>
      </c>
      <c r="G1300">
        <v>0.61</v>
      </c>
      <c r="H1300">
        <v>0.28000000000000003</v>
      </c>
      <c r="I1300">
        <v>379</v>
      </c>
      <c r="J1300">
        <v>15</v>
      </c>
      <c r="K1300">
        <v>0.56999999999999995</v>
      </c>
      <c r="L1300" t="s">
        <v>12</v>
      </c>
    </row>
    <row r="1301" spans="1:12" x14ac:dyDescent="0.3">
      <c r="A1301">
        <v>54</v>
      </c>
      <c r="B1301">
        <v>2024</v>
      </c>
      <c r="C1301">
        <v>0.42</v>
      </c>
      <c r="D1301">
        <v>0.56999999999999995</v>
      </c>
      <c r="E1301">
        <v>0.64</v>
      </c>
      <c r="F1301">
        <v>0.87</v>
      </c>
      <c r="G1301">
        <v>0.31</v>
      </c>
      <c r="H1301">
        <v>0.76</v>
      </c>
      <c r="I1301">
        <v>64</v>
      </c>
      <c r="J1301">
        <v>11</v>
      </c>
      <c r="K1301">
        <v>0.56000000000000005</v>
      </c>
      <c r="L1301" t="s">
        <v>12</v>
      </c>
    </row>
    <row r="1302" spans="1:12" x14ac:dyDescent="0.3">
      <c r="A1302">
        <v>55</v>
      </c>
      <c r="B1302">
        <v>2024</v>
      </c>
      <c r="C1302">
        <v>0.71</v>
      </c>
      <c r="D1302">
        <v>0.43</v>
      </c>
      <c r="E1302">
        <v>0.8</v>
      </c>
      <c r="F1302">
        <v>0.67</v>
      </c>
      <c r="G1302">
        <v>0.35</v>
      </c>
      <c r="H1302">
        <v>0.95</v>
      </c>
      <c r="I1302">
        <v>365</v>
      </c>
      <c r="J1302">
        <v>13</v>
      </c>
      <c r="K1302">
        <v>0.62</v>
      </c>
      <c r="L1302" t="s">
        <v>12</v>
      </c>
    </row>
    <row r="1303" spans="1:12" x14ac:dyDescent="0.3">
      <c r="A1303">
        <v>55</v>
      </c>
      <c r="B1303">
        <v>2024</v>
      </c>
      <c r="C1303">
        <v>0.82</v>
      </c>
      <c r="D1303">
        <v>0.92</v>
      </c>
      <c r="E1303">
        <v>0.72</v>
      </c>
      <c r="F1303">
        <v>0.62</v>
      </c>
      <c r="G1303">
        <v>0.41</v>
      </c>
      <c r="H1303">
        <v>0.02</v>
      </c>
      <c r="I1303">
        <v>260</v>
      </c>
      <c r="J1303">
        <v>4</v>
      </c>
      <c r="K1303">
        <v>0.75</v>
      </c>
      <c r="L1303" t="s">
        <v>13</v>
      </c>
    </row>
    <row r="1304" spans="1:12" x14ac:dyDescent="0.3">
      <c r="A1304">
        <v>55</v>
      </c>
      <c r="B1304">
        <v>2024</v>
      </c>
      <c r="C1304">
        <v>0.37</v>
      </c>
      <c r="D1304">
        <v>0.63</v>
      </c>
      <c r="E1304">
        <v>0.74</v>
      </c>
      <c r="F1304">
        <v>0.86</v>
      </c>
      <c r="G1304">
        <v>0.97</v>
      </c>
      <c r="H1304">
        <v>0.6</v>
      </c>
      <c r="I1304">
        <v>488</v>
      </c>
      <c r="J1304">
        <v>8</v>
      </c>
      <c r="K1304">
        <v>0.64</v>
      </c>
      <c r="L1304" t="s">
        <v>12</v>
      </c>
    </row>
    <row r="1305" spans="1:12" x14ac:dyDescent="0.3">
      <c r="A1305">
        <v>55</v>
      </c>
      <c r="B1305">
        <v>2024</v>
      </c>
      <c r="C1305">
        <v>0.63</v>
      </c>
      <c r="D1305">
        <v>0.48</v>
      </c>
      <c r="E1305">
        <v>0.82</v>
      </c>
      <c r="F1305">
        <v>0.63</v>
      </c>
      <c r="G1305">
        <v>0.56000000000000005</v>
      </c>
      <c r="H1305">
        <v>0.71</v>
      </c>
      <c r="I1305">
        <v>338</v>
      </c>
      <c r="J1305">
        <v>17</v>
      </c>
      <c r="K1305">
        <v>0.62</v>
      </c>
      <c r="L1305" t="s">
        <v>12</v>
      </c>
    </row>
    <row r="1306" spans="1:12" x14ac:dyDescent="0.3">
      <c r="A1306">
        <v>56</v>
      </c>
      <c r="B1306">
        <v>2024</v>
      </c>
      <c r="C1306">
        <v>0.69</v>
      </c>
      <c r="D1306">
        <v>0.46</v>
      </c>
      <c r="E1306">
        <v>0.57999999999999996</v>
      </c>
      <c r="F1306">
        <v>0.99</v>
      </c>
      <c r="G1306">
        <v>0.46</v>
      </c>
      <c r="H1306">
        <v>0.98</v>
      </c>
      <c r="I1306">
        <v>116</v>
      </c>
      <c r="J1306">
        <v>10</v>
      </c>
      <c r="K1306">
        <v>0.63</v>
      </c>
      <c r="L1306" t="s">
        <v>12</v>
      </c>
    </row>
    <row r="1307" spans="1:12" x14ac:dyDescent="0.3">
      <c r="A1307">
        <v>56</v>
      </c>
      <c r="B1307">
        <v>2024</v>
      </c>
      <c r="C1307">
        <v>0.62</v>
      </c>
      <c r="D1307">
        <v>0.56999999999999995</v>
      </c>
      <c r="E1307">
        <v>0.98</v>
      </c>
      <c r="F1307">
        <v>0.66</v>
      </c>
      <c r="G1307">
        <v>0.71</v>
      </c>
      <c r="H1307">
        <v>0.28000000000000003</v>
      </c>
      <c r="I1307">
        <v>142</v>
      </c>
      <c r="J1307">
        <v>18</v>
      </c>
      <c r="K1307">
        <v>0.69</v>
      </c>
      <c r="L1307" t="s">
        <v>12</v>
      </c>
    </row>
    <row r="1308" spans="1:12" x14ac:dyDescent="0.3">
      <c r="A1308">
        <v>56</v>
      </c>
      <c r="B1308">
        <v>2024</v>
      </c>
      <c r="C1308">
        <v>0.39</v>
      </c>
      <c r="D1308">
        <v>0.74</v>
      </c>
      <c r="E1308">
        <v>0.63</v>
      </c>
      <c r="F1308">
        <v>0.92</v>
      </c>
      <c r="G1308">
        <v>0.35</v>
      </c>
      <c r="H1308">
        <v>0.69</v>
      </c>
      <c r="I1308">
        <v>320</v>
      </c>
      <c r="J1308">
        <v>3</v>
      </c>
      <c r="K1308">
        <v>0.6</v>
      </c>
      <c r="L1308" t="s">
        <v>12</v>
      </c>
    </row>
    <row r="1309" spans="1:12" x14ac:dyDescent="0.3">
      <c r="A1309">
        <v>57</v>
      </c>
      <c r="B1309">
        <v>2024</v>
      </c>
      <c r="C1309">
        <v>0.95</v>
      </c>
      <c r="D1309">
        <v>1</v>
      </c>
      <c r="E1309">
        <v>0.9</v>
      </c>
      <c r="F1309">
        <v>0.9</v>
      </c>
      <c r="G1309">
        <v>0.45</v>
      </c>
      <c r="H1309">
        <v>0.34</v>
      </c>
      <c r="I1309">
        <v>189</v>
      </c>
      <c r="J1309">
        <v>0</v>
      </c>
      <c r="K1309">
        <v>0.9</v>
      </c>
      <c r="L1309" t="s">
        <v>13</v>
      </c>
    </row>
    <row r="1310" spans="1:12" x14ac:dyDescent="0.3">
      <c r="A1310">
        <v>57</v>
      </c>
      <c r="B1310">
        <v>2024</v>
      </c>
      <c r="C1310">
        <v>0.6</v>
      </c>
      <c r="D1310">
        <v>0.63</v>
      </c>
      <c r="E1310">
        <v>0.86</v>
      </c>
      <c r="F1310">
        <v>0.82</v>
      </c>
      <c r="G1310">
        <v>0.96</v>
      </c>
      <c r="H1310">
        <v>0.25</v>
      </c>
      <c r="I1310">
        <v>224</v>
      </c>
      <c r="J1310">
        <v>0</v>
      </c>
      <c r="K1310">
        <v>0.73</v>
      </c>
      <c r="L1310" t="s">
        <v>13</v>
      </c>
    </row>
    <row r="1311" spans="1:12" x14ac:dyDescent="0.3">
      <c r="A1311">
        <v>58</v>
      </c>
      <c r="B1311">
        <v>2024</v>
      </c>
      <c r="C1311">
        <v>0.98</v>
      </c>
      <c r="D1311">
        <v>0.73</v>
      </c>
      <c r="E1311">
        <v>0.66</v>
      </c>
      <c r="F1311">
        <v>0.62</v>
      </c>
      <c r="G1311">
        <v>0.95</v>
      </c>
      <c r="H1311">
        <v>0.92</v>
      </c>
      <c r="I1311">
        <v>213</v>
      </c>
      <c r="J1311">
        <v>2</v>
      </c>
      <c r="K1311">
        <v>0.8</v>
      </c>
      <c r="L1311" t="s">
        <v>13</v>
      </c>
    </row>
    <row r="1312" spans="1:12" x14ac:dyDescent="0.3">
      <c r="A1312">
        <v>58</v>
      </c>
      <c r="B1312">
        <v>2024</v>
      </c>
      <c r="C1312">
        <v>0.69</v>
      </c>
      <c r="D1312">
        <v>0.76</v>
      </c>
      <c r="E1312">
        <v>0.84</v>
      </c>
      <c r="F1312">
        <v>0.92</v>
      </c>
      <c r="G1312">
        <v>0.49</v>
      </c>
      <c r="H1312">
        <v>0.83</v>
      </c>
      <c r="I1312">
        <v>354</v>
      </c>
      <c r="J1312">
        <v>13</v>
      </c>
      <c r="K1312">
        <v>0.75</v>
      </c>
      <c r="L1312" t="s">
        <v>13</v>
      </c>
    </row>
    <row r="1313" spans="1:12" x14ac:dyDescent="0.3">
      <c r="A1313">
        <v>58</v>
      </c>
      <c r="B1313">
        <v>2024</v>
      </c>
      <c r="C1313">
        <v>0.41</v>
      </c>
      <c r="D1313">
        <v>0.91</v>
      </c>
      <c r="E1313">
        <v>1</v>
      </c>
      <c r="F1313">
        <v>0.89</v>
      </c>
      <c r="G1313">
        <v>0.85</v>
      </c>
      <c r="H1313">
        <v>0.99</v>
      </c>
      <c r="I1313">
        <v>489</v>
      </c>
      <c r="J1313">
        <v>0</v>
      </c>
      <c r="K1313">
        <v>0.77</v>
      </c>
      <c r="L1313" t="s">
        <v>13</v>
      </c>
    </row>
    <row r="1314" spans="1:12" x14ac:dyDescent="0.3">
      <c r="A1314">
        <v>58</v>
      </c>
      <c r="B1314">
        <v>2024</v>
      </c>
      <c r="C1314">
        <v>0.88</v>
      </c>
      <c r="D1314">
        <v>0.89</v>
      </c>
      <c r="E1314">
        <v>0.59</v>
      </c>
      <c r="F1314">
        <v>0.88</v>
      </c>
      <c r="G1314">
        <v>0.5</v>
      </c>
      <c r="H1314">
        <v>0.3</v>
      </c>
      <c r="I1314">
        <v>478</v>
      </c>
      <c r="J1314">
        <v>4</v>
      </c>
      <c r="K1314">
        <v>0.79</v>
      </c>
      <c r="L1314" t="s">
        <v>13</v>
      </c>
    </row>
    <row r="1315" spans="1:12" x14ac:dyDescent="0.3">
      <c r="A1315">
        <v>59</v>
      </c>
      <c r="B1315">
        <v>2024</v>
      </c>
      <c r="C1315">
        <v>0.43</v>
      </c>
      <c r="D1315">
        <v>0.81</v>
      </c>
      <c r="E1315">
        <v>0.53</v>
      </c>
      <c r="F1315">
        <v>0.83</v>
      </c>
      <c r="G1315">
        <v>0.45</v>
      </c>
      <c r="H1315">
        <v>0.95</v>
      </c>
      <c r="I1315">
        <v>242</v>
      </c>
      <c r="J1315">
        <v>12</v>
      </c>
      <c r="K1315">
        <v>0.61</v>
      </c>
      <c r="L1315" t="s">
        <v>12</v>
      </c>
    </row>
    <row r="1316" spans="1:12" x14ac:dyDescent="0.3">
      <c r="A1316">
        <v>60</v>
      </c>
      <c r="B1316">
        <v>2024</v>
      </c>
      <c r="C1316">
        <v>0.33</v>
      </c>
      <c r="D1316">
        <v>0.61</v>
      </c>
      <c r="E1316">
        <v>0.96</v>
      </c>
      <c r="F1316">
        <v>0.75</v>
      </c>
      <c r="G1316">
        <v>0.88</v>
      </c>
      <c r="H1316">
        <v>0.84</v>
      </c>
      <c r="I1316">
        <v>442</v>
      </c>
      <c r="J1316">
        <v>1</v>
      </c>
      <c r="K1316">
        <v>0.64</v>
      </c>
      <c r="L1316" t="s">
        <v>12</v>
      </c>
    </row>
    <row r="1317" spans="1:12" x14ac:dyDescent="0.3">
      <c r="A1317">
        <v>60</v>
      </c>
      <c r="B1317">
        <v>2024</v>
      </c>
      <c r="C1317">
        <v>0.55000000000000004</v>
      </c>
      <c r="D1317">
        <v>0.76</v>
      </c>
      <c r="E1317">
        <v>0.69</v>
      </c>
      <c r="F1317">
        <v>0.95</v>
      </c>
      <c r="G1317">
        <v>0.52</v>
      </c>
      <c r="H1317">
        <v>0.28999999999999998</v>
      </c>
      <c r="I1317">
        <v>258</v>
      </c>
      <c r="J1317">
        <v>15</v>
      </c>
      <c r="K1317">
        <v>0.69</v>
      </c>
      <c r="L1317" t="s">
        <v>12</v>
      </c>
    </row>
    <row r="1318" spans="1:12" x14ac:dyDescent="0.3">
      <c r="A1318">
        <v>60</v>
      </c>
      <c r="B1318">
        <v>2024</v>
      </c>
      <c r="C1318">
        <v>0.56000000000000005</v>
      </c>
      <c r="D1318">
        <v>0.8</v>
      </c>
      <c r="E1318">
        <v>0.54</v>
      </c>
      <c r="F1318">
        <v>0.7</v>
      </c>
      <c r="G1318">
        <v>0.8</v>
      </c>
      <c r="H1318">
        <v>0.48</v>
      </c>
      <c r="I1318">
        <v>227</v>
      </c>
      <c r="J1318">
        <v>4</v>
      </c>
      <c r="K1318">
        <v>0.66</v>
      </c>
      <c r="L1318" t="s">
        <v>12</v>
      </c>
    </row>
    <row r="1319" spans="1:12" x14ac:dyDescent="0.3">
      <c r="A1319">
        <v>60</v>
      </c>
      <c r="B1319">
        <v>2024</v>
      </c>
      <c r="C1319">
        <v>0.8</v>
      </c>
      <c r="D1319">
        <v>0.93</v>
      </c>
      <c r="E1319">
        <v>0.61</v>
      </c>
      <c r="F1319">
        <v>0.92</v>
      </c>
      <c r="G1319">
        <v>0.83</v>
      </c>
      <c r="H1319">
        <v>0.36</v>
      </c>
      <c r="I1319">
        <v>76</v>
      </c>
      <c r="J1319">
        <v>7</v>
      </c>
      <c r="K1319">
        <v>0.82</v>
      </c>
      <c r="L1319" t="s">
        <v>13</v>
      </c>
    </row>
    <row r="1320" spans="1:12" x14ac:dyDescent="0.3">
      <c r="A1320">
        <v>60</v>
      </c>
      <c r="B1320">
        <v>2024</v>
      </c>
      <c r="C1320">
        <v>0.68</v>
      </c>
      <c r="D1320">
        <v>0.56000000000000005</v>
      </c>
      <c r="E1320">
        <v>0.87</v>
      </c>
      <c r="F1320">
        <v>0.93</v>
      </c>
      <c r="G1320">
        <v>0.8</v>
      </c>
      <c r="H1320">
        <v>0.73</v>
      </c>
      <c r="I1320">
        <v>255</v>
      </c>
      <c r="J1320">
        <v>1</v>
      </c>
      <c r="K1320">
        <v>0.74</v>
      </c>
      <c r="L1320" t="s">
        <v>13</v>
      </c>
    </row>
    <row r="1321" spans="1:12" x14ac:dyDescent="0.3">
      <c r="A1321">
        <v>60</v>
      </c>
      <c r="B1321">
        <v>2024</v>
      </c>
      <c r="C1321">
        <v>0.84</v>
      </c>
      <c r="D1321">
        <v>0.94</v>
      </c>
      <c r="E1321">
        <v>0.67</v>
      </c>
      <c r="F1321">
        <v>1</v>
      </c>
      <c r="G1321">
        <v>0.37</v>
      </c>
      <c r="H1321">
        <v>0.05</v>
      </c>
      <c r="I1321">
        <v>63</v>
      </c>
      <c r="J1321">
        <v>15</v>
      </c>
      <c r="K1321">
        <v>0.81</v>
      </c>
      <c r="L1321" t="s">
        <v>13</v>
      </c>
    </row>
    <row r="1322" spans="1:12" x14ac:dyDescent="0.3">
      <c r="A1322">
        <v>61</v>
      </c>
      <c r="B1322">
        <v>2024</v>
      </c>
      <c r="C1322">
        <v>0.78</v>
      </c>
      <c r="D1322">
        <v>0.7</v>
      </c>
      <c r="E1322">
        <v>0.88</v>
      </c>
      <c r="F1322">
        <v>0.79</v>
      </c>
      <c r="G1322">
        <v>0.4</v>
      </c>
      <c r="H1322">
        <v>0.65</v>
      </c>
      <c r="I1322">
        <v>356</v>
      </c>
      <c r="J1322">
        <v>4</v>
      </c>
      <c r="K1322">
        <v>0.74</v>
      </c>
      <c r="L1322" t="s">
        <v>13</v>
      </c>
    </row>
    <row r="1323" spans="1:12" x14ac:dyDescent="0.3">
      <c r="A1323">
        <v>61</v>
      </c>
      <c r="B1323">
        <v>2024</v>
      </c>
      <c r="C1323">
        <v>0.95</v>
      </c>
      <c r="D1323">
        <v>0.92</v>
      </c>
      <c r="E1323">
        <v>0.85</v>
      </c>
      <c r="F1323">
        <v>0.67</v>
      </c>
      <c r="G1323">
        <v>0.49</v>
      </c>
      <c r="H1323">
        <v>0.21</v>
      </c>
      <c r="I1323">
        <v>358</v>
      </c>
      <c r="J1323">
        <v>6</v>
      </c>
      <c r="K1323">
        <v>0.83</v>
      </c>
      <c r="L1323" t="s">
        <v>13</v>
      </c>
    </row>
    <row r="1324" spans="1:12" x14ac:dyDescent="0.3">
      <c r="A1324">
        <v>61</v>
      </c>
      <c r="B1324">
        <v>2024</v>
      </c>
      <c r="C1324">
        <v>0.78</v>
      </c>
      <c r="D1324">
        <v>0.74</v>
      </c>
      <c r="E1324">
        <v>0.93</v>
      </c>
      <c r="F1324">
        <v>0.65</v>
      </c>
      <c r="G1324">
        <v>0.85</v>
      </c>
      <c r="H1324">
        <v>0.67</v>
      </c>
      <c r="I1324">
        <v>393</v>
      </c>
      <c r="J1324">
        <v>16</v>
      </c>
      <c r="K1324">
        <v>0.79</v>
      </c>
      <c r="L1324" t="s">
        <v>13</v>
      </c>
    </row>
    <row r="1325" spans="1:12" x14ac:dyDescent="0.3">
      <c r="A1325">
        <v>61</v>
      </c>
      <c r="B1325">
        <v>2024</v>
      </c>
      <c r="C1325">
        <v>0.73</v>
      </c>
      <c r="D1325">
        <v>0.92</v>
      </c>
      <c r="E1325">
        <v>0.88</v>
      </c>
      <c r="F1325">
        <v>0.82</v>
      </c>
      <c r="G1325">
        <v>0.55000000000000004</v>
      </c>
      <c r="H1325">
        <v>0.37</v>
      </c>
      <c r="I1325">
        <v>105</v>
      </c>
      <c r="J1325">
        <v>15</v>
      </c>
      <c r="K1325">
        <v>0.8</v>
      </c>
      <c r="L1325" t="s">
        <v>13</v>
      </c>
    </row>
    <row r="1326" spans="1:12" x14ac:dyDescent="0.3">
      <c r="A1326">
        <v>61</v>
      </c>
      <c r="B1326">
        <v>2024</v>
      </c>
      <c r="C1326">
        <v>0.89</v>
      </c>
      <c r="D1326">
        <v>0.99</v>
      </c>
      <c r="E1326">
        <v>0.82</v>
      </c>
      <c r="F1326">
        <v>0.95</v>
      </c>
      <c r="G1326">
        <v>0.72</v>
      </c>
      <c r="H1326">
        <v>0.69</v>
      </c>
      <c r="I1326">
        <v>162</v>
      </c>
      <c r="J1326">
        <v>8</v>
      </c>
      <c r="K1326">
        <v>0.89</v>
      </c>
      <c r="L1326" t="s">
        <v>13</v>
      </c>
    </row>
    <row r="1327" spans="1:12" x14ac:dyDescent="0.3">
      <c r="A1327">
        <v>62</v>
      </c>
      <c r="B1327">
        <v>2024</v>
      </c>
      <c r="C1327">
        <v>0.77</v>
      </c>
      <c r="D1327">
        <v>0.53</v>
      </c>
      <c r="E1327">
        <v>0.61</v>
      </c>
      <c r="F1327">
        <v>0.95</v>
      </c>
      <c r="G1327">
        <v>0.47</v>
      </c>
      <c r="H1327">
        <v>0.26</v>
      </c>
      <c r="I1327">
        <v>62</v>
      </c>
      <c r="J1327">
        <v>12</v>
      </c>
      <c r="K1327">
        <v>0.68</v>
      </c>
      <c r="L1327" t="s">
        <v>12</v>
      </c>
    </row>
    <row r="1328" spans="1:12" x14ac:dyDescent="0.3">
      <c r="A1328">
        <v>62</v>
      </c>
      <c r="B1328">
        <v>2024</v>
      </c>
      <c r="C1328">
        <v>0.68</v>
      </c>
      <c r="D1328">
        <v>0.85</v>
      </c>
      <c r="E1328">
        <v>0.89</v>
      </c>
      <c r="F1328">
        <v>0.73</v>
      </c>
      <c r="G1328">
        <v>0.8</v>
      </c>
      <c r="H1328">
        <v>0.66</v>
      </c>
      <c r="I1328">
        <v>65</v>
      </c>
      <c r="J1328">
        <v>17</v>
      </c>
      <c r="K1328">
        <v>0.78</v>
      </c>
      <c r="L1328" t="s">
        <v>13</v>
      </c>
    </row>
    <row r="1329" spans="1:12" x14ac:dyDescent="0.3">
      <c r="A1329">
        <v>62</v>
      </c>
      <c r="B1329">
        <v>2024</v>
      </c>
      <c r="C1329">
        <v>0.33</v>
      </c>
      <c r="D1329">
        <v>0.4</v>
      </c>
      <c r="E1329">
        <v>0.66</v>
      </c>
      <c r="F1329">
        <v>0.86</v>
      </c>
      <c r="G1329">
        <v>0.81</v>
      </c>
      <c r="H1329">
        <v>0.45</v>
      </c>
      <c r="I1329">
        <v>448</v>
      </c>
      <c r="J1329">
        <v>4</v>
      </c>
      <c r="K1329">
        <v>0.54</v>
      </c>
      <c r="L1329" t="s">
        <v>12</v>
      </c>
    </row>
    <row r="1330" spans="1:12" x14ac:dyDescent="0.3">
      <c r="A1330">
        <v>62</v>
      </c>
      <c r="B1330">
        <v>2024</v>
      </c>
      <c r="C1330">
        <v>0.41</v>
      </c>
      <c r="D1330">
        <v>0.7</v>
      </c>
      <c r="E1330">
        <v>0.71</v>
      </c>
      <c r="F1330">
        <v>0.95</v>
      </c>
      <c r="G1330">
        <v>0.39</v>
      </c>
      <c r="H1330">
        <v>0.88</v>
      </c>
      <c r="I1330">
        <v>255</v>
      </c>
      <c r="J1330">
        <v>2</v>
      </c>
      <c r="K1330">
        <v>0.62</v>
      </c>
      <c r="L1330" t="s">
        <v>12</v>
      </c>
    </row>
    <row r="1331" spans="1:12" x14ac:dyDescent="0.3">
      <c r="A1331">
        <v>62</v>
      </c>
      <c r="B1331">
        <v>2024</v>
      </c>
      <c r="C1331">
        <v>0.51</v>
      </c>
      <c r="D1331">
        <v>0.7</v>
      </c>
      <c r="E1331">
        <v>0.75</v>
      </c>
      <c r="F1331">
        <v>0.61</v>
      </c>
      <c r="G1331">
        <v>0.55000000000000004</v>
      </c>
      <c r="H1331">
        <v>0.74</v>
      </c>
      <c r="I1331">
        <v>291</v>
      </c>
      <c r="J1331">
        <v>14</v>
      </c>
      <c r="K1331">
        <v>0.62</v>
      </c>
      <c r="L1331" t="s">
        <v>12</v>
      </c>
    </row>
    <row r="1332" spans="1:12" x14ac:dyDescent="0.3">
      <c r="A1332">
        <v>62</v>
      </c>
      <c r="B1332">
        <v>2024</v>
      </c>
      <c r="C1332">
        <v>0.81</v>
      </c>
      <c r="D1332">
        <v>0.5</v>
      </c>
      <c r="E1332">
        <v>0.64</v>
      </c>
      <c r="F1332">
        <v>0.95</v>
      </c>
      <c r="G1332">
        <v>0.92</v>
      </c>
      <c r="H1332">
        <v>0.04</v>
      </c>
      <c r="I1332">
        <v>78</v>
      </c>
      <c r="J1332">
        <v>18</v>
      </c>
      <c r="K1332">
        <v>0.73</v>
      </c>
      <c r="L1332" t="s">
        <v>13</v>
      </c>
    </row>
    <row r="1333" spans="1:12" x14ac:dyDescent="0.3">
      <c r="A1333">
        <v>62</v>
      </c>
      <c r="B1333">
        <v>2024</v>
      </c>
      <c r="C1333">
        <v>0.7</v>
      </c>
      <c r="D1333">
        <v>0.68</v>
      </c>
      <c r="E1333">
        <v>0.82</v>
      </c>
      <c r="F1333">
        <v>0.72</v>
      </c>
      <c r="G1333">
        <v>0.43</v>
      </c>
      <c r="H1333">
        <v>0.62</v>
      </c>
      <c r="I1333">
        <v>205</v>
      </c>
      <c r="J1333">
        <v>18</v>
      </c>
      <c r="K1333">
        <v>0.7</v>
      </c>
      <c r="L1333" t="s">
        <v>12</v>
      </c>
    </row>
    <row r="1334" spans="1:12" x14ac:dyDescent="0.3">
      <c r="A1334">
        <v>63</v>
      </c>
      <c r="B1334">
        <v>2024</v>
      </c>
      <c r="C1334">
        <v>0.74</v>
      </c>
      <c r="D1334">
        <v>0.96</v>
      </c>
      <c r="E1334">
        <v>0.55000000000000004</v>
      </c>
      <c r="F1334">
        <v>0.97</v>
      </c>
      <c r="G1334">
        <v>0.78</v>
      </c>
      <c r="H1334">
        <v>7.0000000000000007E-2</v>
      </c>
      <c r="I1334">
        <v>268</v>
      </c>
      <c r="J1334">
        <v>16</v>
      </c>
      <c r="K1334">
        <v>0.8</v>
      </c>
      <c r="L1334" t="s">
        <v>13</v>
      </c>
    </row>
    <row r="1335" spans="1:12" x14ac:dyDescent="0.3">
      <c r="A1335">
        <v>63</v>
      </c>
      <c r="B1335">
        <v>2024</v>
      </c>
      <c r="C1335">
        <v>0.42</v>
      </c>
      <c r="D1335">
        <v>0.91</v>
      </c>
      <c r="E1335">
        <v>0.75</v>
      </c>
      <c r="F1335">
        <v>0.76</v>
      </c>
      <c r="G1335">
        <v>0.93</v>
      </c>
      <c r="H1335">
        <v>0.6</v>
      </c>
      <c r="I1335">
        <v>471</v>
      </c>
      <c r="J1335">
        <v>7</v>
      </c>
      <c r="K1335">
        <v>0.71</v>
      </c>
      <c r="L1335" t="s">
        <v>13</v>
      </c>
    </row>
    <row r="1336" spans="1:12" x14ac:dyDescent="0.3">
      <c r="A1336">
        <v>63</v>
      </c>
      <c r="B1336">
        <v>2024</v>
      </c>
      <c r="C1336">
        <v>0.84</v>
      </c>
      <c r="D1336">
        <v>0.9</v>
      </c>
      <c r="E1336">
        <v>0.59</v>
      </c>
      <c r="F1336">
        <v>0.96</v>
      </c>
      <c r="G1336">
        <v>0.76</v>
      </c>
      <c r="H1336">
        <v>0.88</v>
      </c>
      <c r="I1336">
        <v>412</v>
      </c>
      <c r="J1336">
        <v>10</v>
      </c>
      <c r="K1336">
        <v>0.82</v>
      </c>
      <c r="L1336" t="s">
        <v>13</v>
      </c>
    </row>
    <row r="1337" spans="1:12" x14ac:dyDescent="0.3">
      <c r="A1337">
        <v>63</v>
      </c>
      <c r="B1337">
        <v>2024</v>
      </c>
      <c r="C1337">
        <v>0.49</v>
      </c>
      <c r="D1337">
        <v>0.92</v>
      </c>
      <c r="E1337">
        <v>0.88</v>
      </c>
      <c r="F1337">
        <v>0.74</v>
      </c>
      <c r="G1337">
        <v>0.81</v>
      </c>
      <c r="H1337">
        <v>0.1</v>
      </c>
      <c r="I1337">
        <v>116</v>
      </c>
      <c r="J1337">
        <v>10</v>
      </c>
      <c r="K1337">
        <v>0.75</v>
      </c>
      <c r="L1337" t="s">
        <v>13</v>
      </c>
    </row>
    <row r="1338" spans="1:12" x14ac:dyDescent="0.3">
      <c r="A1338">
        <v>63</v>
      </c>
      <c r="B1338">
        <v>2024</v>
      </c>
      <c r="C1338">
        <v>0.83</v>
      </c>
      <c r="D1338">
        <v>0.79</v>
      </c>
      <c r="E1338">
        <v>0.7</v>
      </c>
      <c r="F1338">
        <v>0.84</v>
      </c>
      <c r="G1338">
        <v>0.33</v>
      </c>
      <c r="H1338">
        <v>0.76</v>
      </c>
      <c r="I1338">
        <v>144</v>
      </c>
      <c r="J1338">
        <v>9</v>
      </c>
      <c r="K1338">
        <v>0.75</v>
      </c>
      <c r="L1338" t="s">
        <v>13</v>
      </c>
    </row>
    <row r="1339" spans="1:12" x14ac:dyDescent="0.3">
      <c r="A1339">
        <v>64</v>
      </c>
      <c r="B1339">
        <v>2024</v>
      </c>
      <c r="C1339">
        <v>0.81</v>
      </c>
      <c r="D1339">
        <v>0.72</v>
      </c>
      <c r="E1339">
        <v>0.6</v>
      </c>
      <c r="F1339">
        <v>0.64</v>
      </c>
      <c r="G1339">
        <v>0.56999999999999995</v>
      </c>
      <c r="H1339">
        <v>0.84</v>
      </c>
      <c r="I1339">
        <v>482</v>
      </c>
      <c r="J1339">
        <v>15</v>
      </c>
      <c r="K1339">
        <v>0.7</v>
      </c>
      <c r="L1339" t="s">
        <v>12</v>
      </c>
    </row>
    <row r="1340" spans="1:12" x14ac:dyDescent="0.3">
      <c r="A1340">
        <v>65</v>
      </c>
      <c r="B1340">
        <v>2024</v>
      </c>
      <c r="C1340">
        <v>0.47</v>
      </c>
      <c r="D1340">
        <v>0.94</v>
      </c>
      <c r="E1340">
        <v>0.8</v>
      </c>
      <c r="F1340">
        <v>0.74</v>
      </c>
      <c r="G1340">
        <v>0.8</v>
      </c>
      <c r="H1340">
        <v>0.48</v>
      </c>
      <c r="I1340">
        <v>413</v>
      </c>
      <c r="J1340">
        <v>6</v>
      </c>
      <c r="K1340">
        <v>0.73</v>
      </c>
      <c r="L1340" t="s">
        <v>13</v>
      </c>
    </row>
    <row r="1341" spans="1:12" x14ac:dyDescent="0.3">
      <c r="A1341">
        <v>65</v>
      </c>
      <c r="B1341">
        <v>2024</v>
      </c>
      <c r="C1341">
        <v>0.62</v>
      </c>
      <c r="D1341">
        <v>0.56000000000000005</v>
      </c>
      <c r="E1341">
        <v>0.61</v>
      </c>
      <c r="F1341">
        <v>0.65</v>
      </c>
      <c r="G1341">
        <v>0.9</v>
      </c>
      <c r="H1341">
        <v>0.57999999999999996</v>
      </c>
      <c r="I1341">
        <v>219</v>
      </c>
      <c r="J1341">
        <v>14</v>
      </c>
      <c r="K1341">
        <v>0.64</v>
      </c>
      <c r="L1341" t="s">
        <v>12</v>
      </c>
    </row>
    <row r="1342" spans="1:12" x14ac:dyDescent="0.3">
      <c r="A1342">
        <v>65</v>
      </c>
      <c r="B1342">
        <v>2024</v>
      </c>
      <c r="C1342">
        <v>0.64</v>
      </c>
      <c r="D1342">
        <v>0.89</v>
      </c>
      <c r="E1342">
        <v>0.98</v>
      </c>
      <c r="F1342">
        <v>0.97</v>
      </c>
      <c r="G1342">
        <v>0.94</v>
      </c>
      <c r="H1342">
        <v>0.51</v>
      </c>
      <c r="I1342">
        <v>72</v>
      </c>
      <c r="J1342">
        <v>15</v>
      </c>
      <c r="K1342">
        <v>0.85</v>
      </c>
      <c r="L1342" t="s">
        <v>13</v>
      </c>
    </row>
    <row r="1343" spans="1:12" x14ac:dyDescent="0.3">
      <c r="A1343">
        <v>66</v>
      </c>
      <c r="B1343">
        <v>2024</v>
      </c>
      <c r="C1343">
        <v>0.99</v>
      </c>
      <c r="D1343">
        <v>0.87</v>
      </c>
      <c r="E1343">
        <v>0.87</v>
      </c>
      <c r="F1343">
        <v>0.65</v>
      </c>
      <c r="G1343">
        <v>0.85</v>
      </c>
      <c r="H1343">
        <v>0.79</v>
      </c>
      <c r="I1343">
        <v>297</v>
      </c>
      <c r="J1343">
        <v>19</v>
      </c>
      <c r="K1343">
        <v>0.87</v>
      </c>
      <c r="L1343" t="s">
        <v>13</v>
      </c>
    </row>
    <row r="1344" spans="1:12" x14ac:dyDescent="0.3">
      <c r="A1344">
        <v>66</v>
      </c>
      <c r="B1344">
        <v>2024</v>
      </c>
      <c r="C1344">
        <v>0.43</v>
      </c>
      <c r="D1344">
        <v>0.85</v>
      </c>
      <c r="E1344">
        <v>0.92</v>
      </c>
      <c r="F1344">
        <v>0.82</v>
      </c>
      <c r="G1344">
        <v>0.99</v>
      </c>
      <c r="H1344">
        <v>0.45</v>
      </c>
      <c r="I1344">
        <v>382</v>
      </c>
      <c r="J1344">
        <v>12</v>
      </c>
      <c r="K1344">
        <v>0.75</v>
      </c>
      <c r="L1344" t="s">
        <v>13</v>
      </c>
    </row>
    <row r="1345" spans="1:12" x14ac:dyDescent="0.3">
      <c r="A1345">
        <v>66</v>
      </c>
      <c r="B1345">
        <v>2024</v>
      </c>
      <c r="C1345">
        <v>0.73</v>
      </c>
      <c r="D1345">
        <v>0.95</v>
      </c>
      <c r="E1345">
        <v>0.62</v>
      </c>
      <c r="F1345">
        <v>0.65</v>
      </c>
      <c r="G1345">
        <v>0.3</v>
      </c>
      <c r="H1345">
        <v>0.51</v>
      </c>
      <c r="I1345">
        <v>317</v>
      </c>
      <c r="J1345">
        <v>4</v>
      </c>
      <c r="K1345">
        <v>0.71</v>
      </c>
      <c r="L1345" t="s">
        <v>13</v>
      </c>
    </row>
    <row r="1346" spans="1:12" x14ac:dyDescent="0.3">
      <c r="A1346">
        <v>67</v>
      </c>
      <c r="B1346">
        <v>2024</v>
      </c>
      <c r="C1346">
        <v>0.5</v>
      </c>
      <c r="D1346">
        <v>0.97</v>
      </c>
      <c r="E1346">
        <v>0.94</v>
      </c>
      <c r="F1346">
        <v>0.66</v>
      </c>
      <c r="G1346">
        <v>0.85</v>
      </c>
      <c r="H1346">
        <v>0.56999999999999995</v>
      </c>
      <c r="I1346">
        <v>365</v>
      </c>
      <c r="J1346">
        <v>4</v>
      </c>
      <c r="K1346">
        <v>0.76</v>
      </c>
      <c r="L1346" t="s">
        <v>13</v>
      </c>
    </row>
    <row r="1347" spans="1:12" x14ac:dyDescent="0.3">
      <c r="A1347">
        <v>67</v>
      </c>
      <c r="B1347">
        <v>2024</v>
      </c>
      <c r="C1347">
        <v>0.36</v>
      </c>
      <c r="D1347">
        <v>0.42</v>
      </c>
      <c r="E1347">
        <v>0.53</v>
      </c>
      <c r="F1347">
        <v>0.78</v>
      </c>
      <c r="G1347">
        <v>0.49</v>
      </c>
      <c r="H1347">
        <v>0.62</v>
      </c>
      <c r="I1347">
        <v>222</v>
      </c>
      <c r="J1347">
        <v>19</v>
      </c>
      <c r="K1347">
        <v>0.48</v>
      </c>
      <c r="L1347" t="s">
        <v>12</v>
      </c>
    </row>
    <row r="1348" spans="1:12" x14ac:dyDescent="0.3">
      <c r="A1348">
        <v>67</v>
      </c>
      <c r="B1348">
        <v>2024</v>
      </c>
      <c r="C1348">
        <v>0.42</v>
      </c>
      <c r="D1348">
        <v>0.52</v>
      </c>
      <c r="E1348">
        <v>0.66</v>
      </c>
      <c r="F1348">
        <v>0.84</v>
      </c>
      <c r="G1348">
        <v>0.45</v>
      </c>
      <c r="H1348">
        <v>0.12</v>
      </c>
      <c r="I1348">
        <v>205</v>
      </c>
      <c r="J1348">
        <v>13</v>
      </c>
      <c r="K1348">
        <v>0.56000000000000005</v>
      </c>
      <c r="L1348" t="s">
        <v>12</v>
      </c>
    </row>
    <row r="1349" spans="1:12" x14ac:dyDescent="0.3">
      <c r="A1349">
        <v>67</v>
      </c>
      <c r="B1349">
        <v>2024</v>
      </c>
      <c r="C1349">
        <v>0.56999999999999995</v>
      </c>
      <c r="D1349">
        <v>0.84</v>
      </c>
      <c r="E1349">
        <v>0.71</v>
      </c>
      <c r="F1349">
        <v>0.89</v>
      </c>
      <c r="G1349">
        <v>0.38</v>
      </c>
      <c r="H1349">
        <v>0.81</v>
      </c>
      <c r="I1349">
        <v>208</v>
      </c>
      <c r="J1349">
        <v>19</v>
      </c>
      <c r="K1349">
        <v>0.69</v>
      </c>
      <c r="L1349" t="s">
        <v>12</v>
      </c>
    </row>
    <row r="1350" spans="1:12" x14ac:dyDescent="0.3">
      <c r="A1350">
        <v>67</v>
      </c>
      <c r="B1350">
        <v>2024</v>
      </c>
      <c r="C1350">
        <v>0.86</v>
      </c>
      <c r="D1350">
        <v>0.96</v>
      </c>
      <c r="E1350">
        <v>0.7</v>
      </c>
      <c r="F1350">
        <v>0.88</v>
      </c>
      <c r="G1350">
        <v>0.66</v>
      </c>
      <c r="H1350">
        <v>0.8</v>
      </c>
      <c r="I1350">
        <v>355</v>
      </c>
      <c r="J1350">
        <v>0</v>
      </c>
      <c r="K1350">
        <v>0.84</v>
      </c>
      <c r="L1350" t="s">
        <v>13</v>
      </c>
    </row>
    <row r="1351" spans="1:12" x14ac:dyDescent="0.3">
      <c r="A1351">
        <v>67</v>
      </c>
      <c r="B1351">
        <v>2024</v>
      </c>
      <c r="C1351">
        <v>0.35</v>
      </c>
      <c r="D1351">
        <v>0.52</v>
      </c>
      <c r="E1351">
        <v>0.96</v>
      </c>
      <c r="F1351">
        <v>0.61</v>
      </c>
      <c r="G1351">
        <v>0.76</v>
      </c>
      <c r="H1351">
        <v>0.38</v>
      </c>
      <c r="I1351">
        <v>350</v>
      </c>
      <c r="J1351">
        <v>0</v>
      </c>
      <c r="K1351">
        <v>0.59</v>
      </c>
      <c r="L1351" t="s">
        <v>12</v>
      </c>
    </row>
    <row r="1352" spans="1:12" x14ac:dyDescent="0.3">
      <c r="A1352">
        <v>68</v>
      </c>
      <c r="B1352">
        <v>2024</v>
      </c>
      <c r="C1352">
        <v>0.47</v>
      </c>
      <c r="D1352">
        <v>0.71</v>
      </c>
      <c r="E1352">
        <v>0.77</v>
      </c>
      <c r="F1352">
        <v>0.74</v>
      </c>
      <c r="G1352">
        <v>0.55000000000000004</v>
      </c>
      <c r="H1352">
        <v>0.83</v>
      </c>
      <c r="I1352">
        <v>202</v>
      </c>
      <c r="J1352">
        <v>12</v>
      </c>
      <c r="K1352">
        <v>0.64</v>
      </c>
      <c r="L1352" t="s">
        <v>12</v>
      </c>
    </row>
    <row r="1353" spans="1:12" x14ac:dyDescent="0.3">
      <c r="A1353">
        <v>68</v>
      </c>
      <c r="B1353">
        <v>2024</v>
      </c>
      <c r="C1353">
        <v>0.39</v>
      </c>
      <c r="D1353">
        <v>0.59</v>
      </c>
      <c r="E1353">
        <v>0.74</v>
      </c>
      <c r="F1353">
        <v>0.79</v>
      </c>
      <c r="G1353">
        <v>0.63</v>
      </c>
      <c r="H1353">
        <v>0.18</v>
      </c>
      <c r="I1353">
        <v>138</v>
      </c>
      <c r="J1353">
        <v>16</v>
      </c>
      <c r="K1353">
        <v>0.59</v>
      </c>
      <c r="L1353" t="s">
        <v>12</v>
      </c>
    </row>
    <row r="1354" spans="1:12" x14ac:dyDescent="0.3">
      <c r="A1354">
        <v>68</v>
      </c>
      <c r="B1354">
        <v>2024</v>
      </c>
      <c r="C1354">
        <v>0.72</v>
      </c>
      <c r="D1354">
        <v>0.52</v>
      </c>
      <c r="E1354">
        <v>0.75</v>
      </c>
      <c r="F1354">
        <v>0.9</v>
      </c>
      <c r="G1354">
        <v>0.84</v>
      </c>
      <c r="H1354">
        <v>0.5</v>
      </c>
      <c r="I1354">
        <v>65</v>
      </c>
      <c r="J1354">
        <v>10</v>
      </c>
      <c r="K1354">
        <v>0.72</v>
      </c>
      <c r="L1354" t="s">
        <v>13</v>
      </c>
    </row>
    <row r="1355" spans="1:12" x14ac:dyDescent="0.3">
      <c r="A1355">
        <v>68</v>
      </c>
      <c r="B1355">
        <v>2024</v>
      </c>
      <c r="C1355">
        <v>0.9</v>
      </c>
      <c r="D1355">
        <v>0.81</v>
      </c>
      <c r="E1355">
        <v>0.63</v>
      </c>
      <c r="F1355">
        <v>0.88</v>
      </c>
      <c r="G1355">
        <v>0.85</v>
      </c>
      <c r="H1355">
        <v>0.31</v>
      </c>
      <c r="I1355">
        <v>254</v>
      </c>
      <c r="J1355">
        <v>8</v>
      </c>
      <c r="K1355">
        <v>0.82</v>
      </c>
      <c r="L1355" t="s">
        <v>13</v>
      </c>
    </row>
    <row r="1356" spans="1:12" x14ac:dyDescent="0.3">
      <c r="A1356">
        <v>68</v>
      </c>
      <c r="B1356">
        <v>2024</v>
      </c>
      <c r="C1356">
        <v>0.9</v>
      </c>
      <c r="D1356">
        <v>0.84</v>
      </c>
      <c r="E1356">
        <v>0.61</v>
      </c>
      <c r="F1356">
        <v>0.76</v>
      </c>
      <c r="G1356">
        <v>0.66</v>
      </c>
      <c r="H1356">
        <v>0.81</v>
      </c>
      <c r="I1356">
        <v>176</v>
      </c>
      <c r="J1356">
        <v>14</v>
      </c>
      <c r="K1356">
        <v>0.78</v>
      </c>
      <c r="L1356" t="s">
        <v>13</v>
      </c>
    </row>
    <row r="1357" spans="1:12" x14ac:dyDescent="0.3">
      <c r="A1357">
        <v>69</v>
      </c>
      <c r="B1357">
        <v>2024</v>
      </c>
      <c r="C1357">
        <v>0.31</v>
      </c>
      <c r="D1357">
        <v>0.86</v>
      </c>
      <c r="E1357">
        <v>0.9</v>
      </c>
      <c r="F1357">
        <v>0.74</v>
      </c>
      <c r="G1357">
        <v>0.63</v>
      </c>
      <c r="H1357">
        <v>0.65</v>
      </c>
      <c r="I1357">
        <v>299</v>
      </c>
      <c r="J1357">
        <v>9</v>
      </c>
      <c r="K1357">
        <v>0.66</v>
      </c>
      <c r="L1357" t="s">
        <v>12</v>
      </c>
    </row>
    <row r="1358" spans="1:12" x14ac:dyDescent="0.3">
      <c r="A1358">
        <v>69</v>
      </c>
      <c r="B1358">
        <v>2024</v>
      </c>
      <c r="C1358">
        <v>0.33</v>
      </c>
      <c r="D1358">
        <v>0.62</v>
      </c>
      <c r="E1358">
        <v>0.81</v>
      </c>
      <c r="F1358">
        <v>0.8</v>
      </c>
      <c r="G1358">
        <v>0.9</v>
      </c>
      <c r="H1358">
        <v>0.66</v>
      </c>
      <c r="I1358">
        <v>53</v>
      </c>
      <c r="J1358">
        <v>15</v>
      </c>
      <c r="K1358">
        <v>0.63</v>
      </c>
      <c r="L1358" t="s">
        <v>12</v>
      </c>
    </row>
    <row r="1359" spans="1:12" x14ac:dyDescent="0.3">
      <c r="A1359">
        <v>69</v>
      </c>
      <c r="B1359">
        <v>2024</v>
      </c>
      <c r="C1359">
        <v>0.63</v>
      </c>
      <c r="D1359">
        <v>0.99</v>
      </c>
      <c r="E1359">
        <v>0.82</v>
      </c>
      <c r="F1359">
        <v>0.65</v>
      </c>
      <c r="G1359">
        <v>0.77</v>
      </c>
      <c r="H1359">
        <v>0.33</v>
      </c>
      <c r="I1359">
        <v>473</v>
      </c>
      <c r="J1359">
        <v>14</v>
      </c>
      <c r="K1359">
        <v>0.78</v>
      </c>
      <c r="L1359" t="s">
        <v>13</v>
      </c>
    </row>
    <row r="1360" spans="1:12" x14ac:dyDescent="0.3">
      <c r="A1360">
        <v>69</v>
      </c>
      <c r="B1360">
        <v>2024</v>
      </c>
      <c r="C1360">
        <v>0.73</v>
      </c>
      <c r="D1360">
        <v>0.9</v>
      </c>
      <c r="E1360">
        <v>0.86</v>
      </c>
      <c r="F1360">
        <v>0.65</v>
      </c>
      <c r="G1360">
        <v>0.82</v>
      </c>
      <c r="H1360">
        <v>0.28000000000000003</v>
      </c>
      <c r="I1360">
        <v>174</v>
      </c>
      <c r="J1360">
        <v>18</v>
      </c>
      <c r="K1360">
        <v>0.8</v>
      </c>
      <c r="L1360" t="s">
        <v>13</v>
      </c>
    </row>
    <row r="1361" spans="1:12" x14ac:dyDescent="0.3">
      <c r="A1361">
        <v>69</v>
      </c>
      <c r="B1361">
        <v>2024</v>
      </c>
      <c r="C1361">
        <v>0.48</v>
      </c>
      <c r="D1361">
        <v>0.97</v>
      </c>
      <c r="E1361">
        <v>0.96</v>
      </c>
      <c r="F1361">
        <v>0.78</v>
      </c>
      <c r="G1361">
        <v>0.89</v>
      </c>
      <c r="H1361">
        <v>0.45</v>
      </c>
      <c r="I1361">
        <v>111</v>
      </c>
      <c r="J1361">
        <v>4</v>
      </c>
      <c r="K1361">
        <v>0.78</v>
      </c>
      <c r="L1361" t="s">
        <v>13</v>
      </c>
    </row>
    <row r="1362" spans="1:12" x14ac:dyDescent="0.3">
      <c r="A1362">
        <v>69</v>
      </c>
      <c r="B1362">
        <v>2024</v>
      </c>
      <c r="C1362">
        <v>0.39</v>
      </c>
      <c r="D1362">
        <v>0.81</v>
      </c>
      <c r="E1362">
        <v>0.84</v>
      </c>
      <c r="F1362">
        <v>0.99</v>
      </c>
      <c r="G1362">
        <v>0.8</v>
      </c>
      <c r="H1362">
        <v>0.49</v>
      </c>
      <c r="I1362">
        <v>63</v>
      </c>
      <c r="J1362">
        <v>4</v>
      </c>
      <c r="K1362">
        <v>0.72</v>
      </c>
      <c r="L1362" t="s">
        <v>13</v>
      </c>
    </row>
    <row r="1363" spans="1:12" x14ac:dyDescent="0.3">
      <c r="A1363">
        <v>70</v>
      </c>
      <c r="B1363">
        <v>2024</v>
      </c>
      <c r="C1363">
        <v>0.88</v>
      </c>
      <c r="D1363">
        <v>0.4</v>
      </c>
      <c r="E1363">
        <v>0.65</v>
      </c>
      <c r="F1363">
        <v>0.7</v>
      </c>
      <c r="G1363">
        <v>0.46</v>
      </c>
      <c r="H1363">
        <v>7.0000000000000007E-2</v>
      </c>
      <c r="I1363">
        <v>132</v>
      </c>
      <c r="J1363">
        <v>2</v>
      </c>
      <c r="K1363">
        <v>0.64</v>
      </c>
      <c r="L1363" t="s">
        <v>12</v>
      </c>
    </row>
    <row r="1364" spans="1:12" x14ac:dyDescent="0.3">
      <c r="A1364">
        <v>70</v>
      </c>
      <c r="B1364">
        <v>2024</v>
      </c>
      <c r="C1364">
        <v>0.49</v>
      </c>
      <c r="D1364">
        <v>0.9</v>
      </c>
      <c r="E1364">
        <v>0.55000000000000004</v>
      </c>
      <c r="F1364">
        <v>0.64</v>
      </c>
      <c r="G1364">
        <v>0.93</v>
      </c>
      <c r="H1364">
        <v>0.54</v>
      </c>
      <c r="I1364">
        <v>98</v>
      </c>
      <c r="J1364">
        <v>15</v>
      </c>
      <c r="K1364">
        <v>0.67</v>
      </c>
      <c r="L1364" t="s">
        <v>12</v>
      </c>
    </row>
    <row r="1365" spans="1:12" x14ac:dyDescent="0.3">
      <c r="A1365">
        <v>71</v>
      </c>
      <c r="B1365">
        <v>2024</v>
      </c>
      <c r="C1365">
        <v>0.54</v>
      </c>
      <c r="D1365">
        <v>0.46</v>
      </c>
      <c r="E1365">
        <v>0.75</v>
      </c>
      <c r="F1365">
        <v>0.91</v>
      </c>
      <c r="G1365">
        <v>0.46</v>
      </c>
      <c r="H1365">
        <v>0.27</v>
      </c>
      <c r="I1365">
        <v>367</v>
      </c>
      <c r="J1365">
        <v>0</v>
      </c>
      <c r="K1365">
        <v>0.61</v>
      </c>
      <c r="L1365" t="s">
        <v>12</v>
      </c>
    </row>
    <row r="1366" spans="1:12" x14ac:dyDescent="0.3">
      <c r="A1366">
        <v>71</v>
      </c>
      <c r="B1366">
        <v>2024</v>
      </c>
      <c r="C1366">
        <v>0.57999999999999996</v>
      </c>
      <c r="D1366">
        <v>0.69</v>
      </c>
      <c r="E1366">
        <v>0.9</v>
      </c>
      <c r="F1366">
        <v>0.79</v>
      </c>
      <c r="G1366">
        <v>0.85</v>
      </c>
      <c r="H1366">
        <v>0.43</v>
      </c>
      <c r="I1366">
        <v>453</v>
      </c>
      <c r="J1366">
        <v>19</v>
      </c>
      <c r="K1366">
        <v>0.73</v>
      </c>
      <c r="L1366" t="s">
        <v>13</v>
      </c>
    </row>
    <row r="1367" spans="1:12" x14ac:dyDescent="0.3">
      <c r="A1367">
        <v>72</v>
      </c>
      <c r="B1367">
        <v>2024</v>
      </c>
      <c r="C1367">
        <v>0.55000000000000004</v>
      </c>
      <c r="D1367">
        <v>0.43</v>
      </c>
      <c r="E1367">
        <v>0.52</v>
      </c>
      <c r="F1367">
        <v>0.77</v>
      </c>
      <c r="G1367">
        <v>0.36</v>
      </c>
      <c r="H1367">
        <v>0.61</v>
      </c>
      <c r="I1367">
        <v>165</v>
      </c>
      <c r="J1367">
        <v>15</v>
      </c>
      <c r="K1367">
        <v>0.53</v>
      </c>
      <c r="L1367" t="s">
        <v>12</v>
      </c>
    </row>
    <row r="1368" spans="1:12" x14ac:dyDescent="0.3">
      <c r="A1368">
        <v>72</v>
      </c>
      <c r="B1368">
        <v>2024</v>
      </c>
      <c r="C1368">
        <v>0.6</v>
      </c>
      <c r="D1368">
        <v>0.9</v>
      </c>
      <c r="E1368">
        <v>0.9</v>
      </c>
      <c r="F1368">
        <v>0.69</v>
      </c>
      <c r="G1368">
        <v>0.46</v>
      </c>
      <c r="H1368">
        <v>0.82</v>
      </c>
      <c r="I1368">
        <v>374</v>
      </c>
      <c r="J1368">
        <v>15</v>
      </c>
      <c r="K1368">
        <v>0.73</v>
      </c>
      <c r="L1368" t="s">
        <v>13</v>
      </c>
    </row>
    <row r="1369" spans="1:12" x14ac:dyDescent="0.3">
      <c r="A1369">
        <v>73</v>
      </c>
      <c r="B1369">
        <v>2024</v>
      </c>
      <c r="C1369">
        <v>0.46</v>
      </c>
      <c r="D1369">
        <v>0.68</v>
      </c>
      <c r="E1369">
        <v>0.74</v>
      </c>
      <c r="F1369">
        <v>0.95</v>
      </c>
      <c r="G1369">
        <v>0.83</v>
      </c>
      <c r="H1369">
        <v>0.51</v>
      </c>
      <c r="I1369">
        <v>224</v>
      </c>
      <c r="J1369">
        <v>2</v>
      </c>
      <c r="K1369">
        <v>0.68</v>
      </c>
      <c r="L1369" t="s">
        <v>12</v>
      </c>
    </row>
    <row r="1370" spans="1:12" x14ac:dyDescent="0.3">
      <c r="A1370">
        <v>73</v>
      </c>
      <c r="B1370">
        <v>2024</v>
      </c>
      <c r="C1370">
        <v>0.63</v>
      </c>
      <c r="D1370">
        <v>0.57999999999999996</v>
      </c>
      <c r="E1370">
        <v>0.71</v>
      </c>
      <c r="F1370">
        <v>0.72</v>
      </c>
      <c r="G1370">
        <v>0.48</v>
      </c>
      <c r="H1370">
        <v>0.59</v>
      </c>
      <c r="I1370">
        <v>92</v>
      </c>
      <c r="J1370">
        <v>3</v>
      </c>
      <c r="K1370">
        <v>0.63</v>
      </c>
      <c r="L1370" t="s">
        <v>12</v>
      </c>
    </row>
    <row r="1371" spans="1:12" x14ac:dyDescent="0.3">
      <c r="A1371">
        <v>74</v>
      </c>
      <c r="B1371">
        <v>2024</v>
      </c>
      <c r="C1371">
        <v>0.48</v>
      </c>
      <c r="D1371">
        <v>0.42</v>
      </c>
      <c r="E1371">
        <v>0.65</v>
      </c>
      <c r="F1371">
        <v>0.9</v>
      </c>
      <c r="G1371">
        <v>0.33</v>
      </c>
      <c r="H1371">
        <v>0.22</v>
      </c>
      <c r="I1371">
        <v>365</v>
      </c>
      <c r="J1371">
        <v>18</v>
      </c>
      <c r="K1371">
        <v>0.55000000000000004</v>
      </c>
      <c r="L1371" t="s">
        <v>12</v>
      </c>
    </row>
    <row r="1372" spans="1:12" x14ac:dyDescent="0.3">
      <c r="A1372">
        <v>74</v>
      </c>
      <c r="B1372">
        <v>2024</v>
      </c>
      <c r="C1372">
        <v>0.77</v>
      </c>
      <c r="D1372">
        <v>0.56999999999999995</v>
      </c>
      <c r="E1372">
        <v>0.63</v>
      </c>
      <c r="F1372">
        <v>0.75</v>
      </c>
      <c r="G1372">
        <v>0.65</v>
      </c>
      <c r="H1372">
        <v>0.95</v>
      </c>
      <c r="I1372">
        <v>142</v>
      </c>
      <c r="J1372">
        <v>3</v>
      </c>
      <c r="K1372">
        <v>0.68</v>
      </c>
      <c r="L1372" t="s">
        <v>12</v>
      </c>
    </row>
    <row r="1373" spans="1:12" x14ac:dyDescent="0.3">
      <c r="A1373">
        <v>75</v>
      </c>
      <c r="B1373">
        <v>2024</v>
      </c>
      <c r="C1373">
        <v>0.94</v>
      </c>
      <c r="D1373">
        <v>1</v>
      </c>
      <c r="E1373">
        <v>0.57999999999999996</v>
      </c>
      <c r="F1373">
        <v>0.95</v>
      </c>
      <c r="G1373">
        <v>0.49</v>
      </c>
      <c r="H1373">
        <v>0.59</v>
      </c>
      <c r="I1373">
        <v>60</v>
      </c>
      <c r="J1373">
        <v>8</v>
      </c>
      <c r="K1373">
        <v>0.84</v>
      </c>
      <c r="L1373" t="s">
        <v>13</v>
      </c>
    </row>
    <row r="1374" spans="1:12" x14ac:dyDescent="0.3">
      <c r="A1374">
        <v>76</v>
      </c>
      <c r="B1374">
        <v>2024</v>
      </c>
      <c r="C1374">
        <v>0.47</v>
      </c>
      <c r="D1374">
        <v>0.41</v>
      </c>
      <c r="E1374">
        <v>0.57999999999999996</v>
      </c>
      <c r="F1374">
        <v>0.84</v>
      </c>
      <c r="G1374">
        <v>0.8</v>
      </c>
      <c r="H1374">
        <v>0.02</v>
      </c>
      <c r="I1374">
        <v>449</v>
      </c>
      <c r="J1374">
        <v>8</v>
      </c>
      <c r="K1374">
        <v>0.56999999999999995</v>
      </c>
      <c r="L1374" t="s">
        <v>12</v>
      </c>
    </row>
    <row r="1375" spans="1:12" x14ac:dyDescent="0.3">
      <c r="A1375">
        <v>77</v>
      </c>
      <c r="B1375">
        <v>2024</v>
      </c>
      <c r="C1375">
        <v>0.55000000000000004</v>
      </c>
      <c r="D1375">
        <v>0.59</v>
      </c>
      <c r="E1375">
        <v>0.99</v>
      </c>
      <c r="F1375">
        <v>0.68</v>
      </c>
      <c r="G1375">
        <v>0.79</v>
      </c>
      <c r="H1375">
        <v>0.82</v>
      </c>
      <c r="I1375">
        <v>155</v>
      </c>
      <c r="J1375">
        <v>11</v>
      </c>
      <c r="K1375">
        <v>0.69</v>
      </c>
      <c r="L1375" t="s">
        <v>12</v>
      </c>
    </row>
    <row r="1376" spans="1:12" x14ac:dyDescent="0.3">
      <c r="A1376">
        <v>77</v>
      </c>
      <c r="B1376">
        <v>2024</v>
      </c>
      <c r="C1376">
        <v>0.74</v>
      </c>
      <c r="D1376">
        <v>0.8</v>
      </c>
      <c r="E1376">
        <v>0.61</v>
      </c>
      <c r="F1376">
        <v>0.93</v>
      </c>
      <c r="G1376">
        <v>0.5</v>
      </c>
      <c r="H1376">
        <v>0.19</v>
      </c>
      <c r="I1376">
        <v>72</v>
      </c>
      <c r="J1376">
        <v>4</v>
      </c>
      <c r="K1376">
        <v>0.73</v>
      </c>
      <c r="L1376" t="s">
        <v>13</v>
      </c>
    </row>
    <row r="1377" spans="1:12" x14ac:dyDescent="0.3">
      <c r="A1377">
        <v>78</v>
      </c>
      <c r="B1377">
        <v>2024</v>
      </c>
      <c r="C1377">
        <v>0.53</v>
      </c>
      <c r="D1377">
        <v>0.8</v>
      </c>
      <c r="E1377">
        <v>0.78</v>
      </c>
      <c r="F1377">
        <v>0.74</v>
      </c>
      <c r="G1377">
        <v>0.39</v>
      </c>
      <c r="H1377">
        <v>0.09</v>
      </c>
      <c r="I1377">
        <v>218</v>
      </c>
      <c r="J1377">
        <v>14</v>
      </c>
      <c r="K1377">
        <v>0.66</v>
      </c>
      <c r="L1377" t="s">
        <v>12</v>
      </c>
    </row>
    <row r="1378" spans="1:12" x14ac:dyDescent="0.3">
      <c r="A1378">
        <v>78</v>
      </c>
      <c r="B1378">
        <v>2024</v>
      </c>
      <c r="C1378">
        <v>0.64</v>
      </c>
      <c r="D1378">
        <v>0.48</v>
      </c>
      <c r="E1378">
        <v>0.62</v>
      </c>
      <c r="F1378">
        <v>0.72</v>
      </c>
      <c r="G1378">
        <v>0.95</v>
      </c>
      <c r="H1378">
        <v>0.23</v>
      </c>
      <c r="I1378">
        <v>403</v>
      </c>
      <c r="J1378">
        <v>9</v>
      </c>
      <c r="K1378">
        <v>0.64</v>
      </c>
      <c r="L1378" t="s">
        <v>12</v>
      </c>
    </row>
    <row r="1379" spans="1:12" x14ac:dyDescent="0.3">
      <c r="A1379">
        <v>78</v>
      </c>
      <c r="B1379">
        <v>2024</v>
      </c>
      <c r="C1379">
        <v>0.46</v>
      </c>
      <c r="D1379">
        <v>0.46</v>
      </c>
      <c r="E1379">
        <v>0.91</v>
      </c>
      <c r="F1379">
        <v>0.66</v>
      </c>
      <c r="G1379">
        <v>0.82</v>
      </c>
      <c r="H1379">
        <v>0.05</v>
      </c>
      <c r="I1379">
        <v>155</v>
      </c>
      <c r="J1379">
        <v>4</v>
      </c>
      <c r="K1379">
        <v>0.62</v>
      </c>
      <c r="L1379" t="s">
        <v>12</v>
      </c>
    </row>
    <row r="1380" spans="1:12" x14ac:dyDescent="0.3">
      <c r="A1380">
        <v>78</v>
      </c>
      <c r="B1380">
        <v>2024</v>
      </c>
      <c r="C1380">
        <v>0.89</v>
      </c>
      <c r="D1380">
        <v>0.64</v>
      </c>
      <c r="E1380">
        <v>0.76</v>
      </c>
      <c r="F1380">
        <v>0.76</v>
      </c>
      <c r="G1380">
        <v>0.51</v>
      </c>
      <c r="H1380">
        <v>0.8</v>
      </c>
      <c r="I1380">
        <v>187</v>
      </c>
      <c r="J1380">
        <v>11</v>
      </c>
      <c r="K1380">
        <v>0.74</v>
      </c>
      <c r="L1380" t="s">
        <v>13</v>
      </c>
    </row>
    <row r="1381" spans="1:12" x14ac:dyDescent="0.3">
      <c r="A1381">
        <v>79</v>
      </c>
      <c r="B1381">
        <v>2024</v>
      </c>
      <c r="C1381">
        <v>1</v>
      </c>
      <c r="D1381">
        <v>0.74</v>
      </c>
      <c r="E1381">
        <v>0.66</v>
      </c>
      <c r="F1381">
        <v>0.69</v>
      </c>
      <c r="G1381">
        <v>0.55000000000000004</v>
      </c>
      <c r="H1381">
        <v>0.37</v>
      </c>
      <c r="I1381">
        <v>108</v>
      </c>
      <c r="J1381">
        <v>3</v>
      </c>
      <c r="K1381">
        <v>0.78</v>
      </c>
      <c r="L1381" t="s">
        <v>13</v>
      </c>
    </row>
    <row r="1382" spans="1:12" x14ac:dyDescent="0.3">
      <c r="A1382">
        <v>80</v>
      </c>
      <c r="B1382">
        <v>2024</v>
      </c>
      <c r="C1382">
        <v>0.63</v>
      </c>
      <c r="D1382">
        <v>0.85</v>
      </c>
      <c r="E1382">
        <v>0.84</v>
      </c>
      <c r="F1382">
        <v>0.95</v>
      </c>
      <c r="G1382">
        <v>1</v>
      </c>
      <c r="H1382">
        <v>0.43</v>
      </c>
      <c r="I1382">
        <v>125</v>
      </c>
      <c r="J1382">
        <v>3</v>
      </c>
      <c r="K1382">
        <v>0.81</v>
      </c>
      <c r="L1382" t="s">
        <v>13</v>
      </c>
    </row>
    <row r="1383" spans="1:12" x14ac:dyDescent="0.3">
      <c r="A1383">
        <v>81</v>
      </c>
      <c r="B1383">
        <v>2024</v>
      </c>
      <c r="C1383">
        <v>0.74</v>
      </c>
      <c r="D1383">
        <v>0.46</v>
      </c>
      <c r="E1383">
        <v>0.81</v>
      </c>
      <c r="F1383">
        <v>0.64</v>
      </c>
      <c r="G1383">
        <v>0.37</v>
      </c>
      <c r="H1383">
        <v>0.73</v>
      </c>
      <c r="I1383">
        <v>158</v>
      </c>
      <c r="J1383">
        <v>14</v>
      </c>
      <c r="K1383">
        <v>0.63</v>
      </c>
      <c r="L1383" t="s">
        <v>12</v>
      </c>
    </row>
    <row r="1384" spans="1:12" x14ac:dyDescent="0.3">
      <c r="A1384">
        <v>81</v>
      </c>
      <c r="B1384">
        <v>2024</v>
      </c>
      <c r="C1384">
        <v>0.37</v>
      </c>
      <c r="D1384">
        <v>0.62</v>
      </c>
      <c r="E1384">
        <v>0.75</v>
      </c>
      <c r="F1384">
        <v>0.62</v>
      </c>
      <c r="G1384">
        <v>0.54</v>
      </c>
      <c r="H1384">
        <v>0.18</v>
      </c>
      <c r="I1384">
        <v>303</v>
      </c>
      <c r="J1384">
        <v>4</v>
      </c>
      <c r="K1384">
        <v>0.56000000000000005</v>
      </c>
      <c r="L1384" t="s">
        <v>12</v>
      </c>
    </row>
    <row r="1385" spans="1:12" x14ac:dyDescent="0.3">
      <c r="A1385">
        <v>81</v>
      </c>
      <c r="B1385">
        <v>2024</v>
      </c>
      <c r="C1385">
        <v>0.89</v>
      </c>
      <c r="D1385">
        <v>0.41</v>
      </c>
      <c r="E1385">
        <v>0.62</v>
      </c>
      <c r="F1385">
        <v>0.9</v>
      </c>
      <c r="G1385">
        <v>0.71</v>
      </c>
      <c r="H1385">
        <v>0.78</v>
      </c>
      <c r="I1385">
        <v>85</v>
      </c>
      <c r="J1385">
        <v>9</v>
      </c>
      <c r="K1385">
        <v>0.7</v>
      </c>
      <c r="L1385" t="s">
        <v>12</v>
      </c>
    </row>
    <row r="1386" spans="1:12" x14ac:dyDescent="0.3">
      <c r="A1386">
        <v>82</v>
      </c>
      <c r="B1386">
        <v>2024</v>
      </c>
      <c r="C1386">
        <v>0.54</v>
      </c>
      <c r="D1386">
        <v>0.42</v>
      </c>
      <c r="E1386">
        <v>0.77</v>
      </c>
      <c r="F1386">
        <v>0.81</v>
      </c>
      <c r="G1386">
        <v>0.55000000000000004</v>
      </c>
      <c r="H1386">
        <v>0.89</v>
      </c>
      <c r="I1386">
        <v>482</v>
      </c>
      <c r="J1386">
        <v>13</v>
      </c>
      <c r="K1386">
        <v>0.6</v>
      </c>
      <c r="L1386" t="s">
        <v>12</v>
      </c>
    </row>
    <row r="1387" spans="1:12" x14ac:dyDescent="0.3">
      <c r="A1387">
        <v>82</v>
      </c>
      <c r="B1387">
        <v>2024</v>
      </c>
      <c r="C1387">
        <v>0.74</v>
      </c>
      <c r="D1387">
        <v>0.66</v>
      </c>
      <c r="E1387">
        <v>0.72</v>
      </c>
      <c r="F1387">
        <v>0.72</v>
      </c>
      <c r="G1387">
        <v>0.83</v>
      </c>
      <c r="H1387">
        <v>0.94</v>
      </c>
      <c r="I1387">
        <v>123</v>
      </c>
      <c r="J1387">
        <v>10</v>
      </c>
      <c r="K1387">
        <v>0.72</v>
      </c>
      <c r="L1387" t="s">
        <v>13</v>
      </c>
    </row>
    <row r="1388" spans="1:12" x14ac:dyDescent="0.3">
      <c r="A1388">
        <v>83</v>
      </c>
      <c r="B1388">
        <v>2024</v>
      </c>
      <c r="C1388">
        <v>0.82</v>
      </c>
      <c r="D1388">
        <v>0.5</v>
      </c>
      <c r="E1388">
        <v>0.6</v>
      </c>
      <c r="F1388">
        <v>0.96</v>
      </c>
      <c r="G1388">
        <v>0.82</v>
      </c>
      <c r="H1388">
        <v>0.91</v>
      </c>
      <c r="I1388">
        <v>264</v>
      </c>
      <c r="J1388">
        <v>2</v>
      </c>
      <c r="K1388">
        <v>0.72</v>
      </c>
      <c r="L1388" t="s">
        <v>13</v>
      </c>
    </row>
    <row r="1389" spans="1:12" x14ac:dyDescent="0.3">
      <c r="A1389">
        <v>83</v>
      </c>
      <c r="B1389">
        <v>2024</v>
      </c>
      <c r="C1389">
        <v>0.72</v>
      </c>
      <c r="D1389">
        <v>0.79</v>
      </c>
      <c r="E1389">
        <v>0.6</v>
      </c>
      <c r="F1389">
        <v>0.72</v>
      </c>
      <c r="G1389">
        <v>0.73</v>
      </c>
      <c r="H1389">
        <v>0.6</v>
      </c>
      <c r="I1389">
        <v>293</v>
      </c>
      <c r="J1389">
        <v>3</v>
      </c>
      <c r="K1389">
        <v>0.71</v>
      </c>
      <c r="L1389" t="s">
        <v>13</v>
      </c>
    </row>
    <row r="1390" spans="1:12" x14ac:dyDescent="0.3">
      <c r="A1390">
        <v>83</v>
      </c>
      <c r="B1390">
        <v>2024</v>
      </c>
      <c r="C1390">
        <v>0.42</v>
      </c>
      <c r="D1390">
        <v>0.44</v>
      </c>
      <c r="E1390">
        <v>0.79</v>
      </c>
      <c r="F1390">
        <v>0.74</v>
      </c>
      <c r="G1390">
        <v>0.49</v>
      </c>
      <c r="H1390">
        <v>0.81</v>
      </c>
      <c r="I1390">
        <v>374</v>
      </c>
      <c r="J1390">
        <v>9</v>
      </c>
      <c r="K1390">
        <v>0.55000000000000004</v>
      </c>
      <c r="L1390" t="s">
        <v>12</v>
      </c>
    </row>
    <row r="1391" spans="1:12" x14ac:dyDescent="0.3">
      <c r="A1391">
        <v>83</v>
      </c>
      <c r="B1391">
        <v>2024</v>
      </c>
      <c r="C1391">
        <v>0.31</v>
      </c>
      <c r="D1391">
        <v>0.64</v>
      </c>
      <c r="E1391">
        <v>0.95</v>
      </c>
      <c r="F1391">
        <v>0.9</v>
      </c>
      <c r="G1391">
        <v>0.68</v>
      </c>
      <c r="H1391">
        <v>0.53</v>
      </c>
      <c r="I1391">
        <v>58</v>
      </c>
      <c r="J1391">
        <v>16</v>
      </c>
      <c r="K1391">
        <v>0.65</v>
      </c>
      <c r="L1391" t="s">
        <v>12</v>
      </c>
    </row>
    <row r="1392" spans="1:12" x14ac:dyDescent="0.3">
      <c r="A1392">
        <v>83</v>
      </c>
      <c r="B1392">
        <v>2024</v>
      </c>
      <c r="C1392">
        <v>0.88</v>
      </c>
      <c r="D1392">
        <v>0.5</v>
      </c>
      <c r="E1392">
        <v>0.76</v>
      </c>
      <c r="F1392">
        <v>0.7</v>
      </c>
      <c r="G1392">
        <v>0.81</v>
      </c>
      <c r="H1392">
        <v>0.32</v>
      </c>
      <c r="I1392">
        <v>293</v>
      </c>
      <c r="J1392">
        <v>15</v>
      </c>
      <c r="K1392">
        <v>0.73</v>
      </c>
      <c r="L1392" t="s">
        <v>13</v>
      </c>
    </row>
    <row r="1393" spans="1:12" x14ac:dyDescent="0.3">
      <c r="A1393">
        <v>83</v>
      </c>
      <c r="B1393">
        <v>2024</v>
      </c>
      <c r="C1393">
        <v>0.83</v>
      </c>
      <c r="D1393">
        <v>0.67</v>
      </c>
      <c r="E1393">
        <v>0.61</v>
      </c>
      <c r="F1393">
        <v>0.68</v>
      </c>
      <c r="G1393">
        <v>0.9</v>
      </c>
      <c r="H1393">
        <v>0.68</v>
      </c>
      <c r="I1393">
        <v>295</v>
      </c>
      <c r="J1393">
        <v>3</v>
      </c>
      <c r="K1393">
        <v>0.73</v>
      </c>
      <c r="L1393" t="s">
        <v>13</v>
      </c>
    </row>
    <row r="1394" spans="1:12" x14ac:dyDescent="0.3">
      <c r="A1394">
        <v>84</v>
      </c>
      <c r="B1394">
        <v>2024</v>
      </c>
      <c r="C1394">
        <v>0.88</v>
      </c>
      <c r="D1394">
        <v>0.61</v>
      </c>
      <c r="E1394">
        <v>0.71</v>
      </c>
      <c r="F1394">
        <v>0.65</v>
      </c>
      <c r="G1394">
        <v>0.39</v>
      </c>
      <c r="H1394">
        <v>0.62</v>
      </c>
      <c r="I1394">
        <v>166</v>
      </c>
      <c r="J1394">
        <v>10</v>
      </c>
      <c r="K1394">
        <v>0.7</v>
      </c>
      <c r="L1394" t="s">
        <v>12</v>
      </c>
    </row>
    <row r="1395" spans="1:12" x14ac:dyDescent="0.3">
      <c r="A1395">
        <v>84</v>
      </c>
      <c r="B1395">
        <v>2024</v>
      </c>
      <c r="C1395">
        <v>0.3</v>
      </c>
      <c r="D1395">
        <v>0.83</v>
      </c>
      <c r="E1395">
        <v>0.59</v>
      </c>
      <c r="F1395">
        <v>0.64</v>
      </c>
      <c r="G1395">
        <v>0.47</v>
      </c>
      <c r="H1395">
        <v>0.38</v>
      </c>
      <c r="I1395">
        <v>389</v>
      </c>
      <c r="J1395">
        <v>12</v>
      </c>
      <c r="K1395">
        <v>0.56000000000000005</v>
      </c>
      <c r="L1395" t="s">
        <v>12</v>
      </c>
    </row>
    <row r="1396" spans="1:12" x14ac:dyDescent="0.3">
      <c r="A1396">
        <v>84</v>
      </c>
      <c r="B1396">
        <v>2024</v>
      </c>
      <c r="C1396">
        <v>0.61</v>
      </c>
      <c r="D1396">
        <v>0.79</v>
      </c>
      <c r="E1396">
        <v>0.8</v>
      </c>
      <c r="F1396">
        <v>0.74</v>
      </c>
      <c r="G1396">
        <v>0.61</v>
      </c>
      <c r="H1396">
        <v>0.06</v>
      </c>
      <c r="I1396">
        <v>186</v>
      </c>
      <c r="J1396">
        <v>16</v>
      </c>
      <c r="K1396">
        <v>0.71</v>
      </c>
      <c r="L1396" t="s">
        <v>13</v>
      </c>
    </row>
    <row r="1397" spans="1:12" x14ac:dyDescent="0.3">
      <c r="A1397">
        <v>85</v>
      </c>
      <c r="B1397">
        <v>2024</v>
      </c>
      <c r="C1397">
        <v>0.85</v>
      </c>
      <c r="D1397">
        <v>0.59</v>
      </c>
      <c r="E1397">
        <v>0.66</v>
      </c>
      <c r="F1397">
        <v>0.6</v>
      </c>
      <c r="G1397">
        <v>0.79</v>
      </c>
      <c r="H1397">
        <v>0.11</v>
      </c>
      <c r="I1397">
        <v>158</v>
      </c>
      <c r="J1397">
        <v>7</v>
      </c>
      <c r="K1397">
        <v>0.7</v>
      </c>
      <c r="L1397" t="s">
        <v>12</v>
      </c>
    </row>
    <row r="1398" spans="1:12" x14ac:dyDescent="0.3">
      <c r="A1398">
        <v>85</v>
      </c>
      <c r="B1398">
        <v>2024</v>
      </c>
      <c r="C1398">
        <v>0.7</v>
      </c>
      <c r="D1398">
        <v>0.46</v>
      </c>
      <c r="E1398">
        <v>0.72</v>
      </c>
      <c r="F1398">
        <v>0.83</v>
      </c>
      <c r="G1398">
        <v>0.94</v>
      </c>
      <c r="H1398">
        <v>0.19</v>
      </c>
      <c r="I1398">
        <v>318</v>
      </c>
      <c r="J1398">
        <v>4</v>
      </c>
      <c r="K1398">
        <v>0.69</v>
      </c>
      <c r="L1398" t="s">
        <v>12</v>
      </c>
    </row>
    <row r="1399" spans="1:12" x14ac:dyDescent="0.3">
      <c r="A1399">
        <v>85</v>
      </c>
      <c r="B1399">
        <v>2024</v>
      </c>
      <c r="C1399">
        <v>0.5</v>
      </c>
      <c r="D1399">
        <v>0.95</v>
      </c>
      <c r="E1399">
        <v>0.88</v>
      </c>
      <c r="F1399">
        <v>0.63</v>
      </c>
      <c r="G1399">
        <v>0.8</v>
      </c>
      <c r="H1399">
        <v>0.53</v>
      </c>
      <c r="I1399">
        <v>385</v>
      </c>
      <c r="J1399">
        <v>14</v>
      </c>
      <c r="K1399">
        <v>0.74</v>
      </c>
      <c r="L1399" t="s">
        <v>13</v>
      </c>
    </row>
    <row r="1400" spans="1:12" x14ac:dyDescent="0.3">
      <c r="A1400">
        <v>85</v>
      </c>
      <c r="B1400">
        <v>2024</v>
      </c>
      <c r="C1400">
        <v>0.9</v>
      </c>
      <c r="D1400">
        <v>0.4</v>
      </c>
      <c r="E1400">
        <v>0.94</v>
      </c>
      <c r="F1400">
        <v>0.61</v>
      </c>
      <c r="G1400">
        <v>0.83</v>
      </c>
      <c r="H1400">
        <v>0.36</v>
      </c>
      <c r="I1400">
        <v>211</v>
      </c>
      <c r="J1400">
        <v>10</v>
      </c>
      <c r="K1400">
        <v>0.73</v>
      </c>
      <c r="L1400" t="s">
        <v>13</v>
      </c>
    </row>
    <row r="1401" spans="1:12" x14ac:dyDescent="0.3">
      <c r="A1401">
        <v>86</v>
      </c>
      <c r="B1401">
        <v>2024</v>
      </c>
      <c r="C1401">
        <v>0.62</v>
      </c>
      <c r="D1401">
        <v>0.61</v>
      </c>
      <c r="E1401">
        <v>0.78</v>
      </c>
      <c r="F1401">
        <v>0.68</v>
      </c>
      <c r="G1401">
        <v>0.9</v>
      </c>
      <c r="H1401">
        <v>0.26</v>
      </c>
      <c r="I1401">
        <v>153</v>
      </c>
      <c r="J1401">
        <v>12</v>
      </c>
      <c r="K1401">
        <v>0.69</v>
      </c>
      <c r="L1401" t="s">
        <v>12</v>
      </c>
    </row>
    <row r="1402" spans="1:12" x14ac:dyDescent="0.3">
      <c r="A1402">
        <v>87</v>
      </c>
      <c r="B1402">
        <v>2024</v>
      </c>
      <c r="C1402">
        <v>1</v>
      </c>
      <c r="D1402">
        <v>0.92</v>
      </c>
      <c r="E1402">
        <v>0.78</v>
      </c>
      <c r="F1402">
        <v>0.81</v>
      </c>
      <c r="G1402">
        <v>0.5</v>
      </c>
      <c r="H1402">
        <v>0.52</v>
      </c>
      <c r="I1402">
        <v>91</v>
      </c>
      <c r="J1402">
        <v>18</v>
      </c>
      <c r="K1402">
        <v>0.86</v>
      </c>
      <c r="L1402" t="s">
        <v>13</v>
      </c>
    </row>
    <row r="1403" spans="1:12" x14ac:dyDescent="0.3">
      <c r="A1403">
        <v>87</v>
      </c>
      <c r="B1403">
        <v>2024</v>
      </c>
      <c r="C1403">
        <v>0.76</v>
      </c>
      <c r="D1403">
        <v>0.8</v>
      </c>
      <c r="E1403">
        <v>0.5</v>
      </c>
      <c r="F1403">
        <v>0.99</v>
      </c>
      <c r="G1403">
        <v>0.91</v>
      </c>
      <c r="H1403">
        <v>0.9</v>
      </c>
      <c r="I1403">
        <v>331</v>
      </c>
      <c r="J1403">
        <v>18</v>
      </c>
      <c r="K1403">
        <v>0.77</v>
      </c>
      <c r="L1403" t="s">
        <v>13</v>
      </c>
    </row>
    <row r="1404" spans="1:12" x14ac:dyDescent="0.3">
      <c r="A1404">
        <v>88</v>
      </c>
      <c r="B1404">
        <v>2024</v>
      </c>
      <c r="C1404">
        <v>0.37</v>
      </c>
      <c r="D1404">
        <v>0.48</v>
      </c>
      <c r="E1404">
        <v>0.53</v>
      </c>
      <c r="F1404">
        <v>1</v>
      </c>
      <c r="G1404">
        <v>0.56999999999999995</v>
      </c>
      <c r="H1404">
        <v>0.91</v>
      </c>
      <c r="I1404">
        <v>473</v>
      </c>
      <c r="J1404">
        <v>15</v>
      </c>
      <c r="K1404">
        <v>0.54</v>
      </c>
      <c r="L1404" t="s">
        <v>12</v>
      </c>
    </row>
    <row r="1405" spans="1:12" x14ac:dyDescent="0.3">
      <c r="A1405">
        <v>88</v>
      </c>
      <c r="B1405">
        <v>2024</v>
      </c>
      <c r="C1405">
        <v>0.38</v>
      </c>
      <c r="D1405">
        <v>0.55000000000000004</v>
      </c>
      <c r="E1405">
        <v>0.55000000000000004</v>
      </c>
      <c r="F1405">
        <v>0.92</v>
      </c>
      <c r="G1405">
        <v>0.39</v>
      </c>
      <c r="H1405">
        <v>0.6</v>
      </c>
      <c r="I1405">
        <v>67</v>
      </c>
      <c r="J1405">
        <v>2</v>
      </c>
      <c r="K1405">
        <v>0.54</v>
      </c>
      <c r="L1405" t="s">
        <v>12</v>
      </c>
    </row>
    <row r="1406" spans="1:12" x14ac:dyDescent="0.3">
      <c r="A1406">
        <v>89</v>
      </c>
      <c r="B1406">
        <v>2024</v>
      </c>
      <c r="C1406">
        <v>0.77</v>
      </c>
      <c r="D1406">
        <v>0.78</v>
      </c>
      <c r="E1406">
        <v>0.66</v>
      </c>
      <c r="F1406">
        <v>0.93</v>
      </c>
      <c r="G1406">
        <v>0.65</v>
      </c>
      <c r="H1406">
        <v>7.0000000000000007E-2</v>
      </c>
      <c r="I1406">
        <v>255</v>
      </c>
      <c r="J1406">
        <v>2</v>
      </c>
      <c r="K1406">
        <v>0.76</v>
      </c>
      <c r="L1406" t="s">
        <v>13</v>
      </c>
    </row>
    <row r="1407" spans="1:12" x14ac:dyDescent="0.3">
      <c r="A1407">
        <v>89</v>
      </c>
      <c r="B1407">
        <v>2024</v>
      </c>
      <c r="C1407">
        <v>0.93</v>
      </c>
      <c r="D1407">
        <v>0.91</v>
      </c>
      <c r="E1407">
        <v>0.59</v>
      </c>
      <c r="F1407">
        <v>0.98</v>
      </c>
      <c r="G1407">
        <v>0.56000000000000005</v>
      </c>
      <c r="H1407">
        <v>0.34</v>
      </c>
      <c r="I1407">
        <v>193</v>
      </c>
      <c r="J1407">
        <v>14</v>
      </c>
      <c r="K1407">
        <v>0.83</v>
      </c>
      <c r="L1407" t="s">
        <v>13</v>
      </c>
    </row>
    <row r="1408" spans="1:12" x14ac:dyDescent="0.3">
      <c r="A1408">
        <v>89</v>
      </c>
      <c r="B1408">
        <v>2024</v>
      </c>
      <c r="C1408">
        <v>0.47</v>
      </c>
      <c r="D1408">
        <v>0.68</v>
      </c>
      <c r="E1408">
        <v>0.73</v>
      </c>
      <c r="F1408">
        <v>0.83</v>
      </c>
      <c r="G1408">
        <v>0.55000000000000004</v>
      </c>
      <c r="H1408">
        <v>0.16</v>
      </c>
      <c r="I1408">
        <v>82</v>
      </c>
      <c r="J1408">
        <v>19</v>
      </c>
      <c r="K1408">
        <v>0.64</v>
      </c>
      <c r="L1408" t="s">
        <v>12</v>
      </c>
    </row>
    <row r="1409" spans="1:12" x14ac:dyDescent="0.3">
      <c r="A1409">
        <v>89</v>
      </c>
      <c r="B1409">
        <v>2024</v>
      </c>
      <c r="C1409">
        <v>0.52</v>
      </c>
      <c r="D1409">
        <v>0.85</v>
      </c>
      <c r="E1409">
        <v>0.61</v>
      </c>
      <c r="F1409">
        <v>0.76</v>
      </c>
      <c r="G1409">
        <v>0.91</v>
      </c>
      <c r="H1409">
        <v>0.72</v>
      </c>
      <c r="I1409">
        <v>170</v>
      </c>
      <c r="J1409">
        <v>16</v>
      </c>
      <c r="K1409">
        <v>0.7</v>
      </c>
      <c r="L1409" t="s">
        <v>12</v>
      </c>
    </row>
    <row r="1410" spans="1:12" x14ac:dyDescent="0.3">
      <c r="A1410">
        <v>89</v>
      </c>
      <c r="B1410">
        <v>2024</v>
      </c>
      <c r="C1410">
        <v>0.74</v>
      </c>
      <c r="D1410">
        <v>0.55000000000000004</v>
      </c>
      <c r="E1410">
        <v>0.72</v>
      </c>
      <c r="F1410">
        <v>0.9</v>
      </c>
      <c r="G1410">
        <v>0.61</v>
      </c>
      <c r="H1410">
        <v>7.0000000000000007E-2</v>
      </c>
      <c r="I1410">
        <v>59</v>
      </c>
      <c r="J1410">
        <v>17</v>
      </c>
      <c r="K1410">
        <v>0.7</v>
      </c>
      <c r="L1410" t="s">
        <v>12</v>
      </c>
    </row>
    <row r="1411" spans="1:12" x14ac:dyDescent="0.3">
      <c r="A1411">
        <v>90</v>
      </c>
      <c r="B1411">
        <v>2024</v>
      </c>
      <c r="C1411">
        <v>0.41</v>
      </c>
      <c r="D1411">
        <v>0.76</v>
      </c>
      <c r="E1411">
        <v>0.66</v>
      </c>
      <c r="F1411">
        <v>0.95</v>
      </c>
      <c r="G1411">
        <v>1</v>
      </c>
      <c r="H1411">
        <v>0.75</v>
      </c>
      <c r="I1411">
        <v>294</v>
      </c>
      <c r="J1411">
        <v>12</v>
      </c>
      <c r="K1411">
        <v>0.69</v>
      </c>
      <c r="L1411" t="s">
        <v>12</v>
      </c>
    </row>
    <row r="1412" spans="1:12" x14ac:dyDescent="0.3">
      <c r="A1412">
        <v>90</v>
      </c>
      <c r="B1412">
        <v>2024</v>
      </c>
      <c r="C1412">
        <v>0.61</v>
      </c>
      <c r="D1412">
        <v>0.78</v>
      </c>
      <c r="E1412">
        <v>0.73</v>
      </c>
      <c r="F1412">
        <v>0.74</v>
      </c>
      <c r="G1412">
        <v>0.56999999999999995</v>
      </c>
      <c r="H1412">
        <v>0.24</v>
      </c>
      <c r="I1412">
        <v>123</v>
      </c>
      <c r="J1412">
        <v>2</v>
      </c>
      <c r="K1412">
        <v>0.69</v>
      </c>
      <c r="L1412" t="s">
        <v>12</v>
      </c>
    </row>
    <row r="1413" spans="1:12" x14ac:dyDescent="0.3">
      <c r="A1413">
        <v>90</v>
      </c>
      <c r="B1413">
        <v>2024</v>
      </c>
      <c r="C1413">
        <v>0.49</v>
      </c>
      <c r="D1413">
        <v>0.83</v>
      </c>
      <c r="E1413">
        <v>0.55000000000000004</v>
      </c>
      <c r="F1413">
        <v>0.61</v>
      </c>
      <c r="G1413">
        <v>0.69</v>
      </c>
      <c r="H1413">
        <v>0.69</v>
      </c>
      <c r="I1413">
        <v>388</v>
      </c>
      <c r="J1413">
        <v>14</v>
      </c>
      <c r="K1413">
        <v>0.62</v>
      </c>
      <c r="L1413" t="s">
        <v>12</v>
      </c>
    </row>
    <row r="1414" spans="1:12" x14ac:dyDescent="0.3">
      <c r="A1414">
        <v>90</v>
      </c>
      <c r="B1414">
        <v>2024</v>
      </c>
      <c r="C1414">
        <v>0.98</v>
      </c>
      <c r="D1414">
        <v>0.56999999999999995</v>
      </c>
      <c r="E1414">
        <v>0.98</v>
      </c>
      <c r="F1414">
        <v>0.62</v>
      </c>
      <c r="G1414">
        <v>0.8</v>
      </c>
      <c r="H1414">
        <v>0.53</v>
      </c>
      <c r="I1414">
        <v>275</v>
      </c>
      <c r="J1414">
        <v>7</v>
      </c>
      <c r="K1414">
        <v>0.81</v>
      </c>
      <c r="L1414" t="s">
        <v>13</v>
      </c>
    </row>
    <row r="1415" spans="1:12" x14ac:dyDescent="0.3">
      <c r="A1415">
        <v>90</v>
      </c>
      <c r="B1415">
        <v>2024</v>
      </c>
      <c r="C1415">
        <v>0.97</v>
      </c>
      <c r="D1415">
        <v>0.79</v>
      </c>
      <c r="E1415">
        <v>0.92</v>
      </c>
      <c r="F1415">
        <v>0.81</v>
      </c>
      <c r="G1415">
        <v>0.45</v>
      </c>
      <c r="H1415">
        <v>0.52</v>
      </c>
      <c r="I1415">
        <v>223</v>
      </c>
      <c r="J1415">
        <v>14</v>
      </c>
      <c r="K1415">
        <v>0.84</v>
      </c>
      <c r="L1415" t="s">
        <v>13</v>
      </c>
    </row>
    <row r="1416" spans="1:12" x14ac:dyDescent="0.3">
      <c r="A1416">
        <v>90</v>
      </c>
      <c r="B1416">
        <v>2024</v>
      </c>
      <c r="C1416">
        <v>0.61</v>
      </c>
      <c r="D1416">
        <v>0.5</v>
      </c>
      <c r="E1416">
        <v>0.99</v>
      </c>
      <c r="F1416">
        <v>0.64</v>
      </c>
      <c r="G1416">
        <v>0.71</v>
      </c>
      <c r="H1416">
        <v>0.63</v>
      </c>
      <c r="I1416">
        <v>211</v>
      </c>
      <c r="J1416">
        <v>2</v>
      </c>
      <c r="K1416">
        <v>0.67</v>
      </c>
      <c r="L1416" t="s">
        <v>12</v>
      </c>
    </row>
    <row r="1417" spans="1:12" x14ac:dyDescent="0.3">
      <c r="A1417">
        <v>91</v>
      </c>
      <c r="B1417">
        <v>2024</v>
      </c>
      <c r="C1417">
        <v>0.51</v>
      </c>
      <c r="D1417">
        <v>0.5</v>
      </c>
      <c r="E1417">
        <v>0.84</v>
      </c>
      <c r="F1417">
        <v>0.62</v>
      </c>
      <c r="G1417">
        <v>0.73</v>
      </c>
      <c r="H1417">
        <v>0.7</v>
      </c>
      <c r="I1417">
        <v>309</v>
      </c>
      <c r="J1417">
        <v>0</v>
      </c>
      <c r="K1417">
        <v>0.61</v>
      </c>
      <c r="L1417" t="s">
        <v>12</v>
      </c>
    </row>
    <row r="1418" spans="1:12" x14ac:dyDescent="0.3">
      <c r="A1418">
        <v>91</v>
      </c>
      <c r="B1418">
        <v>2024</v>
      </c>
      <c r="C1418">
        <v>0.8</v>
      </c>
      <c r="D1418">
        <v>0.95</v>
      </c>
      <c r="E1418">
        <v>0.85</v>
      </c>
      <c r="F1418">
        <v>0.87</v>
      </c>
      <c r="G1418">
        <v>0.57999999999999996</v>
      </c>
      <c r="H1418">
        <v>0</v>
      </c>
      <c r="I1418">
        <v>332</v>
      </c>
      <c r="J1418">
        <v>16</v>
      </c>
      <c r="K1418">
        <v>0.84</v>
      </c>
      <c r="L1418" t="s">
        <v>13</v>
      </c>
    </row>
    <row r="1419" spans="1:12" x14ac:dyDescent="0.3">
      <c r="A1419">
        <v>91</v>
      </c>
      <c r="B1419">
        <v>2024</v>
      </c>
      <c r="C1419">
        <v>0.44</v>
      </c>
      <c r="D1419">
        <v>0.49</v>
      </c>
      <c r="E1419">
        <v>0.93</v>
      </c>
      <c r="F1419">
        <v>0.87</v>
      </c>
      <c r="G1419">
        <v>0.43</v>
      </c>
      <c r="H1419">
        <v>0.27</v>
      </c>
      <c r="I1419">
        <v>73</v>
      </c>
      <c r="J1419">
        <v>4</v>
      </c>
      <c r="K1419">
        <v>0.61</v>
      </c>
      <c r="L1419" t="s">
        <v>12</v>
      </c>
    </row>
    <row r="1420" spans="1:12" x14ac:dyDescent="0.3">
      <c r="A1420">
        <v>91</v>
      </c>
      <c r="B1420">
        <v>2024</v>
      </c>
      <c r="C1420">
        <v>0.35</v>
      </c>
      <c r="D1420">
        <v>0.8</v>
      </c>
      <c r="E1420">
        <v>0.91</v>
      </c>
      <c r="F1420">
        <v>0.72</v>
      </c>
      <c r="G1420">
        <v>0.99</v>
      </c>
      <c r="H1420">
        <v>0.08</v>
      </c>
      <c r="I1420">
        <v>454</v>
      </c>
      <c r="J1420">
        <v>3</v>
      </c>
      <c r="K1420">
        <v>0.69</v>
      </c>
      <c r="L1420" t="s">
        <v>12</v>
      </c>
    </row>
    <row r="1421" spans="1:12" x14ac:dyDescent="0.3">
      <c r="A1421">
        <v>92</v>
      </c>
      <c r="B1421">
        <v>2024</v>
      </c>
      <c r="C1421">
        <v>0.59</v>
      </c>
      <c r="D1421">
        <v>0.5</v>
      </c>
      <c r="E1421">
        <v>0.94</v>
      </c>
      <c r="F1421">
        <v>0.82</v>
      </c>
      <c r="G1421">
        <v>0.46</v>
      </c>
      <c r="H1421">
        <v>0.5</v>
      </c>
      <c r="I1421">
        <v>220</v>
      </c>
      <c r="J1421">
        <v>8</v>
      </c>
      <c r="K1421">
        <v>0.66</v>
      </c>
      <c r="L1421" t="s">
        <v>12</v>
      </c>
    </row>
    <row r="1422" spans="1:12" x14ac:dyDescent="0.3">
      <c r="A1422">
        <v>92</v>
      </c>
      <c r="B1422">
        <v>2024</v>
      </c>
      <c r="C1422">
        <v>0.44</v>
      </c>
      <c r="D1422">
        <v>0.61</v>
      </c>
      <c r="E1422">
        <v>0.68</v>
      </c>
      <c r="F1422">
        <v>0.6</v>
      </c>
      <c r="G1422">
        <v>0.89</v>
      </c>
      <c r="H1422">
        <v>0.03</v>
      </c>
      <c r="I1422">
        <v>90</v>
      </c>
      <c r="J1422">
        <v>7</v>
      </c>
      <c r="K1422">
        <v>0.6</v>
      </c>
      <c r="L1422" t="s">
        <v>12</v>
      </c>
    </row>
    <row r="1423" spans="1:12" x14ac:dyDescent="0.3">
      <c r="A1423">
        <v>92</v>
      </c>
      <c r="B1423">
        <v>2024</v>
      </c>
      <c r="C1423">
        <v>0.77</v>
      </c>
      <c r="D1423">
        <v>0.92</v>
      </c>
      <c r="E1423">
        <v>0.94</v>
      </c>
      <c r="F1423">
        <v>0.83</v>
      </c>
      <c r="G1423">
        <v>0.6</v>
      </c>
      <c r="H1423">
        <v>0.64</v>
      </c>
      <c r="I1423">
        <v>414</v>
      </c>
      <c r="J1423">
        <v>16</v>
      </c>
      <c r="K1423">
        <v>0.83</v>
      </c>
      <c r="L1423" t="s">
        <v>13</v>
      </c>
    </row>
    <row r="1424" spans="1:12" x14ac:dyDescent="0.3">
      <c r="A1424">
        <v>93</v>
      </c>
      <c r="B1424">
        <v>2024</v>
      </c>
      <c r="C1424">
        <v>0.7</v>
      </c>
      <c r="D1424">
        <v>0.65</v>
      </c>
      <c r="E1424">
        <v>0.92</v>
      </c>
      <c r="F1424">
        <v>0.96</v>
      </c>
      <c r="G1424">
        <v>0.91</v>
      </c>
      <c r="H1424">
        <v>0.97</v>
      </c>
      <c r="I1424">
        <v>392</v>
      </c>
      <c r="J1424">
        <v>9</v>
      </c>
      <c r="K1424">
        <v>0.79</v>
      </c>
      <c r="L1424" t="s">
        <v>13</v>
      </c>
    </row>
    <row r="1425" spans="1:12" x14ac:dyDescent="0.3">
      <c r="A1425">
        <v>93</v>
      </c>
      <c r="B1425">
        <v>2024</v>
      </c>
      <c r="C1425">
        <v>0.38</v>
      </c>
      <c r="D1425">
        <v>0.52</v>
      </c>
      <c r="E1425">
        <v>1</v>
      </c>
      <c r="F1425">
        <v>0.82</v>
      </c>
      <c r="G1425">
        <v>0.5</v>
      </c>
      <c r="H1425">
        <v>0.99</v>
      </c>
      <c r="I1425">
        <v>139</v>
      </c>
      <c r="J1425">
        <v>18</v>
      </c>
      <c r="K1425">
        <v>0.62</v>
      </c>
      <c r="L1425" t="s">
        <v>12</v>
      </c>
    </row>
    <row r="1426" spans="1:12" x14ac:dyDescent="0.3">
      <c r="A1426">
        <v>93</v>
      </c>
      <c r="B1426">
        <v>2024</v>
      </c>
      <c r="C1426">
        <v>0.97</v>
      </c>
      <c r="D1426">
        <v>0.54</v>
      </c>
      <c r="E1426">
        <v>0.66</v>
      </c>
      <c r="F1426">
        <v>0.67</v>
      </c>
      <c r="G1426">
        <v>0.7</v>
      </c>
      <c r="H1426">
        <v>0.15</v>
      </c>
      <c r="I1426">
        <v>213</v>
      </c>
      <c r="J1426">
        <v>5</v>
      </c>
      <c r="K1426">
        <v>0.73</v>
      </c>
      <c r="L1426" t="s">
        <v>13</v>
      </c>
    </row>
    <row r="1427" spans="1:12" x14ac:dyDescent="0.3">
      <c r="A1427">
        <v>93</v>
      </c>
      <c r="B1427">
        <v>2024</v>
      </c>
      <c r="C1427">
        <v>0.98</v>
      </c>
      <c r="D1427">
        <v>0.98</v>
      </c>
      <c r="E1427">
        <v>0.68</v>
      </c>
      <c r="F1427">
        <v>0.63</v>
      </c>
      <c r="G1427">
        <v>0.42</v>
      </c>
      <c r="H1427">
        <v>0.99</v>
      </c>
      <c r="I1427">
        <v>64</v>
      </c>
      <c r="J1427">
        <v>9</v>
      </c>
      <c r="K1427">
        <v>0.81</v>
      </c>
      <c r="L1427" t="s">
        <v>13</v>
      </c>
    </row>
    <row r="1428" spans="1:12" x14ac:dyDescent="0.3">
      <c r="A1428">
        <v>94</v>
      </c>
      <c r="B1428">
        <v>2024</v>
      </c>
      <c r="C1428">
        <v>0.91</v>
      </c>
      <c r="D1428">
        <v>0.5</v>
      </c>
      <c r="E1428">
        <v>0.93</v>
      </c>
      <c r="F1428">
        <v>0.95</v>
      </c>
      <c r="G1428">
        <v>0.68</v>
      </c>
      <c r="H1428">
        <v>0.66</v>
      </c>
      <c r="I1428">
        <v>53</v>
      </c>
      <c r="J1428">
        <v>11</v>
      </c>
      <c r="K1428">
        <v>0.79</v>
      </c>
      <c r="L1428" t="s">
        <v>13</v>
      </c>
    </row>
    <row r="1429" spans="1:12" x14ac:dyDescent="0.3">
      <c r="A1429">
        <v>94</v>
      </c>
      <c r="B1429">
        <v>2024</v>
      </c>
      <c r="C1429">
        <v>0.62</v>
      </c>
      <c r="D1429">
        <v>0.98</v>
      </c>
      <c r="E1429">
        <v>0.65</v>
      </c>
      <c r="F1429">
        <v>0.85</v>
      </c>
      <c r="G1429">
        <v>0.59</v>
      </c>
      <c r="H1429">
        <v>0.06</v>
      </c>
      <c r="I1429">
        <v>331</v>
      </c>
      <c r="J1429">
        <v>3</v>
      </c>
      <c r="K1429">
        <v>0.75</v>
      </c>
      <c r="L1429" t="s">
        <v>13</v>
      </c>
    </row>
    <row r="1430" spans="1:12" x14ac:dyDescent="0.3">
      <c r="A1430">
        <v>95</v>
      </c>
      <c r="B1430">
        <v>2024</v>
      </c>
      <c r="C1430">
        <v>0.75</v>
      </c>
      <c r="D1430">
        <v>0.89</v>
      </c>
      <c r="E1430">
        <v>0.97</v>
      </c>
      <c r="F1430">
        <v>0.73</v>
      </c>
      <c r="G1430">
        <v>0.81</v>
      </c>
      <c r="H1430">
        <v>0.54</v>
      </c>
      <c r="I1430">
        <v>208</v>
      </c>
      <c r="J1430">
        <v>8</v>
      </c>
      <c r="K1430">
        <v>0.83</v>
      </c>
      <c r="L1430" t="s">
        <v>13</v>
      </c>
    </row>
    <row r="1431" spans="1:12" x14ac:dyDescent="0.3">
      <c r="A1431">
        <v>95</v>
      </c>
      <c r="B1431">
        <v>2024</v>
      </c>
      <c r="C1431">
        <v>0.44</v>
      </c>
      <c r="D1431">
        <v>0.9</v>
      </c>
      <c r="E1431">
        <v>0.78</v>
      </c>
      <c r="F1431">
        <v>0.62</v>
      </c>
      <c r="G1431">
        <v>0.98</v>
      </c>
      <c r="H1431">
        <v>0.51</v>
      </c>
      <c r="I1431">
        <v>194</v>
      </c>
      <c r="J1431">
        <v>17</v>
      </c>
      <c r="K1431">
        <v>0.7</v>
      </c>
      <c r="L1431" t="s">
        <v>12</v>
      </c>
    </row>
    <row r="1432" spans="1:12" x14ac:dyDescent="0.3">
      <c r="A1432">
        <v>96</v>
      </c>
      <c r="B1432">
        <v>2024</v>
      </c>
      <c r="C1432">
        <v>0.93</v>
      </c>
      <c r="D1432">
        <v>0.87</v>
      </c>
      <c r="E1432">
        <v>0.61</v>
      </c>
      <c r="F1432">
        <v>0.99</v>
      </c>
      <c r="G1432">
        <v>0.77</v>
      </c>
      <c r="H1432">
        <v>0.01</v>
      </c>
      <c r="I1432">
        <v>341</v>
      </c>
      <c r="J1432">
        <v>3</v>
      </c>
      <c r="K1432">
        <v>0.84</v>
      </c>
      <c r="L1432" t="s">
        <v>13</v>
      </c>
    </row>
    <row r="1433" spans="1:12" x14ac:dyDescent="0.3">
      <c r="A1433">
        <v>96</v>
      </c>
      <c r="B1433">
        <v>2024</v>
      </c>
      <c r="C1433">
        <v>0.47</v>
      </c>
      <c r="D1433">
        <v>0.52</v>
      </c>
      <c r="E1433">
        <v>0.75</v>
      </c>
      <c r="F1433">
        <v>0.91</v>
      </c>
      <c r="G1433">
        <v>0.34</v>
      </c>
      <c r="H1433">
        <v>0.57999999999999996</v>
      </c>
      <c r="I1433">
        <v>380</v>
      </c>
      <c r="J1433">
        <v>1</v>
      </c>
      <c r="K1433">
        <v>0.59</v>
      </c>
      <c r="L1433" t="s">
        <v>12</v>
      </c>
    </row>
    <row r="1434" spans="1:12" x14ac:dyDescent="0.3">
      <c r="A1434">
        <v>96</v>
      </c>
      <c r="B1434">
        <v>2024</v>
      </c>
      <c r="C1434">
        <v>0.53</v>
      </c>
      <c r="D1434">
        <v>0.87</v>
      </c>
      <c r="E1434">
        <v>0.67</v>
      </c>
      <c r="F1434">
        <v>0.7</v>
      </c>
      <c r="G1434">
        <v>0.92</v>
      </c>
      <c r="H1434">
        <v>0.55000000000000004</v>
      </c>
      <c r="I1434">
        <v>234</v>
      </c>
      <c r="J1434">
        <v>19</v>
      </c>
      <c r="K1434">
        <v>0.71</v>
      </c>
      <c r="L1434" t="s">
        <v>13</v>
      </c>
    </row>
    <row r="1435" spans="1:12" x14ac:dyDescent="0.3">
      <c r="A1435">
        <v>97</v>
      </c>
      <c r="B1435">
        <v>2024</v>
      </c>
      <c r="C1435">
        <v>0.47</v>
      </c>
      <c r="D1435">
        <v>0.46</v>
      </c>
      <c r="E1435">
        <v>0.62</v>
      </c>
      <c r="F1435">
        <v>0.89</v>
      </c>
      <c r="G1435">
        <v>0.9</v>
      </c>
      <c r="H1435">
        <v>0.83</v>
      </c>
      <c r="I1435">
        <v>214</v>
      </c>
      <c r="J1435">
        <v>13</v>
      </c>
      <c r="K1435">
        <v>0.6</v>
      </c>
      <c r="L1435" t="s">
        <v>12</v>
      </c>
    </row>
    <row r="1436" spans="1:12" x14ac:dyDescent="0.3">
      <c r="A1436">
        <v>97</v>
      </c>
      <c r="B1436">
        <v>2024</v>
      </c>
      <c r="C1436">
        <v>0.65</v>
      </c>
      <c r="D1436">
        <v>0.64</v>
      </c>
      <c r="E1436">
        <v>0.82</v>
      </c>
      <c r="F1436">
        <v>0.85</v>
      </c>
      <c r="G1436">
        <v>0.38</v>
      </c>
      <c r="H1436">
        <v>0.98</v>
      </c>
      <c r="I1436">
        <v>275</v>
      </c>
      <c r="J1436">
        <v>12</v>
      </c>
      <c r="K1436">
        <v>0.68</v>
      </c>
      <c r="L1436" t="s">
        <v>12</v>
      </c>
    </row>
    <row r="1437" spans="1:12" x14ac:dyDescent="0.3">
      <c r="A1437">
        <v>97</v>
      </c>
      <c r="B1437">
        <v>2024</v>
      </c>
      <c r="C1437">
        <v>0.91</v>
      </c>
      <c r="D1437">
        <v>0.93</v>
      </c>
      <c r="E1437">
        <v>0.64</v>
      </c>
      <c r="F1437">
        <v>0.61</v>
      </c>
      <c r="G1437">
        <v>0.48</v>
      </c>
      <c r="H1437">
        <v>0.28000000000000003</v>
      </c>
      <c r="I1437">
        <v>187</v>
      </c>
      <c r="J1437">
        <v>16</v>
      </c>
      <c r="K1437">
        <v>0.77</v>
      </c>
      <c r="L1437" t="s">
        <v>13</v>
      </c>
    </row>
    <row r="1438" spans="1:12" x14ac:dyDescent="0.3">
      <c r="A1438">
        <v>97</v>
      </c>
      <c r="B1438">
        <v>2024</v>
      </c>
      <c r="C1438">
        <v>0.86</v>
      </c>
      <c r="D1438">
        <v>0.84</v>
      </c>
      <c r="E1438">
        <v>0.9</v>
      </c>
      <c r="F1438">
        <v>0.87</v>
      </c>
      <c r="G1438">
        <v>0.77</v>
      </c>
      <c r="H1438">
        <v>0.67</v>
      </c>
      <c r="I1438">
        <v>275</v>
      </c>
      <c r="J1438">
        <v>7</v>
      </c>
      <c r="K1438">
        <v>0.86</v>
      </c>
      <c r="L1438" t="s">
        <v>13</v>
      </c>
    </row>
    <row r="1439" spans="1:12" x14ac:dyDescent="0.3">
      <c r="A1439">
        <v>97</v>
      </c>
      <c r="B1439">
        <v>2024</v>
      </c>
      <c r="C1439">
        <v>0.95</v>
      </c>
      <c r="D1439">
        <v>0.64</v>
      </c>
      <c r="E1439">
        <v>0.66</v>
      </c>
      <c r="F1439">
        <v>0.95</v>
      </c>
      <c r="G1439">
        <v>0.33</v>
      </c>
      <c r="H1439">
        <v>0.14000000000000001</v>
      </c>
      <c r="I1439">
        <v>303</v>
      </c>
      <c r="J1439">
        <v>0</v>
      </c>
      <c r="K1439">
        <v>0.75</v>
      </c>
      <c r="L1439" t="s">
        <v>13</v>
      </c>
    </row>
    <row r="1440" spans="1:12" x14ac:dyDescent="0.3">
      <c r="A1440">
        <v>98</v>
      </c>
      <c r="B1440">
        <v>2024</v>
      </c>
      <c r="C1440">
        <v>0.61</v>
      </c>
      <c r="D1440">
        <v>0.75</v>
      </c>
      <c r="E1440">
        <v>0.79</v>
      </c>
      <c r="F1440">
        <v>0.73</v>
      </c>
      <c r="G1440">
        <v>0.52</v>
      </c>
      <c r="H1440">
        <v>0.11</v>
      </c>
      <c r="I1440">
        <v>221</v>
      </c>
      <c r="J1440">
        <v>9</v>
      </c>
      <c r="K1440">
        <v>0.69</v>
      </c>
      <c r="L1440" t="s">
        <v>12</v>
      </c>
    </row>
    <row r="1441" spans="1:12" x14ac:dyDescent="0.3">
      <c r="A1441">
        <v>98</v>
      </c>
      <c r="B1441">
        <v>2024</v>
      </c>
      <c r="C1441">
        <v>0.74</v>
      </c>
      <c r="D1441">
        <v>0.78</v>
      </c>
      <c r="E1441">
        <v>0.93</v>
      </c>
      <c r="F1441">
        <v>0.9</v>
      </c>
      <c r="G1441">
        <v>0.68</v>
      </c>
      <c r="H1441">
        <v>0.65</v>
      </c>
      <c r="I1441">
        <v>275</v>
      </c>
      <c r="J1441">
        <v>8</v>
      </c>
      <c r="K1441">
        <v>0.81</v>
      </c>
      <c r="L1441" t="s">
        <v>13</v>
      </c>
    </row>
    <row r="1442" spans="1:12" x14ac:dyDescent="0.3">
      <c r="A1442">
        <v>98</v>
      </c>
      <c r="B1442">
        <v>2024</v>
      </c>
      <c r="C1442">
        <v>0.87</v>
      </c>
      <c r="D1442">
        <v>0.63</v>
      </c>
      <c r="E1442">
        <v>0.52</v>
      </c>
      <c r="F1442">
        <v>0.67</v>
      </c>
      <c r="G1442">
        <v>0.97</v>
      </c>
      <c r="H1442">
        <v>7.0000000000000007E-2</v>
      </c>
      <c r="I1442">
        <v>413</v>
      </c>
      <c r="J1442">
        <v>15</v>
      </c>
      <c r="K1442">
        <v>0.72</v>
      </c>
      <c r="L1442" t="s">
        <v>13</v>
      </c>
    </row>
    <row r="1443" spans="1:12" x14ac:dyDescent="0.3">
      <c r="A1443">
        <v>98</v>
      </c>
      <c r="B1443">
        <v>2024</v>
      </c>
      <c r="C1443">
        <v>0.77</v>
      </c>
      <c r="D1443">
        <v>0.54</v>
      </c>
      <c r="E1443">
        <v>0.95</v>
      </c>
      <c r="F1443">
        <v>0.67</v>
      </c>
      <c r="G1443">
        <v>0.45</v>
      </c>
      <c r="H1443">
        <v>0.27</v>
      </c>
      <c r="I1443">
        <v>62</v>
      </c>
      <c r="J1443">
        <v>6</v>
      </c>
      <c r="K1443">
        <v>0.7</v>
      </c>
      <c r="L1443" t="s">
        <v>12</v>
      </c>
    </row>
    <row r="1444" spans="1:12" x14ac:dyDescent="0.3">
      <c r="A1444">
        <v>98</v>
      </c>
      <c r="B1444">
        <v>2024</v>
      </c>
      <c r="C1444">
        <v>0.61</v>
      </c>
      <c r="D1444">
        <v>0.99</v>
      </c>
      <c r="E1444">
        <v>0.98</v>
      </c>
      <c r="F1444">
        <v>0.73</v>
      </c>
      <c r="G1444">
        <v>0.92</v>
      </c>
      <c r="H1444">
        <v>0.85</v>
      </c>
      <c r="I1444">
        <v>186</v>
      </c>
      <c r="J1444">
        <v>0</v>
      </c>
      <c r="K1444">
        <v>0.83</v>
      </c>
      <c r="L1444" t="s">
        <v>13</v>
      </c>
    </row>
    <row r="1445" spans="1:12" x14ac:dyDescent="0.3">
      <c r="A1445">
        <v>98</v>
      </c>
      <c r="B1445">
        <v>2024</v>
      </c>
      <c r="C1445">
        <v>0.99</v>
      </c>
      <c r="D1445">
        <v>0.79</v>
      </c>
      <c r="E1445">
        <v>0.77</v>
      </c>
      <c r="F1445">
        <v>0.91</v>
      </c>
      <c r="G1445">
        <v>0.89</v>
      </c>
      <c r="H1445">
        <v>0.81</v>
      </c>
      <c r="I1445">
        <v>253</v>
      </c>
      <c r="J1445">
        <v>15</v>
      </c>
      <c r="K1445">
        <v>0.87</v>
      </c>
      <c r="L1445" t="s">
        <v>13</v>
      </c>
    </row>
    <row r="1446" spans="1:12" x14ac:dyDescent="0.3">
      <c r="A1446">
        <v>99</v>
      </c>
      <c r="B1446">
        <v>2024</v>
      </c>
      <c r="C1446">
        <v>0.56000000000000005</v>
      </c>
      <c r="D1446">
        <v>0.87</v>
      </c>
      <c r="E1446">
        <v>0.67</v>
      </c>
      <c r="F1446">
        <v>0.97</v>
      </c>
      <c r="G1446">
        <v>0.9</v>
      </c>
      <c r="H1446">
        <v>0.43</v>
      </c>
      <c r="I1446">
        <v>62</v>
      </c>
      <c r="J1446">
        <v>2</v>
      </c>
      <c r="K1446">
        <v>0.76</v>
      </c>
      <c r="L1446" t="s">
        <v>13</v>
      </c>
    </row>
    <row r="1447" spans="1:12" x14ac:dyDescent="0.3">
      <c r="A1447">
        <v>99</v>
      </c>
      <c r="B1447">
        <v>2024</v>
      </c>
      <c r="C1447">
        <v>0.59</v>
      </c>
      <c r="D1447">
        <v>0.81</v>
      </c>
      <c r="E1447">
        <v>0.83</v>
      </c>
      <c r="F1447">
        <v>0.63</v>
      </c>
      <c r="G1447">
        <v>0.57999999999999996</v>
      </c>
      <c r="H1447">
        <v>0.18</v>
      </c>
      <c r="I1447">
        <v>236</v>
      </c>
      <c r="J1447">
        <v>15</v>
      </c>
      <c r="K1447">
        <v>0.7</v>
      </c>
      <c r="L1447" t="s">
        <v>12</v>
      </c>
    </row>
    <row r="1448" spans="1:12" x14ac:dyDescent="0.3">
      <c r="A1448">
        <v>99</v>
      </c>
      <c r="B1448">
        <v>2024</v>
      </c>
      <c r="C1448">
        <v>0.79</v>
      </c>
      <c r="D1448">
        <v>0.91</v>
      </c>
      <c r="E1448">
        <v>0.68</v>
      </c>
      <c r="F1448">
        <v>0.7</v>
      </c>
      <c r="G1448">
        <v>0.96</v>
      </c>
      <c r="H1448">
        <v>0.73</v>
      </c>
      <c r="I1448">
        <v>209</v>
      </c>
      <c r="J1448">
        <v>9</v>
      </c>
      <c r="K1448">
        <v>0.8</v>
      </c>
      <c r="L1448" t="s">
        <v>13</v>
      </c>
    </row>
    <row r="1449" spans="1:12" x14ac:dyDescent="0.3">
      <c r="A1449">
        <v>99</v>
      </c>
      <c r="B1449">
        <v>2024</v>
      </c>
      <c r="C1449">
        <v>0.9</v>
      </c>
      <c r="D1449">
        <v>0.66</v>
      </c>
      <c r="E1449">
        <v>0.98</v>
      </c>
      <c r="F1449">
        <v>0.89</v>
      </c>
      <c r="G1449">
        <v>0.75</v>
      </c>
      <c r="H1449">
        <v>0.73</v>
      </c>
      <c r="I1449">
        <v>302</v>
      </c>
      <c r="J1449">
        <v>19</v>
      </c>
      <c r="K1449">
        <v>0.84</v>
      </c>
      <c r="L1449" t="s">
        <v>13</v>
      </c>
    </row>
    <row r="1450" spans="1:12" x14ac:dyDescent="0.3">
      <c r="A1450">
        <v>99</v>
      </c>
      <c r="B1450">
        <v>2024</v>
      </c>
      <c r="C1450">
        <v>0.36</v>
      </c>
      <c r="D1450">
        <v>0.66</v>
      </c>
      <c r="E1450">
        <v>0.78</v>
      </c>
      <c r="F1450">
        <v>0.76</v>
      </c>
      <c r="G1450">
        <v>0.45</v>
      </c>
      <c r="H1450">
        <v>0.59</v>
      </c>
      <c r="I1450">
        <v>100</v>
      </c>
      <c r="J1450">
        <v>18</v>
      </c>
      <c r="K1450">
        <v>0.59</v>
      </c>
      <c r="L1450" t="s">
        <v>12</v>
      </c>
    </row>
    <row r="1451" spans="1:12" x14ac:dyDescent="0.3">
      <c r="A1451">
        <v>99</v>
      </c>
      <c r="B1451">
        <v>2024</v>
      </c>
      <c r="C1451">
        <v>0.96</v>
      </c>
      <c r="D1451">
        <v>0.99</v>
      </c>
      <c r="E1451">
        <v>0.7</v>
      </c>
      <c r="F1451">
        <v>1</v>
      </c>
      <c r="G1451">
        <v>0.41</v>
      </c>
      <c r="H1451">
        <v>0.25</v>
      </c>
      <c r="I1451">
        <v>257</v>
      </c>
      <c r="J1451">
        <v>8</v>
      </c>
      <c r="K1451">
        <v>0.87</v>
      </c>
      <c r="L1451" t="s">
        <v>13</v>
      </c>
    </row>
    <row r="1452" spans="1:12" x14ac:dyDescent="0.3">
      <c r="A1452">
        <v>99</v>
      </c>
      <c r="B1452">
        <v>2024</v>
      </c>
      <c r="C1452">
        <v>0.94</v>
      </c>
      <c r="D1452">
        <v>0.81</v>
      </c>
      <c r="E1452">
        <v>0.73</v>
      </c>
      <c r="F1452">
        <v>0.64</v>
      </c>
      <c r="G1452">
        <v>0.85</v>
      </c>
      <c r="H1452">
        <v>0.08</v>
      </c>
      <c r="I1452">
        <v>449</v>
      </c>
      <c r="J1452">
        <v>11</v>
      </c>
      <c r="K1452">
        <v>0.81</v>
      </c>
      <c r="L1452" t="s">
        <v>13</v>
      </c>
    </row>
    <row r="1453" spans="1:12" x14ac:dyDescent="0.3">
      <c r="A1453">
        <v>1</v>
      </c>
      <c r="B1453">
        <v>2025</v>
      </c>
      <c r="C1453">
        <v>0.87</v>
      </c>
      <c r="D1453">
        <v>0.57999999999999996</v>
      </c>
      <c r="E1453">
        <v>0.79</v>
      </c>
      <c r="F1453">
        <v>0.9</v>
      </c>
      <c r="G1453">
        <v>0.56999999999999995</v>
      </c>
      <c r="H1453">
        <v>0.3</v>
      </c>
      <c r="I1453">
        <v>339</v>
      </c>
      <c r="J1453">
        <v>13</v>
      </c>
      <c r="K1453">
        <v>0.76</v>
      </c>
      <c r="L1453" t="s">
        <v>13</v>
      </c>
    </row>
    <row r="1454" spans="1:12" x14ac:dyDescent="0.3">
      <c r="A1454">
        <v>1</v>
      </c>
      <c r="B1454">
        <v>2025</v>
      </c>
      <c r="C1454">
        <v>0.44</v>
      </c>
      <c r="D1454">
        <v>0.6</v>
      </c>
      <c r="E1454">
        <v>0.74</v>
      </c>
      <c r="F1454">
        <v>0.72</v>
      </c>
      <c r="G1454">
        <v>0.66</v>
      </c>
      <c r="H1454">
        <v>0.17</v>
      </c>
      <c r="I1454">
        <v>322</v>
      </c>
      <c r="J1454">
        <v>7</v>
      </c>
      <c r="K1454">
        <v>0.6</v>
      </c>
      <c r="L1454" t="s">
        <v>12</v>
      </c>
    </row>
    <row r="1455" spans="1:12" x14ac:dyDescent="0.3">
      <c r="A1455">
        <v>1</v>
      </c>
      <c r="B1455">
        <v>2025</v>
      </c>
      <c r="C1455">
        <v>0.81</v>
      </c>
      <c r="D1455">
        <v>0.57999999999999996</v>
      </c>
      <c r="E1455">
        <v>0.77</v>
      </c>
      <c r="F1455">
        <v>0.77</v>
      </c>
      <c r="G1455">
        <v>0.49</v>
      </c>
      <c r="H1455">
        <v>0.97</v>
      </c>
      <c r="I1455">
        <v>101</v>
      </c>
      <c r="J1455">
        <v>0</v>
      </c>
      <c r="K1455">
        <v>0.71</v>
      </c>
      <c r="L1455" t="s">
        <v>13</v>
      </c>
    </row>
    <row r="1456" spans="1:12" x14ac:dyDescent="0.3">
      <c r="A1456">
        <v>2</v>
      </c>
      <c r="B1456">
        <v>2025</v>
      </c>
      <c r="C1456">
        <v>0.78</v>
      </c>
      <c r="D1456">
        <v>0.45</v>
      </c>
      <c r="E1456">
        <v>0.56999999999999995</v>
      </c>
      <c r="F1456">
        <v>0.6</v>
      </c>
      <c r="G1456">
        <v>0.38</v>
      </c>
      <c r="H1456">
        <v>0.47</v>
      </c>
      <c r="I1456">
        <v>87</v>
      </c>
      <c r="J1456">
        <v>2</v>
      </c>
      <c r="K1456">
        <v>0.59</v>
      </c>
      <c r="L1456" t="s">
        <v>12</v>
      </c>
    </row>
    <row r="1457" spans="1:12" x14ac:dyDescent="0.3">
      <c r="A1457">
        <v>2</v>
      </c>
      <c r="B1457">
        <v>2025</v>
      </c>
      <c r="C1457">
        <v>0.47</v>
      </c>
      <c r="D1457">
        <v>0.99</v>
      </c>
      <c r="E1457">
        <v>0.69</v>
      </c>
      <c r="F1457">
        <v>0.89</v>
      </c>
      <c r="G1457">
        <v>0.78</v>
      </c>
      <c r="H1457">
        <v>0.21</v>
      </c>
      <c r="I1457">
        <v>468</v>
      </c>
      <c r="J1457">
        <v>15</v>
      </c>
      <c r="K1457">
        <v>0.74</v>
      </c>
      <c r="L1457" t="s">
        <v>13</v>
      </c>
    </row>
    <row r="1458" spans="1:12" x14ac:dyDescent="0.3">
      <c r="A1458">
        <v>2</v>
      </c>
      <c r="B1458">
        <v>2025</v>
      </c>
      <c r="C1458">
        <v>0.41</v>
      </c>
      <c r="D1458">
        <v>0.64</v>
      </c>
      <c r="E1458">
        <v>0.68</v>
      </c>
      <c r="F1458">
        <v>0.82</v>
      </c>
      <c r="G1458">
        <v>0.77</v>
      </c>
      <c r="H1458">
        <v>0.98</v>
      </c>
      <c r="I1458">
        <v>152</v>
      </c>
      <c r="J1458">
        <v>8</v>
      </c>
      <c r="K1458">
        <v>0.62</v>
      </c>
      <c r="L1458" t="s">
        <v>12</v>
      </c>
    </row>
    <row r="1459" spans="1:12" x14ac:dyDescent="0.3">
      <c r="A1459">
        <v>3</v>
      </c>
      <c r="B1459">
        <v>2025</v>
      </c>
      <c r="C1459">
        <v>0.71</v>
      </c>
      <c r="D1459">
        <v>0.84</v>
      </c>
      <c r="E1459">
        <v>0.88</v>
      </c>
      <c r="F1459">
        <v>0.75</v>
      </c>
      <c r="G1459">
        <v>0.47</v>
      </c>
      <c r="H1459">
        <v>0.21</v>
      </c>
      <c r="I1459">
        <v>50</v>
      </c>
      <c r="J1459">
        <v>18</v>
      </c>
      <c r="K1459">
        <v>0.76</v>
      </c>
      <c r="L1459" t="s">
        <v>13</v>
      </c>
    </row>
    <row r="1460" spans="1:12" x14ac:dyDescent="0.3">
      <c r="A1460">
        <v>3</v>
      </c>
      <c r="B1460">
        <v>2025</v>
      </c>
      <c r="C1460">
        <v>0.34</v>
      </c>
      <c r="D1460">
        <v>0.98</v>
      </c>
      <c r="E1460">
        <v>0.94</v>
      </c>
      <c r="F1460">
        <v>0.97</v>
      </c>
      <c r="G1460">
        <v>1</v>
      </c>
      <c r="H1460">
        <v>0.17</v>
      </c>
      <c r="I1460">
        <v>468</v>
      </c>
      <c r="J1460">
        <v>17</v>
      </c>
      <c r="K1460">
        <v>0.78</v>
      </c>
      <c r="L1460" t="s">
        <v>13</v>
      </c>
    </row>
    <row r="1461" spans="1:12" x14ac:dyDescent="0.3">
      <c r="A1461">
        <v>3</v>
      </c>
      <c r="B1461">
        <v>2025</v>
      </c>
      <c r="C1461">
        <v>0.93</v>
      </c>
      <c r="D1461">
        <v>0.56999999999999995</v>
      </c>
      <c r="E1461">
        <v>0.99</v>
      </c>
      <c r="F1461">
        <v>0.66</v>
      </c>
      <c r="G1461">
        <v>0.44</v>
      </c>
      <c r="H1461">
        <v>0.18</v>
      </c>
      <c r="I1461">
        <v>150</v>
      </c>
      <c r="J1461">
        <v>15</v>
      </c>
      <c r="K1461">
        <v>0.76</v>
      </c>
      <c r="L1461" t="s">
        <v>13</v>
      </c>
    </row>
    <row r="1462" spans="1:12" x14ac:dyDescent="0.3">
      <c r="A1462">
        <v>3</v>
      </c>
      <c r="B1462">
        <v>2025</v>
      </c>
      <c r="C1462">
        <v>0.34</v>
      </c>
      <c r="D1462">
        <v>0.83</v>
      </c>
      <c r="E1462">
        <v>0.74</v>
      </c>
      <c r="F1462">
        <v>0.94</v>
      </c>
      <c r="G1462">
        <v>0.56999999999999995</v>
      </c>
      <c r="H1462">
        <v>0.17</v>
      </c>
      <c r="I1462">
        <v>380</v>
      </c>
      <c r="J1462">
        <v>9</v>
      </c>
      <c r="K1462">
        <v>0.66</v>
      </c>
      <c r="L1462" t="s">
        <v>12</v>
      </c>
    </row>
    <row r="1463" spans="1:12" x14ac:dyDescent="0.3">
      <c r="A1463">
        <v>3</v>
      </c>
      <c r="B1463">
        <v>2025</v>
      </c>
      <c r="C1463">
        <v>0.77</v>
      </c>
      <c r="D1463">
        <v>0.42</v>
      </c>
      <c r="E1463">
        <v>0.7</v>
      </c>
      <c r="F1463">
        <v>0.92</v>
      </c>
      <c r="G1463">
        <v>0.86</v>
      </c>
      <c r="H1463">
        <v>0.72</v>
      </c>
      <c r="I1463">
        <v>427</v>
      </c>
      <c r="J1463">
        <v>19</v>
      </c>
      <c r="K1463">
        <v>0.7</v>
      </c>
      <c r="L1463" t="s">
        <v>12</v>
      </c>
    </row>
    <row r="1464" spans="1:12" x14ac:dyDescent="0.3">
      <c r="A1464">
        <v>3</v>
      </c>
      <c r="B1464">
        <v>2025</v>
      </c>
      <c r="C1464">
        <v>0.59</v>
      </c>
      <c r="D1464">
        <v>0.41</v>
      </c>
      <c r="E1464">
        <v>0.52</v>
      </c>
      <c r="F1464">
        <v>0.87</v>
      </c>
      <c r="G1464">
        <v>0.89</v>
      </c>
      <c r="H1464">
        <v>0.71</v>
      </c>
      <c r="I1464">
        <v>167</v>
      </c>
      <c r="J1464">
        <v>15</v>
      </c>
      <c r="K1464">
        <v>0.6</v>
      </c>
      <c r="L1464" t="s">
        <v>12</v>
      </c>
    </row>
    <row r="1465" spans="1:12" x14ac:dyDescent="0.3">
      <c r="A1465">
        <v>4</v>
      </c>
      <c r="B1465">
        <v>2025</v>
      </c>
      <c r="C1465">
        <v>0.63</v>
      </c>
      <c r="D1465">
        <v>1</v>
      </c>
      <c r="E1465">
        <v>0.53</v>
      </c>
      <c r="F1465">
        <v>0.6</v>
      </c>
      <c r="G1465">
        <v>0.75</v>
      </c>
      <c r="H1465">
        <v>0.3</v>
      </c>
      <c r="I1465">
        <v>377</v>
      </c>
      <c r="J1465">
        <v>18</v>
      </c>
      <c r="K1465">
        <v>0.71</v>
      </c>
      <c r="L1465" t="s">
        <v>13</v>
      </c>
    </row>
    <row r="1466" spans="1:12" x14ac:dyDescent="0.3">
      <c r="A1466">
        <v>4</v>
      </c>
      <c r="B1466">
        <v>2025</v>
      </c>
      <c r="C1466">
        <v>0.94</v>
      </c>
      <c r="D1466">
        <v>0.55000000000000004</v>
      </c>
      <c r="E1466">
        <v>0.92</v>
      </c>
      <c r="F1466">
        <v>0.79</v>
      </c>
      <c r="G1466">
        <v>0.66</v>
      </c>
      <c r="H1466">
        <v>0.31</v>
      </c>
      <c r="I1466">
        <v>261</v>
      </c>
      <c r="J1466">
        <v>5</v>
      </c>
      <c r="K1466">
        <v>0.79</v>
      </c>
      <c r="L1466" t="s">
        <v>13</v>
      </c>
    </row>
    <row r="1467" spans="1:12" x14ac:dyDescent="0.3">
      <c r="A1467">
        <v>5</v>
      </c>
      <c r="B1467">
        <v>2025</v>
      </c>
      <c r="C1467">
        <v>0.83</v>
      </c>
      <c r="D1467">
        <v>0.89</v>
      </c>
      <c r="E1467">
        <v>0.94</v>
      </c>
      <c r="F1467">
        <v>0.82</v>
      </c>
      <c r="G1467">
        <v>0.44</v>
      </c>
      <c r="H1467">
        <v>0.26</v>
      </c>
      <c r="I1467">
        <v>417</v>
      </c>
      <c r="J1467">
        <v>18</v>
      </c>
      <c r="K1467">
        <v>0.83</v>
      </c>
      <c r="L1467" t="s">
        <v>13</v>
      </c>
    </row>
    <row r="1468" spans="1:12" x14ac:dyDescent="0.3">
      <c r="A1468">
        <v>5</v>
      </c>
      <c r="B1468">
        <v>2025</v>
      </c>
      <c r="C1468">
        <v>0.98</v>
      </c>
      <c r="D1468">
        <v>0.98</v>
      </c>
      <c r="E1468">
        <v>0.57999999999999996</v>
      </c>
      <c r="F1468">
        <v>0.72</v>
      </c>
      <c r="G1468">
        <v>0.37</v>
      </c>
      <c r="H1468">
        <v>0.27</v>
      </c>
      <c r="I1468">
        <v>180</v>
      </c>
      <c r="J1468">
        <v>8</v>
      </c>
      <c r="K1468">
        <v>0.8</v>
      </c>
      <c r="L1468" t="s">
        <v>13</v>
      </c>
    </row>
    <row r="1469" spans="1:12" x14ac:dyDescent="0.3">
      <c r="A1469">
        <v>5</v>
      </c>
      <c r="B1469">
        <v>2025</v>
      </c>
      <c r="C1469">
        <v>0.52</v>
      </c>
      <c r="D1469">
        <v>0.48</v>
      </c>
      <c r="E1469">
        <v>0.6</v>
      </c>
      <c r="F1469">
        <v>0.84</v>
      </c>
      <c r="G1469">
        <v>0.34</v>
      </c>
      <c r="H1469">
        <v>0.86</v>
      </c>
      <c r="I1469">
        <v>77</v>
      </c>
      <c r="J1469">
        <v>13</v>
      </c>
      <c r="K1469">
        <v>0.56000000000000005</v>
      </c>
      <c r="L1469" t="s">
        <v>12</v>
      </c>
    </row>
    <row r="1470" spans="1:12" x14ac:dyDescent="0.3">
      <c r="A1470">
        <v>5</v>
      </c>
      <c r="B1470">
        <v>2025</v>
      </c>
      <c r="C1470">
        <v>0.98</v>
      </c>
      <c r="D1470">
        <v>0.89</v>
      </c>
      <c r="E1470">
        <v>0.6</v>
      </c>
      <c r="F1470">
        <v>0.67</v>
      </c>
      <c r="G1470">
        <v>0.39</v>
      </c>
      <c r="H1470">
        <v>0.14000000000000001</v>
      </c>
      <c r="I1470">
        <v>52</v>
      </c>
      <c r="J1470">
        <v>11</v>
      </c>
      <c r="K1470">
        <v>0.78</v>
      </c>
      <c r="L1470" t="s">
        <v>13</v>
      </c>
    </row>
    <row r="1471" spans="1:12" x14ac:dyDescent="0.3">
      <c r="A1471">
        <v>5</v>
      </c>
      <c r="B1471">
        <v>2025</v>
      </c>
      <c r="C1471">
        <v>0.3</v>
      </c>
      <c r="D1471">
        <v>0.93</v>
      </c>
      <c r="E1471">
        <v>0.64</v>
      </c>
      <c r="F1471">
        <v>0.87</v>
      </c>
      <c r="G1471">
        <v>0.86</v>
      </c>
      <c r="H1471">
        <v>0.16</v>
      </c>
      <c r="I1471">
        <v>349</v>
      </c>
      <c r="J1471">
        <v>9</v>
      </c>
      <c r="K1471">
        <v>0.67</v>
      </c>
      <c r="L1471" t="s">
        <v>12</v>
      </c>
    </row>
    <row r="1472" spans="1:12" x14ac:dyDescent="0.3">
      <c r="A1472">
        <v>5</v>
      </c>
      <c r="B1472">
        <v>2025</v>
      </c>
      <c r="C1472">
        <v>0.39</v>
      </c>
      <c r="D1472">
        <v>0.97</v>
      </c>
      <c r="E1472">
        <v>0.86</v>
      </c>
      <c r="F1472">
        <v>0.9</v>
      </c>
      <c r="G1472">
        <v>0.65</v>
      </c>
      <c r="H1472">
        <v>0.47</v>
      </c>
      <c r="I1472">
        <v>112</v>
      </c>
      <c r="J1472">
        <v>1</v>
      </c>
      <c r="K1472">
        <v>0.73</v>
      </c>
      <c r="L1472" t="s">
        <v>13</v>
      </c>
    </row>
    <row r="1473" spans="1:12" x14ac:dyDescent="0.3">
      <c r="A1473">
        <v>6</v>
      </c>
      <c r="B1473">
        <v>2025</v>
      </c>
      <c r="C1473">
        <v>0.6</v>
      </c>
      <c r="D1473">
        <v>0.77</v>
      </c>
      <c r="E1473">
        <v>0.54</v>
      </c>
      <c r="F1473">
        <v>0.64</v>
      </c>
      <c r="G1473">
        <v>0.42</v>
      </c>
      <c r="H1473">
        <v>0.52</v>
      </c>
      <c r="I1473">
        <v>293</v>
      </c>
      <c r="J1473">
        <v>17</v>
      </c>
      <c r="K1473">
        <v>0.62</v>
      </c>
      <c r="L1473" t="s">
        <v>12</v>
      </c>
    </row>
    <row r="1474" spans="1:12" x14ac:dyDescent="0.3">
      <c r="A1474">
        <v>6</v>
      </c>
      <c r="B1474">
        <v>2025</v>
      </c>
      <c r="C1474">
        <v>0.6</v>
      </c>
      <c r="D1474">
        <v>0.9</v>
      </c>
      <c r="E1474">
        <v>0.51</v>
      </c>
      <c r="F1474">
        <v>0.87</v>
      </c>
      <c r="G1474">
        <v>0.95</v>
      </c>
      <c r="H1474">
        <v>0.24</v>
      </c>
      <c r="I1474">
        <v>462</v>
      </c>
      <c r="J1474">
        <v>3</v>
      </c>
      <c r="K1474">
        <v>0.73</v>
      </c>
      <c r="L1474" t="s">
        <v>13</v>
      </c>
    </row>
    <row r="1475" spans="1:12" x14ac:dyDescent="0.3">
      <c r="A1475">
        <v>7</v>
      </c>
      <c r="B1475">
        <v>2025</v>
      </c>
      <c r="C1475">
        <v>0.46</v>
      </c>
      <c r="D1475">
        <v>0.64</v>
      </c>
      <c r="E1475">
        <v>0.95</v>
      </c>
      <c r="F1475">
        <v>0.66</v>
      </c>
      <c r="G1475">
        <v>0.66</v>
      </c>
      <c r="H1475">
        <v>0.23</v>
      </c>
      <c r="I1475">
        <v>185</v>
      </c>
      <c r="J1475">
        <v>15</v>
      </c>
      <c r="K1475">
        <v>0.65</v>
      </c>
      <c r="L1475" t="s">
        <v>12</v>
      </c>
    </row>
    <row r="1476" spans="1:12" x14ac:dyDescent="0.3">
      <c r="A1476">
        <v>7</v>
      </c>
      <c r="B1476">
        <v>2025</v>
      </c>
      <c r="C1476">
        <v>0.94</v>
      </c>
      <c r="D1476">
        <v>0.94</v>
      </c>
      <c r="E1476">
        <v>0.72</v>
      </c>
      <c r="F1476">
        <v>0.71</v>
      </c>
      <c r="G1476">
        <v>0.57999999999999996</v>
      </c>
      <c r="H1476">
        <v>0.39</v>
      </c>
      <c r="I1476">
        <v>437</v>
      </c>
      <c r="J1476">
        <v>1</v>
      </c>
      <c r="K1476">
        <v>0.83</v>
      </c>
      <c r="L1476" t="s">
        <v>13</v>
      </c>
    </row>
    <row r="1477" spans="1:12" x14ac:dyDescent="0.3">
      <c r="A1477">
        <v>7</v>
      </c>
      <c r="B1477">
        <v>2025</v>
      </c>
      <c r="C1477">
        <v>0.91</v>
      </c>
      <c r="D1477">
        <v>0.42</v>
      </c>
      <c r="E1477">
        <v>0.78</v>
      </c>
      <c r="F1477">
        <v>0.69</v>
      </c>
      <c r="G1477">
        <v>0.54</v>
      </c>
      <c r="H1477">
        <v>0.78</v>
      </c>
      <c r="I1477">
        <v>64</v>
      </c>
      <c r="J1477">
        <v>8</v>
      </c>
      <c r="K1477">
        <v>0.69</v>
      </c>
      <c r="L1477" t="s">
        <v>12</v>
      </c>
    </row>
    <row r="1478" spans="1:12" x14ac:dyDescent="0.3">
      <c r="A1478">
        <v>7</v>
      </c>
      <c r="B1478">
        <v>2025</v>
      </c>
      <c r="C1478">
        <v>0.92</v>
      </c>
      <c r="D1478">
        <v>0.98</v>
      </c>
      <c r="E1478">
        <v>0.66</v>
      </c>
      <c r="F1478">
        <v>0.92</v>
      </c>
      <c r="G1478">
        <v>0.45</v>
      </c>
      <c r="H1478">
        <v>0.55000000000000004</v>
      </c>
      <c r="I1478">
        <v>349</v>
      </c>
      <c r="J1478">
        <v>1</v>
      </c>
      <c r="K1478">
        <v>0.84</v>
      </c>
      <c r="L1478" t="s">
        <v>13</v>
      </c>
    </row>
    <row r="1479" spans="1:12" x14ac:dyDescent="0.3">
      <c r="A1479">
        <v>7</v>
      </c>
      <c r="B1479">
        <v>2025</v>
      </c>
      <c r="C1479">
        <v>0.47</v>
      </c>
      <c r="D1479">
        <v>0.46</v>
      </c>
      <c r="E1479">
        <v>0.85</v>
      </c>
      <c r="F1479">
        <v>0.61</v>
      </c>
      <c r="G1479">
        <v>0.73</v>
      </c>
      <c r="H1479">
        <v>0.14000000000000001</v>
      </c>
      <c r="I1479">
        <v>245</v>
      </c>
      <c r="J1479">
        <v>11</v>
      </c>
      <c r="K1479">
        <v>0.59</v>
      </c>
      <c r="L1479" t="s">
        <v>12</v>
      </c>
    </row>
    <row r="1480" spans="1:12" x14ac:dyDescent="0.3">
      <c r="A1480">
        <v>9</v>
      </c>
      <c r="B1480">
        <v>2025</v>
      </c>
      <c r="C1480">
        <v>0.48</v>
      </c>
      <c r="D1480">
        <v>0.68</v>
      </c>
      <c r="E1480">
        <v>0.61</v>
      </c>
      <c r="F1480">
        <v>0.9</v>
      </c>
      <c r="G1480">
        <v>0.94</v>
      </c>
      <c r="H1480">
        <v>0.42</v>
      </c>
      <c r="I1480">
        <v>203</v>
      </c>
      <c r="J1480">
        <v>13</v>
      </c>
      <c r="K1480">
        <v>0.66</v>
      </c>
      <c r="L1480" t="s">
        <v>12</v>
      </c>
    </row>
    <row r="1481" spans="1:12" x14ac:dyDescent="0.3">
      <c r="A1481">
        <v>9</v>
      </c>
      <c r="B1481">
        <v>2025</v>
      </c>
      <c r="C1481">
        <v>0.87</v>
      </c>
      <c r="D1481">
        <v>0.64</v>
      </c>
      <c r="E1481">
        <v>0.97</v>
      </c>
      <c r="F1481">
        <v>0.76</v>
      </c>
      <c r="G1481">
        <v>0.84</v>
      </c>
      <c r="H1481">
        <v>0.48</v>
      </c>
      <c r="I1481">
        <v>478</v>
      </c>
      <c r="J1481">
        <v>16</v>
      </c>
      <c r="K1481">
        <v>0.81</v>
      </c>
      <c r="L1481" t="s">
        <v>13</v>
      </c>
    </row>
    <row r="1482" spans="1:12" x14ac:dyDescent="0.3">
      <c r="A1482">
        <v>9</v>
      </c>
      <c r="B1482">
        <v>2025</v>
      </c>
      <c r="C1482">
        <v>0.62</v>
      </c>
      <c r="D1482">
        <v>0.83</v>
      </c>
      <c r="E1482">
        <v>0.55000000000000004</v>
      </c>
      <c r="F1482">
        <v>0.94</v>
      </c>
      <c r="G1482">
        <v>0.82</v>
      </c>
      <c r="H1482">
        <v>0.21</v>
      </c>
      <c r="I1482">
        <v>273</v>
      </c>
      <c r="J1482">
        <v>7</v>
      </c>
      <c r="K1482">
        <v>0.73</v>
      </c>
      <c r="L1482" t="s">
        <v>13</v>
      </c>
    </row>
    <row r="1483" spans="1:12" x14ac:dyDescent="0.3">
      <c r="A1483">
        <v>9</v>
      </c>
      <c r="B1483">
        <v>2025</v>
      </c>
      <c r="C1483">
        <v>0.69</v>
      </c>
      <c r="D1483">
        <v>0.72</v>
      </c>
      <c r="E1483">
        <v>0.86</v>
      </c>
      <c r="F1483">
        <v>0.61</v>
      </c>
      <c r="G1483">
        <v>0.78</v>
      </c>
      <c r="H1483">
        <v>0.93</v>
      </c>
      <c r="I1483">
        <v>165</v>
      </c>
      <c r="J1483">
        <v>9</v>
      </c>
      <c r="K1483">
        <v>0.73</v>
      </c>
      <c r="L1483" t="s">
        <v>13</v>
      </c>
    </row>
    <row r="1484" spans="1:12" x14ac:dyDescent="0.3">
      <c r="A1484">
        <v>10</v>
      </c>
      <c r="B1484">
        <v>2025</v>
      </c>
      <c r="C1484">
        <v>0.91</v>
      </c>
      <c r="D1484">
        <v>0.61</v>
      </c>
      <c r="E1484">
        <v>0.91</v>
      </c>
      <c r="F1484">
        <v>0.64</v>
      </c>
      <c r="G1484">
        <v>0.89</v>
      </c>
      <c r="H1484">
        <v>0.13</v>
      </c>
      <c r="I1484">
        <v>233</v>
      </c>
      <c r="J1484">
        <v>14</v>
      </c>
      <c r="K1484">
        <v>0.79</v>
      </c>
      <c r="L1484" t="s">
        <v>13</v>
      </c>
    </row>
    <row r="1485" spans="1:12" x14ac:dyDescent="0.3">
      <c r="A1485">
        <v>10</v>
      </c>
      <c r="B1485">
        <v>2025</v>
      </c>
      <c r="C1485">
        <v>0.66</v>
      </c>
      <c r="D1485">
        <v>0.77</v>
      </c>
      <c r="E1485">
        <v>0.62</v>
      </c>
      <c r="F1485">
        <v>0.79</v>
      </c>
      <c r="G1485">
        <v>0.6</v>
      </c>
      <c r="H1485">
        <v>7.0000000000000007E-2</v>
      </c>
      <c r="I1485">
        <v>362</v>
      </c>
      <c r="J1485">
        <v>19</v>
      </c>
      <c r="K1485">
        <v>0.69</v>
      </c>
      <c r="L1485" t="s">
        <v>12</v>
      </c>
    </row>
    <row r="1486" spans="1:12" x14ac:dyDescent="0.3">
      <c r="A1486">
        <v>10</v>
      </c>
      <c r="B1486">
        <v>2025</v>
      </c>
      <c r="C1486">
        <v>0.51</v>
      </c>
      <c r="D1486">
        <v>0.43</v>
      </c>
      <c r="E1486">
        <v>0.73</v>
      </c>
      <c r="F1486">
        <v>0.94</v>
      </c>
      <c r="G1486">
        <v>0.95</v>
      </c>
      <c r="H1486">
        <v>0.93</v>
      </c>
      <c r="I1486">
        <v>340</v>
      </c>
      <c r="J1486">
        <v>5</v>
      </c>
      <c r="K1486">
        <v>0.64</v>
      </c>
      <c r="L1486" t="s">
        <v>12</v>
      </c>
    </row>
    <row r="1487" spans="1:12" x14ac:dyDescent="0.3">
      <c r="A1487">
        <v>10</v>
      </c>
      <c r="B1487">
        <v>2025</v>
      </c>
      <c r="C1487">
        <v>0.64</v>
      </c>
      <c r="D1487">
        <v>0.98</v>
      </c>
      <c r="E1487">
        <v>0.5</v>
      </c>
      <c r="F1487">
        <v>0.96</v>
      </c>
      <c r="G1487">
        <v>0.95</v>
      </c>
      <c r="H1487">
        <v>0.96</v>
      </c>
      <c r="I1487">
        <v>215</v>
      </c>
      <c r="J1487">
        <v>14</v>
      </c>
      <c r="K1487">
        <v>0.78</v>
      </c>
      <c r="L1487" t="s">
        <v>13</v>
      </c>
    </row>
    <row r="1488" spans="1:12" x14ac:dyDescent="0.3">
      <c r="A1488">
        <v>10</v>
      </c>
      <c r="B1488">
        <v>2025</v>
      </c>
      <c r="C1488">
        <v>0.95</v>
      </c>
      <c r="D1488">
        <v>0.8</v>
      </c>
      <c r="E1488">
        <v>0.97</v>
      </c>
      <c r="F1488">
        <v>0.76</v>
      </c>
      <c r="G1488">
        <v>0.97</v>
      </c>
      <c r="H1488">
        <v>0.7</v>
      </c>
      <c r="I1488">
        <v>181</v>
      </c>
      <c r="J1488">
        <v>19</v>
      </c>
      <c r="K1488">
        <v>0.89</v>
      </c>
      <c r="L1488" t="s">
        <v>13</v>
      </c>
    </row>
    <row r="1489" spans="1:12" x14ac:dyDescent="0.3">
      <c r="A1489">
        <v>10</v>
      </c>
      <c r="B1489">
        <v>2025</v>
      </c>
      <c r="C1489">
        <v>0.7</v>
      </c>
      <c r="D1489">
        <v>0.52</v>
      </c>
      <c r="E1489">
        <v>0.83</v>
      </c>
      <c r="F1489">
        <v>0.87</v>
      </c>
      <c r="G1489">
        <v>0.95</v>
      </c>
      <c r="H1489">
        <v>0.15</v>
      </c>
      <c r="I1489">
        <v>404</v>
      </c>
      <c r="J1489">
        <v>1</v>
      </c>
      <c r="K1489">
        <v>0.73</v>
      </c>
      <c r="L1489" t="s">
        <v>13</v>
      </c>
    </row>
    <row r="1490" spans="1:12" x14ac:dyDescent="0.3">
      <c r="A1490">
        <v>10</v>
      </c>
      <c r="B1490">
        <v>2025</v>
      </c>
      <c r="C1490">
        <v>0.96</v>
      </c>
      <c r="D1490">
        <v>0.91</v>
      </c>
      <c r="E1490">
        <v>0.96</v>
      </c>
      <c r="F1490">
        <v>0.78</v>
      </c>
      <c r="G1490">
        <v>0.68</v>
      </c>
      <c r="H1490">
        <v>0.74</v>
      </c>
      <c r="I1490">
        <v>178</v>
      </c>
      <c r="J1490">
        <v>8</v>
      </c>
      <c r="K1490">
        <v>0.89</v>
      </c>
      <c r="L1490" t="s">
        <v>13</v>
      </c>
    </row>
    <row r="1491" spans="1:12" x14ac:dyDescent="0.3">
      <c r="A1491">
        <v>11</v>
      </c>
      <c r="B1491">
        <v>2025</v>
      </c>
      <c r="C1491">
        <v>0.61</v>
      </c>
      <c r="D1491">
        <v>0.76</v>
      </c>
      <c r="E1491">
        <v>0.54</v>
      </c>
      <c r="F1491">
        <v>0.85</v>
      </c>
      <c r="G1491">
        <v>0.99</v>
      </c>
      <c r="H1491">
        <v>0.19</v>
      </c>
      <c r="I1491">
        <v>420</v>
      </c>
      <c r="J1491">
        <v>1</v>
      </c>
      <c r="K1491">
        <v>0.71</v>
      </c>
      <c r="L1491" t="s">
        <v>13</v>
      </c>
    </row>
    <row r="1492" spans="1:12" x14ac:dyDescent="0.3">
      <c r="A1492">
        <v>12</v>
      </c>
      <c r="B1492">
        <v>2025</v>
      </c>
      <c r="C1492">
        <v>0.82</v>
      </c>
      <c r="D1492">
        <v>0.73</v>
      </c>
      <c r="E1492">
        <v>0.53</v>
      </c>
      <c r="F1492">
        <v>0.87</v>
      </c>
      <c r="G1492">
        <v>0.63</v>
      </c>
      <c r="H1492">
        <v>0.03</v>
      </c>
      <c r="I1492">
        <v>119</v>
      </c>
      <c r="J1492">
        <v>16</v>
      </c>
      <c r="K1492">
        <v>0.73</v>
      </c>
      <c r="L1492" t="s">
        <v>13</v>
      </c>
    </row>
    <row r="1493" spans="1:12" x14ac:dyDescent="0.3">
      <c r="A1493">
        <v>12</v>
      </c>
      <c r="B1493">
        <v>2025</v>
      </c>
      <c r="C1493">
        <v>0.7</v>
      </c>
      <c r="D1493">
        <v>0.74</v>
      </c>
      <c r="E1493">
        <v>0.75</v>
      </c>
      <c r="F1493">
        <v>0.63</v>
      </c>
      <c r="G1493">
        <v>0.36</v>
      </c>
      <c r="H1493">
        <v>0.6</v>
      </c>
      <c r="I1493">
        <v>447</v>
      </c>
      <c r="J1493">
        <v>1</v>
      </c>
      <c r="K1493">
        <v>0.68</v>
      </c>
      <c r="L1493" t="s">
        <v>12</v>
      </c>
    </row>
    <row r="1494" spans="1:12" x14ac:dyDescent="0.3">
      <c r="A1494">
        <v>12</v>
      </c>
      <c r="B1494">
        <v>2025</v>
      </c>
      <c r="C1494">
        <v>0.94</v>
      </c>
      <c r="D1494">
        <v>0.49</v>
      </c>
      <c r="E1494">
        <v>0.88</v>
      </c>
      <c r="F1494">
        <v>0.83</v>
      </c>
      <c r="G1494">
        <v>0.49</v>
      </c>
      <c r="H1494">
        <v>0.47</v>
      </c>
      <c r="I1494">
        <v>54</v>
      </c>
      <c r="J1494">
        <v>10</v>
      </c>
      <c r="K1494">
        <v>0.75</v>
      </c>
      <c r="L1494" t="s">
        <v>13</v>
      </c>
    </row>
    <row r="1495" spans="1:12" x14ac:dyDescent="0.3">
      <c r="A1495">
        <v>12</v>
      </c>
      <c r="B1495">
        <v>2025</v>
      </c>
      <c r="C1495">
        <v>0.81</v>
      </c>
      <c r="D1495">
        <v>0.92</v>
      </c>
      <c r="E1495">
        <v>0.6</v>
      </c>
      <c r="F1495">
        <v>0.64</v>
      </c>
      <c r="G1495">
        <v>0.93</v>
      </c>
      <c r="H1495">
        <v>0.35</v>
      </c>
      <c r="I1495">
        <v>276</v>
      </c>
      <c r="J1495">
        <v>9</v>
      </c>
      <c r="K1495">
        <v>0.78</v>
      </c>
      <c r="L1495" t="s">
        <v>13</v>
      </c>
    </row>
    <row r="1496" spans="1:12" x14ac:dyDescent="0.3">
      <c r="A1496">
        <v>12</v>
      </c>
      <c r="B1496">
        <v>2025</v>
      </c>
      <c r="C1496">
        <v>0.98</v>
      </c>
      <c r="D1496">
        <v>0.82</v>
      </c>
      <c r="E1496">
        <v>0.54</v>
      </c>
      <c r="F1496">
        <v>0.68</v>
      </c>
      <c r="G1496">
        <v>0.84</v>
      </c>
      <c r="H1496">
        <v>0.84</v>
      </c>
      <c r="I1496">
        <v>404</v>
      </c>
      <c r="J1496">
        <v>7</v>
      </c>
      <c r="K1496">
        <v>0.79</v>
      </c>
      <c r="L1496" t="s">
        <v>13</v>
      </c>
    </row>
    <row r="1497" spans="1:12" x14ac:dyDescent="0.3">
      <c r="A1497">
        <v>13</v>
      </c>
      <c r="B1497">
        <v>2025</v>
      </c>
      <c r="C1497">
        <v>0.38</v>
      </c>
      <c r="D1497">
        <v>0.56999999999999995</v>
      </c>
      <c r="E1497">
        <v>0.7</v>
      </c>
      <c r="F1497">
        <v>0.97</v>
      </c>
      <c r="G1497">
        <v>1</v>
      </c>
      <c r="H1497">
        <v>0.04</v>
      </c>
      <c r="I1497">
        <v>142</v>
      </c>
      <c r="J1497">
        <v>6</v>
      </c>
      <c r="K1497">
        <v>0.64</v>
      </c>
      <c r="L1497" t="s">
        <v>12</v>
      </c>
    </row>
    <row r="1498" spans="1:12" x14ac:dyDescent="0.3">
      <c r="A1498">
        <v>13</v>
      </c>
      <c r="B1498">
        <v>2025</v>
      </c>
      <c r="C1498">
        <v>0.62</v>
      </c>
      <c r="D1498">
        <v>0.88</v>
      </c>
      <c r="E1498">
        <v>0.92</v>
      </c>
      <c r="F1498">
        <v>0.86</v>
      </c>
      <c r="G1498">
        <v>0.46</v>
      </c>
      <c r="H1498">
        <v>0.27</v>
      </c>
      <c r="I1498">
        <v>51</v>
      </c>
      <c r="J1498">
        <v>17</v>
      </c>
      <c r="K1498">
        <v>0.77</v>
      </c>
      <c r="L1498" t="s">
        <v>13</v>
      </c>
    </row>
    <row r="1499" spans="1:12" x14ac:dyDescent="0.3">
      <c r="A1499">
        <v>13</v>
      </c>
      <c r="B1499">
        <v>2025</v>
      </c>
      <c r="C1499">
        <v>0.86</v>
      </c>
      <c r="D1499">
        <v>0.55000000000000004</v>
      </c>
      <c r="E1499">
        <v>0.81</v>
      </c>
      <c r="F1499">
        <v>0.78</v>
      </c>
      <c r="G1499">
        <v>0.85</v>
      </c>
      <c r="H1499">
        <v>0.31</v>
      </c>
      <c r="I1499">
        <v>178</v>
      </c>
      <c r="J1499">
        <v>5</v>
      </c>
      <c r="K1499">
        <v>0.76</v>
      </c>
      <c r="L1499" t="s">
        <v>13</v>
      </c>
    </row>
    <row r="1500" spans="1:12" x14ac:dyDescent="0.3">
      <c r="A1500">
        <v>14</v>
      </c>
      <c r="B1500">
        <v>2025</v>
      </c>
      <c r="C1500">
        <v>0.81</v>
      </c>
      <c r="D1500">
        <v>0.52</v>
      </c>
      <c r="E1500">
        <v>0.56000000000000005</v>
      </c>
      <c r="F1500">
        <v>0.77</v>
      </c>
      <c r="G1500">
        <v>0.86</v>
      </c>
      <c r="H1500">
        <v>0.75</v>
      </c>
      <c r="I1500">
        <v>421</v>
      </c>
      <c r="J1500">
        <v>6</v>
      </c>
      <c r="K1500">
        <v>0.69</v>
      </c>
      <c r="L1500" t="s">
        <v>12</v>
      </c>
    </row>
    <row r="1501" spans="1:12" x14ac:dyDescent="0.3">
      <c r="A1501">
        <v>14</v>
      </c>
      <c r="B1501">
        <v>2025</v>
      </c>
      <c r="C1501">
        <v>0.46</v>
      </c>
      <c r="D1501">
        <v>0.54</v>
      </c>
      <c r="E1501">
        <v>0.76</v>
      </c>
      <c r="F1501">
        <v>0.91</v>
      </c>
      <c r="G1501">
        <v>0.33</v>
      </c>
      <c r="H1501">
        <v>0.69</v>
      </c>
      <c r="I1501">
        <v>468</v>
      </c>
      <c r="J1501">
        <v>18</v>
      </c>
      <c r="K1501">
        <v>0.59</v>
      </c>
      <c r="L1501" t="s">
        <v>12</v>
      </c>
    </row>
    <row r="1502" spans="1:12" x14ac:dyDescent="0.3">
      <c r="A1502">
        <v>14</v>
      </c>
      <c r="B1502">
        <v>2025</v>
      </c>
      <c r="C1502">
        <v>0.85</v>
      </c>
      <c r="D1502">
        <v>0.75</v>
      </c>
      <c r="E1502">
        <v>0.89</v>
      </c>
      <c r="F1502">
        <v>0.68</v>
      </c>
      <c r="G1502">
        <v>0.34</v>
      </c>
      <c r="H1502">
        <v>0.87</v>
      </c>
      <c r="I1502">
        <v>57</v>
      </c>
      <c r="J1502">
        <v>14</v>
      </c>
      <c r="K1502">
        <v>0.76</v>
      </c>
      <c r="L1502" t="s">
        <v>13</v>
      </c>
    </row>
    <row r="1503" spans="1:12" x14ac:dyDescent="0.3">
      <c r="A1503">
        <v>15</v>
      </c>
      <c r="B1503">
        <v>2025</v>
      </c>
      <c r="C1503">
        <v>0.32</v>
      </c>
      <c r="D1503">
        <v>0.57999999999999996</v>
      </c>
      <c r="E1503">
        <v>0.83</v>
      </c>
      <c r="F1503">
        <v>0.98</v>
      </c>
      <c r="G1503">
        <v>0.91</v>
      </c>
      <c r="H1503">
        <v>0.77</v>
      </c>
      <c r="I1503">
        <v>404</v>
      </c>
      <c r="J1503">
        <v>12</v>
      </c>
      <c r="K1503">
        <v>0.64</v>
      </c>
      <c r="L1503" t="s">
        <v>12</v>
      </c>
    </row>
    <row r="1504" spans="1:12" x14ac:dyDescent="0.3">
      <c r="A1504">
        <v>15</v>
      </c>
      <c r="B1504">
        <v>2025</v>
      </c>
      <c r="C1504">
        <v>0.3</v>
      </c>
      <c r="D1504">
        <v>0.96</v>
      </c>
      <c r="E1504">
        <v>0.91</v>
      </c>
      <c r="F1504">
        <v>0.92</v>
      </c>
      <c r="G1504">
        <v>0.92</v>
      </c>
      <c r="H1504">
        <v>0.7</v>
      </c>
      <c r="I1504">
        <v>240</v>
      </c>
      <c r="J1504">
        <v>7</v>
      </c>
      <c r="K1504">
        <v>0.74</v>
      </c>
      <c r="L1504" t="s">
        <v>13</v>
      </c>
    </row>
    <row r="1505" spans="1:12" x14ac:dyDescent="0.3">
      <c r="A1505">
        <v>15</v>
      </c>
      <c r="B1505">
        <v>2025</v>
      </c>
      <c r="C1505">
        <v>0.96</v>
      </c>
      <c r="D1505">
        <v>0.98</v>
      </c>
      <c r="E1505">
        <v>0.81</v>
      </c>
      <c r="F1505">
        <v>0.97</v>
      </c>
      <c r="G1505">
        <v>0.83</v>
      </c>
      <c r="H1505">
        <v>0.55000000000000004</v>
      </c>
      <c r="I1505">
        <v>351</v>
      </c>
      <c r="J1505">
        <v>12</v>
      </c>
      <c r="K1505">
        <v>0.92</v>
      </c>
      <c r="L1505" t="s">
        <v>13</v>
      </c>
    </row>
    <row r="1506" spans="1:12" x14ac:dyDescent="0.3">
      <c r="A1506">
        <v>15</v>
      </c>
      <c r="B1506">
        <v>2025</v>
      </c>
      <c r="C1506">
        <v>0.31</v>
      </c>
      <c r="D1506">
        <v>0.49</v>
      </c>
      <c r="E1506">
        <v>0.87</v>
      </c>
      <c r="F1506">
        <v>0.7</v>
      </c>
      <c r="G1506">
        <v>0.72</v>
      </c>
      <c r="H1506">
        <v>0.39</v>
      </c>
      <c r="I1506">
        <v>343</v>
      </c>
      <c r="J1506">
        <v>12</v>
      </c>
      <c r="K1506">
        <v>0.56999999999999995</v>
      </c>
      <c r="L1506" t="s">
        <v>12</v>
      </c>
    </row>
    <row r="1507" spans="1:12" x14ac:dyDescent="0.3">
      <c r="A1507">
        <v>15</v>
      </c>
      <c r="B1507">
        <v>2025</v>
      </c>
      <c r="C1507">
        <v>0.57999999999999996</v>
      </c>
      <c r="D1507">
        <v>0.55000000000000004</v>
      </c>
      <c r="E1507">
        <v>0.6</v>
      </c>
      <c r="F1507">
        <v>0.98</v>
      </c>
      <c r="G1507">
        <v>0.94</v>
      </c>
      <c r="H1507">
        <v>0.05</v>
      </c>
      <c r="I1507">
        <v>341</v>
      </c>
      <c r="J1507">
        <v>11</v>
      </c>
      <c r="K1507">
        <v>0.67</v>
      </c>
      <c r="L1507" t="s">
        <v>12</v>
      </c>
    </row>
    <row r="1508" spans="1:12" x14ac:dyDescent="0.3">
      <c r="A1508">
        <v>15</v>
      </c>
      <c r="B1508">
        <v>2025</v>
      </c>
      <c r="C1508">
        <v>0.92</v>
      </c>
      <c r="D1508">
        <v>0.75</v>
      </c>
      <c r="E1508">
        <v>0.61</v>
      </c>
      <c r="F1508">
        <v>0.71</v>
      </c>
      <c r="G1508">
        <v>0.86</v>
      </c>
      <c r="H1508">
        <v>0.04</v>
      </c>
      <c r="I1508">
        <v>292</v>
      </c>
      <c r="J1508">
        <v>15</v>
      </c>
      <c r="K1508">
        <v>0.78</v>
      </c>
      <c r="L1508" t="s">
        <v>13</v>
      </c>
    </row>
    <row r="1509" spans="1:12" x14ac:dyDescent="0.3">
      <c r="A1509">
        <v>15</v>
      </c>
      <c r="B1509">
        <v>2025</v>
      </c>
      <c r="C1509">
        <v>0.91</v>
      </c>
      <c r="D1509">
        <v>0.53</v>
      </c>
      <c r="E1509">
        <v>0.71</v>
      </c>
      <c r="F1509">
        <v>0.98</v>
      </c>
      <c r="G1509">
        <v>0.6</v>
      </c>
      <c r="H1509">
        <v>0.36</v>
      </c>
      <c r="I1509">
        <v>196</v>
      </c>
      <c r="J1509">
        <v>19</v>
      </c>
      <c r="K1509">
        <v>0.75</v>
      </c>
      <c r="L1509" t="s">
        <v>13</v>
      </c>
    </row>
    <row r="1510" spans="1:12" x14ac:dyDescent="0.3">
      <c r="A1510">
        <v>16</v>
      </c>
      <c r="B1510">
        <v>2025</v>
      </c>
      <c r="C1510">
        <v>0.73</v>
      </c>
      <c r="D1510">
        <v>0.54</v>
      </c>
      <c r="E1510">
        <v>0.51</v>
      </c>
      <c r="F1510">
        <v>0.95</v>
      </c>
      <c r="G1510">
        <v>0.31</v>
      </c>
      <c r="H1510">
        <v>0.87</v>
      </c>
      <c r="I1510">
        <v>190</v>
      </c>
      <c r="J1510">
        <v>17</v>
      </c>
      <c r="K1510">
        <v>0.63</v>
      </c>
      <c r="L1510" t="s">
        <v>12</v>
      </c>
    </row>
    <row r="1511" spans="1:12" x14ac:dyDescent="0.3">
      <c r="A1511">
        <v>16</v>
      </c>
      <c r="B1511">
        <v>2025</v>
      </c>
      <c r="C1511">
        <v>0.31</v>
      </c>
      <c r="D1511">
        <v>0.53</v>
      </c>
      <c r="E1511">
        <v>0.81</v>
      </c>
      <c r="F1511">
        <v>0.75</v>
      </c>
      <c r="G1511">
        <v>0.99</v>
      </c>
      <c r="H1511">
        <v>0.03</v>
      </c>
      <c r="I1511">
        <v>365</v>
      </c>
      <c r="J1511">
        <v>15</v>
      </c>
      <c r="K1511">
        <v>0.6</v>
      </c>
      <c r="L1511" t="s">
        <v>12</v>
      </c>
    </row>
    <row r="1512" spans="1:12" x14ac:dyDescent="0.3">
      <c r="A1512">
        <v>16</v>
      </c>
      <c r="B1512">
        <v>2025</v>
      </c>
      <c r="C1512">
        <v>0.94</v>
      </c>
      <c r="D1512">
        <v>0.67</v>
      </c>
      <c r="E1512">
        <v>0.87</v>
      </c>
      <c r="F1512">
        <v>0.82</v>
      </c>
      <c r="G1512">
        <v>0.48</v>
      </c>
      <c r="H1512">
        <v>0.67</v>
      </c>
      <c r="I1512">
        <v>498</v>
      </c>
      <c r="J1512">
        <v>4</v>
      </c>
      <c r="K1512">
        <v>0.79</v>
      </c>
      <c r="L1512" t="s">
        <v>13</v>
      </c>
    </row>
    <row r="1513" spans="1:12" x14ac:dyDescent="0.3">
      <c r="A1513">
        <v>17</v>
      </c>
      <c r="B1513">
        <v>2025</v>
      </c>
      <c r="C1513">
        <v>0.73</v>
      </c>
      <c r="D1513">
        <v>0.57999999999999996</v>
      </c>
      <c r="E1513">
        <v>0.81</v>
      </c>
      <c r="F1513">
        <v>0.81</v>
      </c>
      <c r="G1513">
        <v>0.6</v>
      </c>
      <c r="H1513">
        <v>0.13</v>
      </c>
      <c r="I1513">
        <v>165</v>
      </c>
      <c r="J1513">
        <v>2</v>
      </c>
      <c r="K1513">
        <v>0.71</v>
      </c>
      <c r="L1513" t="s">
        <v>13</v>
      </c>
    </row>
    <row r="1514" spans="1:12" x14ac:dyDescent="0.3">
      <c r="A1514">
        <v>17</v>
      </c>
      <c r="B1514">
        <v>2025</v>
      </c>
      <c r="C1514">
        <v>0.65</v>
      </c>
      <c r="D1514">
        <v>0.63</v>
      </c>
      <c r="E1514">
        <v>0.93</v>
      </c>
      <c r="F1514">
        <v>0.79</v>
      </c>
      <c r="G1514">
        <v>0.38</v>
      </c>
      <c r="H1514">
        <v>0.63</v>
      </c>
      <c r="I1514">
        <v>276</v>
      </c>
      <c r="J1514">
        <v>11</v>
      </c>
      <c r="K1514">
        <v>0.7</v>
      </c>
      <c r="L1514" t="s">
        <v>12</v>
      </c>
    </row>
    <row r="1515" spans="1:12" x14ac:dyDescent="0.3">
      <c r="A1515">
        <v>17</v>
      </c>
      <c r="B1515">
        <v>2025</v>
      </c>
      <c r="C1515">
        <v>0.57999999999999996</v>
      </c>
      <c r="D1515">
        <v>0.86</v>
      </c>
      <c r="E1515">
        <v>0.96</v>
      </c>
      <c r="F1515">
        <v>0.77</v>
      </c>
      <c r="G1515">
        <v>0.6</v>
      </c>
      <c r="H1515">
        <v>0.7</v>
      </c>
      <c r="I1515">
        <v>452</v>
      </c>
      <c r="J1515">
        <v>5</v>
      </c>
      <c r="K1515">
        <v>0.76</v>
      </c>
      <c r="L1515" t="s">
        <v>13</v>
      </c>
    </row>
    <row r="1516" spans="1:12" x14ac:dyDescent="0.3">
      <c r="A1516">
        <v>18</v>
      </c>
      <c r="B1516">
        <v>2025</v>
      </c>
      <c r="C1516">
        <v>0.31</v>
      </c>
      <c r="D1516">
        <v>0.57999999999999996</v>
      </c>
      <c r="E1516">
        <v>0.85</v>
      </c>
      <c r="F1516">
        <v>0.92</v>
      </c>
      <c r="G1516">
        <v>0.51</v>
      </c>
      <c r="H1516">
        <v>0.5</v>
      </c>
      <c r="I1516">
        <v>243</v>
      </c>
      <c r="J1516">
        <v>9</v>
      </c>
      <c r="K1516">
        <v>0.6</v>
      </c>
      <c r="L1516" t="s">
        <v>12</v>
      </c>
    </row>
    <row r="1517" spans="1:12" x14ac:dyDescent="0.3">
      <c r="A1517">
        <v>18</v>
      </c>
      <c r="B1517">
        <v>2025</v>
      </c>
      <c r="C1517">
        <v>0.73</v>
      </c>
      <c r="D1517">
        <v>0.83</v>
      </c>
      <c r="E1517">
        <v>0.69</v>
      </c>
      <c r="F1517">
        <v>0.87</v>
      </c>
      <c r="G1517">
        <v>0.8</v>
      </c>
      <c r="H1517">
        <v>0.94</v>
      </c>
      <c r="I1517">
        <v>332</v>
      </c>
      <c r="J1517">
        <v>9</v>
      </c>
      <c r="K1517">
        <v>0.78</v>
      </c>
      <c r="L1517" t="s">
        <v>13</v>
      </c>
    </row>
    <row r="1518" spans="1:12" x14ac:dyDescent="0.3">
      <c r="A1518">
        <v>19</v>
      </c>
      <c r="B1518">
        <v>2025</v>
      </c>
      <c r="C1518">
        <v>0.98</v>
      </c>
      <c r="D1518">
        <v>0.52</v>
      </c>
      <c r="E1518">
        <v>0.76</v>
      </c>
      <c r="F1518">
        <v>0.71</v>
      </c>
      <c r="G1518">
        <v>0.85</v>
      </c>
      <c r="H1518">
        <v>0.57999999999999996</v>
      </c>
      <c r="I1518">
        <v>134</v>
      </c>
      <c r="J1518">
        <v>7</v>
      </c>
      <c r="K1518">
        <v>0.77</v>
      </c>
      <c r="L1518" t="s">
        <v>13</v>
      </c>
    </row>
    <row r="1519" spans="1:12" x14ac:dyDescent="0.3">
      <c r="A1519">
        <v>21</v>
      </c>
      <c r="B1519">
        <v>2025</v>
      </c>
      <c r="C1519">
        <v>0.76</v>
      </c>
      <c r="D1519">
        <v>0.6</v>
      </c>
      <c r="E1519">
        <v>0.87</v>
      </c>
      <c r="F1519">
        <v>0.82</v>
      </c>
      <c r="G1519">
        <v>0.62</v>
      </c>
      <c r="H1519">
        <v>0.17</v>
      </c>
      <c r="I1519">
        <v>386</v>
      </c>
      <c r="J1519">
        <v>13</v>
      </c>
      <c r="K1519">
        <v>0.74</v>
      </c>
      <c r="L1519" t="s">
        <v>13</v>
      </c>
    </row>
    <row r="1520" spans="1:12" x14ac:dyDescent="0.3">
      <c r="A1520">
        <v>21</v>
      </c>
      <c r="B1520">
        <v>2025</v>
      </c>
      <c r="C1520">
        <v>0.63</v>
      </c>
      <c r="D1520">
        <v>0.97</v>
      </c>
      <c r="E1520">
        <v>0.97</v>
      </c>
      <c r="F1520">
        <v>0.91</v>
      </c>
      <c r="G1520">
        <v>0.72</v>
      </c>
      <c r="H1520">
        <v>0.45</v>
      </c>
      <c r="I1520">
        <v>102</v>
      </c>
      <c r="J1520">
        <v>16</v>
      </c>
      <c r="K1520">
        <v>0.83</v>
      </c>
      <c r="L1520" t="s">
        <v>13</v>
      </c>
    </row>
    <row r="1521" spans="1:12" x14ac:dyDescent="0.3">
      <c r="A1521">
        <v>22</v>
      </c>
      <c r="B1521">
        <v>2025</v>
      </c>
      <c r="C1521">
        <v>0.78</v>
      </c>
      <c r="D1521">
        <v>0.93</v>
      </c>
      <c r="E1521">
        <v>0.6</v>
      </c>
      <c r="F1521">
        <v>0.97</v>
      </c>
      <c r="G1521">
        <v>0.87</v>
      </c>
      <c r="H1521">
        <v>0.98</v>
      </c>
      <c r="I1521">
        <v>100</v>
      </c>
      <c r="J1521">
        <v>0</v>
      </c>
      <c r="K1521">
        <v>0.82</v>
      </c>
      <c r="L1521" t="s">
        <v>13</v>
      </c>
    </row>
    <row r="1522" spans="1:12" x14ac:dyDescent="0.3">
      <c r="A1522">
        <v>22</v>
      </c>
      <c r="B1522">
        <v>2025</v>
      </c>
      <c r="C1522">
        <v>0.85</v>
      </c>
      <c r="D1522">
        <v>0.6</v>
      </c>
      <c r="E1522">
        <v>0.91</v>
      </c>
      <c r="F1522">
        <v>0.65</v>
      </c>
      <c r="G1522">
        <v>0.42</v>
      </c>
      <c r="H1522">
        <v>0.34</v>
      </c>
      <c r="I1522">
        <v>367</v>
      </c>
      <c r="J1522">
        <v>6</v>
      </c>
      <c r="K1522">
        <v>0.73</v>
      </c>
      <c r="L1522" t="s">
        <v>13</v>
      </c>
    </row>
    <row r="1523" spans="1:12" x14ac:dyDescent="0.3">
      <c r="A1523">
        <v>22</v>
      </c>
      <c r="B1523">
        <v>2025</v>
      </c>
      <c r="C1523">
        <v>0.97</v>
      </c>
      <c r="D1523">
        <v>0.71</v>
      </c>
      <c r="E1523">
        <v>0.7</v>
      </c>
      <c r="F1523">
        <v>0.81</v>
      </c>
      <c r="G1523">
        <v>0.85</v>
      </c>
      <c r="H1523">
        <v>0.34</v>
      </c>
      <c r="I1523">
        <v>348</v>
      </c>
      <c r="J1523">
        <v>2</v>
      </c>
      <c r="K1523">
        <v>0.82</v>
      </c>
      <c r="L1523" t="s">
        <v>13</v>
      </c>
    </row>
    <row r="1524" spans="1:12" x14ac:dyDescent="0.3">
      <c r="A1524">
        <v>22</v>
      </c>
      <c r="B1524">
        <v>2025</v>
      </c>
      <c r="C1524">
        <v>0.87</v>
      </c>
      <c r="D1524">
        <v>0.59</v>
      </c>
      <c r="E1524">
        <v>0.99</v>
      </c>
      <c r="F1524">
        <v>0.88</v>
      </c>
      <c r="G1524">
        <v>0.34</v>
      </c>
      <c r="H1524">
        <v>0.04</v>
      </c>
      <c r="I1524">
        <v>180</v>
      </c>
      <c r="J1524">
        <v>16</v>
      </c>
      <c r="K1524">
        <v>0.77</v>
      </c>
      <c r="L1524" t="s">
        <v>13</v>
      </c>
    </row>
    <row r="1525" spans="1:12" x14ac:dyDescent="0.3">
      <c r="A1525">
        <v>22</v>
      </c>
      <c r="B1525">
        <v>2025</v>
      </c>
      <c r="C1525">
        <v>0.85</v>
      </c>
      <c r="D1525">
        <v>0.93</v>
      </c>
      <c r="E1525">
        <v>0.78</v>
      </c>
      <c r="F1525">
        <v>0.74</v>
      </c>
      <c r="G1525">
        <v>0.72</v>
      </c>
      <c r="H1525">
        <v>0.09</v>
      </c>
      <c r="I1525">
        <v>231</v>
      </c>
      <c r="J1525">
        <v>3</v>
      </c>
      <c r="K1525">
        <v>0.83</v>
      </c>
      <c r="L1525" t="s">
        <v>13</v>
      </c>
    </row>
    <row r="1526" spans="1:12" x14ac:dyDescent="0.3">
      <c r="A1526">
        <v>23</v>
      </c>
      <c r="B1526">
        <v>2025</v>
      </c>
      <c r="C1526">
        <v>0.73</v>
      </c>
      <c r="D1526">
        <v>0.82</v>
      </c>
      <c r="E1526">
        <v>0.61</v>
      </c>
      <c r="F1526">
        <v>0.65</v>
      </c>
      <c r="G1526">
        <v>0.31</v>
      </c>
      <c r="H1526">
        <v>0.35</v>
      </c>
      <c r="I1526">
        <v>147</v>
      </c>
      <c r="J1526">
        <v>17</v>
      </c>
      <c r="K1526">
        <v>0.67</v>
      </c>
      <c r="L1526" t="s">
        <v>12</v>
      </c>
    </row>
    <row r="1527" spans="1:12" x14ac:dyDescent="0.3">
      <c r="A1527">
        <v>23</v>
      </c>
      <c r="B1527">
        <v>2025</v>
      </c>
      <c r="C1527">
        <v>0.33</v>
      </c>
      <c r="D1527">
        <v>0.48</v>
      </c>
      <c r="E1527">
        <v>0.88</v>
      </c>
      <c r="F1527">
        <v>0.6</v>
      </c>
      <c r="G1527">
        <v>0.59</v>
      </c>
      <c r="H1527">
        <v>0.52</v>
      </c>
      <c r="I1527">
        <v>406</v>
      </c>
      <c r="J1527">
        <v>9</v>
      </c>
      <c r="K1527">
        <v>0.54</v>
      </c>
      <c r="L1527" t="s">
        <v>12</v>
      </c>
    </row>
    <row r="1528" spans="1:12" x14ac:dyDescent="0.3">
      <c r="A1528">
        <v>23</v>
      </c>
      <c r="B1528">
        <v>2025</v>
      </c>
      <c r="C1528">
        <v>0.71</v>
      </c>
      <c r="D1528">
        <v>0.71</v>
      </c>
      <c r="E1528">
        <v>0.75</v>
      </c>
      <c r="F1528">
        <v>0.73</v>
      </c>
      <c r="G1528">
        <v>0.35</v>
      </c>
      <c r="H1528">
        <v>0.09</v>
      </c>
      <c r="I1528">
        <v>360</v>
      </c>
      <c r="J1528">
        <v>12</v>
      </c>
      <c r="K1528">
        <v>0.68</v>
      </c>
      <c r="L1528" t="s">
        <v>12</v>
      </c>
    </row>
    <row r="1529" spans="1:12" x14ac:dyDescent="0.3">
      <c r="A1529">
        <v>23</v>
      </c>
      <c r="B1529">
        <v>2025</v>
      </c>
      <c r="C1529">
        <v>0.78</v>
      </c>
      <c r="D1529">
        <v>0.99</v>
      </c>
      <c r="E1529">
        <v>0.51</v>
      </c>
      <c r="F1529">
        <v>0.74</v>
      </c>
      <c r="G1529">
        <v>0.38</v>
      </c>
      <c r="H1529">
        <v>0.26</v>
      </c>
      <c r="I1529">
        <v>426</v>
      </c>
      <c r="J1529">
        <v>3</v>
      </c>
      <c r="K1529">
        <v>0.73</v>
      </c>
      <c r="L1529" t="s">
        <v>13</v>
      </c>
    </row>
    <row r="1530" spans="1:12" x14ac:dyDescent="0.3">
      <c r="A1530">
        <v>23</v>
      </c>
      <c r="B1530">
        <v>2025</v>
      </c>
      <c r="C1530">
        <v>0.56000000000000005</v>
      </c>
      <c r="D1530">
        <v>0.46</v>
      </c>
      <c r="E1530">
        <v>0.63</v>
      </c>
      <c r="F1530">
        <v>0.71</v>
      </c>
      <c r="G1530">
        <v>0.8</v>
      </c>
      <c r="H1530">
        <v>0.05</v>
      </c>
      <c r="I1530">
        <v>64</v>
      </c>
      <c r="J1530">
        <v>17</v>
      </c>
      <c r="K1530">
        <v>0.6</v>
      </c>
      <c r="L1530" t="s">
        <v>12</v>
      </c>
    </row>
    <row r="1531" spans="1:12" x14ac:dyDescent="0.3">
      <c r="A1531">
        <v>23</v>
      </c>
      <c r="B1531">
        <v>2025</v>
      </c>
      <c r="C1531">
        <v>0.68</v>
      </c>
      <c r="D1531">
        <v>0.81</v>
      </c>
      <c r="E1531">
        <v>0.97</v>
      </c>
      <c r="F1531">
        <v>0.86</v>
      </c>
      <c r="G1531">
        <v>0.55000000000000004</v>
      </c>
      <c r="H1531">
        <v>0.45</v>
      </c>
      <c r="I1531">
        <v>446</v>
      </c>
      <c r="J1531">
        <v>10</v>
      </c>
      <c r="K1531">
        <v>0.78</v>
      </c>
      <c r="L1531" t="s">
        <v>13</v>
      </c>
    </row>
    <row r="1532" spans="1:12" x14ac:dyDescent="0.3">
      <c r="A1532">
        <v>24</v>
      </c>
      <c r="B1532">
        <v>2025</v>
      </c>
      <c r="C1532">
        <v>0.38</v>
      </c>
      <c r="D1532">
        <v>0.96</v>
      </c>
      <c r="E1532">
        <v>0.89</v>
      </c>
      <c r="F1532">
        <v>0.78</v>
      </c>
      <c r="G1532">
        <v>0.91</v>
      </c>
      <c r="H1532">
        <v>0.25</v>
      </c>
      <c r="I1532">
        <v>224</v>
      </c>
      <c r="J1532">
        <v>1</v>
      </c>
      <c r="K1532">
        <v>0.74</v>
      </c>
      <c r="L1532" t="s">
        <v>13</v>
      </c>
    </row>
    <row r="1533" spans="1:12" x14ac:dyDescent="0.3">
      <c r="A1533">
        <v>24</v>
      </c>
      <c r="B1533">
        <v>2025</v>
      </c>
      <c r="C1533">
        <v>0.71</v>
      </c>
      <c r="D1533">
        <v>0.84</v>
      </c>
      <c r="E1533">
        <v>0.66</v>
      </c>
      <c r="F1533">
        <v>0.61</v>
      </c>
      <c r="G1533">
        <v>0.39</v>
      </c>
      <c r="H1533">
        <v>0.91</v>
      </c>
      <c r="I1533">
        <v>186</v>
      </c>
      <c r="J1533">
        <v>2</v>
      </c>
      <c r="K1533">
        <v>0.69</v>
      </c>
      <c r="L1533" t="s">
        <v>12</v>
      </c>
    </row>
    <row r="1534" spans="1:12" x14ac:dyDescent="0.3">
      <c r="A1534">
        <v>24</v>
      </c>
      <c r="B1534">
        <v>2025</v>
      </c>
      <c r="C1534">
        <v>0.62</v>
      </c>
      <c r="D1534">
        <v>0.52</v>
      </c>
      <c r="E1534">
        <v>0.65</v>
      </c>
      <c r="F1534">
        <v>0.68</v>
      </c>
      <c r="G1534">
        <v>0.84</v>
      </c>
      <c r="H1534">
        <v>0.71</v>
      </c>
      <c r="I1534">
        <v>219</v>
      </c>
      <c r="J1534">
        <v>0</v>
      </c>
      <c r="K1534">
        <v>0.63</v>
      </c>
      <c r="L1534" t="s">
        <v>12</v>
      </c>
    </row>
    <row r="1535" spans="1:12" x14ac:dyDescent="0.3">
      <c r="A1535">
        <v>24</v>
      </c>
      <c r="B1535">
        <v>2025</v>
      </c>
      <c r="C1535">
        <v>0.4</v>
      </c>
      <c r="D1535">
        <v>0.41</v>
      </c>
      <c r="E1535">
        <v>0.81</v>
      </c>
      <c r="F1535">
        <v>0.83</v>
      </c>
      <c r="G1535">
        <v>0.99</v>
      </c>
      <c r="H1535">
        <v>0.89</v>
      </c>
      <c r="I1535">
        <v>225</v>
      </c>
      <c r="J1535">
        <v>12</v>
      </c>
      <c r="K1535">
        <v>0.61</v>
      </c>
      <c r="L1535" t="s">
        <v>12</v>
      </c>
    </row>
    <row r="1536" spans="1:12" x14ac:dyDescent="0.3">
      <c r="A1536">
        <v>24</v>
      </c>
      <c r="B1536">
        <v>2025</v>
      </c>
      <c r="C1536">
        <v>0.99</v>
      </c>
      <c r="D1536">
        <v>0.55000000000000004</v>
      </c>
      <c r="E1536">
        <v>0.82</v>
      </c>
      <c r="F1536">
        <v>0.72</v>
      </c>
      <c r="G1536">
        <v>0.93</v>
      </c>
      <c r="H1536">
        <v>0.59</v>
      </c>
      <c r="I1536">
        <v>171</v>
      </c>
      <c r="J1536">
        <v>10</v>
      </c>
      <c r="K1536">
        <v>0.8</v>
      </c>
      <c r="L1536" t="s">
        <v>13</v>
      </c>
    </row>
    <row r="1537" spans="1:12" x14ac:dyDescent="0.3">
      <c r="A1537">
        <v>25</v>
      </c>
      <c r="B1537">
        <v>2025</v>
      </c>
      <c r="C1537">
        <v>0.9</v>
      </c>
      <c r="D1537">
        <v>0.95</v>
      </c>
      <c r="E1537">
        <v>0.74</v>
      </c>
      <c r="F1537">
        <v>0.84</v>
      </c>
      <c r="G1537">
        <v>0.84</v>
      </c>
      <c r="H1537">
        <v>0.17</v>
      </c>
      <c r="I1537">
        <v>436</v>
      </c>
      <c r="J1537">
        <v>2</v>
      </c>
      <c r="K1537">
        <v>0.87</v>
      </c>
      <c r="L1537" t="s">
        <v>13</v>
      </c>
    </row>
    <row r="1538" spans="1:12" x14ac:dyDescent="0.3">
      <c r="A1538">
        <v>25</v>
      </c>
      <c r="B1538">
        <v>2025</v>
      </c>
      <c r="C1538">
        <v>0.53</v>
      </c>
      <c r="D1538">
        <v>0.71</v>
      </c>
      <c r="E1538">
        <v>0.77</v>
      </c>
      <c r="F1538">
        <v>0.71</v>
      </c>
      <c r="G1538">
        <v>0.94</v>
      </c>
      <c r="H1538">
        <v>0.37</v>
      </c>
      <c r="I1538">
        <v>267</v>
      </c>
      <c r="J1538">
        <v>1</v>
      </c>
      <c r="K1538">
        <v>0.69</v>
      </c>
      <c r="L1538" t="s">
        <v>12</v>
      </c>
    </row>
    <row r="1539" spans="1:12" x14ac:dyDescent="0.3">
      <c r="A1539">
        <v>26</v>
      </c>
      <c r="B1539">
        <v>2025</v>
      </c>
      <c r="C1539">
        <v>0.99</v>
      </c>
      <c r="D1539">
        <v>0.78</v>
      </c>
      <c r="E1539">
        <v>0.57999999999999996</v>
      </c>
      <c r="F1539">
        <v>0.96</v>
      </c>
      <c r="G1539">
        <v>0.66</v>
      </c>
      <c r="H1539">
        <v>0.15</v>
      </c>
      <c r="I1539">
        <v>426</v>
      </c>
      <c r="J1539">
        <v>8</v>
      </c>
      <c r="K1539">
        <v>0.82</v>
      </c>
      <c r="L1539" t="s">
        <v>13</v>
      </c>
    </row>
    <row r="1540" spans="1:12" x14ac:dyDescent="0.3">
      <c r="A1540">
        <v>27</v>
      </c>
      <c r="B1540">
        <v>2025</v>
      </c>
      <c r="C1540">
        <v>0.88</v>
      </c>
      <c r="D1540">
        <v>0.98</v>
      </c>
      <c r="E1540">
        <v>0.67</v>
      </c>
      <c r="F1540">
        <v>0.69</v>
      </c>
      <c r="G1540">
        <v>0.6</v>
      </c>
      <c r="H1540">
        <v>0.28999999999999998</v>
      </c>
      <c r="I1540">
        <v>412</v>
      </c>
      <c r="J1540">
        <v>11</v>
      </c>
      <c r="K1540">
        <v>0.81</v>
      </c>
      <c r="L1540" t="s">
        <v>13</v>
      </c>
    </row>
    <row r="1541" spans="1:12" x14ac:dyDescent="0.3">
      <c r="A1541">
        <v>27</v>
      </c>
      <c r="B1541">
        <v>2025</v>
      </c>
      <c r="C1541">
        <v>0.36</v>
      </c>
      <c r="D1541">
        <v>0.87</v>
      </c>
      <c r="E1541">
        <v>0.92</v>
      </c>
      <c r="F1541">
        <v>0.67</v>
      </c>
      <c r="G1541">
        <v>0.6</v>
      </c>
      <c r="H1541">
        <v>0.17</v>
      </c>
      <c r="I1541">
        <v>72</v>
      </c>
      <c r="J1541">
        <v>4</v>
      </c>
      <c r="K1541">
        <v>0.67</v>
      </c>
      <c r="L1541" t="s">
        <v>12</v>
      </c>
    </row>
    <row r="1542" spans="1:12" x14ac:dyDescent="0.3">
      <c r="A1542">
        <v>27</v>
      </c>
      <c r="B1542">
        <v>2025</v>
      </c>
      <c r="C1542">
        <v>0.75</v>
      </c>
      <c r="D1542">
        <v>0.41</v>
      </c>
      <c r="E1542">
        <v>0.57999999999999996</v>
      </c>
      <c r="F1542">
        <v>0.99</v>
      </c>
      <c r="G1542">
        <v>0.35</v>
      </c>
      <c r="H1542">
        <v>0.68</v>
      </c>
      <c r="I1542">
        <v>130</v>
      </c>
      <c r="J1542">
        <v>12</v>
      </c>
      <c r="K1542">
        <v>0.63</v>
      </c>
      <c r="L1542" t="s">
        <v>12</v>
      </c>
    </row>
    <row r="1543" spans="1:12" x14ac:dyDescent="0.3">
      <c r="A1543">
        <v>27</v>
      </c>
      <c r="B1543">
        <v>2025</v>
      </c>
      <c r="C1543">
        <v>0.61</v>
      </c>
      <c r="D1543">
        <v>0.43</v>
      </c>
      <c r="E1543">
        <v>0.62</v>
      </c>
      <c r="F1543">
        <v>0.91</v>
      </c>
      <c r="G1543">
        <v>0.35</v>
      </c>
      <c r="H1543">
        <v>0.15</v>
      </c>
      <c r="I1543">
        <v>351</v>
      </c>
      <c r="J1543">
        <v>19</v>
      </c>
      <c r="K1543">
        <v>0.59</v>
      </c>
      <c r="L1543" t="s">
        <v>12</v>
      </c>
    </row>
    <row r="1544" spans="1:12" x14ac:dyDescent="0.3">
      <c r="A1544">
        <v>27</v>
      </c>
      <c r="B1544">
        <v>2025</v>
      </c>
      <c r="C1544">
        <v>0.92</v>
      </c>
      <c r="D1544">
        <v>0.78</v>
      </c>
      <c r="E1544">
        <v>0.97</v>
      </c>
      <c r="F1544">
        <v>0.65</v>
      </c>
      <c r="G1544">
        <v>0.36</v>
      </c>
      <c r="H1544">
        <v>0.84</v>
      </c>
      <c r="I1544">
        <v>465</v>
      </c>
      <c r="J1544">
        <v>9</v>
      </c>
      <c r="K1544">
        <v>0.8</v>
      </c>
      <c r="L1544" t="s">
        <v>13</v>
      </c>
    </row>
    <row r="1545" spans="1:12" x14ac:dyDescent="0.3">
      <c r="A1545">
        <v>28</v>
      </c>
      <c r="B1545">
        <v>2025</v>
      </c>
      <c r="C1545">
        <v>0.63</v>
      </c>
      <c r="D1545">
        <v>0.73</v>
      </c>
      <c r="E1545">
        <v>0.61</v>
      </c>
      <c r="F1545">
        <v>0.99</v>
      </c>
      <c r="G1545">
        <v>0.94</v>
      </c>
      <c r="H1545">
        <v>0.72</v>
      </c>
      <c r="I1545">
        <v>222</v>
      </c>
      <c r="J1545">
        <v>14</v>
      </c>
      <c r="K1545">
        <v>0.74</v>
      </c>
      <c r="L1545" t="s">
        <v>13</v>
      </c>
    </row>
    <row r="1546" spans="1:12" x14ac:dyDescent="0.3">
      <c r="A1546">
        <v>28</v>
      </c>
      <c r="B1546">
        <v>2025</v>
      </c>
      <c r="C1546">
        <v>0.65</v>
      </c>
      <c r="D1546">
        <v>0.45</v>
      </c>
      <c r="E1546">
        <v>0.81</v>
      </c>
      <c r="F1546">
        <v>0.74</v>
      </c>
      <c r="G1546">
        <v>0.9</v>
      </c>
      <c r="H1546">
        <v>0.43</v>
      </c>
      <c r="I1546">
        <v>499</v>
      </c>
      <c r="J1546">
        <v>5</v>
      </c>
      <c r="K1546">
        <v>0.67</v>
      </c>
      <c r="L1546" t="s">
        <v>12</v>
      </c>
    </row>
    <row r="1547" spans="1:12" x14ac:dyDescent="0.3">
      <c r="A1547">
        <v>29</v>
      </c>
      <c r="B1547">
        <v>2025</v>
      </c>
      <c r="C1547">
        <v>0.64</v>
      </c>
      <c r="D1547">
        <v>0.65</v>
      </c>
      <c r="E1547">
        <v>0.89</v>
      </c>
      <c r="F1547">
        <v>0.6</v>
      </c>
      <c r="G1547">
        <v>0.72</v>
      </c>
      <c r="H1547">
        <v>0.56999999999999995</v>
      </c>
      <c r="I1547">
        <v>331</v>
      </c>
      <c r="J1547">
        <v>10</v>
      </c>
      <c r="K1547">
        <v>0.69</v>
      </c>
      <c r="L1547" t="s">
        <v>12</v>
      </c>
    </row>
    <row r="1548" spans="1:12" x14ac:dyDescent="0.3">
      <c r="A1548">
        <v>29</v>
      </c>
      <c r="B1548">
        <v>2025</v>
      </c>
      <c r="C1548">
        <v>0.72</v>
      </c>
      <c r="D1548">
        <v>0.49</v>
      </c>
      <c r="E1548">
        <v>0.52</v>
      </c>
      <c r="F1548">
        <v>0.99</v>
      </c>
      <c r="G1548">
        <v>0.84</v>
      </c>
      <c r="H1548">
        <v>0.98</v>
      </c>
      <c r="I1548">
        <v>354</v>
      </c>
      <c r="J1548">
        <v>12</v>
      </c>
      <c r="K1548">
        <v>0.68</v>
      </c>
      <c r="L1548" t="s">
        <v>12</v>
      </c>
    </row>
    <row r="1549" spans="1:12" x14ac:dyDescent="0.3">
      <c r="A1549">
        <v>29</v>
      </c>
      <c r="B1549">
        <v>2025</v>
      </c>
      <c r="C1549">
        <v>0.85</v>
      </c>
      <c r="D1549">
        <v>0.97</v>
      </c>
      <c r="E1549">
        <v>0.87</v>
      </c>
      <c r="F1549">
        <v>0.89</v>
      </c>
      <c r="G1549">
        <v>0.88</v>
      </c>
      <c r="H1549">
        <v>0.45</v>
      </c>
      <c r="I1549">
        <v>118</v>
      </c>
      <c r="J1549">
        <v>0</v>
      </c>
      <c r="K1549">
        <v>0.89</v>
      </c>
      <c r="L1549" t="s">
        <v>13</v>
      </c>
    </row>
    <row r="1550" spans="1:12" x14ac:dyDescent="0.3">
      <c r="A1550">
        <v>29</v>
      </c>
      <c r="B1550">
        <v>2025</v>
      </c>
      <c r="C1550">
        <v>0.59</v>
      </c>
      <c r="D1550">
        <v>0.83</v>
      </c>
      <c r="E1550">
        <v>0.69</v>
      </c>
      <c r="F1550">
        <v>0.8</v>
      </c>
      <c r="G1550">
        <v>0.6</v>
      </c>
      <c r="H1550">
        <v>0.74</v>
      </c>
      <c r="I1550">
        <v>134</v>
      </c>
      <c r="J1550">
        <v>1</v>
      </c>
      <c r="K1550">
        <v>0.7</v>
      </c>
      <c r="L1550" t="s">
        <v>12</v>
      </c>
    </row>
    <row r="1551" spans="1:12" x14ac:dyDescent="0.3">
      <c r="A1551">
        <v>29</v>
      </c>
      <c r="B1551">
        <v>2025</v>
      </c>
      <c r="C1551">
        <v>0.61</v>
      </c>
      <c r="D1551">
        <v>0.6</v>
      </c>
      <c r="E1551">
        <v>0.9</v>
      </c>
      <c r="F1551">
        <v>0.65</v>
      </c>
      <c r="G1551">
        <v>0.97</v>
      </c>
      <c r="H1551">
        <v>0.63</v>
      </c>
      <c r="I1551">
        <v>497</v>
      </c>
      <c r="J1551">
        <v>14</v>
      </c>
      <c r="K1551">
        <v>0.71</v>
      </c>
      <c r="L1551" t="s">
        <v>13</v>
      </c>
    </row>
    <row r="1552" spans="1:12" x14ac:dyDescent="0.3">
      <c r="A1552">
        <v>29</v>
      </c>
      <c r="B1552">
        <v>2025</v>
      </c>
      <c r="C1552">
        <v>0.49</v>
      </c>
      <c r="D1552">
        <v>0.49</v>
      </c>
      <c r="E1552">
        <v>0.5</v>
      </c>
      <c r="F1552">
        <v>0.81</v>
      </c>
      <c r="G1552">
        <v>0.38</v>
      </c>
      <c r="H1552">
        <v>0.39</v>
      </c>
      <c r="I1552">
        <v>461</v>
      </c>
      <c r="J1552">
        <v>5</v>
      </c>
      <c r="K1552">
        <v>0.53</v>
      </c>
      <c r="L1552" t="s">
        <v>12</v>
      </c>
    </row>
    <row r="1553" spans="1:12" x14ac:dyDescent="0.3">
      <c r="A1553">
        <v>30</v>
      </c>
      <c r="B1553">
        <v>2025</v>
      </c>
      <c r="C1553">
        <v>0.33</v>
      </c>
      <c r="D1553">
        <v>0.74</v>
      </c>
      <c r="E1553">
        <v>0.93</v>
      </c>
      <c r="F1553">
        <v>0.7</v>
      </c>
      <c r="G1553">
        <v>0.91</v>
      </c>
      <c r="H1553">
        <v>0.02</v>
      </c>
      <c r="I1553">
        <v>451</v>
      </c>
      <c r="J1553">
        <v>4</v>
      </c>
      <c r="K1553">
        <v>0.67</v>
      </c>
      <c r="L1553" t="s">
        <v>12</v>
      </c>
    </row>
    <row r="1554" spans="1:12" x14ac:dyDescent="0.3">
      <c r="A1554">
        <v>30</v>
      </c>
      <c r="B1554">
        <v>2025</v>
      </c>
      <c r="C1554">
        <v>0.41</v>
      </c>
      <c r="D1554">
        <v>0.71</v>
      </c>
      <c r="E1554">
        <v>0.9</v>
      </c>
      <c r="F1554">
        <v>0.77</v>
      </c>
      <c r="G1554">
        <v>0.63</v>
      </c>
      <c r="H1554">
        <v>0.99</v>
      </c>
      <c r="I1554">
        <v>232</v>
      </c>
      <c r="J1554">
        <v>3</v>
      </c>
      <c r="K1554">
        <v>0.66</v>
      </c>
      <c r="L1554" t="s">
        <v>12</v>
      </c>
    </row>
    <row r="1555" spans="1:12" x14ac:dyDescent="0.3">
      <c r="A1555">
        <v>30</v>
      </c>
      <c r="B1555">
        <v>2025</v>
      </c>
      <c r="C1555">
        <v>0.91</v>
      </c>
      <c r="D1555">
        <v>0.63</v>
      </c>
      <c r="E1555">
        <v>0.69</v>
      </c>
      <c r="F1555">
        <v>0.71</v>
      </c>
      <c r="G1555">
        <v>0.33</v>
      </c>
      <c r="H1555">
        <v>0.27</v>
      </c>
      <c r="I1555">
        <v>257</v>
      </c>
      <c r="J1555">
        <v>1</v>
      </c>
      <c r="K1555">
        <v>0.71</v>
      </c>
      <c r="L1555" t="s">
        <v>13</v>
      </c>
    </row>
    <row r="1556" spans="1:12" x14ac:dyDescent="0.3">
      <c r="A1556">
        <v>32</v>
      </c>
      <c r="B1556">
        <v>2025</v>
      </c>
      <c r="C1556">
        <v>0.53</v>
      </c>
      <c r="D1556">
        <v>0.98</v>
      </c>
      <c r="E1556">
        <v>0.99</v>
      </c>
      <c r="F1556">
        <v>0.81</v>
      </c>
      <c r="G1556">
        <v>0.95</v>
      </c>
      <c r="H1556">
        <v>0.52</v>
      </c>
      <c r="I1556">
        <v>310</v>
      </c>
      <c r="J1556">
        <v>12</v>
      </c>
      <c r="K1556">
        <v>0.82</v>
      </c>
      <c r="L1556" t="s">
        <v>13</v>
      </c>
    </row>
    <row r="1557" spans="1:12" x14ac:dyDescent="0.3">
      <c r="A1557">
        <v>32</v>
      </c>
      <c r="B1557">
        <v>2025</v>
      </c>
      <c r="C1557">
        <v>0.95</v>
      </c>
      <c r="D1557">
        <v>0.43</v>
      </c>
      <c r="E1557">
        <v>0.71</v>
      </c>
      <c r="F1557">
        <v>0.88</v>
      </c>
      <c r="G1557">
        <v>0.62</v>
      </c>
      <c r="H1557">
        <v>0.81</v>
      </c>
      <c r="I1557">
        <v>135</v>
      </c>
      <c r="J1557">
        <v>3</v>
      </c>
      <c r="K1557">
        <v>0.73</v>
      </c>
      <c r="L1557" t="s">
        <v>13</v>
      </c>
    </row>
    <row r="1558" spans="1:12" x14ac:dyDescent="0.3">
      <c r="A1558">
        <v>32</v>
      </c>
      <c r="B1558">
        <v>2025</v>
      </c>
      <c r="C1558">
        <v>0.64</v>
      </c>
      <c r="D1558">
        <v>0.83</v>
      </c>
      <c r="E1558">
        <v>0.93</v>
      </c>
      <c r="F1558">
        <v>0.97</v>
      </c>
      <c r="G1558">
        <v>0.53</v>
      </c>
      <c r="H1558">
        <v>0.14000000000000001</v>
      </c>
      <c r="I1558">
        <v>370</v>
      </c>
      <c r="J1558">
        <v>13</v>
      </c>
      <c r="K1558">
        <v>0.78</v>
      </c>
      <c r="L1558" t="s">
        <v>13</v>
      </c>
    </row>
    <row r="1559" spans="1:12" x14ac:dyDescent="0.3">
      <c r="A1559">
        <v>32</v>
      </c>
      <c r="B1559">
        <v>2025</v>
      </c>
      <c r="C1559">
        <v>0.74</v>
      </c>
      <c r="D1559">
        <v>0.8</v>
      </c>
      <c r="E1559">
        <v>0.66</v>
      </c>
      <c r="F1559">
        <v>0.73</v>
      </c>
      <c r="G1559">
        <v>0.54</v>
      </c>
      <c r="H1559">
        <v>0.68</v>
      </c>
      <c r="I1559">
        <v>355</v>
      </c>
      <c r="J1559">
        <v>2</v>
      </c>
      <c r="K1559">
        <v>0.72</v>
      </c>
      <c r="L1559" t="s">
        <v>13</v>
      </c>
    </row>
    <row r="1560" spans="1:12" x14ac:dyDescent="0.3">
      <c r="A1560">
        <v>32</v>
      </c>
      <c r="B1560">
        <v>2025</v>
      </c>
      <c r="C1560">
        <v>0.83</v>
      </c>
      <c r="D1560">
        <v>0.74</v>
      </c>
      <c r="E1560">
        <v>0.56000000000000005</v>
      </c>
      <c r="F1560">
        <v>0.81</v>
      </c>
      <c r="G1560">
        <v>0.55000000000000004</v>
      </c>
      <c r="H1560">
        <v>0.79</v>
      </c>
      <c r="I1560">
        <v>425</v>
      </c>
      <c r="J1560">
        <v>0</v>
      </c>
      <c r="K1560">
        <v>0.72</v>
      </c>
      <c r="L1560" t="s">
        <v>13</v>
      </c>
    </row>
    <row r="1561" spans="1:12" x14ac:dyDescent="0.3">
      <c r="A1561">
        <v>33</v>
      </c>
      <c r="B1561">
        <v>2025</v>
      </c>
      <c r="C1561">
        <v>0.8</v>
      </c>
      <c r="D1561">
        <v>0.42</v>
      </c>
      <c r="E1561">
        <v>0.94</v>
      </c>
      <c r="F1561">
        <v>0.66</v>
      </c>
      <c r="G1561">
        <v>0.39</v>
      </c>
      <c r="H1561">
        <v>0.18</v>
      </c>
      <c r="I1561">
        <v>81</v>
      </c>
      <c r="J1561">
        <v>11</v>
      </c>
      <c r="K1561">
        <v>0.67</v>
      </c>
      <c r="L1561" t="s">
        <v>12</v>
      </c>
    </row>
    <row r="1562" spans="1:12" x14ac:dyDescent="0.3">
      <c r="A1562">
        <v>33</v>
      </c>
      <c r="B1562">
        <v>2025</v>
      </c>
      <c r="C1562">
        <v>0.36</v>
      </c>
      <c r="D1562">
        <v>0.81</v>
      </c>
      <c r="E1562">
        <v>0.86</v>
      </c>
      <c r="F1562">
        <v>0.99</v>
      </c>
      <c r="G1562">
        <v>0.48</v>
      </c>
      <c r="H1562">
        <v>0.02</v>
      </c>
      <c r="I1562">
        <v>334</v>
      </c>
      <c r="J1562">
        <v>1</v>
      </c>
      <c r="K1562">
        <v>0.68</v>
      </c>
      <c r="L1562" t="s">
        <v>12</v>
      </c>
    </row>
    <row r="1563" spans="1:12" x14ac:dyDescent="0.3">
      <c r="A1563">
        <v>33</v>
      </c>
      <c r="B1563">
        <v>2025</v>
      </c>
      <c r="C1563">
        <v>0.69</v>
      </c>
      <c r="D1563">
        <v>0.55000000000000004</v>
      </c>
      <c r="E1563">
        <v>0.98</v>
      </c>
      <c r="F1563">
        <v>0.61</v>
      </c>
      <c r="G1563">
        <v>0.44</v>
      </c>
      <c r="H1563">
        <v>0.24</v>
      </c>
      <c r="I1563">
        <v>395</v>
      </c>
      <c r="J1563">
        <v>0</v>
      </c>
      <c r="K1563">
        <v>0.68</v>
      </c>
      <c r="L1563" t="s">
        <v>12</v>
      </c>
    </row>
    <row r="1564" spans="1:12" x14ac:dyDescent="0.3">
      <c r="A1564">
        <v>33</v>
      </c>
      <c r="B1564">
        <v>2025</v>
      </c>
      <c r="C1564">
        <v>0.61</v>
      </c>
      <c r="D1564">
        <v>0.55000000000000004</v>
      </c>
      <c r="E1564">
        <v>0.87</v>
      </c>
      <c r="F1564">
        <v>0.85</v>
      </c>
      <c r="G1564">
        <v>0.84</v>
      </c>
      <c r="H1564">
        <v>0.32</v>
      </c>
      <c r="I1564">
        <v>84</v>
      </c>
      <c r="J1564">
        <v>17</v>
      </c>
      <c r="K1564">
        <v>0.71</v>
      </c>
      <c r="L1564" t="s">
        <v>13</v>
      </c>
    </row>
    <row r="1565" spans="1:12" x14ac:dyDescent="0.3">
      <c r="A1565">
        <v>33</v>
      </c>
      <c r="B1565">
        <v>2025</v>
      </c>
      <c r="C1565">
        <v>0.69</v>
      </c>
      <c r="D1565">
        <v>0.68</v>
      </c>
      <c r="E1565">
        <v>0.83</v>
      </c>
      <c r="F1565">
        <v>0.66</v>
      </c>
      <c r="G1565">
        <v>0.89</v>
      </c>
      <c r="H1565">
        <v>0.15</v>
      </c>
      <c r="I1565">
        <v>109</v>
      </c>
      <c r="J1565">
        <v>18</v>
      </c>
      <c r="K1565">
        <v>0.73</v>
      </c>
      <c r="L1565" t="s">
        <v>13</v>
      </c>
    </row>
    <row r="1566" spans="1:12" x14ac:dyDescent="0.3">
      <c r="A1566">
        <v>33</v>
      </c>
      <c r="B1566">
        <v>2025</v>
      </c>
      <c r="C1566">
        <v>0.74</v>
      </c>
      <c r="D1566">
        <v>0.92</v>
      </c>
      <c r="E1566">
        <v>0.99</v>
      </c>
      <c r="F1566">
        <v>0.8</v>
      </c>
      <c r="G1566">
        <v>0.62</v>
      </c>
      <c r="H1566">
        <v>0.08</v>
      </c>
      <c r="I1566">
        <v>59</v>
      </c>
      <c r="J1566">
        <v>11</v>
      </c>
      <c r="K1566">
        <v>0.83</v>
      </c>
      <c r="L1566" t="s">
        <v>13</v>
      </c>
    </row>
    <row r="1567" spans="1:12" x14ac:dyDescent="0.3">
      <c r="A1567">
        <v>34</v>
      </c>
      <c r="B1567">
        <v>2025</v>
      </c>
      <c r="C1567">
        <v>0.83</v>
      </c>
      <c r="D1567">
        <v>0.9</v>
      </c>
      <c r="E1567">
        <v>0.72</v>
      </c>
      <c r="F1567">
        <v>0.72</v>
      </c>
      <c r="G1567">
        <v>0.48</v>
      </c>
      <c r="H1567">
        <v>0.19</v>
      </c>
      <c r="I1567">
        <v>390</v>
      </c>
      <c r="J1567">
        <v>13</v>
      </c>
      <c r="K1567">
        <v>0.77</v>
      </c>
      <c r="L1567" t="s">
        <v>13</v>
      </c>
    </row>
    <row r="1568" spans="1:12" x14ac:dyDescent="0.3">
      <c r="A1568">
        <v>34</v>
      </c>
      <c r="B1568">
        <v>2025</v>
      </c>
      <c r="C1568">
        <v>0.67</v>
      </c>
      <c r="D1568">
        <v>0.47</v>
      </c>
      <c r="E1568">
        <v>0.8</v>
      </c>
      <c r="F1568">
        <v>0.65</v>
      </c>
      <c r="G1568">
        <v>0.54</v>
      </c>
      <c r="H1568">
        <v>0.14000000000000001</v>
      </c>
      <c r="I1568">
        <v>331</v>
      </c>
      <c r="J1568">
        <v>16</v>
      </c>
      <c r="K1568">
        <v>0.63</v>
      </c>
      <c r="L1568" t="s">
        <v>12</v>
      </c>
    </row>
    <row r="1569" spans="1:12" x14ac:dyDescent="0.3">
      <c r="A1569">
        <v>35</v>
      </c>
      <c r="B1569">
        <v>2025</v>
      </c>
      <c r="C1569">
        <v>0.75</v>
      </c>
      <c r="D1569">
        <v>0.57999999999999996</v>
      </c>
      <c r="E1569">
        <v>0.73</v>
      </c>
      <c r="F1569">
        <v>0.71</v>
      </c>
      <c r="G1569">
        <v>0.56000000000000005</v>
      </c>
      <c r="H1569">
        <v>0.16</v>
      </c>
      <c r="I1569">
        <v>55</v>
      </c>
      <c r="J1569">
        <v>13</v>
      </c>
      <c r="K1569">
        <v>0.68</v>
      </c>
      <c r="L1569" t="s">
        <v>12</v>
      </c>
    </row>
    <row r="1570" spans="1:12" x14ac:dyDescent="0.3">
      <c r="A1570">
        <v>36</v>
      </c>
      <c r="B1570">
        <v>2025</v>
      </c>
      <c r="C1570">
        <v>0.93</v>
      </c>
      <c r="D1570">
        <v>0.52</v>
      </c>
      <c r="E1570">
        <v>0.66</v>
      </c>
      <c r="F1570">
        <v>0.69</v>
      </c>
      <c r="G1570">
        <v>0.55000000000000004</v>
      </c>
      <c r="H1570">
        <v>7.0000000000000007E-2</v>
      </c>
      <c r="I1570">
        <v>98</v>
      </c>
      <c r="J1570">
        <v>1</v>
      </c>
      <c r="K1570">
        <v>0.7</v>
      </c>
      <c r="L1570" t="s">
        <v>12</v>
      </c>
    </row>
    <row r="1571" spans="1:12" x14ac:dyDescent="0.3">
      <c r="A1571">
        <v>36</v>
      </c>
      <c r="B1571">
        <v>2025</v>
      </c>
      <c r="C1571">
        <v>0.51</v>
      </c>
      <c r="D1571">
        <v>0.99</v>
      </c>
      <c r="E1571">
        <v>0.59</v>
      </c>
      <c r="F1571">
        <v>0.96</v>
      </c>
      <c r="G1571">
        <v>0.84</v>
      </c>
      <c r="H1571">
        <v>0.08</v>
      </c>
      <c r="I1571">
        <v>393</v>
      </c>
      <c r="J1571">
        <v>1</v>
      </c>
      <c r="K1571">
        <v>0.75</v>
      </c>
      <c r="L1571" t="s">
        <v>13</v>
      </c>
    </row>
    <row r="1572" spans="1:12" x14ac:dyDescent="0.3">
      <c r="A1572">
        <v>36</v>
      </c>
      <c r="B1572">
        <v>2025</v>
      </c>
      <c r="C1572">
        <v>0.73</v>
      </c>
      <c r="D1572">
        <v>0.89</v>
      </c>
      <c r="E1572">
        <v>0.7</v>
      </c>
      <c r="F1572">
        <v>0.69</v>
      </c>
      <c r="G1572">
        <v>0.66</v>
      </c>
      <c r="H1572">
        <v>0.55000000000000004</v>
      </c>
      <c r="I1572">
        <v>466</v>
      </c>
      <c r="J1572">
        <v>15</v>
      </c>
      <c r="K1572">
        <v>0.75</v>
      </c>
      <c r="L1572" t="s">
        <v>13</v>
      </c>
    </row>
    <row r="1573" spans="1:12" x14ac:dyDescent="0.3">
      <c r="A1573">
        <v>36</v>
      </c>
      <c r="B1573">
        <v>2025</v>
      </c>
      <c r="C1573">
        <v>0.79</v>
      </c>
      <c r="D1573">
        <v>0.52</v>
      </c>
      <c r="E1573">
        <v>0.54</v>
      </c>
      <c r="F1573">
        <v>0.89</v>
      </c>
      <c r="G1573">
        <v>0.66</v>
      </c>
      <c r="H1573">
        <v>0.7</v>
      </c>
      <c r="I1573">
        <v>218</v>
      </c>
      <c r="J1573">
        <v>18</v>
      </c>
      <c r="K1573">
        <v>0.67</v>
      </c>
      <c r="L1573" t="s">
        <v>12</v>
      </c>
    </row>
    <row r="1574" spans="1:12" x14ac:dyDescent="0.3">
      <c r="A1574">
        <v>36</v>
      </c>
      <c r="B1574">
        <v>2025</v>
      </c>
      <c r="C1574">
        <v>0.54</v>
      </c>
      <c r="D1574">
        <v>0.66</v>
      </c>
      <c r="E1574">
        <v>0.67</v>
      </c>
      <c r="F1574">
        <v>0.73</v>
      </c>
      <c r="G1574">
        <v>0.68</v>
      </c>
      <c r="H1574">
        <v>0.19</v>
      </c>
      <c r="I1574">
        <v>367</v>
      </c>
      <c r="J1574">
        <v>10</v>
      </c>
      <c r="K1574">
        <v>0.64</v>
      </c>
      <c r="L1574" t="s">
        <v>12</v>
      </c>
    </row>
    <row r="1575" spans="1:12" x14ac:dyDescent="0.3">
      <c r="A1575">
        <v>37</v>
      </c>
      <c r="B1575">
        <v>2025</v>
      </c>
      <c r="C1575">
        <v>0.6</v>
      </c>
      <c r="D1575">
        <v>0.98</v>
      </c>
      <c r="E1575">
        <v>0.98</v>
      </c>
      <c r="F1575">
        <v>0.94</v>
      </c>
      <c r="G1575">
        <v>0.51</v>
      </c>
      <c r="H1575">
        <v>0.39</v>
      </c>
      <c r="I1575">
        <v>210</v>
      </c>
      <c r="J1575">
        <v>2</v>
      </c>
      <c r="K1575">
        <v>0.81</v>
      </c>
      <c r="L1575" t="s">
        <v>13</v>
      </c>
    </row>
    <row r="1576" spans="1:12" x14ac:dyDescent="0.3">
      <c r="A1576">
        <v>37</v>
      </c>
      <c r="B1576">
        <v>2025</v>
      </c>
      <c r="C1576">
        <v>0.67</v>
      </c>
      <c r="D1576">
        <v>0.87</v>
      </c>
      <c r="E1576">
        <v>0.85</v>
      </c>
      <c r="F1576">
        <v>0.78</v>
      </c>
      <c r="G1576">
        <v>0.9</v>
      </c>
      <c r="H1576">
        <v>0.56000000000000005</v>
      </c>
      <c r="I1576">
        <v>300</v>
      </c>
      <c r="J1576">
        <v>19</v>
      </c>
      <c r="K1576">
        <v>0.8</v>
      </c>
      <c r="L1576" t="s">
        <v>13</v>
      </c>
    </row>
    <row r="1577" spans="1:12" x14ac:dyDescent="0.3">
      <c r="A1577">
        <v>37</v>
      </c>
      <c r="B1577">
        <v>2025</v>
      </c>
      <c r="C1577">
        <v>0.76</v>
      </c>
      <c r="D1577">
        <v>0.77</v>
      </c>
      <c r="E1577">
        <v>0.59</v>
      </c>
      <c r="F1577">
        <v>0.81</v>
      </c>
      <c r="G1577">
        <v>0.8</v>
      </c>
      <c r="H1577">
        <v>0.97</v>
      </c>
      <c r="I1577">
        <v>349</v>
      </c>
      <c r="J1577">
        <v>6</v>
      </c>
      <c r="K1577">
        <v>0.74</v>
      </c>
      <c r="L1577" t="s">
        <v>13</v>
      </c>
    </row>
    <row r="1578" spans="1:12" x14ac:dyDescent="0.3">
      <c r="A1578">
        <v>37</v>
      </c>
      <c r="B1578">
        <v>2025</v>
      </c>
      <c r="C1578">
        <v>0.88</v>
      </c>
      <c r="D1578">
        <v>0.48</v>
      </c>
      <c r="E1578">
        <v>0.95</v>
      </c>
      <c r="F1578">
        <v>0.95</v>
      </c>
      <c r="G1578">
        <v>0.63</v>
      </c>
      <c r="H1578">
        <v>0.74</v>
      </c>
      <c r="I1578">
        <v>118</v>
      </c>
      <c r="J1578">
        <v>13</v>
      </c>
      <c r="K1578">
        <v>0.78</v>
      </c>
      <c r="L1578" t="s">
        <v>13</v>
      </c>
    </row>
    <row r="1579" spans="1:12" x14ac:dyDescent="0.3">
      <c r="A1579">
        <v>37</v>
      </c>
      <c r="B1579">
        <v>2025</v>
      </c>
      <c r="C1579">
        <v>0.44</v>
      </c>
      <c r="D1579">
        <v>0.95</v>
      </c>
      <c r="E1579">
        <v>0.59</v>
      </c>
      <c r="F1579">
        <v>0.71</v>
      </c>
      <c r="G1579">
        <v>0.66</v>
      </c>
      <c r="H1579">
        <v>0.26</v>
      </c>
      <c r="I1579">
        <v>337</v>
      </c>
      <c r="J1579">
        <v>1</v>
      </c>
      <c r="K1579">
        <v>0.66</v>
      </c>
      <c r="L1579" t="s">
        <v>12</v>
      </c>
    </row>
    <row r="1580" spans="1:12" x14ac:dyDescent="0.3">
      <c r="A1580">
        <v>37</v>
      </c>
      <c r="B1580">
        <v>2025</v>
      </c>
      <c r="C1580">
        <v>0.98</v>
      </c>
      <c r="D1580">
        <v>0.95</v>
      </c>
      <c r="E1580">
        <v>0.57999999999999996</v>
      </c>
      <c r="F1580">
        <v>0.75</v>
      </c>
      <c r="G1580">
        <v>0.6</v>
      </c>
      <c r="H1580">
        <v>0.36</v>
      </c>
      <c r="I1580">
        <v>376</v>
      </c>
      <c r="J1580">
        <v>18</v>
      </c>
      <c r="K1580">
        <v>0.82</v>
      </c>
      <c r="L1580" t="s">
        <v>13</v>
      </c>
    </row>
    <row r="1581" spans="1:12" x14ac:dyDescent="0.3">
      <c r="A1581">
        <v>38</v>
      </c>
      <c r="B1581">
        <v>2025</v>
      </c>
      <c r="C1581">
        <v>0.63</v>
      </c>
      <c r="D1581">
        <v>0.6</v>
      </c>
      <c r="E1581">
        <v>0.96</v>
      </c>
      <c r="F1581">
        <v>0.6</v>
      </c>
      <c r="G1581">
        <v>0.69</v>
      </c>
      <c r="H1581">
        <v>0.74</v>
      </c>
      <c r="I1581">
        <v>457</v>
      </c>
      <c r="J1581">
        <v>18</v>
      </c>
      <c r="K1581">
        <v>0.69</v>
      </c>
      <c r="L1581" t="s">
        <v>12</v>
      </c>
    </row>
    <row r="1582" spans="1:12" x14ac:dyDescent="0.3">
      <c r="A1582">
        <v>38</v>
      </c>
      <c r="B1582">
        <v>2025</v>
      </c>
      <c r="C1582">
        <v>0.51</v>
      </c>
      <c r="D1582">
        <v>0.85</v>
      </c>
      <c r="E1582">
        <v>0.6</v>
      </c>
      <c r="F1582">
        <v>0.68</v>
      </c>
      <c r="G1582">
        <v>0.43</v>
      </c>
      <c r="H1582">
        <v>0.13</v>
      </c>
      <c r="I1582">
        <v>472</v>
      </c>
      <c r="J1582">
        <v>9</v>
      </c>
      <c r="K1582">
        <v>0.63</v>
      </c>
      <c r="L1582" t="s">
        <v>12</v>
      </c>
    </row>
    <row r="1583" spans="1:12" x14ac:dyDescent="0.3">
      <c r="A1583">
        <v>38</v>
      </c>
      <c r="B1583">
        <v>2025</v>
      </c>
      <c r="C1583">
        <v>0.5</v>
      </c>
      <c r="D1583">
        <v>0.89</v>
      </c>
      <c r="E1583">
        <v>0.9</v>
      </c>
      <c r="F1583">
        <v>0.78</v>
      </c>
      <c r="G1583">
        <v>0.72</v>
      </c>
      <c r="H1583">
        <v>0.6</v>
      </c>
      <c r="I1583">
        <v>300</v>
      </c>
      <c r="J1583">
        <v>12</v>
      </c>
      <c r="K1583">
        <v>0.74</v>
      </c>
      <c r="L1583" t="s">
        <v>13</v>
      </c>
    </row>
    <row r="1584" spans="1:12" x14ac:dyDescent="0.3">
      <c r="A1584">
        <v>39</v>
      </c>
      <c r="B1584">
        <v>2025</v>
      </c>
      <c r="C1584">
        <v>0.47</v>
      </c>
      <c r="D1584">
        <v>0.85</v>
      </c>
      <c r="E1584">
        <v>0.57999999999999996</v>
      </c>
      <c r="F1584">
        <v>0.68</v>
      </c>
      <c r="G1584">
        <v>0.62</v>
      </c>
      <c r="H1584">
        <v>0.28999999999999998</v>
      </c>
      <c r="I1584">
        <v>340</v>
      </c>
      <c r="J1584">
        <v>12</v>
      </c>
      <c r="K1584">
        <v>0.63</v>
      </c>
      <c r="L1584" t="s">
        <v>12</v>
      </c>
    </row>
    <row r="1585" spans="1:12" x14ac:dyDescent="0.3">
      <c r="A1585">
        <v>39</v>
      </c>
      <c r="B1585">
        <v>2025</v>
      </c>
      <c r="C1585">
        <v>0.88</v>
      </c>
      <c r="D1585">
        <v>0.66</v>
      </c>
      <c r="E1585">
        <v>0.82</v>
      </c>
      <c r="F1585">
        <v>0.89</v>
      </c>
      <c r="G1585">
        <v>0.74</v>
      </c>
      <c r="H1585">
        <v>0.14000000000000001</v>
      </c>
      <c r="I1585">
        <v>253</v>
      </c>
      <c r="J1585">
        <v>15</v>
      </c>
      <c r="K1585">
        <v>0.8</v>
      </c>
      <c r="L1585" t="s">
        <v>13</v>
      </c>
    </row>
    <row r="1586" spans="1:12" x14ac:dyDescent="0.3">
      <c r="A1586">
        <v>39</v>
      </c>
      <c r="B1586">
        <v>2025</v>
      </c>
      <c r="C1586">
        <v>0.74</v>
      </c>
      <c r="D1586">
        <v>0.57999999999999996</v>
      </c>
      <c r="E1586">
        <v>0.98</v>
      </c>
      <c r="F1586">
        <v>0.88</v>
      </c>
      <c r="G1586">
        <v>0.4</v>
      </c>
      <c r="H1586">
        <v>0.42</v>
      </c>
      <c r="I1586">
        <v>337</v>
      </c>
      <c r="J1586">
        <v>12</v>
      </c>
      <c r="K1586">
        <v>0.74</v>
      </c>
      <c r="L1586" t="s">
        <v>13</v>
      </c>
    </row>
    <row r="1587" spans="1:12" x14ac:dyDescent="0.3">
      <c r="A1587">
        <v>39</v>
      </c>
      <c r="B1587">
        <v>2025</v>
      </c>
      <c r="C1587">
        <v>0.87</v>
      </c>
      <c r="D1587">
        <v>0.56000000000000005</v>
      </c>
      <c r="E1587">
        <v>0.9</v>
      </c>
      <c r="F1587">
        <v>0.71</v>
      </c>
      <c r="G1587">
        <v>0.32</v>
      </c>
      <c r="H1587">
        <v>0.52</v>
      </c>
      <c r="I1587">
        <v>264</v>
      </c>
      <c r="J1587">
        <v>12</v>
      </c>
      <c r="K1587">
        <v>0.72</v>
      </c>
      <c r="L1587" t="s">
        <v>13</v>
      </c>
    </row>
    <row r="1588" spans="1:12" x14ac:dyDescent="0.3">
      <c r="A1588">
        <v>39</v>
      </c>
      <c r="B1588">
        <v>2025</v>
      </c>
      <c r="C1588">
        <v>0.42</v>
      </c>
      <c r="D1588">
        <v>0.92</v>
      </c>
      <c r="E1588">
        <v>0.75</v>
      </c>
      <c r="F1588">
        <v>0.7</v>
      </c>
      <c r="G1588">
        <v>0.78</v>
      </c>
      <c r="H1588">
        <v>0.89</v>
      </c>
      <c r="I1588">
        <v>464</v>
      </c>
      <c r="J1588">
        <v>16</v>
      </c>
      <c r="K1588">
        <v>0.69</v>
      </c>
      <c r="L1588" t="s">
        <v>12</v>
      </c>
    </row>
    <row r="1589" spans="1:12" x14ac:dyDescent="0.3">
      <c r="A1589">
        <v>40</v>
      </c>
      <c r="B1589">
        <v>2025</v>
      </c>
      <c r="C1589">
        <v>0.51</v>
      </c>
      <c r="D1589">
        <v>0.54</v>
      </c>
      <c r="E1589">
        <v>0.5</v>
      </c>
      <c r="F1589">
        <v>0.89</v>
      </c>
      <c r="G1589">
        <v>0.98</v>
      </c>
      <c r="H1589">
        <v>0.22</v>
      </c>
      <c r="I1589">
        <v>469</v>
      </c>
      <c r="J1589">
        <v>14</v>
      </c>
      <c r="K1589">
        <v>0.62</v>
      </c>
      <c r="L1589" t="s">
        <v>12</v>
      </c>
    </row>
    <row r="1590" spans="1:12" x14ac:dyDescent="0.3">
      <c r="A1590">
        <v>40</v>
      </c>
      <c r="B1590">
        <v>2025</v>
      </c>
      <c r="C1590">
        <v>0.95</v>
      </c>
      <c r="D1590">
        <v>0.57999999999999996</v>
      </c>
      <c r="E1590">
        <v>0.89</v>
      </c>
      <c r="F1590">
        <v>0.91</v>
      </c>
      <c r="G1590">
        <v>0.78</v>
      </c>
      <c r="H1590">
        <v>0.97</v>
      </c>
      <c r="I1590">
        <v>285</v>
      </c>
      <c r="J1590">
        <v>16</v>
      </c>
      <c r="K1590">
        <v>0.82</v>
      </c>
      <c r="L1590" t="s">
        <v>13</v>
      </c>
    </row>
    <row r="1591" spans="1:12" x14ac:dyDescent="0.3">
      <c r="A1591">
        <v>40</v>
      </c>
      <c r="B1591">
        <v>2025</v>
      </c>
      <c r="C1591">
        <v>0.8</v>
      </c>
      <c r="D1591">
        <v>0.63</v>
      </c>
      <c r="E1591">
        <v>0.77</v>
      </c>
      <c r="F1591">
        <v>0.96</v>
      </c>
      <c r="G1591">
        <v>0.48</v>
      </c>
      <c r="H1591">
        <v>0.24</v>
      </c>
      <c r="I1591">
        <v>412</v>
      </c>
      <c r="J1591">
        <v>17</v>
      </c>
      <c r="K1591">
        <v>0.74</v>
      </c>
      <c r="L1591" t="s">
        <v>13</v>
      </c>
    </row>
    <row r="1592" spans="1:12" x14ac:dyDescent="0.3">
      <c r="A1592">
        <v>41</v>
      </c>
      <c r="B1592">
        <v>2025</v>
      </c>
      <c r="C1592">
        <v>0.83</v>
      </c>
      <c r="D1592">
        <v>0.77</v>
      </c>
      <c r="E1592">
        <v>0.95</v>
      </c>
      <c r="F1592">
        <v>0.93</v>
      </c>
      <c r="G1592">
        <v>0.48</v>
      </c>
      <c r="H1592">
        <v>0.27</v>
      </c>
      <c r="I1592">
        <v>234</v>
      </c>
      <c r="J1592">
        <v>15</v>
      </c>
      <c r="K1592">
        <v>0.82</v>
      </c>
      <c r="L1592" t="s">
        <v>13</v>
      </c>
    </row>
    <row r="1593" spans="1:12" x14ac:dyDescent="0.3">
      <c r="A1593">
        <v>41</v>
      </c>
      <c r="B1593">
        <v>2025</v>
      </c>
      <c r="C1593">
        <v>0.99</v>
      </c>
      <c r="D1593">
        <v>0.9</v>
      </c>
      <c r="E1593">
        <v>0.73</v>
      </c>
      <c r="F1593">
        <v>0.82</v>
      </c>
      <c r="G1593">
        <v>0.89</v>
      </c>
      <c r="H1593">
        <v>0.48</v>
      </c>
      <c r="I1593">
        <v>183</v>
      </c>
      <c r="J1593">
        <v>11</v>
      </c>
      <c r="K1593">
        <v>0.88</v>
      </c>
      <c r="L1593" t="s">
        <v>13</v>
      </c>
    </row>
    <row r="1594" spans="1:12" x14ac:dyDescent="0.3">
      <c r="A1594">
        <v>42</v>
      </c>
      <c r="B1594">
        <v>2025</v>
      </c>
      <c r="C1594">
        <v>0.51</v>
      </c>
      <c r="D1594">
        <v>0.46</v>
      </c>
      <c r="E1594">
        <v>0.73</v>
      </c>
      <c r="F1594">
        <v>0.69</v>
      </c>
      <c r="G1594">
        <v>0.59</v>
      </c>
      <c r="H1594">
        <v>0.88</v>
      </c>
      <c r="I1594">
        <v>177</v>
      </c>
      <c r="J1594">
        <v>6</v>
      </c>
      <c r="K1594">
        <v>0.57999999999999996</v>
      </c>
      <c r="L1594" t="s">
        <v>12</v>
      </c>
    </row>
    <row r="1595" spans="1:12" x14ac:dyDescent="0.3">
      <c r="A1595">
        <v>42</v>
      </c>
      <c r="B1595">
        <v>2025</v>
      </c>
      <c r="C1595">
        <v>0.45</v>
      </c>
      <c r="D1595">
        <v>0.65</v>
      </c>
      <c r="E1595">
        <v>0.68</v>
      </c>
      <c r="F1595">
        <v>0.96</v>
      </c>
      <c r="G1595">
        <v>0.33</v>
      </c>
      <c r="H1595">
        <v>0.51</v>
      </c>
      <c r="I1595">
        <v>295</v>
      </c>
      <c r="J1595">
        <v>6</v>
      </c>
      <c r="K1595">
        <v>0.61</v>
      </c>
      <c r="L1595" t="s">
        <v>12</v>
      </c>
    </row>
    <row r="1596" spans="1:12" x14ac:dyDescent="0.3">
      <c r="A1596">
        <v>42</v>
      </c>
      <c r="B1596">
        <v>2025</v>
      </c>
      <c r="C1596">
        <v>0.97</v>
      </c>
      <c r="D1596">
        <v>0.62</v>
      </c>
      <c r="E1596">
        <v>0.89</v>
      </c>
      <c r="F1596">
        <v>0.9</v>
      </c>
      <c r="G1596">
        <v>0.93</v>
      </c>
      <c r="H1596">
        <v>0.45</v>
      </c>
      <c r="I1596">
        <v>356</v>
      </c>
      <c r="J1596">
        <v>0</v>
      </c>
      <c r="K1596">
        <v>0.85</v>
      </c>
      <c r="L1596" t="s">
        <v>13</v>
      </c>
    </row>
    <row r="1597" spans="1:12" x14ac:dyDescent="0.3">
      <c r="A1597">
        <v>42</v>
      </c>
      <c r="B1597">
        <v>2025</v>
      </c>
      <c r="C1597">
        <v>0.7</v>
      </c>
      <c r="D1597">
        <v>0.79</v>
      </c>
      <c r="E1597">
        <v>0.84</v>
      </c>
      <c r="F1597">
        <v>0.95</v>
      </c>
      <c r="G1597">
        <v>0.46</v>
      </c>
      <c r="H1597">
        <v>0.26</v>
      </c>
      <c r="I1597">
        <v>53</v>
      </c>
      <c r="J1597">
        <v>1</v>
      </c>
      <c r="K1597">
        <v>0.76</v>
      </c>
      <c r="L1597" t="s">
        <v>13</v>
      </c>
    </row>
    <row r="1598" spans="1:12" x14ac:dyDescent="0.3">
      <c r="A1598">
        <v>42</v>
      </c>
      <c r="B1598">
        <v>2025</v>
      </c>
      <c r="C1598">
        <v>0.7</v>
      </c>
      <c r="D1598">
        <v>0.66</v>
      </c>
      <c r="E1598">
        <v>0.51</v>
      </c>
      <c r="F1598">
        <v>1</v>
      </c>
      <c r="G1598">
        <v>0.68</v>
      </c>
      <c r="H1598">
        <v>0.47</v>
      </c>
      <c r="I1598">
        <v>64</v>
      </c>
      <c r="J1598">
        <v>13</v>
      </c>
      <c r="K1598">
        <v>0.7</v>
      </c>
      <c r="L1598" t="s">
        <v>12</v>
      </c>
    </row>
    <row r="1599" spans="1:12" x14ac:dyDescent="0.3">
      <c r="A1599">
        <v>43</v>
      </c>
      <c r="B1599">
        <v>2025</v>
      </c>
      <c r="C1599">
        <v>0.74</v>
      </c>
      <c r="D1599">
        <v>0.89</v>
      </c>
      <c r="E1599">
        <v>0.83</v>
      </c>
      <c r="F1599">
        <v>0.68</v>
      </c>
      <c r="G1599">
        <v>0.49</v>
      </c>
      <c r="H1599">
        <v>0.21</v>
      </c>
      <c r="I1599">
        <v>351</v>
      </c>
      <c r="J1599">
        <v>1</v>
      </c>
      <c r="K1599">
        <v>0.76</v>
      </c>
      <c r="L1599" t="s">
        <v>13</v>
      </c>
    </row>
    <row r="1600" spans="1:12" x14ac:dyDescent="0.3">
      <c r="A1600">
        <v>43</v>
      </c>
      <c r="B1600">
        <v>2025</v>
      </c>
      <c r="C1600">
        <v>0.46</v>
      </c>
      <c r="D1600">
        <v>0.59</v>
      </c>
      <c r="E1600">
        <v>0.92</v>
      </c>
      <c r="F1600">
        <v>0.89</v>
      </c>
      <c r="G1600">
        <v>0.37</v>
      </c>
      <c r="H1600">
        <v>0.43</v>
      </c>
      <c r="I1600">
        <v>426</v>
      </c>
      <c r="J1600">
        <v>2</v>
      </c>
      <c r="K1600">
        <v>0.64</v>
      </c>
      <c r="L1600" t="s">
        <v>12</v>
      </c>
    </row>
    <row r="1601" spans="1:12" x14ac:dyDescent="0.3">
      <c r="A1601">
        <v>43</v>
      </c>
      <c r="B1601">
        <v>2025</v>
      </c>
      <c r="C1601">
        <v>0.55000000000000004</v>
      </c>
      <c r="D1601">
        <v>0.62</v>
      </c>
      <c r="E1601">
        <v>0.93</v>
      </c>
      <c r="F1601">
        <v>0.82</v>
      </c>
      <c r="G1601">
        <v>0.8</v>
      </c>
      <c r="H1601">
        <v>0.9</v>
      </c>
      <c r="I1601">
        <v>297</v>
      </c>
      <c r="J1601">
        <v>6</v>
      </c>
      <c r="K1601">
        <v>0.71</v>
      </c>
      <c r="L1601" t="s">
        <v>13</v>
      </c>
    </row>
    <row r="1602" spans="1:12" x14ac:dyDescent="0.3">
      <c r="A1602">
        <v>44</v>
      </c>
      <c r="B1602">
        <v>2025</v>
      </c>
      <c r="C1602">
        <v>0.78</v>
      </c>
      <c r="D1602">
        <v>0.68</v>
      </c>
      <c r="E1602">
        <v>0.79</v>
      </c>
      <c r="F1602">
        <v>0.63</v>
      </c>
      <c r="G1602">
        <v>0.33</v>
      </c>
      <c r="H1602">
        <v>0.67</v>
      </c>
      <c r="I1602">
        <v>98</v>
      </c>
      <c r="J1602">
        <v>9</v>
      </c>
      <c r="K1602">
        <v>0.69</v>
      </c>
      <c r="L1602" t="s">
        <v>12</v>
      </c>
    </row>
    <row r="1603" spans="1:12" x14ac:dyDescent="0.3">
      <c r="A1603">
        <v>44</v>
      </c>
      <c r="B1603">
        <v>2025</v>
      </c>
      <c r="C1603">
        <v>0.53</v>
      </c>
      <c r="D1603">
        <v>0.96</v>
      </c>
      <c r="E1603">
        <v>0.67</v>
      </c>
      <c r="F1603">
        <v>1</v>
      </c>
      <c r="G1603">
        <v>0.64</v>
      </c>
      <c r="H1603">
        <v>0.18</v>
      </c>
      <c r="I1603">
        <v>427</v>
      </c>
      <c r="J1603">
        <v>9</v>
      </c>
      <c r="K1603">
        <v>0.75</v>
      </c>
      <c r="L1603" t="s">
        <v>13</v>
      </c>
    </row>
    <row r="1604" spans="1:12" x14ac:dyDescent="0.3">
      <c r="A1604">
        <v>44</v>
      </c>
      <c r="B1604">
        <v>2025</v>
      </c>
      <c r="C1604">
        <v>0.33</v>
      </c>
      <c r="D1604">
        <v>0.67</v>
      </c>
      <c r="E1604">
        <v>0.95</v>
      </c>
      <c r="F1604">
        <v>0.83</v>
      </c>
      <c r="G1604">
        <v>0.88</v>
      </c>
      <c r="H1604">
        <v>0.99</v>
      </c>
      <c r="I1604">
        <v>150</v>
      </c>
      <c r="J1604">
        <v>1</v>
      </c>
      <c r="K1604">
        <v>0.67</v>
      </c>
      <c r="L1604" t="s">
        <v>12</v>
      </c>
    </row>
    <row r="1605" spans="1:12" x14ac:dyDescent="0.3">
      <c r="A1605">
        <v>44</v>
      </c>
      <c r="B1605">
        <v>2025</v>
      </c>
      <c r="C1605">
        <v>0.39</v>
      </c>
      <c r="D1605">
        <v>0.88</v>
      </c>
      <c r="E1605">
        <v>0.99</v>
      </c>
      <c r="F1605">
        <v>0.75</v>
      </c>
      <c r="G1605">
        <v>0.61</v>
      </c>
      <c r="H1605">
        <v>0.05</v>
      </c>
      <c r="I1605">
        <v>238</v>
      </c>
      <c r="J1605">
        <v>1</v>
      </c>
      <c r="K1605">
        <v>0.71</v>
      </c>
      <c r="L1605" t="s">
        <v>13</v>
      </c>
    </row>
    <row r="1606" spans="1:12" x14ac:dyDescent="0.3">
      <c r="A1606">
        <v>45</v>
      </c>
      <c r="B1606">
        <v>2025</v>
      </c>
      <c r="C1606">
        <v>0.45</v>
      </c>
      <c r="D1606">
        <v>0.93</v>
      </c>
      <c r="E1606">
        <v>0.88</v>
      </c>
      <c r="F1606">
        <v>0.62</v>
      </c>
      <c r="G1606">
        <v>0.49</v>
      </c>
      <c r="H1606">
        <v>0.02</v>
      </c>
      <c r="I1606">
        <v>299</v>
      </c>
      <c r="J1606">
        <v>1</v>
      </c>
      <c r="K1606">
        <v>0.69</v>
      </c>
      <c r="L1606" t="s">
        <v>12</v>
      </c>
    </row>
    <row r="1607" spans="1:12" x14ac:dyDescent="0.3">
      <c r="A1607">
        <v>45</v>
      </c>
      <c r="B1607">
        <v>2025</v>
      </c>
      <c r="C1607">
        <v>0.68</v>
      </c>
      <c r="D1607">
        <v>0.67</v>
      </c>
      <c r="E1607">
        <v>0.6</v>
      </c>
      <c r="F1607">
        <v>0.6</v>
      </c>
      <c r="G1607">
        <v>0.47</v>
      </c>
      <c r="H1607">
        <v>0.51</v>
      </c>
      <c r="I1607">
        <v>87</v>
      </c>
      <c r="J1607">
        <v>0</v>
      </c>
      <c r="K1607">
        <v>0.63</v>
      </c>
      <c r="L1607" t="s">
        <v>12</v>
      </c>
    </row>
    <row r="1608" spans="1:12" x14ac:dyDescent="0.3">
      <c r="A1608">
        <v>45</v>
      </c>
      <c r="B1608">
        <v>2025</v>
      </c>
      <c r="C1608">
        <v>0.43</v>
      </c>
      <c r="D1608">
        <v>0.45</v>
      </c>
      <c r="E1608">
        <v>0.67</v>
      </c>
      <c r="F1608">
        <v>0.65</v>
      </c>
      <c r="G1608">
        <v>0.67</v>
      </c>
      <c r="H1608">
        <v>0.63</v>
      </c>
      <c r="I1608">
        <v>312</v>
      </c>
      <c r="J1608">
        <v>2</v>
      </c>
      <c r="K1608">
        <v>0.54</v>
      </c>
      <c r="L1608" t="s">
        <v>12</v>
      </c>
    </row>
    <row r="1609" spans="1:12" x14ac:dyDescent="0.3">
      <c r="A1609">
        <v>45</v>
      </c>
      <c r="B1609">
        <v>2025</v>
      </c>
      <c r="C1609">
        <v>0.76</v>
      </c>
      <c r="D1609">
        <v>0.56999999999999995</v>
      </c>
      <c r="E1609">
        <v>0.74</v>
      </c>
      <c r="F1609">
        <v>0.94</v>
      </c>
      <c r="G1609">
        <v>0.53</v>
      </c>
      <c r="H1609">
        <v>0.53</v>
      </c>
      <c r="I1609">
        <v>95</v>
      </c>
      <c r="J1609">
        <v>5</v>
      </c>
      <c r="K1609">
        <v>0.71</v>
      </c>
      <c r="L1609" t="s">
        <v>13</v>
      </c>
    </row>
    <row r="1610" spans="1:12" x14ac:dyDescent="0.3">
      <c r="A1610">
        <v>46</v>
      </c>
      <c r="B1610">
        <v>2025</v>
      </c>
      <c r="C1610">
        <v>0.99</v>
      </c>
      <c r="D1610">
        <v>0.9</v>
      </c>
      <c r="E1610">
        <v>0.56000000000000005</v>
      </c>
      <c r="F1610">
        <v>0.97</v>
      </c>
      <c r="G1610">
        <v>0.91</v>
      </c>
      <c r="H1610">
        <v>0.52</v>
      </c>
      <c r="I1610">
        <v>473</v>
      </c>
      <c r="J1610">
        <v>14</v>
      </c>
      <c r="K1610">
        <v>0.87</v>
      </c>
      <c r="L1610" t="s">
        <v>13</v>
      </c>
    </row>
    <row r="1611" spans="1:12" x14ac:dyDescent="0.3">
      <c r="A1611">
        <v>46</v>
      </c>
      <c r="B1611">
        <v>2025</v>
      </c>
      <c r="C1611">
        <v>0.33</v>
      </c>
      <c r="D1611">
        <v>0.57999999999999996</v>
      </c>
      <c r="E1611">
        <v>0.85</v>
      </c>
      <c r="F1611">
        <v>0.98</v>
      </c>
      <c r="G1611">
        <v>0.35</v>
      </c>
      <c r="H1611">
        <v>0.03</v>
      </c>
      <c r="I1611">
        <v>254</v>
      </c>
      <c r="J1611">
        <v>8</v>
      </c>
      <c r="K1611">
        <v>0.6</v>
      </c>
      <c r="L1611" t="s">
        <v>12</v>
      </c>
    </row>
    <row r="1612" spans="1:12" x14ac:dyDescent="0.3">
      <c r="A1612">
        <v>47</v>
      </c>
      <c r="B1612">
        <v>2025</v>
      </c>
      <c r="C1612">
        <v>0.3</v>
      </c>
      <c r="D1612">
        <v>0.55000000000000004</v>
      </c>
      <c r="E1612">
        <v>0.96</v>
      </c>
      <c r="F1612">
        <v>0.97</v>
      </c>
      <c r="G1612">
        <v>0.8</v>
      </c>
      <c r="H1612">
        <v>0.77</v>
      </c>
      <c r="I1612">
        <v>376</v>
      </c>
      <c r="J1612">
        <v>7</v>
      </c>
      <c r="K1612">
        <v>0.64</v>
      </c>
      <c r="L1612" t="s">
        <v>12</v>
      </c>
    </row>
    <row r="1613" spans="1:12" x14ac:dyDescent="0.3">
      <c r="A1613">
        <v>47</v>
      </c>
      <c r="B1613">
        <v>2025</v>
      </c>
      <c r="C1613">
        <v>0.45</v>
      </c>
      <c r="D1613">
        <v>0.9</v>
      </c>
      <c r="E1613">
        <v>0.84</v>
      </c>
      <c r="F1613">
        <v>0.95</v>
      </c>
      <c r="G1613">
        <v>0.86</v>
      </c>
      <c r="H1613">
        <v>0.35</v>
      </c>
      <c r="I1613">
        <v>435</v>
      </c>
      <c r="J1613">
        <v>14</v>
      </c>
      <c r="K1613">
        <v>0.76</v>
      </c>
      <c r="L1613" t="s">
        <v>13</v>
      </c>
    </row>
    <row r="1614" spans="1:12" x14ac:dyDescent="0.3">
      <c r="A1614">
        <v>48</v>
      </c>
      <c r="B1614">
        <v>2025</v>
      </c>
      <c r="C1614">
        <v>0.55000000000000004</v>
      </c>
      <c r="D1614">
        <v>0.96</v>
      </c>
      <c r="E1614">
        <v>0.77</v>
      </c>
      <c r="F1614">
        <v>0.84</v>
      </c>
      <c r="G1614">
        <v>0.32</v>
      </c>
      <c r="H1614">
        <v>0.17</v>
      </c>
      <c r="I1614">
        <v>151</v>
      </c>
      <c r="J1614">
        <v>2</v>
      </c>
      <c r="K1614">
        <v>0.72</v>
      </c>
      <c r="L1614" t="s">
        <v>13</v>
      </c>
    </row>
    <row r="1615" spans="1:12" x14ac:dyDescent="0.3">
      <c r="A1615">
        <v>48</v>
      </c>
      <c r="B1615">
        <v>2025</v>
      </c>
      <c r="C1615">
        <v>0.91</v>
      </c>
      <c r="D1615">
        <v>0.76</v>
      </c>
      <c r="E1615">
        <v>0.81</v>
      </c>
      <c r="F1615">
        <v>0.81</v>
      </c>
      <c r="G1615">
        <v>0.36</v>
      </c>
      <c r="H1615">
        <v>0.45</v>
      </c>
      <c r="I1615">
        <v>160</v>
      </c>
      <c r="J1615">
        <v>0</v>
      </c>
      <c r="K1615">
        <v>0.78</v>
      </c>
      <c r="L1615" t="s">
        <v>13</v>
      </c>
    </row>
    <row r="1616" spans="1:12" x14ac:dyDescent="0.3">
      <c r="A1616">
        <v>48</v>
      </c>
      <c r="B1616">
        <v>2025</v>
      </c>
      <c r="C1616">
        <v>0.71</v>
      </c>
      <c r="D1616">
        <v>0.72</v>
      </c>
      <c r="E1616">
        <v>0.89</v>
      </c>
      <c r="F1616">
        <v>0.82</v>
      </c>
      <c r="G1616">
        <v>0.9</v>
      </c>
      <c r="H1616">
        <v>0.23</v>
      </c>
      <c r="I1616">
        <v>450</v>
      </c>
      <c r="J1616">
        <v>1</v>
      </c>
      <c r="K1616">
        <v>0.78</v>
      </c>
      <c r="L1616" t="s">
        <v>13</v>
      </c>
    </row>
    <row r="1617" spans="1:12" x14ac:dyDescent="0.3">
      <c r="A1617">
        <v>48</v>
      </c>
      <c r="B1617">
        <v>2025</v>
      </c>
      <c r="C1617">
        <v>0.78</v>
      </c>
      <c r="D1617">
        <v>0.84</v>
      </c>
      <c r="E1617">
        <v>0.52</v>
      </c>
      <c r="F1617">
        <v>0.87</v>
      </c>
      <c r="G1617">
        <v>0.59</v>
      </c>
      <c r="H1617">
        <v>0.12</v>
      </c>
      <c r="I1617">
        <v>493</v>
      </c>
      <c r="J1617">
        <v>7</v>
      </c>
      <c r="K1617">
        <v>0.74</v>
      </c>
      <c r="L1617" t="s">
        <v>13</v>
      </c>
    </row>
    <row r="1618" spans="1:12" x14ac:dyDescent="0.3">
      <c r="A1618">
        <v>49</v>
      </c>
      <c r="B1618">
        <v>2025</v>
      </c>
      <c r="C1618">
        <v>0.81</v>
      </c>
      <c r="D1618">
        <v>0.85</v>
      </c>
      <c r="E1618">
        <v>0.71</v>
      </c>
      <c r="F1618">
        <v>0.74</v>
      </c>
      <c r="G1618">
        <v>0.56000000000000005</v>
      </c>
      <c r="H1618">
        <v>0.99</v>
      </c>
      <c r="I1618">
        <v>201</v>
      </c>
      <c r="J1618">
        <v>17</v>
      </c>
      <c r="K1618">
        <v>0.76</v>
      </c>
      <c r="L1618" t="s">
        <v>13</v>
      </c>
    </row>
    <row r="1619" spans="1:12" x14ac:dyDescent="0.3">
      <c r="A1619">
        <v>50</v>
      </c>
      <c r="B1619">
        <v>2025</v>
      </c>
      <c r="C1619">
        <v>0.67</v>
      </c>
      <c r="D1619">
        <v>0.44</v>
      </c>
      <c r="E1619">
        <v>0.92</v>
      </c>
      <c r="F1619">
        <v>0.84</v>
      </c>
      <c r="G1619">
        <v>0.38</v>
      </c>
      <c r="H1619">
        <v>0.09</v>
      </c>
      <c r="I1619">
        <v>494</v>
      </c>
      <c r="J1619">
        <v>8</v>
      </c>
      <c r="K1619">
        <v>0.66</v>
      </c>
      <c r="L1619" t="s">
        <v>12</v>
      </c>
    </row>
    <row r="1620" spans="1:12" x14ac:dyDescent="0.3">
      <c r="A1620">
        <v>50</v>
      </c>
      <c r="B1620">
        <v>2025</v>
      </c>
      <c r="C1620">
        <v>0.31</v>
      </c>
      <c r="D1620">
        <v>0.84</v>
      </c>
      <c r="E1620">
        <v>0.54</v>
      </c>
      <c r="F1620">
        <v>0.85</v>
      </c>
      <c r="G1620">
        <v>0.86</v>
      </c>
      <c r="H1620">
        <v>0.13</v>
      </c>
      <c r="I1620">
        <v>379</v>
      </c>
      <c r="J1620">
        <v>17</v>
      </c>
      <c r="K1620">
        <v>0.62</v>
      </c>
      <c r="L1620" t="s">
        <v>12</v>
      </c>
    </row>
    <row r="1621" spans="1:12" x14ac:dyDescent="0.3">
      <c r="A1621">
        <v>50</v>
      </c>
      <c r="B1621">
        <v>2025</v>
      </c>
      <c r="C1621">
        <v>0.59</v>
      </c>
      <c r="D1621">
        <v>0.63</v>
      </c>
      <c r="E1621">
        <v>0.69</v>
      </c>
      <c r="F1621">
        <v>0.84</v>
      </c>
      <c r="G1621">
        <v>0.75</v>
      </c>
      <c r="H1621">
        <v>0.45</v>
      </c>
      <c r="I1621">
        <v>493</v>
      </c>
      <c r="J1621">
        <v>12</v>
      </c>
      <c r="K1621">
        <v>0.67</v>
      </c>
      <c r="L1621" t="s">
        <v>12</v>
      </c>
    </row>
    <row r="1622" spans="1:12" x14ac:dyDescent="0.3">
      <c r="A1622">
        <v>50</v>
      </c>
      <c r="B1622">
        <v>2025</v>
      </c>
      <c r="C1622">
        <v>0.97</v>
      </c>
      <c r="D1622">
        <v>1</v>
      </c>
      <c r="E1622">
        <v>0.69</v>
      </c>
      <c r="F1622">
        <v>0.72</v>
      </c>
      <c r="G1622">
        <v>0.9</v>
      </c>
      <c r="H1622">
        <v>1</v>
      </c>
      <c r="I1622">
        <v>300</v>
      </c>
      <c r="J1622">
        <v>8</v>
      </c>
      <c r="K1622">
        <v>0.88</v>
      </c>
      <c r="L1622" t="s">
        <v>13</v>
      </c>
    </row>
    <row r="1623" spans="1:12" x14ac:dyDescent="0.3">
      <c r="A1623">
        <v>51</v>
      </c>
      <c r="B1623">
        <v>2025</v>
      </c>
      <c r="C1623">
        <v>0.34</v>
      </c>
      <c r="D1623">
        <v>0.91</v>
      </c>
      <c r="E1623">
        <v>0.61</v>
      </c>
      <c r="F1623">
        <v>0.75</v>
      </c>
      <c r="G1623">
        <v>0.62</v>
      </c>
      <c r="H1623">
        <v>0.48</v>
      </c>
      <c r="I1623">
        <v>454</v>
      </c>
      <c r="J1623">
        <v>9</v>
      </c>
      <c r="K1623">
        <v>0.63</v>
      </c>
      <c r="L1623" t="s">
        <v>12</v>
      </c>
    </row>
    <row r="1624" spans="1:12" x14ac:dyDescent="0.3">
      <c r="A1624">
        <v>51</v>
      </c>
      <c r="B1624">
        <v>2025</v>
      </c>
      <c r="C1624">
        <v>0.68</v>
      </c>
      <c r="D1624">
        <v>0.98</v>
      </c>
      <c r="E1624">
        <v>0.74</v>
      </c>
      <c r="F1624">
        <v>0.63</v>
      </c>
      <c r="G1624">
        <v>0.69</v>
      </c>
      <c r="H1624">
        <v>0.84</v>
      </c>
      <c r="I1624">
        <v>427</v>
      </c>
      <c r="J1624">
        <v>16</v>
      </c>
      <c r="K1624">
        <v>0.76</v>
      </c>
      <c r="L1624" t="s">
        <v>13</v>
      </c>
    </row>
    <row r="1625" spans="1:12" x14ac:dyDescent="0.3">
      <c r="A1625">
        <v>51</v>
      </c>
      <c r="B1625">
        <v>2025</v>
      </c>
      <c r="C1625">
        <v>0.68</v>
      </c>
      <c r="D1625">
        <v>0.81</v>
      </c>
      <c r="E1625">
        <v>0.73</v>
      </c>
      <c r="F1625">
        <v>0.78</v>
      </c>
      <c r="G1625">
        <v>0.61</v>
      </c>
      <c r="H1625">
        <v>0.41</v>
      </c>
      <c r="I1625">
        <v>413</v>
      </c>
      <c r="J1625">
        <v>16</v>
      </c>
      <c r="K1625">
        <v>0.73</v>
      </c>
      <c r="L1625" t="s">
        <v>13</v>
      </c>
    </row>
    <row r="1626" spans="1:12" x14ac:dyDescent="0.3">
      <c r="A1626">
        <v>51</v>
      </c>
      <c r="B1626">
        <v>2025</v>
      </c>
      <c r="C1626">
        <v>0.79</v>
      </c>
      <c r="D1626">
        <v>0.75</v>
      </c>
      <c r="E1626">
        <v>0.59</v>
      </c>
      <c r="F1626">
        <v>0.84</v>
      </c>
      <c r="G1626">
        <v>0.32</v>
      </c>
      <c r="H1626">
        <v>0.12</v>
      </c>
      <c r="I1626">
        <v>157</v>
      </c>
      <c r="J1626">
        <v>11</v>
      </c>
      <c r="K1626">
        <v>0.7</v>
      </c>
      <c r="L1626" t="s">
        <v>12</v>
      </c>
    </row>
    <row r="1627" spans="1:12" x14ac:dyDescent="0.3">
      <c r="A1627">
        <v>51</v>
      </c>
      <c r="B1627">
        <v>2025</v>
      </c>
      <c r="C1627">
        <v>0.47</v>
      </c>
      <c r="D1627">
        <v>0.9</v>
      </c>
      <c r="E1627">
        <v>0.73</v>
      </c>
      <c r="F1627">
        <v>0.71</v>
      </c>
      <c r="G1627">
        <v>0.99</v>
      </c>
      <c r="H1627">
        <v>0.82</v>
      </c>
      <c r="I1627">
        <v>233</v>
      </c>
      <c r="J1627">
        <v>6</v>
      </c>
      <c r="K1627">
        <v>0.72</v>
      </c>
      <c r="L1627" t="s">
        <v>13</v>
      </c>
    </row>
    <row r="1628" spans="1:12" x14ac:dyDescent="0.3">
      <c r="A1628">
        <v>52</v>
      </c>
      <c r="B1628">
        <v>2025</v>
      </c>
      <c r="C1628">
        <v>0.43</v>
      </c>
      <c r="D1628">
        <v>0.87</v>
      </c>
      <c r="E1628">
        <v>0.8</v>
      </c>
      <c r="F1628">
        <v>0.78</v>
      </c>
      <c r="G1628">
        <v>0.37</v>
      </c>
      <c r="H1628">
        <v>0.46</v>
      </c>
      <c r="I1628">
        <v>422</v>
      </c>
      <c r="J1628">
        <v>3</v>
      </c>
      <c r="K1628">
        <v>0.66</v>
      </c>
      <c r="L1628" t="s">
        <v>12</v>
      </c>
    </row>
    <row r="1629" spans="1:12" x14ac:dyDescent="0.3">
      <c r="A1629">
        <v>52</v>
      </c>
      <c r="B1629">
        <v>2025</v>
      </c>
      <c r="C1629">
        <v>0.94</v>
      </c>
      <c r="D1629">
        <v>0.62</v>
      </c>
      <c r="E1629">
        <v>0.79</v>
      </c>
      <c r="F1629">
        <v>0.85</v>
      </c>
      <c r="G1629">
        <v>0.31</v>
      </c>
      <c r="H1629">
        <v>0.66</v>
      </c>
      <c r="I1629">
        <v>386</v>
      </c>
      <c r="J1629">
        <v>19</v>
      </c>
      <c r="K1629">
        <v>0.75</v>
      </c>
      <c r="L1629" t="s">
        <v>13</v>
      </c>
    </row>
    <row r="1630" spans="1:12" x14ac:dyDescent="0.3">
      <c r="A1630">
        <v>52</v>
      </c>
      <c r="B1630">
        <v>2025</v>
      </c>
      <c r="C1630">
        <v>0.68</v>
      </c>
      <c r="D1630">
        <v>0.45</v>
      </c>
      <c r="E1630">
        <v>0.98</v>
      </c>
      <c r="F1630">
        <v>0.7</v>
      </c>
      <c r="G1630">
        <v>0.9</v>
      </c>
      <c r="H1630">
        <v>0.17</v>
      </c>
      <c r="I1630">
        <v>110</v>
      </c>
      <c r="J1630">
        <v>7</v>
      </c>
      <c r="K1630">
        <v>0.71</v>
      </c>
      <c r="L1630" t="s">
        <v>13</v>
      </c>
    </row>
    <row r="1631" spans="1:12" x14ac:dyDescent="0.3">
      <c r="A1631">
        <v>52</v>
      </c>
      <c r="B1631">
        <v>2025</v>
      </c>
      <c r="C1631">
        <v>0.78</v>
      </c>
      <c r="D1631">
        <v>0.62</v>
      </c>
      <c r="E1631">
        <v>0.88</v>
      </c>
      <c r="F1631">
        <v>0.99</v>
      </c>
      <c r="G1631">
        <v>0.38</v>
      </c>
      <c r="H1631">
        <v>0.31</v>
      </c>
      <c r="I1631">
        <v>392</v>
      </c>
      <c r="J1631">
        <v>7</v>
      </c>
      <c r="K1631">
        <v>0.75</v>
      </c>
      <c r="L1631" t="s">
        <v>13</v>
      </c>
    </row>
    <row r="1632" spans="1:12" x14ac:dyDescent="0.3">
      <c r="A1632">
        <v>52</v>
      </c>
      <c r="B1632">
        <v>2025</v>
      </c>
      <c r="C1632">
        <v>0.65</v>
      </c>
      <c r="D1632">
        <v>0.87</v>
      </c>
      <c r="E1632">
        <v>0.97</v>
      </c>
      <c r="F1632">
        <v>0.74</v>
      </c>
      <c r="G1632">
        <v>0.47</v>
      </c>
      <c r="H1632">
        <v>0.62</v>
      </c>
      <c r="I1632">
        <v>321</v>
      </c>
      <c r="J1632">
        <v>1</v>
      </c>
      <c r="K1632">
        <v>0.76</v>
      </c>
      <c r="L1632" t="s">
        <v>13</v>
      </c>
    </row>
    <row r="1633" spans="1:12" x14ac:dyDescent="0.3">
      <c r="A1633">
        <v>52</v>
      </c>
      <c r="B1633">
        <v>2025</v>
      </c>
      <c r="C1633">
        <v>0.85</v>
      </c>
      <c r="D1633">
        <v>0.81</v>
      </c>
      <c r="E1633">
        <v>0.74</v>
      </c>
      <c r="F1633">
        <v>0.96</v>
      </c>
      <c r="G1633">
        <v>0.54</v>
      </c>
      <c r="H1633">
        <v>0.28999999999999998</v>
      </c>
      <c r="I1633">
        <v>165</v>
      </c>
      <c r="J1633">
        <v>3</v>
      </c>
      <c r="K1633">
        <v>0.8</v>
      </c>
      <c r="L1633" t="s">
        <v>13</v>
      </c>
    </row>
    <row r="1634" spans="1:12" x14ac:dyDescent="0.3">
      <c r="A1634">
        <v>53</v>
      </c>
      <c r="B1634">
        <v>2025</v>
      </c>
      <c r="C1634">
        <v>0.89</v>
      </c>
      <c r="D1634">
        <v>0.52</v>
      </c>
      <c r="E1634">
        <v>0.56000000000000005</v>
      </c>
      <c r="F1634">
        <v>0.99</v>
      </c>
      <c r="G1634">
        <v>0.38</v>
      </c>
      <c r="H1634">
        <v>0.48</v>
      </c>
      <c r="I1634">
        <v>348</v>
      </c>
      <c r="J1634">
        <v>12</v>
      </c>
      <c r="K1634">
        <v>0.7</v>
      </c>
      <c r="L1634" t="s">
        <v>12</v>
      </c>
    </row>
    <row r="1635" spans="1:12" x14ac:dyDescent="0.3">
      <c r="A1635">
        <v>53</v>
      </c>
      <c r="B1635">
        <v>2025</v>
      </c>
      <c r="C1635">
        <v>0.86</v>
      </c>
      <c r="D1635">
        <v>0.6</v>
      </c>
      <c r="E1635">
        <v>0.53</v>
      </c>
      <c r="F1635">
        <v>0.82</v>
      </c>
      <c r="G1635">
        <v>0.71</v>
      </c>
      <c r="H1635">
        <v>0.93</v>
      </c>
      <c r="I1635">
        <v>487</v>
      </c>
      <c r="J1635">
        <v>16</v>
      </c>
      <c r="K1635">
        <v>0.71</v>
      </c>
      <c r="L1635" t="s">
        <v>13</v>
      </c>
    </row>
    <row r="1636" spans="1:12" x14ac:dyDescent="0.3">
      <c r="A1636">
        <v>54</v>
      </c>
      <c r="B1636">
        <v>2025</v>
      </c>
      <c r="C1636">
        <v>0.42</v>
      </c>
      <c r="D1636">
        <v>0.81</v>
      </c>
      <c r="E1636">
        <v>0.82</v>
      </c>
      <c r="F1636">
        <v>0.96</v>
      </c>
      <c r="G1636">
        <v>0.81</v>
      </c>
      <c r="H1636">
        <v>0.51</v>
      </c>
      <c r="I1636">
        <v>111</v>
      </c>
      <c r="J1636">
        <v>12</v>
      </c>
      <c r="K1636">
        <v>0.72</v>
      </c>
      <c r="L1636" t="s">
        <v>13</v>
      </c>
    </row>
    <row r="1637" spans="1:12" x14ac:dyDescent="0.3">
      <c r="A1637">
        <v>54</v>
      </c>
      <c r="B1637">
        <v>2025</v>
      </c>
      <c r="C1637">
        <v>0.42</v>
      </c>
      <c r="D1637">
        <v>0.75</v>
      </c>
      <c r="E1637">
        <v>0.74</v>
      </c>
      <c r="F1637">
        <v>0.89</v>
      </c>
      <c r="G1637">
        <v>0.61</v>
      </c>
      <c r="H1637">
        <v>0.34</v>
      </c>
      <c r="I1637">
        <v>416</v>
      </c>
      <c r="J1637">
        <v>17</v>
      </c>
      <c r="K1637">
        <v>0.66</v>
      </c>
      <c r="L1637" t="s">
        <v>12</v>
      </c>
    </row>
    <row r="1638" spans="1:12" x14ac:dyDescent="0.3">
      <c r="A1638">
        <v>55</v>
      </c>
      <c r="B1638">
        <v>2025</v>
      </c>
      <c r="C1638">
        <v>0.53</v>
      </c>
      <c r="D1638">
        <v>0.61</v>
      </c>
      <c r="E1638">
        <v>0.75</v>
      </c>
      <c r="F1638">
        <v>0.98</v>
      </c>
      <c r="G1638">
        <v>0.91</v>
      </c>
      <c r="H1638">
        <v>0.1</v>
      </c>
      <c r="I1638">
        <v>186</v>
      </c>
      <c r="J1638">
        <v>5</v>
      </c>
      <c r="K1638">
        <v>0.7</v>
      </c>
      <c r="L1638" t="s">
        <v>12</v>
      </c>
    </row>
    <row r="1639" spans="1:12" x14ac:dyDescent="0.3">
      <c r="A1639">
        <v>55</v>
      </c>
      <c r="B1639">
        <v>2025</v>
      </c>
      <c r="C1639">
        <v>0.38</v>
      </c>
      <c r="D1639">
        <v>0.44</v>
      </c>
      <c r="E1639">
        <v>0.86</v>
      </c>
      <c r="F1639">
        <v>0.97</v>
      </c>
      <c r="G1639">
        <v>0.6</v>
      </c>
      <c r="H1639">
        <v>0.12</v>
      </c>
      <c r="I1639">
        <v>309</v>
      </c>
      <c r="J1639">
        <v>17</v>
      </c>
      <c r="K1639">
        <v>0.6</v>
      </c>
      <c r="L1639" t="s">
        <v>12</v>
      </c>
    </row>
    <row r="1640" spans="1:12" x14ac:dyDescent="0.3">
      <c r="A1640">
        <v>55</v>
      </c>
      <c r="B1640">
        <v>2025</v>
      </c>
      <c r="C1640">
        <v>0.35</v>
      </c>
      <c r="D1640">
        <v>0.84</v>
      </c>
      <c r="E1640">
        <v>0.81</v>
      </c>
      <c r="F1640">
        <v>0.6</v>
      </c>
      <c r="G1640">
        <v>0.31</v>
      </c>
      <c r="H1640">
        <v>0.81</v>
      </c>
      <c r="I1640">
        <v>405</v>
      </c>
      <c r="J1640">
        <v>19</v>
      </c>
      <c r="K1640">
        <v>0.6</v>
      </c>
      <c r="L1640" t="s">
        <v>12</v>
      </c>
    </row>
    <row r="1641" spans="1:12" x14ac:dyDescent="0.3">
      <c r="A1641">
        <v>55</v>
      </c>
      <c r="B1641">
        <v>2025</v>
      </c>
      <c r="C1641">
        <v>0.76</v>
      </c>
      <c r="D1641">
        <v>0.93</v>
      </c>
      <c r="E1641">
        <v>0.7</v>
      </c>
      <c r="F1641">
        <v>0.72</v>
      </c>
      <c r="G1641">
        <v>0.31</v>
      </c>
      <c r="H1641">
        <v>0.56999999999999995</v>
      </c>
      <c r="I1641">
        <v>234</v>
      </c>
      <c r="J1641">
        <v>5</v>
      </c>
      <c r="K1641">
        <v>0.74</v>
      </c>
      <c r="L1641" t="s">
        <v>13</v>
      </c>
    </row>
    <row r="1642" spans="1:12" x14ac:dyDescent="0.3">
      <c r="A1642">
        <v>55</v>
      </c>
      <c r="B1642">
        <v>2025</v>
      </c>
      <c r="C1642">
        <v>0.96</v>
      </c>
      <c r="D1642">
        <v>0.48</v>
      </c>
      <c r="E1642">
        <v>0.82</v>
      </c>
      <c r="F1642">
        <v>0.75</v>
      </c>
      <c r="G1642">
        <v>0.97</v>
      </c>
      <c r="H1642">
        <v>0.33</v>
      </c>
      <c r="I1642">
        <v>264</v>
      </c>
      <c r="J1642">
        <v>12</v>
      </c>
      <c r="K1642">
        <v>0.78</v>
      </c>
      <c r="L1642" t="s">
        <v>13</v>
      </c>
    </row>
    <row r="1643" spans="1:12" x14ac:dyDescent="0.3">
      <c r="A1643">
        <v>55</v>
      </c>
      <c r="B1643">
        <v>2025</v>
      </c>
      <c r="C1643">
        <v>0.99</v>
      </c>
      <c r="D1643">
        <v>0.51</v>
      </c>
      <c r="E1643">
        <v>0.88</v>
      </c>
      <c r="F1643">
        <v>0.74</v>
      </c>
      <c r="G1643">
        <v>0.42</v>
      </c>
      <c r="H1643">
        <v>0.42</v>
      </c>
      <c r="I1643">
        <v>196</v>
      </c>
      <c r="J1643">
        <v>6</v>
      </c>
      <c r="K1643">
        <v>0.75</v>
      </c>
      <c r="L1643" t="s">
        <v>13</v>
      </c>
    </row>
    <row r="1644" spans="1:12" x14ac:dyDescent="0.3">
      <c r="A1644">
        <v>55</v>
      </c>
      <c r="B1644">
        <v>2025</v>
      </c>
      <c r="C1644">
        <v>0.66</v>
      </c>
      <c r="D1644">
        <v>0.48</v>
      </c>
      <c r="E1644">
        <v>0.67</v>
      </c>
      <c r="F1644">
        <v>0.68</v>
      </c>
      <c r="G1644">
        <v>0.87</v>
      </c>
      <c r="H1644">
        <v>0.91</v>
      </c>
      <c r="I1644">
        <v>438</v>
      </c>
      <c r="J1644">
        <v>17</v>
      </c>
      <c r="K1644">
        <v>0.64</v>
      </c>
      <c r="L1644" t="s">
        <v>12</v>
      </c>
    </row>
    <row r="1645" spans="1:12" x14ac:dyDescent="0.3">
      <c r="A1645">
        <v>55</v>
      </c>
      <c r="B1645">
        <v>2025</v>
      </c>
      <c r="C1645">
        <v>0.73</v>
      </c>
      <c r="D1645">
        <v>0.82</v>
      </c>
      <c r="E1645">
        <v>0.73</v>
      </c>
      <c r="F1645">
        <v>0.7</v>
      </c>
      <c r="G1645">
        <v>0.91</v>
      </c>
      <c r="H1645">
        <v>0.74</v>
      </c>
      <c r="I1645">
        <v>352</v>
      </c>
      <c r="J1645">
        <v>18</v>
      </c>
      <c r="K1645">
        <v>0.77</v>
      </c>
      <c r="L1645" t="s">
        <v>13</v>
      </c>
    </row>
    <row r="1646" spans="1:12" x14ac:dyDescent="0.3">
      <c r="A1646">
        <v>55</v>
      </c>
      <c r="B1646">
        <v>2025</v>
      </c>
      <c r="C1646">
        <v>0.87</v>
      </c>
      <c r="D1646">
        <v>0.71</v>
      </c>
      <c r="E1646">
        <v>0.86</v>
      </c>
      <c r="F1646">
        <v>0.75</v>
      </c>
      <c r="G1646">
        <v>0.33</v>
      </c>
      <c r="H1646">
        <v>0.9</v>
      </c>
      <c r="I1646">
        <v>299</v>
      </c>
      <c r="J1646">
        <v>17</v>
      </c>
      <c r="K1646">
        <v>0.76</v>
      </c>
      <c r="L1646" t="s">
        <v>13</v>
      </c>
    </row>
    <row r="1647" spans="1:12" x14ac:dyDescent="0.3">
      <c r="A1647">
        <v>57</v>
      </c>
      <c r="B1647">
        <v>2025</v>
      </c>
      <c r="C1647">
        <v>0.91</v>
      </c>
      <c r="D1647">
        <v>0.56999999999999995</v>
      </c>
      <c r="E1647">
        <v>0.73</v>
      </c>
      <c r="F1647">
        <v>0.85</v>
      </c>
      <c r="G1647">
        <v>0.59</v>
      </c>
      <c r="H1647">
        <v>0.43</v>
      </c>
      <c r="I1647">
        <v>365</v>
      </c>
      <c r="J1647">
        <v>16</v>
      </c>
      <c r="K1647">
        <v>0.75</v>
      </c>
      <c r="L1647" t="s">
        <v>13</v>
      </c>
    </row>
    <row r="1648" spans="1:12" x14ac:dyDescent="0.3">
      <c r="A1648">
        <v>57</v>
      </c>
      <c r="B1648">
        <v>2025</v>
      </c>
      <c r="C1648">
        <v>0.42</v>
      </c>
      <c r="D1648">
        <v>0.44</v>
      </c>
      <c r="E1648">
        <v>0.66</v>
      </c>
      <c r="F1648">
        <v>0.69</v>
      </c>
      <c r="G1648">
        <v>0.66</v>
      </c>
      <c r="H1648">
        <v>0.1</v>
      </c>
      <c r="I1648">
        <v>304</v>
      </c>
      <c r="J1648">
        <v>11</v>
      </c>
      <c r="K1648">
        <v>0.54</v>
      </c>
      <c r="L1648" t="s">
        <v>12</v>
      </c>
    </row>
    <row r="1649" spans="1:12" x14ac:dyDescent="0.3">
      <c r="A1649">
        <v>57</v>
      </c>
      <c r="B1649">
        <v>2025</v>
      </c>
      <c r="C1649">
        <v>0.54</v>
      </c>
      <c r="D1649">
        <v>0.71</v>
      </c>
      <c r="E1649">
        <v>0.99</v>
      </c>
      <c r="F1649">
        <v>0.88</v>
      </c>
      <c r="G1649">
        <v>0.77</v>
      </c>
      <c r="H1649">
        <v>0.24</v>
      </c>
      <c r="I1649">
        <v>59</v>
      </c>
      <c r="J1649">
        <v>10</v>
      </c>
      <c r="K1649">
        <v>0.75</v>
      </c>
      <c r="L1649" t="s">
        <v>13</v>
      </c>
    </row>
    <row r="1650" spans="1:12" x14ac:dyDescent="0.3">
      <c r="A1650">
        <v>57</v>
      </c>
      <c r="B1650">
        <v>2025</v>
      </c>
      <c r="C1650">
        <v>0.62</v>
      </c>
      <c r="D1650">
        <v>0.56999999999999995</v>
      </c>
      <c r="E1650">
        <v>0.62</v>
      </c>
      <c r="F1650">
        <v>0.89</v>
      </c>
      <c r="G1650">
        <v>0.31</v>
      </c>
      <c r="H1650">
        <v>0.54</v>
      </c>
      <c r="I1650">
        <v>357</v>
      </c>
      <c r="J1650">
        <v>1</v>
      </c>
      <c r="K1650">
        <v>0.62</v>
      </c>
      <c r="L1650" t="s">
        <v>12</v>
      </c>
    </row>
    <row r="1651" spans="1:12" x14ac:dyDescent="0.3">
      <c r="A1651">
        <v>58</v>
      </c>
      <c r="B1651">
        <v>2025</v>
      </c>
      <c r="C1651">
        <v>0.48</v>
      </c>
      <c r="D1651">
        <v>0.79</v>
      </c>
      <c r="E1651">
        <v>0.6</v>
      </c>
      <c r="F1651">
        <v>0.83</v>
      </c>
      <c r="G1651">
        <v>0.62</v>
      </c>
      <c r="H1651">
        <v>0.97</v>
      </c>
      <c r="I1651">
        <v>433</v>
      </c>
      <c r="J1651">
        <v>11</v>
      </c>
      <c r="K1651">
        <v>0.65</v>
      </c>
      <c r="L1651" t="s">
        <v>12</v>
      </c>
    </row>
    <row r="1652" spans="1:12" x14ac:dyDescent="0.3">
      <c r="A1652">
        <v>59</v>
      </c>
      <c r="B1652">
        <v>2025</v>
      </c>
      <c r="C1652">
        <v>0.79</v>
      </c>
      <c r="D1652">
        <v>0.73</v>
      </c>
      <c r="E1652">
        <v>0.93</v>
      </c>
      <c r="F1652">
        <v>0.73</v>
      </c>
      <c r="G1652">
        <v>0.67</v>
      </c>
      <c r="H1652">
        <v>0.49</v>
      </c>
      <c r="I1652">
        <v>176</v>
      </c>
      <c r="J1652">
        <v>10</v>
      </c>
      <c r="K1652">
        <v>0.78</v>
      </c>
      <c r="L1652" t="s">
        <v>13</v>
      </c>
    </row>
    <row r="1653" spans="1:12" x14ac:dyDescent="0.3">
      <c r="A1653">
        <v>59</v>
      </c>
      <c r="B1653">
        <v>2025</v>
      </c>
      <c r="C1653">
        <v>0.63</v>
      </c>
      <c r="D1653">
        <v>0.53</v>
      </c>
      <c r="E1653">
        <v>0.97</v>
      </c>
      <c r="F1653">
        <v>0.95</v>
      </c>
      <c r="G1653">
        <v>0.47</v>
      </c>
      <c r="H1653">
        <v>0.1</v>
      </c>
      <c r="I1653">
        <v>245</v>
      </c>
      <c r="J1653">
        <v>12</v>
      </c>
      <c r="K1653">
        <v>0.7</v>
      </c>
      <c r="L1653" t="s">
        <v>12</v>
      </c>
    </row>
    <row r="1654" spans="1:12" x14ac:dyDescent="0.3">
      <c r="A1654">
        <v>60</v>
      </c>
      <c r="B1654">
        <v>2025</v>
      </c>
      <c r="C1654">
        <v>0.35</v>
      </c>
      <c r="D1654">
        <v>0.78</v>
      </c>
      <c r="E1654">
        <v>0.64</v>
      </c>
      <c r="F1654">
        <v>0.84</v>
      </c>
      <c r="G1654">
        <v>0.78</v>
      </c>
      <c r="H1654">
        <v>0.23</v>
      </c>
      <c r="I1654">
        <v>107</v>
      </c>
      <c r="J1654">
        <v>2</v>
      </c>
      <c r="K1654">
        <v>0.63</v>
      </c>
      <c r="L1654" t="s">
        <v>12</v>
      </c>
    </row>
    <row r="1655" spans="1:12" x14ac:dyDescent="0.3">
      <c r="A1655">
        <v>60</v>
      </c>
      <c r="B1655">
        <v>2025</v>
      </c>
      <c r="C1655">
        <v>0.57999999999999996</v>
      </c>
      <c r="D1655">
        <v>0.87</v>
      </c>
      <c r="E1655">
        <v>0.97</v>
      </c>
      <c r="F1655">
        <v>0.94</v>
      </c>
      <c r="G1655">
        <v>0.69</v>
      </c>
      <c r="H1655">
        <v>0.41</v>
      </c>
      <c r="I1655">
        <v>315</v>
      </c>
      <c r="J1655">
        <v>19</v>
      </c>
      <c r="K1655">
        <v>0.8</v>
      </c>
      <c r="L1655" t="s">
        <v>13</v>
      </c>
    </row>
    <row r="1656" spans="1:12" x14ac:dyDescent="0.3">
      <c r="A1656">
        <v>60</v>
      </c>
      <c r="B1656">
        <v>2025</v>
      </c>
      <c r="C1656">
        <v>0.37</v>
      </c>
      <c r="D1656">
        <v>0.61</v>
      </c>
      <c r="E1656">
        <v>0.92</v>
      </c>
      <c r="F1656">
        <v>0.63</v>
      </c>
      <c r="G1656">
        <v>0.96</v>
      </c>
      <c r="H1656">
        <v>0.99</v>
      </c>
      <c r="I1656">
        <v>403</v>
      </c>
      <c r="J1656">
        <v>11</v>
      </c>
      <c r="K1656">
        <v>0.64</v>
      </c>
      <c r="L1656" t="s">
        <v>12</v>
      </c>
    </row>
    <row r="1657" spans="1:12" x14ac:dyDescent="0.3">
      <c r="A1657">
        <v>60</v>
      </c>
      <c r="B1657">
        <v>2025</v>
      </c>
      <c r="C1657">
        <v>0.56000000000000005</v>
      </c>
      <c r="D1657">
        <v>0.93</v>
      </c>
      <c r="E1657">
        <v>0.73</v>
      </c>
      <c r="F1657">
        <v>0.81</v>
      </c>
      <c r="G1657">
        <v>0.53</v>
      </c>
      <c r="H1657">
        <v>0.28000000000000003</v>
      </c>
      <c r="I1657">
        <v>345</v>
      </c>
      <c r="J1657">
        <v>16</v>
      </c>
      <c r="K1657">
        <v>0.72</v>
      </c>
      <c r="L1657" t="s">
        <v>13</v>
      </c>
    </row>
    <row r="1658" spans="1:12" x14ac:dyDescent="0.3">
      <c r="A1658">
        <v>61</v>
      </c>
      <c r="B1658">
        <v>2025</v>
      </c>
      <c r="C1658">
        <v>0.36</v>
      </c>
      <c r="D1658">
        <v>0.65</v>
      </c>
      <c r="E1658">
        <v>0.94</v>
      </c>
      <c r="F1658">
        <v>0.98</v>
      </c>
      <c r="G1658">
        <v>0.63</v>
      </c>
      <c r="H1658">
        <v>0.61</v>
      </c>
      <c r="I1658">
        <v>202</v>
      </c>
      <c r="J1658">
        <v>6</v>
      </c>
      <c r="K1658">
        <v>0.67</v>
      </c>
      <c r="L1658" t="s">
        <v>12</v>
      </c>
    </row>
    <row r="1659" spans="1:12" x14ac:dyDescent="0.3">
      <c r="A1659">
        <v>61</v>
      </c>
      <c r="B1659">
        <v>2025</v>
      </c>
      <c r="C1659">
        <v>0.37</v>
      </c>
      <c r="D1659">
        <v>0.45</v>
      </c>
      <c r="E1659">
        <v>0.68</v>
      </c>
      <c r="F1659">
        <v>0.64</v>
      </c>
      <c r="G1659">
        <v>0.71</v>
      </c>
      <c r="H1659">
        <v>0.23</v>
      </c>
      <c r="I1659">
        <v>108</v>
      </c>
      <c r="J1659">
        <v>15</v>
      </c>
      <c r="K1659">
        <v>0.53</v>
      </c>
      <c r="L1659" t="s">
        <v>12</v>
      </c>
    </row>
    <row r="1660" spans="1:12" x14ac:dyDescent="0.3">
      <c r="A1660">
        <v>61</v>
      </c>
      <c r="B1660">
        <v>2025</v>
      </c>
      <c r="C1660">
        <v>0.83</v>
      </c>
      <c r="D1660">
        <v>0.6</v>
      </c>
      <c r="E1660">
        <v>0.87</v>
      </c>
      <c r="F1660">
        <v>0.66</v>
      </c>
      <c r="G1660">
        <v>0.39</v>
      </c>
      <c r="H1660">
        <v>0.35</v>
      </c>
      <c r="I1660">
        <v>319</v>
      </c>
      <c r="J1660">
        <v>3</v>
      </c>
      <c r="K1660">
        <v>0.71</v>
      </c>
      <c r="L1660" t="s">
        <v>13</v>
      </c>
    </row>
    <row r="1661" spans="1:12" x14ac:dyDescent="0.3">
      <c r="A1661">
        <v>61</v>
      </c>
      <c r="B1661">
        <v>2025</v>
      </c>
      <c r="C1661">
        <v>0.67</v>
      </c>
      <c r="D1661">
        <v>0.88</v>
      </c>
      <c r="E1661">
        <v>0.68</v>
      </c>
      <c r="F1661">
        <v>0.86</v>
      </c>
      <c r="G1661">
        <v>0.47</v>
      </c>
      <c r="H1661">
        <v>0.11</v>
      </c>
      <c r="I1661">
        <v>496</v>
      </c>
      <c r="J1661">
        <v>13</v>
      </c>
      <c r="K1661">
        <v>0.73</v>
      </c>
      <c r="L1661" t="s">
        <v>13</v>
      </c>
    </row>
    <row r="1662" spans="1:12" x14ac:dyDescent="0.3">
      <c r="A1662">
        <v>62</v>
      </c>
      <c r="B1662">
        <v>2025</v>
      </c>
      <c r="C1662">
        <v>0.78</v>
      </c>
      <c r="D1662">
        <v>0.56000000000000005</v>
      </c>
      <c r="E1662">
        <v>0.62</v>
      </c>
      <c r="F1662">
        <v>0.67</v>
      </c>
      <c r="G1662">
        <v>0.45</v>
      </c>
      <c r="H1662">
        <v>0.56000000000000005</v>
      </c>
      <c r="I1662">
        <v>229</v>
      </c>
      <c r="J1662">
        <v>16</v>
      </c>
      <c r="K1662">
        <v>0.64</v>
      </c>
      <c r="L1662" t="s">
        <v>12</v>
      </c>
    </row>
    <row r="1663" spans="1:12" x14ac:dyDescent="0.3">
      <c r="A1663">
        <v>62</v>
      </c>
      <c r="B1663">
        <v>2025</v>
      </c>
      <c r="C1663">
        <v>0.33</v>
      </c>
      <c r="D1663">
        <v>0.41</v>
      </c>
      <c r="E1663">
        <v>0.99</v>
      </c>
      <c r="F1663">
        <v>0.77</v>
      </c>
      <c r="G1663">
        <v>0.56999999999999995</v>
      </c>
      <c r="H1663">
        <v>0.68</v>
      </c>
      <c r="I1663">
        <v>189</v>
      </c>
      <c r="J1663">
        <v>4</v>
      </c>
      <c r="K1663">
        <v>0.56999999999999995</v>
      </c>
      <c r="L1663" t="s">
        <v>12</v>
      </c>
    </row>
    <row r="1664" spans="1:12" x14ac:dyDescent="0.3">
      <c r="A1664">
        <v>62</v>
      </c>
      <c r="B1664">
        <v>2025</v>
      </c>
      <c r="C1664">
        <v>0.61</v>
      </c>
      <c r="D1664">
        <v>0.79</v>
      </c>
      <c r="E1664">
        <v>0.69</v>
      </c>
      <c r="F1664">
        <v>0.62</v>
      </c>
      <c r="G1664">
        <v>0.72</v>
      </c>
      <c r="H1664">
        <v>0.9</v>
      </c>
      <c r="I1664">
        <v>285</v>
      </c>
      <c r="J1664">
        <v>5</v>
      </c>
      <c r="K1664">
        <v>0.68</v>
      </c>
      <c r="L1664" t="s">
        <v>12</v>
      </c>
    </row>
    <row r="1665" spans="1:12" x14ac:dyDescent="0.3">
      <c r="A1665">
        <v>62</v>
      </c>
      <c r="B1665">
        <v>2025</v>
      </c>
      <c r="C1665">
        <v>0.91</v>
      </c>
      <c r="D1665">
        <v>0.94</v>
      </c>
      <c r="E1665">
        <v>0.75</v>
      </c>
      <c r="F1665">
        <v>0.73</v>
      </c>
      <c r="G1665">
        <v>0.37</v>
      </c>
      <c r="H1665">
        <v>0.95</v>
      </c>
      <c r="I1665">
        <v>161</v>
      </c>
      <c r="J1665">
        <v>17</v>
      </c>
      <c r="K1665">
        <v>0.8</v>
      </c>
      <c r="L1665" t="s">
        <v>13</v>
      </c>
    </row>
    <row r="1666" spans="1:12" x14ac:dyDescent="0.3">
      <c r="A1666">
        <v>62</v>
      </c>
      <c r="B1666">
        <v>2025</v>
      </c>
      <c r="C1666">
        <v>0.87</v>
      </c>
      <c r="D1666">
        <v>0.64</v>
      </c>
      <c r="E1666">
        <v>0.51</v>
      </c>
      <c r="F1666">
        <v>0.62</v>
      </c>
      <c r="G1666">
        <v>0.9</v>
      </c>
      <c r="H1666">
        <v>0.96</v>
      </c>
      <c r="I1666">
        <v>106</v>
      </c>
      <c r="J1666">
        <v>18</v>
      </c>
      <c r="K1666">
        <v>0.71</v>
      </c>
      <c r="L1666" t="s">
        <v>13</v>
      </c>
    </row>
    <row r="1667" spans="1:12" x14ac:dyDescent="0.3">
      <c r="A1667">
        <v>63</v>
      </c>
      <c r="B1667">
        <v>2025</v>
      </c>
      <c r="C1667">
        <v>0.81</v>
      </c>
      <c r="D1667">
        <v>0.86</v>
      </c>
      <c r="E1667">
        <v>0.68</v>
      </c>
      <c r="F1667">
        <v>0.93</v>
      </c>
      <c r="G1667">
        <v>0.66</v>
      </c>
      <c r="H1667">
        <v>0.46</v>
      </c>
      <c r="I1667">
        <v>230</v>
      </c>
      <c r="J1667">
        <v>19</v>
      </c>
      <c r="K1667">
        <v>0.8</v>
      </c>
      <c r="L1667" t="s">
        <v>13</v>
      </c>
    </row>
    <row r="1668" spans="1:12" x14ac:dyDescent="0.3">
      <c r="A1668">
        <v>63</v>
      </c>
      <c r="B1668">
        <v>2025</v>
      </c>
      <c r="C1668">
        <v>0.84</v>
      </c>
      <c r="D1668">
        <v>0.62</v>
      </c>
      <c r="E1668">
        <v>0.59</v>
      </c>
      <c r="F1668">
        <v>0.86</v>
      </c>
      <c r="G1668">
        <v>0.53</v>
      </c>
      <c r="H1668">
        <v>0.86</v>
      </c>
      <c r="I1668">
        <v>373</v>
      </c>
      <c r="J1668">
        <v>19</v>
      </c>
      <c r="K1668">
        <v>0.71</v>
      </c>
      <c r="L1668" t="s">
        <v>13</v>
      </c>
    </row>
    <row r="1669" spans="1:12" x14ac:dyDescent="0.3">
      <c r="A1669">
        <v>64</v>
      </c>
      <c r="B1669">
        <v>2025</v>
      </c>
      <c r="C1669">
        <v>0.79</v>
      </c>
      <c r="D1669">
        <v>0.78</v>
      </c>
      <c r="E1669">
        <v>0.52</v>
      </c>
      <c r="F1669">
        <v>0.96</v>
      </c>
      <c r="G1669">
        <v>0.94</v>
      </c>
      <c r="H1669">
        <v>0.78</v>
      </c>
      <c r="I1669">
        <v>149</v>
      </c>
      <c r="J1669">
        <v>5</v>
      </c>
      <c r="K1669">
        <v>0.77</v>
      </c>
      <c r="L1669" t="s">
        <v>13</v>
      </c>
    </row>
    <row r="1670" spans="1:12" x14ac:dyDescent="0.3">
      <c r="A1670">
        <v>64</v>
      </c>
      <c r="B1670">
        <v>2025</v>
      </c>
      <c r="C1670">
        <v>0.46</v>
      </c>
      <c r="D1670">
        <v>0.64</v>
      </c>
      <c r="E1670">
        <v>0.63</v>
      </c>
      <c r="F1670">
        <v>0.68</v>
      </c>
      <c r="G1670">
        <v>0.85</v>
      </c>
      <c r="H1670">
        <v>0.91</v>
      </c>
      <c r="I1670">
        <v>373</v>
      </c>
      <c r="J1670">
        <v>14</v>
      </c>
      <c r="K1670">
        <v>0.61</v>
      </c>
      <c r="L1670" t="s">
        <v>12</v>
      </c>
    </row>
    <row r="1671" spans="1:12" x14ac:dyDescent="0.3">
      <c r="A1671">
        <v>64</v>
      </c>
      <c r="B1671">
        <v>2025</v>
      </c>
      <c r="C1671">
        <v>0.48</v>
      </c>
      <c r="D1671">
        <v>0.78</v>
      </c>
      <c r="E1671">
        <v>0.51</v>
      </c>
      <c r="F1671">
        <v>0.89</v>
      </c>
      <c r="G1671">
        <v>0.66</v>
      </c>
      <c r="H1671">
        <v>0.61</v>
      </c>
      <c r="I1671">
        <v>298</v>
      </c>
      <c r="J1671">
        <v>15</v>
      </c>
      <c r="K1671">
        <v>0.64</v>
      </c>
      <c r="L1671" t="s">
        <v>12</v>
      </c>
    </row>
    <row r="1672" spans="1:12" x14ac:dyDescent="0.3">
      <c r="A1672">
        <v>64</v>
      </c>
      <c r="B1672">
        <v>2025</v>
      </c>
      <c r="C1672">
        <v>0.54</v>
      </c>
      <c r="D1672">
        <v>0.47</v>
      </c>
      <c r="E1672">
        <v>0.64</v>
      </c>
      <c r="F1672">
        <v>0.91</v>
      </c>
      <c r="G1672">
        <v>0.55000000000000004</v>
      </c>
      <c r="H1672">
        <v>0.81</v>
      </c>
      <c r="I1672">
        <v>165</v>
      </c>
      <c r="J1672">
        <v>12</v>
      </c>
      <c r="K1672">
        <v>0.6</v>
      </c>
      <c r="L1672" t="s">
        <v>12</v>
      </c>
    </row>
    <row r="1673" spans="1:12" x14ac:dyDescent="0.3">
      <c r="A1673">
        <v>64</v>
      </c>
      <c r="B1673">
        <v>2025</v>
      </c>
      <c r="C1673">
        <v>0.82</v>
      </c>
      <c r="D1673">
        <v>0.76</v>
      </c>
      <c r="E1673">
        <v>0.84</v>
      </c>
      <c r="F1673">
        <v>0.61</v>
      </c>
      <c r="G1673">
        <v>0.52</v>
      </c>
      <c r="H1673">
        <v>0.64</v>
      </c>
      <c r="I1673">
        <v>121</v>
      </c>
      <c r="J1673">
        <v>5</v>
      </c>
      <c r="K1673">
        <v>0.75</v>
      </c>
      <c r="L1673" t="s">
        <v>13</v>
      </c>
    </row>
    <row r="1674" spans="1:12" x14ac:dyDescent="0.3">
      <c r="A1674">
        <v>64</v>
      </c>
      <c r="B1674">
        <v>2025</v>
      </c>
      <c r="C1674">
        <v>0.48</v>
      </c>
      <c r="D1674">
        <v>0.56000000000000005</v>
      </c>
      <c r="E1674">
        <v>0.82</v>
      </c>
      <c r="F1674">
        <v>0.65</v>
      </c>
      <c r="G1674">
        <v>0.96</v>
      </c>
      <c r="H1674">
        <v>0.22</v>
      </c>
      <c r="I1674">
        <v>273</v>
      </c>
      <c r="J1674">
        <v>15</v>
      </c>
      <c r="K1674">
        <v>0.64</v>
      </c>
      <c r="L1674" t="s">
        <v>12</v>
      </c>
    </row>
    <row r="1675" spans="1:12" x14ac:dyDescent="0.3">
      <c r="A1675">
        <v>65</v>
      </c>
      <c r="B1675">
        <v>2025</v>
      </c>
      <c r="C1675">
        <v>0.52</v>
      </c>
      <c r="D1675">
        <v>0.68</v>
      </c>
      <c r="E1675">
        <v>0.64</v>
      </c>
      <c r="F1675">
        <v>0.98</v>
      </c>
      <c r="G1675">
        <v>0.52</v>
      </c>
      <c r="H1675">
        <v>0.1</v>
      </c>
      <c r="I1675">
        <v>418</v>
      </c>
      <c r="J1675">
        <v>1</v>
      </c>
      <c r="K1675">
        <v>0.65</v>
      </c>
      <c r="L1675" t="s">
        <v>12</v>
      </c>
    </row>
    <row r="1676" spans="1:12" x14ac:dyDescent="0.3">
      <c r="A1676">
        <v>65</v>
      </c>
      <c r="B1676">
        <v>2025</v>
      </c>
      <c r="C1676">
        <v>0.6</v>
      </c>
      <c r="D1676">
        <v>0.73</v>
      </c>
      <c r="E1676">
        <v>0.66</v>
      </c>
      <c r="F1676">
        <v>0.89</v>
      </c>
      <c r="G1676">
        <v>0.75</v>
      </c>
      <c r="H1676">
        <v>0.33</v>
      </c>
      <c r="I1676">
        <v>412</v>
      </c>
      <c r="J1676">
        <v>8</v>
      </c>
      <c r="K1676">
        <v>0.7</v>
      </c>
      <c r="L1676" t="s">
        <v>12</v>
      </c>
    </row>
    <row r="1677" spans="1:12" x14ac:dyDescent="0.3">
      <c r="A1677">
        <v>67</v>
      </c>
      <c r="B1677">
        <v>2025</v>
      </c>
      <c r="C1677">
        <v>0.63</v>
      </c>
      <c r="D1677">
        <v>0.74</v>
      </c>
      <c r="E1677">
        <v>0.65</v>
      </c>
      <c r="F1677">
        <v>0.73</v>
      </c>
      <c r="G1677">
        <v>0.97</v>
      </c>
      <c r="H1677">
        <v>0.89</v>
      </c>
      <c r="I1677">
        <v>454</v>
      </c>
      <c r="J1677">
        <v>18</v>
      </c>
      <c r="K1677">
        <v>0.71</v>
      </c>
      <c r="L1677" t="s">
        <v>13</v>
      </c>
    </row>
    <row r="1678" spans="1:12" x14ac:dyDescent="0.3">
      <c r="A1678">
        <v>67</v>
      </c>
      <c r="B1678">
        <v>2025</v>
      </c>
      <c r="C1678">
        <v>0.96</v>
      </c>
      <c r="D1678">
        <v>0.41</v>
      </c>
      <c r="E1678">
        <v>0.72</v>
      </c>
      <c r="F1678">
        <v>0.61</v>
      </c>
      <c r="G1678">
        <v>0.64</v>
      </c>
      <c r="H1678">
        <v>0.5</v>
      </c>
      <c r="I1678">
        <v>251</v>
      </c>
      <c r="J1678">
        <v>1</v>
      </c>
      <c r="K1678">
        <v>0.69</v>
      </c>
      <c r="L1678" t="s">
        <v>12</v>
      </c>
    </row>
    <row r="1679" spans="1:12" x14ac:dyDescent="0.3">
      <c r="A1679">
        <v>67</v>
      </c>
      <c r="B1679">
        <v>2025</v>
      </c>
      <c r="C1679">
        <v>0.32</v>
      </c>
      <c r="D1679">
        <v>0.91</v>
      </c>
      <c r="E1679">
        <v>0.73</v>
      </c>
      <c r="F1679">
        <v>0.64</v>
      </c>
      <c r="G1679">
        <v>0.79</v>
      </c>
      <c r="H1679">
        <v>0.49</v>
      </c>
      <c r="I1679">
        <v>114</v>
      </c>
      <c r="J1679">
        <v>6</v>
      </c>
      <c r="K1679">
        <v>0.64</v>
      </c>
      <c r="L1679" t="s">
        <v>12</v>
      </c>
    </row>
    <row r="1680" spans="1:12" x14ac:dyDescent="0.3">
      <c r="A1680">
        <v>67</v>
      </c>
      <c r="B1680">
        <v>2025</v>
      </c>
      <c r="C1680">
        <v>0.76</v>
      </c>
      <c r="D1680">
        <v>0.67</v>
      </c>
      <c r="E1680">
        <v>0.67</v>
      </c>
      <c r="F1680">
        <v>0.93</v>
      </c>
      <c r="G1680">
        <v>0.83</v>
      </c>
      <c r="H1680">
        <v>0.32</v>
      </c>
      <c r="I1680">
        <v>386</v>
      </c>
      <c r="J1680">
        <v>1</v>
      </c>
      <c r="K1680">
        <v>0.75</v>
      </c>
      <c r="L1680" t="s">
        <v>13</v>
      </c>
    </row>
    <row r="1681" spans="1:12" x14ac:dyDescent="0.3">
      <c r="A1681">
        <v>68</v>
      </c>
      <c r="B1681">
        <v>2025</v>
      </c>
      <c r="C1681">
        <v>0.44</v>
      </c>
      <c r="D1681">
        <v>0.65</v>
      </c>
      <c r="E1681">
        <v>0.85</v>
      </c>
      <c r="F1681">
        <v>0.66</v>
      </c>
      <c r="G1681">
        <v>0.39</v>
      </c>
      <c r="H1681">
        <v>0.97</v>
      </c>
      <c r="I1681">
        <v>155</v>
      </c>
      <c r="J1681">
        <v>18</v>
      </c>
      <c r="K1681">
        <v>0.6</v>
      </c>
      <c r="L1681" t="s">
        <v>12</v>
      </c>
    </row>
    <row r="1682" spans="1:12" x14ac:dyDescent="0.3">
      <c r="A1682">
        <v>68</v>
      </c>
      <c r="B1682">
        <v>2025</v>
      </c>
      <c r="C1682">
        <v>0.4</v>
      </c>
      <c r="D1682">
        <v>0.41</v>
      </c>
      <c r="E1682">
        <v>0.93</v>
      </c>
      <c r="F1682">
        <v>0.82</v>
      </c>
      <c r="G1682">
        <v>0.73</v>
      </c>
      <c r="H1682">
        <v>0.93</v>
      </c>
      <c r="I1682">
        <v>295</v>
      </c>
      <c r="J1682">
        <v>5</v>
      </c>
      <c r="K1682">
        <v>0.6</v>
      </c>
      <c r="L1682" t="s">
        <v>12</v>
      </c>
    </row>
    <row r="1683" spans="1:12" x14ac:dyDescent="0.3">
      <c r="A1683">
        <v>68</v>
      </c>
      <c r="B1683">
        <v>2025</v>
      </c>
      <c r="C1683">
        <v>0.92</v>
      </c>
      <c r="D1683">
        <v>0.54</v>
      </c>
      <c r="E1683">
        <v>0.64</v>
      </c>
      <c r="F1683">
        <v>0.62</v>
      </c>
      <c r="G1683">
        <v>0.86</v>
      </c>
      <c r="H1683">
        <v>0.42</v>
      </c>
      <c r="I1683">
        <v>301</v>
      </c>
      <c r="J1683">
        <v>15</v>
      </c>
      <c r="K1683">
        <v>0.72</v>
      </c>
      <c r="L1683" t="s">
        <v>13</v>
      </c>
    </row>
    <row r="1684" spans="1:12" x14ac:dyDescent="0.3">
      <c r="A1684">
        <v>68</v>
      </c>
      <c r="B1684">
        <v>2025</v>
      </c>
      <c r="C1684">
        <v>0.34</v>
      </c>
      <c r="D1684">
        <v>0.54</v>
      </c>
      <c r="E1684">
        <v>0.84</v>
      </c>
      <c r="F1684">
        <v>0.63</v>
      </c>
      <c r="G1684">
        <v>0.47</v>
      </c>
      <c r="H1684">
        <v>0.86</v>
      </c>
      <c r="I1684">
        <v>459</v>
      </c>
      <c r="J1684">
        <v>11</v>
      </c>
      <c r="K1684">
        <v>0.55000000000000004</v>
      </c>
      <c r="L1684" t="s">
        <v>12</v>
      </c>
    </row>
    <row r="1685" spans="1:12" x14ac:dyDescent="0.3">
      <c r="A1685">
        <v>68</v>
      </c>
      <c r="B1685">
        <v>2025</v>
      </c>
      <c r="C1685">
        <v>0.94</v>
      </c>
      <c r="D1685">
        <v>0.94</v>
      </c>
      <c r="E1685">
        <v>0.76</v>
      </c>
      <c r="F1685">
        <v>0.69</v>
      </c>
      <c r="G1685">
        <v>0.86</v>
      </c>
      <c r="H1685">
        <v>0.21</v>
      </c>
      <c r="I1685">
        <v>103</v>
      </c>
      <c r="J1685">
        <v>13</v>
      </c>
      <c r="K1685">
        <v>0.86</v>
      </c>
      <c r="L1685" t="s">
        <v>13</v>
      </c>
    </row>
    <row r="1686" spans="1:12" x14ac:dyDescent="0.3">
      <c r="A1686">
        <v>69</v>
      </c>
      <c r="B1686">
        <v>2025</v>
      </c>
      <c r="C1686">
        <v>0.92</v>
      </c>
      <c r="D1686">
        <v>0.51</v>
      </c>
      <c r="E1686">
        <v>0.64</v>
      </c>
      <c r="F1686">
        <v>0.88</v>
      </c>
      <c r="G1686">
        <v>0.89</v>
      </c>
      <c r="H1686">
        <v>0.86</v>
      </c>
      <c r="I1686">
        <v>103</v>
      </c>
      <c r="J1686">
        <v>0</v>
      </c>
      <c r="K1686">
        <v>0.75</v>
      </c>
      <c r="L1686" t="s">
        <v>13</v>
      </c>
    </row>
    <row r="1687" spans="1:12" x14ac:dyDescent="0.3">
      <c r="A1687">
        <v>69</v>
      </c>
      <c r="B1687">
        <v>2025</v>
      </c>
      <c r="C1687">
        <v>0.74</v>
      </c>
      <c r="D1687">
        <v>0.85</v>
      </c>
      <c r="E1687">
        <v>0.59</v>
      </c>
      <c r="F1687">
        <v>0.76</v>
      </c>
      <c r="G1687">
        <v>0.6</v>
      </c>
      <c r="H1687">
        <v>0.82</v>
      </c>
      <c r="I1687">
        <v>61</v>
      </c>
      <c r="J1687">
        <v>16</v>
      </c>
      <c r="K1687">
        <v>0.73</v>
      </c>
      <c r="L1687" t="s">
        <v>13</v>
      </c>
    </row>
    <row r="1688" spans="1:12" x14ac:dyDescent="0.3">
      <c r="A1688">
        <v>69</v>
      </c>
      <c r="B1688">
        <v>2025</v>
      </c>
      <c r="C1688">
        <v>0.6</v>
      </c>
      <c r="D1688">
        <v>0.84</v>
      </c>
      <c r="E1688">
        <v>0.91</v>
      </c>
      <c r="F1688">
        <v>0.66</v>
      </c>
      <c r="G1688">
        <v>0.88</v>
      </c>
      <c r="H1688">
        <v>0.54</v>
      </c>
      <c r="I1688">
        <v>171</v>
      </c>
      <c r="J1688">
        <v>13</v>
      </c>
      <c r="K1688">
        <v>0.76</v>
      </c>
      <c r="L1688" t="s">
        <v>13</v>
      </c>
    </row>
    <row r="1689" spans="1:12" x14ac:dyDescent="0.3">
      <c r="A1689">
        <v>69</v>
      </c>
      <c r="B1689">
        <v>2025</v>
      </c>
      <c r="C1689">
        <v>0.4</v>
      </c>
      <c r="D1689">
        <v>0.47</v>
      </c>
      <c r="E1689">
        <v>0.81</v>
      </c>
      <c r="F1689">
        <v>0.6</v>
      </c>
      <c r="G1689">
        <v>0.31</v>
      </c>
      <c r="H1689">
        <v>0.39</v>
      </c>
      <c r="I1689">
        <v>66</v>
      </c>
      <c r="J1689">
        <v>18</v>
      </c>
      <c r="K1689">
        <v>0.52</v>
      </c>
      <c r="L1689" t="s">
        <v>12</v>
      </c>
    </row>
    <row r="1690" spans="1:12" x14ac:dyDescent="0.3">
      <c r="A1690">
        <v>69</v>
      </c>
      <c r="B1690">
        <v>2025</v>
      </c>
      <c r="C1690">
        <v>0.79</v>
      </c>
      <c r="D1690">
        <v>0.67</v>
      </c>
      <c r="E1690">
        <v>0.76</v>
      </c>
      <c r="F1690">
        <v>0.81</v>
      </c>
      <c r="G1690">
        <v>0.78</v>
      </c>
      <c r="H1690">
        <v>0.05</v>
      </c>
      <c r="I1690">
        <v>114</v>
      </c>
      <c r="J1690">
        <v>12</v>
      </c>
      <c r="K1690">
        <v>0.76</v>
      </c>
      <c r="L1690" t="s">
        <v>13</v>
      </c>
    </row>
    <row r="1691" spans="1:12" x14ac:dyDescent="0.3">
      <c r="A1691">
        <v>69</v>
      </c>
      <c r="B1691">
        <v>2025</v>
      </c>
      <c r="C1691">
        <v>0.77</v>
      </c>
      <c r="D1691">
        <v>0.97</v>
      </c>
      <c r="E1691">
        <v>0.82</v>
      </c>
      <c r="F1691">
        <v>0.9</v>
      </c>
      <c r="G1691">
        <v>0.83</v>
      </c>
      <c r="H1691">
        <v>0.33</v>
      </c>
      <c r="I1691">
        <v>454</v>
      </c>
      <c r="J1691">
        <v>0</v>
      </c>
      <c r="K1691">
        <v>0.86</v>
      </c>
      <c r="L1691" t="s">
        <v>13</v>
      </c>
    </row>
    <row r="1692" spans="1:12" x14ac:dyDescent="0.3">
      <c r="A1692">
        <v>69</v>
      </c>
      <c r="B1692">
        <v>2025</v>
      </c>
      <c r="C1692">
        <v>0.54</v>
      </c>
      <c r="D1692">
        <v>0.9</v>
      </c>
      <c r="E1692">
        <v>0.66</v>
      </c>
      <c r="F1692">
        <v>0.85</v>
      </c>
      <c r="G1692">
        <v>0.99</v>
      </c>
      <c r="H1692">
        <v>0.88</v>
      </c>
      <c r="I1692">
        <v>453</v>
      </c>
      <c r="J1692">
        <v>4</v>
      </c>
      <c r="K1692">
        <v>0.75</v>
      </c>
      <c r="L1692" t="s">
        <v>13</v>
      </c>
    </row>
    <row r="1693" spans="1:12" x14ac:dyDescent="0.3">
      <c r="A1693">
        <v>70</v>
      </c>
      <c r="B1693">
        <v>2025</v>
      </c>
      <c r="C1693">
        <v>0.45</v>
      </c>
      <c r="D1693">
        <v>0.81</v>
      </c>
      <c r="E1693">
        <v>0.54</v>
      </c>
      <c r="F1693">
        <v>0.94</v>
      </c>
      <c r="G1693">
        <v>0.65</v>
      </c>
      <c r="H1693">
        <v>0.48</v>
      </c>
      <c r="I1693">
        <v>398</v>
      </c>
      <c r="J1693">
        <v>18</v>
      </c>
      <c r="K1693">
        <v>0.65</v>
      </c>
      <c r="L1693" t="s">
        <v>12</v>
      </c>
    </row>
    <row r="1694" spans="1:12" x14ac:dyDescent="0.3">
      <c r="A1694">
        <v>70</v>
      </c>
      <c r="B1694">
        <v>2025</v>
      </c>
      <c r="C1694">
        <v>0.96</v>
      </c>
      <c r="D1694">
        <v>0.6</v>
      </c>
      <c r="E1694">
        <v>0.76</v>
      </c>
      <c r="F1694">
        <v>0.86</v>
      </c>
      <c r="G1694">
        <v>0.36</v>
      </c>
      <c r="H1694">
        <v>0.49</v>
      </c>
      <c r="I1694">
        <v>66</v>
      </c>
      <c r="J1694">
        <v>12</v>
      </c>
      <c r="K1694">
        <v>0.76</v>
      </c>
      <c r="L1694" t="s">
        <v>13</v>
      </c>
    </row>
    <row r="1695" spans="1:12" x14ac:dyDescent="0.3">
      <c r="A1695">
        <v>70</v>
      </c>
      <c r="B1695">
        <v>2025</v>
      </c>
      <c r="C1695">
        <v>0.73</v>
      </c>
      <c r="D1695">
        <v>0.83</v>
      </c>
      <c r="E1695">
        <v>0.51</v>
      </c>
      <c r="F1695">
        <v>0.83</v>
      </c>
      <c r="G1695">
        <v>0.92</v>
      </c>
      <c r="H1695">
        <v>0.02</v>
      </c>
      <c r="I1695">
        <v>485</v>
      </c>
      <c r="J1695">
        <v>4</v>
      </c>
      <c r="K1695">
        <v>0.74</v>
      </c>
      <c r="L1695" t="s">
        <v>13</v>
      </c>
    </row>
    <row r="1696" spans="1:12" x14ac:dyDescent="0.3">
      <c r="A1696">
        <v>70</v>
      </c>
      <c r="B1696">
        <v>2025</v>
      </c>
      <c r="C1696">
        <v>0.95</v>
      </c>
      <c r="D1696">
        <v>0.47</v>
      </c>
      <c r="E1696">
        <v>0.62</v>
      </c>
      <c r="F1696">
        <v>0.96</v>
      </c>
      <c r="G1696">
        <v>0.42</v>
      </c>
      <c r="H1696">
        <v>0.68</v>
      </c>
      <c r="I1696">
        <v>125</v>
      </c>
      <c r="J1696">
        <v>5</v>
      </c>
      <c r="K1696">
        <v>0.71</v>
      </c>
      <c r="L1696" t="s">
        <v>13</v>
      </c>
    </row>
    <row r="1697" spans="1:12" x14ac:dyDescent="0.3">
      <c r="A1697">
        <v>71</v>
      </c>
      <c r="B1697">
        <v>2025</v>
      </c>
      <c r="C1697">
        <v>0.56999999999999995</v>
      </c>
      <c r="D1697">
        <v>0.94</v>
      </c>
      <c r="E1697">
        <v>0.6</v>
      </c>
      <c r="F1697">
        <v>0.8</v>
      </c>
      <c r="G1697">
        <v>0.59</v>
      </c>
      <c r="H1697">
        <v>0.02</v>
      </c>
      <c r="I1697">
        <v>66</v>
      </c>
      <c r="J1697">
        <v>10</v>
      </c>
      <c r="K1697">
        <v>0.7</v>
      </c>
      <c r="L1697" t="s">
        <v>12</v>
      </c>
    </row>
    <row r="1698" spans="1:12" x14ac:dyDescent="0.3">
      <c r="A1698">
        <v>71</v>
      </c>
      <c r="B1698">
        <v>2025</v>
      </c>
      <c r="C1698">
        <v>0.7</v>
      </c>
      <c r="D1698">
        <v>0.78</v>
      </c>
      <c r="E1698">
        <v>0.76</v>
      </c>
      <c r="F1698">
        <v>0.62</v>
      </c>
      <c r="G1698">
        <v>0.46</v>
      </c>
      <c r="H1698">
        <v>0.49</v>
      </c>
      <c r="I1698">
        <v>115</v>
      </c>
      <c r="J1698">
        <v>5</v>
      </c>
      <c r="K1698">
        <v>0.7</v>
      </c>
      <c r="L1698" t="s">
        <v>12</v>
      </c>
    </row>
    <row r="1699" spans="1:12" x14ac:dyDescent="0.3">
      <c r="A1699">
        <v>71</v>
      </c>
      <c r="B1699">
        <v>2025</v>
      </c>
      <c r="C1699">
        <v>0.32</v>
      </c>
      <c r="D1699">
        <v>0.63</v>
      </c>
      <c r="E1699">
        <v>0.95</v>
      </c>
      <c r="F1699">
        <v>0.71</v>
      </c>
      <c r="G1699">
        <v>0.49</v>
      </c>
      <c r="H1699">
        <v>0.3</v>
      </c>
      <c r="I1699">
        <v>364</v>
      </c>
      <c r="J1699">
        <v>14</v>
      </c>
      <c r="K1699">
        <v>0.6</v>
      </c>
      <c r="L1699" t="s">
        <v>12</v>
      </c>
    </row>
    <row r="1700" spans="1:12" x14ac:dyDescent="0.3">
      <c r="A1700">
        <v>72</v>
      </c>
      <c r="B1700">
        <v>2025</v>
      </c>
      <c r="C1700">
        <v>0.7</v>
      </c>
      <c r="D1700">
        <v>0.86</v>
      </c>
      <c r="E1700">
        <v>0.89</v>
      </c>
      <c r="F1700">
        <v>0.71</v>
      </c>
      <c r="G1700">
        <v>0.44</v>
      </c>
      <c r="H1700">
        <v>0.02</v>
      </c>
      <c r="I1700">
        <v>246</v>
      </c>
      <c r="J1700">
        <v>16</v>
      </c>
      <c r="K1700">
        <v>0.75</v>
      </c>
      <c r="L1700" t="s">
        <v>13</v>
      </c>
    </row>
    <row r="1701" spans="1:12" x14ac:dyDescent="0.3">
      <c r="A1701">
        <v>72</v>
      </c>
      <c r="B1701">
        <v>2025</v>
      </c>
      <c r="C1701">
        <v>0.61</v>
      </c>
      <c r="D1701">
        <v>0.44</v>
      </c>
      <c r="E1701">
        <v>0.79</v>
      </c>
      <c r="F1701">
        <v>0.84</v>
      </c>
      <c r="G1701">
        <v>0.82</v>
      </c>
      <c r="H1701">
        <v>0.03</v>
      </c>
      <c r="I1701">
        <v>156</v>
      </c>
      <c r="J1701">
        <v>0</v>
      </c>
      <c r="K1701">
        <v>0.66</v>
      </c>
      <c r="L1701" t="s">
        <v>12</v>
      </c>
    </row>
    <row r="1702" spans="1:12" x14ac:dyDescent="0.3">
      <c r="A1702">
        <v>73</v>
      </c>
      <c r="B1702">
        <v>2025</v>
      </c>
      <c r="C1702">
        <v>0.73</v>
      </c>
      <c r="D1702">
        <v>0.84</v>
      </c>
      <c r="E1702">
        <v>0.61</v>
      </c>
      <c r="F1702">
        <v>0.87</v>
      </c>
      <c r="G1702">
        <v>0.65</v>
      </c>
      <c r="H1702">
        <v>0.74</v>
      </c>
      <c r="I1702">
        <v>227</v>
      </c>
      <c r="J1702">
        <v>2</v>
      </c>
      <c r="K1702">
        <v>0.75</v>
      </c>
      <c r="L1702" t="s">
        <v>13</v>
      </c>
    </row>
    <row r="1703" spans="1:12" x14ac:dyDescent="0.3">
      <c r="A1703">
        <v>73</v>
      </c>
      <c r="B1703">
        <v>2025</v>
      </c>
      <c r="C1703">
        <v>0.81</v>
      </c>
      <c r="D1703">
        <v>0.92</v>
      </c>
      <c r="E1703">
        <v>0.83</v>
      </c>
      <c r="F1703">
        <v>0.8</v>
      </c>
      <c r="G1703">
        <v>0.41</v>
      </c>
      <c r="H1703">
        <v>0.05</v>
      </c>
      <c r="I1703">
        <v>418</v>
      </c>
      <c r="J1703">
        <v>12</v>
      </c>
      <c r="K1703">
        <v>0.8</v>
      </c>
      <c r="L1703" t="s">
        <v>13</v>
      </c>
    </row>
    <row r="1704" spans="1:12" x14ac:dyDescent="0.3">
      <c r="A1704">
        <v>73</v>
      </c>
      <c r="B1704">
        <v>2025</v>
      </c>
      <c r="C1704">
        <v>0.83</v>
      </c>
      <c r="D1704">
        <v>0.75</v>
      </c>
      <c r="E1704">
        <v>0.81</v>
      </c>
      <c r="F1704">
        <v>0.62</v>
      </c>
      <c r="G1704">
        <v>0.45</v>
      </c>
      <c r="H1704">
        <v>7.0000000000000007E-2</v>
      </c>
      <c r="I1704">
        <v>141</v>
      </c>
      <c r="J1704">
        <v>18</v>
      </c>
      <c r="K1704">
        <v>0.74</v>
      </c>
      <c r="L1704" t="s">
        <v>13</v>
      </c>
    </row>
    <row r="1705" spans="1:12" x14ac:dyDescent="0.3">
      <c r="A1705">
        <v>74</v>
      </c>
      <c r="B1705">
        <v>2025</v>
      </c>
      <c r="C1705">
        <v>0.43</v>
      </c>
      <c r="D1705">
        <v>0.57999999999999996</v>
      </c>
      <c r="E1705">
        <v>0.9</v>
      </c>
      <c r="F1705">
        <v>0.67</v>
      </c>
      <c r="G1705">
        <v>0.94</v>
      </c>
      <c r="H1705">
        <v>0.42</v>
      </c>
      <c r="I1705">
        <v>423</v>
      </c>
      <c r="J1705">
        <v>6</v>
      </c>
      <c r="K1705">
        <v>0.65</v>
      </c>
      <c r="L1705" t="s">
        <v>12</v>
      </c>
    </row>
    <row r="1706" spans="1:12" x14ac:dyDescent="0.3">
      <c r="A1706">
        <v>74</v>
      </c>
      <c r="B1706">
        <v>2025</v>
      </c>
      <c r="C1706">
        <v>0.5</v>
      </c>
      <c r="D1706">
        <v>0.93</v>
      </c>
      <c r="E1706">
        <v>0.52</v>
      </c>
      <c r="F1706">
        <v>0.69</v>
      </c>
      <c r="G1706">
        <v>0.93</v>
      </c>
      <c r="H1706">
        <v>0.26</v>
      </c>
      <c r="I1706">
        <v>148</v>
      </c>
      <c r="J1706">
        <v>4</v>
      </c>
      <c r="K1706">
        <v>0.68</v>
      </c>
      <c r="L1706" t="s">
        <v>12</v>
      </c>
    </row>
    <row r="1707" spans="1:12" x14ac:dyDescent="0.3">
      <c r="A1707">
        <v>74</v>
      </c>
      <c r="B1707">
        <v>2025</v>
      </c>
      <c r="C1707">
        <v>0.41</v>
      </c>
      <c r="D1707">
        <v>0.62</v>
      </c>
      <c r="E1707">
        <v>0.81</v>
      </c>
      <c r="F1707">
        <v>0.66</v>
      </c>
      <c r="G1707">
        <v>0.98</v>
      </c>
      <c r="H1707">
        <v>0.91</v>
      </c>
      <c r="I1707">
        <v>362</v>
      </c>
      <c r="J1707">
        <v>17</v>
      </c>
      <c r="K1707">
        <v>0.64</v>
      </c>
      <c r="L1707" t="s">
        <v>12</v>
      </c>
    </row>
    <row r="1708" spans="1:12" x14ac:dyDescent="0.3">
      <c r="A1708">
        <v>75</v>
      </c>
      <c r="B1708">
        <v>2025</v>
      </c>
      <c r="C1708">
        <v>0.33</v>
      </c>
      <c r="D1708">
        <v>0.65</v>
      </c>
      <c r="E1708">
        <v>0.98</v>
      </c>
      <c r="F1708">
        <v>0.82</v>
      </c>
      <c r="G1708">
        <v>0.6</v>
      </c>
      <c r="H1708">
        <v>0.56999999999999995</v>
      </c>
      <c r="I1708">
        <v>276</v>
      </c>
      <c r="J1708">
        <v>16</v>
      </c>
      <c r="K1708">
        <v>0.64</v>
      </c>
      <c r="L1708" t="s">
        <v>12</v>
      </c>
    </row>
    <row r="1709" spans="1:12" x14ac:dyDescent="0.3">
      <c r="A1709">
        <v>75</v>
      </c>
      <c r="B1709">
        <v>2025</v>
      </c>
      <c r="C1709">
        <v>0.31</v>
      </c>
      <c r="D1709">
        <v>0.78</v>
      </c>
      <c r="E1709">
        <v>0.96</v>
      </c>
      <c r="F1709">
        <v>0.85</v>
      </c>
      <c r="G1709">
        <v>0.91</v>
      </c>
      <c r="H1709">
        <v>0.72</v>
      </c>
      <c r="I1709">
        <v>204</v>
      </c>
      <c r="J1709">
        <v>1</v>
      </c>
      <c r="K1709">
        <v>0.7</v>
      </c>
      <c r="L1709" t="s">
        <v>12</v>
      </c>
    </row>
    <row r="1710" spans="1:12" x14ac:dyDescent="0.3">
      <c r="A1710">
        <v>75</v>
      </c>
      <c r="B1710">
        <v>2025</v>
      </c>
      <c r="C1710">
        <v>0.71</v>
      </c>
      <c r="D1710">
        <v>0.71</v>
      </c>
      <c r="E1710">
        <v>0.87</v>
      </c>
      <c r="F1710">
        <v>0.8</v>
      </c>
      <c r="G1710">
        <v>0.6</v>
      </c>
      <c r="H1710">
        <v>0.4</v>
      </c>
      <c r="I1710">
        <v>402</v>
      </c>
      <c r="J1710">
        <v>1</v>
      </c>
      <c r="K1710">
        <v>0.74</v>
      </c>
      <c r="L1710" t="s">
        <v>13</v>
      </c>
    </row>
    <row r="1711" spans="1:12" x14ac:dyDescent="0.3">
      <c r="A1711">
        <v>75</v>
      </c>
      <c r="B1711">
        <v>2025</v>
      </c>
      <c r="C1711">
        <v>0.59</v>
      </c>
      <c r="D1711">
        <v>0.74</v>
      </c>
      <c r="E1711">
        <v>0.82</v>
      </c>
      <c r="F1711">
        <v>0.74</v>
      </c>
      <c r="G1711">
        <v>0.94</v>
      </c>
      <c r="H1711">
        <v>0.13</v>
      </c>
      <c r="I1711">
        <v>224</v>
      </c>
      <c r="J1711">
        <v>17</v>
      </c>
      <c r="K1711">
        <v>0.73</v>
      </c>
      <c r="L1711" t="s">
        <v>13</v>
      </c>
    </row>
    <row r="1712" spans="1:12" x14ac:dyDescent="0.3">
      <c r="A1712">
        <v>75</v>
      </c>
      <c r="B1712">
        <v>2025</v>
      </c>
      <c r="C1712">
        <v>0.95</v>
      </c>
      <c r="D1712">
        <v>0.76</v>
      </c>
      <c r="E1712">
        <v>0.83</v>
      </c>
      <c r="F1712">
        <v>0.76</v>
      </c>
      <c r="G1712">
        <v>0.94</v>
      </c>
      <c r="H1712">
        <v>0.64</v>
      </c>
      <c r="I1712">
        <v>324</v>
      </c>
      <c r="J1712">
        <v>13</v>
      </c>
      <c r="K1712">
        <v>0.85</v>
      </c>
      <c r="L1712" t="s">
        <v>13</v>
      </c>
    </row>
    <row r="1713" spans="1:12" x14ac:dyDescent="0.3">
      <c r="A1713">
        <v>75</v>
      </c>
      <c r="B1713">
        <v>2025</v>
      </c>
      <c r="C1713">
        <v>0.5</v>
      </c>
      <c r="D1713">
        <v>0.73</v>
      </c>
      <c r="E1713">
        <v>0.85</v>
      </c>
      <c r="F1713">
        <v>0.65</v>
      </c>
      <c r="G1713">
        <v>0.87</v>
      </c>
      <c r="H1713">
        <v>0.61</v>
      </c>
      <c r="I1713">
        <v>211</v>
      </c>
      <c r="J1713">
        <v>16</v>
      </c>
      <c r="K1713">
        <v>0.69</v>
      </c>
      <c r="L1713" t="s">
        <v>12</v>
      </c>
    </row>
    <row r="1714" spans="1:12" x14ac:dyDescent="0.3">
      <c r="A1714">
        <v>76</v>
      </c>
      <c r="B1714">
        <v>2025</v>
      </c>
      <c r="C1714">
        <v>0.54</v>
      </c>
      <c r="D1714">
        <v>0.77</v>
      </c>
      <c r="E1714">
        <v>0.77</v>
      </c>
      <c r="F1714">
        <v>0.65</v>
      </c>
      <c r="G1714">
        <v>0.5</v>
      </c>
      <c r="H1714">
        <v>0.24</v>
      </c>
      <c r="I1714">
        <v>183</v>
      </c>
      <c r="J1714">
        <v>18</v>
      </c>
      <c r="K1714">
        <v>0.66</v>
      </c>
      <c r="L1714" t="s">
        <v>12</v>
      </c>
    </row>
    <row r="1715" spans="1:12" x14ac:dyDescent="0.3">
      <c r="A1715">
        <v>76</v>
      </c>
      <c r="B1715">
        <v>2025</v>
      </c>
      <c r="C1715">
        <v>0.9</v>
      </c>
      <c r="D1715">
        <v>0.91</v>
      </c>
      <c r="E1715">
        <v>0.55000000000000004</v>
      </c>
      <c r="F1715">
        <v>0.64</v>
      </c>
      <c r="G1715">
        <v>0.48</v>
      </c>
      <c r="H1715">
        <v>0.87</v>
      </c>
      <c r="I1715">
        <v>186</v>
      </c>
      <c r="J1715">
        <v>7</v>
      </c>
      <c r="K1715">
        <v>0.75</v>
      </c>
      <c r="L1715" t="s">
        <v>13</v>
      </c>
    </row>
    <row r="1716" spans="1:12" x14ac:dyDescent="0.3">
      <c r="A1716">
        <v>78</v>
      </c>
      <c r="B1716">
        <v>2025</v>
      </c>
      <c r="C1716">
        <v>0.73</v>
      </c>
      <c r="D1716">
        <v>0.75</v>
      </c>
      <c r="E1716">
        <v>0.77</v>
      </c>
      <c r="F1716">
        <v>0.86</v>
      </c>
      <c r="G1716">
        <v>0.48</v>
      </c>
      <c r="H1716">
        <v>0.08</v>
      </c>
      <c r="I1716">
        <v>196</v>
      </c>
      <c r="J1716">
        <v>14</v>
      </c>
      <c r="K1716">
        <v>0.74</v>
      </c>
      <c r="L1716" t="s">
        <v>13</v>
      </c>
    </row>
    <row r="1717" spans="1:12" x14ac:dyDescent="0.3">
      <c r="A1717">
        <v>78</v>
      </c>
      <c r="B1717">
        <v>2025</v>
      </c>
      <c r="C1717">
        <v>0.35</v>
      </c>
      <c r="D1717">
        <v>0.74</v>
      </c>
      <c r="E1717">
        <v>0.81</v>
      </c>
      <c r="F1717">
        <v>0.8</v>
      </c>
      <c r="G1717">
        <v>0.87</v>
      </c>
      <c r="H1717">
        <v>0.86</v>
      </c>
      <c r="I1717">
        <v>423</v>
      </c>
      <c r="J1717">
        <v>13</v>
      </c>
      <c r="K1717">
        <v>0.66</v>
      </c>
      <c r="L1717" t="s">
        <v>12</v>
      </c>
    </row>
    <row r="1718" spans="1:12" x14ac:dyDescent="0.3">
      <c r="A1718">
        <v>79</v>
      </c>
      <c r="B1718">
        <v>2025</v>
      </c>
      <c r="C1718">
        <v>0.83</v>
      </c>
      <c r="D1718">
        <v>0.48</v>
      </c>
      <c r="E1718">
        <v>0.77</v>
      </c>
      <c r="F1718">
        <v>0.69</v>
      </c>
      <c r="G1718">
        <v>0.31</v>
      </c>
      <c r="H1718">
        <v>0.24</v>
      </c>
      <c r="I1718">
        <v>262</v>
      </c>
      <c r="J1718">
        <v>17</v>
      </c>
      <c r="K1718">
        <v>0.66</v>
      </c>
      <c r="L1718" t="s">
        <v>12</v>
      </c>
    </row>
    <row r="1719" spans="1:12" x14ac:dyDescent="0.3">
      <c r="A1719">
        <v>79</v>
      </c>
      <c r="B1719">
        <v>2025</v>
      </c>
      <c r="C1719">
        <v>0.43</v>
      </c>
      <c r="D1719">
        <v>0.79</v>
      </c>
      <c r="E1719">
        <v>0.56999999999999995</v>
      </c>
      <c r="F1719">
        <v>0.82</v>
      </c>
      <c r="G1719">
        <v>0.67</v>
      </c>
      <c r="H1719">
        <v>0.73</v>
      </c>
      <c r="I1719">
        <v>123</v>
      </c>
      <c r="J1719">
        <v>14</v>
      </c>
      <c r="K1719">
        <v>0.63</v>
      </c>
      <c r="L1719" t="s">
        <v>12</v>
      </c>
    </row>
    <row r="1720" spans="1:12" x14ac:dyDescent="0.3">
      <c r="A1720">
        <v>79</v>
      </c>
      <c r="B1720">
        <v>2025</v>
      </c>
      <c r="C1720">
        <v>0.51</v>
      </c>
      <c r="D1720">
        <v>0.81</v>
      </c>
      <c r="E1720">
        <v>0.92</v>
      </c>
      <c r="F1720">
        <v>0.88</v>
      </c>
      <c r="G1720">
        <v>0.95</v>
      </c>
      <c r="H1720">
        <v>0.72</v>
      </c>
      <c r="I1720">
        <v>469</v>
      </c>
      <c r="J1720">
        <v>14</v>
      </c>
      <c r="K1720">
        <v>0.77</v>
      </c>
      <c r="L1720" t="s">
        <v>13</v>
      </c>
    </row>
    <row r="1721" spans="1:12" x14ac:dyDescent="0.3">
      <c r="A1721">
        <v>79</v>
      </c>
      <c r="B1721">
        <v>2025</v>
      </c>
      <c r="C1721">
        <v>0.3</v>
      </c>
      <c r="D1721">
        <v>0.88</v>
      </c>
      <c r="E1721">
        <v>0.67</v>
      </c>
      <c r="F1721">
        <v>0.73</v>
      </c>
      <c r="G1721">
        <v>0.56999999999999995</v>
      </c>
      <c r="H1721">
        <v>0.63</v>
      </c>
      <c r="I1721">
        <v>79</v>
      </c>
      <c r="J1721">
        <v>7</v>
      </c>
      <c r="K1721">
        <v>0.61</v>
      </c>
      <c r="L1721" t="s">
        <v>12</v>
      </c>
    </row>
    <row r="1722" spans="1:12" x14ac:dyDescent="0.3">
      <c r="A1722">
        <v>80</v>
      </c>
      <c r="B1722">
        <v>2025</v>
      </c>
      <c r="C1722">
        <v>0.75</v>
      </c>
      <c r="D1722">
        <v>0.64</v>
      </c>
      <c r="E1722">
        <v>0.64</v>
      </c>
      <c r="F1722">
        <v>0.99</v>
      </c>
      <c r="G1722">
        <v>0.59</v>
      </c>
      <c r="H1722">
        <v>0.89</v>
      </c>
      <c r="I1722">
        <v>64</v>
      </c>
      <c r="J1722">
        <v>1</v>
      </c>
      <c r="K1722">
        <v>0.72</v>
      </c>
      <c r="L1722" t="s">
        <v>13</v>
      </c>
    </row>
    <row r="1723" spans="1:12" x14ac:dyDescent="0.3">
      <c r="A1723">
        <v>80</v>
      </c>
      <c r="B1723">
        <v>2025</v>
      </c>
      <c r="C1723">
        <v>0.54</v>
      </c>
      <c r="D1723">
        <v>0.78</v>
      </c>
      <c r="E1723">
        <v>0.6</v>
      </c>
      <c r="F1723">
        <v>0.66</v>
      </c>
      <c r="G1723">
        <v>0.96</v>
      </c>
      <c r="H1723">
        <v>0.92</v>
      </c>
      <c r="I1723">
        <v>52</v>
      </c>
      <c r="J1723">
        <v>17</v>
      </c>
      <c r="K1723">
        <v>0.67</v>
      </c>
      <c r="L1723" t="s">
        <v>12</v>
      </c>
    </row>
    <row r="1724" spans="1:12" x14ac:dyDescent="0.3">
      <c r="A1724">
        <v>80</v>
      </c>
      <c r="B1724">
        <v>2025</v>
      </c>
      <c r="C1724">
        <v>0.77</v>
      </c>
      <c r="D1724">
        <v>0.52</v>
      </c>
      <c r="E1724">
        <v>0.54</v>
      </c>
      <c r="F1724">
        <v>0.93</v>
      </c>
      <c r="G1724">
        <v>0.36</v>
      </c>
      <c r="H1724">
        <v>0.09</v>
      </c>
      <c r="I1724">
        <v>361</v>
      </c>
      <c r="J1724">
        <v>3</v>
      </c>
      <c r="K1724">
        <v>0.64</v>
      </c>
      <c r="L1724" t="s">
        <v>12</v>
      </c>
    </row>
    <row r="1725" spans="1:12" x14ac:dyDescent="0.3">
      <c r="A1725">
        <v>80</v>
      </c>
      <c r="B1725">
        <v>2025</v>
      </c>
      <c r="C1725">
        <v>0.43</v>
      </c>
      <c r="D1725">
        <v>0.86</v>
      </c>
      <c r="E1725">
        <v>0.7</v>
      </c>
      <c r="F1725">
        <v>0.95</v>
      </c>
      <c r="G1725">
        <v>0.67</v>
      </c>
      <c r="H1725">
        <v>0.02</v>
      </c>
      <c r="I1725">
        <v>306</v>
      </c>
      <c r="J1725">
        <v>10</v>
      </c>
      <c r="K1725">
        <v>0.69</v>
      </c>
      <c r="L1725" t="s">
        <v>12</v>
      </c>
    </row>
    <row r="1726" spans="1:12" x14ac:dyDescent="0.3">
      <c r="A1726">
        <v>81</v>
      </c>
      <c r="B1726">
        <v>2025</v>
      </c>
      <c r="C1726">
        <v>0.86</v>
      </c>
      <c r="D1726">
        <v>0.68</v>
      </c>
      <c r="E1726">
        <v>0.92</v>
      </c>
      <c r="F1726">
        <v>0.91</v>
      </c>
      <c r="G1726">
        <v>0.35</v>
      </c>
      <c r="H1726">
        <v>0.05</v>
      </c>
      <c r="I1726">
        <v>311</v>
      </c>
      <c r="J1726">
        <v>1</v>
      </c>
      <c r="K1726">
        <v>0.78</v>
      </c>
      <c r="L1726" t="s">
        <v>13</v>
      </c>
    </row>
    <row r="1727" spans="1:12" x14ac:dyDescent="0.3">
      <c r="A1727">
        <v>81</v>
      </c>
      <c r="B1727">
        <v>2025</v>
      </c>
      <c r="C1727">
        <v>0.87</v>
      </c>
      <c r="D1727">
        <v>0.97</v>
      </c>
      <c r="E1727">
        <v>0.55000000000000004</v>
      </c>
      <c r="F1727">
        <v>0.66</v>
      </c>
      <c r="G1727">
        <v>0.97</v>
      </c>
      <c r="H1727">
        <v>0.54</v>
      </c>
      <c r="I1727">
        <v>66</v>
      </c>
      <c r="J1727">
        <v>14</v>
      </c>
      <c r="K1727">
        <v>0.81</v>
      </c>
      <c r="L1727" t="s">
        <v>13</v>
      </c>
    </row>
    <row r="1728" spans="1:12" x14ac:dyDescent="0.3">
      <c r="A1728">
        <v>81</v>
      </c>
      <c r="B1728">
        <v>2025</v>
      </c>
      <c r="C1728">
        <v>0.91</v>
      </c>
      <c r="D1728">
        <v>0.84</v>
      </c>
      <c r="E1728">
        <v>0.63</v>
      </c>
      <c r="F1728">
        <v>0.63</v>
      </c>
      <c r="G1728">
        <v>0.49</v>
      </c>
      <c r="H1728">
        <v>0.91</v>
      </c>
      <c r="I1728">
        <v>430</v>
      </c>
      <c r="J1728">
        <v>17</v>
      </c>
      <c r="K1728">
        <v>0.75</v>
      </c>
      <c r="L1728" t="s">
        <v>13</v>
      </c>
    </row>
    <row r="1729" spans="1:12" x14ac:dyDescent="0.3">
      <c r="A1729">
        <v>81</v>
      </c>
      <c r="B1729">
        <v>2025</v>
      </c>
      <c r="C1729">
        <v>0.44</v>
      </c>
      <c r="D1729">
        <v>0.45</v>
      </c>
      <c r="E1729">
        <v>0.74</v>
      </c>
      <c r="F1729">
        <v>0.6</v>
      </c>
      <c r="G1729">
        <v>0.36</v>
      </c>
      <c r="H1729">
        <v>0.81</v>
      </c>
      <c r="I1729">
        <v>277</v>
      </c>
      <c r="J1729">
        <v>12</v>
      </c>
      <c r="K1729">
        <v>0.52</v>
      </c>
      <c r="L1729" t="s">
        <v>12</v>
      </c>
    </row>
    <row r="1730" spans="1:12" x14ac:dyDescent="0.3">
      <c r="A1730">
        <v>81</v>
      </c>
      <c r="B1730">
        <v>2025</v>
      </c>
      <c r="C1730">
        <v>0.67</v>
      </c>
      <c r="D1730">
        <v>0.54</v>
      </c>
      <c r="E1730">
        <v>0.87</v>
      </c>
      <c r="F1730">
        <v>0.81</v>
      </c>
      <c r="G1730">
        <v>0.59</v>
      </c>
      <c r="H1730">
        <v>0.27</v>
      </c>
      <c r="I1730">
        <v>85</v>
      </c>
      <c r="J1730">
        <v>14</v>
      </c>
      <c r="K1730">
        <v>0.69</v>
      </c>
      <c r="L1730" t="s">
        <v>12</v>
      </c>
    </row>
    <row r="1731" spans="1:12" x14ac:dyDescent="0.3">
      <c r="A1731">
        <v>81</v>
      </c>
      <c r="B1731">
        <v>2025</v>
      </c>
      <c r="C1731">
        <v>0.48</v>
      </c>
      <c r="D1731">
        <v>0.47</v>
      </c>
      <c r="E1731">
        <v>0.94</v>
      </c>
      <c r="F1731">
        <v>0.68</v>
      </c>
      <c r="G1731">
        <v>0.88</v>
      </c>
      <c r="H1731">
        <v>0.41</v>
      </c>
      <c r="I1731">
        <v>379</v>
      </c>
      <c r="J1731">
        <v>11</v>
      </c>
      <c r="K1731">
        <v>0.64</v>
      </c>
      <c r="L1731" t="s">
        <v>12</v>
      </c>
    </row>
    <row r="1732" spans="1:12" x14ac:dyDescent="0.3">
      <c r="A1732">
        <v>82</v>
      </c>
      <c r="B1732">
        <v>2025</v>
      </c>
      <c r="C1732">
        <v>0.71</v>
      </c>
      <c r="D1732">
        <v>0.98</v>
      </c>
      <c r="E1732">
        <v>0.8</v>
      </c>
      <c r="F1732">
        <v>0.71</v>
      </c>
      <c r="G1732">
        <v>0.51</v>
      </c>
      <c r="H1732">
        <v>0.17</v>
      </c>
      <c r="I1732">
        <v>394</v>
      </c>
      <c r="J1732">
        <v>6</v>
      </c>
      <c r="K1732">
        <v>0.78</v>
      </c>
      <c r="L1732" t="s">
        <v>13</v>
      </c>
    </row>
    <row r="1733" spans="1:12" x14ac:dyDescent="0.3">
      <c r="A1733">
        <v>82</v>
      </c>
      <c r="B1733">
        <v>2025</v>
      </c>
      <c r="C1733">
        <v>0.32</v>
      </c>
      <c r="D1733">
        <v>0.47</v>
      </c>
      <c r="E1733">
        <v>0.71</v>
      </c>
      <c r="F1733">
        <v>0.63</v>
      </c>
      <c r="G1733">
        <v>0.57999999999999996</v>
      </c>
      <c r="H1733">
        <v>0.47</v>
      </c>
      <c r="I1733">
        <v>406</v>
      </c>
      <c r="J1733">
        <v>13</v>
      </c>
      <c r="K1733">
        <v>0.51</v>
      </c>
      <c r="L1733" t="s">
        <v>12</v>
      </c>
    </row>
    <row r="1734" spans="1:12" x14ac:dyDescent="0.3">
      <c r="A1734">
        <v>82</v>
      </c>
      <c r="B1734">
        <v>2025</v>
      </c>
      <c r="C1734">
        <v>0.5</v>
      </c>
      <c r="D1734">
        <v>0.52</v>
      </c>
      <c r="E1734">
        <v>0.63</v>
      </c>
      <c r="F1734">
        <v>0.67</v>
      </c>
      <c r="G1734">
        <v>0.37</v>
      </c>
      <c r="H1734">
        <v>0.42</v>
      </c>
      <c r="I1734">
        <v>441</v>
      </c>
      <c r="J1734">
        <v>17</v>
      </c>
      <c r="K1734">
        <v>0.54</v>
      </c>
      <c r="L1734" t="s">
        <v>12</v>
      </c>
    </row>
    <row r="1735" spans="1:12" x14ac:dyDescent="0.3">
      <c r="A1735">
        <v>82</v>
      </c>
      <c r="B1735">
        <v>2025</v>
      </c>
      <c r="C1735">
        <v>1</v>
      </c>
      <c r="D1735">
        <v>0.62</v>
      </c>
      <c r="E1735">
        <v>0.53</v>
      </c>
      <c r="F1735">
        <v>0.94</v>
      </c>
      <c r="G1735">
        <v>1</v>
      </c>
      <c r="H1735">
        <v>0.82</v>
      </c>
      <c r="I1735">
        <v>182</v>
      </c>
      <c r="J1735">
        <v>14</v>
      </c>
      <c r="K1735">
        <v>0.8</v>
      </c>
      <c r="L1735" t="s">
        <v>13</v>
      </c>
    </row>
    <row r="1736" spans="1:12" x14ac:dyDescent="0.3">
      <c r="A1736">
        <v>83</v>
      </c>
      <c r="B1736">
        <v>2025</v>
      </c>
      <c r="C1736">
        <v>0.82</v>
      </c>
      <c r="D1736">
        <v>0.71</v>
      </c>
      <c r="E1736">
        <v>0.84</v>
      </c>
      <c r="F1736">
        <v>0.62</v>
      </c>
      <c r="G1736">
        <v>0.36</v>
      </c>
      <c r="H1736">
        <v>0.72</v>
      </c>
      <c r="I1736">
        <v>158</v>
      </c>
      <c r="J1736">
        <v>18</v>
      </c>
      <c r="K1736">
        <v>0.72</v>
      </c>
      <c r="L1736" t="s">
        <v>13</v>
      </c>
    </row>
    <row r="1737" spans="1:12" x14ac:dyDescent="0.3">
      <c r="A1737">
        <v>83</v>
      </c>
      <c r="B1737">
        <v>2025</v>
      </c>
      <c r="C1737">
        <v>0.82</v>
      </c>
      <c r="D1737">
        <v>0.99</v>
      </c>
      <c r="E1737">
        <v>0.6</v>
      </c>
      <c r="F1737">
        <v>0.93</v>
      </c>
      <c r="G1737">
        <v>0.66</v>
      </c>
      <c r="H1737">
        <v>0.37</v>
      </c>
      <c r="I1737">
        <v>399</v>
      </c>
      <c r="J1737">
        <v>16</v>
      </c>
      <c r="K1737">
        <v>0.82</v>
      </c>
      <c r="L1737" t="s">
        <v>13</v>
      </c>
    </row>
    <row r="1738" spans="1:12" x14ac:dyDescent="0.3">
      <c r="A1738">
        <v>83</v>
      </c>
      <c r="B1738">
        <v>2025</v>
      </c>
      <c r="C1738">
        <v>0.71</v>
      </c>
      <c r="D1738">
        <v>0.69</v>
      </c>
      <c r="E1738">
        <v>0.82</v>
      </c>
      <c r="F1738">
        <v>0.69</v>
      </c>
      <c r="G1738">
        <v>0.69</v>
      </c>
      <c r="H1738">
        <v>0.37</v>
      </c>
      <c r="I1738">
        <v>209</v>
      </c>
      <c r="J1738">
        <v>5</v>
      </c>
      <c r="K1738">
        <v>0.72</v>
      </c>
      <c r="L1738" t="s">
        <v>13</v>
      </c>
    </row>
    <row r="1739" spans="1:12" x14ac:dyDescent="0.3">
      <c r="A1739">
        <v>83</v>
      </c>
      <c r="B1739">
        <v>2025</v>
      </c>
      <c r="C1739">
        <v>0.48</v>
      </c>
      <c r="D1739">
        <v>0.64</v>
      </c>
      <c r="E1739">
        <v>0.69</v>
      </c>
      <c r="F1739">
        <v>0.92</v>
      </c>
      <c r="G1739">
        <v>0.62</v>
      </c>
      <c r="H1739">
        <v>0.17</v>
      </c>
      <c r="I1739">
        <v>97</v>
      </c>
      <c r="J1739">
        <v>12</v>
      </c>
      <c r="K1739">
        <v>0.64</v>
      </c>
      <c r="L1739" t="s">
        <v>12</v>
      </c>
    </row>
    <row r="1740" spans="1:12" x14ac:dyDescent="0.3">
      <c r="A1740">
        <v>83</v>
      </c>
      <c r="B1740">
        <v>2025</v>
      </c>
      <c r="C1740">
        <v>0.78</v>
      </c>
      <c r="D1740">
        <v>0.79</v>
      </c>
      <c r="E1740">
        <v>0.71</v>
      </c>
      <c r="F1740">
        <v>0.77</v>
      </c>
      <c r="G1740">
        <v>0.4</v>
      </c>
      <c r="H1740">
        <v>0.51</v>
      </c>
      <c r="I1740">
        <v>332</v>
      </c>
      <c r="J1740">
        <v>6</v>
      </c>
      <c r="K1740">
        <v>0.73</v>
      </c>
      <c r="L1740" t="s">
        <v>13</v>
      </c>
    </row>
    <row r="1741" spans="1:12" x14ac:dyDescent="0.3">
      <c r="A1741">
        <v>83</v>
      </c>
      <c r="B1741">
        <v>2025</v>
      </c>
      <c r="C1741">
        <v>0.8</v>
      </c>
      <c r="D1741">
        <v>0.7</v>
      </c>
      <c r="E1741">
        <v>0.52</v>
      </c>
      <c r="F1741">
        <v>0.83</v>
      </c>
      <c r="G1741">
        <v>0.33</v>
      </c>
      <c r="H1741">
        <v>0.6</v>
      </c>
      <c r="I1741">
        <v>397</v>
      </c>
      <c r="J1741">
        <v>15</v>
      </c>
      <c r="K1741">
        <v>0.68</v>
      </c>
      <c r="L1741" t="s">
        <v>12</v>
      </c>
    </row>
    <row r="1742" spans="1:12" x14ac:dyDescent="0.3">
      <c r="A1742">
        <v>83</v>
      </c>
      <c r="B1742">
        <v>2025</v>
      </c>
      <c r="C1742">
        <v>0.59</v>
      </c>
      <c r="D1742">
        <v>0.45</v>
      </c>
      <c r="E1742">
        <v>0.55000000000000004</v>
      </c>
      <c r="F1742">
        <v>0.71</v>
      </c>
      <c r="G1742">
        <v>0.74</v>
      </c>
      <c r="H1742">
        <v>0.53</v>
      </c>
      <c r="I1742">
        <v>285</v>
      </c>
      <c r="J1742">
        <v>5</v>
      </c>
      <c r="K1742">
        <v>0.57999999999999996</v>
      </c>
      <c r="L1742" t="s">
        <v>12</v>
      </c>
    </row>
    <row r="1743" spans="1:12" x14ac:dyDescent="0.3">
      <c r="A1743">
        <v>83</v>
      </c>
      <c r="B1743">
        <v>2025</v>
      </c>
      <c r="C1743">
        <v>0.44</v>
      </c>
      <c r="D1743">
        <v>0.92</v>
      </c>
      <c r="E1743">
        <v>0.63</v>
      </c>
      <c r="F1743">
        <v>0.85</v>
      </c>
      <c r="G1743">
        <v>0.42</v>
      </c>
      <c r="H1743">
        <v>0.4</v>
      </c>
      <c r="I1743">
        <v>497</v>
      </c>
      <c r="J1743">
        <v>15</v>
      </c>
      <c r="K1743">
        <v>0.66</v>
      </c>
      <c r="L1743" t="s">
        <v>12</v>
      </c>
    </row>
    <row r="1744" spans="1:12" x14ac:dyDescent="0.3">
      <c r="A1744">
        <v>84</v>
      </c>
      <c r="B1744">
        <v>2025</v>
      </c>
      <c r="C1744">
        <v>0.78</v>
      </c>
      <c r="D1744">
        <v>0.5</v>
      </c>
      <c r="E1744">
        <v>0.96</v>
      </c>
      <c r="F1744">
        <v>0.93</v>
      </c>
      <c r="G1744">
        <v>0.96</v>
      </c>
      <c r="H1744">
        <v>0.73</v>
      </c>
      <c r="I1744">
        <v>352</v>
      </c>
      <c r="J1744">
        <v>1</v>
      </c>
      <c r="K1744">
        <v>0.79</v>
      </c>
      <c r="L1744" t="s">
        <v>13</v>
      </c>
    </row>
    <row r="1745" spans="1:12" x14ac:dyDescent="0.3">
      <c r="A1745">
        <v>84</v>
      </c>
      <c r="B1745">
        <v>2025</v>
      </c>
      <c r="C1745">
        <v>0.48</v>
      </c>
      <c r="D1745">
        <v>0.88</v>
      </c>
      <c r="E1745">
        <v>0.71</v>
      </c>
      <c r="F1745">
        <v>1</v>
      </c>
      <c r="G1745">
        <v>0.36</v>
      </c>
      <c r="H1745">
        <v>0.78</v>
      </c>
      <c r="I1745">
        <v>446</v>
      </c>
      <c r="J1745">
        <v>19</v>
      </c>
      <c r="K1745">
        <v>0.69</v>
      </c>
      <c r="L1745" t="s">
        <v>12</v>
      </c>
    </row>
    <row r="1746" spans="1:12" x14ac:dyDescent="0.3">
      <c r="A1746">
        <v>84</v>
      </c>
      <c r="B1746">
        <v>2025</v>
      </c>
      <c r="C1746">
        <v>0.81</v>
      </c>
      <c r="D1746">
        <v>0.81</v>
      </c>
      <c r="E1746">
        <v>0.98</v>
      </c>
      <c r="F1746">
        <v>0.92</v>
      </c>
      <c r="G1746">
        <v>0.4</v>
      </c>
      <c r="H1746">
        <v>0.35</v>
      </c>
      <c r="I1746">
        <v>79</v>
      </c>
      <c r="J1746">
        <v>18</v>
      </c>
      <c r="K1746">
        <v>0.82</v>
      </c>
      <c r="L1746" t="s">
        <v>13</v>
      </c>
    </row>
    <row r="1747" spans="1:12" x14ac:dyDescent="0.3">
      <c r="A1747">
        <v>84</v>
      </c>
      <c r="B1747">
        <v>2025</v>
      </c>
      <c r="C1747">
        <v>0.79</v>
      </c>
      <c r="D1747">
        <v>0.94</v>
      </c>
      <c r="E1747">
        <v>0.9</v>
      </c>
      <c r="F1747">
        <v>0.71</v>
      </c>
      <c r="G1747">
        <v>0.92</v>
      </c>
      <c r="H1747">
        <v>0.83</v>
      </c>
      <c r="I1747">
        <v>382</v>
      </c>
      <c r="J1747">
        <v>18</v>
      </c>
      <c r="K1747">
        <v>0.85</v>
      </c>
      <c r="L1747" t="s">
        <v>13</v>
      </c>
    </row>
    <row r="1748" spans="1:12" x14ac:dyDescent="0.3">
      <c r="A1748">
        <v>85</v>
      </c>
      <c r="B1748">
        <v>2025</v>
      </c>
      <c r="C1748">
        <v>0.96</v>
      </c>
      <c r="D1748">
        <v>0.88</v>
      </c>
      <c r="E1748">
        <v>0.59</v>
      </c>
      <c r="F1748">
        <v>0.76</v>
      </c>
      <c r="G1748">
        <v>0.55000000000000004</v>
      </c>
      <c r="H1748">
        <v>0.79</v>
      </c>
      <c r="I1748">
        <v>123</v>
      </c>
      <c r="J1748">
        <v>1</v>
      </c>
      <c r="K1748">
        <v>0.8</v>
      </c>
      <c r="L1748" t="s">
        <v>13</v>
      </c>
    </row>
    <row r="1749" spans="1:12" x14ac:dyDescent="0.3">
      <c r="A1749">
        <v>85</v>
      </c>
      <c r="B1749">
        <v>2025</v>
      </c>
      <c r="C1749">
        <v>0.59</v>
      </c>
      <c r="D1749">
        <v>0.47</v>
      </c>
      <c r="E1749">
        <v>0.72</v>
      </c>
      <c r="F1749">
        <v>0.74</v>
      </c>
      <c r="G1749">
        <v>0.46</v>
      </c>
      <c r="H1749">
        <v>0.64</v>
      </c>
      <c r="I1749">
        <v>411</v>
      </c>
      <c r="J1749">
        <v>2</v>
      </c>
      <c r="K1749">
        <v>0.6</v>
      </c>
      <c r="L1749" t="s">
        <v>12</v>
      </c>
    </row>
    <row r="1750" spans="1:12" x14ac:dyDescent="0.3">
      <c r="A1750">
        <v>86</v>
      </c>
      <c r="B1750">
        <v>2025</v>
      </c>
      <c r="C1750">
        <v>0.76</v>
      </c>
      <c r="D1750">
        <v>0.5</v>
      </c>
      <c r="E1750">
        <v>0.63</v>
      </c>
      <c r="F1750">
        <v>0.98</v>
      </c>
      <c r="G1750">
        <v>0.69</v>
      </c>
      <c r="H1750">
        <v>0.75</v>
      </c>
      <c r="I1750">
        <v>418</v>
      </c>
      <c r="J1750">
        <v>1</v>
      </c>
      <c r="K1750">
        <v>0.7</v>
      </c>
      <c r="L1750" t="s">
        <v>12</v>
      </c>
    </row>
    <row r="1751" spans="1:12" x14ac:dyDescent="0.3">
      <c r="A1751">
        <v>86</v>
      </c>
      <c r="B1751">
        <v>2025</v>
      </c>
      <c r="C1751">
        <v>0.41</v>
      </c>
      <c r="D1751">
        <v>0.57999999999999996</v>
      </c>
      <c r="E1751">
        <v>0.62</v>
      </c>
      <c r="F1751">
        <v>0.75</v>
      </c>
      <c r="G1751">
        <v>0.48</v>
      </c>
      <c r="H1751">
        <v>0.49</v>
      </c>
      <c r="I1751">
        <v>58</v>
      </c>
      <c r="J1751">
        <v>18</v>
      </c>
      <c r="K1751">
        <v>0.55000000000000004</v>
      </c>
      <c r="L1751" t="s">
        <v>12</v>
      </c>
    </row>
    <row r="1752" spans="1:12" x14ac:dyDescent="0.3">
      <c r="A1752">
        <v>86</v>
      </c>
      <c r="B1752">
        <v>2025</v>
      </c>
      <c r="C1752">
        <v>0.68</v>
      </c>
      <c r="D1752">
        <v>0.65</v>
      </c>
      <c r="E1752">
        <v>0.76</v>
      </c>
      <c r="F1752">
        <v>0.82</v>
      </c>
      <c r="G1752">
        <v>0.56999999999999995</v>
      </c>
      <c r="H1752">
        <v>1</v>
      </c>
      <c r="I1752">
        <v>57</v>
      </c>
      <c r="J1752">
        <v>2</v>
      </c>
      <c r="K1752">
        <v>0.7</v>
      </c>
      <c r="L1752" t="s">
        <v>12</v>
      </c>
    </row>
    <row r="1753" spans="1:12" x14ac:dyDescent="0.3">
      <c r="A1753">
        <v>87</v>
      </c>
      <c r="B1753">
        <v>2025</v>
      </c>
      <c r="C1753">
        <v>0.45</v>
      </c>
      <c r="D1753">
        <v>0.53</v>
      </c>
      <c r="E1753">
        <v>0.86</v>
      </c>
      <c r="F1753">
        <v>0.8</v>
      </c>
      <c r="G1753">
        <v>0.59</v>
      </c>
      <c r="H1753">
        <v>0.17</v>
      </c>
      <c r="I1753">
        <v>222</v>
      </c>
      <c r="J1753">
        <v>9</v>
      </c>
      <c r="K1753">
        <v>0.62</v>
      </c>
      <c r="L1753" t="s">
        <v>12</v>
      </c>
    </row>
    <row r="1754" spans="1:12" x14ac:dyDescent="0.3">
      <c r="A1754">
        <v>87</v>
      </c>
      <c r="B1754">
        <v>2025</v>
      </c>
      <c r="C1754">
        <v>0.65</v>
      </c>
      <c r="D1754">
        <v>0.81</v>
      </c>
      <c r="E1754">
        <v>0.82</v>
      </c>
      <c r="F1754">
        <v>0.92</v>
      </c>
      <c r="G1754">
        <v>0.33</v>
      </c>
      <c r="H1754">
        <v>0.3</v>
      </c>
      <c r="I1754">
        <v>182</v>
      </c>
      <c r="J1754">
        <v>4</v>
      </c>
      <c r="K1754">
        <v>0.73</v>
      </c>
      <c r="L1754" t="s">
        <v>13</v>
      </c>
    </row>
    <row r="1755" spans="1:12" x14ac:dyDescent="0.3">
      <c r="A1755">
        <v>87</v>
      </c>
      <c r="B1755">
        <v>2025</v>
      </c>
      <c r="C1755">
        <v>0.81</v>
      </c>
      <c r="D1755">
        <v>0.67</v>
      </c>
      <c r="E1755">
        <v>0.53</v>
      </c>
      <c r="F1755">
        <v>0.92</v>
      </c>
      <c r="G1755">
        <v>0.32</v>
      </c>
      <c r="H1755">
        <v>0.7</v>
      </c>
      <c r="I1755">
        <v>106</v>
      </c>
      <c r="J1755">
        <v>13</v>
      </c>
      <c r="K1755">
        <v>0.69</v>
      </c>
      <c r="L1755" t="s">
        <v>12</v>
      </c>
    </row>
    <row r="1756" spans="1:12" x14ac:dyDescent="0.3">
      <c r="A1756">
        <v>87</v>
      </c>
      <c r="B1756">
        <v>2025</v>
      </c>
      <c r="C1756">
        <v>0.83</v>
      </c>
      <c r="D1756">
        <v>0.44</v>
      </c>
      <c r="E1756">
        <v>0.61</v>
      </c>
      <c r="F1756">
        <v>0.79</v>
      </c>
      <c r="G1756">
        <v>0.72</v>
      </c>
      <c r="H1756">
        <v>0.34</v>
      </c>
      <c r="I1756">
        <v>282</v>
      </c>
      <c r="J1756">
        <v>2</v>
      </c>
      <c r="K1756">
        <v>0.67</v>
      </c>
      <c r="L1756" t="s">
        <v>12</v>
      </c>
    </row>
    <row r="1757" spans="1:12" x14ac:dyDescent="0.3">
      <c r="A1757">
        <v>88</v>
      </c>
      <c r="B1757">
        <v>2025</v>
      </c>
      <c r="C1757">
        <v>0.5</v>
      </c>
      <c r="D1757">
        <v>0.89</v>
      </c>
      <c r="E1757">
        <v>0.77</v>
      </c>
      <c r="F1757">
        <v>0.95</v>
      </c>
      <c r="G1757">
        <v>0.7</v>
      </c>
      <c r="H1757">
        <v>0.03</v>
      </c>
      <c r="I1757">
        <v>241</v>
      </c>
      <c r="J1757">
        <v>10</v>
      </c>
      <c r="K1757">
        <v>0.74</v>
      </c>
      <c r="L1757" t="s">
        <v>13</v>
      </c>
    </row>
    <row r="1758" spans="1:12" x14ac:dyDescent="0.3">
      <c r="A1758">
        <v>88</v>
      </c>
      <c r="B1758">
        <v>2025</v>
      </c>
      <c r="C1758">
        <v>0.89</v>
      </c>
      <c r="D1758">
        <v>0.64</v>
      </c>
      <c r="E1758">
        <v>0.62</v>
      </c>
      <c r="F1758">
        <v>0.92</v>
      </c>
      <c r="G1758">
        <v>0.54</v>
      </c>
      <c r="H1758">
        <v>0.11</v>
      </c>
      <c r="I1758">
        <v>355</v>
      </c>
      <c r="J1758">
        <v>15</v>
      </c>
      <c r="K1758">
        <v>0.74</v>
      </c>
      <c r="L1758" t="s">
        <v>13</v>
      </c>
    </row>
    <row r="1759" spans="1:12" x14ac:dyDescent="0.3">
      <c r="A1759">
        <v>88</v>
      </c>
      <c r="B1759">
        <v>2025</v>
      </c>
      <c r="C1759">
        <v>0.62</v>
      </c>
      <c r="D1759">
        <v>0.71</v>
      </c>
      <c r="E1759">
        <v>0.86</v>
      </c>
      <c r="F1759">
        <v>0.71</v>
      </c>
      <c r="G1759">
        <v>0.39</v>
      </c>
      <c r="H1759">
        <v>0.56000000000000005</v>
      </c>
      <c r="I1759">
        <v>112</v>
      </c>
      <c r="J1759">
        <v>12</v>
      </c>
      <c r="K1759">
        <v>0.68</v>
      </c>
      <c r="L1759" t="s">
        <v>12</v>
      </c>
    </row>
    <row r="1760" spans="1:12" x14ac:dyDescent="0.3">
      <c r="A1760">
        <v>88</v>
      </c>
      <c r="B1760">
        <v>2025</v>
      </c>
      <c r="C1760">
        <v>0.33</v>
      </c>
      <c r="D1760">
        <v>0.89</v>
      </c>
      <c r="E1760">
        <v>0.99</v>
      </c>
      <c r="F1760">
        <v>0.76</v>
      </c>
      <c r="G1760">
        <v>0.31</v>
      </c>
      <c r="H1760">
        <v>0.17</v>
      </c>
      <c r="I1760">
        <v>144</v>
      </c>
      <c r="J1760">
        <v>12</v>
      </c>
      <c r="K1760">
        <v>0.66</v>
      </c>
      <c r="L1760" t="s">
        <v>12</v>
      </c>
    </row>
    <row r="1761" spans="1:12" x14ac:dyDescent="0.3">
      <c r="A1761">
        <v>88</v>
      </c>
      <c r="B1761">
        <v>2025</v>
      </c>
      <c r="C1761">
        <v>0.48</v>
      </c>
      <c r="D1761">
        <v>0.56999999999999995</v>
      </c>
      <c r="E1761">
        <v>0.98</v>
      </c>
      <c r="F1761">
        <v>0.75</v>
      </c>
      <c r="G1761">
        <v>0.31</v>
      </c>
      <c r="H1761">
        <v>0.28000000000000003</v>
      </c>
      <c r="I1761">
        <v>255</v>
      </c>
      <c r="J1761">
        <v>0</v>
      </c>
      <c r="K1761">
        <v>0.63</v>
      </c>
      <c r="L1761" t="s">
        <v>12</v>
      </c>
    </row>
    <row r="1762" spans="1:12" x14ac:dyDescent="0.3">
      <c r="A1762">
        <v>89</v>
      </c>
      <c r="B1762">
        <v>2025</v>
      </c>
      <c r="C1762">
        <v>0.63</v>
      </c>
      <c r="D1762">
        <v>0.65</v>
      </c>
      <c r="E1762">
        <v>0.91</v>
      </c>
      <c r="F1762">
        <v>0.96</v>
      </c>
      <c r="G1762">
        <v>0.9</v>
      </c>
      <c r="H1762">
        <v>0.67</v>
      </c>
      <c r="I1762">
        <v>476</v>
      </c>
      <c r="J1762">
        <v>16</v>
      </c>
      <c r="K1762">
        <v>0.77</v>
      </c>
      <c r="L1762" t="s">
        <v>13</v>
      </c>
    </row>
    <row r="1763" spans="1:12" x14ac:dyDescent="0.3">
      <c r="A1763">
        <v>89</v>
      </c>
      <c r="B1763">
        <v>2025</v>
      </c>
      <c r="C1763">
        <v>0.49</v>
      </c>
      <c r="D1763">
        <v>0.74</v>
      </c>
      <c r="E1763">
        <v>0.72</v>
      </c>
      <c r="F1763">
        <v>0.82</v>
      </c>
      <c r="G1763">
        <v>0.66</v>
      </c>
      <c r="H1763">
        <v>0.86</v>
      </c>
      <c r="I1763">
        <v>329</v>
      </c>
      <c r="J1763">
        <v>6</v>
      </c>
      <c r="K1763">
        <v>0.66</v>
      </c>
      <c r="L1763" t="s">
        <v>12</v>
      </c>
    </row>
    <row r="1764" spans="1:12" x14ac:dyDescent="0.3">
      <c r="A1764">
        <v>90</v>
      </c>
      <c r="B1764">
        <v>2025</v>
      </c>
      <c r="C1764">
        <v>0.53</v>
      </c>
      <c r="D1764">
        <v>0.46</v>
      </c>
      <c r="E1764">
        <v>0.74</v>
      </c>
      <c r="F1764">
        <v>0.88</v>
      </c>
      <c r="G1764">
        <v>0.66</v>
      </c>
      <c r="H1764">
        <v>0.16</v>
      </c>
      <c r="I1764">
        <v>97</v>
      </c>
      <c r="J1764">
        <v>16</v>
      </c>
      <c r="K1764">
        <v>0.62</v>
      </c>
      <c r="L1764" t="s">
        <v>12</v>
      </c>
    </row>
    <row r="1765" spans="1:12" x14ac:dyDescent="0.3">
      <c r="A1765">
        <v>90</v>
      </c>
      <c r="B1765">
        <v>2025</v>
      </c>
      <c r="C1765">
        <v>0.4</v>
      </c>
      <c r="D1765">
        <v>0.46</v>
      </c>
      <c r="E1765">
        <v>0.63</v>
      </c>
      <c r="F1765">
        <v>0.89</v>
      </c>
      <c r="G1765">
        <v>0.72</v>
      </c>
      <c r="H1765">
        <v>0.1</v>
      </c>
      <c r="I1765">
        <v>373</v>
      </c>
      <c r="J1765">
        <v>4</v>
      </c>
      <c r="K1765">
        <v>0.56999999999999995</v>
      </c>
      <c r="L1765" t="s">
        <v>12</v>
      </c>
    </row>
    <row r="1766" spans="1:12" x14ac:dyDescent="0.3">
      <c r="A1766">
        <v>90</v>
      </c>
      <c r="B1766">
        <v>2025</v>
      </c>
      <c r="C1766">
        <v>0.39</v>
      </c>
      <c r="D1766">
        <v>0.74</v>
      </c>
      <c r="E1766">
        <v>0.67</v>
      </c>
      <c r="F1766">
        <v>0.89</v>
      </c>
      <c r="G1766">
        <v>0.76</v>
      </c>
      <c r="H1766">
        <v>0.85</v>
      </c>
      <c r="I1766">
        <v>487</v>
      </c>
      <c r="J1766">
        <v>10</v>
      </c>
      <c r="K1766">
        <v>0.65</v>
      </c>
      <c r="L1766" t="s">
        <v>12</v>
      </c>
    </row>
    <row r="1767" spans="1:12" x14ac:dyDescent="0.3">
      <c r="A1767">
        <v>90</v>
      </c>
      <c r="B1767">
        <v>2025</v>
      </c>
      <c r="C1767">
        <v>0.62</v>
      </c>
      <c r="D1767">
        <v>0.57999999999999996</v>
      </c>
      <c r="E1767">
        <v>0.52</v>
      </c>
      <c r="F1767">
        <v>0.73</v>
      </c>
      <c r="G1767">
        <v>0.68</v>
      </c>
      <c r="H1767">
        <v>0.55000000000000004</v>
      </c>
      <c r="I1767">
        <v>61</v>
      </c>
      <c r="J1767">
        <v>2</v>
      </c>
      <c r="K1767">
        <v>0.61</v>
      </c>
      <c r="L1767" t="s">
        <v>12</v>
      </c>
    </row>
    <row r="1768" spans="1:12" x14ac:dyDescent="0.3">
      <c r="A1768">
        <v>90</v>
      </c>
      <c r="B1768">
        <v>2025</v>
      </c>
      <c r="C1768">
        <v>0.78</v>
      </c>
      <c r="D1768">
        <v>0.71</v>
      </c>
      <c r="E1768">
        <v>0.74</v>
      </c>
      <c r="F1768">
        <v>0.86</v>
      </c>
      <c r="G1768">
        <v>0.69</v>
      </c>
      <c r="H1768">
        <v>0.64</v>
      </c>
      <c r="I1768">
        <v>301</v>
      </c>
      <c r="J1768">
        <v>1</v>
      </c>
      <c r="K1768">
        <v>0.76</v>
      </c>
      <c r="L1768" t="s">
        <v>13</v>
      </c>
    </row>
    <row r="1769" spans="1:12" x14ac:dyDescent="0.3">
      <c r="A1769">
        <v>90</v>
      </c>
      <c r="B1769">
        <v>2025</v>
      </c>
      <c r="C1769">
        <v>0.66</v>
      </c>
      <c r="D1769">
        <v>0.9</v>
      </c>
      <c r="E1769">
        <v>0.52</v>
      </c>
      <c r="F1769">
        <v>1</v>
      </c>
      <c r="G1769">
        <v>0.72</v>
      </c>
      <c r="H1769">
        <v>0.98</v>
      </c>
      <c r="I1769">
        <v>426</v>
      </c>
      <c r="J1769">
        <v>9</v>
      </c>
      <c r="K1769">
        <v>0.75</v>
      </c>
      <c r="L1769" t="s">
        <v>13</v>
      </c>
    </row>
    <row r="1770" spans="1:12" x14ac:dyDescent="0.3">
      <c r="A1770">
        <v>90</v>
      </c>
      <c r="B1770">
        <v>2025</v>
      </c>
      <c r="C1770">
        <v>0.43</v>
      </c>
      <c r="D1770">
        <v>0.41</v>
      </c>
      <c r="E1770">
        <v>0.67</v>
      </c>
      <c r="F1770">
        <v>0.79</v>
      </c>
      <c r="G1770">
        <v>0.43</v>
      </c>
      <c r="H1770">
        <v>0.49</v>
      </c>
      <c r="I1770">
        <v>115</v>
      </c>
      <c r="J1770">
        <v>6</v>
      </c>
      <c r="K1770">
        <v>0.53</v>
      </c>
      <c r="L1770" t="s">
        <v>12</v>
      </c>
    </row>
    <row r="1771" spans="1:12" x14ac:dyDescent="0.3">
      <c r="A1771">
        <v>90</v>
      </c>
      <c r="B1771">
        <v>2025</v>
      </c>
      <c r="C1771">
        <v>0.88</v>
      </c>
      <c r="D1771">
        <v>0.73</v>
      </c>
      <c r="E1771">
        <v>0.61</v>
      </c>
      <c r="F1771">
        <v>0.82</v>
      </c>
      <c r="G1771">
        <v>0.56000000000000005</v>
      </c>
      <c r="H1771">
        <v>0.7</v>
      </c>
      <c r="I1771">
        <v>345</v>
      </c>
      <c r="J1771">
        <v>12</v>
      </c>
      <c r="K1771">
        <v>0.75</v>
      </c>
      <c r="L1771" t="s">
        <v>13</v>
      </c>
    </row>
    <row r="1772" spans="1:12" x14ac:dyDescent="0.3">
      <c r="A1772">
        <v>90</v>
      </c>
      <c r="B1772">
        <v>2025</v>
      </c>
      <c r="C1772">
        <v>0.9</v>
      </c>
      <c r="D1772">
        <v>0.62</v>
      </c>
      <c r="E1772">
        <v>0.56999999999999995</v>
      </c>
      <c r="F1772">
        <v>0.73</v>
      </c>
      <c r="G1772">
        <v>0.62</v>
      </c>
      <c r="H1772">
        <v>0.53</v>
      </c>
      <c r="I1772">
        <v>207</v>
      </c>
      <c r="J1772">
        <v>10</v>
      </c>
      <c r="K1772">
        <v>0.71</v>
      </c>
      <c r="L1772" t="s">
        <v>13</v>
      </c>
    </row>
    <row r="1773" spans="1:12" x14ac:dyDescent="0.3">
      <c r="A1773">
        <v>91</v>
      </c>
      <c r="B1773">
        <v>2025</v>
      </c>
      <c r="C1773">
        <v>0.96</v>
      </c>
      <c r="D1773">
        <v>0.77</v>
      </c>
      <c r="E1773">
        <v>0.96</v>
      </c>
      <c r="F1773">
        <v>0.91</v>
      </c>
      <c r="G1773">
        <v>0.71</v>
      </c>
      <c r="H1773">
        <v>0.01</v>
      </c>
      <c r="I1773">
        <v>205</v>
      </c>
      <c r="J1773">
        <v>15</v>
      </c>
      <c r="K1773">
        <v>0.88</v>
      </c>
      <c r="L1773" t="s">
        <v>13</v>
      </c>
    </row>
    <row r="1774" spans="1:12" x14ac:dyDescent="0.3">
      <c r="A1774">
        <v>92</v>
      </c>
      <c r="B1774">
        <v>2025</v>
      </c>
      <c r="C1774">
        <v>0.88</v>
      </c>
      <c r="D1774">
        <v>0.72</v>
      </c>
      <c r="E1774">
        <v>0.61</v>
      </c>
      <c r="F1774">
        <v>0.76</v>
      </c>
      <c r="G1774">
        <v>0.99</v>
      </c>
      <c r="H1774">
        <v>0.78</v>
      </c>
      <c r="I1774">
        <v>62</v>
      </c>
      <c r="J1774">
        <v>16</v>
      </c>
      <c r="K1774">
        <v>0.78</v>
      </c>
      <c r="L1774" t="s">
        <v>13</v>
      </c>
    </row>
    <row r="1775" spans="1:12" x14ac:dyDescent="0.3">
      <c r="A1775">
        <v>93</v>
      </c>
      <c r="B1775">
        <v>2025</v>
      </c>
      <c r="C1775">
        <v>0.41</v>
      </c>
      <c r="D1775">
        <v>0.67</v>
      </c>
      <c r="E1775">
        <v>0.77</v>
      </c>
      <c r="F1775">
        <v>0.61</v>
      </c>
      <c r="G1775">
        <v>0.86</v>
      </c>
      <c r="H1775">
        <v>0.28999999999999998</v>
      </c>
      <c r="I1775">
        <v>73</v>
      </c>
      <c r="J1775">
        <v>2</v>
      </c>
      <c r="K1775">
        <v>0.62</v>
      </c>
      <c r="L1775" t="s">
        <v>12</v>
      </c>
    </row>
    <row r="1776" spans="1:12" x14ac:dyDescent="0.3">
      <c r="A1776">
        <v>93</v>
      </c>
      <c r="B1776">
        <v>2025</v>
      </c>
      <c r="C1776">
        <v>0.78</v>
      </c>
      <c r="D1776">
        <v>0.79</v>
      </c>
      <c r="E1776">
        <v>0.93</v>
      </c>
      <c r="F1776">
        <v>0.79</v>
      </c>
      <c r="G1776">
        <v>0.39</v>
      </c>
      <c r="H1776">
        <v>0.28999999999999998</v>
      </c>
      <c r="I1776">
        <v>238</v>
      </c>
      <c r="J1776">
        <v>19</v>
      </c>
      <c r="K1776">
        <v>0.78</v>
      </c>
      <c r="L1776" t="s">
        <v>13</v>
      </c>
    </row>
    <row r="1777" spans="1:12" x14ac:dyDescent="0.3">
      <c r="A1777">
        <v>94</v>
      </c>
      <c r="B1777">
        <v>2025</v>
      </c>
      <c r="C1777">
        <v>0.47</v>
      </c>
      <c r="D1777">
        <v>0.65</v>
      </c>
      <c r="E1777">
        <v>0.88</v>
      </c>
      <c r="F1777">
        <v>0.69</v>
      </c>
      <c r="G1777">
        <v>0.35</v>
      </c>
      <c r="H1777">
        <v>0.28999999999999998</v>
      </c>
      <c r="I1777">
        <v>135</v>
      </c>
      <c r="J1777">
        <v>1</v>
      </c>
      <c r="K1777">
        <v>0.62</v>
      </c>
      <c r="L1777" t="s">
        <v>12</v>
      </c>
    </row>
    <row r="1778" spans="1:12" x14ac:dyDescent="0.3">
      <c r="A1778">
        <v>94</v>
      </c>
      <c r="B1778">
        <v>2025</v>
      </c>
      <c r="C1778">
        <v>0.91</v>
      </c>
      <c r="D1778">
        <v>0.4</v>
      </c>
      <c r="E1778">
        <v>0.51</v>
      </c>
      <c r="F1778">
        <v>0.79</v>
      </c>
      <c r="G1778">
        <v>0.47</v>
      </c>
      <c r="H1778">
        <v>0.69</v>
      </c>
      <c r="I1778">
        <v>258</v>
      </c>
      <c r="J1778">
        <v>6</v>
      </c>
      <c r="K1778">
        <v>0.64</v>
      </c>
      <c r="L1778" t="s">
        <v>12</v>
      </c>
    </row>
    <row r="1779" spans="1:12" x14ac:dyDescent="0.3">
      <c r="A1779">
        <v>94</v>
      </c>
      <c r="B1779">
        <v>2025</v>
      </c>
      <c r="C1779">
        <v>0.33</v>
      </c>
      <c r="D1779">
        <v>0.79</v>
      </c>
      <c r="E1779">
        <v>0.92</v>
      </c>
      <c r="F1779">
        <v>0.89</v>
      </c>
      <c r="G1779">
        <v>0.88</v>
      </c>
      <c r="H1779">
        <v>0.2</v>
      </c>
      <c r="I1779">
        <v>282</v>
      </c>
      <c r="J1779">
        <v>0</v>
      </c>
      <c r="K1779">
        <v>0.7</v>
      </c>
      <c r="L1779" t="s">
        <v>12</v>
      </c>
    </row>
    <row r="1780" spans="1:12" x14ac:dyDescent="0.3">
      <c r="A1780">
        <v>95</v>
      </c>
      <c r="B1780">
        <v>2025</v>
      </c>
      <c r="C1780">
        <v>0.4</v>
      </c>
      <c r="D1780">
        <v>0.82</v>
      </c>
      <c r="E1780">
        <v>0.56999999999999995</v>
      </c>
      <c r="F1780">
        <v>0.86</v>
      </c>
      <c r="G1780">
        <v>0.34</v>
      </c>
      <c r="H1780">
        <v>0.41</v>
      </c>
      <c r="I1780">
        <v>306</v>
      </c>
      <c r="J1780">
        <v>7</v>
      </c>
      <c r="K1780">
        <v>0.6</v>
      </c>
      <c r="L1780" t="s">
        <v>12</v>
      </c>
    </row>
    <row r="1781" spans="1:12" x14ac:dyDescent="0.3">
      <c r="A1781">
        <v>95</v>
      </c>
      <c r="B1781">
        <v>2025</v>
      </c>
      <c r="C1781">
        <v>0.81</v>
      </c>
      <c r="D1781">
        <v>0.83</v>
      </c>
      <c r="E1781">
        <v>0.83</v>
      </c>
      <c r="F1781">
        <v>0.65</v>
      </c>
      <c r="G1781">
        <v>0.59</v>
      </c>
      <c r="H1781">
        <v>0.11</v>
      </c>
      <c r="I1781">
        <v>186</v>
      </c>
      <c r="J1781">
        <v>15</v>
      </c>
      <c r="K1781">
        <v>0.77</v>
      </c>
      <c r="L1781" t="s">
        <v>13</v>
      </c>
    </row>
    <row r="1782" spans="1:12" x14ac:dyDescent="0.3">
      <c r="A1782">
        <v>95</v>
      </c>
      <c r="B1782">
        <v>2025</v>
      </c>
      <c r="C1782">
        <v>0.78</v>
      </c>
      <c r="D1782">
        <v>0.73</v>
      </c>
      <c r="E1782">
        <v>0.78</v>
      </c>
      <c r="F1782">
        <v>0.89</v>
      </c>
      <c r="G1782">
        <v>0.49</v>
      </c>
      <c r="H1782">
        <v>0.35</v>
      </c>
      <c r="I1782">
        <v>119</v>
      </c>
      <c r="J1782">
        <v>17</v>
      </c>
      <c r="K1782">
        <v>0.76</v>
      </c>
      <c r="L1782" t="s">
        <v>13</v>
      </c>
    </row>
    <row r="1783" spans="1:12" x14ac:dyDescent="0.3">
      <c r="A1783">
        <v>96</v>
      </c>
      <c r="B1783">
        <v>2025</v>
      </c>
      <c r="C1783">
        <v>0.6</v>
      </c>
      <c r="D1783">
        <v>0.56999999999999995</v>
      </c>
      <c r="E1783">
        <v>0.56000000000000005</v>
      </c>
      <c r="F1783">
        <v>0.64</v>
      </c>
      <c r="G1783">
        <v>0.72</v>
      </c>
      <c r="H1783">
        <v>0.52</v>
      </c>
      <c r="I1783">
        <v>445</v>
      </c>
      <c r="J1783">
        <v>16</v>
      </c>
      <c r="K1783">
        <v>0.6</v>
      </c>
      <c r="L1783" t="s">
        <v>12</v>
      </c>
    </row>
    <row r="1784" spans="1:12" x14ac:dyDescent="0.3">
      <c r="A1784">
        <v>96</v>
      </c>
      <c r="B1784">
        <v>2025</v>
      </c>
      <c r="C1784">
        <v>0.68</v>
      </c>
      <c r="D1784">
        <v>0.73</v>
      </c>
      <c r="E1784">
        <v>0.75</v>
      </c>
      <c r="F1784">
        <v>0.72</v>
      </c>
      <c r="G1784">
        <v>0.95</v>
      </c>
      <c r="H1784">
        <v>0.59</v>
      </c>
      <c r="I1784">
        <v>299</v>
      </c>
      <c r="J1784">
        <v>11</v>
      </c>
      <c r="K1784">
        <v>0.74</v>
      </c>
      <c r="L1784" t="s">
        <v>13</v>
      </c>
    </row>
    <row r="1785" spans="1:12" x14ac:dyDescent="0.3">
      <c r="A1785">
        <v>96</v>
      </c>
      <c r="B1785">
        <v>2025</v>
      </c>
      <c r="C1785">
        <v>0.65</v>
      </c>
      <c r="D1785">
        <v>0.89</v>
      </c>
      <c r="E1785">
        <v>0.74</v>
      </c>
      <c r="F1785">
        <v>0.98</v>
      </c>
      <c r="G1785">
        <v>0.89</v>
      </c>
      <c r="H1785">
        <v>0.33</v>
      </c>
      <c r="I1785">
        <v>298</v>
      </c>
      <c r="J1785">
        <v>7</v>
      </c>
      <c r="K1785">
        <v>0.8</v>
      </c>
      <c r="L1785" t="s">
        <v>13</v>
      </c>
    </row>
    <row r="1786" spans="1:12" x14ac:dyDescent="0.3">
      <c r="A1786">
        <v>96</v>
      </c>
      <c r="B1786">
        <v>2025</v>
      </c>
      <c r="C1786">
        <v>0.92</v>
      </c>
      <c r="D1786">
        <v>0.52</v>
      </c>
      <c r="E1786">
        <v>0.97</v>
      </c>
      <c r="F1786">
        <v>0.74</v>
      </c>
      <c r="G1786">
        <v>0.61</v>
      </c>
      <c r="H1786">
        <v>0.71</v>
      </c>
      <c r="I1786">
        <v>199</v>
      </c>
      <c r="J1786">
        <v>1</v>
      </c>
      <c r="K1786">
        <v>0.77</v>
      </c>
      <c r="L1786" t="s">
        <v>13</v>
      </c>
    </row>
    <row r="1787" spans="1:12" x14ac:dyDescent="0.3">
      <c r="A1787">
        <v>97</v>
      </c>
      <c r="B1787">
        <v>2025</v>
      </c>
      <c r="C1787">
        <v>0.91</v>
      </c>
      <c r="D1787">
        <v>0.97</v>
      </c>
      <c r="E1787">
        <v>0.7</v>
      </c>
      <c r="F1787">
        <v>0.8</v>
      </c>
      <c r="G1787">
        <v>0.98</v>
      </c>
      <c r="H1787">
        <v>0.28000000000000003</v>
      </c>
      <c r="I1787">
        <v>343</v>
      </c>
      <c r="J1787">
        <v>1</v>
      </c>
      <c r="K1787">
        <v>0.87</v>
      </c>
      <c r="L1787" t="s">
        <v>13</v>
      </c>
    </row>
    <row r="1788" spans="1:12" x14ac:dyDescent="0.3">
      <c r="A1788">
        <v>97</v>
      </c>
      <c r="B1788">
        <v>2025</v>
      </c>
      <c r="C1788">
        <v>0.89</v>
      </c>
      <c r="D1788">
        <v>0.79</v>
      </c>
      <c r="E1788">
        <v>0.7</v>
      </c>
      <c r="F1788">
        <v>0.61</v>
      </c>
      <c r="G1788">
        <v>0.71</v>
      </c>
      <c r="H1788">
        <v>0.01</v>
      </c>
      <c r="I1788">
        <v>399</v>
      </c>
      <c r="J1788">
        <v>14</v>
      </c>
      <c r="K1788">
        <v>0.77</v>
      </c>
      <c r="L1788" t="s">
        <v>13</v>
      </c>
    </row>
    <row r="1789" spans="1:12" x14ac:dyDescent="0.3">
      <c r="A1789">
        <v>97</v>
      </c>
      <c r="B1789">
        <v>2025</v>
      </c>
      <c r="C1789">
        <v>0.56000000000000005</v>
      </c>
      <c r="D1789">
        <v>0.99</v>
      </c>
      <c r="E1789">
        <v>0.8</v>
      </c>
      <c r="F1789">
        <v>0.76</v>
      </c>
      <c r="G1789">
        <v>0.88</v>
      </c>
      <c r="H1789">
        <v>0.73</v>
      </c>
      <c r="I1789">
        <v>99</v>
      </c>
      <c r="J1789">
        <v>8</v>
      </c>
      <c r="K1789">
        <v>0.78</v>
      </c>
      <c r="L1789" t="s">
        <v>13</v>
      </c>
    </row>
    <row r="1790" spans="1:12" x14ac:dyDescent="0.3">
      <c r="A1790">
        <v>97</v>
      </c>
      <c r="B1790">
        <v>2025</v>
      </c>
      <c r="C1790">
        <v>0.75</v>
      </c>
      <c r="D1790">
        <v>0.95</v>
      </c>
      <c r="E1790">
        <v>0.89</v>
      </c>
      <c r="F1790">
        <v>0.67</v>
      </c>
      <c r="G1790">
        <v>0.86</v>
      </c>
      <c r="H1790">
        <v>0.64</v>
      </c>
      <c r="I1790">
        <v>96</v>
      </c>
      <c r="J1790">
        <v>4</v>
      </c>
      <c r="K1790">
        <v>0.83</v>
      </c>
      <c r="L1790" t="s">
        <v>13</v>
      </c>
    </row>
    <row r="1791" spans="1:12" x14ac:dyDescent="0.3">
      <c r="A1791">
        <v>98</v>
      </c>
      <c r="B1791">
        <v>2025</v>
      </c>
      <c r="C1791">
        <v>0.33</v>
      </c>
      <c r="D1791">
        <v>0.57999999999999996</v>
      </c>
      <c r="E1791">
        <v>0.63</v>
      </c>
      <c r="F1791">
        <v>0.74</v>
      </c>
      <c r="G1791">
        <v>0.36</v>
      </c>
      <c r="H1791">
        <v>0.94</v>
      </c>
      <c r="I1791">
        <v>498</v>
      </c>
      <c r="J1791">
        <v>10</v>
      </c>
      <c r="K1791">
        <v>0.52</v>
      </c>
      <c r="L1791" t="s">
        <v>12</v>
      </c>
    </row>
    <row r="1792" spans="1:12" x14ac:dyDescent="0.3">
      <c r="A1792">
        <v>98</v>
      </c>
      <c r="B1792">
        <v>2025</v>
      </c>
      <c r="C1792">
        <v>0.4</v>
      </c>
      <c r="D1792">
        <v>0.41</v>
      </c>
      <c r="E1792">
        <v>0.77</v>
      </c>
      <c r="F1792">
        <v>0.99</v>
      </c>
      <c r="G1792">
        <v>0.56000000000000005</v>
      </c>
      <c r="H1792">
        <v>0.36</v>
      </c>
      <c r="I1792">
        <v>426</v>
      </c>
      <c r="J1792">
        <v>1</v>
      </c>
      <c r="K1792">
        <v>0.57999999999999996</v>
      </c>
      <c r="L1792" t="s">
        <v>12</v>
      </c>
    </row>
    <row r="1793" spans="1:12" x14ac:dyDescent="0.3">
      <c r="A1793">
        <v>98</v>
      </c>
      <c r="B1793">
        <v>2025</v>
      </c>
      <c r="C1793">
        <v>0.62</v>
      </c>
      <c r="D1793">
        <v>0.76</v>
      </c>
      <c r="E1793">
        <v>0.89</v>
      </c>
      <c r="F1793">
        <v>0.69</v>
      </c>
      <c r="G1793">
        <v>0.35</v>
      </c>
      <c r="H1793">
        <v>0.53</v>
      </c>
      <c r="I1793">
        <v>416</v>
      </c>
      <c r="J1793">
        <v>8</v>
      </c>
      <c r="K1793">
        <v>0.69</v>
      </c>
      <c r="L1793" t="s">
        <v>12</v>
      </c>
    </row>
    <row r="1794" spans="1:12" x14ac:dyDescent="0.3">
      <c r="A1794">
        <v>98</v>
      </c>
      <c r="B1794">
        <v>2025</v>
      </c>
      <c r="C1794">
        <v>0.73</v>
      </c>
      <c r="D1794">
        <v>0.46</v>
      </c>
      <c r="E1794">
        <v>0.68</v>
      </c>
      <c r="F1794">
        <v>0.7</v>
      </c>
      <c r="G1794">
        <v>0.94</v>
      </c>
      <c r="H1794">
        <v>0.85</v>
      </c>
      <c r="I1794">
        <v>351</v>
      </c>
      <c r="J1794">
        <v>9</v>
      </c>
      <c r="K1794">
        <v>0.67</v>
      </c>
      <c r="L1794" t="s">
        <v>12</v>
      </c>
    </row>
    <row r="1795" spans="1:12" x14ac:dyDescent="0.3">
      <c r="A1795">
        <v>99</v>
      </c>
      <c r="B1795">
        <v>2025</v>
      </c>
      <c r="C1795">
        <v>0.38</v>
      </c>
      <c r="D1795">
        <v>0.57999999999999996</v>
      </c>
      <c r="E1795">
        <v>0.55000000000000004</v>
      </c>
      <c r="F1795">
        <v>0.88</v>
      </c>
      <c r="G1795">
        <v>0.34</v>
      </c>
      <c r="H1795">
        <v>0.51</v>
      </c>
      <c r="I1795">
        <v>152</v>
      </c>
      <c r="J1795">
        <v>7</v>
      </c>
      <c r="K1795">
        <v>0.54</v>
      </c>
      <c r="L1795" t="s">
        <v>12</v>
      </c>
    </row>
    <row r="1796" spans="1:12" x14ac:dyDescent="0.3">
      <c r="A1796">
        <v>99</v>
      </c>
      <c r="B1796">
        <v>2025</v>
      </c>
      <c r="C1796">
        <v>0.63</v>
      </c>
      <c r="D1796">
        <v>0.83</v>
      </c>
      <c r="E1796">
        <v>0.67</v>
      </c>
      <c r="F1796">
        <v>0.85</v>
      </c>
      <c r="G1796">
        <v>0.65</v>
      </c>
      <c r="H1796">
        <v>0.37</v>
      </c>
      <c r="I1796">
        <v>234</v>
      </c>
      <c r="J1796">
        <v>4</v>
      </c>
      <c r="K1796">
        <v>0.72</v>
      </c>
      <c r="L1796" t="s">
        <v>13</v>
      </c>
    </row>
    <row r="1797" spans="1:12" x14ac:dyDescent="0.3">
      <c r="A1797">
        <v>100</v>
      </c>
      <c r="B1797">
        <v>2025</v>
      </c>
      <c r="C1797">
        <v>0.83</v>
      </c>
      <c r="D1797">
        <v>0.42</v>
      </c>
      <c r="E1797">
        <v>0.7</v>
      </c>
      <c r="F1797">
        <v>0.97</v>
      </c>
      <c r="G1797">
        <v>0.39</v>
      </c>
      <c r="H1797">
        <v>0.74</v>
      </c>
      <c r="I1797">
        <v>375</v>
      </c>
      <c r="J1797">
        <v>11</v>
      </c>
      <c r="K1797">
        <v>0.68</v>
      </c>
      <c r="L1797" t="s">
        <v>12</v>
      </c>
    </row>
    <row r="1798" spans="1:12" x14ac:dyDescent="0.3">
      <c r="A1798">
        <v>100</v>
      </c>
      <c r="B1798">
        <v>2025</v>
      </c>
      <c r="C1798">
        <v>0.94</v>
      </c>
      <c r="D1798">
        <v>0.87</v>
      </c>
      <c r="E1798">
        <v>0.73</v>
      </c>
      <c r="F1798">
        <v>0.9</v>
      </c>
      <c r="G1798">
        <v>0.97</v>
      </c>
      <c r="H1798">
        <v>0.77</v>
      </c>
      <c r="I1798">
        <v>390</v>
      </c>
      <c r="J1798">
        <v>8</v>
      </c>
      <c r="K1798">
        <v>0.88</v>
      </c>
      <c r="L1798" t="s">
        <v>13</v>
      </c>
    </row>
    <row r="1799" spans="1:12" x14ac:dyDescent="0.3">
      <c r="A1799">
        <v>100</v>
      </c>
      <c r="B1799">
        <v>2025</v>
      </c>
      <c r="C1799">
        <v>0.48</v>
      </c>
      <c r="D1799">
        <v>0.99</v>
      </c>
      <c r="E1799">
        <v>0.95</v>
      </c>
      <c r="F1799">
        <v>0.65</v>
      </c>
      <c r="G1799">
        <v>0.32</v>
      </c>
      <c r="H1799">
        <v>0.69</v>
      </c>
      <c r="I1799">
        <v>78</v>
      </c>
      <c r="J1799">
        <v>18</v>
      </c>
      <c r="K1799">
        <v>0.71</v>
      </c>
      <c r="L1799" t="s">
        <v>13</v>
      </c>
    </row>
    <row r="1800" spans="1:12" x14ac:dyDescent="0.3">
      <c r="A1800">
        <v>100</v>
      </c>
      <c r="B1800">
        <v>2025</v>
      </c>
      <c r="C1800">
        <v>0.83</v>
      </c>
      <c r="D1800">
        <v>0.81</v>
      </c>
      <c r="E1800">
        <v>0.6</v>
      </c>
      <c r="F1800">
        <v>0.8</v>
      </c>
      <c r="G1800">
        <v>0.85</v>
      </c>
      <c r="H1800">
        <v>0.48</v>
      </c>
      <c r="I1800">
        <v>221</v>
      </c>
      <c r="J1800">
        <v>15</v>
      </c>
      <c r="K1800">
        <v>0.78</v>
      </c>
      <c r="L1800" t="s">
        <v>13</v>
      </c>
    </row>
    <row r="1801" spans="1:12" x14ac:dyDescent="0.3">
      <c r="A1801">
        <v>100</v>
      </c>
      <c r="B1801">
        <v>2025</v>
      </c>
      <c r="C1801">
        <v>0.97</v>
      </c>
      <c r="D1801">
        <v>0.99</v>
      </c>
      <c r="E1801">
        <v>0.9</v>
      </c>
      <c r="F1801">
        <v>0.68</v>
      </c>
      <c r="G1801">
        <v>0.45</v>
      </c>
      <c r="H1801">
        <v>0.34</v>
      </c>
      <c r="I1801">
        <v>110</v>
      </c>
      <c r="J1801">
        <v>13</v>
      </c>
      <c r="K1801">
        <v>0.87</v>
      </c>
      <c r="L1801" t="s">
        <v>13</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D04C8-F9B5-4913-AADE-C56F3F72D7A7}">
  <dimension ref="A1:L1801"/>
  <sheetViews>
    <sheetView workbookViewId="0"/>
  </sheetViews>
  <sheetFormatPr defaultRowHeight="14.4" x14ac:dyDescent="0.3"/>
  <cols>
    <col min="1" max="1" width="12.88671875" bestFit="1" customWidth="1"/>
    <col min="2" max="2" width="6.88671875" bestFit="1" customWidth="1"/>
    <col min="3" max="3" width="24.33203125" bestFit="1" customWidth="1"/>
    <col min="4" max="4" width="28" bestFit="1" customWidth="1"/>
    <col min="5" max="5" width="26.109375" bestFit="1" customWidth="1"/>
    <col min="6" max="6" width="28.5546875" bestFit="1" customWidth="1"/>
    <col min="7" max="7" width="20.33203125" bestFit="1" customWidth="1"/>
    <col min="8" max="8" width="16.5546875" bestFit="1" customWidth="1"/>
    <col min="9" max="9" width="18.109375" bestFit="1" customWidth="1"/>
    <col min="10" max="10" width="17.109375" bestFit="1" customWidth="1"/>
    <col min="11" max="11" width="14.77734375" bestFit="1" customWidth="1"/>
    <col min="12" max="12" width="15.109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52</v>
      </c>
      <c r="B2">
        <v>2025</v>
      </c>
      <c r="C2">
        <v>0.43</v>
      </c>
      <c r="D2">
        <v>0.87</v>
      </c>
      <c r="E2">
        <v>0.8</v>
      </c>
      <c r="F2">
        <v>0.78</v>
      </c>
      <c r="G2">
        <v>0.37</v>
      </c>
      <c r="H2">
        <v>0.46</v>
      </c>
      <c r="I2">
        <v>422</v>
      </c>
      <c r="J2">
        <v>3</v>
      </c>
      <c r="K2">
        <v>0.66</v>
      </c>
      <c r="L2" t="s">
        <v>12</v>
      </c>
    </row>
    <row r="3" spans="1:12" x14ac:dyDescent="0.3">
      <c r="A3">
        <v>24</v>
      </c>
      <c r="B3">
        <v>2023</v>
      </c>
      <c r="C3">
        <v>0.31</v>
      </c>
      <c r="D3">
        <v>0.98</v>
      </c>
      <c r="E3">
        <v>0.92</v>
      </c>
      <c r="F3">
        <v>0.68</v>
      </c>
      <c r="G3">
        <v>0.43</v>
      </c>
      <c r="H3">
        <v>0.18</v>
      </c>
      <c r="I3">
        <v>363</v>
      </c>
      <c r="J3">
        <v>11</v>
      </c>
      <c r="K3">
        <v>0.67</v>
      </c>
      <c r="L3" t="s">
        <v>12</v>
      </c>
    </row>
    <row r="4" spans="1:12" x14ac:dyDescent="0.3">
      <c r="A4">
        <v>89</v>
      </c>
      <c r="B4">
        <v>2021</v>
      </c>
      <c r="C4">
        <v>0.67</v>
      </c>
      <c r="D4">
        <v>0.64</v>
      </c>
      <c r="E4">
        <v>0.52</v>
      </c>
      <c r="F4">
        <v>0.99</v>
      </c>
      <c r="G4">
        <v>0.46</v>
      </c>
      <c r="H4">
        <v>0.09</v>
      </c>
      <c r="I4">
        <v>495</v>
      </c>
      <c r="J4">
        <v>18</v>
      </c>
      <c r="K4">
        <v>0.66</v>
      </c>
      <c r="L4" t="s">
        <v>12</v>
      </c>
    </row>
    <row r="5" spans="1:12" x14ac:dyDescent="0.3">
      <c r="A5">
        <v>55</v>
      </c>
      <c r="B5">
        <v>2024</v>
      </c>
      <c r="C5">
        <v>0.71</v>
      </c>
      <c r="D5">
        <v>0.43</v>
      </c>
      <c r="E5">
        <v>0.8</v>
      </c>
      <c r="F5">
        <v>0.67</v>
      </c>
      <c r="G5">
        <v>0.35</v>
      </c>
      <c r="H5">
        <v>0.95</v>
      </c>
      <c r="I5">
        <v>365</v>
      </c>
      <c r="J5">
        <v>13</v>
      </c>
      <c r="K5">
        <v>0.62</v>
      </c>
      <c r="L5" t="s">
        <v>12</v>
      </c>
    </row>
    <row r="6" spans="1:12" x14ac:dyDescent="0.3">
      <c r="A6">
        <v>9</v>
      </c>
      <c r="B6">
        <v>2022</v>
      </c>
      <c r="C6">
        <v>0.37</v>
      </c>
      <c r="D6">
        <v>0.81</v>
      </c>
      <c r="E6">
        <v>0.72</v>
      </c>
      <c r="F6">
        <v>0.65</v>
      </c>
      <c r="G6">
        <v>0.65</v>
      </c>
      <c r="H6">
        <v>0.03</v>
      </c>
      <c r="I6">
        <v>255</v>
      </c>
      <c r="J6">
        <v>16</v>
      </c>
      <c r="K6">
        <v>0.62</v>
      </c>
      <c r="L6" t="s">
        <v>12</v>
      </c>
    </row>
    <row r="7" spans="1:12" x14ac:dyDescent="0.3">
      <c r="A7">
        <v>36</v>
      </c>
      <c r="B7">
        <v>2022</v>
      </c>
      <c r="C7">
        <v>0.76</v>
      </c>
      <c r="D7">
        <v>0.59</v>
      </c>
      <c r="E7">
        <v>0.76</v>
      </c>
      <c r="F7">
        <v>0.82</v>
      </c>
      <c r="G7">
        <v>0.43</v>
      </c>
      <c r="H7">
        <v>0.97</v>
      </c>
      <c r="I7">
        <v>267</v>
      </c>
      <c r="J7">
        <v>11</v>
      </c>
      <c r="K7">
        <v>0.69</v>
      </c>
      <c r="L7" t="s">
        <v>12</v>
      </c>
    </row>
    <row r="8" spans="1:12" x14ac:dyDescent="0.3">
      <c r="A8">
        <v>34</v>
      </c>
      <c r="B8">
        <v>2022</v>
      </c>
      <c r="C8">
        <v>0.93</v>
      </c>
      <c r="D8">
        <v>0.76</v>
      </c>
      <c r="E8">
        <v>0.96</v>
      </c>
      <c r="F8">
        <v>0.64</v>
      </c>
      <c r="G8">
        <v>0.44</v>
      </c>
      <c r="H8">
        <v>0.05</v>
      </c>
      <c r="I8">
        <v>345</v>
      </c>
      <c r="J8">
        <v>15</v>
      </c>
      <c r="K8">
        <v>0.8</v>
      </c>
      <c r="L8" t="s">
        <v>13</v>
      </c>
    </row>
    <row r="9" spans="1:12" x14ac:dyDescent="0.3">
      <c r="A9">
        <v>82</v>
      </c>
      <c r="B9">
        <v>2025</v>
      </c>
      <c r="C9">
        <v>0.71</v>
      </c>
      <c r="D9">
        <v>0.98</v>
      </c>
      <c r="E9">
        <v>0.8</v>
      </c>
      <c r="F9">
        <v>0.71</v>
      </c>
      <c r="G9">
        <v>0.51</v>
      </c>
      <c r="H9">
        <v>0.17</v>
      </c>
      <c r="I9">
        <v>394</v>
      </c>
      <c r="J9">
        <v>6</v>
      </c>
      <c r="K9">
        <v>0.78</v>
      </c>
      <c r="L9" t="s">
        <v>13</v>
      </c>
    </row>
    <row r="10" spans="1:12" x14ac:dyDescent="0.3">
      <c r="A10">
        <v>9</v>
      </c>
      <c r="B10">
        <v>2021</v>
      </c>
      <c r="C10">
        <v>0.44</v>
      </c>
      <c r="D10">
        <v>0.4</v>
      </c>
      <c r="E10">
        <v>0.91</v>
      </c>
      <c r="F10">
        <v>0.88</v>
      </c>
      <c r="G10">
        <v>0.81</v>
      </c>
      <c r="H10">
        <v>0.77</v>
      </c>
      <c r="I10">
        <v>310</v>
      </c>
      <c r="J10">
        <v>9</v>
      </c>
      <c r="K10">
        <v>0.63</v>
      </c>
      <c r="L10" t="s">
        <v>12</v>
      </c>
    </row>
    <row r="11" spans="1:12" x14ac:dyDescent="0.3">
      <c r="A11">
        <v>41</v>
      </c>
      <c r="B11">
        <v>2024</v>
      </c>
      <c r="C11">
        <v>0.9</v>
      </c>
      <c r="D11">
        <v>0.77</v>
      </c>
      <c r="E11">
        <v>0.67</v>
      </c>
      <c r="F11">
        <v>0.63</v>
      </c>
      <c r="G11">
        <v>0.52</v>
      </c>
      <c r="H11">
        <v>0.33</v>
      </c>
      <c r="I11">
        <v>148</v>
      </c>
      <c r="J11">
        <v>11</v>
      </c>
      <c r="K11">
        <v>0.74</v>
      </c>
      <c r="L11" t="s">
        <v>13</v>
      </c>
    </row>
    <row r="12" spans="1:12" x14ac:dyDescent="0.3">
      <c r="A12">
        <v>86</v>
      </c>
      <c r="B12">
        <v>2023</v>
      </c>
      <c r="C12">
        <v>0.69</v>
      </c>
      <c r="D12">
        <v>0.63</v>
      </c>
      <c r="E12">
        <v>0.99</v>
      </c>
      <c r="F12">
        <v>0.94</v>
      </c>
      <c r="G12">
        <v>0.81</v>
      </c>
      <c r="H12">
        <v>0.24</v>
      </c>
      <c r="I12">
        <v>447</v>
      </c>
      <c r="J12">
        <v>6</v>
      </c>
      <c r="K12">
        <v>0.78</v>
      </c>
      <c r="L12" t="s">
        <v>13</v>
      </c>
    </row>
    <row r="13" spans="1:12" x14ac:dyDescent="0.3">
      <c r="A13">
        <v>27</v>
      </c>
      <c r="B13">
        <v>2021</v>
      </c>
      <c r="C13">
        <v>0.8</v>
      </c>
      <c r="D13">
        <v>0.47</v>
      </c>
      <c r="E13">
        <v>0.72</v>
      </c>
      <c r="F13">
        <v>0.68</v>
      </c>
      <c r="G13">
        <v>0.93</v>
      </c>
      <c r="H13">
        <v>0.48</v>
      </c>
      <c r="I13">
        <v>145</v>
      </c>
      <c r="J13">
        <v>3</v>
      </c>
      <c r="K13">
        <v>0.7</v>
      </c>
      <c r="L13" t="s">
        <v>12</v>
      </c>
    </row>
    <row r="14" spans="1:12" x14ac:dyDescent="0.3">
      <c r="A14">
        <v>94</v>
      </c>
      <c r="B14">
        <v>2025</v>
      </c>
      <c r="C14">
        <v>0.47</v>
      </c>
      <c r="D14">
        <v>0.65</v>
      </c>
      <c r="E14">
        <v>0.88</v>
      </c>
      <c r="F14">
        <v>0.69</v>
      </c>
      <c r="G14">
        <v>0.35</v>
      </c>
      <c r="H14">
        <v>0.28999999999999998</v>
      </c>
      <c r="I14">
        <v>135</v>
      </c>
      <c r="J14">
        <v>1</v>
      </c>
      <c r="K14">
        <v>0.62</v>
      </c>
      <c r="L14" t="s">
        <v>12</v>
      </c>
    </row>
    <row r="15" spans="1:12" x14ac:dyDescent="0.3">
      <c r="A15">
        <v>42</v>
      </c>
      <c r="B15">
        <v>2025</v>
      </c>
      <c r="C15">
        <v>0.51</v>
      </c>
      <c r="D15">
        <v>0.46</v>
      </c>
      <c r="E15">
        <v>0.73</v>
      </c>
      <c r="F15">
        <v>0.69</v>
      </c>
      <c r="G15">
        <v>0.59</v>
      </c>
      <c r="H15">
        <v>0.88</v>
      </c>
      <c r="I15">
        <v>177</v>
      </c>
      <c r="J15">
        <v>6</v>
      </c>
      <c r="K15">
        <v>0.57999999999999996</v>
      </c>
      <c r="L15" t="s">
        <v>12</v>
      </c>
    </row>
    <row r="16" spans="1:12" x14ac:dyDescent="0.3">
      <c r="A16">
        <v>62</v>
      </c>
      <c r="B16">
        <v>2021</v>
      </c>
      <c r="C16">
        <v>0.49</v>
      </c>
      <c r="D16">
        <v>0.79</v>
      </c>
      <c r="E16">
        <v>0.5</v>
      </c>
      <c r="F16">
        <v>0.74</v>
      </c>
      <c r="G16">
        <v>0.51</v>
      </c>
      <c r="H16">
        <v>0.16</v>
      </c>
      <c r="I16">
        <v>460</v>
      </c>
      <c r="J16">
        <v>8</v>
      </c>
      <c r="K16">
        <v>0.61</v>
      </c>
      <c r="L16" t="s">
        <v>12</v>
      </c>
    </row>
    <row r="17" spans="1:12" x14ac:dyDescent="0.3">
      <c r="A17">
        <v>62</v>
      </c>
      <c r="B17">
        <v>2025</v>
      </c>
      <c r="C17">
        <v>0.78</v>
      </c>
      <c r="D17">
        <v>0.56000000000000005</v>
      </c>
      <c r="E17">
        <v>0.62</v>
      </c>
      <c r="F17">
        <v>0.67</v>
      </c>
      <c r="G17">
        <v>0.45</v>
      </c>
      <c r="H17">
        <v>0.56000000000000005</v>
      </c>
      <c r="I17">
        <v>229</v>
      </c>
      <c r="J17">
        <v>16</v>
      </c>
      <c r="K17">
        <v>0.64</v>
      </c>
      <c r="L17" t="s">
        <v>12</v>
      </c>
    </row>
    <row r="18" spans="1:12" x14ac:dyDescent="0.3">
      <c r="A18">
        <v>62</v>
      </c>
      <c r="B18">
        <v>2021</v>
      </c>
      <c r="C18">
        <v>0.48</v>
      </c>
      <c r="D18">
        <v>0.55000000000000004</v>
      </c>
      <c r="E18">
        <v>0.85</v>
      </c>
      <c r="F18">
        <v>0.88</v>
      </c>
      <c r="G18">
        <v>0.4</v>
      </c>
      <c r="H18">
        <v>1</v>
      </c>
      <c r="I18">
        <v>236</v>
      </c>
      <c r="J18">
        <v>16</v>
      </c>
      <c r="K18">
        <v>0.62</v>
      </c>
      <c r="L18" t="s">
        <v>12</v>
      </c>
    </row>
    <row r="19" spans="1:12" x14ac:dyDescent="0.3">
      <c r="A19">
        <v>2</v>
      </c>
      <c r="B19">
        <v>2022</v>
      </c>
      <c r="C19">
        <v>0.59</v>
      </c>
      <c r="D19">
        <v>0.42</v>
      </c>
      <c r="E19">
        <v>0.67</v>
      </c>
      <c r="F19">
        <v>0.85</v>
      </c>
      <c r="G19">
        <v>0.78</v>
      </c>
      <c r="H19">
        <v>0.53</v>
      </c>
      <c r="I19">
        <v>267</v>
      </c>
      <c r="J19">
        <v>5</v>
      </c>
      <c r="K19">
        <v>0.62</v>
      </c>
      <c r="L19" t="s">
        <v>12</v>
      </c>
    </row>
    <row r="20" spans="1:12" x14ac:dyDescent="0.3">
      <c r="A20">
        <v>32</v>
      </c>
      <c r="B20">
        <v>2024</v>
      </c>
      <c r="C20">
        <v>0.36</v>
      </c>
      <c r="D20">
        <v>0.62</v>
      </c>
      <c r="E20">
        <v>0.62</v>
      </c>
      <c r="F20">
        <v>0.92</v>
      </c>
      <c r="G20">
        <v>0.63</v>
      </c>
      <c r="H20">
        <v>0.98</v>
      </c>
      <c r="I20">
        <v>444</v>
      </c>
      <c r="J20">
        <v>15</v>
      </c>
      <c r="K20">
        <v>0.59</v>
      </c>
      <c r="L20" t="s">
        <v>12</v>
      </c>
    </row>
    <row r="21" spans="1:12" x14ac:dyDescent="0.3">
      <c r="A21">
        <v>16</v>
      </c>
      <c r="B21">
        <v>2021</v>
      </c>
      <c r="C21">
        <v>0.41</v>
      </c>
      <c r="D21">
        <v>0.7</v>
      </c>
      <c r="E21">
        <v>0.85</v>
      </c>
      <c r="F21">
        <v>0.94</v>
      </c>
      <c r="G21">
        <v>0.53</v>
      </c>
      <c r="H21">
        <v>0.22</v>
      </c>
      <c r="I21">
        <v>395</v>
      </c>
      <c r="J21">
        <v>2</v>
      </c>
      <c r="K21">
        <v>0.66</v>
      </c>
      <c r="L21" t="s">
        <v>12</v>
      </c>
    </row>
    <row r="22" spans="1:12" x14ac:dyDescent="0.3">
      <c r="A22">
        <v>19</v>
      </c>
      <c r="B22">
        <v>2024</v>
      </c>
      <c r="C22">
        <v>0.75</v>
      </c>
      <c r="D22">
        <v>0.5</v>
      </c>
      <c r="E22">
        <v>0.85</v>
      </c>
      <c r="F22">
        <v>0.75</v>
      </c>
      <c r="G22">
        <v>0.96</v>
      </c>
      <c r="H22">
        <v>0.14000000000000001</v>
      </c>
      <c r="I22">
        <v>490</v>
      </c>
      <c r="J22">
        <v>17</v>
      </c>
      <c r="K22">
        <v>0.73</v>
      </c>
      <c r="L22" t="s">
        <v>13</v>
      </c>
    </row>
    <row r="23" spans="1:12" x14ac:dyDescent="0.3">
      <c r="A23">
        <v>23</v>
      </c>
      <c r="B23">
        <v>2022</v>
      </c>
      <c r="C23">
        <v>0.48</v>
      </c>
      <c r="D23">
        <v>0.8</v>
      </c>
      <c r="E23">
        <v>0.91</v>
      </c>
      <c r="F23">
        <v>0.82</v>
      </c>
      <c r="G23">
        <v>0.67</v>
      </c>
      <c r="H23">
        <v>0.24</v>
      </c>
      <c r="I23">
        <v>353</v>
      </c>
      <c r="J23">
        <v>11</v>
      </c>
      <c r="K23">
        <v>0.72</v>
      </c>
      <c r="L23" t="s">
        <v>13</v>
      </c>
    </row>
    <row r="24" spans="1:12" x14ac:dyDescent="0.3">
      <c r="A24">
        <v>69</v>
      </c>
      <c r="B24">
        <v>2025</v>
      </c>
      <c r="C24">
        <v>0.92</v>
      </c>
      <c r="D24">
        <v>0.51</v>
      </c>
      <c r="E24">
        <v>0.64</v>
      </c>
      <c r="F24">
        <v>0.88</v>
      </c>
      <c r="G24">
        <v>0.89</v>
      </c>
      <c r="H24">
        <v>0.86</v>
      </c>
      <c r="I24">
        <v>103</v>
      </c>
      <c r="J24">
        <v>0</v>
      </c>
      <c r="K24">
        <v>0.75</v>
      </c>
      <c r="L24" t="s">
        <v>13</v>
      </c>
    </row>
    <row r="25" spans="1:12" x14ac:dyDescent="0.3">
      <c r="A25">
        <v>24</v>
      </c>
      <c r="B25">
        <v>2024</v>
      </c>
      <c r="C25">
        <v>0.36</v>
      </c>
      <c r="D25">
        <v>0.5</v>
      </c>
      <c r="E25">
        <v>0.95</v>
      </c>
      <c r="F25">
        <v>0.84</v>
      </c>
      <c r="G25">
        <v>0.31</v>
      </c>
      <c r="H25">
        <v>0.1</v>
      </c>
      <c r="I25">
        <v>148</v>
      </c>
      <c r="J25">
        <v>17</v>
      </c>
      <c r="K25">
        <v>0.57999999999999996</v>
      </c>
      <c r="L25" t="s">
        <v>12</v>
      </c>
    </row>
    <row r="26" spans="1:12" x14ac:dyDescent="0.3">
      <c r="A26">
        <v>82</v>
      </c>
      <c r="B26">
        <v>2022</v>
      </c>
      <c r="C26">
        <v>0.78</v>
      </c>
      <c r="D26">
        <v>0.79</v>
      </c>
      <c r="E26">
        <v>0.61</v>
      </c>
      <c r="F26">
        <v>0.88</v>
      </c>
      <c r="G26">
        <v>0.47</v>
      </c>
      <c r="H26">
        <v>0.33</v>
      </c>
      <c r="I26">
        <v>453</v>
      </c>
      <c r="J26">
        <v>7</v>
      </c>
      <c r="K26">
        <v>0.73</v>
      </c>
      <c r="L26" t="s">
        <v>13</v>
      </c>
    </row>
    <row r="27" spans="1:12" x14ac:dyDescent="0.3">
      <c r="A27">
        <v>7</v>
      </c>
      <c r="B27">
        <v>2023</v>
      </c>
      <c r="C27">
        <v>0.76</v>
      </c>
      <c r="D27">
        <v>0.74</v>
      </c>
      <c r="E27">
        <v>0.55000000000000004</v>
      </c>
      <c r="F27">
        <v>0.75</v>
      </c>
      <c r="G27">
        <v>0.49</v>
      </c>
      <c r="H27">
        <v>0.24</v>
      </c>
      <c r="I27">
        <v>87</v>
      </c>
      <c r="J27">
        <v>5</v>
      </c>
      <c r="K27">
        <v>0.68</v>
      </c>
      <c r="L27" t="s">
        <v>12</v>
      </c>
    </row>
    <row r="28" spans="1:12" x14ac:dyDescent="0.3">
      <c r="A28">
        <v>51</v>
      </c>
      <c r="B28">
        <v>2023</v>
      </c>
      <c r="C28">
        <v>0.6</v>
      </c>
      <c r="D28">
        <v>0.61</v>
      </c>
      <c r="E28">
        <v>0.82</v>
      </c>
      <c r="F28">
        <v>0.87</v>
      </c>
      <c r="G28">
        <v>0.9</v>
      </c>
      <c r="H28">
        <v>0.23</v>
      </c>
      <c r="I28">
        <v>353</v>
      </c>
      <c r="J28">
        <v>18</v>
      </c>
      <c r="K28">
        <v>0.72</v>
      </c>
      <c r="L28" t="s">
        <v>13</v>
      </c>
    </row>
    <row r="29" spans="1:12" x14ac:dyDescent="0.3">
      <c r="A29">
        <v>4</v>
      </c>
      <c r="B29">
        <v>2023</v>
      </c>
      <c r="C29">
        <v>0.84</v>
      </c>
      <c r="D29">
        <v>0.43</v>
      </c>
      <c r="E29">
        <v>1</v>
      </c>
      <c r="F29">
        <v>0.79</v>
      </c>
      <c r="G29">
        <v>0.5</v>
      </c>
      <c r="H29">
        <v>0.88</v>
      </c>
      <c r="I29">
        <v>429</v>
      </c>
      <c r="J29">
        <v>8</v>
      </c>
      <c r="K29">
        <v>0.73</v>
      </c>
      <c r="L29" t="s">
        <v>13</v>
      </c>
    </row>
    <row r="30" spans="1:12" x14ac:dyDescent="0.3">
      <c r="A30">
        <v>37</v>
      </c>
      <c r="B30">
        <v>2025</v>
      </c>
      <c r="C30">
        <v>0.6</v>
      </c>
      <c r="D30">
        <v>0.98</v>
      </c>
      <c r="E30">
        <v>0.98</v>
      </c>
      <c r="F30">
        <v>0.94</v>
      </c>
      <c r="G30">
        <v>0.51</v>
      </c>
      <c r="H30">
        <v>0.39</v>
      </c>
      <c r="I30">
        <v>210</v>
      </c>
      <c r="J30">
        <v>2</v>
      </c>
      <c r="K30">
        <v>0.81</v>
      </c>
      <c r="L30" t="s">
        <v>13</v>
      </c>
    </row>
    <row r="31" spans="1:12" x14ac:dyDescent="0.3">
      <c r="A31">
        <v>18</v>
      </c>
      <c r="B31">
        <v>2021</v>
      </c>
      <c r="C31">
        <v>0.57999999999999996</v>
      </c>
      <c r="D31">
        <v>0.91</v>
      </c>
      <c r="E31">
        <v>0.97</v>
      </c>
      <c r="F31">
        <v>0.63</v>
      </c>
      <c r="G31">
        <v>0.45</v>
      </c>
      <c r="H31">
        <v>0.67</v>
      </c>
      <c r="I31">
        <v>200</v>
      </c>
      <c r="J31">
        <v>1</v>
      </c>
      <c r="K31">
        <v>0.74</v>
      </c>
      <c r="L31" t="s">
        <v>13</v>
      </c>
    </row>
    <row r="32" spans="1:12" x14ac:dyDescent="0.3">
      <c r="A32">
        <v>27</v>
      </c>
      <c r="B32">
        <v>2022</v>
      </c>
      <c r="C32">
        <v>0.91</v>
      </c>
      <c r="D32">
        <v>0.84</v>
      </c>
      <c r="E32">
        <v>0.85</v>
      </c>
      <c r="F32">
        <v>0.88</v>
      </c>
      <c r="G32">
        <v>0.55000000000000004</v>
      </c>
      <c r="H32">
        <v>0.28999999999999998</v>
      </c>
      <c r="I32">
        <v>296</v>
      </c>
      <c r="J32">
        <v>2</v>
      </c>
      <c r="K32">
        <v>0.84</v>
      </c>
      <c r="L32" t="s">
        <v>13</v>
      </c>
    </row>
    <row r="33" spans="1:12" x14ac:dyDescent="0.3">
      <c r="A33">
        <v>50</v>
      </c>
      <c r="B33">
        <v>2021</v>
      </c>
      <c r="C33">
        <v>0.73</v>
      </c>
      <c r="D33">
        <v>0.45</v>
      </c>
      <c r="E33">
        <v>0.5</v>
      </c>
      <c r="F33">
        <v>0.85</v>
      </c>
      <c r="G33">
        <v>0.44</v>
      </c>
      <c r="H33">
        <v>7.0000000000000007E-2</v>
      </c>
      <c r="I33">
        <v>449</v>
      </c>
      <c r="J33">
        <v>13</v>
      </c>
      <c r="K33">
        <v>0.6</v>
      </c>
      <c r="L33" t="s">
        <v>12</v>
      </c>
    </row>
    <row r="34" spans="1:12" x14ac:dyDescent="0.3">
      <c r="A34">
        <v>76</v>
      </c>
      <c r="B34">
        <v>2023</v>
      </c>
      <c r="C34">
        <v>0.54</v>
      </c>
      <c r="D34">
        <v>0.63</v>
      </c>
      <c r="E34">
        <v>0.55000000000000004</v>
      </c>
      <c r="F34">
        <v>0.83</v>
      </c>
      <c r="G34">
        <v>0.33</v>
      </c>
      <c r="H34">
        <v>0.47</v>
      </c>
      <c r="I34">
        <v>112</v>
      </c>
      <c r="J34">
        <v>16</v>
      </c>
      <c r="K34">
        <v>0.59</v>
      </c>
      <c r="L34" t="s">
        <v>12</v>
      </c>
    </row>
    <row r="35" spans="1:12" x14ac:dyDescent="0.3">
      <c r="A35">
        <v>52</v>
      </c>
      <c r="B35">
        <v>2022</v>
      </c>
      <c r="C35">
        <v>0.88</v>
      </c>
      <c r="D35">
        <v>0.62</v>
      </c>
      <c r="E35">
        <v>0.56000000000000005</v>
      </c>
      <c r="F35">
        <v>0.81</v>
      </c>
      <c r="G35">
        <v>0.84</v>
      </c>
      <c r="H35">
        <v>0.22</v>
      </c>
      <c r="I35">
        <v>54</v>
      </c>
      <c r="J35">
        <v>6</v>
      </c>
      <c r="K35">
        <v>0.74</v>
      </c>
      <c r="L35" t="s">
        <v>13</v>
      </c>
    </row>
    <row r="36" spans="1:12" x14ac:dyDescent="0.3">
      <c r="A36">
        <v>68</v>
      </c>
      <c r="B36">
        <v>2025</v>
      </c>
      <c r="C36">
        <v>0.44</v>
      </c>
      <c r="D36">
        <v>0.65</v>
      </c>
      <c r="E36">
        <v>0.85</v>
      </c>
      <c r="F36">
        <v>0.66</v>
      </c>
      <c r="G36">
        <v>0.39</v>
      </c>
      <c r="H36">
        <v>0.97</v>
      </c>
      <c r="I36">
        <v>155</v>
      </c>
      <c r="J36">
        <v>18</v>
      </c>
      <c r="K36">
        <v>0.6</v>
      </c>
      <c r="L36" t="s">
        <v>12</v>
      </c>
    </row>
    <row r="37" spans="1:12" x14ac:dyDescent="0.3">
      <c r="A37">
        <v>17</v>
      </c>
      <c r="B37">
        <v>2023</v>
      </c>
      <c r="C37">
        <v>0.61</v>
      </c>
      <c r="D37">
        <v>0.45</v>
      </c>
      <c r="E37">
        <v>0.51</v>
      </c>
      <c r="F37">
        <v>0.99</v>
      </c>
      <c r="G37">
        <v>0.89</v>
      </c>
      <c r="H37">
        <v>0.7</v>
      </c>
      <c r="I37">
        <v>178</v>
      </c>
      <c r="J37">
        <v>0</v>
      </c>
      <c r="K37">
        <v>0.63</v>
      </c>
      <c r="L37" t="s">
        <v>12</v>
      </c>
    </row>
    <row r="38" spans="1:12" x14ac:dyDescent="0.3">
      <c r="A38">
        <v>34</v>
      </c>
      <c r="B38">
        <v>2021</v>
      </c>
      <c r="C38">
        <v>0.76</v>
      </c>
      <c r="D38">
        <v>0.56999999999999995</v>
      </c>
      <c r="E38">
        <v>0.98</v>
      </c>
      <c r="F38">
        <v>0.9</v>
      </c>
      <c r="G38">
        <v>0.69</v>
      </c>
      <c r="H38">
        <v>0.61</v>
      </c>
      <c r="I38">
        <v>296</v>
      </c>
      <c r="J38">
        <v>2</v>
      </c>
      <c r="K38">
        <v>0.77</v>
      </c>
      <c r="L38" t="s">
        <v>13</v>
      </c>
    </row>
    <row r="39" spans="1:12" x14ac:dyDescent="0.3">
      <c r="A39">
        <v>76</v>
      </c>
      <c r="B39">
        <v>2022</v>
      </c>
      <c r="C39">
        <v>0.55000000000000004</v>
      </c>
      <c r="D39">
        <v>0.85</v>
      </c>
      <c r="E39">
        <v>0.51</v>
      </c>
      <c r="F39">
        <v>0.65</v>
      </c>
      <c r="G39">
        <v>0.33</v>
      </c>
      <c r="H39">
        <v>0.04</v>
      </c>
      <c r="I39">
        <v>287</v>
      </c>
      <c r="J39">
        <v>19</v>
      </c>
      <c r="K39">
        <v>0.61</v>
      </c>
      <c r="L39" t="s">
        <v>12</v>
      </c>
    </row>
    <row r="40" spans="1:12" x14ac:dyDescent="0.3">
      <c r="A40">
        <v>69</v>
      </c>
      <c r="B40">
        <v>2024</v>
      </c>
      <c r="C40">
        <v>0.31</v>
      </c>
      <c r="D40">
        <v>0.86</v>
      </c>
      <c r="E40">
        <v>0.9</v>
      </c>
      <c r="F40">
        <v>0.74</v>
      </c>
      <c r="G40">
        <v>0.63</v>
      </c>
      <c r="H40">
        <v>0.65</v>
      </c>
      <c r="I40">
        <v>299</v>
      </c>
      <c r="J40">
        <v>9</v>
      </c>
      <c r="K40">
        <v>0.66</v>
      </c>
      <c r="L40" t="s">
        <v>12</v>
      </c>
    </row>
    <row r="41" spans="1:12" x14ac:dyDescent="0.3">
      <c r="A41">
        <v>69</v>
      </c>
      <c r="B41">
        <v>2024</v>
      </c>
      <c r="C41">
        <v>0.33</v>
      </c>
      <c r="D41">
        <v>0.62</v>
      </c>
      <c r="E41">
        <v>0.81</v>
      </c>
      <c r="F41">
        <v>0.8</v>
      </c>
      <c r="G41">
        <v>0.9</v>
      </c>
      <c r="H41">
        <v>0.66</v>
      </c>
      <c r="I41">
        <v>53</v>
      </c>
      <c r="J41">
        <v>15</v>
      </c>
      <c r="K41">
        <v>0.63</v>
      </c>
      <c r="L41" t="s">
        <v>12</v>
      </c>
    </row>
    <row r="42" spans="1:12" x14ac:dyDescent="0.3">
      <c r="A42">
        <v>24</v>
      </c>
      <c r="B42">
        <v>2022</v>
      </c>
      <c r="C42">
        <v>0.32</v>
      </c>
      <c r="D42">
        <v>0.75</v>
      </c>
      <c r="E42">
        <v>0.97</v>
      </c>
      <c r="F42">
        <v>0.83</v>
      </c>
      <c r="G42">
        <v>0.56999999999999995</v>
      </c>
      <c r="H42">
        <v>0.64</v>
      </c>
      <c r="I42">
        <v>466</v>
      </c>
      <c r="J42">
        <v>18</v>
      </c>
      <c r="K42">
        <v>0.66</v>
      </c>
      <c r="L42" t="s">
        <v>12</v>
      </c>
    </row>
    <row r="43" spans="1:12" x14ac:dyDescent="0.3">
      <c r="A43">
        <v>43</v>
      </c>
      <c r="B43">
        <v>2025</v>
      </c>
      <c r="C43">
        <v>0.74</v>
      </c>
      <c r="D43">
        <v>0.89</v>
      </c>
      <c r="E43">
        <v>0.83</v>
      </c>
      <c r="F43">
        <v>0.68</v>
      </c>
      <c r="G43">
        <v>0.49</v>
      </c>
      <c r="H43">
        <v>0.21</v>
      </c>
      <c r="I43">
        <v>351</v>
      </c>
      <c r="J43">
        <v>1</v>
      </c>
      <c r="K43">
        <v>0.76</v>
      </c>
      <c r="L43" t="s">
        <v>13</v>
      </c>
    </row>
    <row r="44" spans="1:12" x14ac:dyDescent="0.3">
      <c r="A44">
        <v>35</v>
      </c>
      <c r="B44">
        <v>2021</v>
      </c>
      <c r="C44">
        <v>0.76</v>
      </c>
      <c r="D44">
        <v>0.63</v>
      </c>
      <c r="E44">
        <v>0.84</v>
      </c>
      <c r="F44">
        <v>0.74</v>
      </c>
      <c r="G44">
        <v>0.48</v>
      </c>
      <c r="H44">
        <v>0.5</v>
      </c>
      <c r="I44">
        <v>363</v>
      </c>
      <c r="J44">
        <v>17</v>
      </c>
      <c r="K44">
        <v>0.71</v>
      </c>
      <c r="L44" t="s">
        <v>13</v>
      </c>
    </row>
    <row r="45" spans="1:12" x14ac:dyDescent="0.3">
      <c r="A45">
        <v>75</v>
      </c>
      <c r="B45">
        <v>2025</v>
      </c>
      <c r="C45">
        <v>0.33</v>
      </c>
      <c r="D45">
        <v>0.65</v>
      </c>
      <c r="E45">
        <v>0.98</v>
      </c>
      <c r="F45">
        <v>0.82</v>
      </c>
      <c r="G45">
        <v>0.6</v>
      </c>
      <c r="H45">
        <v>0.56999999999999995</v>
      </c>
      <c r="I45">
        <v>276</v>
      </c>
      <c r="J45">
        <v>16</v>
      </c>
      <c r="K45">
        <v>0.64</v>
      </c>
      <c r="L45" t="s">
        <v>12</v>
      </c>
    </row>
    <row r="46" spans="1:12" x14ac:dyDescent="0.3">
      <c r="A46">
        <v>99</v>
      </c>
      <c r="B46">
        <v>2024</v>
      </c>
      <c r="C46">
        <v>0.56000000000000005</v>
      </c>
      <c r="D46">
        <v>0.87</v>
      </c>
      <c r="E46">
        <v>0.67</v>
      </c>
      <c r="F46">
        <v>0.97</v>
      </c>
      <c r="G46">
        <v>0.9</v>
      </c>
      <c r="H46">
        <v>0.43</v>
      </c>
      <c r="I46">
        <v>62</v>
      </c>
      <c r="J46">
        <v>2</v>
      </c>
      <c r="K46">
        <v>0.76</v>
      </c>
      <c r="L46" t="s">
        <v>13</v>
      </c>
    </row>
    <row r="47" spans="1:12" x14ac:dyDescent="0.3">
      <c r="A47">
        <v>30</v>
      </c>
      <c r="B47">
        <v>2021</v>
      </c>
      <c r="C47">
        <v>0.67</v>
      </c>
      <c r="D47">
        <v>0.7</v>
      </c>
      <c r="E47">
        <v>0.69</v>
      </c>
      <c r="F47">
        <v>0.72</v>
      </c>
      <c r="G47">
        <v>0.37</v>
      </c>
      <c r="H47">
        <v>0.05</v>
      </c>
      <c r="I47">
        <v>494</v>
      </c>
      <c r="J47">
        <v>8</v>
      </c>
      <c r="K47">
        <v>0.66</v>
      </c>
      <c r="L47" t="s">
        <v>12</v>
      </c>
    </row>
    <row r="48" spans="1:12" x14ac:dyDescent="0.3">
      <c r="A48">
        <v>19</v>
      </c>
      <c r="B48">
        <v>2024</v>
      </c>
      <c r="C48">
        <v>0.55000000000000004</v>
      </c>
      <c r="D48">
        <v>0.97</v>
      </c>
      <c r="E48">
        <v>0.84</v>
      </c>
      <c r="F48">
        <v>0.79</v>
      </c>
      <c r="G48">
        <v>0.65</v>
      </c>
      <c r="H48">
        <v>0.08</v>
      </c>
      <c r="I48">
        <v>118</v>
      </c>
      <c r="J48">
        <v>2</v>
      </c>
      <c r="K48">
        <v>0.76</v>
      </c>
      <c r="L48" t="s">
        <v>13</v>
      </c>
    </row>
    <row r="49" spans="1:12" x14ac:dyDescent="0.3">
      <c r="A49">
        <v>12</v>
      </c>
      <c r="B49">
        <v>2021</v>
      </c>
      <c r="C49">
        <v>0.69</v>
      </c>
      <c r="D49">
        <v>0.53</v>
      </c>
      <c r="E49">
        <v>0.97</v>
      </c>
      <c r="F49">
        <v>0.91</v>
      </c>
      <c r="G49">
        <v>0.38</v>
      </c>
      <c r="H49">
        <v>0.93</v>
      </c>
      <c r="I49">
        <v>235</v>
      </c>
      <c r="J49">
        <v>6</v>
      </c>
      <c r="K49">
        <v>0.71</v>
      </c>
      <c r="L49" t="s">
        <v>13</v>
      </c>
    </row>
    <row r="50" spans="1:12" x14ac:dyDescent="0.3">
      <c r="A50">
        <v>14</v>
      </c>
      <c r="B50">
        <v>2022</v>
      </c>
      <c r="C50">
        <v>0.61</v>
      </c>
      <c r="D50">
        <v>0.93</v>
      </c>
      <c r="E50">
        <v>0.68</v>
      </c>
      <c r="F50">
        <v>0.65</v>
      </c>
      <c r="G50">
        <v>0.4</v>
      </c>
      <c r="H50">
        <v>0.76</v>
      </c>
      <c r="I50">
        <v>450</v>
      </c>
      <c r="J50">
        <v>5</v>
      </c>
      <c r="K50">
        <v>0.69</v>
      </c>
      <c r="L50" t="s">
        <v>12</v>
      </c>
    </row>
    <row r="51" spans="1:12" x14ac:dyDescent="0.3">
      <c r="A51">
        <v>7</v>
      </c>
      <c r="B51">
        <v>2025</v>
      </c>
      <c r="C51">
        <v>0.46</v>
      </c>
      <c r="D51">
        <v>0.64</v>
      </c>
      <c r="E51">
        <v>0.95</v>
      </c>
      <c r="F51">
        <v>0.66</v>
      </c>
      <c r="G51">
        <v>0.66</v>
      </c>
      <c r="H51">
        <v>0.23</v>
      </c>
      <c r="I51">
        <v>185</v>
      </c>
      <c r="J51">
        <v>15</v>
      </c>
      <c r="K51">
        <v>0.65</v>
      </c>
      <c r="L51" t="s">
        <v>12</v>
      </c>
    </row>
    <row r="52" spans="1:12" x14ac:dyDescent="0.3">
      <c r="A52">
        <v>65</v>
      </c>
      <c r="B52">
        <v>2024</v>
      </c>
      <c r="C52">
        <v>0.47</v>
      </c>
      <c r="D52">
        <v>0.94</v>
      </c>
      <c r="E52">
        <v>0.8</v>
      </c>
      <c r="F52">
        <v>0.74</v>
      </c>
      <c r="G52">
        <v>0.8</v>
      </c>
      <c r="H52">
        <v>0.48</v>
      </c>
      <c r="I52">
        <v>413</v>
      </c>
      <c r="J52">
        <v>6</v>
      </c>
      <c r="K52">
        <v>0.73</v>
      </c>
      <c r="L52" t="s">
        <v>13</v>
      </c>
    </row>
    <row r="53" spans="1:12" x14ac:dyDescent="0.3">
      <c r="A53">
        <v>91</v>
      </c>
      <c r="B53">
        <v>2022</v>
      </c>
      <c r="C53">
        <v>0.93</v>
      </c>
      <c r="D53">
        <v>0.47</v>
      </c>
      <c r="E53">
        <v>0.75</v>
      </c>
      <c r="F53">
        <v>0.6</v>
      </c>
      <c r="G53">
        <v>0.63</v>
      </c>
      <c r="H53">
        <v>0.06</v>
      </c>
      <c r="I53">
        <v>366</v>
      </c>
      <c r="J53">
        <v>8</v>
      </c>
      <c r="K53">
        <v>0.7</v>
      </c>
      <c r="L53" t="s">
        <v>12</v>
      </c>
    </row>
    <row r="54" spans="1:12" x14ac:dyDescent="0.3">
      <c r="A54">
        <v>39</v>
      </c>
      <c r="B54">
        <v>2021</v>
      </c>
      <c r="C54">
        <v>0.78</v>
      </c>
      <c r="D54">
        <v>0.54</v>
      </c>
      <c r="E54">
        <v>0.7</v>
      </c>
      <c r="F54">
        <v>0.79</v>
      </c>
      <c r="G54">
        <v>0.36</v>
      </c>
      <c r="H54">
        <v>0.53</v>
      </c>
      <c r="I54">
        <v>166</v>
      </c>
      <c r="J54">
        <v>5</v>
      </c>
      <c r="K54">
        <v>0.66</v>
      </c>
      <c r="L54" t="s">
        <v>12</v>
      </c>
    </row>
    <row r="55" spans="1:12" x14ac:dyDescent="0.3">
      <c r="A55">
        <v>58</v>
      </c>
      <c r="B55">
        <v>2024</v>
      </c>
      <c r="C55">
        <v>0.98</v>
      </c>
      <c r="D55">
        <v>0.73</v>
      </c>
      <c r="E55">
        <v>0.66</v>
      </c>
      <c r="F55">
        <v>0.62</v>
      </c>
      <c r="G55">
        <v>0.95</v>
      </c>
      <c r="H55">
        <v>0.92</v>
      </c>
      <c r="I55">
        <v>213</v>
      </c>
      <c r="J55">
        <v>2</v>
      </c>
      <c r="K55">
        <v>0.8</v>
      </c>
      <c r="L55" t="s">
        <v>13</v>
      </c>
    </row>
    <row r="56" spans="1:12" x14ac:dyDescent="0.3">
      <c r="A56">
        <v>19</v>
      </c>
      <c r="B56">
        <v>2024</v>
      </c>
      <c r="C56">
        <v>0.35</v>
      </c>
      <c r="D56">
        <v>0.5</v>
      </c>
      <c r="E56">
        <v>0.61</v>
      </c>
      <c r="F56">
        <v>0.72</v>
      </c>
      <c r="G56">
        <v>1</v>
      </c>
      <c r="H56">
        <v>0.7</v>
      </c>
      <c r="I56">
        <v>308</v>
      </c>
      <c r="J56">
        <v>15</v>
      </c>
      <c r="K56">
        <v>0.56000000000000005</v>
      </c>
      <c r="L56" t="s">
        <v>12</v>
      </c>
    </row>
    <row r="57" spans="1:12" x14ac:dyDescent="0.3">
      <c r="A57">
        <v>87</v>
      </c>
      <c r="B57">
        <v>2021</v>
      </c>
      <c r="C57">
        <v>0.94</v>
      </c>
      <c r="D57">
        <v>0.98</v>
      </c>
      <c r="E57">
        <v>0.53</v>
      </c>
      <c r="F57">
        <v>0.76</v>
      </c>
      <c r="G57">
        <v>0.37</v>
      </c>
      <c r="H57">
        <v>0.34</v>
      </c>
      <c r="I57">
        <v>171</v>
      </c>
      <c r="J57">
        <v>3</v>
      </c>
      <c r="K57">
        <v>0.78</v>
      </c>
      <c r="L57" t="s">
        <v>13</v>
      </c>
    </row>
    <row r="58" spans="1:12" x14ac:dyDescent="0.3">
      <c r="A58">
        <v>90</v>
      </c>
      <c r="B58">
        <v>2022</v>
      </c>
      <c r="C58">
        <v>0.46</v>
      </c>
      <c r="D58">
        <v>0.56000000000000005</v>
      </c>
      <c r="E58">
        <v>0.68</v>
      </c>
      <c r="F58">
        <v>0.7</v>
      </c>
      <c r="G58">
        <v>0.62</v>
      </c>
      <c r="H58">
        <v>0.03</v>
      </c>
      <c r="I58">
        <v>250</v>
      </c>
      <c r="J58">
        <v>0</v>
      </c>
      <c r="K58">
        <v>0.57999999999999996</v>
      </c>
      <c r="L58" t="s">
        <v>12</v>
      </c>
    </row>
    <row r="59" spans="1:12" x14ac:dyDescent="0.3">
      <c r="A59">
        <v>84</v>
      </c>
      <c r="B59">
        <v>2025</v>
      </c>
      <c r="C59">
        <v>0.78</v>
      </c>
      <c r="D59">
        <v>0.5</v>
      </c>
      <c r="E59">
        <v>0.96</v>
      </c>
      <c r="F59">
        <v>0.93</v>
      </c>
      <c r="G59">
        <v>0.96</v>
      </c>
      <c r="H59">
        <v>0.73</v>
      </c>
      <c r="I59">
        <v>352</v>
      </c>
      <c r="J59">
        <v>1</v>
      </c>
      <c r="K59">
        <v>0.79</v>
      </c>
      <c r="L59" t="s">
        <v>13</v>
      </c>
    </row>
    <row r="60" spans="1:12" x14ac:dyDescent="0.3">
      <c r="A60">
        <v>10</v>
      </c>
      <c r="B60">
        <v>2022</v>
      </c>
      <c r="C60">
        <v>0.69</v>
      </c>
      <c r="D60">
        <v>0.5</v>
      </c>
      <c r="E60">
        <v>0.71</v>
      </c>
      <c r="F60">
        <v>0.91</v>
      </c>
      <c r="G60">
        <v>0.64</v>
      </c>
      <c r="H60">
        <v>0.99</v>
      </c>
      <c r="I60">
        <v>316</v>
      </c>
      <c r="J60">
        <v>16</v>
      </c>
      <c r="K60">
        <v>0.67</v>
      </c>
      <c r="L60" t="s">
        <v>12</v>
      </c>
    </row>
    <row r="61" spans="1:12" x14ac:dyDescent="0.3">
      <c r="A61">
        <v>77</v>
      </c>
      <c r="B61">
        <v>2021</v>
      </c>
      <c r="C61">
        <v>0.63</v>
      </c>
      <c r="D61">
        <v>0.65</v>
      </c>
      <c r="E61">
        <v>0.64</v>
      </c>
      <c r="F61">
        <v>0.62</v>
      </c>
      <c r="G61">
        <v>0.91</v>
      </c>
      <c r="H61">
        <v>0.81</v>
      </c>
      <c r="I61">
        <v>400</v>
      </c>
      <c r="J61">
        <v>4</v>
      </c>
      <c r="K61">
        <v>0.66</v>
      </c>
      <c r="L61" t="s">
        <v>12</v>
      </c>
    </row>
    <row r="62" spans="1:12" x14ac:dyDescent="0.3">
      <c r="A62">
        <v>3</v>
      </c>
      <c r="B62">
        <v>2025</v>
      </c>
      <c r="C62">
        <v>0.71</v>
      </c>
      <c r="D62">
        <v>0.84</v>
      </c>
      <c r="E62">
        <v>0.88</v>
      </c>
      <c r="F62">
        <v>0.75</v>
      </c>
      <c r="G62">
        <v>0.47</v>
      </c>
      <c r="H62">
        <v>0.21</v>
      </c>
      <c r="I62">
        <v>50</v>
      </c>
      <c r="J62">
        <v>18</v>
      </c>
      <c r="K62">
        <v>0.76</v>
      </c>
      <c r="L62" t="s">
        <v>13</v>
      </c>
    </row>
    <row r="63" spans="1:12" x14ac:dyDescent="0.3">
      <c r="A63">
        <v>45</v>
      </c>
      <c r="B63">
        <v>2025</v>
      </c>
      <c r="C63">
        <v>0.45</v>
      </c>
      <c r="D63">
        <v>0.93</v>
      </c>
      <c r="E63">
        <v>0.88</v>
      </c>
      <c r="F63">
        <v>0.62</v>
      </c>
      <c r="G63">
        <v>0.49</v>
      </c>
      <c r="H63">
        <v>0.02</v>
      </c>
      <c r="I63">
        <v>299</v>
      </c>
      <c r="J63">
        <v>1</v>
      </c>
      <c r="K63">
        <v>0.69</v>
      </c>
      <c r="L63" t="s">
        <v>12</v>
      </c>
    </row>
    <row r="64" spans="1:12" x14ac:dyDescent="0.3">
      <c r="A64">
        <v>54</v>
      </c>
      <c r="B64">
        <v>2023</v>
      </c>
      <c r="C64">
        <v>0.66</v>
      </c>
      <c r="D64">
        <v>0.91</v>
      </c>
      <c r="E64">
        <v>0.78</v>
      </c>
      <c r="F64">
        <v>0.82</v>
      </c>
      <c r="G64">
        <v>0.91</v>
      </c>
      <c r="H64">
        <v>0.4</v>
      </c>
      <c r="I64">
        <v>161</v>
      </c>
      <c r="J64">
        <v>14</v>
      </c>
      <c r="K64">
        <v>0.8</v>
      </c>
      <c r="L64" t="s">
        <v>13</v>
      </c>
    </row>
    <row r="65" spans="1:12" x14ac:dyDescent="0.3">
      <c r="A65">
        <v>23</v>
      </c>
      <c r="B65">
        <v>2025</v>
      </c>
      <c r="C65">
        <v>0.73</v>
      </c>
      <c r="D65">
        <v>0.82</v>
      </c>
      <c r="E65">
        <v>0.61</v>
      </c>
      <c r="F65">
        <v>0.65</v>
      </c>
      <c r="G65">
        <v>0.31</v>
      </c>
      <c r="H65">
        <v>0.35</v>
      </c>
      <c r="I65">
        <v>147</v>
      </c>
      <c r="J65">
        <v>17</v>
      </c>
      <c r="K65">
        <v>0.67</v>
      </c>
      <c r="L65" t="s">
        <v>12</v>
      </c>
    </row>
    <row r="66" spans="1:12" x14ac:dyDescent="0.3">
      <c r="A66">
        <v>30</v>
      </c>
      <c r="B66">
        <v>2023</v>
      </c>
      <c r="C66">
        <v>0.36</v>
      </c>
      <c r="D66">
        <v>0.84</v>
      </c>
      <c r="E66">
        <v>0.77</v>
      </c>
      <c r="F66">
        <v>0.78</v>
      </c>
      <c r="G66">
        <v>0.94</v>
      </c>
      <c r="H66">
        <v>0.3</v>
      </c>
      <c r="I66">
        <v>155</v>
      </c>
      <c r="J66">
        <v>18</v>
      </c>
      <c r="K66">
        <v>0.68</v>
      </c>
      <c r="L66" t="s">
        <v>12</v>
      </c>
    </row>
    <row r="67" spans="1:12" x14ac:dyDescent="0.3">
      <c r="A67">
        <v>81</v>
      </c>
      <c r="B67">
        <v>2025</v>
      </c>
      <c r="C67">
        <v>0.86</v>
      </c>
      <c r="D67">
        <v>0.68</v>
      </c>
      <c r="E67">
        <v>0.92</v>
      </c>
      <c r="F67">
        <v>0.91</v>
      </c>
      <c r="G67">
        <v>0.35</v>
      </c>
      <c r="H67">
        <v>0.05</v>
      </c>
      <c r="I67">
        <v>311</v>
      </c>
      <c r="J67">
        <v>1</v>
      </c>
      <c r="K67">
        <v>0.78</v>
      </c>
      <c r="L67" t="s">
        <v>13</v>
      </c>
    </row>
    <row r="68" spans="1:12" x14ac:dyDescent="0.3">
      <c r="A68">
        <v>77</v>
      </c>
      <c r="B68">
        <v>2023</v>
      </c>
      <c r="C68">
        <v>0.71</v>
      </c>
      <c r="D68">
        <v>0.6</v>
      </c>
      <c r="E68">
        <v>0.77</v>
      </c>
      <c r="F68">
        <v>0.78</v>
      </c>
      <c r="G68">
        <v>0.71</v>
      </c>
      <c r="H68">
        <v>0.4</v>
      </c>
      <c r="I68">
        <v>449</v>
      </c>
      <c r="J68">
        <v>7</v>
      </c>
      <c r="K68">
        <v>0.7</v>
      </c>
      <c r="L68" t="s">
        <v>12</v>
      </c>
    </row>
    <row r="69" spans="1:12" x14ac:dyDescent="0.3">
      <c r="A69">
        <v>4</v>
      </c>
      <c r="B69">
        <v>2024</v>
      </c>
      <c r="C69">
        <v>0.54</v>
      </c>
      <c r="D69">
        <v>0.94</v>
      </c>
      <c r="E69">
        <v>0.74</v>
      </c>
      <c r="F69">
        <v>0.87</v>
      </c>
      <c r="G69">
        <v>0.42</v>
      </c>
      <c r="H69">
        <v>0.19</v>
      </c>
      <c r="I69">
        <v>452</v>
      </c>
      <c r="J69">
        <v>4</v>
      </c>
      <c r="K69">
        <v>0.72</v>
      </c>
      <c r="L69" t="s">
        <v>13</v>
      </c>
    </row>
    <row r="70" spans="1:12" x14ac:dyDescent="0.3">
      <c r="A70">
        <v>82</v>
      </c>
      <c r="B70">
        <v>2024</v>
      </c>
      <c r="C70">
        <v>0.54</v>
      </c>
      <c r="D70">
        <v>0.42</v>
      </c>
      <c r="E70">
        <v>0.77</v>
      </c>
      <c r="F70">
        <v>0.81</v>
      </c>
      <c r="G70">
        <v>0.55000000000000004</v>
      </c>
      <c r="H70">
        <v>0.89</v>
      </c>
      <c r="I70">
        <v>482</v>
      </c>
      <c r="J70">
        <v>13</v>
      </c>
      <c r="K70">
        <v>0.6</v>
      </c>
      <c r="L70" t="s">
        <v>12</v>
      </c>
    </row>
    <row r="71" spans="1:12" x14ac:dyDescent="0.3">
      <c r="A71">
        <v>90</v>
      </c>
      <c r="B71">
        <v>2025</v>
      </c>
      <c r="C71">
        <v>0.53</v>
      </c>
      <c r="D71">
        <v>0.46</v>
      </c>
      <c r="E71">
        <v>0.74</v>
      </c>
      <c r="F71">
        <v>0.88</v>
      </c>
      <c r="G71">
        <v>0.66</v>
      </c>
      <c r="H71">
        <v>0.16</v>
      </c>
      <c r="I71">
        <v>97</v>
      </c>
      <c r="J71">
        <v>16</v>
      </c>
      <c r="K71">
        <v>0.62</v>
      </c>
      <c r="L71" t="s">
        <v>12</v>
      </c>
    </row>
    <row r="72" spans="1:12" x14ac:dyDescent="0.3">
      <c r="A72">
        <v>26</v>
      </c>
      <c r="B72">
        <v>2024</v>
      </c>
      <c r="C72">
        <v>0.86</v>
      </c>
      <c r="D72">
        <v>0.85</v>
      </c>
      <c r="E72">
        <v>0.59</v>
      </c>
      <c r="F72">
        <v>0.68</v>
      </c>
      <c r="G72">
        <v>0.56000000000000005</v>
      </c>
      <c r="H72">
        <v>0.48</v>
      </c>
      <c r="I72">
        <v>77</v>
      </c>
      <c r="J72">
        <v>13</v>
      </c>
      <c r="K72">
        <v>0.75</v>
      </c>
      <c r="L72" t="s">
        <v>13</v>
      </c>
    </row>
    <row r="73" spans="1:12" x14ac:dyDescent="0.3">
      <c r="A73">
        <v>88</v>
      </c>
      <c r="B73">
        <v>2022</v>
      </c>
      <c r="C73">
        <v>0.82</v>
      </c>
      <c r="D73">
        <v>0.42</v>
      </c>
      <c r="E73">
        <v>0.63</v>
      </c>
      <c r="F73">
        <v>0.89</v>
      </c>
      <c r="G73">
        <v>0.93</v>
      </c>
      <c r="H73">
        <v>0.51</v>
      </c>
      <c r="I73">
        <v>288</v>
      </c>
      <c r="J73">
        <v>12</v>
      </c>
      <c r="K73">
        <v>0.7</v>
      </c>
      <c r="L73" t="s">
        <v>12</v>
      </c>
    </row>
    <row r="74" spans="1:12" x14ac:dyDescent="0.3">
      <c r="A74">
        <v>18</v>
      </c>
      <c r="B74">
        <v>2022</v>
      </c>
      <c r="C74">
        <v>0.55000000000000004</v>
      </c>
      <c r="D74">
        <v>0.64</v>
      </c>
      <c r="E74">
        <v>0.55000000000000004</v>
      </c>
      <c r="F74">
        <v>0.89</v>
      </c>
      <c r="G74">
        <v>0.43</v>
      </c>
      <c r="H74">
        <v>0.56000000000000005</v>
      </c>
      <c r="I74">
        <v>322</v>
      </c>
      <c r="J74">
        <v>6</v>
      </c>
      <c r="K74">
        <v>0.61</v>
      </c>
      <c r="L74" t="s">
        <v>12</v>
      </c>
    </row>
    <row r="75" spans="1:12" x14ac:dyDescent="0.3">
      <c r="A75">
        <v>86</v>
      </c>
      <c r="B75">
        <v>2022</v>
      </c>
      <c r="C75">
        <v>0.67</v>
      </c>
      <c r="D75">
        <v>0.54</v>
      </c>
      <c r="E75">
        <v>0.67</v>
      </c>
      <c r="F75">
        <v>0.79</v>
      </c>
      <c r="G75">
        <v>0.55000000000000004</v>
      </c>
      <c r="H75">
        <v>0.65</v>
      </c>
      <c r="I75">
        <v>195</v>
      </c>
      <c r="J75">
        <v>14</v>
      </c>
      <c r="K75">
        <v>0.64</v>
      </c>
      <c r="L75" t="s">
        <v>12</v>
      </c>
    </row>
    <row r="76" spans="1:12" x14ac:dyDescent="0.3">
      <c r="A76">
        <v>100</v>
      </c>
      <c r="B76">
        <v>2022</v>
      </c>
      <c r="C76">
        <v>0.69</v>
      </c>
      <c r="D76">
        <v>0.75</v>
      </c>
      <c r="E76">
        <v>0.78</v>
      </c>
      <c r="F76">
        <v>0.75</v>
      </c>
      <c r="G76">
        <v>0.54</v>
      </c>
      <c r="H76">
        <v>0.9</v>
      </c>
      <c r="I76">
        <v>369</v>
      </c>
      <c r="J76">
        <v>1</v>
      </c>
      <c r="K76">
        <v>0.72</v>
      </c>
      <c r="L76" t="s">
        <v>13</v>
      </c>
    </row>
    <row r="77" spans="1:12" x14ac:dyDescent="0.3">
      <c r="A77">
        <v>59</v>
      </c>
      <c r="B77">
        <v>2023</v>
      </c>
      <c r="C77">
        <v>0.99</v>
      </c>
      <c r="D77">
        <v>0.76</v>
      </c>
      <c r="E77">
        <v>0.62</v>
      </c>
      <c r="F77">
        <v>0.64</v>
      </c>
      <c r="G77">
        <v>0.41</v>
      </c>
      <c r="H77">
        <v>0.25</v>
      </c>
      <c r="I77">
        <v>53</v>
      </c>
      <c r="J77">
        <v>10</v>
      </c>
      <c r="K77">
        <v>0.75</v>
      </c>
      <c r="L77" t="s">
        <v>13</v>
      </c>
    </row>
    <row r="78" spans="1:12" x14ac:dyDescent="0.3">
      <c r="A78">
        <v>62</v>
      </c>
      <c r="B78">
        <v>2021</v>
      </c>
      <c r="C78">
        <v>0.36</v>
      </c>
      <c r="D78">
        <v>0.71</v>
      </c>
      <c r="E78">
        <v>0.71</v>
      </c>
      <c r="F78">
        <v>0.99</v>
      </c>
      <c r="G78">
        <v>0.38</v>
      </c>
      <c r="H78">
        <v>0.4</v>
      </c>
      <c r="I78">
        <v>269</v>
      </c>
      <c r="J78">
        <v>10</v>
      </c>
      <c r="K78">
        <v>0.61</v>
      </c>
      <c r="L78" t="s">
        <v>12</v>
      </c>
    </row>
    <row r="79" spans="1:12" x14ac:dyDescent="0.3">
      <c r="A79">
        <v>4</v>
      </c>
      <c r="B79">
        <v>2021</v>
      </c>
      <c r="C79">
        <v>0.64</v>
      </c>
      <c r="D79">
        <v>0.83</v>
      </c>
      <c r="E79">
        <v>0.91</v>
      </c>
      <c r="F79">
        <v>0.89</v>
      </c>
      <c r="G79">
        <v>0.67</v>
      </c>
      <c r="H79">
        <v>0.48</v>
      </c>
      <c r="I79">
        <v>222</v>
      </c>
      <c r="J79">
        <v>11</v>
      </c>
      <c r="K79">
        <v>0.78</v>
      </c>
      <c r="L79" t="s">
        <v>13</v>
      </c>
    </row>
    <row r="80" spans="1:12" x14ac:dyDescent="0.3">
      <c r="A80">
        <v>5</v>
      </c>
      <c r="B80">
        <v>2022</v>
      </c>
      <c r="C80">
        <v>0.53</v>
      </c>
      <c r="D80">
        <v>0.66</v>
      </c>
      <c r="E80">
        <v>0.75</v>
      </c>
      <c r="F80">
        <v>0.7</v>
      </c>
      <c r="G80">
        <v>0.38</v>
      </c>
      <c r="H80">
        <v>0.61</v>
      </c>
      <c r="I80">
        <v>369</v>
      </c>
      <c r="J80">
        <v>5</v>
      </c>
      <c r="K80">
        <v>0.62</v>
      </c>
      <c r="L80" t="s">
        <v>12</v>
      </c>
    </row>
    <row r="81" spans="1:12" x14ac:dyDescent="0.3">
      <c r="A81">
        <v>37</v>
      </c>
      <c r="B81">
        <v>2023</v>
      </c>
      <c r="C81">
        <v>0.95</v>
      </c>
      <c r="D81">
        <v>0.59</v>
      </c>
      <c r="E81">
        <v>0.8</v>
      </c>
      <c r="F81">
        <v>0.75</v>
      </c>
      <c r="G81">
        <v>0.62</v>
      </c>
      <c r="H81">
        <v>0.55000000000000004</v>
      </c>
      <c r="I81">
        <v>187</v>
      </c>
      <c r="J81">
        <v>11</v>
      </c>
      <c r="K81">
        <v>0.77</v>
      </c>
      <c r="L81" t="s">
        <v>13</v>
      </c>
    </row>
    <row r="82" spans="1:12" x14ac:dyDescent="0.3">
      <c r="A82">
        <v>2</v>
      </c>
      <c r="B82">
        <v>2025</v>
      </c>
      <c r="C82">
        <v>0.78</v>
      </c>
      <c r="D82">
        <v>0.45</v>
      </c>
      <c r="E82">
        <v>0.56999999999999995</v>
      </c>
      <c r="F82">
        <v>0.6</v>
      </c>
      <c r="G82">
        <v>0.38</v>
      </c>
      <c r="H82">
        <v>0.47</v>
      </c>
      <c r="I82">
        <v>87</v>
      </c>
      <c r="J82">
        <v>2</v>
      </c>
      <c r="K82">
        <v>0.59</v>
      </c>
      <c r="L82" t="s">
        <v>12</v>
      </c>
    </row>
    <row r="83" spans="1:12" x14ac:dyDescent="0.3">
      <c r="A83">
        <v>94</v>
      </c>
      <c r="B83">
        <v>2021</v>
      </c>
      <c r="C83">
        <v>0.9</v>
      </c>
      <c r="D83">
        <v>0.85</v>
      </c>
      <c r="E83">
        <v>0.7</v>
      </c>
      <c r="F83">
        <v>0.97</v>
      </c>
      <c r="G83">
        <v>0.99</v>
      </c>
      <c r="H83">
        <v>0.21</v>
      </c>
      <c r="I83">
        <v>84</v>
      </c>
      <c r="J83">
        <v>0</v>
      </c>
      <c r="K83">
        <v>0.87</v>
      </c>
      <c r="L83" t="s">
        <v>13</v>
      </c>
    </row>
    <row r="84" spans="1:12" x14ac:dyDescent="0.3">
      <c r="A84">
        <v>40</v>
      </c>
      <c r="B84">
        <v>2024</v>
      </c>
      <c r="C84">
        <v>0.89</v>
      </c>
      <c r="D84">
        <v>0.48</v>
      </c>
      <c r="E84">
        <v>0.9</v>
      </c>
      <c r="F84">
        <v>0.68</v>
      </c>
      <c r="G84">
        <v>0.41</v>
      </c>
      <c r="H84">
        <v>0.16</v>
      </c>
      <c r="I84">
        <v>54</v>
      </c>
      <c r="J84">
        <v>18</v>
      </c>
      <c r="K84">
        <v>0.71</v>
      </c>
      <c r="L84" t="s">
        <v>13</v>
      </c>
    </row>
    <row r="85" spans="1:12" x14ac:dyDescent="0.3">
      <c r="A85">
        <v>78</v>
      </c>
      <c r="B85">
        <v>2022</v>
      </c>
      <c r="C85">
        <v>0.94</v>
      </c>
      <c r="D85">
        <v>0.59</v>
      </c>
      <c r="E85">
        <v>0.79</v>
      </c>
      <c r="F85">
        <v>0.87</v>
      </c>
      <c r="G85">
        <v>0.62</v>
      </c>
      <c r="H85">
        <v>0.71</v>
      </c>
      <c r="I85">
        <v>337</v>
      </c>
      <c r="J85">
        <v>18</v>
      </c>
      <c r="K85">
        <v>0.78</v>
      </c>
      <c r="L85" t="s">
        <v>13</v>
      </c>
    </row>
    <row r="86" spans="1:12" x14ac:dyDescent="0.3">
      <c r="A86">
        <v>38</v>
      </c>
      <c r="B86">
        <v>2021</v>
      </c>
      <c r="C86">
        <v>0.82</v>
      </c>
      <c r="D86">
        <v>0.7</v>
      </c>
      <c r="E86">
        <v>0.62</v>
      </c>
      <c r="F86">
        <v>0.96</v>
      </c>
      <c r="G86">
        <v>0.56999999999999995</v>
      </c>
      <c r="H86">
        <v>0.54</v>
      </c>
      <c r="I86">
        <v>153</v>
      </c>
      <c r="J86">
        <v>7</v>
      </c>
      <c r="K86">
        <v>0.75</v>
      </c>
      <c r="L86" t="s">
        <v>13</v>
      </c>
    </row>
    <row r="87" spans="1:12" x14ac:dyDescent="0.3">
      <c r="A87">
        <v>51</v>
      </c>
      <c r="B87">
        <v>2023</v>
      </c>
      <c r="C87">
        <v>0.6</v>
      </c>
      <c r="D87">
        <v>0.6</v>
      </c>
      <c r="E87">
        <v>0.87</v>
      </c>
      <c r="F87">
        <v>0.88</v>
      </c>
      <c r="G87">
        <v>0.42</v>
      </c>
      <c r="H87">
        <v>0.88</v>
      </c>
      <c r="I87">
        <v>338</v>
      </c>
      <c r="J87">
        <v>19</v>
      </c>
      <c r="K87">
        <v>0.68</v>
      </c>
      <c r="L87" t="s">
        <v>12</v>
      </c>
    </row>
    <row r="88" spans="1:12" x14ac:dyDescent="0.3">
      <c r="A88">
        <v>94</v>
      </c>
      <c r="B88">
        <v>2023</v>
      </c>
      <c r="C88">
        <v>0.85</v>
      </c>
      <c r="D88">
        <v>0.49</v>
      </c>
      <c r="E88">
        <v>0.66</v>
      </c>
      <c r="F88">
        <v>0.7</v>
      </c>
      <c r="G88">
        <v>0.82</v>
      </c>
      <c r="H88">
        <v>0.03</v>
      </c>
      <c r="I88">
        <v>135</v>
      </c>
      <c r="J88">
        <v>1</v>
      </c>
      <c r="K88">
        <v>0.7</v>
      </c>
      <c r="L88" t="s">
        <v>12</v>
      </c>
    </row>
    <row r="89" spans="1:12" x14ac:dyDescent="0.3">
      <c r="A89">
        <v>10</v>
      </c>
      <c r="B89">
        <v>2025</v>
      </c>
      <c r="C89">
        <v>0.91</v>
      </c>
      <c r="D89">
        <v>0.61</v>
      </c>
      <c r="E89">
        <v>0.91</v>
      </c>
      <c r="F89">
        <v>0.64</v>
      </c>
      <c r="G89">
        <v>0.89</v>
      </c>
      <c r="H89">
        <v>0.13</v>
      </c>
      <c r="I89">
        <v>233</v>
      </c>
      <c r="J89">
        <v>14</v>
      </c>
      <c r="K89">
        <v>0.79</v>
      </c>
      <c r="L89" t="s">
        <v>13</v>
      </c>
    </row>
    <row r="90" spans="1:12" x14ac:dyDescent="0.3">
      <c r="A90">
        <v>29</v>
      </c>
      <c r="B90">
        <v>2025</v>
      </c>
      <c r="C90">
        <v>0.64</v>
      </c>
      <c r="D90">
        <v>0.65</v>
      </c>
      <c r="E90">
        <v>0.89</v>
      </c>
      <c r="F90">
        <v>0.6</v>
      </c>
      <c r="G90">
        <v>0.72</v>
      </c>
      <c r="H90">
        <v>0.56999999999999995</v>
      </c>
      <c r="I90">
        <v>331</v>
      </c>
      <c r="J90">
        <v>10</v>
      </c>
      <c r="K90">
        <v>0.69</v>
      </c>
      <c r="L90" t="s">
        <v>12</v>
      </c>
    </row>
    <row r="91" spans="1:12" x14ac:dyDescent="0.3">
      <c r="A91">
        <v>27</v>
      </c>
      <c r="B91">
        <v>2025</v>
      </c>
      <c r="C91">
        <v>0.88</v>
      </c>
      <c r="D91">
        <v>0.98</v>
      </c>
      <c r="E91">
        <v>0.67</v>
      </c>
      <c r="F91">
        <v>0.69</v>
      </c>
      <c r="G91">
        <v>0.6</v>
      </c>
      <c r="H91">
        <v>0.28999999999999998</v>
      </c>
      <c r="I91">
        <v>412</v>
      </c>
      <c r="J91">
        <v>11</v>
      </c>
      <c r="K91">
        <v>0.81</v>
      </c>
      <c r="L91" t="s">
        <v>13</v>
      </c>
    </row>
    <row r="92" spans="1:12" x14ac:dyDescent="0.3">
      <c r="A92">
        <v>90</v>
      </c>
      <c r="B92">
        <v>2025</v>
      </c>
      <c r="C92">
        <v>0.4</v>
      </c>
      <c r="D92">
        <v>0.46</v>
      </c>
      <c r="E92">
        <v>0.63</v>
      </c>
      <c r="F92">
        <v>0.89</v>
      </c>
      <c r="G92">
        <v>0.72</v>
      </c>
      <c r="H92">
        <v>0.1</v>
      </c>
      <c r="I92">
        <v>373</v>
      </c>
      <c r="J92">
        <v>4</v>
      </c>
      <c r="K92">
        <v>0.56999999999999995</v>
      </c>
      <c r="L92" t="s">
        <v>12</v>
      </c>
    </row>
    <row r="93" spans="1:12" x14ac:dyDescent="0.3">
      <c r="A93">
        <v>37</v>
      </c>
      <c r="B93">
        <v>2022</v>
      </c>
      <c r="C93">
        <v>0.84</v>
      </c>
      <c r="D93">
        <v>0.62</v>
      </c>
      <c r="E93">
        <v>0.53</v>
      </c>
      <c r="F93">
        <v>0.63</v>
      </c>
      <c r="G93">
        <v>0.37</v>
      </c>
      <c r="H93">
        <v>0.84</v>
      </c>
      <c r="I93">
        <v>316</v>
      </c>
      <c r="J93">
        <v>0</v>
      </c>
      <c r="K93">
        <v>0.64</v>
      </c>
      <c r="L93" t="s">
        <v>12</v>
      </c>
    </row>
    <row r="94" spans="1:12" x14ac:dyDescent="0.3">
      <c r="A94">
        <v>46</v>
      </c>
      <c r="B94">
        <v>2025</v>
      </c>
      <c r="C94">
        <v>0.99</v>
      </c>
      <c r="D94">
        <v>0.9</v>
      </c>
      <c r="E94">
        <v>0.56000000000000005</v>
      </c>
      <c r="F94">
        <v>0.97</v>
      </c>
      <c r="G94">
        <v>0.91</v>
      </c>
      <c r="H94">
        <v>0.52</v>
      </c>
      <c r="I94">
        <v>473</v>
      </c>
      <c r="J94">
        <v>14</v>
      </c>
      <c r="K94">
        <v>0.87</v>
      </c>
      <c r="L94" t="s">
        <v>13</v>
      </c>
    </row>
    <row r="95" spans="1:12" x14ac:dyDescent="0.3">
      <c r="A95">
        <v>21</v>
      </c>
      <c r="B95">
        <v>2021</v>
      </c>
      <c r="C95">
        <v>0.82</v>
      </c>
      <c r="D95">
        <v>0.52</v>
      </c>
      <c r="E95">
        <v>0.89</v>
      </c>
      <c r="F95">
        <v>0.84</v>
      </c>
      <c r="G95">
        <v>0.38</v>
      </c>
      <c r="H95">
        <v>0.41</v>
      </c>
      <c r="I95">
        <v>139</v>
      </c>
      <c r="J95">
        <v>10</v>
      </c>
      <c r="K95">
        <v>0.72</v>
      </c>
      <c r="L95" t="s">
        <v>13</v>
      </c>
    </row>
    <row r="96" spans="1:12" x14ac:dyDescent="0.3">
      <c r="A96">
        <v>38</v>
      </c>
      <c r="B96">
        <v>2022</v>
      </c>
      <c r="C96">
        <v>0.63</v>
      </c>
      <c r="D96">
        <v>0.69</v>
      </c>
      <c r="E96">
        <v>0.96</v>
      </c>
      <c r="F96">
        <v>0.83</v>
      </c>
      <c r="G96">
        <v>0.32</v>
      </c>
      <c r="H96">
        <v>0.91</v>
      </c>
      <c r="I96">
        <v>231</v>
      </c>
      <c r="J96">
        <v>6</v>
      </c>
      <c r="K96">
        <v>0.71</v>
      </c>
      <c r="L96" t="s">
        <v>13</v>
      </c>
    </row>
    <row r="97" spans="1:12" x14ac:dyDescent="0.3">
      <c r="A97">
        <v>52</v>
      </c>
      <c r="B97">
        <v>2025</v>
      </c>
      <c r="C97">
        <v>0.94</v>
      </c>
      <c r="D97">
        <v>0.62</v>
      </c>
      <c r="E97">
        <v>0.79</v>
      </c>
      <c r="F97">
        <v>0.85</v>
      </c>
      <c r="G97">
        <v>0.31</v>
      </c>
      <c r="H97">
        <v>0.66</v>
      </c>
      <c r="I97">
        <v>386</v>
      </c>
      <c r="J97">
        <v>19</v>
      </c>
      <c r="K97">
        <v>0.75</v>
      </c>
      <c r="L97" t="s">
        <v>13</v>
      </c>
    </row>
    <row r="98" spans="1:12" x14ac:dyDescent="0.3">
      <c r="A98">
        <v>49</v>
      </c>
      <c r="B98">
        <v>2024</v>
      </c>
      <c r="C98">
        <v>0.59</v>
      </c>
      <c r="D98">
        <v>0.45</v>
      </c>
      <c r="E98">
        <v>1</v>
      </c>
      <c r="F98">
        <v>0.8</v>
      </c>
      <c r="G98">
        <v>0.72</v>
      </c>
      <c r="H98">
        <v>7.0000000000000007E-2</v>
      </c>
      <c r="I98">
        <v>264</v>
      </c>
      <c r="J98">
        <v>18</v>
      </c>
      <c r="K98">
        <v>0.68</v>
      </c>
      <c r="L98" t="s">
        <v>12</v>
      </c>
    </row>
    <row r="99" spans="1:12" x14ac:dyDescent="0.3">
      <c r="A99">
        <v>56</v>
      </c>
      <c r="B99">
        <v>2023</v>
      </c>
      <c r="C99">
        <v>0.54</v>
      </c>
      <c r="D99">
        <v>0.68</v>
      </c>
      <c r="E99">
        <v>0.81</v>
      </c>
      <c r="F99">
        <v>0.75</v>
      </c>
      <c r="G99">
        <v>0.89</v>
      </c>
      <c r="H99">
        <v>0.59</v>
      </c>
      <c r="I99">
        <v>306</v>
      </c>
      <c r="J99">
        <v>13</v>
      </c>
      <c r="K99">
        <v>0.7</v>
      </c>
      <c r="L99" t="s">
        <v>12</v>
      </c>
    </row>
    <row r="100" spans="1:12" x14ac:dyDescent="0.3">
      <c r="A100">
        <v>47</v>
      </c>
      <c r="B100">
        <v>2022</v>
      </c>
      <c r="C100">
        <v>0.67</v>
      </c>
      <c r="D100">
        <v>0.66</v>
      </c>
      <c r="E100">
        <v>0.7</v>
      </c>
      <c r="F100">
        <v>0.82</v>
      </c>
      <c r="G100">
        <v>0.41</v>
      </c>
      <c r="H100">
        <v>0.18</v>
      </c>
      <c r="I100">
        <v>462</v>
      </c>
      <c r="J100">
        <v>6</v>
      </c>
      <c r="K100">
        <v>0.67</v>
      </c>
      <c r="L100" t="s">
        <v>12</v>
      </c>
    </row>
    <row r="101" spans="1:12" x14ac:dyDescent="0.3">
      <c r="A101">
        <v>3</v>
      </c>
      <c r="B101">
        <v>2022</v>
      </c>
      <c r="C101">
        <v>0.49</v>
      </c>
      <c r="D101">
        <v>0.79</v>
      </c>
      <c r="E101">
        <v>0.7</v>
      </c>
      <c r="F101">
        <v>0.61</v>
      </c>
      <c r="G101">
        <v>0.41</v>
      </c>
      <c r="H101">
        <v>0.72</v>
      </c>
      <c r="I101">
        <v>398</v>
      </c>
      <c r="J101">
        <v>7</v>
      </c>
      <c r="K101">
        <v>0.62</v>
      </c>
      <c r="L101" t="s">
        <v>12</v>
      </c>
    </row>
    <row r="102" spans="1:12" x14ac:dyDescent="0.3">
      <c r="A102">
        <v>65</v>
      </c>
      <c r="B102">
        <v>2021</v>
      </c>
      <c r="C102">
        <v>0.46</v>
      </c>
      <c r="D102">
        <v>0.54</v>
      </c>
      <c r="E102">
        <v>0.84</v>
      </c>
      <c r="F102">
        <v>0.61</v>
      </c>
      <c r="G102">
        <v>0.37</v>
      </c>
      <c r="H102">
        <v>0.8</v>
      </c>
      <c r="I102">
        <v>116</v>
      </c>
      <c r="J102">
        <v>18</v>
      </c>
      <c r="K102">
        <v>0.56999999999999995</v>
      </c>
      <c r="L102" t="s">
        <v>12</v>
      </c>
    </row>
    <row r="103" spans="1:12" x14ac:dyDescent="0.3">
      <c r="A103">
        <v>97</v>
      </c>
      <c r="B103">
        <v>2024</v>
      </c>
      <c r="C103">
        <v>0.47</v>
      </c>
      <c r="D103">
        <v>0.46</v>
      </c>
      <c r="E103">
        <v>0.62</v>
      </c>
      <c r="F103">
        <v>0.89</v>
      </c>
      <c r="G103">
        <v>0.9</v>
      </c>
      <c r="H103">
        <v>0.83</v>
      </c>
      <c r="I103">
        <v>214</v>
      </c>
      <c r="J103">
        <v>13</v>
      </c>
      <c r="K103">
        <v>0.6</v>
      </c>
      <c r="L103" t="s">
        <v>12</v>
      </c>
    </row>
    <row r="104" spans="1:12" x14ac:dyDescent="0.3">
      <c r="A104">
        <v>95</v>
      </c>
      <c r="B104">
        <v>2022</v>
      </c>
      <c r="C104">
        <v>0.31</v>
      </c>
      <c r="D104">
        <v>0.45</v>
      </c>
      <c r="E104">
        <v>0.6</v>
      </c>
      <c r="F104">
        <v>0.61</v>
      </c>
      <c r="G104">
        <v>0.43</v>
      </c>
      <c r="H104">
        <v>0.57999999999999996</v>
      </c>
      <c r="I104">
        <v>237</v>
      </c>
      <c r="J104">
        <v>17</v>
      </c>
      <c r="K104">
        <v>0.46</v>
      </c>
      <c r="L104" t="s">
        <v>12</v>
      </c>
    </row>
    <row r="105" spans="1:12" x14ac:dyDescent="0.3">
      <c r="A105">
        <v>2</v>
      </c>
      <c r="B105">
        <v>2021</v>
      </c>
      <c r="C105">
        <v>0.87</v>
      </c>
      <c r="D105">
        <v>0.61</v>
      </c>
      <c r="E105">
        <v>0.63</v>
      </c>
      <c r="F105">
        <v>0.75</v>
      </c>
      <c r="G105">
        <v>0.71</v>
      </c>
      <c r="H105">
        <v>0.27</v>
      </c>
      <c r="I105">
        <v>310</v>
      </c>
      <c r="J105">
        <v>4</v>
      </c>
      <c r="K105">
        <v>0.72</v>
      </c>
      <c r="L105" t="s">
        <v>13</v>
      </c>
    </row>
    <row r="106" spans="1:12" x14ac:dyDescent="0.3">
      <c r="A106">
        <v>38</v>
      </c>
      <c r="B106">
        <v>2021</v>
      </c>
      <c r="C106">
        <v>0.61</v>
      </c>
      <c r="D106">
        <v>0.57999999999999996</v>
      </c>
      <c r="E106">
        <v>0.97</v>
      </c>
      <c r="F106">
        <v>0.91</v>
      </c>
      <c r="G106">
        <v>0.4</v>
      </c>
      <c r="H106">
        <v>0.87</v>
      </c>
      <c r="I106">
        <v>169</v>
      </c>
      <c r="J106">
        <v>13</v>
      </c>
      <c r="K106">
        <v>0.7</v>
      </c>
      <c r="L106" t="s">
        <v>12</v>
      </c>
    </row>
    <row r="107" spans="1:12" x14ac:dyDescent="0.3">
      <c r="A107">
        <v>87</v>
      </c>
      <c r="B107">
        <v>2021</v>
      </c>
      <c r="C107">
        <v>0.64</v>
      </c>
      <c r="D107">
        <v>0.71</v>
      </c>
      <c r="E107">
        <v>0.87</v>
      </c>
      <c r="F107">
        <v>0.88</v>
      </c>
      <c r="G107">
        <v>0.57999999999999996</v>
      </c>
      <c r="H107">
        <v>0.22</v>
      </c>
      <c r="I107">
        <v>327</v>
      </c>
      <c r="J107">
        <v>10</v>
      </c>
      <c r="K107">
        <v>0.73</v>
      </c>
      <c r="L107" t="s">
        <v>13</v>
      </c>
    </row>
    <row r="108" spans="1:12" x14ac:dyDescent="0.3">
      <c r="A108">
        <v>4</v>
      </c>
      <c r="B108">
        <v>2022</v>
      </c>
      <c r="C108">
        <v>0.67</v>
      </c>
      <c r="D108">
        <v>0.5</v>
      </c>
      <c r="E108">
        <v>0.64</v>
      </c>
      <c r="F108">
        <v>0.61</v>
      </c>
      <c r="G108">
        <v>0.94</v>
      </c>
      <c r="H108">
        <v>0.12</v>
      </c>
      <c r="I108">
        <v>405</v>
      </c>
      <c r="J108">
        <v>8</v>
      </c>
      <c r="K108">
        <v>0.64</v>
      </c>
      <c r="L108" t="s">
        <v>12</v>
      </c>
    </row>
    <row r="109" spans="1:12" x14ac:dyDescent="0.3">
      <c r="A109">
        <v>38</v>
      </c>
      <c r="B109">
        <v>2022</v>
      </c>
      <c r="C109">
        <v>0.69</v>
      </c>
      <c r="D109">
        <v>0.79</v>
      </c>
      <c r="E109">
        <v>0.91</v>
      </c>
      <c r="F109">
        <v>0.68</v>
      </c>
      <c r="G109">
        <v>0.31</v>
      </c>
      <c r="H109">
        <v>0.14000000000000001</v>
      </c>
      <c r="I109">
        <v>362</v>
      </c>
      <c r="J109">
        <v>5</v>
      </c>
      <c r="K109">
        <v>0.72</v>
      </c>
      <c r="L109" t="s">
        <v>13</v>
      </c>
    </row>
    <row r="110" spans="1:12" x14ac:dyDescent="0.3">
      <c r="A110">
        <v>91</v>
      </c>
      <c r="B110">
        <v>2022</v>
      </c>
      <c r="C110">
        <v>0.72</v>
      </c>
      <c r="D110">
        <v>0.8</v>
      </c>
      <c r="E110">
        <v>0.59</v>
      </c>
      <c r="F110">
        <v>0.97</v>
      </c>
      <c r="G110">
        <v>0.59</v>
      </c>
      <c r="H110">
        <v>0.38</v>
      </c>
      <c r="I110">
        <v>171</v>
      </c>
      <c r="J110">
        <v>13</v>
      </c>
      <c r="K110">
        <v>0.74</v>
      </c>
      <c r="L110" t="s">
        <v>13</v>
      </c>
    </row>
    <row r="111" spans="1:12" x14ac:dyDescent="0.3">
      <c r="A111">
        <v>64</v>
      </c>
      <c r="B111">
        <v>2022</v>
      </c>
      <c r="C111">
        <v>0.42</v>
      </c>
      <c r="D111">
        <v>0.84</v>
      </c>
      <c r="E111">
        <v>0.54</v>
      </c>
      <c r="F111">
        <v>0.84</v>
      </c>
      <c r="G111">
        <v>0.47</v>
      </c>
      <c r="H111">
        <v>0.39</v>
      </c>
      <c r="I111">
        <v>345</v>
      </c>
      <c r="J111">
        <v>10</v>
      </c>
      <c r="K111">
        <v>0.62</v>
      </c>
      <c r="L111" t="s">
        <v>12</v>
      </c>
    </row>
    <row r="112" spans="1:12" x14ac:dyDescent="0.3">
      <c r="A112">
        <v>36</v>
      </c>
      <c r="B112">
        <v>2021</v>
      </c>
      <c r="C112">
        <v>0.81</v>
      </c>
      <c r="D112">
        <v>0.77</v>
      </c>
      <c r="E112">
        <v>0.97</v>
      </c>
      <c r="F112">
        <v>0.76</v>
      </c>
      <c r="G112">
        <v>0.97</v>
      </c>
      <c r="H112">
        <v>0.14000000000000001</v>
      </c>
      <c r="I112">
        <v>361</v>
      </c>
      <c r="J112">
        <v>0</v>
      </c>
      <c r="K112">
        <v>0.84</v>
      </c>
      <c r="L112" t="s">
        <v>13</v>
      </c>
    </row>
    <row r="113" spans="1:12" x14ac:dyDescent="0.3">
      <c r="A113">
        <v>36</v>
      </c>
      <c r="B113">
        <v>2024</v>
      </c>
      <c r="C113">
        <v>0.41</v>
      </c>
      <c r="D113">
        <v>0.9</v>
      </c>
      <c r="E113">
        <v>0.92</v>
      </c>
      <c r="F113">
        <v>0.98</v>
      </c>
      <c r="G113">
        <v>0.41</v>
      </c>
      <c r="H113">
        <v>0.62</v>
      </c>
      <c r="I113">
        <v>499</v>
      </c>
      <c r="J113">
        <v>8</v>
      </c>
      <c r="K113">
        <v>0.72</v>
      </c>
      <c r="L113" t="s">
        <v>13</v>
      </c>
    </row>
    <row r="114" spans="1:12" x14ac:dyDescent="0.3">
      <c r="A114">
        <v>73</v>
      </c>
      <c r="B114">
        <v>2021</v>
      </c>
      <c r="C114">
        <v>0.59</v>
      </c>
      <c r="D114">
        <v>0.82</v>
      </c>
      <c r="E114">
        <v>0.8</v>
      </c>
      <c r="F114">
        <v>0.78</v>
      </c>
      <c r="G114">
        <v>0.35</v>
      </c>
      <c r="H114">
        <v>0.08</v>
      </c>
      <c r="I114">
        <v>157</v>
      </c>
      <c r="J114">
        <v>11</v>
      </c>
      <c r="K114">
        <v>0.69</v>
      </c>
      <c r="L114" t="s">
        <v>12</v>
      </c>
    </row>
    <row r="115" spans="1:12" x14ac:dyDescent="0.3">
      <c r="A115">
        <v>51</v>
      </c>
      <c r="B115">
        <v>2022</v>
      </c>
      <c r="C115">
        <v>0.37</v>
      </c>
      <c r="D115">
        <v>0.59</v>
      </c>
      <c r="E115">
        <v>0.9</v>
      </c>
      <c r="F115">
        <v>0.98</v>
      </c>
      <c r="G115">
        <v>0.85</v>
      </c>
      <c r="H115">
        <v>0.69</v>
      </c>
      <c r="I115">
        <v>352</v>
      </c>
      <c r="J115">
        <v>11</v>
      </c>
      <c r="K115">
        <v>0.67</v>
      </c>
      <c r="L115" t="s">
        <v>12</v>
      </c>
    </row>
    <row r="116" spans="1:12" x14ac:dyDescent="0.3">
      <c r="A116">
        <v>62</v>
      </c>
      <c r="B116">
        <v>2023</v>
      </c>
      <c r="C116">
        <v>0.81</v>
      </c>
      <c r="D116">
        <v>0.88</v>
      </c>
      <c r="E116">
        <v>0.83</v>
      </c>
      <c r="F116">
        <v>0.88</v>
      </c>
      <c r="G116">
        <v>0.89</v>
      </c>
      <c r="H116">
        <v>0.25</v>
      </c>
      <c r="I116">
        <v>138</v>
      </c>
      <c r="J116">
        <v>11</v>
      </c>
      <c r="K116">
        <v>0.85</v>
      </c>
      <c r="L116" t="s">
        <v>13</v>
      </c>
    </row>
    <row r="117" spans="1:12" x14ac:dyDescent="0.3">
      <c r="A117">
        <v>15</v>
      </c>
      <c r="B117">
        <v>2023</v>
      </c>
      <c r="C117">
        <v>0.99</v>
      </c>
      <c r="D117">
        <v>0.97</v>
      </c>
      <c r="E117">
        <v>0.52</v>
      </c>
      <c r="F117">
        <v>0.88</v>
      </c>
      <c r="G117">
        <v>0.95</v>
      </c>
      <c r="H117">
        <v>0.18</v>
      </c>
      <c r="I117">
        <v>135</v>
      </c>
      <c r="J117">
        <v>6</v>
      </c>
      <c r="K117">
        <v>0.87</v>
      </c>
      <c r="L117" t="s">
        <v>13</v>
      </c>
    </row>
    <row r="118" spans="1:12" x14ac:dyDescent="0.3">
      <c r="A118">
        <v>14</v>
      </c>
      <c r="B118">
        <v>2025</v>
      </c>
      <c r="C118">
        <v>0.81</v>
      </c>
      <c r="D118">
        <v>0.52</v>
      </c>
      <c r="E118">
        <v>0.56000000000000005</v>
      </c>
      <c r="F118">
        <v>0.77</v>
      </c>
      <c r="G118">
        <v>0.86</v>
      </c>
      <c r="H118">
        <v>0.75</v>
      </c>
      <c r="I118">
        <v>421</v>
      </c>
      <c r="J118">
        <v>6</v>
      </c>
      <c r="K118">
        <v>0.69</v>
      </c>
      <c r="L118" t="s">
        <v>12</v>
      </c>
    </row>
    <row r="119" spans="1:12" x14ac:dyDescent="0.3">
      <c r="A119">
        <v>99</v>
      </c>
      <c r="B119">
        <v>2022</v>
      </c>
      <c r="C119">
        <v>0.67</v>
      </c>
      <c r="D119">
        <v>0.79</v>
      </c>
      <c r="E119">
        <v>0.83</v>
      </c>
      <c r="F119">
        <v>0.75</v>
      </c>
      <c r="G119">
        <v>0.69</v>
      </c>
      <c r="H119">
        <v>0.48</v>
      </c>
      <c r="I119">
        <v>180</v>
      </c>
      <c r="J119">
        <v>4</v>
      </c>
      <c r="K119">
        <v>0.75</v>
      </c>
      <c r="L119" t="s">
        <v>13</v>
      </c>
    </row>
    <row r="120" spans="1:12" x14ac:dyDescent="0.3">
      <c r="A120">
        <v>43</v>
      </c>
      <c r="B120">
        <v>2022</v>
      </c>
      <c r="C120">
        <v>0.81</v>
      </c>
      <c r="D120">
        <v>0.44</v>
      </c>
      <c r="E120">
        <v>0.66</v>
      </c>
      <c r="F120">
        <v>0.82</v>
      </c>
      <c r="G120">
        <v>0.85</v>
      </c>
      <c r="H120">
        <v>0.32</v>
      </c>
      <c r="I120">
        <v>259</v>
      </c>
      <c r="J120">
        <v>0</v>
      </c>
      <c r="K120">
        <v>0.69</v>
      </c>
      <c r="L120" t="s">
        <v>12</v>
      </c>
    </row>
    <row r="121" spans="1:12" x14ac:dyDescent="0.3">
      <c r="A121">
        <v>16</v>
      </c>
      <c r="B121">
        <v>2025</v>
      </c>
      <c r="C121">
        <v>0.73</v>
      </c>
      <c r="D121">
        <v>0.54</v>
      </c>
      <c r="E121">
        <v>0.51</v>
      </c>
      <c r="F121">
        <v>0.95</v>
      </c>
      <c r="G121">
        <v>0.31</v>
      </c>
      <c r="H121">
        <v>0.87</v>
      </c>
      <c r="I121">
        <v>190</v>
      </c>
      <c r="J121">
        <v>17</v>
      </c>
      <c r="K121">
        <v>0.63</v>
      </c>
      <c r="L121" t="s">
        <v>12</v>
      </c>
    </row>
    <row r="122" spans="1:12" x14ac:dyDescent="0.3">
      <c r="A122">
        <v>32</v>
      </c>
      <c r="B122">
        <v>2023</v>
      </c>
      <c r="C122">
        <v>0.35</v>
      </c>
      <c r="D122">
        <v>0.41</v>
      </c>
      <c r="E122">
        <v>0.53</v>
      </c>
      <c r="F122">
        <v>0.64</v>
      </c>
      <c r="G122">
        <v>0.33</v>
      </c>
      <c r="H122">
        <v>0.48</v>
      </c>
      <c r="I122">
        <v>321</v>
      </c>
      <c r="J122">
        <v>11</v>
      </c>
      <c r="K122">
        <v>0.44</v>
      </c>
      <c r="L122" t="s">
        <v>12</v>
      </c>
    </row>
    <row r="123" spans="1:12" x14ac:dyDescent="0.3">
      <c r="A123">
        <v>10</v>
      </c>
      <c r="B123">
        <v>2021</v>
      </c>
      <c r="C123">
        <v>0.54</v>
      </c>
      <c r="D123">
        <v>0.71</v>
      </c>
      <c r="E123">
        <v>0.87</v>
      </c>
      <c r="F123">
        <v>0.6</v>
      </c>
      <c r="G123">
        <v>0.63</v>
      </c>
      <c r="H123">
        <v>0.3</v>
      </c>
      <c r="I123">
        <v>373</v>
      </c>
      <c r="J123">
        <v>17</v>
      </c>
      <c r="K123">
        <v>0.67</v>
      </c>
      <c r="L123" t="s">
        <v>12</v>
      </c>
    </row>
    <row r="124" spans="1:12" x14ac:dyDescent="0.3">
      <c r="A124">
        <v>62</v>
      </c>
      <c r="B124">
        <v>2025</v>
      </c>
      <c r="C124">
        <v>0.33</v>
      </c>
      <c r="D124">
        <v>0.41</v>
      </c>
      <c r="E124">
        <v>0.99</v>
      </c>
      <c r="F124">
        <v>0.77</v>
      </c>
      <c r="G124">
        <v>0.56999999999999995</v>
      </c>
      <c r="H124">
        <v>0.68</v>
      </c>
      <c r="I124">
        <v>189</v>
      </c>
      <c r="J124">
        <v>4</v>
      </c>
      <c r="K124">
        <v>0.56999999999999995</v>
      </c>
      <c r="L124" t="s">
        <v>12</v>
      </c>
    </row>
    <row r="125" spans="1:12" x14ac:dyDescent="0.3">
      <c r="A125">
        <v>61</v>
      </c>
      <c r="B125">
        <v>2025</v>
      </c>
      <c r="C125">
        <v>0.36</v>
      </c>
      <c r="D125">
        <v>0.65</v>
      </c>
      <c r="E125">
        <v>0.94</v>
      </c>
      <c r="F125">
        <v>0.98</v>
      </c>
      <c r="G125">
        <v>0.63</v>
      </c>
      <c r="H125">
        <v>0.61</v>
      </c>
      <c r="I125">
        <v>202</v>
      </c>
      <c r="J125">
        <v>6</v>
      </c>
      <c r="K125">
        <v>0.67</v>
      </c>
      <c r="L125" t="s">
        <v>12</v>
      </c>
    </row>
    <row r="126" spans="1:12" x14ac:dyDescent="0.3">
      <c r="A126">
        <v>52</v>
      </c>
      <c r="B126">
        <v>2024</v>
      </c>
      <c r="C126">
        <v>0.46</v>
      </c>
      <c r="D126">
        <v>0.97</v>
      </c>
      <c r="E126">
        <v>0.82</v>
      </c>
      <c r="F126">
        <v>0.84</v>
      </c>
      <c r="G126">
        <v>0.66</v>
      </c>
      <c r="H126">
        <v>0.23</v>
      </c>
      <c r="I126">
        <v>275</v>
      </c>
      <c r="J126">
        <v>8</v>
      </c>
      <c r="K126">
        <v>0.74</v>
      </c>
      <c r="L126" t="s">
        <v>13</v>
      </c>
    </row>
    <row r="127" spans="1:12" x14ac:dyDescent="0.3">
      <c r="A127">
        <v>3</v>
      </c>
      <c r="B127">
        <v>2025</v>
      </c>
      <c r="C127">
        <v>0.34</v>
      </c>
      <c r="D127">
        <v>0.98</v>
      </c>
      <c r="E127">
        <v>0.94</v>
      </c>
      <c r="F127">
        <v>0.97</v>
      </c>
      <c r="G127">
        <v>1</v>
      </c>
      <c r="H127">
        <v>0.17</v>
      </c>
      <c r="I127">
        <v>468</v>
      </c>
      <c r="J127">
        <v>17</v>
      </c>
      <c r="K127">
        <v>0.78</v>
      </c>
      <c r="L127" t="s">
        <v>13</v>
      </c>
    </row>
    <row r="128" spans="1:12" x14ac:dyDescent="0.3">
      <c r="A128">
        <v>82</v>
      </c>
      <c r="B128">
        <v>2021</v>
      </c>
      <c r="C128">
        <v>0.41</v>
      </c>
      <c r="D128">
        <v>0.89</v>
      </c>
      <c r="E128">
        <v>0.61</v>
      </c>
      <c r="F128">
        <v>0.69</v>
      </c>
      <c r="G128">
        <v>0.68</v>
      </c>
      <c r="H128">
        <v>0.59</v>
      </c>
      <c r="I128">
        <v>447</v>
      </c>
      <c r="J128">
        <v>4</v>
      </c>
      <c r="K128">
        <v>0.64</v>
      </c>
      <c r="L128" t="s">
        <v>12</v>
      </c>
    </row>
    <row r="129" spans="1:12" x14ac:dyDescent="0.3">
      <c r="A129">
        <v>98</v>
      </c>
      <c r="B129">
        <v>2023</v>
      </c>
      <c r="C129">
        <v>0.91</v>
      </c>
      <c r="D129">
        <v>0.56000000000000005</v>
      </c>
      <c r="E129">
        <v>0.56000000000000005</v>
      </c>
      <c r="F129">
        <v>0.96</v>
      </c>
      <c r="G129">
        <v>0.97</v>
      </c>
      <c r="H129">
        <v>0.86</v>
      </c>
      <c r="I129">
        <v>58</v>
      </c>
      <c r="J129">
        <v>14</v>
      </c>
      <c r="K129">
        <v>0.77</v>
      </c>
      <c r="L129" t="s">
        <v>13</v>
      </c>
    </row>
    <row r="130" spans="1:12" x14ac:dyDescent="0.3">
      <c r="A130">
        <v>40</v>
      </c>
      <c r="B130">
        <v>2021</v>
      </c>
      <c r="C130">
        <v>0.69</v>
      </c>
      <c r="D130">
        <v>0.45</v>
      </c>
      <c r="E130">
        <v>0.7</v>
      </c>
      <c r="F130">
        <v>0.75</v>
      </c>
      <c r="G130">
        <v>0.48</v>
      </c>
      <c r="H130">
        <v>0.72</v>
      </c>
      <c r="I130">
        <v>139</v>
      </c>
      <c r="J130">
        <v>17</v>
      </c>
      <c r="K130">
        <v>0.62</v>
      </c>
      <c r="L130" t="s">
        <v>12</v>
      </c>
    </row>
    <row r="131" spans="1:12" x14ac:dyDescent="0.3">
      <c r="A131">
        <v>70</v>
      </c>
      <c r="B131">
        <v>2025</v>
      </c>
      <c r="C131">
        <v>0.45</v>
      </c>
      <c r="D131">
        <v>0.81</v>
      </c>
      <c r="E131">
        <v>0.54</v>
      </c>
      <c r="F131">
        <v>0.94</v>
      </c>
      <c r="G131">
        <v>0.65</v>
      </c>
      <c r="H131">
        <v>0.48</v>
      </c>
      <c r="I131">
        <v>398</v>
      </c>
      <c r="J131">
        <v>18</v>
      </c>
      <c r="K131">
        <v>0.65</v>
      </c>
      <c r="L131" t="s">
        <v>12</v>
      </c>
    </row>
    <row r="132" spans="1:12" x14ac:dyDescent="0.3">
      <c r="A132">
        <v>58</v>
      </c>
      <c r="B132">
        <v>2023</v>
      </c>
      <c r="C132">
        <v>0.54</v>
      </c>
      <c r="D132">
        <v>0.81</v>
      </c>
      <c r="E132">
        <v>0.78</v>
      </c>
      <c r="F132">
        <v>0.71</v>
      </c>
      <c r="G132">
        <v>0.92</v>
      </c>
      <c r="H132">
        <v>0.8</v>
      </c>
      <c r="I132">
        <v>217</v>
      </c>
      <c r="J132">
        <v>0</v>
      </c>
      <c r="K132">
        <v>0.72</v>
      </c>
      <c r="L132" t="s">
        <v>13</v>
      </c>
    </row>
    <row r="133" spans="1:12" x14ac:dyDescent="0.3">
      <c r="A133">
        <v>59</v>
      </c>
      <c r="B133">
        <v>2023</v>
      </c>
      <c r="C133">
        <v>0.41</v>
      </c>
      <c r="D133">
        <v>0.6</v>
      </c>
      <c r="E133">
        <v>0.62</v>
      </c>
      <c r="F133">
        <v>0.97</v>
      </c>
      <c r="G133">
        <v>0.37</v>
      </c>
      <c r="H133">
        <v>0.7</v>
      </c>
      <c r="I133">
        <v>237</v>
      </c>
      <c r="J133">
        <v>6</v>
      </c>
      <c r="K133">
        <v>0.57999999999999996</v>
      </c>
      <c r="L133" t="s">
        <v>12</v>
      </c>
    </row>
    <row r="134" spans="1:12" x14ac:dyDescent="0.3">
      <c r="A134">
        <v>5</v>
      </c>
      <c r="B134">
        <v>2023</v>
      </c>
      <c r="C134">
        <v>0.97</v>
      </c>
      <c r="D134">
        <v>0.68</v>
      </c>
      <c r="E134">
        <v>0.94</v>
      </c>
      <c r="F134">
        <v>0.6</v>
      </c>
      <c r="G134">
        <v>0.87</v>
      </c>
      <c r="H134">
        <v>0.23</v>
      </c>
      <c r="I134">
        <v>88</v>
      </c>
      <c r="J134">
        <v>17</v>
      </c>
      <c r="K134">
        <v>0.83</v>
      </c>
      <c r="L134" t="s">
        <v>13</v>
      </c>
    </row>
    <row r="135" spans="1:12" x14ac:dyDescent="0.3">
      <c r="A135">
        <v>100</v>
      </c>
      <c r="B135">
        <v>2022</v>
      </c>
      <c r="C135">
        <v>0.88</v>
      </c>
      <c r="D135">
        <v>0.7</v>
      </c>
      <c r="E135">
        <v>0.5</v>
      </c>
      <c r="F135">
        <v>0.71</v>
      </c>
      <c r="G135">
        <v>0.73</v>
      </c>
      <c r="H135">
        <v>0.98</v>
      </c>
      <c r="I135">
        <v>66</v>
      </c>
      <c r="J135">
        <v>7</v>
      </c>
      <c r="K135">
        <v>0.72</v>
      </c>
      <c r="L135" t="s">
        <v>13</v>
      </c>
    </row>
    <row r="136" spans="1:12" x14ac:dyDescent="0.3">
      <c r="A136">
        <v>95</v>
      </c>
      <c r="B136">
        <v>2022</v>
      </c>
      <c r="C136">
        <v>0.74</v>
      </c>
      <c r="D136">
        <v>0.72</v>
      </c>
      <c r="E136">
        <v>0.89</v>
      </c>
      <c r="F136">
        <v>0.64</v>
      </c>
      <c r="G136">
        <v>0.83</v>
      </c>
      <c r="H136">
        <v>0.54</v>
      </c>
      <c r="I136">
        <v>273</v>
      </c>
      <c r="J136">
        <v>1</v>
      </c>
      <c r="K136">
        <v>0.76</v>
      </c>
      <c r="L136" t="s">
        <v>13</v>
      </c>
    </row>
    <row r="137" spans="1:12" x14ac:dyDescent="0.3">
      <c r="A137">
        <v>63</v>
      </c>
      <c r="B137">
        <v>2024</v>
      </c>
      <c r="C137">
        <v>0.74</v>
      </c>
      <c r="D137">
        <v>0.96</v>
      </c>
      <c r="E137">
        <v>0.55000000000000004</v>
      </c>
      <c r="F137">
        <v>0.97</v>
      </c>
      <c r="G137">
        <v>0.78</v>
      </c>
      <c r="H137">
        <v>7.0000000000000007E-2</v>
      </c>
      <c r="I137">
        <v>268</v>
      </c>
      <c r="J137">
        <v>16</v>
      </c>
      <c r="K137">
        <v>0.8</v>
      </c>
      <c r="L137" t="s">
        <v>13</v>
      </c>
    </row>
    <row r="138" spans="1:12" x14ac:dyDescent="0.3">
      <c r="A138">
        <v>12</v>
      </c>
      <c r="B138">
        <v>2021</v>
      </c>
      <c r="C138">
        <v>0.71</v>
      </c>
      <c r="D138">
        <v>0.61</v>
      </c>
      <c r="E138">
        <v>0.81</v>
      </c>
      <c r="F138">
        <v>0.62</v>
      </c>
      <c r="G138">
        <v>0.91</v>
      </c>
      <c r="H138">
        <v>0.97</v>
      </c>
      <c r="I138">
        <v>334</v>
      </c>
      <c r="J138">
        <v>11</v>
      </c>
      <c r="K138">
        <v>0.71</v>
      </c>
      <c r="L138" t="s">
        <v>13</v>
      </c>
    </row>
    <row r="139" spans="1:12" x14ac:dyDescent="0.3">
      <c r="A139">
        <v>36</v>
      </c>
      <c r="B139">
        <v>2023</v>
      </c>
      <c r="C139">
        <v>0.39</v>
      </c>
      <c r="D139">
        <v>0.85</v>
      </c>
      <c r="E139">
        <v>0.51</v>
      </c>
      <c r="F139">
        <v>0.61</v>
      </c>
      <c r="G139">
        <v>0.53</v>
      </c>
      <c r="H139">
        <v>0.49</v>
      </c>
      <c r="I139">
        <v>484</v>
      </c>
      <c r="J139">
        <v>10</v>
      </c>
      <c r="K139">
        <v>0.57999999999999996</v>
      </c>
      <c r="L139" t="s">
        <v>12</v>
      </c>
    </row>
    <row r="140" spans="1:12" x14ac:dyDescent="0.3">
      <c r="A140">
        <v>58</v>
      </c>
      <c r="B140">
        <v>2022</v>
      </c>
      <c r="C140">
        <v>0.41</v>
      </c>
      <c r="D140">
        <v>0.68</v>
      </c>
      <c r="E140">
        <v>0.97</v>
      </c>
      <c r="F140">
        <v>0.64</v>
      </c>
      <c r="G140">
        <v>0.9</v>
      </c>
      <c r="H140">
        <v>0.53</v>
      </c>
      <c r="I140">
        <v>334</v>
      </c>
      <c r="J140">
        <v>10</v>
      </c>
      <c r="K140">
        <v>0.67</v>
      </c>
      <c r="L140" t="s">
        <v>12</v>
      </c>
    </row>
    <row r="141" spans="1:12" x14ac:dyDescent="0.3">
      <c r="A141">
        <v>32</v>
      </c>
      <c r="B141">
        <v>2022</v>
      </c>
      <c r="C141">
        <v>0.84</v>
      </c>
      <c r="D141">
        <v>0.54</v>
      </c>
      <c r="E141">
        <v>0.56999999999999995</v>
      </c>
      <c r="F141">
        <v>0.95</v>
      </c>
      <c r="G141">
        <v>0.97</v>
      </c>
      <c r="H141">
        <v>0.03</v>
      </c>
      <c r="I141">
        <v>70</v>
      </c>
      <c r="J141">
        <v>14</v>
      </c>
      <c r="K141">
        <v>0.74</v>
      </c>
      <c r="L141" t="s">
        <v>13</v>
      </c>
    </row>
    <row r="142" spans="1:12" x14ac:dyDescent="0.3">
      <c r="A142">
        <v>80</v>
      </c>
      <c r="B142">
        <v>2025</v>
      </c>
      <c r="C142">
        <v>0.75</v>
      </c>
      <c r="D142">
        <v>0.64</v>
      </c>
      <c r="E142">
        <v>0.64</v>
      </c>
      <c r="F142">
        <v>0.99</v>
      </c>
      <c r="G142">
        <v>0.59</v>
      </c>
      <c r="H142">
        <v>0.89</v>
      </c>
      <c r="I142">
        <v>64</v>
      </c>
      <c r="J142">
        <v>1</v>
      </c>
      <c r="K142">
        <v>0.72</v>
      </c>
      <c r="L142" t="s">
        <v>13</v>
      </c>
    </row>
    <row r="143" spans="1:12" x14ac:dyDescent="0.3">
      <c r="A143">
        <v>61</v>
      </c>
      <c r="B143">
        <v>2023</v>
      </c>
      <c r="C143">
        <v>0.32</v>
      </c>
      <c r="D143">
        <v>0.79</v>
      </c>
      <c r="E143">
        <v>0.68</v>
      </c>
      <c r="F143">
        <v>0.95</v>
      </c>
      <c r="G143">
        <v>0.63</v>
      </c>
      <c r="H143">
        <v>0.97</v>
      </c>
      <c r="I143">
        <v>479</v>
      </c>
      <c r="J143">
        <v>16</v>
      </c>
      <c r="K143">
        <v>0.64</v>
      </c>
      <c r="L143" t="s">
        <v>12</v>
      </c>
    </row>
    <row r="144" spans="1:12" x14ac:dyDescent="0.3">
      <c r="A144">
        <v>93</v>
      </c>
      <c r="B144">
        <v>2025</v>
      </c>
      <c r="C144">
        <v>0.41</v>
      </c>
      <c r="D144">
        <v>0.67</v>
      </c>
      <c r="E144">
        <v>0.77</v>
      </c>
      <c r="F144">
        <v>0.61</v>
      </c>
      <c r="G144">
        <v>0.86</v>
      </c>
      <c r="H144">
        <v>0.28999999999999998</v>
      </c>
      <c r="I144">
        <v>73</v>
      </c>
      <c r="J144">
        <v>2</v>
      </c>
      <c r="K144">
        <v>0.62</v>
      </c>
      <c r="L144" t="s">
        <v>12</v>
      </c>
    </row>
    <row r="145" spans="1:12" x14ac:dyDescent="0.3">
      <c r="A145">
        <v>20</v>
      </c>
      <c r="B145">
        <v>2021</v>
      </c>
      <c r="C145">
        <v>0.3</v>
      </c>
      <c r="D145">
        <v>0.76</v>
      </c>
      <c r="E145">
        <v>0.8</v>
      </c>
      <c r="F145">
        <v>0.7</v>
      </c>
      <c r="G145">
        <v>0.69</v>
      </c>
      <c r="H145">
        <v>0.23</v>
      </c>
      <c r="I145">
        <v>493</v>
      </c>
      <c r="J145">
        <v>1</v>
      </c>
      <c r="K145">
        <v>0.61</v>
      </c>
      <c r="L145" t="s">
        <v>12</v>
      </c>
    </row>
    <row r="146" spans="1:12" x14ac:dyDescent="0.3">
      <c r="A146">
        <v>88</v>
      </c>
      <c r="B146">
        <v>2023</v>
      </c>
      <c r="C146">
        <v>0.99</v>
      </c>
      <c r="D146">
        <v>0.49</v>
      </c>
      <c r="E146">
        <v>0.73</v>
      </c>
      <c r="F146">
        <v>0.87</v>
      </c>
      <c r="G146">
        <v>0.57999999999999996</v>
      </c>
      <c r="H146">
        <v>0.97</v>
      </c>
      <c r="I146">
        <v>215</v>
      </c>
      <c r="J146">
        <v>10</v>
      </c>
      <c r="K146">
        <v>0.75</v>
      </c>
      <c r="L146" t="s">
        <v>13</v>
      </c>
    </row>
    <row r="147" spans="1:12" x14ac:dyDescent="0.3">
      <c r="A147">
        <v>45</v>
      </c>
      <c r="B147">
        <v>2021</v>
      </c>
      <c r="C147">
        <v>0.9</v>
      </c>
      <c r="D147">
        <v>0.87</v>
      </c>
      <c r="E147">
        <v>0.52</v>
      </c>
      <c r="F147">
        <v>0.79</v>
      </c>
      <c r="G147">
        <v>0.37</v>
      </c>
      <c r="H147">
        <v>0.24</v>
      </c>
      <c r="I147">
        <v>426</v>
      </c>
      <c r="J147">
        <v>13</v>
      </c>
      <c r="K147">
        <v>0.75</v>
      </c>
      <c r="L147" t="s">
        <v>13</v>
      </c>
    </row>
    <row r="148" spans="1:12" x14ac:dyDescent="0.3">
      <c r="A148">
        <v>32</v>
      </c>
      <c r="B148">
        <v>2024</v>
      </c>
      <c r="C148">
        <v>0.79</v>
      </c>
      <c r="D148">
        <v>0.74</v>
      </c>
      <c r="E148">
        <v>0.5</v>
      </c>
      <c r="F148">
        <v>0.73</v>
      </c>
      <c r="G148">
        <v>0.66</v>
      </c>
      <c r="H148">
        <v>0.09</v>
      </c>
      <c r="I148">
        <v>463</v>
      </c>
      <c r="J148">
        <v>0</v>
      </c>
      <c r="K148">
        <v>0.7</v>
      </c>
      <c r="L148" t="s">
        <v>12</v>
      </c>
    </row>
    <row r="149" spans="1:12" x14ac:dyDescent="0.3">
      <c r="A149">
        <v>77</v>
      </c>
      <c r="B149">
        <v>2024</v>
      </c>
      <c r="C149">
        <v>0.55000000000000004</v>
      </c>
      <c r="D149">
        <v>0.59</v>
      </c>
      <c r="E149">
        <v>0.99</v>
      </c>
      <c r="F149">
        <v>0.68</v>
      </c>
      <c r="G149">
        <v>0.79</v>
      </c>
      <c r="H149">
        <v>0.82</v>
      </c>
      <c r="I149">
        <v>155</v>
      </c>
      <c r="J149">
        <v>11</v>
      </c>
      <c r="K149">
        <v>0.69</v>
      </c>
      <c r="L149" t="s">
        <v>12</v>
      </c>
    </row>
    <row r="150" spans="1:12" x14ac:dyDescent="0.3">
      <c r="A150">
        <v>49</v>
      </c>
      <c r="B150">
        <v>2023</v>
      </c>
      <c r="C150">
        <v>0.39</v>
      </c>
      <c r="D150">
        <v>0.94</v>
      </c>
      <c r="E150">
        <v>0.8</v>
      </c>
      <c r="F150">
        <v>0.85</v>
      </c>
      <c r="G150">
        <v>0.73</v>
      </c>
      <c r="H150">
        <v>0.3</v>
      </c>
      <c r="I150">
        <v>253</v>
      </c>
      <c r="J150">
        <v>7</v>
      </c>
      <c r="K150">
        <v>0.71</v>
      </c>
      <c r="L150" t="s">
        <v>13</v>
      </c>
    </row>
    <row r="151" spans="1:12" x14ac:dyDescent="0.3">
      <c r="A151">
        <v>72</v>
      </c>
      <c r="B151">
        <v>2022</v>
      </c>
      <c r="C151">
        <v>0.74</v>
      </c>
      <c r="D151">
        <v>0.87</v>
      </c>
      <c r="E151">
        <v>0.81</v>
      </c>
      <c r="F151">
        <v>0.79</v>
      </c>
      <c r="G151">
        <v>0.76</v>
      </c>
      <c r="H151">
        <v>0.55000000000000004</v>
      </c>
      <c r="I151">
        <v>439</v>
      </c>
      <c r="J151">
        <v>2</v>
      </c>
      <c r="K151">
        <v>0.8</v>
      </c>
      <c r="L151" t="s">
        <v>13</v>
      </c>
    </row>
    <row r="152" spans="1:12" x14ac:dyDescent="0.3">
      <c r="A152">
        <v>41</v>
      </c>
      <c r="B152">
        <v>2024</v>
      </c>
      <c r="C152">
        <v>0.81</v>
      </c>
      <c r="D152">
        <v>0.45</v>
      </c>
      <c r="E152">
        <v>0.53</v>
      </c>
      <c r="F152">
        <v>0.7</v>
      </c>
      <c r="G152">
        <v>0.41</v>
      </c>
      <c r="H152">
        <v>0.87</v>
      </c>
      <c r="I152">
        <v>171</v>
      </c>
      <c r="J152">
        <v>18</v>
      </c>
      <c r="K152">
        <v>0.61</v>
      </c>
      <c r="L152" t="s">
        <v>12</v>
      </c>
    </row>
    <row r="153" spans="1:12" x14ac:dyDescent="0.3">
      <c r="A153">
        <v>55</v>
      </c>
      <c r="B153">
        <v>2024</v>
      </c>
      <c r="C153">
        <v>0.82</v>
      </c>
      <c r="D153">
        <v>0.92</v>
      </c>
      <c r="E153">
        <v>0.72</v>
      </c>
      <c r="F153">
        <v>0.62</v>
      </c>
      <c r="G153">
        <v>0.41</v>
      </c>
      <c r="H153">
        <v>0.02</v>
      </c>
      <c r="I153">
        <v>260</v>
      </c>
      <c r="J153">
        <v>4</v>
      </c>
      <c r="K153">
        <v>0.75</v>
      </c>
      <c r="L153" t="s">
        <v>13</v>
      </c>
    </row>
    <row r="154" spans="1:12" x14ac:dyDescent="0.3">
      <c r="A154">
        <v>96</v>
      </c>
      <c r="B154">
        <v>2021</v>
      </c>
      <c r="C154">
        <v>0.65</v>
      </c>
      <c r="D154">
        <v>0.45</v>
      </c>
      <c r="E154">
        <v>0.7</v>
      </c>
      <c r="F154">
        <v>0.69</v>
      </c>
      <c r="G154">
        <v>0.59</v>
      </c>
      <c r="H154">
        <v>0.2</v>
      </c>
      <c r="I154">
        <v>440</v>
      </c>
      <c r="J154">
        <v>11</v>
      </c>
      <c r="K154">
        <v>0.61</v>
      </c>
      <c r="L154" t="s">
        <v>12</v>
      </c>
    </row>
    <row r="155" spans="1:12" x14ac:dyDescent="0.3">
      <c r="A155">
        <v>49</v>
      </c>
      <c r="B155">
        <v>2025</v>
      </c>
      <c r="C155">
        <v>0.81</v>
      </c>
      <c r="D155">
        <v>0.85</v>
      </c>
      <c r="E155">
        <v>0.71</v>
      </c>
      <c r="F155">
        <v>0.74</v>
      </c>
      <c r="G155">
        <v>0.56000000000000005</v>
      </c>
      <c r="H155">
        <v>0.99</v>
      </c>
      <c r="I155">
        <v>201</v>
      </c>
      <c r="J155">
        <v>17</v>
      </c>
      <c r="K155">
        <v>0.76</v>
      </c>
      <c r="L155" t="s">
        <v>13</v>
      </c>
    </row>
    <row r="156" spans="1:12" x14ac:dyDescent="0.3">
      <c r="A156">
        <v>49</v>
      </c>
      <c r="B156">
        <v>2023</v>
      </c>
      <c r="C156">
        <v>0.71</v>
      </c>
      <c r="D156">
        <v>0.66</v>
      </c>
      <c r="E156">
        <v>0.86</v>
      </c>
      <c r="F156">
        <v>0.79</v>
      </c>
      <c r="G156">
        <v>0.91</v>
      </c>
      <c r="H156">
        <v>0.9</v>
      </c>
      <c r="I156">
        <v>311</v>
      </c>
      <c r="J156">
        <v>6</v>
      </c>
      <c r="K156">
        <v>0.76</v>
      </c>
      <c r="L156" t="s">
        <v>13</v>
      </c>
    </row>
    <row r="157" spans="1:12" x14ac:dyDescent="0.3">
      <c r="A157">
        <v>42</v>
      </c>
      <c r="B157">
        <v>2023</v>
      </c>
      <c r="C157">
        <v>0.71</v>
      </c>
      <c r="D157">
        <v>0.95</v>
      </c>
      <c r="E157">
        <v>0.61</v>
      </c>
      <c r="F157">
        <v>0.85</v>
      </c>
      <c r="G157">
        <v>0.74</v>
      </c>
      <c r="H157">
        <v>0.73</v>
      </c>
      <c r="I157">
        <v>404</v>
      </c>
      <c r="J157">
        <v>7</v>
      </c>
      <c r="K157">
        <v>0.77</v>
      </c>
      <c r="L157" t="s">
        <v>13</v>
      </c>
    </row>
    <row r="158" spans="1:12" x14ac:dyDescent="0.3">
      <c r="A158">
        <v>100</v>
      </c>
      <c r="B158">
        <v>2022</v>
      </c>
      <c r="C158">
        <v>0.47</v>
      </c>
      <c r="D158">
        <v>0.98</v>
      </c>
      <c r="E158">
        <v>0.59</v>
      </c>
      <c r="F158">
        <v>0.94</v>
      </c>
      <c r="G158">
        <v>0.64</v>
      </c>
      <c r="H158">
        <v>0.25</v>
      </c>
      <c r="I158">
        <v>365</v>
      </c>
      <c r="J158">
        <v>14</v>
      </c>
      <c r="K158">
        <v>0.71</v>
      </c>
      <c r="L158" t="s">
        <v>13</v>
      </c>
    </row>
    <row r="159" spans="1:12" x14ac:dyDescent="0.3">
      <c r="A159">
        <v>14</v>
      </c>
      <c r="B159">
        <v>2021</v>
      </c>
      <c r="C159">
        <v>0.76</v>
      </c>
      <c r="D159">
        <v>0.46</v>
      </c>
      <c r="E159">
        <v>0.83</v>
      </c>
      <c r="F159">
        <v>0.72</v>
      </c>
      <c r="G159">
        <v>0.57999999999999996</v>
      </c>
      <c r="H159">
        <v>0.86</v>
      </c>
      <c r="I159">
        <v>310</v>
      </c>
      <c r="J159">
        <v>0</v>
      </c>
      <c r="K159">
        <v>0.68</v>
      </c>
      <c r="L159" t="s">
        <v>12</v>
      </c>
    </row>
    <row r="160" spans="1:12" x14ac:dyDescent="0.3">
      <c r="A160">
        <v>40</v>
      </c>
      <c r="B160">
        <v>2024</v>
      </c>
      <c r="C160">
        <v>0.39</v>
      </c>
      <c r="D160">
        <v>0.98</v>
      </c>
      <c r="E160">
        <v>0.73</v>
      </c>
      <c r="F160">
        <v>0.69</v>
      </c>
      <c r="G160">
        <v>0.35</v>
      </c>
      <c r="H160">
        <v>0.17</v>
      </c>
      <c r="I160">
        <v>142</v>
      </c>
      <c r="J160">
        <v>9</v>
      </c>
      <c r="K160">
        <v>0.65</v>
      </c>
      <c r="L160" t="s">
        <v>12</v>
      </c>
    </row>
    <row r="161" spans="1:12" x14ac:dyDescent="0.3">
      <c r="A161">
        <v>76</v>
      </c>
      <c r="B161">
        <v>2021</v>
      </c>
      <c r="C161">
        <v>0.6</v>
      </c>
      <c r="D161">
        <v>0.55000000000000004</v>
      </c>
      <c r="E161">
        <v>0.81</v>
      </c>
      <c r="F161">
        <v>0.88</v>
      </c>
      <c r="G161">
        <v>0.42</v>
      </c>
      <c r="H161">
        <v>0.17</v>
      </c>
      <c r="I161">
        <v>170</v>
      </c>
      <c r="J161">
        <v>10</v>
      </c>
      <c r="K161">
        <v>0.65</v>
      </c>
      <c r="L161" t="s">
        <v>12</v>
      </c>
    </row>
    <row r="162" spans="1:12" x14ac:dyDescent="0.3">
      <c r="A162">
        <v>37</v>
      </c>
      <c r="B162">
        <v>2025</v>
      </c>
      <c r="C162">
        <v>0.67</v>
      </c>
      <c r="D162">
        <v>0.87</v>
      </c>
      <c r="E162">
        <v>0.85</v>
      </c>
      <c r="F162">
        <v>0.78</v>
      </c>
      <c r="G162">
        <v>0.9</v>
      </c>
      <c r="H162">
        <v>0.56000000000000005</v>
      </c>
      <c r="I162">
        <v>300</v>
      </c>
      <c r="J162">
        <v>19</v>
      </c>
      <c r="K162">
        <v>0.8</v>
      </c>
      <c r="L162" t="s">
        <v>13</v>
      </c>
    </row>
    <row r="163" spans="1:12" x14ac:dyDescent="0.3">
      <c r="A163">
        <v>78</v>
      </c>
      <c r="B163">
        <v>2022</v>
      </c>
      <c r="C163">
        <v>0.39</v>
      </c>
      <c r="D163">
        <v>0.54</v>
      </c>
      <c r="E163">
        <v>0.53</v>
      </c>
      <c r="F163">
        <v>0.86</v>
      </c>
      <c r="G163">
        <v>0.46</v>
      </c>
      <c r="H163">
        <v>0.18</v>
      </c>
      <c r="I163">
        <v>108</v>
      </c>
      <c r="J163">
        <v>4</v>
      </c>
      <c r="K163">
        <v>0.53</v>
      </c>
      <c r="L163" t="s">
        <v>12</v>
      </c>
    </row>
    <row r="164" spans="1:12" x14ac:dyDescent="0.3">
      <c r="A164">
        <v>33</v>
      </c>
      <c r="B164">
        <v>2021</v>
      </c>
      <c r="C164">
        <v>0.71</v>
      </c>
      <c r="D164">
        <v>0.81</v>
      </c>
      <c r="E164">
        <v>0.7</v>
      </c>
      <c r="F164">
        <v>0.79</v>
      </c>
      <c r="G164">
        <v>0.78</v>
      </c>
      <c r="H164">
        <v>0.02</v>
      </c>
      <c r="I164">
        <v>266</v>
      </c>
      <c r="J164">
        <v>17</v>
      </c>
      <c r="K164">
        <v>0.75</v>
      </c>
      <c r="L164" t="s">
        <v>13</v>
      </c>
    </row>
    <row r="165" spans="1:12" x14ac:dyDescent="0.3">
      <c r="A165">
        <v>29</v>
      </c>
      <c r="B165">
        <v>2021</v>
      </c>
      <c r="C165">
        <v>0.71</v>
      </c>
      <c r="D165">
        <v>0.55000000000000004</v>
      </c>
      <c r="E165">
        <v>0.76</v>
      </c>
      <c r="F165">
        <v>0.74</v>
      </c>
      <c r="G165">
        <v>0.67</v>
      </c>
      <c r="H165">
        <v>0.13</v>
      </c>
      <c r="I165">
        <v>175</v>
      </c>
      <c r="J165">
        <v>12</v>
      </c>
      <c r="K165">
        <v>0.68</v>
      </c>
      <c r="L165" t="s">
        <v>12</v>
      </c>
    </row>
    <row r="166" spans="1:12" x14ac:dyDescent="0.3">
      <c r="A166">
        <v>52</v>
      </c>
      <c r="B166">
        <v>2022</v>
      </c>
      <c r="C166">
        <v>0.44</v>
      </c>
      <c r="D166">
        <v>0.8</v>
      </c>
      <c r="E166">
        <v>0.98</v>
      </c>
      <c r="F166">
        <v>0.64</v>
      </c>
      <c r="G166">
        <v>0.77</v>
      </c>
      <c r="H166">
        <v>0.44</v>
      </c>
      <c r="I166">
        <v>54</v>
      </c>
      <c r="J166">
        <v>14</v>
      </c>
      <c r="K166">
        <v>0.7</v>
      </c>
      <c r="L166" t="s">
        <v>12</v>
      </c>
    </row>
    <row r="167" spans="1:12" x14ac:dyDescent="0.3">
      <c r="A167">
        <v>86</v>
      </c>
      <c r="B167">
        <v>2022</v>
      </c>
      <c r="C167">
        <v>0.76</v>
      </c>
      <c r="D167">
        <v>0.99</v>
      </c>
      <c r="E167">
        <v>0.69</v>
      </c>
      <c r="F167">
        <v>0.61</v>
      </c>
      <c r="G167">
        <v>0.47</v>
      </c>
      <c r="H167">
        <v>0.83</v>
      </c>
      <c r="I167">
        <v>352</v>
      </c>
      <c r="J167">
        <v>7</v>
      </c>
      <c r="K167">
        <v>0.75</v>
      </c>
      <c r="L167" t="s">
        <v>13</v>
      </c>
    </row>
    <row r="168" spans="1:12" x14ac:dyDescent="0.3">
      <c r="A168">
        <v>76</v>
      </c>
      <c r="B168">
        <v>2023</v>
      </c>
      <c r="C168">
        <v>0.95</v>
      </c>
      <c r="D168">
        <v>0.81</v>
      </c>
      <c r="E168">
        <v>0.84</v>
      </c>
      <c r="F168">
        <v>0.69</v>
      </c>
      <c r="G168">
        <v>0.76</v>
      </c>
      <c r="H168">
        <v>0.39</v>
      </c>
      <c r="I168">
        <v>118</v>
      </c>
      <c r="J168">
        <v>8</v>
      </c>
      <c r="K168">
        <v>0.84</v>
      </c>
      <c r="L168" t="s">
        <v>13</v>
      </c>
    </row>
    <row r="169" spans="1:12" x14ac:dyDescent="0.3">
      <c r="A169">
        <v>90</v>
      </c>
      <c r="B169">
        <v>2024</v>
      </c>
      <c r="C169">
        <v>0.41</v>
      </c>
      <c r="D169">
        <v>0.76</v>
      </c>
      <c r="E169">
        <v>0.66</v>
      </c>
      <c r="F169">
        <v>0.95</v>
      </c>
      <c r="G169">
        <v>1</v>
      </c>
      <c r="H169">
        <v>0.75</v>
      </c>
      <c r="I169">
        <v>294</v>
      </c>
      <c r="J169">
        <v>12</v>
      </c>
      <c r="K169">
        <v>0.69</v>
      </c>
      <c r="L169" t="s">
        <v>12</v>
      </c>
    </row>
    <row r="170" spans="1:12" x14ac:dyDescent="0.3">
      <c r="A170">
        <v>31</v>
      </c>
      <c r="B170">
        <v>2021</v>
      </c>
      <c r="C170">
        <v>0.38</v>
      </c>
      <c r="D170">
        <v>0.79</v>
      </c>
      <c r="E170">
        <v>0.88</v>
      </c>
      <c r="F170">
        <v>0.97</v>
      </c>
      <c r="G170">
        <v>0.61</v>
      </c>
      <c r="H170">
        <v>0.9</v>
      </c>
      <c r="I170">
        <v>446</v>
      </c>
      <c r="J170">
        <v>8</v>
      </c>
      <c r="K170">
        <v>0.69</v>
      </c>
      <c r="L170" t="s">
        <v>12</v>
      </c>
    </row>
    <row r="171" spans="1:12" x14ac:dyDescent="0.3">
      <c r="A171">
        <v>23</v>
      </c>
      <c r="B171">
        <v>2023</v>
      </c>
      <c r="C171">
        <v>0.91</v>
      </c>
      <c r="D171">
        <v>0.63</v>
      </c>
      <c r="E171">
        <v>0.65</v>
      </c>
      <c r="F171">
        <v>0.86</v>
      </c>
      <c r="G171">
        <v>0.53</v>
      </c>
      <c r="H171">
        <v>0.63</v>
      </c>
      <c r="I171">
        <v>248</v>
      </c>
      <c r="J171">
        <v>14</v>
      </c>
      <c r="K171">
        <v>0.74</v>
      </c>
      <c r="L171" t="s">
        <v>13</v>
      </c>
    </row>
    <row r="172" spans="1:12" x14ac:dyDescent="0.3">
      <c r="A172">
        <v>21</v>
      </c>
      <c r="B172">
        <v>2023</v>
      </c>
      <c r="C172">
        <v>0.56999999999999995</v>
      </c>
      <c r="D172">
        <v>0.67</v>
      </c>
      <c r="E172">
        <v>0.62</v>
      </c>
      <c r="F172">
        <v>0.75</v>
      </c>
      <c r="G172">
        <v>0.46</v>
      </c>
      <c r="H172">
        <v>7.0000000000000007E-2</v>
      </c>
      <c r="I172">
        <v>404</v>
      </c>
      <c r="J172">
        <v>7</v>
      </c>
      <c r="K172">
        <v>0.62</v>
      </c>
      <c r="L172" t="s">
        <v>12</v>
      </c>
    </row>
    <row r="173" spans="1:12" x14ac:dyDescent="0.3">
      <c r="A173">
        <v>78</v>
      </c>
      <c r="B173">
        <v>2022</v>
      </c>
      <c r="C173">
        <v>0.83</v>
      </c>
      <c r="D173">
        <v>0.7</v>
      </c>
      <c r="E173">
        <v>0.77</v>
      </c>
      <c r="F173">
        <v>0.98</v>
      </c>
      <c r="G173">
        <v>0.89</v>
      </c>
      <c r="H173">
        <v>0.91</v>
      </c>
      <c r="I173">
        <v>270</v>
      </c>
      <c r="J173">
        <v>11</v>
      </c>
      <c r="K173">
        <v>0.81</v>
      </c>
      <c r="L173" t="s">
        <v>13</v>
      </c>
    </row>
    <row r="174" spans="1:12" x14ac:dyDescent="0.3">
      <c r="A174">
        <v>5</v>
      </c>
      <c r="B174">
        <v>2022</v>
      </c>
      <c r="C174">
        <v>0.67</v>
      </c>
      <c r="D174">
        <v>0.55000000000000004</v>
      </c>
      <c r="E174">
        <v>0.74</v>
      </c>
      <c r="F174">
        <v>0.76</v>
      </c>
      <c r="G174">
        <v>0.68</v>
      </c>
      <c r="H174">
        <v>0.75</v>
      </c>
      <c r="I174">
        <v>413</v>
      </c>
      <c r="J174">
        <v>10</v>
      </c>
      <c r="K174">
        <v>0.67</v>
      </c>
      <c r="L174" t="s">
        <v>12</v>
      </c>
    </row>
    <row r="175" spans="1:12" x14ac:dyDescent="0.3">
      <c r="A175">
        <v>21</v>
      </c>
      <c r="B175">
        <v>2023</v>
      </c>
      <c r="C175">
        <v>0.31</v>
      </c>
      <c r="D175">
        <v>0.79</v>
      </c>
      <c r="E175">
        <v>0.95</v>
      </c>
      <c r="F175">
        <v>0.7</v>
      </c>
      <c r="G175">
        <v>0.95</v>
      </c>
      <c r="H175">
        <v>0.06</v>
      </c>
      <c r="I175">
        <v>326</v>
      </c>
      <c r="J175">
        <v>12</v>
      </c>
      <c r="K175">
        <v>0.68</v>
      </c>
      <c r="L175" t="s">
        <v>12</v>
      </c>
    </row>
    <row r="176" spans="1:12" x14ac:dyDescent="0.3">
      <c r="A176">
        <v>86</v>
      </c>
      <c r="B176">
        <v>2023</v>
      </c>
      <c r="C176">
        <v>0.37</v>
      </c>
      <c r="D176">
        <v>0.69</v>
      </c>
      <c r="E176">
        <v>0.63</v>
      </c>
      <c r="F176">
        <v>0.71</v>
      </c>
      <c r="G176">
        <v>0.52</v>
      </c>
      <c r="H176">
        <v>0.8</v>
      </c>
      <c r="I176">
        <v>340</v>
      </c>
      <c r="J176">
        <v>7</v>
      </c>
      <c r="K176">
        <v>0.56999999999999995</v>
      </c>
      <c r="L176" t="s">
        <v>12</v>
      </c>
    </row>
    <row r="177" spans="1:12" x14ac:dyDescent="0.3">
      <c r="A177">
        <v>16</v>
      </c>
      <c r="B177">
        <v>2022</v>
      </c>
      <c r="C177">
        <v>0.73</v>
      </c>
      <c r="D177">
        <v>0.83</v>
      </c>
      <c r="E177">
        <v>0.64</v>
      </c>
      <c r="F177">
        <v>0.77</v>
      </c>
      <c r="G177">
        <v>0.39</v>
      </c>
      <c r="H177">
        <v>0.18</v>
      </c>
      <c r="I177">
        <v>400</v>
      </c>
      <c r="J177">
        <v>11</v>
      </c>
      <c r="K177">
        <v>0.71</v>
      </c>
      <c r="L177" t="s">
        <v>13</v>
      </c>
    </row>
    <row r="178" spans="1:12" x14ac:dyDescent="0.3">
      <c r="A178">
        <v>74</v>
      </c>
      <c r="B178">
        <v>2025</v>
      </c>
      <c r="C178">
        <v>0.43</v>
      </c>
      <c r="D178">
        <v>0.57999999999999996</v>
      </c>
      <c r="E178">
        <v>0.9</v>
      </c>
      <c r="F178">
        <v>0.67</v>
      </c>
      <c r="G178">
        <v>0.94</v>
      </c>
      <c r="H178">
        <v>0.42</v>
      </c>
      <c r="I178">
        <v>423</v>
      </c>
      <c r="J178">
        <v>6</v>
      </c>
      <c r="K178">
        <v>0.65</v>
      </c>
      <c r="L178" t="s">
        <v>12</v>
      </c>
    </row>
    <row r="179" spans="1:12" x14ac:dyDescent="0.3">
      <c r="A179">
        <v>54</v>
      </c>
      <c r="B179">
        <v>2021</v>
      </c>
      <c r="C179">
        <v>0.56000000000000005</v>
      </c>
      <c r="D179">
        <v>0.72</v>
      </c>
      <c r="E179">
        <v>0.56000000000000005</v>
      </c>
      <c r="F179">
        <v>0.6</v>
      </c>
      <c r="G179">
        <v>0.75</v>
      </c>
      <c r="H179">
        <v>0.52</v>
      </c>
      <c r="I179">
        <v>269</v>
      </c>
      <c r="J179">
        <v>8</v>
      </c>
      <c r="K179">
        <v>0.62</v>
      </c>
      <c r="L179" t="s">
        <v>12</v>
      </c>
    </row>
    <row r="180" spans="1:12" x14ac:dyDescent="0.3">
      <c r="A180">
        <v>26</v>
      </c>
      <c r="B180">
        <v>2021</v>
      </c>
      <c r="C180">
        <v>0.75</v>
      </c>
      <c r="D180">
        <v>0.5</v>
      </c>
      <c r="E180">
        <v>0.68</v>
      </c>
      <c r="F180">
        <v>0.96</v>
      </c>
      <c r="G180">
        <v>0.84</v>
      </c>
      <c r="H180">
        <v>0.56000000000000005</v>
      </c>
      <c r="I180">
        <v>396</v>
      </c>
      <c r="J180">
        <v>4</v>
      </c>
      <c r="K180">
        <v>0.71</v>
      </c>
      <c r="L180" t="s">
        <v>13</v>
      </c>
    </row>
    <row r="181" spans="1:12" x14ac:dyDescent="0.3">
      <c r="A181">
        <v>68</v>
      </c>
      <c r="B181">
        <v>2022</v>
      </c>
      <c r="C181">
        <v>0.81</v>
      </c>
      <c r="D181">
        <v>0.91</v>
      </c>
      <c r="E181">
        <v>0.84</v>
      </c>
      <c r="F181">
        <v>0.92</v>
      </c>
      <c r="G181">
        <v>0.84</v>
      </c>
      <c r="H181">
        <v>0.15</v>
      </c>
      <c r="I181">
        <v>488</v>
      </c>
      <c r="J181">
        <v>17</v>
      </c>
      <c r="K181">
        <v>0.86</v>
      </c>
      <c r="L181" t="s">
        <v>13</v>
      </c>
    </row>
    <row r="182" spans="1:12" x14ac:dyDescent="0.3">
      <c r="A182">
        <v>69</v>
      </c>
      <c r="B182">
        <v>2021</v>
      </c>
      <c r="C182">
        <v>0.82</v>
      </c>
      <c r="D182">
        <v>0.92</v>
      </c>
      <c r="E182">
        <v>0.61</v>
      </c>
      <c r="F182">
        <v>0.64</v>
      </c>
      <c r="G182">
        <v>0.32</v>
      </c>
      <c r="H182">
        <v>0.64</v>
      </c>
      <c r="I182">
        <v>209</v>
      </c>
      <c r="J182">
        <v>10</v>
      </c>
      <c r="K182">
        <v>0.73</v>
      </c>
      <c r="L182" t="s">
        <v>13</v>
      </c>
    </row>
    <row r="183" spans="1:12" x14ac:dyDescent="0.3">
      <c r="A183">
        <v>10</v>
      </c>
      <c r="B183">
        <v>2021</v>
      </c>
      <c r="C183">
        <v>0.56999999999999995</v>
      </c>
      <c r="D183">
        <v>0.76</v>
      </c>
      <c r="E183">
        <v>0.75</v>
      </c>
      <c r="F183">
        <v>1</v>
      </c>
      <c r="G183">
        <v>0.4</v>
      </c>
      <c r="H183">
        <v>0.7</v>
      </c>
      <c r="I183">
        <v>372</v>
      </c>
      <c r="J183">
        <v>9</v>
      </c>
      <c r="K183">
        <v>0.7</v>
      </c>
      <c r="L183" t="s">
        <v>12</v>
      </c>
    </row>
    <row r="184" spans="1:12" x14ac:dyDescent="0.3">
      <c r="A184">
        <v>39</v>
      </c>
      <c r="B184">
        <v>2021</v>
      </c>
      <c r="C184">
        <v>0.78</v>
      </c>
      <c r="D184">
        <v>0.99</v>
      </c>
      <c r="E184">
        <v>0.56000000000000005</v>
      </c>
      <c r="F184">
        <v>0.64</v>
      </c>
      <c r="G184">
        <v>0.81</v>
      </c>
      <c r="H184">
        <v>0.57999999999999996</v>
      </c>
      <c r="I184">
        <v>216</v>
      </c>
      <c r="J184">
        <v>12</v>
      </c>
      <c r="K184">
        <v>0.77</v>
      </c>
      <c r="L184" t="s">
        <v>13</v>
      </c>
    </row>
    <row r="185" spans="1:12" x14ac:dyDescent="0.3">
      <c r="A185">
        <v>36</v>
      </c>
      <c r="B185">
        <v>2025</v>
      </c>
      <c r="C185">
        <v>0.93</v>
      </c>
      <c r="D185">
        <v>0.52</v>
      </c>
      <c r="E185">
        <v>0.66</v>
      </c>
      <c r="F185">
        <v>0.69</v>
      </c>
      <c r="G185">
        <v>0.55000000000000004</v>
      </c>
      <c r="H185">
        <v>7.0000000000000007E-2</v>
      </c>
      <c r="I185">
        <v>98</v>
      </c>
      <c r="J185">
        <v>1</v>
      </c>
      <c r="K185">
        <v>0.7</v>
      </c>
      <c r="L185" t="s">
        <v>12</v>
      </c>
    </row>
    <row r="186" spans="1:12" x14ac:dyDescent="0.3">
      <c r="A186">
        <v>60</v>
      </c>
      <c r="B186">
        <v>2025</v>
      </c>
      <c r="C186">
        <v>0.35</v>
      </c>
      <c r="D186">
        <v>0.78</v>
      </c>
      <c r="E186">
        <v>0.64</v>
      </c>
      <c r="F186">
        <v>0.84</v>
      </c>
      <c r="G186">
        <v>0.78</v>
      </c>
      <c r="H186">
        <v>0.23</v>
      </c>
      <c r="I186">
        <v>107</v>
      </c>
      <c r="J186">
        <v>2</v>
      </c>
      <c r="K186">
        <v>0.63</v>
      </c>
      <c r="L186" t="s">
        <v>12</v>
      </c>
    </row>
    <row r="187" spans="1:12" x14ac:dyDescent="0.3">
      <c r="A187">
        <v>86</v>
      </c>
      <c r="B187">
        <v>2022</v>
      </c>
      <c r="C187">
        <v>1</v>
      </c>
      <c r="D187">
        <v>0.8</v>
      </c>
      <c r="E187">
        <v>0.78</v>
      </c>
      <c r="F187">
        <v>0.89</v>
      </c>
      <c r="G187">
        <v>0.63</v>
      </c>
      <c r="H187">
        <v>0.06</v>
      </c>
      <c r="I187">
        <v>349</v>
      </c>
      <c r="J187">
        <v>3</v>
      </c>
      <c r="K187">
        <v>0.85</v>
      </c>
      <c r="L187" t="s">
        <v>13</v>
      </c>
    </row>
    <row r="188" spans="1:12" x14ac:dyDescent="0.3">
      <c r="A188">
        <v>69</v>
      </c>
      <c r="B188">
        <v>2025</v>
      </c>
      <c r="C188">
        <v>0.74</v>
      </c>
      <c r="D188">
        <v>0.85</v>
      </c>
      <c r="E188">
        <v>0.59</v>
      </c>
      <c r="F188">
        <v>0.76</v>
      </c>
      <c r="G188">
        <v>0.6</v>
      </c>
      <c r="H188">
        <v>0.82</v>
      </c>
      <c r="I188">
        <v>61</v>
      </c>
      <c r="J188">
        <v>16</v>
      </c>
      <c r="K188">
        <v>0.73</v>
      </c>
      <c r="L188" t="s">
        <v>13</v>
      </c>
    </row>
    <row r="189" spans="1:12" x14ac:dyDescent="0.3">
      <c r="A189">
        <v>16</v>
      </c>
      <c r="B189">
        <v>2024</v>
      </c>
      <c r="C189">
        <v>0.99</v>
      </c>
      <c r="D189">
        <v>0.68</v>
      </c>
      <c r="E189">
        <v>0.69</v>
      </c>
      <c r="F189">
        <v>0.65</v>
      </c>
      <c r="G189">
        <v>0.98</v>
      </c>
      <c r="H189">
        <v>0.02</v>
      </c>
      <c r="I189">
        <v>409</v>
      </c>
      <c r="J189">
        <v>11</v>
      </c>
      <c r="K189">
        <v>0.8</v>
      </c>
      <c r="L189" t="s">
        <v>13</v>
      </c>
    </row>
    <row r="190" spans="1:12" x14ac:dyDescent="0.3">
      <c r="A190">
        <v>65</v>
      </c>
      <c r="B190">
        <v>2021</v>
      </c>
      <c r="C190">
        <v>0.77</v>
      </c>
      <c r="D190">
        <v>0.46</v>
      </c>
      <c r="E190">
        <v>0.63</v>
      </c>
      <c r="F190">
        <v>0.92</v>
      </c>
      <c r="G190">
        <v>0.91</v>
      </c>
      <c r="H190">
        <v>0.61</v>
      </c>
      <c r="I190">
        <v>87</v>
      </c>
      <c r="J190">
        <v>19</v>
      </c>
      <c r="K190">
        <v>0.7</v>
      </c>
      <c r="L190" t="s">
        <v>12</v>
      </c>
    </row>
    <row r="191" spans="1:12" x14ac:dyDescent="0.3">
      <c r="A191">
        <v>98</v>
      </c>
      <c r="B191">
        <v>2025</v>
      </c>
      <c r="C191">
        <v>0.33</v>
      </c>
      <c r="D191">
        <v>0.57999999999999996</v>
      </c>
      <c r="E191">
        <v>0.63</v>
      </c>
      <c r="F191">
        <v>0.74</v>
      </c>
      <c r="G191">
        <v>0.36</v>
      </c>
      <c r="H191">
        <v>0.94</v>
      </c>
      <c r="I191">
        <v>498</v>
      </c>
      <c r="J191">
        <v>10</v>
      </c>
      <c r="K191">
        <v>0.52</v>
      </c>
      <c r="L191" t="s">
        <v>12</v>
      </c>
    </row>
    <row r="192" spans="1:12" x14ac:dyDescent="0.3">
      <c r="A192">
        <v>67</v>
      </c>
      <c r="B192">
        <v>2024</v>
      </c>
      <c r="C192">
        <v>0.5</v>
      </c>
      <c r="D192">
        <v>0.97</v>
      </c>
      <c r="E192">
        <v>0.94</v>
      </c>
      <c r="F192">
        <v>0.66</v>
      </c>
      <c r="G192">
        <v>0.85</v>
      </c>
      <c r="H192">
        <v>0.56999999999999995</v>
      </c>
      <c r="I192">
        <v>365</v>
      </c>
      <c r="J192">
        <v>4</v>
      </c>
      <c r="K192">
        <v>0.76</v>
      </c>
      <c r="L192" t="s">
        <v>13</v>
      </c>
    </row>
    <row r="193" spans="1:12" x14ac:dyDescent="0.3">
      <c r="A193">
        <v>12</v>
      </c>
      <c r="B193">
        <v>2021</v>
      </c>
      <c r="C193">
        <v>0.38</v>
      </c>
      <c r="D193">
        <v>0.89</v>
      </c>
      <c r="E193">
        <v>0.69</v>
      </c>
      <c r="F193">
        <v>0.95</v>
      </c>
      <c r="G193">
        <v>0.91</v>
      </c>
      <c r="H193">
        <v>0.81</v>
      </c>
      <c r="I193">
        <v>385</v>
      </c>
      <c r="J193">
        <v>6</v>
      </c>
      <c r="K193">
        <v>0.71</v>
      </c>
      <c r="L193" t="s">
        <v>13</v>
      </c>
    </row>
    <row r="194" spans="1:12" x14ac:dyDescent="0.3">
      <c r="A194">
        <v>52</v>
      </c>
      <c r="B194">
        <v>2021</v>
      </c>
      <c r="C194">
        <v>0.53</v>
      </c>
      <c r="D194">
        <v>0.41</v>
      </c>
      <c r="E194">
        <v>0.57999999999999996</v>
      </c>
      <c r="F194">
        <v>0.69</v>
      </c>
      <c r="G194">
        <v>0.97</v>
      </c>
      <c r="H194">
        <v>0.56999999999999995</v>
      </c>
      <c r="I194">
        <v>315</v>
      </c>
      <c r="J194">
        <v>1</v>
      </c>
      <c r="K194">
        <v>0.57999999999999996</v>
      </c>
      <c r="L194" t="s">
        <v>12</v>
      </c>
    </row>
    <row r="195" spans="1:12" x14ac:dyDescent="0.3">
      <c r="A195">
        <v>25</v>
      </c>
      <c r="B195">
        <v>2025</v>
      </c>
      <c r="C195">
        <v>0.9</v>
      </c>
      <c r="D195">
        <v>0.95</v>
      </c>
      <c r="E195">
        <v>0.74</v>
      </c>
      <c r="F195">
        <v>0.84</v>
      </c>
      <c r="G195">
        <v>0.84</v>
      </c>
      <c r="H195">
        <v>0.17</v>
      </c>
      <c r="I195">
        <v>436</v>
      </c>
      <c r="J195">
        <v>2</v>
      </c>
      <c r="K195">
        <v>0.87</v>
      </c>
      <c r="L195" t="s">
        <v>13</v>
      </c>
    </row>
    <row r="196" spans="1:12" x14ac:dyDescent="0.3">
      <c r="A196">
        <v>41</v>
      </c>
      <c r="B196">
        <v>2021</v>
      </c>
      <c r="C196">
        <v>0.77</v>
      </c>
      <c r="D196">
        <v>0.47</v>
      </c>
      <c r="E196">
        <v>0.74</v>
      </c>
      <c r="F196">
        <v>0.8</v>
      </c>
      <c r="G196">
        <v>0.46</v>
      </c>
      <c r="H196">
        <v>0.08</v>
      </c>
      <c r="I196">
        <v>61</v>
      </c>
      <c r="J196">
        <v>12</v>
      </c>
      <c r="K196">
        <v>0.66</v>
      </c>
      <c r="L196" t="s">
        <v>12</v>
      </c>
    </row>
    <row r="197" spans="1:12" x14ac:dyDescent="0.3">
      <c r="A197">
        <v>31</v>
      </c>
      <c r="B197">
        <v>2024</v>
      </c>
      <c r="C197">
        <v>0.61</v>
      </c>
      <c r="D197">
        <v>0.46</v>
      </c>
      <c r="E197">
        <v>0.82</v>
      </c>
      <c r="F197">
        <v>0.69</v>
      </c>
      <c r="G197">
        <v>0.73</v>
      </c>
      <c r="H197">
        <v>0.65</v>
      </c>
      <c r="I197">
        <v>336</v>
      </c>
      <c r="J197">
        <v>18</v>
      </c>
      <c r="K197">
        <v>0.64</v>
      </c>
      <c r="L197" t="s">
        <v>12</v>
      </c>
    </row>
    <row r="198" spans="1:12" x14ac:dyDescent="0.3">
      <c r="A198">
        <v>5</v>
      </c>
      <c r="B198">
        <v>2023</v>
      </c>
      <c r="C198">
        <v>0.43</v>
      </c>
      <c r="D198">
        <v>0.53</v>
      </c>
      <c r="E198">
        <v>0.74</v>
      </c>
      <c r="F198">
        <v>0.9</v>
      </c>
      <c r="G198">
        <v>0.73</v>
      </c>
      <c r="H198">
        <v>0.3</v>
      </c>
      <c r="I198">
        <v>132</v>
      </c>
      <c r="J198">
        <v>8</v>
      </c>
      <c r="K198">
        <v>0.62</v>
      </c>
      <c r="L198" t="s">
        <v>12</v>
      </c>
    </row>
    <row r="199" spans="1:12" x14ac:dyDescent="0.3">
      <c r="A199">
        <v>99</v>
      </c>
      <c r="B199">
        <v>2025</v>
      </c>
      <c r="C199">
        <v>0.38</v>
      </c>
      <c r="D199">
        <v>0.57999999999999996</v>
      </c>
      <c r="E199">
        <v>0.55000000000000004</v>
      </c>
      <c r="F199">
        <v>0.88</v>
      </c>
      <c r="G199">
        <v>0.34</v>
      </c>
      <c r="H199">
        <v>0.51</v>
      </c>
      <c r="I199">
        <v>152</v>
      </c>
      <c r="J199">
        <v>7</v>
      </c>
      <c r="K199">
        <v>0.54</v>
      </c>
      <c r="L199" t="s">
        <v>12</v>
      </c>
    </row>
    <row r="200" spans="1:12" x14ac:dyDescent="0.3">
      <c r="A200">
        <v>17</v>
      </c>
      <c r="B200">
        <v>2025</v>
      </c>
      <c r="C200">
        <v>0.73</v>
      </c>
      <c r="D200">
        <v>0.57999999999999996</v>
      </c>
      <c r="E200">
        <v>0.81</v>
      </c>
      <c r="F200">
        <v>0.81</v>
      </c>
      <c r="G200">
        <v>0.6</v>
      </c>
      <c r="H200">
        <v>0.13</v>
      </c>
      <c r="I200">
        <v>165</v>
      </c>
      <c r="J200">
        <v>2</v>
      </c>
      <c r="K200">
        <v>0.71</v>
      </c>
      <c r="L200" t="s">
        <v>13</v>
      </c>
    </row>
    <row r="201" spans="1:12" x14ac:dyDescent="0.3">
      <c r="A201">
        <v>7</v>
      </c>
      <c r="B201">
        <v>2023</v>
      </c>
      <c r="C201">
        <v>0.59</v>
      </c>
      <c r="D201">
        <v>0.9</v>
      </c>
      <c r="E201">
        <v>0.87</v>
      </c>
      <c r="F201">
        <v>0.91</v>
      </c>
      <c r="G201">
        <v>0.31</v>
      </c>
      <c r="H201">
        <v>0.42</v>
      </c>
      <c r="I201">
        <v>268</v>
      </c>
      <c r="J201">
        <v>5</v>
      </c>
      <c r="K201">
        <v>0.74</v>
      </c>
      <c r="L201" t="s">
        <v>13</v>
      </c>
    </row>
    <row r="202" spans="1:12" x14ac:dyDescent="0.3">
      <c r="A202">
        <v>79</v>
      </c>
      <c r="B202">
        <v>2025</v>
      </c>
      <c r="C202">
        <v>0.83</v>
      </c>
      <c r="D202">
        <v>0.48</v>
      </c>
      <c r="E202">
        <v>0.77</v>
      </c>
      <c r="F202">
        <v>0.69</v>
      </c>
      <c r="G202">
        <v>0.31</v>
      </c>
      <c r="H202">
        <v>0.24</v>
      </c>
      <c r="I202">
        <v>262</v>
      </c>
      <c r="J202">
        <v>17</v>
      </c>
      <c r="K202">
        <v>0.66</v>
      </c>
      <c r="L202" t="s">
        <v>12</v>
      </c>
    </row>
    <row r="203" spans="1:12" x14ac:dyDescent="0.3">
      <c r="A203">
        <v>45</v>
      </c>
      <c r="B203">
        <v>2024</v>
      </c>
      <c r="C203">
        <v>0.56000000000000005</v>
      </c>
      <c r="D203">
        <v>0.56000000000000005</v>
      </c>
      <c r="E203">
        <v>0.82</v>
      </c>
      <c r="F203">
        <v>0.8</v>
      </c>
      <c r="G203">
        <v>0.49</v>
      </c>
      <c r="H203">
        <v>0.15</v>
      </c>
      <c r="I203">
        <v>245</v>
      </c>
      <c r="J203">
        <v>1</v>
      </c>
      <c r="K203">
        <v>0.64</v>
      </c>
      <c r="L203" t="s">
        <v>12</v>
      </c>
    </row>
    <row r="204" spans="1:12" x14ac:dyDescent="0.3">
      <c r="A204">
        <v>52</v>
      </c>
      <c r="B204">
        <v>2024</v>
      </c>
      <c r="C204">
        <v>0.76</v>
      </c>
      <c r="D204">
        <v>0.89</v>
      </c>
      <c r="E204">
        <v>0.81</v>
      </c>
      <c r="F204">
        <v>0.94</v>
      </c>
      <c r="G204">
        <v>0.56999999999999995</v>
      </c>
      <c r="H204">
        <v>0.96</v>
      </c>
      <c r="I204">
        <v>162</v>
      </c>
      <c r="J204">
        <v>8</v>
      </c>
      <c r="K204">
        <v>0.81</v>
      </c>
      <c r="L204" t="s">
        <v>13</v>
      </c>
    </row>
    <row r="205" spans="1:12" x14ac:dyDescent="0.3">
      <c r="A205">
        <v>64</v>
      </c>
      <c r="B205">
        <v>2021</v>
      </c>
      <c r="C205">
        <v>0.76</v>
      </c>
      <c r="D205">
        <v>0.97</v>
      </c>
      <c r="E205">
        <v>0.9</v>
      </c>
      <c r="F205">
        <v>0.63</v>
      </c>
      <c r="G205">
        <v>0.5</v>
      </c>
      <c r="H205">
        <v>0.93</v>
      </c>
      <c r="I205">
        <v>493</v>
      </c>
      <c r="J205">
        <v>7</v>
      </c>
      <c r="K205">
        <v>0.8</v>
      </c>
      <c r="L205" t="s">
        <v>13</v>
      </c>
    </row>
    <row r="206" spans="1:12" x14ac:dyDescent="0.3">
      <c r="A206">
        <v>21</v>
      </c>
      <c r="B206">
        <v>2024</v>
      </c>
      <c r="C206">
        <v>0.75</v>
      </c>
      <c r="D206">
        <v>0.8</v>
      </c>
      <c r="E206">
        <v>0.95</v>
      </c>
      <c r="F206">
        <v>0.85</v>
      </c>
      <c r="G206">
        <v>0.73</v>
      </c>
      <c r="H206">
        <v>7.0000000000000007E-2</v>
      </c>
      <c r="I206">
        <v>393</v>
      </c>
      <c r="J206">
        <v>12</v>
      </c>
      <c r="K206">
        <v>0.82</v>
      </c>
      <c r="L206" t="s">
        <v>13</v>
      </c>
    </row>
    <row r="207" spans="1:12" x14ac:dyDescent="0.3">
      <c r="A207">
        <v>83</v>
      </c>
      <c r="B207">
        <v>2025</v>
      </c>
      <c r="C207">
        <v>0.82</v>
      </c>
      <c r="D207">
        <v>0.71</v>
      </c>
      <c r="E207">
        <v>0.84</v>
      </c>
      <c r="F207">
        <v>0.62</v>
      </c>
      <c r="G207">
        <v>0.36</v>
      </c>
      <c r="H207">
        <v>0.72</v>
      </c>
      <c r="I207">
        <v>158</v>
      </c>
      <c r="J207">
        <v>18</v>
      </c>
      <c r="K207">
        <v>0.72</v>
      </c>
      <c r="L207" t="s">
        <v>13</v>
      </c>
    </row>
    <row r="208" spans="1:12" x14ac:dyDescent="0.3">
      <c r="A208">
        <v>24</v>
      </c>
      <c r="B208">
        <v>2023</v>
      </c>
      <c r="C208">
        <v>0.31</v>
      </c>
      <c r="D208">
        <v>0.97</v>
      </c>
      <c r="E208">
        <v>0.87</v>
      </c>
      <c r="F208">
        <v>0.74</v>
      </c>
      <c r="G208">
        <v>0.51</v>
      </c>
      <c r="H208">
        <v>0.35</v>
      </c>
      <c r="I208">
        <v>448</v>
      </c>
      <c r="J208">
        <v>18</v>
      </c>
      <c r="K208">
        <v>0.67</v>
      </c>
      <c r="L208" t="s">
        <v>12</v>
      </c>
    </row>
    <row r="209" spans="1:12" x14ac:dyDescent="0.3">
      <c r="A209">
        <v>7</v>
      </c>
      <c r="B209">
        <v>2023</v>
      </c>
      <c r="C209">
        <v>0.43</v>
      </c>
      <c r="D209">
        <v>0.5</v>
      </c>
      <c r="E209">
        <v>0.55000000000000004</v>
      </c>
      <c r="F209">
        <v>0.86</v>
      </c>
      <c r="G209">
        <v>0.84</v>
      </c>
      <c r="H209">
        <v>0.27</v>
      </c>
      <c r="I209">
        <v>87</v>
      </c>
      <c r="J209">
        <v>14</v>
      </c>
      <c r="K209">
        <v>0.57999999999999996</v>
      </c>
      <c r="L209" t="s">
        <v>12</v>
      </c>
    </row>
    <row r="210" spans="1:12" x14ac:dyDescent="0.3">
      <c r="A210">
        <v>96</v>
      </c>
      <c r="B210">
        <v>2024</v>
      </c>
      <c r="C210">
        <v>0.93</v>
      </c>
      <c r="D210">
        <v>0.87</v>
      </c>
      <c r="E210">
        <v>0.61</v>
      </c>
      <c r="F210">
        <v>0.99</v>
      </c>
      <c r="G210">
        <v>0.77</v>
      </c>
      <c r="H210">
        <v>0.01</v>
      </c>
      <c r="I210">
        <v>341</v>
      </c>
      <c r="J210">
        <v>3</v>
      </c>
      <c r="K210">
        <v>0.84</v>
      </c>
      <c r="L210" t="s">
        <v>13</v>
      </c>
    </row>
    <row r="211" spans="1:12" x14ac:dyDescent="0.3">
      <c r="A211">
        <v>78</v>
      </c>
      <c r="B211">
        <v>2021</v>
      </c>
      <c r="C211">
        <v>0.75</v>
      </c>
      <c r="D211">
        <v>0.72</v>
      </c>
      <c r="E211">
        <v>0.52</v>
      </c>
      <c r="F211">
        <v>0.99</v>
      </c>
      <c r="G211">
        <v>0.86</v>
      </c>
      <c r="H211">
        <v>0.28999999999999998</v>
      </c>
      <c r="I211">
        <v>307</v>
      </c>
      <c r="J211">
        <v>12</v>
      </c>
      <c r="K211">
        <v>0.74</v>
      </c>
      <c r="L211" t="s">
        <v>13</v>
      </c>
    </row>
    <row r="212" spans="1:12" x14ac:dyDescent="0.3">
      <c r="A212">
        <v>53</v>
      </c>
      <c r="B212">
        <v>2024</v>
      </c>
      <c r="C212">
        <v>0.41</v>
      </c>
      <c r="D212">
        <v>0.43</v>
      </c>
      <c r="E212">
        <v>0.56000000000000005</v>
      </c>
      <c r="F212">
        <v>0.84</v>
      </c>
      <c r="G212">
        <v>0.37</v>
      </c>
      <c r="H212">
        <v>0.38</v>
      </c>
      <c r="I212">
        <v>383</v>
      </c>
      <c r="J212">
        <v>17</v>
      </c>
      <c r="K212">
        <v>0.51</v>
      </c>
      <c r="L212" t="s">
        <v>12</v>
      </c>
    </row>
    <row r="213" spans="1:12" x14ac:dyDescent="0.3">
      <c r="A213">
        <v>22</v>
      </c>
      <c r="B213">
        <v>2024</v>
      </c>
      <c r="C213">
        <v>0.47</v>
      </c>
      <c r="D213">
        <v>0.47</v>
      </c>
      <c r="E213">
        <v>0.6</v>
      </c>
      <c r="F213">
        <v>0.95</v>
      </c>
      <c r="G213">
        <v>0.75</v>
      </c>
      <c r="H213">
        <v>0.28999999999999998</v>
      </c>
      <c r="I213">
        <v>81</v>
      </c>
      <c r="J213">
        <v>6</v>
      </c>
      <c r="K213">
        <v>0.6</v>
      </c>
      <c r="L213" t="s">
        <v>12</v>
      </c>
    </row>
    <row r="214" spans="1:12" x14ac:dyDescent="0.3">
      <c r="A214">
        <v>12</v>
      </c>
      <c r="B214">
        <v>2021</v>
      </c>
      <c r="C214">
        <v>0.68</v>
      </c>
      <c r="D214">
        <v>0.78</v>
      </c>
      <c r="E214">
        <v>0.61</v>
      </c>
      <c r="F214">
        <v>0.99</v>
      </c>
      <c r="G214">
        <v>0.82</v>
      </c>
      <c r="H214">
        <v>0.56000000000000005</v>
      </c>
      <c r="I214">
        <v>200</v>
      </c>
      <c r="J214">
        <v>11</v>
      </c>
      <c r="K214">
        <v>0.75</v>
      </c>
      <c r="L214" t="s">
        <v>13</v>
      </c>
    </row>
    <row r="215" spans="1:12" x14ac:dyDescent="0.3">
      <c r="A215">
        <v>96</v>
      </c>
      <c r="B215">
        <v>2023</v>
      </c>
      <c r="C215">
        <v>0.52</v>
      </c>
      <c r="D215">
        <v>0.85</v>
      </c>
      <c r="E215">
        <v>0.63</v>
      </c>
      <c r="F215">
        <v>0.82</v>
      </c>
      <c r="G215">
        <v>0.81</v>
      </c>
      <c r="H215">
        <v>0.11</v>
      </c>
      <c r="I215">
        <v>262</v>
      </c>
      <c r="J215">
        <v>14</v>
      </c>
      <c r="K215">
        <v>0.7</v>
      </c>
      <c r="L215" t="s">
        <v>12</v>
      </c>
    </row>
    <row r="216" spans="1:12" x14ac:dyDescent="0.3">
      <c r="A216">
        <v>52</v>
      </c>
      <c r="B216">
        <v>2023</v>
      </c>
      <c r="C216">
        <v>0.98</v>
      </c>
      <c r="D216">
        <v>0.69</v>
      </c>
      <c r="E216">
        <v>0.57999999999999996</v>
      </c>
      <c r="F216">
        <v>0.74</v>
      </c>
      <c r="G216">
        <v>0.59</v>
      </c>
      <c r="H216">
        <v>0.76</v>
      </c>
      <c r="I216">
        <v>402</v>
      </c>
      <c r="J216">
        <v>2</v>
      </c>
      <c r="K216">
        <v>0.75</v>
      </c>
      <c r="L216" t="s">
        <v>13</v>
      </c>
    </row>
    <row r="217" spans="1:12" x14ac:dyDescent="0.3">
      <c r="A217">
        <v>63</v>
      </c>
      <c r="B217">
        <v>2023</v>
      </c>
      <c r="C217">
        <v>0.41</v>
      </c>
      <c r="D217">
        <v>0.46</v>
      </c>
      <c r="E217">
        <v>0.79</v>
      </c>
      <c r="F217">
        <v>0.95</v>
      </c>
      <c r="G217">
        <v>0.6</v>
      </c>
      <c r="H217">
        <v>0.16</v>
      </c>
      <c r="I217">
        <v>235</v>
      </c>
      <c r="J217">
        <v>15</v>
      </c>
      <c r="K217">
        <v>0.6</v>
      </c>
      <c r="L217" t="s">
        <v>12</v>
      </c>
    </row>
    <row r="218" spans="1:12" x14ac:dyDescent="0.3">
      <c r="A218">
        <v>72</v>
      </c>
      <c r="B218">
        <v>2021</v>
      </c>
      <c r="C218">
        <v>0.82</v>
      </c>
      <c r="D218">
        <v>0.93</v>
      </c>
      <c r="E218">
        <v>0.64</v>
      </c>
      <c r="F218">
        <v>0.68</v>
      </c>
      <c r="G218">
        <v>0.92</v>
      </c>
      <c r="H218">
        <v>0.66</v>
      </c>
      <c r="I218">
        <v>59</v>
      </c>
      <c r="J218">
        <v>13</v>
      </c>
      <c r="K218">
        <v>0.8</v>
      </c>
      <c r="L218" t="s">
        <v>13</v>
      </c>
    </row>
    <row r="219" spans="1:12" x14ac:dyDescent="0.3">
      <c r="A219">
        <v>91</v>
      </c>
      <c r="B219">
        <v>2023</v>
      </c>
      <c r="C219">
        <v>0.78</v>
      </c>
      <c r="D219">
        <v>0.63</v>
      </c>
      <c r="E219">
        <v>0.77</v>
      </c>
      <c r="F219">
        <v>0.81</v>
      </c>
      <c r="G219">
        <v>0.89</v>
      </c>
      <c r="H219">
        <v>0.84</v>
      </c>
      <c r="I219">
        <v>61</v>
      </c>
      <c r="J219">
        <v>16</v>
      </c>
      <c r="K219">
        <v>0.76</v>
      </c>
      <c r="L219" t="s">
        <v>13</v>
      </c>
    </row>
    <row r="220" spans="1:12" x14ac:dyDescent="0.3">
      <c r="A220">
        <v>78</v>
      </c>
      <c r="B220">
        <v>2021</v>
      </c>
      <c r="C220">
        <v>0.97</v>
      </c>
      <c r="D220">
        <v>0.62</v>
      </c>
      <c r="E220">
        <v>0.66</v>
      </c>
      <c r="F220">
        <v>0.66</v>
      </c>
      <c r="G220">
        <v>0.51</v>
      </c>
      <c r="H220">
        <v>0.88</v>
      </c>
      <c r="I220">
        <v>150</v>
      </c>
      <c r="J220">
        <v>3</v>
      </c>
      <c r="K220">
        <v>0.73</v>
      </c>
      <c r="L220" t="s">
        <v>13</v>
      </c>
    </row>
    <row r="221" spans="1:12" x14ac:dyDescent="0.3">
      <c r="A221">
        <v>4</v>
      </c>
      <c r="B221">
        <v>2024</v>
      </c>
      <c r="C221">
        <v>0.85</v>
      </c>
      <c r="D221">
        <v>0.53</v>
      </c>
      <c r="E221">
        <v>0.56999999999999995</v>
      </c>
      <c r="F221">
        <v>0.87</v>
      </c>
      <c r="G221">
        <v>0.3</v>
      </c>
      <c r="H221">
        <v>0.18</v>
      </c>
      <c r="I221">
        <v>251</v>
      </c>
      <c r="J221">
        <v>5</v>
      </c>
      <c r="K221">
        <v>0.66</v>
      </c>
      <c r="L221" t="s">
        <v>12</v>
      </c>
    </row>
    <row r="222" spans="1:12" x14ac:dyDescent="0.3">
      <c r="A222">
        <v>46</v>
      </c>
      <c r="B222">
        <v>2024</v>
      </c>
      <c r="C222">
        <v>0.43</v>
      </c>
      <c r="D222">
        <v>0.63</v>
      </c>
      <c r="E222">
        <v>0.7</v>
      </c>
      <c r="F222">
        <v>0.95</v>
      </c>
      <c r="G222">
        <v>0.66</v>
      </c>
      <c r="H222">
        <v>0.72</v>
      </c>
      <c r="I222">
        <v>278</v>
      </c>
      <c r="J222">
        <v>15</v>
      </c>
      <c r="K222">
        <v>0.64</v>
      </c>
      <c r="L222" t="s">
        <v>12</v>
      </c>
    </row>
    <row r="223" spans="1:12" x14ac:dyDescent="0.3">
      <c r="A223">
        <v>58</v>
      </c>
      <c r="B223">
        <v>2024</v>
      </c>
      <c r="C223">
        <v>0.69</v>
      </c>
      <c r="D223">
        <v>0.76</v>
      </c>
      <c r="E223">
        <v>0.84</v>
      </c>
      <c r="F223">
        <v>0.92</v>
      </c>
      <c r="G223">
        <v>0.49</v>
      </c>
      <c r="H223">
        <v>0.83</v>
      </c>
      <c r="I223">
        <v>354</v>
      </c>
      <c r="J223">
        <v>13</v>
      </c>
      <c r="K223">
        <v>0.75</v>
      </c>
      <c r="L223" t="s">
        <v>13</v>
      </c>
    </row>
    <row r="224" spans="1:12" x14ac:dyDescent="0.3">
      <c r="A224">
        <v>83</v>
      </c>
      <c r="B224">
        <v>2025</v>
      </c>
      <c r="C224">
        <v>0.82</v>
      </c>
      <c r="D224">
        <v>0.99</v>
      </c>
      <c r="E224">
        <v>0.6</v>
      </c>
      <c r="F224">
        <v>0.93</v>
      </c>
      <c r="G224">
        <v>0.66</v>
      </c>
      <c r="H224">
        <v>0.37</v>
      </c>
      <c r="I224">
        <v>399</v>
      </c>
      <c r="J224">
        <v>16</v>
      </c>
      <c r="K224">
        <v>0.82</v>
      </c>
      <c r="L224" t="s">
        <v>13</v>
      </c>
    </row>
    <row r="225" spans="1:12" x14ac:dyDescent="0.3">
      <c r="A225">
        <v>55</v>
      </c>
      <c r="B225">
        <v>2021</v>
      </c>
      <c r="C225">
        <v>0.36</v>
      </c>
      <c r="D225">
        <v>0.53</v>
      </c>
      <c r="E225">
        <v>0.8</v>
      </c>
      <c r="F225">
        <v>0.89</v>
      </c>
      <c r="G225">
        <v>1</v>
      </c>
      <c r="H225">
        <v>0.93</v>
      </c>
      <c r="I225">
        <v>350</v>
      </c>
      <c r="J225">
        <v>0</v>
      </c>
      <c r="K225">
        <v>0.63</v>
      </c>
      <c r="L225" t="s">
        <v>12</v>
      </c>
    </row>
    <row r="226" spans="1:12" x14ac:dyDescent="0.3">
      <c r="A226">
        <v>17</v>
      </c>
      <c r="B226">
        <v>2024</v>
      </c>
      <c r="C226">
        <v>0.65</v>
      </c>
      <c r="D226">
        <v>0.51</v>
      </c>
      <c r="E226">
        <v>0.84</v>
      </c>
      <c r="F226">
        <v>1</v>
      </c>
      <c r="G226">
        <v>0.82</v>
      </c>
      <c r="H226">
        <v>0.74</v>
      </c>
      <c r="I226">
        <v>139</v>
      </c>
      <c r="J226">
        <v>15</v>
      </c>
      <c r="K226">
        <v>0.72</v>
      </c>
      <c r="L226" t="s">
        <v>13</v>
      </c>
    </row>
    <row r="227" spans="1:12" x14ac:dyDescent="0.3">
      <c r="A227">
        <v>69</v>
      </c>
      <c r="B227">
        <v>2021</v>
      </c>
      <c r="C227">
        <v>0.7</v>
      </c>
      <c r="D227">
        <v>0.99</v>
      </c>
      <c r="E227">
        <v>0.57999999999999996</v>
      </c>
      <c r="F227">
        <v>0.88</v>
      </c>
      <c r="G227">
        <v>0.71</v>
      </c>
      <c r="H227">
        <v>0.59</v>
      </c>
      <c r="I227">
        <v>247</v>
      </c>
      <c r="J227">
        <v>16</v>
      </c>
      <c r="K227">
        <v>0.78</v>
      </c>
      <c r="L227" t="s">
        <v>13</v>
      </c>
    </row>
    <row r="228" spans="1:12" x14ac:dyDescent="0.3">
      <c r="A228">
        <v>51</v>
      </c>
      <c r="B228">
        <v>2025</v>
      </c>
      <c r="C228">
        <v>0.34</v>
      </c>
      <c r="D228">
        <v>0.91</v>
      </c>
      <c r="E228">
        <v>0.61</v>
      </c>
      <c r="F228">
        <v>0.75</v>
      </c>
      <c r="G228">
        <v>0.62</v>
      </c>
      <c r="H228">
        <v>0.48</v>
      </c>
      <c r="I228">
        <v>454</v>
      </c>
      <c r="J228">
        <v>9</v>
      </c>
      <c r="K228">
        <v>0.63</v>
      </c>
      <c r="L228" t="s">
        <v>12</v>
      </c>
    </row>
    <row r="229" spans="1:12" x14ac:dyDescent="0.3">
      <c r="A229">
        <v>64</v>
      </c>
      <c r="B229">
        <v>2025</v>
      </c>
      <c r="C229">
        <v>0.79</v>
      </c>
      <c r="D229">
        <v>0.78</v>
      </c>
      <c r="E229">
        <v>0.52</v>
      </c>
      <c r="F229">
        <v>0.96</v>
      </c>
      <c r="G229">
        <v>0.94</v>
      </c>
      <c r="H229">
        <v>0.78</v>
      </c>
      <c r="I229">
        <v>149</v>
      </c>
      <c r="J229">
        <v>5</v>
      </c>
      <c r="K229">
        <v>0.77</v>
      </c>
      <c r="L229" t="s">
        <v>13</v>
      </c>
    </row>
    <row r="230" spans="1:12" x14ac:dyDescent="0.3">
      <c r="A230">
        <v>41</v>
      </c>
      <c r="B230">
        <v>2024</v>
      </c>
      <c r="C230">
        <v>0.39</v>
      </c>
      <c r="D230">
        <v>0.64</v>
      </c>
      <c r="E230">
        <v>0.96</v>
      </c>
      <c r="F230">
        <v>0.79</v>
      </c>
      <c r="G230">
        <v>0.31</v>
      </c>
      <c r="H230">
        <v>0.28000000000000003</v>
      </c>
      <c r="I230">
        <v>155</v>
      </c>
      <c r="J230">
        <v>6</v>
      </c>
      <c r="K230">
        <v>0.62</v>
      </c>
      <c r="L230" t="s">
        <v>12</v>
      </c>
    </row>
    <row r="231" spans="1:12" x14ac:dyDescent="0.3">
      <c r="A231">
        <v>35</v>
      </c>
      <c r="B231">
        <v>2024</v>
      </c>
      <c r="C231">
        <v>0.85</v>
      </c>
      <c r="D231">
        <v>0.98</v>
      </c>
      <c r="E231">
        <v>0.69</v>
      </c>
      <c r="F231">
        <v>0.77</v>
      </c>
      <c r="G231">
        <v>0.89</v>
      </c>
      <c r="H231">
        <v>0.27</v>
      </c>
      <c r="I231">
        <v>378</v>
      </c>
      <c r="J231">
        <v>12</v>
      </c>
      <c r="K231">
        <v>0.84</v>
      </c>
      <c r="L231" t="s">
        <v>13</v>
      </c>
    </row>
    <row r="232" spans="1:12" x14ac:dyDescent="0.3">
      <c r="A232">
        <v>100</v>
      </c>
      <c r="B232">
        <v>2023</v>
      </c>
      <c r="C232">
        <v>0.34</v>
      </c>
      <c r="D232">
        <v>0.94</v>
      </c>
      <c r="E232">
        <v>0.56999999999999995</v>
      </c>
      <c r="F232">
        <v>0.81</v>
      </c>
      <c r="G232">
        <v>0.59</v>
      </c>
      <c r="H232">
        <v>0.35</v>
      </c>
      <c r="I232">
        <v>176</v>
      </c>
      <c r="J232">
        <v>14</v>
      </c>
      <c r="K232">
        <v>0.63</v>
      </c>
      <c r="L232" t="s">
        <v>12</v>
      </c>
    </row>
    <row r="233" spans="1:12" x14ac:dyDescent="0.3">
      <c r="A233">
        <v>82</v>
      </c>
      <c r="B233">
        <v>2023</v>
      </c>
      <c r="C233">
        <v>0.97</v>
      </c>
      <c r="D233">
        <v>0.74</v>
      </c>
      <c r="E233">
        <v>0.97</v>
      </c>
      <c r="F233">
        <v>0.62</v>
      </c>
      <c r="G233">
        <v>0.59</v>
      </c>
      <c r="H233">
        <v>0.26</v>
      </c>
      <c r="I233">
        <v>362</v>
      </c>
      <c r="J233">
        <v>4</v>
      </c>
      <c r="K233">
        <v>0.82</v>
      </c>
      <c r="L233" t="s">
        <v>13</v>
      </c>
    </row>
    <row r="234" spans="1:12" x14ac:dyDescent="0.3">
      <c r="A234">
        <v>58</v>
      </c>
      <c r="B234">
        <v>2025</v>
      </c>
      <c r="C234">
        <v>0.48</v>
      </c>
      <c r="D234">
        <v>0.79</v>
      </c>
      <c r="E234">
        <v>0.6</v>
      </c>
      <c r="F234">
        <v>0.83</v>
      </c>
      <c r="G234">
        <v>0.62</v>
      </c>
      <c r="H234">
        <v>0.97</v>
      </c>
      <c r="I234">
        <v>433</v>
      </c>
      <c r="J234">
        <v>11</v>
      </c>
      <c r="K234">
        <v>0.65</v>
      </c>
      <c r="L234" t="s">
        <v>12</v>
      </c>
    </row>
    <row r="235" spans="1:12" x14ac:dyDescent="0.3">
      <c r="A235">
        <v>61</v>
      </c>
      <c r="B235">
        <v>2021</v>
      </c>
      <c r="C235">
        <v>0.32</v>
      </c>
      <c r="D235">
        <v>0.83</v>
      </c>
      <c r="E235">
        <v>0.71</v>
      </c>
      <c r="F235">
        <v>0.64</v>
      </c>
      <c r="G235">
        <v>0.78</v>
      </c>
      <c r="H235">
        <v>0.55000000000000004</v>
      </c>
      <c r="I235">
        <v>201</v>
      </c>
      <c r="J235">
        <v>1</v>
      </c>
      <c r="K235">
        <v>0.62</v>
      </c>
      <c r="L235" t="s">
        <v>12</v>
      </c>
    </row>
    <row r="236" spans="1:12" x14ac:dyDescent="0.3">
      <c r="A236">
        <v>28</v>
      </c>
      <c r="B236">
        <v>2022</v>
      </c>
      <c r="C236">
        <v>0.68</v>
      </c>
      <c r="D236">
        <v>0.88</v>
      </c>
      <c r="E236">
        <v>0.77</v>
      </c>
      <c r="F236">
        <v>0.85</v>
      </c>
      <c r="G236">
        <v>0.46</v>
      </c>
      <c r="H236">
        <v>0.85</v>
      </c>
      <c r="I236">
        <v>379</v>
      </c>
      <c r="J236">
        <v>4</v>
      </c>
      <c r="K236">
        <v>0.75</v>
      </c>
      <c r="L236" t="s">
        <v>13</v>
      </c>
    </row>
    <row r="237" spans="1:12" x14ac:dyDescent="0.3">
      <c r="A237">
        <v>2</v>
      </c>
      <c r="B237">
        <v>2021</v>
      </c>
      <c r="C237">
        <v>0.77</v>
      </c>
      <c r="D237">
        <v>0.68</v>
      </c>
      <c r="E237">
        <v>0.71</v>
      </c>
      <c r="F237">
        <v>0.86</v>
      </c>
      <c r="G237">
        <v>0.68</v>
      </c>
      <c r="H237">
        <v>0.06</v>
      </c>
      <c r="I237">
        <v>473</v>
      </c>
      <c r="J237">
        <v>5</v>
      </c>
      <c r="K237">
        <v>0.74</v>
      </c>
      <c r="L237" t="s">
        <v>13</v>
      </c>
    </row>
    <row r="238" spans="1:12" x14ac:dyDescent="0.3">
      <c r="A238">
        <v>60</v>
      </c>
      <c r="B238">
        <v>2023</v>
      </c>
      <c r="C238">
        <v>0.62</v>
      </c>
      <c r="D238">
        <v>0.43</v>
      </c>
      <c r="E238">
        <v>0.89</v>
      </c>
      <c r="F238">
        <v>0.68</v>
      </c>
      <c r="G238">
        <v>0.48</v>
      </c>
      <c r="H238">
        <v>0.16</v>
      </c>
      <c r="I238">
        <v>432</v>
      </c>
      <c r="J238">
        <v>3</v>
      </c>
      <c r="K238">
        <v>0.62</v>
      </c>
      <c r="L238" t="s">
        <v>12</v>
      </c>
    </row>
    <row r="239" spans="1:12" x14ac:dyDescent="0.3">
      <c r="A239">
        <v>86</v>
      </c>
      <c r="B239">
        <v>2025</v>
      </c>
      <c r="C239">
        <v>0.76</v>
      </c>
      <c r="D239">
        <v>0.5</v>
      </c>
      <c r="E239">
        <v>0.63</v>
      </c>
      <c r="F239">
        <v>0.98</v>
      </c>
      <c r="G239">
        <v>0.69</v>
      </c>
      <c r="H239">
        <v>0.75</v>
      </c>
      <c r="I239">
        <v>418</v>
      </c>
      <c r="J239">
        <v>1</v>
      </c>
      <c r="K239">
        <v>0.7</v>
      </c>
      <c r="L239" t="s">
        <v>12</v>
      </c>
    </row>
    <row r="240" spans="1:12" x14ac:dyDescent="0.3">
      <c r="A240">
        <v>25</v>
      </c>
      <c r="B240">
        <v>2023</v>
      </c>
      <c r="C240">
        <v>0.94</v>
      </c>
      <c r="D240">
        <v>0.72</v>
      </c>
      <c r="E240">
        <v>0.75</v>
      </c>
      <c r="F240">
        <v>0.64</v>
      </c>
      <c r="G240">
        <v>0.76</v>
      </c>
      <c r="H240">
        <v>0.82</v>
      </c>
      <c r="I240">
        <v>227</v>
      </c>
      <c r="J240">
        <v>10</v>
      </c>
      <c r="K240">
        <v>0.78</v>
      </c>
      <c r="L240" t="s">
        <v>13</v>
      </c>
    </row>
    <row r="241" spans="1:12" x14ac:dyDescent="0.3">
      <c r="A241">
        <v>19</v>
      </c>
      <c r="B241">
        <v>2025</v>
      </c>
      <c r="C241">
        <v>0.98</v>
      </c>
      <c r="D241">
        <v>0.52</v>
      </c>
      <c r="E241">
        <v>0.76</v>
      </c>
      <c r="F241">
        <v>0.71</v>
      </c>
      <c r="G241">
        <v>0.85</v>
      </c>
      <c r="H241">
        <v>0.57999999999999996</v>
      </c>
      <c r="I241">
        <v>134</v>
      </c>
      <c r="J241">
        <v>7</v>
      </c>
      <c r="K241">
        <v>0.77</v>
      </c>
      <c r="L241" t="s">
        <v>13</v>
      </c>
    </row>
    <row r="242" spans="1:12" x14ac:dyDescent="0.3">
      <c r="A242">
        <v>55</v>
      </c>
      <c r="B242">
        <v>2021</v>
      </c>
      <c r="C242">
        <v>0.57999999999999996</v>
      </c>
      <c r="D242">
        <v>0.95</v>
      </c>
      <c r="E242">
        <v>0.77</v>
      </c>
      <c r="F242">
        <v>0.66</v>
      </c>
      <c r="G242">
        <v>0.79</v>
      </c>
      <c r="H242">
        <v>0.79</v>
      </c>
      <c r="I242">
        <v>312</v>
      </c>
      <c r="J242">
        <v>15</v>
      </c>
      <c r="K242">
        <v>0.74</v>
      </c>
      <c r="L242" t="s">
        <v>13</v>
      </c>
    </row>
    <row r="243" spans="1:12" x14ac:dyDescent="0.3">
      <c r="A243">
        <v>3</v>
      </c>
      <c r="B243">
        <v>2025</v>
      </c>
      <c r="C243">
        <v>0.93</v>
      </c>
      <c r="D243">
        <v>0.56999999999999995</v>
      </c>
      <c r="E243">
        <v>0.99</v>
      </c>
      <c r="F243">
        <v>0.66</v>
      </c>
      <c r="G243">
        <v>0.44</v>
      </c>
      <c r="H243">
        <v>0.18</v>
      </c>
      <c r="I243">
        <v>150</v>
      </c>
      <c r="J243">
        <v>15</v>
      </c>
      <c r="K243">
        <v>0.76</v>
      </c>
      <c r="L243" t="s">
        <v>13</v>
      </c>
    </row>
    <row r="244" spans="1:12" x14ac:dyDescent="0.3">
      <c r="A244">
        <v>4</v>
      </c>
      <c r="B244">
        <v>2023</v>
      </c>
      <c r="C244">
        <v>0.92</v>
      </c>
      <c r="D244">
        <v>0.88</v>
      </c>
      <c r="E244">
        <v>0.75</v>
      </c>
      <c r="F244">
        <v>0.99</v>
      </c>
      <c r="G244">
        <v>0.59</v>
      </c>
      <c r="H244">
        <v>0.98</v>
      </c>
      <c r="I244">
        <v>70</v>
      </c>
      <c r="J244">
        <v>12</v>
      </c>
      <c r="K244">
        <v>0.85</v>
      </c>
      <c r="L244" t="s">
        <v>13</v>
      </c>
    </row>
    <row r="245" spans="1:12" x14ac:dyDescent="0.3">
      <c r="A245">
        <v>34</v>
      </c>
      <c r="B245">
        <v>2024</v>
      </c>
      <c r="C245">
        <v>1</v>
      </c>
      <c r="D245">
        <v>0.99</v>
      </c>
      <c r="E245">
        <v>0.83</v>
      </c>
      <c r="F245">
        <v>0.65</v>
      </c>
      <c r="G245">
        <v>0.78</v>
      </c>
      <c r="H245">
        <v>0.09</v>
      </c>
      <c r="I245">
        <v>245</v>
      </c>
      <c r="J245">
        <v>19</v>
      </c>
      <c r="K245">
        <v>0.89</v>
      </c>
      <c r="L245" t="s">
        <v>13</v>
      </c>
    </row>
    <row r="246" spans="1:12" x14ac:dyDescent="0.3">
      <c r="A246">
        <v>34</v>
      </c>
      <c r="B246">
        <v>2022</v>
      </c>
      <c r="C246">
        <v>0.36</v>
      </c>
      <c r="D246">
        <v>0.84</v>
      </c>
      <c r="E246">
        <v>0.59</v>
      </c>
      <c r="F246">
        <v>0.94</v>
      </c>
      <c r="G246">
        <v>0.87</v>
      </c>
      <c r="H246">
        <v>0.54</v>
      </c>
      <c r="I246">
        <v>260</v>
      </c>
      <c r="J246">
        <v>11</v>
      </c>
      <c r="K246">
        <v>0.66</v>
      </c>
      <c r="L246" t="s">
        <v>12</v>
      </c>
    </row>
    <row r="247" spans="1:12" x14ac:dyDescent="0.3">
      <c r="A247">
        <v>11</v>
      </c>
      <c r="B247">
        <v>2022</v>
      </c>
      <c r="C247">
        <v>0.88</v>
      </c>
      <c r="D247">
        <v>0.68</v>
      </c>
      <c r="E247">
        <v>0.68</v>
      </c>
      <c r="F247">
        <v>0.8</v>
      </c>
      <c r="G247">
        <v>0.88</v>
      </c>
      <c r="H247">
        <v>0.34</v>
      </c>
      <c r="I247">
        <v>326</v>
      </c>
      <c r="J247">
        <v>0</v>
      </c>
      <c r="K247">
        <v>0.78</v>
      </c>
      <c r="L247" t="s">
        <v>13</v>
      </c>
    </row>
    <row r="248" spans="1:12" x14ac:dyDescent="0.3">
      <c r="A248">
        <v>85</v>
      </c>
      <c r="B248">
        <v>2023</v>
      </c>
      <c r="C248">
        <v>0.4</v>
      </c>
      <c r="D248">
        <v>0.61</v>
      </c>
      <c r="E248">
        <v>0.73</v>
      </c>
      <c r="F248">
        <v>0.9</v>
      </c>
      <c r="G248">
        <v>0.76</v>
      </c>
      <c r="H248">
        <v>0.62</v>
      </c>
      <c r="I248">
        <v>199</v>
      </c>
      <c r="J248">
        <v>16</v>
      </c>
      <c r="K248">
        <v>0.63</v>
      </c>
      <c r="L248" t="s">
        <v>12</v>
      </c>
    </row>
    <row r="249" spans="1:12" x14ac:dyDescent="0.3">
      <c r="A249">
        <v>69</v>
      </c>
      <c r="B249">
        <v>2024</v>
      </c>
      <c r="C249">
        <v>0.63</v>
      </c>
      <c r="D249">
        <v>0.99</v>
      </c>
      <c r="E249">
        <v>0.82</v>
      </c>
      <c r="F249">
        <v>0.65</v>
      </c>
      <c r="G249">
        <v>0.77</v>
      </c>
      <c r="H249">
        <v>0.33</v>
      </c>
      <c r="I249">
        <v>473</v>
      </c>
      <c r="J249">
        <v>14</v>
      </c>
      <c r="K249">
        <v>0.78</v>
      </c>
      <c r="L249" t="s">
        <v>13</v>
      </c>
    </row>
    <row r="250" spans="1:12" x14ac:dyDescent="0.3">
      <c r="A250">
        <v>39</v>
      </c>
      <c r="B250">
        <v>2021</v>
      </c>
      <c r="C250">
        <v>0.76</v>
      </c>
      <c r="D250">
        <v>1</v>
      </c>
      <c r="E250">
        <v>0.54</v>
      </c>
      <c r="F250">
        <v>0.63</v>
      </c>
      <c r="G250">
        <v>0.54</v>
      </c>
      <c r="H250">
        <v>0.87</v>
      </c>
      <c r="I250">
        <v>352</v>
      </c>
      <c r="J250">
        <v>5</v>
      </c>
      <c r="K250">
        <v>0.73</v>
      </c>
      <c r="L250" t="s">
        <v>13</v>
      </c>
    </row>
    <row r="251" spans="1:12" x14ac:dyDescent="0.3">
      <c r="A251">
        <v>15</v>
      </c>
      <c r="B251">
        <v>2025</v>
      </c>
      <c r="C251">
        <v>0.32</v>
      </c>
      <c r="D251">
        <v>0.57999999999999996</v>
      </c>
      <c r="E251">
        <v>0.83</v>
      </c>
      <c r="F251">
        <v>0.98</v>
      </c>
      <c r="G251">
        <v>0.91</v>
      </c>
      <c r="H251">
        <v>0.77</v>
      </c>
      <c r="I251">
        <v>404</v>
      </c>
      <c r="J251">
        <v>12</v>
      </c>
      <c r="K251">
        <v>0.64</v>
      </c>
      <c r="L251" t="s">
        <v>12</v>
      </c>
    </row>
    <row r="252" spans="1:12" x14ac:dyDescent="0.3">
      <c r="A252">
        <v>79</v>
      </c>
      <c r="B252">
        <v>2022</v>
      </c>
      <c r="C252">
        <v>0.76</v>
      </c>
      <c r="D252">
        <v>0.92</v>
      </c>
      <c r="E252">
        <v>0.5</v>
      </c>
      <c r="F252">
        <v>0.67</v>
      </c>
      <c r="G252">
        <v>0.56999999999999995</v>
      </c>
      <c r="H252">
        <v>0.38</v>
      </c>
      <c r="I252">
        <v>191</v>
      </c>
      <c r="J252">
        <v>3</v>
      </c>
      <c r="K252">
        <v>0.72</v>
      </c>
      <c r="L252" t="s">
        <v>13</v>
      </c>
    </row>
    <row r="253" spans="1:12" x14ac:dyDescent="0.3">
      <c r="A253">
        <v>72</v>
      </c>
      <c r="B253">
        <v>2023</v>
      </c>
      <c r="C253">
        <v>0.59</v>
      </c>
      <c r="D253">
        <v>0.88</v>
      </c>
      <c r="E253">
        <v>0.74</v>
      </c>
      <c r="F253">
        <v>0.61</v>
      </c>
      <c r="G253">
        <v>0.6</v>
      </c>
      <c r="H253">
        <v>0.03</v>
      </c>
      <c r="I253">
        <v>151</v>
      </c>
      <c r="J253">
        <v>15</v>
      </c>
      <c r="K253">
        <v>0.7</v>
      </c>
      <c r="L253" t="s">
        <v>12</v>
      </c>
    </row>
    <row r="254" spans="1:12" x14ac:dyDescent="0.3">
      <c r="A254">
        <v>83</v>
      </c>
      <c r="B254">
        <v>2023</v>
      </c>
      <c r="C254">
        <v>0.88</v>
      </c>
      <c r="D254">
        <v>0.82</v>
      </c>
      <c r="E254">
        <v>0.92</v>
      </c>
      <c r="F254">
        <v>0.99</v>
      </c>
      <c r="G254">
        <v>0.73</v>
      </c>
      <c r="H254">
        <v>0.56000000000000005</v>
      </c>
      <c r="I254">
        <v>173</v>
      </c>
      <c r="J254">
        <v>18</v>
      </c>
      <c r="K254">
        <v>0.87</v>
      </c>
      <c r="L254" t="s">
        <v>13</v>
      </c>
    </row>
    <row r="255" spans="1:12" x14ac:dyDescent="0.3">
      <c r="A255">
        <v>47</v>
      </c>
      <c r="B255">
        <v>2024</v>
      </c>
      <c r="C255">
        <v>0.38</v>
      </c>
      <c r="D255">
        <v>0.82</v>
      </c>
      <c r="E255">
        <v>0.77</v>
      </c>
      <c r="F255">
        <v>0.64</v>
      </c>
      <c r="G255">
        <v>0.47</v>
      </c>
      <c r="H255">
        <v>0.01</v>
      </c>
      <c r="I255">
        <v>425</v>
      </c>
      <c r="J255">
        <v>19</v>
      </c>
      <c r="K255">
        <v>0.62</v>
      </c>
      <c r="L255" t="s">
        <v>12</v>
      </c>
    </row>
    <row r="256" spans="1:12" x14ac:dyDescent="0.3">
      <c r="A256">
        <v>89</v>
      </c>
      <c r="B256">
        <v>2023</v>
      </c>
      <c r="C256">
        <v>0.35</v>
      </c>
      <c r="D256">
        <v>0.54</v>
      </c>
      <c r="E256">
        <v>0.87</v>
      </c>
      <c r="F256">
        <v>0.84</v>
      </c>
      <c r="G256">
        <v>0.35</v>
      </c>
      <c r="H256">
        <v>0.88</v>
      </c>
      <c r="I256">
        <v>51</v>
      </c>
      <c r="J256">
        <v>8</v>
      </c>
      <c r="K256">
        <v>0.57999999999999996</v>
      </c>
      <c r="L256" t="s">
        <v>12</v>
      </c>
    </row>
    <row r="257" spans="1:12" x14ac:dyDescent="0.3">
      <c r="A257">
        <v>86</v>
      </c>
      <c r="B257">
        <v>2021</v>
      </c>
      <c r="C257">
        <v>0.99</v>
      </c>
      <c r="D257">
        <v>0.78</v>
      </c>
      <c r="E257">
        <v>0.77</v>
      </c>
      <c r="F257">
        <v>0.94</v>
      </c>
      <c r="G257">
        <v>0.5</v>
      </c>
      <c r="H257">
        <v>0.43</v>
      </c>
      <c r="I257">
        <v>316</v>
      </c>
      <c r="J257">
        <v>13</v>
      </c>
      <c r="K257">
        <v>0.84</v>
      </c>
      <c r="L257" t="s">
        <v>13</v>
      </c>
    </row>
    <row r="258" spans="1:12" x14ac:dyDescent="0.3">
      <c r="A258">
        <v>50</v>
      </c>
      <c r="B258">
        <v>2025</v>
      </c>
      <c r="C258">
        <v>0.67</v>
      </c>
      <c r="D258">
        <v>0.44</v>
      </c>
      <c r="E258">
        <v>0.92</v>
      </c>
      <c r="F258">
        <v>0.84</v>
      </c>
      <c r="G258">
        <v>0.38</v>
      </c>
      <c r="H258">
        <v>0.09</v>
      </c>
      <c r="I258">
        <v>494</v>
      </c>
      <c r="J258">
        <v>8</v>
      </c>
      <c r="K258">
        <v>0.66</v>
      </c>
      <c r="L258" t="s">
        <v>12</v>
      </c>
    </row>
    <row r="259" spans="1:12" x14ac:dyDescent="0.3">
      <c r="A259">
        <v>68</v>
      </c>
      <c r="B259">
        <v>2023</v>
      </c>
      <c r="C259">
        <v>0.88</v>
      </c>
      <c r="D259">
        <v>0.93</v>
      </c>
      <c r="E259">
        <v>0.79</v>
      </c>
      <c r="F259">
        <v>0.81</v>
      </c>
      <c r="G259">
        <v>0.6</v>
      </c>
      <c r="H259">
        <v>0.32</v>
      </c>
      <c r="I259">
        <v>125</v>
      </c>
      <c r="J259">
        <v>13</v>
      </c>
      <c r="K259">
        <v>0.84</v>
      </c>
      <c r="L259" t="s">
        <v>13</v>
      </c>
    </row>
    <row r="260" spans="1:12" x14ac:dyDescent="0.3">
      <c r="A260">
        <v>47</v>
      </c>
      <c r="B260">
        <v>2021</v>
      </c>
      <c r="C260">
        <v>0.54</v>
      </c>
      <c r="D260">
        <v>0.5</v>
      </c>
      <c r="E260">
        <v>0.59</v>
      </c>
      <c r="F260">
        <v>0.98</v>
      </c>
      <c r="G260">
        <v>0.61</v>
      </c>
      <c r="H260">
        <v>0.79</v>
      </c>
      <c r="I260">
        <v>228</v>
      </c>
      <c r="J260">
        <v>3</v>
      </c>
      <c r="K260">
        <v>0.61</v>
      </c>
      <c r="L260" t="s">
        <v>12</v>
      </c>
    </row>
    <row r="261" spans="1:12" x14ac:dyDescent="0.3">
      <c r="A261">
        <v>55</v>
      </c>
      <c r="B261">
        <v>2024</v>
      </c>
      <c r="C261">
        <v>0.37</v>
      </c>
      <c r="D261">
        <v>0.63</v>
      </c>
      <c r="E261">
        <v>0.74</v>
      </c>
      <c r="F261">
        <v>0.86</v>
      </c>
      <c r="G261">
        <v>0.97</v>
      </c>
      <c r="H261">
        <v>0.6</v>
      </c>
      <c r="I261">
        <v>488</v>
      </c>
      <c r="J261">
        <v>8</v>
      </c>
      <c r="K261">
        <v>0.64</v>
      </c>
      <c r="L261" t="s">
        <v>12</v>
      </c>
    </row>
    <row r="262" spans="1:12" x14ac:dyDescent="0.3">
      <c r="A262">
        <v>1</v>
      </c>
      <c r="B262">
        <v>2021</v>
      </c>
      <c r="C262">
        <v>0.3</v>
      </c>
      <c r="D262">
        <v>0.42</v>
      </c>
      <c r="E262">
        <v>0.8</v>
      </c>
      <c r="F262">
        <v>0.96</v>
      </c>
      <c r="G262">
        <v>0.47</v>
      </c>
      <c r="H262">
        <v>0.47</v>
      </c>
      <c r="I262">
        <v>490</v>
      </c>
      <c r="J262">
        <v>12</v>
      </c>
      <c r="K262">
        <v>0.55000000000000004</v>
      </c>
      <c r="L262" t="s">
        <v>12</v>
      </c>
    </row>
    <row r="263" spans="1:12" x14ac:dyDescent="0.3">
      <c r="A263">
        <v>99</v>
      </c>
      <c r="B263">
        <v>2023</v>
      </c>
      <c r="C263">
        <v>0.61</v>
      </c>
      <c r="D263">
        <v>0.68</v>
      </c>
      <c r="E263">
        <v>0.8</v>
      </c>
      <c r="F263">
        <v>0.81</v>
      </c>
      <c r="G263">
        <v>0.9</v>
      </c>
      <c r="H263">
        <v>0.05</v>
      </c>
      <c r="I263">
        <v>185</v>
      </c>
      <c r="J263">
        <v>10</v>
      </c>
      <c r="K263">
        <v>0.72</v>
      </c>
      <c r="L263" t="s">
        <v>13</v>
      </c>
    </row>
    <row r="264" spans="1:12" x14ac:dyDescent="0.3">
      <c r="A264">
        <v>20</v>
      </c>
      <c r="B264">
        <v>2024</v>
      </c>
      <c r="C264">
        <v>0.5</v>
      </c>
      <c r="D264">
        <v>0.68</v>
      </c>
      <c r="E264">
        <v>0.72</v>
      </c>
      <c r="F264">
        <v>0.69</v>
      </c>
      <c r="G264">
        <v>0.57999999999999996</v>
      </c>
      <c r="H264">
        <v>0.04</v>
      </c>
      <c r="I264">
        <v>282</v>
      </c>
      <c r="J264">
        <v>8</v>
      </c>
      <c r="K264">
        <v>0.63</v>
      </c>
      <c r="L264" t="s">
        <v>12</v>
      </c>
    </row>
    <row r="265" spans="1:12" x14ac:dyDescent="0.3">
      <c r="A265">
        <v>88</v>
      </c>
      <c r="B265">
        <v>2025</v>
      </c>
      <c r="C265">
        <v>0.5</v>
      </c>
      <c r="D265">
        <v>0.89</v>
      </c>
      <c r="E265">
        <v>0.77</v>
      </c>
      <c r="F265">
        <v>0.95</v>
      </c>
      <c r="G265">
        <v>0.7</v>
      </c>
      <c r="H265">
        <v>0.03</v>
      </c>
      <c r="I265">
        <v>241</v>
      </c>
      <c r="J265">
        <v>10</v>
      </c>
      <c r="K265">
        <v>0.74</v>
      </c>
      <c r="L265" t="s">
        <v>13</v>
      </c>
    </row>
    <row r="266" spans="1:12" x14ac:dyDescent="0.3">
      <c r="A266">
        <v>19</v>
      </c>
      <c r="B266">
        <v>2023</v>
      </c>
      <c r="C266">
        <v>0.39</v>
      </c>
      <c r="D266">
        <v>0.56000000000000005</v>
      </c>
      <c r="E266">
        <v>0.7</v>
      </c>
      <c r="F266">
        <v>0.77</v>
      </c>
      <c r="G266">
        <v>0.59</v>
      </c>
      <c r="H266">
        <v>0.91</v>
      </c>
      <c r="I266">
        <v>158</v>
      </c>
      <c r="J266">
        <v>11</v>
      </c>
      <c r="K266">
        <v>0.56999999999999995</v>
      </c>
      <c r="L266" t="s">
        <v>12</v>
      </c>
    </row>
    <row r="267" spans="1:12" x14ac:dyDescent="0.3">
      <c r="A267">
        <v>61</v>
      </c>
      <c r="B267">
        <v>2021</v>
      </c>
      <c r="C267">
        <v>0.88</v>
      </c>
      <c r="D267">
        <v>0.97</v>
      </c>
      <c r="E267">
        <v>0.91</v>
      </c>
      <c r="F267">
        <v>0.6</v>
      </c>
      <c r="G267">
        <v>0.75</v>
      </c>
      <c r="H267">
        <v>0.05</v>
      </c>
      <c r="I267">
        <v>480</v>
      </c>
      <c r="J267">
        <v>16</v>
      </c>
      <c r="K267">
        <v>0.85</v>
      </c>
      <c r="L267" t="s">
        <v>13</v>
      </c>
    </row>
    <row r="268" spans="1:12" x14ac:dyDescent="0.3">
      <c r="A268">
        <v>47</v>
      </c>
      <c r="B268">
        <v>2024</v>
      </c>
      <c r="C268">
        <v>0.78</v>
      </c>
      <c r="D268">
        <v>0.47</v>
      </c>
      <c r="E268">
        <v>0.69</v>
      </c>
      <c r="F268">
        <v>0.78</v>
      </c>
      <c r="G268">
        <v>0.56000000000000005</v>
      </c>
      <c r="H268">
        <v>0.12</v>
      </c>
      <c r="I268">
        <v>461</v>
      </c>
      <c r="J268">
        <v>7</v>
      </c>
      <c r="K268">
        <v>0.66</v>
      </c>
      <c r="L268" t="s">
        <v>12</v>
      </c>
    </row>
    <row r="269" spans="1:12" x14ac:dyDescent="0.3">
      <c r="A269">
        <v>84</v>
      </c>
      <c r="B269">
        <v>2021</v>
      </c>
      <c r="C269">
        <v>0.35</v>
      </c>
      <c r="D269">
        <v>0.45</v>
      </c>
      <c r="E269">
        <v>0.68</v>
      </c>
      <c r="F269">
        <v>0.98</v>
      </c>
      <c r="G269">
        <v>0.77</v>
      </c>
      <c r="H269">
        <v>0.68</v>
      </c>
      <c r="I269">
        <v>499</v>
      </c>
      <c r="J269">
        <v>18</v>
      </c>
      <c r="K269">
        <v>0.57999999999999996</v>
      </c>
      <c r="L269" t="s">
        <v>12</v>
      </c>
    </row>
    <row r="270" spans="1:12" x14ac:dyDescent="0.3">
      <c r="A270">
        <v>75</v>
      </c>
      <c r="B270">
        <v>2025</v>
      </c>
      <c r="C270">
        <v>0.31</v>
      </c>
      <c r="D270">
        <v>0.78</v>
      </c>
      <c r="E270">
        <v>0.96</v>
      </c>
      <c r="F270">
        <v>0.85</v>
      </c>
      <c r="G270">
        <v>0.91</v>
      </c>
      <c r="H270">
        <v>0.72</v>
      </c>
      <c r="I270">
        <v>204</v>
      </c>
      <c r="J270">
        <v>1</v>
      </c>
      <c r="K270">
        <v>0.7</v>
      </c>
      <c r="L270" t="s">
        <v>12</v>
      </c>
    </row>
    <row r="271" spans="1:12" x14ac:dyDescent="0.3">
      <c r="A271">
        <v>93</v>
      </c>
      <c r="B271">
        <v>2023</v>
      </c>
      <c r="C271">
        <v>0.67</v>
      </c>
      <c r="D271">
        <v>0.49</v>
      </c>
      <c r="E271">
        <v>0.51</v>
      </c>
      <c r="F271">
        <v>0.77</v>
      </c>
      <c r="G271">
        <v>0.51</v>
      </c>
      <c r="H271">
        <v>0.49</v>
      </c>
      <c r="I271">
        <v>350</v>
      </c>
      <c r="J271">
        <v>14</v>
      </c>
      <c r="K271">
        <v>0.59</v>
      </c>
      <c r="L271" t="s">
        <v>12</v>
      </c>
    </row>
    <row r="272" spans="1:12" x14ac:dyDescent="0.3">
      <c r="A272">
        <v>90</v>
      </c>
      <c r="B272">
        <v>2025</v>
      </c>
      <c r="C272">
        <v>0.39</v>
      </c>
      <c r="D272">
        <v>0.74</v>
      </c>
      <c r="E272">
        <v>0.67</v>
      </c>
      <c r="F272">
        <v>0.89</v>
      </c>
      <c r="G272">
        <v>0.76</v>
      </c>
      <c r="H272">
        <v>0.85</v>
      </c>
      <c r="I272">
        <v>487</v>
      </c>
      <c r="J272">
        <v>10</v>
      </c>
      <c r="K272">
        <v>0.65</v>
      </c>
      <c r="L272" t="s">
        <v>12</v>
      </c>
    </row>
    <row r="273" spans="1:12" x14ac:dyDescent="0.3">
      <c r="A273">
        <v>18</v>
      </c>
      <c r="B273">
        <v>2024</v>
      </c>
      <c r="C273">
        <v>0.77</v>
      </c>
      <c r="D273">
        <v>0.56999999999999995</v>
      </c>
      <c r="E273">
        <v>0.65</v>
      </c>
      <c r="F273">
        <v>0.92</v>
      </c>
      <c r="G273">
        <v>0.61</v>
      </c>
      <c r="H273">
        <v>0.8</v>
      </c>
      <c r="I273">
        <v>244</v>
      </c>
      <c r="J273">
        <v>11</v>
      </c>
      <c r="K273">
        <v>0.7</v>
      </c>
      <c r="L273" t="s">
        <v>12</v>
      </c>
    </row>
    <row r="274" spans="1:12" x14ac:dyDescent="0.3">
      <c r="A274">
        <v>79</v>
      </c>
      <c r="B274">
        <v>2021</v>
      </c>
      <c r="C274">
        <v>0.6</v>
      </c>
      <c r="D274">
        <v>0.59</v>
      </c>
      <c r="E274">
        <v>0.79</v>
      </c>
      <c r="F274">
        <v>0.75</v>
      </c>
      <c r="G274">
        <v>0.72</v>
      </c>
      <c r="H274">
        <v>0.71</v>
      </c>
      <c r="I274">
        <v>466</v>
      </c>
      <c r="J274">
        <v>6</v>
      </c>
      <c r="K274">
        <v>0.67</v>
      </c>
      <c r="L274" t="s">
        <v>12</v>
      </c>
    </row>
    <row r="275" spans="1:12" x14ac:dyDescent="0.3">
      <c r="A275">
        <v>34</v>
      </c>
      <c r="B275">
        <v>2024</v>
      </c>
      <c r="C275">
        <v>0.6</v>
      </c>
      <c r="D275">
        <v>0.49</v>
      </c>
      <c r="E275">
        <v>0.95</v>
      </c>
      <c r="F275">
        <v>0.74</v>
      </c>
      <c r="G275">
        <v>0.41</v>
      </c>
      <c r="H275">
        <v>0.03</v>
      </c>
      <c r="I275">
        <v>493</v>
      </c>
      <c r="J275">
        <v>17</v>
      </c>
      <c r="K275">
        <v>0.64</v>
      </c>
      <c r="L275" t="s">
        <v>12</v>
      </c>
    </row>
    <row r="276" spans="1:12" x14ac:dyDescent="0.3">
      <c r="A276">
        <v>92</v>
      </c>
      <c r="B276">
        <v>2023</v>
      </c>
      <c r="C276">
        <v>0.54</v>
      </c>
      <c r="D276">
        <v>0.44</v>
      </c>
      <c r="E276">
        <v>0.7</v>
      </c>
      <c r="F276">
        <v>0.72</v>
      </c>
      <c r="G276">
        <v>0.77</v>
      </c>
      <c r="H276">
        <v>0.61</v>
      </c>
      <c r="I276">
        <v>467</v>
      </c>
      <c r="J276">
        <v>15</v>
      </c>
      <c r="K276">
        <v>0.6</v>
      </c>
      <c r="L276" t="s">
        <v>12</v>
      </c>
    </row>
    <row r="277" spans="1:12" x14ac:dyDescent="0.3">
      <c r="A277">
        <v>56</v>
      </c>
      <c r="B277">
        <v>2024</v>
      </c>
      <c r="C277">
        <v>0.69</v>
      </c>
      <c r="D277">
        <v>0.46</v>
      </c>
      <c r="E277">
        <v>0.57999999999999996</v>
      </c>
      <c r="F277">
        <v>0.99</v>
      </c>
      <c r="G277">
        <v>0.46</v>
      </c>
      <c r="H277">
        <v>0.98</v>
      </c>
      <c r="I277">
        <v>116</v>
      </c>
      <c r="J277">
        <v>10</v>
      </c>
      <c r="K277">
        <v>0.63</v>
      </c>
      <c r="L277" t="s">
        <v>12</v>
      </c>
    </row>
    <row r="278" spans="1:12" x14ac:dyDescent="0.3">
      <c r="A278">
        <v>45</v>
      </c>
      <c r="B278">
        <v>2024</v>
      </c>
      <c r="C278">
        <v>0.37</v>
      </c>
      <c r="D278">
        <v>0.53</v>
      </c>
      <c r="E278">
        <v>0.96</v>
      </c>
      <c r="F278">
        <v>0.77</v>
      </c>
      <c r="G278">
        <v>0.57999999999999996</v>
      </c>
      <c r="H278">
        <v>0.31</v>
      </c>
      <c r="I278">
        <v>174</v>
      </c>
      <c r="J278">
        <v>14</v>
      </c>
      <c r="K278">
        <v>0.61</v>
      </c>
      <c r="L278" t="s">
        <v>12</v>
      </c>
    </row>
    <row r="279" spans="1:12" x14ac:dyDescent="0.3">
      <c r="A279">
        <v>30</v>
      </c>
      <c r="B279">
        <v>2022</v>
      </c>
      <c r="C279">
        <v>0.93</v>
      </c>
      <c r="D279">
        <v>0.47</v>
      </c>
      <c r="E279">
        <v>0.98</v>
      </c>
      <c r="F279">
        <v>0.73</v>
      </c>
      <c r="G279">
        <v>0.92</v>
      </c>
      <c r="H279">
        <v>0.6</v>
      </c>
      <c r="I279">
        <v>250</v>
      </c>
      <c r="J279">
        <v>16</v>
      </c>
      <c r="K279">
        <v>0.79</v>
      </c>
      <c r="L279" t="s">
        <v>13</v>
      </c>
    </row>
    <row r="280" spans="1:12" x14ac:dyDescent="0.3">
      <c r="A280">
        <v>29</v>
      </c>
      <c r="B280">
        <v>2025</v>
      </c>
      <c r="C280">
        <v>0.72</v>
      </c>
      <c r="D280">
        <v>0.49</v>
      </c>
      <c r="E280">
        <v>0.52</v>
      </c>
      <c r="F280">
        <v>0.99</v>
      </c>
      <c r="G280">
        <v>0.84</v>
      </c>
      <c r="H280">
        <v>0.98</v>
      </c>
      <c r="I280">
        <v>354</v>
      </c>
      <c r="J280">
        <v>12</v>
      </c>
      <c r="K280">
        <v>0.68</v>
      </c>
      <c r="L280" t="s">
        <v>12</v>
      </c>
    </row>
    <row r="281" spans="1:12" x14ac:dyDescent="0.3">
      <c r="A281">
        <v>34</v>
      </c>
      <c r="B281">
        <v>2025</v>
      </c>
      <c r="C281">
        <v>0.83</v>
      </c>
      <c r="D281">
        <v>0.9</v>
      </c>
      <c r="E281">
        <v>0.72</v>
      </c>
      <c r="F281">
        <v>0.72</v>
      </c>
      <c r="G281">
        <v>0.48</v>
      </c>
      <c r="H281">
        <v>0.19</v>
      </c>
      <c r="I281">
        <v>390</v>
      </c>
      <c r="J281">
        <v>13</v>
      </c>
      <c r="K281">
        <v>0.77</v>
      </c>
      <c r="L281" t="s">
        <v>13</v>
      </c>
    </row>
    <row r="282" spans="1:12" x14ac:dyDescent="0.3">
      <c r="A282">
        <v>21</v>
      </c>
      <c r="B282">
        <v>2024</v>
      </c>
      <c r="C282">
        <v>0.88</v>
      </c>
      <c r="D282">
        <v>0.73</v>
      </c>
      <c r="E282">
        <v>0.57999999999999996</v>
      </c>
      <c r="F282">
        <v>0.83</v>
      </c>
      <c r="G282">
        <v>1</v>
      </c>
      <c r="H282">
        <v>0.15</v>
      </c>
      <c r="I282">
        <v>403</v>
      </c>
      <c r="J282">
        <v>10</v>
      </c>
      <c r="K282">
        <v>0.79</v>
      </c>
      <c r="L282" t="s">
        <v>13</v>
      </c>
    </row>
    <row r="283" spans="1:12" x14ac:dyDescent="0.3">
      <c r="A283">
        <v>100</v>
      </c>
      <c r="B283">
        <v>2023</v>
      </c>
      <c r="C283">
        <v>0.85</v>
      </c>
      <c r="D283">
        <v>0.84</v>
      </c>
      <c r="E283">
        <v>0.65</v>
      </c>
      <c r="F283">
        <v>0.73</v>
      </c>
      <c r="G283">
        <v>0.85</v>
      </c>
      <c r="H283">
        <v>0.46</v>
      </c>
      <c r="I283">
        <v>390</v>
      </c>
      <c r="J283">
        <v>7</v>
      </c>
      <c r="K283">
        <v>0.79</v>
      </c>
      <c r="L283" t="s">
        <v>13</v>
      </c>
    </row>
    <row r="284" spans="1:12" x14ac:dyDescent="0.3">
      <c r="A284">
        <v>28</v>
      </c>
      <c r="B284">
        <v>2025</v>
      </c>
      <c r="C284">
        <v>0.63</v>
      </c>
      <c r="D284">
        <v>0.73</v>
      </c>
      <c r="E284">
        <v>0.61</v>
      </c>
      <c r="F284">
        <v>0.99</v>
      </c>
      <c r="G284">
        <v>0.94</v>
      </c>
      <c r="H284">
        <v>0.72</v>
      </c>
      <c r="I284">
        <v>222</v>
      </c>
      <c r="J284">
        <v>14</v>
      </c>
      <c r="K284">
        <v>0.74</v>
      </c>
      <c r="L284" t="s">
        <v>13</v>
      </c>
    </row>
    <row r="285" spans="1:12" x14ac:dyDescent="0.3">
      <c r="A285">
        <v>12</v>
      </c>
      <c r="B285">
        <v>2025</v>
      </c>
      <c r="C285">
        <v>0.82</v>
      </c>
      <c r="D285">
        <v>0.73</v>
      </c>
      <c r="E285">
        <v>0.53</v>
      </c>
      <c r="F285">
        <v>0.87</v>
      </c>
      <c r="G285">
        <v>0.63</v>
      </c>
      <c r="H285">
        <v>0.03</v>
      </c>
      <c r="I285">
        <v>119</v>
      </c>
      <c r="J285">
        <v>16</v>
      </c>
      <c r="K285">
        <v>0.73</v>
      </c>
      <c r="L285" t="s">
        <v>13</v>
      </c>
    </row>
    <row r="286" spans="1:12" x14ac:dyDescent="0.3">
      <c r="A286">
        <v>19</v>
      </c>
      <c r="B286">
        <v>2022</v>
      </c>
      <c r="C286">
        <v>0.99</v>
      </c>
      <c r="D286">
        <v>0.69</v>
      </c>
      <c r="E286">
        <v>0.93</v>
      </c>
      <c r="F286">
        <v>0.84</v>
      </c>
      <c r="G286">
        <v>0.56000000000000005</v>
      </c>
      <c r="H286">
        <v>0.28999999999999998</v>
      </c>
      <c r="I286">
        <v>466</v>
      </c>
      <c r="J286">
        <v>14</v>
      </c>
      <c r="K286">
        <v>0.84</v>
      </c>
      <c r="L286" t="s">
        <v>13</v>
      </c>
    </row>
    <row r="287" spans="1:12" x14ac:dyDescent="0.3">
      <c r="A287">
        <v>27</v>
      </c>
      <c r="B287">
        <v>2023</v>
      </c>
      <c r="C287">
        <v>0.94</v>
      </c>
      <c r="D287">
        <v>0.62</v>
      </c>
      <c r="E287">
        <v>0.86</v>
      </c>
      <c r="F287">
        <v>0.96</v>
      </c>
      <c r="G287">
        <v>0.62</v>
      </c>
      <c r="H287">
        <v>0.44</v>
      </c>
      <c r="I287">
        <v>224</v>
      </c>
      <c r="J287">
        <v>14</v>
      </c>
      <c r="K287">
        <v>0.82</v>
      </c>
      <c r="L287" t="s">
        <v>13</v>
      </c>
    </row>
    <row r="288" spans="1:12" x14ac:dyDescent="0.3">
      <c r="A288">
        <v>4</v>
      </c>
      <c r="B288">
        <v>2025</v>
      </c>
      <c r="C288">
        <v>0.63</v>
      </c>
      <c r="D288">
        <v>1</v>
      </c>
      <c r="E288">
        <v>0.53</v>
      </c>
      <c r="F288">
        <v>0.6</v>
      </c>
      <c r="G288">
        <v>0.75</v>
      </c>
      <c r="H288">
        <v>0.3</v>
      </c>
      <c r="I288">
        <v>377</v>
      </c>
      <c r="J288">
        <v>18</v>
      </c>
      <c r="K288">
        <v>0.71</v>
      </c>
      <c r="L288" t="s">
        <v>13</v>
      </c>
    </row>
    <row r="289" spans="1:12" x14ac:dyDescent="0.3">
      <c r="A289">
        <v>63</v>
      </c>
      <c r="B289">
        <v>2023</v>
      </c>
      <c r="C289">
        <v>0.61</v>
      </c>
      <c r="D289">
        <v>0.71</v>
      </c>
      <c r="E289">
        <v>0.81</v>
      </c>
      <c r="F289">
        <v>0.97</v>
      </c>
      <c r="G289">
        <v>0.31</v>
      </c>
      <c r="H289">
        <v>0.48</v>
      </c>
      <c r="I289">
        <v>398</v>
      </c>
      <c r="J289">
        <v>10</v>
      </c>
      <c r="K289">
        <v>0.7</v>
      </c>
      <c r="L289" t="s">
        <v>12</v>
      </c>
    </row>
    <row r="290" spans="1:12" x14ac:dyDescent="0.3">
      <c r="A290">
        <v>67</v>
      </c>
      <c r="B290">
        <v>2022</v>
      </c>
      <c r="C290">
        <v>0.39</v>
      </c>
      <c r="D290">
        <v>0.57999999999999996</v>
      </c>
      <c r="E290">
        <v>0.68</v>
      </c>
      <c r="F290">
        <v>0.92</v>
      </c>
      <c r="G290">
        <v>0.5</v>
      </c>
      <c r="H290">
        <v>0.21</v>
      </c>
      <c r="I290">
        <v>106</v>
      </c>
      <c r="J290">
        <v>14</v>
      </c>
      <c r="K290">
        <v>0.59</v>
      </c>
      <c r="L290" t="s">
        <v>12</v>
      </c>
    </row>
    <row r="291" spans="1:12" x14ac:dyDescent="0.3">
      <c r="A291">
        <v>35</v>
      </c>
      <c r="B291">
        <v>2023</v>
      </c>
      <c r="C291">
        <v>0.44</v>
      </c>
      <c r="D291">
        <v>1</v>
      </c>
      <c r="E291">
        <v>0.54</v>
      </c>
      <c r="F291">
        <v>0.6</v>
      </c>
      <c r="G291">
        <v>0.33</v>
      </c>
      <c r="H291">
        <v>0.34</v>
      </c>
      <c r="I291">
        <v>86</v>
      </c>
      <c r="J291">
        <v>0</v>
      </c>
      <c r="K291">
        <v>0.61</v>
      </c>
      <c r="L291" t="s">
        <v>12</v>
      </c>
    </row>
    <row r="292" spans="1:12" x14ac:dyDescent="0.3">
      <c r="A292">
        <v>15</v>
      </c>
      <c r="B292">
        <v>2025</v>
      </c>
      <c r="C292">
        <v>0.3</v>
      </c>
      <c r="D292">
        <v>0.96</v>
      </c>
      <c r="E292">
        <v>0.91</v>
      </c>
      <c r="F292">
        <v>0.92</v>
      </c>
      <c r="G292">
        <v>0.92</v>
      </c>
      <c r="H292">
        <v>0.7</v>
      </c>
      <c r="I292">
        <v>240</v>
      </c>
      <c r="J292">
        <v>7</v>
      </c>
      <c r="K292">
        <v>0.74</v>
      </c>
      <c r="L292" t="s">
        <v>13</v>
      </c>
    </row>
    <row r="293" spans="1:12" x14ac:dyDescent="0.3">
      <c r="A293">
        <v>23</v>
      </c>
      <c r="B293">
        <v>2021</v>
      </c>
      <c r="C293">
        <v>0.81</v>
      </c>
      <c r="D293">
        <v>0.56999999999999995</v>
      </c>
      <c r="E293">
        <v>0.84</v>
      </c>
      <c r="F293">
        <v>0.61</v>
      </c>
      <c r="G293">
        <v>0.51</v>
      </c>
      <c r="H293">
        <v>0.55000000000000004</v>
      </c>
      <c r="I293">
        <v>447</v>
      </c>
      <c r="J293">
        <v>12</v>
      </c>
      <c r="K293">
        <v>0.7</v>
      </c>
      <c r="L293" t="s">
        <v>12</v>
      </c>
    </row>
    <row r="294" spans="1:12" x14ac:dyDescent="0.3">
      <c r="A294">
        <v>45</v>
      </c>
      <c r="B294">
        <v>2022</v>
      </c>
      <c r="C294">
        <v>0.3</v>
      </c>
      <c r="D294">
        <v>0.46</v>
      </c>
      <c r="E294">
        <v>0.93</v>
      </c>
      <c r="F294">
        <v>0.87</v>
      </c>
      <c r="G294">
        <v>0.38</v>
      </c>
      <c r="H294">
        <v>0.84</v>
      </c>
      <c r="I294">
        <v>429</v>
      </c>
      <c r="J294">
        <v>15</v>
      </c>
      <c r="K294">
        <v>0.56000000000000005</v>
      </c>
      <c r="L294" t="s">
        <v>12</v>
      </c>
    </row>
    <row r="295" spans="1:12" x14ac:dyDescent="0.3">
      <c r="A295">
        <v>60</v>
      </c>
      <c r="B295">
        <v>2022</v>
      </c>
      <c r="C295">
        <v>0.35</v>
      </c>
      <c r="D295">
        <v>0.64</v>
      </c>
      <c r="E295">
        <v>0.65</v>
      </c>
      <c r="F295">
        <v>0.69</v>
      </c>
      <c r="G295">
        <v>0.5</v>
      </c>
      <c r="H295">
        <v>0.8</v>
      </c>
      <c r="I295">
        <v>169</v>
      </c>
      <c r="J295">
        <v>6</v>
      </c>
      <c r="K295">
        <v>0.55000000000000004</v>
      </c>
      <c r="L295" t="s">
        <v>12</v>
      </c>
    </row>
    <row r="296" spans="1:12" x14ac:dyDescent="0.3">
      <c r="A296">
        <v>53</v>
      </c>
      <c r="B296">
        <v>2021</v>
      </c>
      <c r="C296">
        <v>0.68</v>
      </c>
      <c r="D296">
        <v>0.53</v>
      </c>
      <c r="E296">
        <v>0.52</v>
      </c>
      <c r="F296">
        <v>0.69</v>
      </c>
      <c r="G296">
        <v>0.59</v>
      </c>
      <c r="H296">
        <v>0.76</v>
      </c>
      <c r="I296">
        <v>80</v>
      </c>
      <c r="J296">
        <v>16</v>
      </c>
      <c r="K296">
        <v>0.6</v>
      </c>
      <c r="L296" t="s">
        <v>12</v>
      </c>
    </row>
    <row r="297" spans="1:12" x14ac:dyDescent="0.3">
      <c r="A297">
        <v>55</v>
      </c>
      <c r="B297">
        <v>2022</v>
      </c>
      <c r="C297">
        <v>0.71</v>
      </c>
      <c r="D297">
        <v>0.77</v>
      </c>
      <c r="E297">
        <v>0.54</v>
      </c>
      <c r="F297">
        <v>0.87</v>
      </c>
      <c r="G297">
        <v>0.47</v>
      </c>
      <c r="H297">
        <v>0.71</v>
      </c>
      <c r="I297">
        <v>102</v>
      </c>
      <c r="J297">
        <v>14</v>
      </c>
      <c r="K297">
        <v>0.69</v>
      </c>
      <c r="L297" t="s">
        <v>12</v>
      </c>
    </row>
    <row r="298" spans="1:12" x14ac:dyDescent="0.3">
      <c r="A298">
        <v>22</v>
      </c>
      <c r="B298">
        <v>2024</v>
      </c>
      <c r="C298">
        <v>0.4</v>
      </c>
      <c r="D298">
        <v>0.87</v>
      </c>
      <c r="E298">
        <v>0.64</v>
      </c>
      <c r="F298">
        <v>0.8</v>
      </c>
      <c r="G298">
        <v>0.5</v>
      </c>
      <c r="H298">
        <v>0.13</v>
      </c>
      <c r="I298">
        <v>403</v>
      </c>
      <c r="J298">
        <v>10</v>
      </c>
      <c r="K298">
        <v>0.64</v>
      </c>
      <c r="L298" t="s">
        <v>12</v>
      </c>
    </row>
    <row r="299" spans="1:12" x14ac:dyDescent="0.3">
      <c r="A299">
        <v>76</v>
      </c>
      <c r="B299">
        <v>2021</v>
      </c>
      <c r="C299">
        <v>0.52</v>
      </c>
      <c r="D299">
        <v>0.4</v>
      </c>
      <c r="E299">
        <v>0.76</v>
      </c>
      <c r="F299">
        <v>0.62</v>
      </c>
      <c r="G299">
        <v>0.49</v>
      </c>
      <c r="H299">
        <v>0.71</v>
      </c>
      <c r="I299">
        <v>392</v>
      </c>
      <c r="J299">
        <v>17</v>
      </c>
      <c r="K299">
        <v>0.55000000000000004</v>
      </c>
      <c r="L299" t="s">
        <v>12</v>
      </c>
    </row>
    <row r="300" spans="1:12" x14ac:dyDescent="0.3">
      <c r="A300">
        <v>8</v>
      </c>
      <c r="B300">
        <v>2021</v>
      </c>
      <c r="C300">
        <v>0.54</v>
      </c>
      <c r="D300">
        <v>0.96</v>
      </c>
      <c r="E300">
        <v>0.54</v>
      </c>
      <c r="F300">
        <v>0.97</v>
      </c>
      <c r="G300">
        <v>0.88</v>
      </c>
      <c r="H300">
        <v>0.13</v>
      </c>
      <c r="I300">
        <v>186</v>
      </c>
      <c r="J300">
        <v>1</v>
      </c>
      <c r="K300">
        <v>0.74</v>
      </c>
      <c r="L300" t="s">
        <v>13</v>
      </c>
    </row>
    <row r="301" spans="1:12" x14ac:dyDescent="0.3">
      <c r="A301">
        <v>44</v>
      </c>
      <c r="B301">
        <v>2024</v>
      </c>
      <c r="C301">
        <v>0.85</v>
      </c>
      <c r="D301">
        <v>0.94</v>
      </c>
      <c r="E301">
        <v>0.72</v>
      </c>
      <c r="F301">
        <v>0.96</v>
      </c>
      <c r="G301">
        <v>0.56000000000000005</v>
      </c>
      <c r="H301">
        <v>0.96</v>
      </c>
      <c r="I301">
        <v>470</v>
      </c>
      <c r="J301">
        <v>16</v>
      </c>
      <c r="K301">
        <v>0.83</v>
      </c>
      <c r="L301" t="s">
        <v>13</v>
      </c>
    </row>
    <row r="302" spans="1:12" x14ac:dyDescent="0.3">
      <c r="A302">
        <v>58</v>
      </c>
      <c r="B302">
        <v>2022</v>
      </c>
      <c r="C302">
        <v>0.7</v>
      </c>
      <c r="D302">
        <v>0.96</v>
      </c>
      <c r="E302">
        <v>0.92</v>
      </c>
      <c r="F302">
        <v>0.87</v>
      </c>
      <c r="G302">
        <v>0.4</v>
      </c>
      <c r="H302">
        <v>0.25</v>
      </c>
      <c r="I302">
        <v>284</v>
      </c>
      <c r="J302">
        <v>12</v>
      </c>
      <c r="K302">
        <v>0.8</v>
      </c>
      <c r="L302" t="s">
        <v>13</v>
      </c>
    </row>
    <row r="303" spans="1:12" x14ac:dyDescent="0.3">
      <c r="A303">
        <v>33</v>
      </c>
      <c r="B303">
        <v>2024</v>
      </c>
      <c r="C303">
        <v>0.39</v>
      </c>
      <c r="D303">
        <v>0.81</v>
      </c>
      <c r="E303">
        <v>0.97</v>
      </c>
      <c r="F303">
        <v>0.71</v>
      </c>
      <c r="G303">
        <v>0.63</v>
      </c>
      <c r="H303">
        <v>0.63</v>
      </c>
      <c r="I303">
        <v>342</v>
      </c>
      <c r="J303">
        <v>9</v>
      </c>
      <c r="K303">
        <v>0.68</v>
      </c>
      <c r="L303" t="s">
        <v>12</v>
      </c>
    </row>
    <row r="304" spans="1:12" x14ac:dyDescent="0.3">
      <c r="A304">
        <v>17</v>
      </c>
      <c r="B304">
        <v>2025</v>
      </c>
      <c r="C304">
        <v>0.65</v>
      </c>
      <c r="D304">
        <v>0.63</v>
      </c>
      <c r="E304">
        <v>0.93</v>
      </c>
      <c r="F304">
        <v>0.79</v>
      </c>
      <c r="G304">
        <v>0.38</v>
      </c>
      <c r="H304">
        <v>0.63</v>
      </c>
      <c r="I304">
        <v>276</v>
      </c>
      <c r="J304">
        <v>11</v>
      </c>
      <c r="K304">
        <v>0.7</v>
      </c>
      <c r="L304" t="s">
        <v>12</v>
      </c>
    </row>
    <row r="305" spans="1:12" x14ac:dyDescent="0.3">
      <c r="A305">
        <v>71</v>
      </c>
      <c r="B305">
        <v>2021</v>
      </c>
      <c r="C305">
        <v>0.43</v>
      </c>
      <c r="D305">
        <v>0.73</v>
      </c>
      <c r="E305">
        <v>0.71</v>
      </c>
      <c r="F305">
        <v>0.89</v>
      </c>
      <c r="G305">
        <v>0.56000000000000005</v>
      </c>
      <c r="H305">
        <v>0.87</v>
      </c>
      <c r="I305">
        <v>359</v>
      </c>
      <c r="J305">
        <v>0</v>
      </c>
      <c r="K305">
        <v>0.64</v>
      </c>
      <c r="L305" t="s">
        <v>12</v>
      </c>
    </row>
    <row r="306" spans="1:12" x14ac:dyDescent="0.3">
      <c r="A306">
        <v>100</v>
      </c>
      <c r="B306">
        <v>2025</v>
      </c>
      <c r="C306">
        <v>0.83</v>
      </c>
      <c r="D306">
        <v>0.42</v>
      </c>
      <c r="E306">
        <v>0.7</v>
      </c>
      <c r="F306">
        <v>0.97</v>
      </c>
      <c r="G306">
        <v>0.39</v>
      </c>
      <c r="H306">
        <v>0.74</v>
      </c>
      <c r="I306">
        <v>375</v>
      </c>
      <c r="J306">
        <v>11</v>
      </c>
      <c r="K306">
        <v>0.68</v>
      </c>
      <c r="L306" t="s">
        <v>12</v>
      </c>
    </row>
    <row r="307" spans="1:12" x14ac:dyDescent="0.3">
      <c r="A307">
        <v>44</v>
      </c>
      <c r="B307">
        <v>2025</v>
      </c>
      <c r="C307">
        <v>0.78</v>
      </c>
      <c r="D307">
        <v>0.68</v>
      </c>
      <c r="E307">
        <v>0.79</v>
      </c>
      <c r="F307">
        <v>0.63</v>
      </c>
      <c r="G307">
        <v>0.33</v>
      </c>
      <c r="H307">
        <v>0.67</v>
      </c>
      <c r="I307">
        <v>98</v>
      </c>
      <c r="J307">
        <v>9</v>
      </c>
      <c r="K307">
        <v>0.69</v>
      </c>
      <c r="L307" t="s">
        <v>12</v>
      </c>
    </row>
    <row r="308" spans="1:12" x14ac:dyDescent="0.3">
      <c r="A308">
        <v>53</v>
      </c>
      <c r="B308">
        <v>2024</v>
      </c>
      <c r="C308">
        <v>0.37</v>
      </c>
      <c r="D308">
        <v>0.81</v>
      </c>
      <c r="E308">
        <v>0.62</v>
      </c>
      <c r="F308">
        <v>0.96</v>
      </c>
      <c r="G308">
        <v>0.89</v>
      </c>
      <c r="H308">
        <v>0.71</v>
      </c>
      <c r="I308">
        <v>447</v>
      </c>
      <c r="J308">
        <v>9</v>
      </c>
      <c r="K308">
        <v>0.67</v>
      </c>
      <c r="L308" t="s">
        <v>12</v>
      </c>
    </row>
    <row r="309" spans="1:12" x14ac:dyDescent="0.3">
      <c r="A309">
        <v>35</v>
      </c>
      <c r="B309">
        <v>2021</v>
      </c>
      <c r="C309">
        <v>0.82</v>
      </c>
      <c r="D309">
        <v>0.6</v>
      </c>
      <c r="E309">
        <v>0.95</v>
      </c>
      <c r="F309">
        <v>0.71</v>
      </c>
      <c r="G309">
        <v>0.81</v>
      </c>
      <c r="H309">
        <v>0.88</v>
      </c>
      <c r="I309">
        <v>427</v>
      </c>
      <c r="J309">
        <v>5</v>
      </c>
      <c r="K309">
        <v>0.77</v>
      </c>
      <c r="L309" t="s">
        <v>13</v>
      </c>
    </row>
    <row r="310" spans="1:12" x14ac:dyDescent="0.3">
      <c r="A310">
        <v>65</v>
      </c>
      <c r="B310">
        <v>2024</v>
      </c>
      <c r="C310">
        <v>0.62</v>
      </c>
      <c r="D310">
        <v>0.56000000000000005</v>
      </c>
      <c r="E310">
        <v>0.61</v>
      </c>
      <c r="F310">
        <v>0.65</v>
      </c>
      <c r="G310">
        <v>0.9</v>
      </c>
      <c r="H310">
        <v>0.57999999999999996</v>
      </c>
      <c r="I310">
        <v>219</v>
      </c>
      <c r="J310">
        <v>14</v>
      </c>
      <c r="K310">
        <v>0.64</v>
      </c>
      <c r="L310" t="s">
        <v>12</v>
      </c>
    </row>
    <row r="311" spans="1:12" x14ac:dyDescent="0.3">
      <c r="A311">
        <v>94</v>
      </c>
      <c r="B311">
        <v>2021</v>
      </c>
      <c r="C311">
        <v>0.38</v>
      </c>
      <c r="D311">
        <v>0.56000000000000005</v>
      </c>
      <c r="E311">
        <v>0.51</v>
      </c>
      <c r="F311">
        <v>0.72</v>
      </c>
      <c r="G311">
        <v>0.84</v>
      </c>
      <c r="H311">
        <v>0.52</v>
      </c>
      <c r="I311">
        <v>293</v>
      </c>
      <c r="J311">
        <v>11</v>
      </c>
      <c r="K311">
        <v>0.55000000000000004</v>
      </c>
      <c r="L311" t="s">
        <v>12</v>
      </c>
    </row>
    <row r="312" spans="1:12" x14ac:dyDescent="0.3">
      <c r="A312">
        <v>16</v>
      </c>
      <c r="B312">
        <v>2023</v>
      </c>
      <c r="C312">
        <v>0.76</v>
      </c>
      <c r="D312">
        <v>0.73</v>
      </c>
      <c r="E312">
        <v>0.94</v>
      </c>
      <c r="F312">
        <v>0.87</v>
      </c>
      <c r="G312">
        <v>0.68</v>
      </c>
      <c r="H312">
        <v>0.83</v>
      </c>
      <c r="I312">
        <v>266</v>
      </c>
      <c r="J312">
        <v>7</v>
      </c>
      <c r="K312">
        <v>0.8</v>
      </c>
      <c r="L312" t="s">
        <v>13</v>
      </c>
    </row>
    <row r="313" spans="1:12" x14ac:dyDescent="0.3">
      <c r="A313">
        <v>45</v>
      </c>
      <c r="B313">
        <v>2023</v>
      </c>
      <c r="C313">
        <v>0.51</v>
      </c>
      <c r="D313">
        <v>0.44</v>
      </c>
      <c r="E313">
        <v>0.61</v>
      </c>
      <c r="F313">
        <v>0.7</v>
      </c>
      <c r="G313">
        <v>0.64</v>
      </c>
      <c r="H313">
        <v>0.75</v>
      </c>
      <c r="I313">
        <v>477</v>
      </c>
      <c r="J313">
        <v>3</v>
      </c>
      <c r="K313">
        <v>0.55000000000000004</v>
      </c>
      <c r="L313" t="s">
        <v>12</v>
      </c>
    </row>
    <row r="314" spans="1:12" x14ac:dyDescent="0.3">
      <c r="A314">
        <v>90</v>
      </c>
      <c r="B314">
        <v>2021</v>
      </c>
      <c r="C314">
        <v>0.47</v>
      </c>
      <c r="D314">
        <v>0.72</v>
      </c>
      <c r="E314">
        <v>0.83</v>
      </c>
      <c r="F314">
        <v>0.86</v>
      </c>
      <c r="G314">
        <v>0.69</v>
      </c>
      <c r="H314">
        <v>0.78</v>
      </c>
      <c r="I314">
        <v>66</v>
      </c>
      <c r="J314">
        <v>11</v>
      </c>
      <c r="K314">
        <v>0.68</v>
      </c>
      <c r="L314" t="s">
        <v>12</v>
      </c>
    </row>
    <row r="315" spans="1:12" x14ac:dyDescent="0.3">
      <c r="A315">
        <v>71</v>
      </c>
      <c r="B315">
        <v>2022</v>
      </c>
      <c r="C315">
        <v>0.93</v>
      </c>
      <c r="D315">
        <v>0.91</v>
      </c>
      <c r="E315">
        <v>0.66</v>
      </c>
      <c r="F315">
        <v>0.71</v>
      </c>
      <c r="G315">
        <v>0.99</v>
      </c>
      <c r="H315">
        <v>0.53</v>
      </c>
      <c r="I315">
        <v>117</v>
      </c>
      <c r="J315">
        <v>14</v>
      </c>
      <c r="K315">
        <v>0.84</v>
      </c>
      <c r="L315" t="s">
        <v>13</v>
      </c>
    </row>
    <row r="316" spans="1:12" x14ac:dyDescent="0.3">
      <c r="A316">
        <v>95</v>
      </c>
      <c r="B316">
        <v>2024</v>
      </c>
      <c r="C316">
        <v>0.75</v>
      </c>
      <c r="D316">
        <v>0.89</v>
      </c>
      <c r="E316">
        <v>0.97</v>
      </c>
      <c r="F316">
        <v>0.73</v>
      </c>
      <c r="G316">
        <v>0.81</v>
      </c>
      <c r="H316">
        <v>0.54</v>
      </c>
      <c r="I316">
        <v>208</v>
      </c>
      <c r="J316">
        <v>8</v>
      </c>
      <c r="K316">
        <v>0.83</v>
      </c>
      <c r="L316" t="s">
        <v>13</v>
      </c>
    </row>
    <row r="317" spans="1:12" x14ac:dyDescent="0.3">
      <c r="A317">
        <v>46</v>
      </c>
      <c r="B317">
        <v>2022</v>
      </c>
      <c r="C317">
        <v>0.78</v>
      </c>
      <c r="D317">
        <v>0.96</v>
      </c>
      <c r="E317">
        <v>0.75</v>
      </c>
      <c r="F317">
        <v>0.69</v>
      </c>
      <c r="G317">
        <v>0.33</v>
      </c>
      <c r="H317">
        <v>0.42</v>
      </c>
      <c r="I317">
        <v>471</v>
      </c>
      <c r="J317">
        <v>1</v>
      </c>
      <c r="K317">
        <v>0.76</v>
      </c>
      <c r="L317" t="s">
        <v>13</v>
      </c>
    </row>
    <row r="318" spans="1:12" x14ac:dyDescent="0.3">
      <c r="A318">
        <v>15</v>
      </c>
      <c r="B318">
        <v>2025</v>
      </c>
      <c r="C318">
        <v>0.96</v>
      </c>
      <c r="D318">
        <v>0.98</v>
      </c>
      <c r="E318">
        <v>0.81</v>
      </c>
      <c r="F318">
        <v>0.97</v>
      </c>
      <c r="G318">
        <v>0.83</v>
      </c>
      <c r="H318">
        <v>0.55000000000000004</v>
      </c>
      <c r="I318">
        <v>351</v>
      </c>
      <c r="J318">
        <v>12</v>
      </c>
      <c r="K318">
        <v>0.92</v>
      </c>
      <c r="L318" t="s">
        <v>13</v>
      </c>
    </row>
    <row r="319" spans="1:12" x14ac:dyDescent="0.3">
      <c r="A319">
        <v>95</v>
      </c>
      <c r="B319">
        <v>2023</v>
      </c>
      <c r="C319">
        <v>0.42</v>
      </c>
      <c r="D319">
        <v>0.67</v>
      </c>
      <c r="E319">
        <v>0.6</v>
      </c>
      <c r="F319">
        <v>0.62</v>
      </c>
      <c r="G319">
        <v>0.89</v>
      </c>
      <c r="H319">
        <v>0.98</v>
      </c>
      <c r="I319">
        <v>382</v>
      </c>
      <c r="J319">
        <v>17</v>
      </c>
      <c r="K319">
        <v>0.6</v>
      </c>
      <c r="L319" t="s">
        <v>12</v>
      </c>
    </row>
    <row r="320" spans="1:12" x14ac:dyDescent="0.3">
      <c r="A320">
        <v>11</v>
      </c>
      <c r="B320">
        <v>2024</v>
      </c>
      <c r="C320">
        <v>0.76</v>
      </c>
      <c r="D320">
        <v>0.47</v>
      </c>
      <c r="E320">
        <v>0.82</v>
      </c>
      <c r="F320">
        <v>0.8</v>
      </c>
      <c r="G320">
        <v>0.57999999999999996</v>
      </c>
      <c r="H320">
        <v>0.95</v>
      </c>
      <c r="I320">
        <v>495</v>
      </c>
      <c r="J320">
        <v>11</v>
      </c>
      <c r="K320">
        <v>0.69</v>
      </c>
      <c r="L320" t="s">
        <v>12</v>
      </c>
    </row>
    <row r="321" spans="1:12" x14ac:dyDescent="0.3">
      <c r="A321">
        <v>11</v>
      </c>
      <c r="B321">
        <v>2025</v>
      </c>
      <c r="C321">
        <v>0.61</v>
      </c>
      <c r="D321">
        <v>0.76</v>
      </c>
      <c r="E321">
        <v>0.54</v>
      </c>
      <c r="F321">
        <v>0.85</v>
      </c>
      <c r="G321">
        <v>0.99</v>
      </c>
      <c r="H321">
        <v>0.19</v>
      </c>
      <c r="I321">
        <v>420</v>
      </c>
      <c r="J321">
        <v>1</v>
      </c>
      <c r="K321">
        <v>0.71</v>
      </c>
      <c r="L321" t="s">
        <v>13</v>
      </c>
    </row>
    <row r="322" spans="1:12" x14ac:dyDescent="0.3">
      <c r="A322">
        <v>17</v>
      </c>
      <c r="B322">
        <v>2023</v>
      </c>
      <c r="C322">
        <v>0.57999999999999996</v>
      </c>
      <c r="D322">
        <v>0.97</v>
      </c>
      <c r="E322">
        <v>0.98</v>
      </c>
      <c r="F322">
        <v>0.76</v>
      </c>
      <c r="G322">
        <v>0.9</v>
      </c>
      <c r="H322">
        <v>0.77</v>
      </c>
      <c r="I322">
        <v>143</v>
      </c>
      <c r="J322">
        <v>0</v>
      </c>
      <c r="K322">
        <v>0.82</v>
      </c>
      <c r="L322" t="s">
        <v>13</v>
      </c>
    </row>
    <row r="323" spans="1:12" x14ac:dyDescent="0.3">
      <c r="A323">
        <v>43</v>
      </c>
      <c r="B323">
        <v>2021</v>
      </c>
      <c r="C323">
        <v>0.41</v>
      </c>
      <c r="D323">
        <v>0.74</v>
      </c>
      <c r="E323">
        <v>0.89</v>
      </c>
      <c r="F323">
        <v>0.8</v>
      </c>
      <c r="G323">
        <v>0.31</v>
      </c>
      <c r="H323">
        <v>0.01</v>
      </c>
      <c r="I323">
        <v>150</v>
      </c>
      <c r="J323">
        <v>9</v>
      </c>
      <c r="K323">
        <v>0.64</v>
      </c>
      <c r="L323" t="s">
        <v>12</v>
      </c>
    </row>
    <row r="324" spans="1:12" x14ac:dyDescent="0.3">
      <c r="A324">
        <v>43</v>
      </c>
      <c r="B324">
        <v>2025</v>
      </c>
      <c r="C324">
        <v>0.46</v>
      </c>
      <c r="D324">
        <v>0.59</v>
      </c>
      <c r="E324">
        <v>0.92</v>
      </c>
      <c r="F324">
        <v>0.89</v>
      </c>
      <c r="G324">
        <v>0.37</v>
      </c>
      <c r="H324">
        <v>0.43</v>
      </c>
      <c r="I324">
        <v>426</v>
      </c>
      <c r="J324">
        <v>2</v>
      </c>
      <c r="K324">
        <v>0.64</v>
      </c>
      <c r="L324" t="s">
        <v>12</v>
      </c>
    </row>
    <row r="325" spans="1:12" x14ac:dyDescent="0.3">
      <c r="A325">
        <v>13</v>
      </c>
      <c r="B325">
        <v>2025</v>
      </c>
      <c r="C325">
        <v>0.38</v>
      </c>
      <c r="D325">
        <v>0.56999999999999995</v>
      </c>
      <c r="E325">
        <v>0.7</v>
      </c>
      <c r="F325">
        <v>0.97</v>
      </c>
      <c r="G325">
        <v>1</v>
      </c>
      <c r="H325">
        <v>0.04</v>
      </c>
      <c r="I325">
        <v>142</v>
      </c>
      <c r="J325">
        <v>6</v>
      </c>
      <c r="K325">
        <v>0.64</v>
      </c>
      <c r="L325" t="s">
        <v>12</v>
      </c>
    </row>
    <row r="326" spans="1:12" x14ac:dyDescent="0.3">
      <c r="A326">
        <v>67</v>
      </c>
      <c r="B326">
        <v>2024</v>
      </c>
      <c r="C326">
        <v>0.36</v>
      </c>
      <c r="D326">
        <v>0.42</v>
      </c>
      <c r="E326">
        <v>0.53</v>
      </c>
      <c r="F326">
        <v>0.78</v>
      </c>
      <c r="G326">
        <v>0.49</v>
      </c>
      <c r="H326">
        <v>0.62</v>
      </c>
      <c r="I326">
        <v>222</v>
      </c>
      <c r="J326">
        <v>19</v>
      </c>
      <c r="K326">
        <v>0.48</v>
      </c>
      <c r="L326" t="s">
        <v>12</v>
      </c>
    </row>
    <row r="327" spans="1:12" x14ac:dyDescent="0.3">
      <c r="A327">
        <v>93</v>
      </c>
      <c r="B327">
        <v>2024</v>
      </c>
      <c r="C327">
        <v>0.7</v>
      </c>
      <c r="D327">
        <v>0.65</v>
      </c>
      <c r="E327">
        <v>0.92</v>
      </c>
      <c r="F327">
        <v>0.96</v>
      </c>
      <c r="G327">
        <v>0.91</v>
      </c>
      <c r="H327">
        <v>0.97</v>
      </c>
      <c r="I327">
        <v>392</v>
      </c>
      <c r="J327">
        <v>9</v>
      </c>
      <c r="K327">
        <v>0.79</v>
      </c>
      <c r="L327" t="s">
        <v>13</v>
      </c>
    </row>
    <row r="328" spans="1:12" x14ac:dyDescent="0.3">
      <c r="A328">
        <v>59</v>
      </c>
      <c r="B328">
        <v>2023</v>
      </c>
      <c r="C328">
        <v>0.83</v>
      </c>
      <c r="D328">
        <v>0.54</v>
      </c>
      <c r="E328">
        <v>0.98</v>
      </c>
      <c r="F328">
        <v>0.66</v>
      </c>
      <c r="G328">
        <v>0.78</v>
      </c>
      <c r="H328">
        <v>0.22</v>
      </c>
      <c r="I328">
        <v>117</v>
      </c>
      <c r="J328">
        <v>4</v>
      </c>
      <c r="K328">
        <v>0.76</v>
      </c>
      <c r="L328" t="s">
        <v>13</v>
      </c>
    </row>
    <row r="329" spans="1:12" x14ac:dyDescent="0.3">
      <c r="A329">
        <v>11</v>
      </c>
      <c r="B329">
        <v>2023</v>
      </c>
      <c r="C329">
        <v>0.6</v>
      </c>
      <c r="D329">
        <v>0.6</v>
      </c>
      <c r="E329">
        <v>0.92</v>
      </c>
      <c r="F329">
        <v>0.66</v>
      </c>
      <c r="G329">
        <v>0.6</v>
      </c>
      <c r="H329">
        <v>0.9</v>
      </c>
      <c r="I329">
        <v>203</v>
      </c>
      <c r="J329">
        <v>7</v>
      </c>
      <c r="K329">
        <v>0.67</v>
      </c>
      <c r="L329" t="s">
        <v>12</v>
      </c>
    </row>
    <row r="330" spans="1:12" x14ac:dyDescent="0.3">
      <c r="A330">
        <v>5</v>
      </c>
      <c r="B330">
        <v>2025</v>
      </c>
      <c r="C330">
        <v>0.83</v>
      </c>
      <c r="D330">
        <v>0.89</v>
      </c>
      <c r="E330">
        <v>0.94</v>
      </c>
      <c r="F330">
        <v>0.82</v>
      </c>
      <c r="G330">
        <v>0.44</v>
      </c>
      <c r="H330">
        <v>0.26</v>
      </c>
      <c r="I330">
        <v>417</v>
      </c>
      <c r="J330">
        <v>18</v>
      </c>
      <c r="K330">
        <v>0.83</v>
      </c>
      <c r="L330" t="s">
        <v>13</v>
      </c>
    </row>
    <row r="331" spans="1:12" x14ac:dyDescent="0.3">
      <c r="A331">
        <v>46</v>
      </c>
      <c r="B331">
        <v>2024</v>
      </c>
      <c r="C331">
        <v>0.75</v>
      </c>
      <c r="D331">
        <v>0.62</v>
      </c>
      <c r="E331">
        <v>0.65</v>
      </c>
      <c r="F331">
        <v>0.95</v>
      </c>
      <c r="G331">
        <v>0.62</v>
      </c>
      <c r="H331">
        <v>0.1</v>
      </c>
      <c r="I331">
        <v>332</v>
      </c>
      <c r="J331">
        <v>7</v>
      </c>
      <c r="K331">
        <v>0.71</v>
      </c>
      <c r="L331" t="s">
        <v>13</v>
      </c>
    </row>
    <row r="332" spans="1:12" x14ac:dyDescent="0.3">
      <c r="A332">
        <v>63</v>
      </c>
      <c r="B332">
        <v>2025</v>
      </c>
      <c r="C332">
        <v>0.81</v>
      </c>
      <c r="D332">
        <v>0.86</v>
      </c>
      <c r="E332">
        <v>0.68</v>
      </c>
      <c r="F332">
        <v>0.93</v>
      </c>
      <c r="G332">
        <v>0.66</v>
      </c>
      <c r="H332">
        <v>0.46</v>
      </c>
      <c r="I332">
        <v>230</v>
      </c>
      <c r="J332">
        <v>19</v>
      </c>
      <c r="K332">
        <v>0.8</v>
      </c>
      <c r="L332" t="s">
        <v>13</v>
      </c>
    </row>
    <row r="333" spans="1:12" x14ac:dyDescent="0.3">
      <c r="A333">
        <v>23</v>
      </c>
      <c r="B333">
        <v>2025</v>
      </c>
      <c r="C333">
        <v>0.33</v>
      </c>
      <c r="D333">
        <v>0.48</v>
      </c>
      <c r="E333">
        <v>0.88</v>
      </c>
      <c r="F333">
        <v>0.6</v>
      </c>
      <c r="G333">
        <v>0.59</v>
      </c>
      <c r="H333">
        <v>0.52</v>
      </c>
      <c r="I333">
        <v>406</v>
      </c>
      <c r="J333">
        <v>9</v>
      </c>
      <c r="K333">
        <v>0.54</v>
      </c>
      <c r="L333" t="s">
        <v>12</v>
      </c>
    </row>
    <row r="334" spans="1:12" x14ac:dyDescent="0.3">
      <c r="A334">
        <v>40</v>
      </c>
      <c r="B334">
        <v>2025</v>
      </c>
      <c r="C334">
        <v>0.51</v>
      </c>
      <c r="D334">
        <v>0.54</v>
      </c>
      <c r="E334">
        <v>0.5</v>
      </c>
      <c r="F334">
        <v>0.89</v>
      </c>
      <c r="G334">
        <v>0.98</v>
      </c>
      <c r="H334">
        <v>0.22</v>
      </c>
      <c r="I334">
        <v>469</v>
      </c>
      <c r="J334">
        <v>14</v>
      </c>
      <c r="K334">
        <v>0.62</v>
      </c>
      <c r="L334" t="s">
        <v>12</v>
      </c>
    </row>
    <row r="335" spans="1:12" x14ac:dyDescent="0.3">
      <c r="A335">
        <v>41</v>
      </c>
      <c r="B335">
        <v>2025</v>
      </c>
      <c r="C335">
        <v>0.83</v>
      </c>
      <c r="D335">
        <v>0.77</v>
      </c>
      <c r="E335">
        <v>0.95</v>
      </c>
      <c r="F335">
        <v>0.93</v>
      </c>
      <c r="G335">
        <v>0.48</v>
      </c>
      <c r="H335">
        <v>0.27</v>
      </c>
      <c r="I335">
        <v>234</v>
      </c>
      <c r="J335">
        <v>15</v>
      </c>
      <c r="K335">
        <v>0.82</v>
      </c>
      <c r="L335" t="s">
        <v>13</v>
      </c>
    </row>
    <row r="336" spans="1:12" x14ac:dyDescent="0.3">
      <c r="A336">
        <v>47</v>
      </c>
      <c r="B336">
        <v>2024</v>
      </c>
      <c r="C336">
        <v>0.99</v>
      </c>
      <c r="D336">
        <v>0.85</v>
      </c>
      <c r="E336">
        <v>0.7</v>
      </c>
      <c r="F336">
        <v>0.84</v>
      </c>
      <c r="G336">
        <v>0.76</v>
      </c>
      <c r="H336">
        <v>0.08</v>
      </c>
      <c r="I336">
        <v>336</v>
      </c>
      <c r="J336">
        <v>9</v>
      </c>
      <c r="K336">
        <v>0.85</v>
      </c>
      <c r="L336" t="s">
        <v>13</v>
      </c>
    </row>
    <row r="337" spans="1:12" x14ac:dyDescent="0.3">
      <c r="A337">
        <v>74</v>
      </c>
      <c r="B337">
        <v>2023</v>
      </c>
      <c r="C337">
        <v>0.49</v>
      </c>
      <c r="D337">
        <v>0.71</v>
      </c>
      <c r="E337">
        <v>0.63</v>
      </c>
      <c r="F337">
        <v>0.85</v>
      </c>
      <c r="G337">
        <v>0.64</v>
      </c>
      <c r="H337">
        <v>0.36</v>
      </c>
      <c r="I337">
        <v>97</v>
      </c>
      <c r="J337">
        <v>19</v>
      </c>
      <c r="K337">
        <v>0.64</v>
      </c>
      <c r="L337" t="s">
        <v>12</v>
      </c>
    </row>
    <row r="338" spans="1:12" x14ac:dyDescent="0.3">
      <c r="A338">
        <v>25</v>
      </c>
      <c r="B338">
        <v>2023</v>
      </c>
      <c r="C338">
        <v>0.83</v>
      </c>
      <c r="D338">
        <v>0.46</v>
      </c>
      <c r="E338">
        <v>0.76</v>
      </c>
      <c r="F338">
        <v>0.8</v>
      </c>
      <c r="G338">
        <v>0.56000000000000005</v>
      </c>
      <c r="H338">
        <v>0.93</v>
      </c>
      <c r="I338">
        <v>137</v>
      </c>
      <c r="J338">
        <v>1</v>
      </c>
      <c r="K338">
        <v>0.69</v>
      </c>
      <c r="L338" t="s">
        <v>12</v>
      </c>
    </row>
    <row r="339" spans="1:12" x14ac:dyDescent="0.3">
      <c r="A339">
        <v>15</v>
      </c>
      <c r="B339">
        <v>2023</v>
      </c>
      <c r="C339">
        <v>0.86</v>
      </c>
      <c r="D339">
        <v>0.47</v>
      </c>
      <c r="E339">
        <v>0.56000000000000005</v>
      </c>
      <c r="F339">
        <v>0.94</v>
      </c>
      <c r="G339">
        <v>0.54</v>
      </c>
      <c r="H339">
        <v>0.03</v>
      </c>
      <c r="I339">
        <v>218</v>
      </c>
      <c r="J339">
        <v>8</v>
      </c>
      <c r="K339">
        <v>0.68</v>
      </c>
      <c r="L339" t="s">
        <v>12</v>
      </c>
    </row>
    <row r="340" spans="1:12" x14ac:dyDescent="0.3">
      <c r="A340">
        <v>13</v>
      </c>
      <c r="B340">
        <v>2024</v>
      </c>
      <c r="C340">
        <v>0.98</v>
      </c>
      <c r="D340">
        <v>0.91</v>
      </c>
      <c r="E340">
        <v>0.85</v>
      </c>
      <c r="F340">
        <v>0.89</v>
      </c>
      <c r="G340">
        <v>0.69</v>
      </c>
      <c r="H340">
        <v>0.95</v>
      </c>
      <c r="I340">
        <v>114</v>
      </c>
      <c r="J340">
        <v>16</v>
      </c>
      <c r="K340">
        <v>0.89</v>
      </c>
      <c r="L340" t="s">
        <v>13</v>
      </c>
    </row>
    <row r="341" spans="1:12" x14ac:dyDescent="0.3">
      <c r="A341">
        <v>67</v>
      </c>
      <c r="B341">
        <v>2022</v>
      </c>
      <c r="C341">
        <v>0.41</v>
      </c>
      <c r="D341">
        <v>0.87</v>
      </c>
      <c r="E341">
        <v>0.87</v>
      </c>
      <c r="F341">
        <v>0.75</v>
      </c>
      <c r="G341">
        <v>0.32</v>
      </c>
      <c r="H341">
        <v>0.84</v>
      </c>
      <c r="I341">
        <v>127</v>
      </c>
      <c r="J341">
        <v>0</v>
      </c>
      <c r="K341">
        <v>0.66</v>
      </c>
      <c r="L341" t="s">
        <v>12</v>
      </c>
    </row>
    <row r="342" spans="1:12" x14ac:dyDescent="0.3">
      <c r="A342">
        <v>14</v>
      </c>
      <c r="B342">
        <v>2022</v>
      </c>
      <c r="C342">
        <v>0.61</v>
      </c>
      <c r="D342">
        <v>0.54</v>
      </c>
      <c r="E342">
        <v>0.85</v>
      </c>
      <c r="F342">
        <v>0.93</v>
      </c>
      <c r="G342">
        <v>0.68</v>
      </c>
      <c r="H342">
        <v>0.97</v>
      </c>
      <c r="I342">
        <v>388</v>
      </c>
      <c r="J342">
        <v>0</v>
      </c>
      <c r="K342">
        <v>0.7</v>
      </c>
      <c r="L342" t="s">
        <v>12</v>
      </c>
    </row>
    <row r="343" spans="1:12" x14ac:dyDescent="0.3">
      <c r="A343">
        <v>69</v>
      </c>
      <c r="B343">
        <v>2023</v>
      </c>
      <c r="C343">
        <v>0.64</v>
      </c>
      <c r="D343">
        <v>0.47</v>
      </c>
      <c r="E343">
        <v>0.98</v>
      </c>
      <c r="F343">
        <v>0.89</v>
      </c>
      <c r="G343">
        <v>0.97</v>
      </c>
      <c r="H343">
        <v>0.23</v>
      </c>
      <c r="I343">
        <v>92</v>
      </c>
      <c r="J343">
        <v>9</v>
      </c>
      <c r="K343">
        <v>0.74</v>
      </c>
      <c r="L343" t="s">
        <v>13</v>
      </c>
    </row>
    <row r="344" spans="1:12" x14ac:dyDescent="0.3">
      <c r="A344">
        <v>89</v>
      </c>
      <c r="B344">
        <v>2024</v>
      </c>
      <c r="C344">
        <v>0.77</v>
      </c>
      <c r="D344">
        <v>0.78</v>
      </c>
      <c r="E344">
        <v>0.66</v>
      </c>
      <c r="F344">
        <v>0.93</v>
      </c>
      <c r="G344">
        <v>0.65</v>
      </c>
      <c r="H344">
        <v>7.0000000000000007E-2</v>
      </c>
      <c r="I344">
        <v>255</v>
      </c>
      <c r="J344">
        <v>2</v>
      </c>
      <c r="K344">
        <v>0.76</v>
      </c>
      <c r="L344" t="s">
        <v>13</v>
      </c>
    </row>
    <row r="345" spans="1:12" x14ac:dyDescent="0.3">
      <c r="A345">
        <v>16</v>
      </c>
      <c r="B345">
        <v>2023</v>
      </c>
      <c r="C345">
        <v>0.74</v>
      </c>
      <c r="D345">
        <v>0.55000000000000004</v>
      </c>
      <c r="E345">
        <v>0.57999999999999996</v>
      </c>
      <c r="F345">
        <v>0.67</v>
      </c>
      <c r="G345">
        <v>0.31</v>
      </c>
      <c r="H345">
        <v>0.39</v>
      </c>
      <c r="I345">
        <v>438</v>
      </c>
      <c r="J345">
        <v>11</v>
      </c>
      <c r="K345">
        <v>0.61</v>
      </c>
      <c r="L345" t="s">
        <v>12</v>
      </c>
    </row>
    <row r="346" spans="1:12" x14ac:dyDescent="0.3">
      <c r="A346">
        <v>17</v>
      </c>
      <c r="B346">
        <v>2021</v>
      </c>
      <c r="C346">
        <v>0.6</v>
      </c>
      <c r="D346">
        <v>0.93</v>
      </c>
      <c r="E346">
        <v>0.8</v>
      </c>
      <c r="F346">
        <v>0.7</v>
      </c>
      <c r="G346">
        <v>0.55000000000000004</v>
      </c>
      <c r="H346">
        <v>0.08</v>
      </c>
      <c r="I346">
        <v>68</v>
      </c>
      <c r="J346">
        <v>4</v>
      </c>
      <c r="K346">
        <v>0.73</v>
      </c>
      <c r="L346" t="s">
        <v>13</v>
      </c>
    </row>
    <row r="347" spans="1:12" x14ac:dyDescent="0.3">
      <c r="A347">
        <v>66</v>
      </c>
      <c r="B347">
        <v>2024</v>
      </c>
      <c r="C347">
        <v>0.99</v>
      </c>
      <c r="D347">
        <v>0.87</v>
      </c>
      <c r="E347">
        <v>0.87</v>
      </c>
      <c r="F347">
        <v>0.65</v>
      </c>
      <c r="G347">
        <v>0.85</v>
      </c>
      <c r="H347">
        <v>0.79</v>
      </c>
      <c r="I347">
        <v>297</v>
      </c>
      <c r="J347">
        <v>19</v>
      </c>
      <c r="K347">
        <v>0.87</v>
      </c>
      <c r="L347" t="s">
        <v>13</v>
      </c>
    </row>
    <row r="348" spans="1:12" x14ac:dyDescent="0.3">
      <c r="A348">
        <v>29</v>
      </c>
      <c r="B348">
        <v>2022</v>
      </c>
      <c r="C348">
        <v>0.96</v>
      </c>
      <c r="D348">
        <v>0.95</v>
      </c>
      <c r="E348">
        <v>0.51</v>
      </c>
      <c r="F348">
        <v>0.78</v>
      </c>
      <c r="G348">
        <v>0.98</v>
      </c>
      <c r="H348">
        <v>0.1</v>
      </c>
      <c r="I348">
        <v>107</v>
      </c>
      <c r="J348">
        <v>4</v>
      </c>
      <c r="K348">
        <v>0.84</v>
      </c>
      <c r="L348" t="s">
        <v>13</v>
      </c>
    </row>
    <row r="349" spans="1:12" x14ac:dyDescent="0.3">
      <c r="A349">
        <v>28</v>
      </c>
      <c r="B349">
        <v>2021</v>
      </c>
      <c r="C349">
        <v>0.82</v>
      </c>
      <c r="D349">
        <v>0.82</v>
      </c>
      <c r="E349">
        <v>0.71</v>
      </c>
      <c r="F349">
        <v>0.74</v>
      </c>
      <c r="G349">
        <v>0.57999999999999996</v>
      </c>
      <c r="H349">
        <v>0.26</v>
      </c>
      <c r="I349">
        <v>315</v>
      </c>
      <c r="J349">
        <v>1</v>
      </c>
      <c r="K349">
        <v>0.76</v>
      </c>
      <c r="L349" t="s">
        <v>13</v>
      </c>
    </row>
    <row r="350" spans="1:12" x14ac:dyDescent="0.3">
      <c r="A350">
        <v>89</v>
      </c>
      <c r="B350">
        <v>2023</v>
      </c>
      <c r="C350">
        <v>0.49</v>
      </c>
      <c r="D350">
        <v>0.56999999999999995</v>
      </c>
      <c r="E350">
        <v>0.83</v>
      </c>
      <c r="F350">
        <v>0.99</v>
      </c>
      <c r="G350">
        <v>0.72</v>
      </c>
      <c r="H350">
        <v>0.08</v>
      </c>
      <c r="I350">
        <v>206</v>
      </c>
      <c r="J350">
        <v>14</v>
      </c>
      <c r="K350">
        <v>0.68</v>
      </c>
      <c r="L350" t="s">
        <v>12</v>
      </c>
    </row>
    <row r="351" spans="1:12" x14ac:dyDescent="0.3">
      <c r="A351">
        <v>20</v>
      </c>
      <c r="B351">
        <v>2023</v>
      </c>
      <c r="C351">
        <v>0.6</v>
      </c>
      <c r="D351">
        <v>0.82</v>
      </c>
      <c r="E351">
        <v>0.73</v>
      </c>
      <c r="F351">
        <v>0.64</v>
      </c>
      <c r="G351">
        <v>0.69</v>
      </c>
      <c r="H351">
        <v>0.64</v>
      </c>
      <c r="I351">
        <v>455</v>
      </c>
      <c r="J351">
        <v>2</v>
      </c>
      <c r="K351">
        <v>0.7</v>
      </c>
      <c r="L351" t="s">
        <v>12</v>
      </c>
    </row>
    <row r="352" spans="1:12" x14ac:dyDescent="0.3">
      <c r="A352">
        <v>6</v>
      </c>
      <c r="B352">
        <v>2023</v>
      </c>
      <c r="C352">
        <v>0.77</v>
      </c>
      <c r="D352">
        <v>0.82</v>
      </c>
      <c r="E352">
        <v>0.81</v>
      </c>
      <c r="F352">
        <v>0.73</v>
      </c>
      <c r="G352">
        <v>0.49</v>
      </c>
      <c r="H352">
        <v>0.6</v>
      </c>
      <c r="I352">
        <v>462</v>
      </c>
      <c r="J352">
        <v>3</v>
      </c>
      <c r="K352">
        <v>0.76</v>
      </c>
      <c r="L352" t="s">
        <v>13</v>
      </c>
    </row>
    <row r="353" spans="1:12" x14ac:dyDescent="0.3">
      <c r="A353">
        <v>65</v>
      </c>
      <c r="B353">
        <v>2023</v>
      </c>
      <c r="C353">
        <v>0.37</v>
      </c>
      <c r="D353">
        <v>0.49</v>
      </c>
      <c r="E353">
        <v>0.97</v>
      </c>
      <c r="F353">
        <v>0.89</v>
      </c>
      <c r="G353">
        <v>0.92</v>
      </c>
      <c r="H353">
        <v>0.2</v>
      </c>
      <c r="I353">
        <v>327</v>
      </c>
      <c r="J353">
        <v>3</v>
      </c>
      <c r="K353">
        <v>0.65</v>
      </c>
      <c r="L353" t="s">
        <v>12</v>
      </c>
    </row>
    <row r="354" spans="1:12" x14ac:dyDescent="0.3">
      <c r="A354">
        <v>98</v>
      </c>
      <c r="B354">
        <v>2021</v>
      </c>
      <c r="C354">
        <v>0.34</v>
      </c>
      <c r="D354">
        <v>0.78</v>
      </c>
      <c r="E354">
        <v>0.69</v>
      </c>
      <c r="F354">
        <v>0.97</v>
      </c>
      <c r="G354">
        <v>0.68</v>
      </c>
      <c r="H354">
        <v>0.94</v>
      </c>
      <c r="I354">
        <v>187</v>
      </c>
      <c r="J354">
        <v>3</v>
      </c>
      <c r="K354">
        <v>0.65</v>
      </c>
      <c r="L354" t="s">
        <v>12</v>
      </c>
    </row>
    <row r="355" spans="1:12" x14ac:dyDescent="0.3">
      <c r="A355">
        <v>73</v>
      </c>
      <c r="B355">
        <v>2025</v>
      </c>
      <c r="C355">
        <v>0.73</v>
      </c>
      <c r="D355">
        <v>0.84</v>
      </c>
      <c r="E355">
        <v>0.61</v>
      </c>
      <c r="F355">
        <v>0.87</v>
      </c>
      <c r="G355">
        <v>0.65</v>
      </c>
      <c r="H355">
        <v>0.74</v>
      </c>
      <c r="I355">
        <v>227</v>
      </c>
      <c r="J355">
        <v>2</v>
      </c>
      <c r="K355">
        <v>0.75</v>
      </c>
      <c r="L355" t="s">
        <v>13</v>
      </c>
    </row>
    <row r="356" spans="1:12" x14ac:dyDescent="0.3">
      <c r="A356">
        <v>85</v>
      </c>
      <c r="B356">
        <v>2021</v>
      </c>
      <c r="C356">
        <v>0.6</v>
      </c>
      <c r="D356">
        <v>0.56000000000000005</v>
      </c>
      <c r="E356">
        <v>0.72</v>
      </c>
      <c r="F356">
        <v>0.89</v>
      </c>
      <c r="G356">
        <v>0.31</v>
      </c>
      <c r="H356">
        <v>0.59</v>
      </c>
      <c r="I356">
        <v>322</v>
      </c>
      <c r="J356">
        <v>10</v>
      </c>
      <c r="K356">
        <v>0.63</v>
      </c>
      <c r="L356" t="s">
        <v>12</v>
      </c>
    </row>
    <row r="357" spans="1:12" x14ac:dyDescent="0.3">
      <c r="A357">
        <v>41</v>
      </c>
      <c r="B357">
        <v>2022</v>
      </c>
      <c r="C357">
        <v>0.79</v>
      </c>
      <c r="D357">
        <v>0.52</v>
      </c>
      <c r="E357">
        <v>0.83</v>
      </c>
      <c r="F357">
        <v>0.93</v>
      </c>
      <c r="G357">
        <v>0.34</v>
      </c>
      <c r="H357">
        <v>0.91</v>
      </c>
      <c r="I357">
        <v>112</v>
      </c>
      <c r="J357">
        <v>0</v>
      </c>
      <c r="K357">
        <v>0.71</v>
      </c>
      <c r="L357" t="s">
        <v>13</v>
      </c>
    </row>
    <row r="358" spans="1:12" x14ac:dyDescent="0.3">
      <c r="A358">
        <v>69</v>
      </c>
      <c r="B358">
        <v>2023</v>
      </c>
      <c r="C358">
        <v>0.47</v>
      </c>
      <c r="D358">
        <v>0.44</v>
      </c>
      <c r="E358">
        <v>0.73</v>
      </c>
      <c r="F358">
        <v>0.89</v>
      </c>
      <c r="G358">
        <v>0.72</v>
      </c>
      <c r="H358">
        <v>0.67</v>
      </c>
      <c r="I358">
        <v>387</v>
      </c>
      <c r="J358">
        <v>15</v>
      </c>
      <c r="K358">
        <v>0.6</v>
      </c>
      <c r="L358" t="s">
        <v>12</v>
      </c>
    </row>
    <row r="359" spans="1:12" x14ac:dyDescent="0.3">
      <c r="A359">
        <v>10</v>
      </c>
      <c r="B359">
        <v>2022</v>
      </c>
      <c r="C359">
        <v>0.86</v>
      </c>
      <c r="D359">
        <v>0.89</v>
      </c>
      <c r="E359">
        <v>0.97</v>
      </c>
      <c r="F359">
        <v>0.82</v>
      </c>
      <c r="G359">
        <v>0.44</v>
      </c>
      <c r="H359">
        <v>0.62</v>
      </c>
      <c r="I359">
        <v>370</v>
      </c>
      <c r="J359">
        <v>13</v>
      </c>
      <c r="K359">
        <v>0.84</v>
      </c>
      <c r="L359" t="s">
        <v>13</v>
      </c>
    </row>
    <row r="360" spans="1:12" x14ac:dyDescent="0.3">
      <c r="A360">
        <v>8</v>
      </c>
      <c r="B360">
        <v>2023</v>
      </c>
      <c r="C360">
        <v>0.84</v>
      </c>
      <c r="D360">
        <v>0.66</v>
      </c>
      <c r="E360">
        <v>0.6</v>
      </c>
      <c r="F360">
        <v>0.92</v>
      </c>
      <c r="G360">
        <v>0.53</v>
      </c>
      <c r="H360">
        <v>0.87</v>
      </c>
      <c r="I360">
        <v>402</v>
      </c>
      <c r="J360">
        <v>4</v>
      </c>
      <c r="K360">
        <v>0.73</v>
      </c>
      <c r="L360" t="s">
        <v>13</v>
      </c>
    </row>
    <row r="361" spans="1:12" x14ac:dyDescent="0.3">
      <c r="A361">
        <v>9</v>
      </c>
      <c r="B361">
        <v>2022</v>
      </c>
      <c r="C361">
        <v>0.85</v>
      </c>
      <c r="D361">
        <v>0.67</v>
      </c>
      <c r="E361">
        <v>0.82</v>
      </c>
      <c r="F361">
        <v>0.7</v>
      </c>
      <c r="G361">
        <v>0.79</v>
      </c>
      <c r="H361">
        <v>0.43</v>
      </c>
      <c r="I361">
        <v>469</v>
      </c>
      <c r="J361">
        <v>17</v>
      </c>
      <c r="K361">
        <v>0.77</v>
      </c>
      <c r="L361" t="s">
        <v>13</v>
      </c>
    </row>
    <row r="362" spans="1:12" x14ac:dyDescent="0.3">
      <c r="A362">
        <v>37</v>
      </c>
      <c r="B362">
        <v>2024</v>
      </c>
      <c r="C362">
        <v>0.59</v>
      </c>
      <c r="D362">
        <v>0.7</v>
      </c>
      <c r="E362">
        <v>0.89</v>
      </c>
      <c r="F362">
        <v>0.84</v>
      </c>
      <c r="G362">
        <v>0.44</v>
      </c>
      <c r="H362">
        <v>0.59</v>
      </c>
      <c r="I362">
        <v>184</v>
      </c>
      <c r="J362">
        <v>10</v>
      </c>
      <c r="K362">
        <v>0.7</v>
      </c>
      <c r="L362" t="s">
        <v>12</v>
      </c>
    </row>
    <row r="363" spans="1:12" x14ac:dyDescent="0.3">
      <c r="A363">
        <v>54</v>
      </c>
      <c r="B363">
        <v>2024</v>
      </c>
      <c r="C363">
        <v>0.45</v>
      </c>
      <c r="D363">
        <v>0.56999999999999995</v>
      </c>
      <c r="E363">
        <v>0.86</v>
      </c>
      <c r="F363">
        <v>0.6</v>
      </c>
      <c r="G363">
        <v>0.59</v>
      </c>
      <c r="H363">
        <v>0.92</v>
      </c>
      <c r="I363">
        <v>390</v>
      </c>
      <c r="J363">
        <v>15</v>
      </c>
      <c r="K363">
        <v>0.6</v>
      </c>
      <c r="L363" t="s">
        <v>12</v>
      </c>
    </row>
    <row r="364" spans="1:12" x14ac:dyDescent="0.3">
      <c r="A364">
        <v>29</v>
      </c>
      <c r="B364">
        <v>2025</v>
      </c>
      <c r="C364">
        <v>0.85</v>
      </c>
      <c r="D364">
        <v>0.97</v>
      </c>
      <c r="E364">
        <v>0.87</v>
      </c>
      <c r="F364">
        <v>0.89</v>
      </c>
      <c r="G364">
        <v>0.88</v>
      </c>
      <c r="H364">
        <v>0.45</v>
      </c>
      <c r="I364">
        <v>118</v>
      </c>
      <c r="J364">
        <v>0</v>
      </c>
      <c r="K364">
        <v>0.89</v>
      </c>
      <c r="L364" t="s">
        <v>13</v>
      </c>
    </row>
    <row r="365" spans="1:12" x14ac:dyDescent="0.3">
      <c r="A365">
        <v>68</v>
      </c>
      <c r="B365">
        <v>2024</v>
      </c>
      <c r="C365">
        <v>0.47</v>
      </c>
      <c r="D365">
        <v>0.71</v>
      </c>
      <c r="E365">
        <v>0.77</v>
      </c>
      <c r="F365">
        <v>0.74</v>
      </c>
      <c r="G365">
        <v>0.55000000000000004</v>
      </c>
      <c r="H365">
        <v>0.83</v>
      </c>
      <c r="I365">
        <v>202</v>
      </c>
      <c r="J365">
        <v>12</v>
      </c>
      <c r="K365">
        <v>0.64</v>
      </c>
      <c r="L365" t="s">
        <v>12</v>
      </c>
    </row>
    <row r="366" spans="1:12" x14ac:dyDescent="0.3">
      <c r="A366">
        <v>55</v>
      </c>
      <c r="B366">
        <v>2025</v>
      </c>
      <c r="C366">
        <v>0.53</v>
      </c>
      <c r="D366">
        <v>0.61</v>
      </c>
      <c r="E366">
        <v>0.75</v>
      </c>
      <c r="F366">
        <v>0.98</v>
      </c>
      <c r="G366">
        <v>0.91</v>
      </c>
      <c r="H366">
        <v>0.1</v>
      </c>
      <c r="I366">
        <v>186</v>
      </c>
      <c r="J366">
        <v>5</v>
      </c>
      <c r="K366">
        <v>0.7</v>
      </c>
      <c r="L366" t="s">
        <v>12</v>
      </c>
    </row>
    <row r="367" spans="1:12" x14ac:dyDescent="0.3">
      <c r="A367">
        <v>35</v>
      </c>
      <c r="B367">
        <v>2021</v>
      </c>
      <c r="C367">
        <v>0.9</v>
      </c>
      <c r="D367">
        <v>0.81</v>
      </c>
      <c r="E367">
        <v>0.92</v>
      </c>
      <c r="F367">
        <v>0.94</v>
      </c>
      <c r="G367">
        <v>0.82</v>
      </c>
      <c r="H367">
        <v>0.44</v>
      </c>
      <c r="I367">
        <v>263</v>
      </c>
      <c r="J367">
        <v>8</v>
      </c>
      <c r="K367">
        <v>0.88</v>
      </c>
      <c r="L367" t="s">
        <v>13</v>
      </c>
    </row>
    <row r="368" spans="1:12" x14ac:dyDescent="0.3">
      <c r="A368">
        <v>29</v>
      </c>
      <c r="B368">
        <v>2025</v>
      </c>
      <c r="C368">
        <v>0.59</v>
      </c>
      <c r="D368">
        <v>0.83</v>
      </c>
      <c r="E368">
        <v>0.69</v>
      </c>
      <c r="F368">
        <v>0.8</v>
      </c>
      <c r="G368">
        <v>0.6</v>
      </c>
      <c r="H368">
        <v>0.74</v>
      </c>
      <c r="I368">
        <v>134</v>
      </c>
      <c r="J368">
        <v>1</v>
      </c>
      <c r="K368">
        <v>0.7</v>
      </c>
      <c r="L368" t="s">
        <v>12</v>
      </c>
    </row>
    <row r="369" spans="1:12" x14ac:dyDescent="0.3">
      <c r="A369">
        <v>6</v>
      </c>
      <c r="B369">
        <v>2024</v>
      </c>
      <c r="C369">
        <v>0.66</v>
      </c>
      <c r="D369">
        <v>0.5</v>
      </c>
      <c r="E369">
        <v>0.54</v>
      </c>
      <c r="F369">
        <v>0.61</v>
      </c>
      <c r="G369">
        <v>0.42</v>
      </c>
      <c r="H369">
        <v>0.89</v>
      </c>
      <c r="I369">
        <v>171</v>
      </c>
      <c r="J369">
        <v>9</v>
      </c>
      <c r="K369">
        <v>0.56000000000000005</v>
      </c>
      <c r="L369" t="s">
        <v>12</v>
      </c>
    </row>
    <row r="370" spans="1:12" x14ac:dyDescent="0.3">
      <c r="A370">
        <v>36</v>
      </c>
      <c r="B370">
        <v>2022</v>
      </c>
      <c r="C370">
        <v>0.66</v>
      </c>
      <c r="D370">
        <v>0.76</v>
      </c>
      <c r="E370">
        <v>0.62</v>
      </c>
      <c r="F370">
        <v>0.62</v>
      </c>
      <c r="G370">
        <v>0.56999999999999995</v>
      </c>
      <c r="H370">
        <v>0.23</v>
      </c>
      <c r="I370">
        <v>448</v>
      </c>
      <c r="J370">
        <v>7</v>
      </c>
      <c r="K370">
        <v>0.66</v>
      </c>
      <c r="L370" t="s">
        <v>12</v>
      </c>
    </row>
    <row r="371" spans="1:12" x14ac:dyDescent="0.3">
      <c r="A371">
        <v>9</v>
      </c>
      <c r="B371">
        <v>2021</v>
      </c>
      <c r="C371">
        <v>0.6</v>
      </c>
      <c r="D371">
        <v>0.72</v>
      </c>
      <c r="E371">
        <v>0.85</v>
      </c>
      <c r="F371">
        <v>0.88</v>
      </c>
      <c r="G371">
        <v>0.42</v>
      </c>
      <c r="H371">
        <v>0.5</v>
      </c>
      <c r="I371">
        <v>190</v>
      </c>
      <c r="J371">
        <v>0</v>
      </c>
      <c r="K371">
        <v>0.7</v>
      </c>
      <c r="L371" t="s">
        <v>12</v>
      </c>
    </row>
    <row r="372" spans="1:12" x14ac:dyDescent="0.3">
      <c r="A372">
        <v>34</v>
      </c>
      <c r="B372">
        <v>2025</v>
      </c>
      <c r="C372">
        <v>0.67</v>
      </c>
      <c r="D372">
        <v>0.47</v>
      </c>
      <c r="E372">
        <v>0.8</v>
      </c>
      <c r="F372">
        <v>0.65</v>
      </c>
      <c r="G372">
        <v>0.54</v>
      </c>
      <c r="H372">
        <v>0.14000000000000001</v>
      </c>
      <c r="I372">
        <v>331</v>
      </c>
      <c r="J372">
        <v>16</v>
      </c>
      <c r="K372">
        <v>0.63</v>
      </c>
      <c r="L372" t="s">
        <v>12</v>
      </c>
    </row>
    <row r="373" spans="1:12" x14ac:dyDescent="0.3">
      <c r="A373">
        <v>71</v>
      </c>
      <c r="B373">
        <v>2025</v>
      </c>
      <c r="C373">
        <v>0.56999999999999995</v>
      </c>
      <c r="D373">
        <v>0.94</v>
      </c>
      <c r="E373">
        <v>0.6</v>
      </c>
      <c r="F373">
        <v>0.8</v>
      </c>
      <c r="G373">
        <v>0.59</v>
      </c>
      <c r="H373">
        <v>0.02</v>
      </c>
      <c r="I373">
        <v>66</v>
      </c>
      <c r="J373">
        <v>10</v>
      </c>
      <c r="K373">
        <v>0.7</v>
      </c>
      <c r="L373" t="s">
        <v>12</v>
      </c>
    </row>
    <row r="374" spans="1:12" x14ac:dyDescent="0.3">
      <c r="A374">
        <v>25</v>
      </c>
      <c r="B374">
        <v>2023</v>
      </c>
      <c r="C374">
        <v>0.63</v>
      </c>
      <c r="D374">
        <v>0.74</v>
      </c>
      <c r="E374">
        <v>0.81</v>
      </c>
      <c r="F374">
        <v>0.88</v>
      </c>
      <c r="G374">
        <v>0.48</v>
      </c>
      <c r="H374">
        <v>0.01</v>
      </c>
      <c r="I374">
        <v>205</v>
      </c>
      <c r="J374">
        <v>8</v>
      </c>
      <c r="K374">
        <v>0.72</v>
      </c>
      <c r="L374" t="s">
        <v>13</v>
      </c>
    </row>
    <row r="375" spans="1:12" x14ac:dyDescent="0.3">
      <c r="A375">
        <v>56</v>
      </c>
      <c r="B375">
        <v>2021</v>
      </c>
      <c r="C375">
        <v>0.63</v>
      </c>
      <c r="D375">
        <v>0.92</v>
      </c>
      <c r="E375">
        <v>0.6</v>
      </c>
      <c r="F375">
        <v>0.65</v>
      </c>
      <c r="G375">
        <v>0.5</v>
      </c>
      <c r="H375">
        <v>0.53</v>
      </c>
      <c r="I375">
        <v>462</v>
      </c>
      <c r="J375">
        <v>18</v>
      </c>
      <c r="K375">
        <v>0.69</v>
      </c>
      <c r="L375" t="s">
        <v>12</v>
      </c>
    </row>
    <row r="376" spans="1:12" x14ac:dyDescent="0.3">
      <c r="A376">
        <v>19</v>
      </c>
      <c r="B376">
        <v>2022</v>
      </c>
      <c r="C376">
        <v>0.57999999999999996</v>
      </c>
      <c r="D376">
        <v>0.69</v>
      </c>
      <c r="E376">
        <v>0.51</v>
      </c>
      <c r="F376">
        <v>0.76</v>
      </c>
      <c r="G376">
        <v>0.75</v>
      </c>
      <c r="H376">
        <v>0.02</v>
      </c>
      <c r="I376">
        <v>433</v>
      </c>
      <c r="J376">
        <v>15</v>
      </c>
      <c r="K376">
        <v>0.64</v>
      </c>
      <c r="L376" t="s">
        <v>12</v>
      </c>
    </row>
    <row r="377" spans="1:12" x14ac:dyDescent="0.3">
      <c r="A377">
        <v>66</v>
      </c>
      <c r="B377">
        <v>2024</v>
      </c>
      <c r="C377">
        <v>0.43</v>
      </c>
      <c r="D377">
        <v>0.85</v>
      </c>
      <c r="E377">
        <v>0.92</v>
      </c>
      <c r="F377">
        <v>0.82</v>
      </c>
      <c r="G377">
        <v>0.99</v>
      </c>
      <c r="H377">
        <v>0.45</v>
      </c>
      <c r="I377">
        <v>382</v>
      </c>
      <c r="J377">
        <v>12</v>
      </c>
      <c r="K377">
        <v>0.75</v>
      </c>
      <c r="L377" t="s">
        <v>13</v>
      </c>
    </row>
    <row r="378" spans="1:12" x14ac:dyDescent="0.3">
      <c r="A378">
        <v>79</v>
      </c>
      <c r="B378">
        <v>2024</v>
      </c>
      <c r="C378">
        <v>1</v>
      </c>
      <c r="D378">
        <v>0.74</v>
      </c>
      <c r="E378">
        <v>0.66</v>
      </c>
      <c r="F378">
        <v>0.69</v>
      </c>
      <c r="G378">
        <v>0.55000000000000004</v>
      </c>
      <c r="H378">
        <v>0.37</v>
      </c>
      <c r="I378">
        <v>108</v>
      </c>
      <c r="J378">
        <v>3</v>
      </c>
      <c r="K378">
        <v>0.78</v>
      </c>
      <c r="L378" t="s">
        <v>13</v>
      </c>
    </row>
    <row r="379" spans="1:12" x14ac:dyDescent="0.3">
      <c r="A379">
        <v>60</v>
      </c>
      <c r="B379">
        <v>2024</v>
      </c>
      <c r="C379">
        <v>0.33</v>
      </c>
      <c r="D379">
        <v>0.61</v>
      </c>
      <c r="E379">
        <v>0.96</v>
      </c>
      <c r="F379">
        <v>0.75</v>
      </c>
      <c r="G379">
        <v>0.88</v>
      </c>
      <c r="H379">
        <v>0.84</v>
      </c>
      <c r="I379">
        <v>442</v>
      </c>
      <c r="J379">
        <v>1</v>
      </c>
      <c r="K379">
        <v>0.64</v>
      </c>
      <c r="L379" t="s">
        <v>12</v>
      </c>
    </row>
    <row r="380" spans="1:12" x14ac:dyDescent="0.3">
      <c r="A380">
        <v>61</v>
      </c>
      <c r="B380">
        <v>2021</v>
      </c>
      <c r="C380">
        <v>0.71</v>
      </c>
      <c r="D380">
        <v>0.66</v>
      </c>
      <c r="E380">
        <v>0.77</v>
      </c>
      <c r="F380">
        <v>0.81</v>
      </c>
      <c r="G380">
        <v>0.55000000000000004</v>
      </c>
      <c r="H380">
        <v>0.68</v>
      </c>
      <c r="I380">
        <v>258</v>
      </c>
      <c r="J380">
        <v>2</v>
      </c>
      <c r="K380">
        <v>0.71</v>
      </c>
      <c r="L380" t="s">
        <v>13</v>
      </c>
    </row>
    <row r="381" spans="1:12" x14ac:dyDescent="0.3">
      <c r="A381">
        <v>83</v>
      </c>
      <c r="B381">
        <v>2024</v>
      </c>
      <c r="C381">
        <v>0.82</v>
      </c>
      <c r="D381">
        <v>0.5</v>
      </c>
      <c r="E381">
        <v>0.6</v>
      </c>
      <c r="F381">
        <v>0.96</v>
      </c>
      <c r="G381">
        <v>0.82</v>
      </c>
      <c r="H381">
        <v>0.91</v>
      </c>
      <c r="I381">
        <v>264</v>
      </c>
      <c r="J381">
        <v>2</v>
      </c>
      <c r="K381">
        <v>0.72</v>
      </c>
      <c r="L381" t="s">
        <v>13</v>
      </c>
    </row>
    <row r="382" spans="1:12" x14ac:dyDescent="0.3">
      <c r="A382">
        <v>21</v>
      </c>
      <c r="B382">
        <v>2022</v>
      </c>
      <c r="C382">
        <v>0.92</v>
      </c>
      <c r="D382">
        <v>0.75</v>
      </c>
      <c r="E382">
        <v>0.82</v>
      </c>
      <c r="F382">
        <v>0.66</v>
      </c>
      <c r="G382">
        <v>0.63</v>
      </c>
      <c r="H382">
        <v>0.72</v>
      </c>
      <c r="I382">
        <v>103</v>
      </c>
      <c r="J382">
        <v>15</v>
      </c>
      <c r="K382">
        <v>0.79</v>
      </c>
      <c r="L382" t="s">
        <v>13</v>
      </c>
    </row>
    <row r="383" spans="1:12" x14ac:dyDescent="0.3">
      <c r="A383">
        <v>8</v>
      </c>
      <c r="B383">
        <v>2023</v>
      </c>
      <c r="C383">
        <v>0.43</v>
      </c>
      <c r="D383">
        <v>0.76</v>
      </c>
      <c r="E383">
        <v>0.93</v>
      </c>
      <c r="F383">
        <v>0.95</v>
      </c>
      <c r="G383">
        <v>0.81</v>
      </c>
      <c r="H383">
        <v>0.75</v>
      </c>
      <c r="I383">
        <v>385</v>
      </c>
      <c r="J383">
        <v>16</v>
      </c>
      <c r="K383">
        <v>0.73</v>
      </c>
      <c r="L383" t="s">
        <v>13</v>
      </c>
    </row>
    <row r="384" spans="1:12" x14ac:dyDescent="0.3">
      <c r="A384">
        <v>90</v>
      </c>
      <c r="B384">
        <v>2022</v>
      </c>
      <c r="C384">
        <v>0.39</v>
      </c>
      <c r="D384">
        <v>0.67</v>
      </c>
      <c r="E384">
        <v>0.73</v>
      </c>
      <c r="F384">
        <v>0.98</v>
      </c>
      <c r="G384">
        <v>0.6</v>
      </c>
      <c r="H384">
        <v>0.55000000000000004</v>
      </c>
      <c r="I384">
        <v>288</v>
      </c>
      <c r="J384">
        <v>2</v>
      </c>
      <c r="K384">
        <v>0.64</v>
      </c>
      <c r="L384" t="s">
        <v>12</v>
      </c>
    </row>
    <row r="385" spans="1:12" x14ac:dyDescent="0.3">
      <c r="A385">
        <v>38</v>
      </c>
      <c r="B385">
        <v>2023</v>
      </c>
      <c r="C385">
        <v>0.75</v>
      </c>
      <c r="D385">
        <v>0.59</v>
      </c>
      <c r="E385">
        <v>0.63</v>
      </c>
      <c r="F385">
        <v>0.68</v>
      </c>
      <c r="G385">
        <v>0.79</v>
      </c>
      <c r="H385">
        <v>0.22</v>
      </c>
      <c r="I385">
        <v>405</v>
      </c>
      <c r="J385">
        <v>6</v>
      </c>
      <c r="K385">
        <v>0.68</v>
      </c>
      <c r="L385" t="s">
        <v>12</v>
      </c>
    </row>
    <row r="386" spans="1:12" x14ac:dyDescent="0.3">
      <c r="A386">
        <v>22</v>
      </c>
      <c r="B386">
        <v>2022</v>
      </c>
      <c r="C386">
        <v>0.76</v>
      </c>
      <c r="D386">
        <v>0.89</v>
      </c>
      <c r="E386">
        <v>0.89</v>
      </c>
      <c r="F386">
        <v>0.9</v>
      </c>
      <c r="G386">
        <v>0.43</v>
      </c>
      <c r="H386">
        <v>0.09</v>
      </c>
      <c r="I386">
        <v>406</v>
      </c>
      <c r="J386">
        <v>19</v>
      </c>
      <c r="K386">
        <v>0.81</v>
      </c>
      <c r="L386" t="s">
        <v>13</v>
      </c>
    </row>
    <row r="387" spans="1:12" x14ac:dyDescent="0.3">
      <c r="A387">
        <v>76</v>
      </c>
      <c r="B387">
        <v>2021</v>
      </c>
      <c r="C387">
        <v>0.6</v>
      </c>
      <c r="D387">
        <v>0.42</v>
      </c>
      <c r="E387">
        <v>0.63</v>
      </c>
      <c r="F387">
        <v>0.61</v>
      </c>
      <c r="G387">
        <v>0.92</v>
      </c>
      <c r="H387">
        <v>0.24</v>
      </c>
      <c r="I387">
        <v>54</v>
      </c>
      <c r="J387">
        <v>13</v>
      </c>
      <c r="K387">
        <v>0.59</v>
      </c>
      <c r="L387" t="s">
        <v>12</v>
      </c>
    </row>
    <row r="388" spans="1:12" x14ac:dyDescent="0.3">
      <c r="A388">
        <v>50</v>
      </c>
      <c r="B388">
        <v>2021</v>
      </c>
      <c r="C388">
        <v>0.93</v>
      </c>
      <c r="D388">
        <v>0.93</v>
      </c>
      <c r="E388">
        <v>0.66</v>
      </c>
      <c r="F388">
        <v>0.96</v>
      </c>
      <c r="G388">
        <v>1</v>
      </c>
      <c r="H388">
        <v>0.83</v>
      </c>
      <c r="I388">
        <v>307</v>
      </c>
      <c r="J388">
        <v>7</v>
      </c>
      <c r="K388">
        <v>0.89</v>
      </c>
      <c r="L388" t="s">
        <v>13</v>
      </c>
    </row>
    <row r="389" spans="1:12" x14ac:dyDescent="0.3">
      <c r="A389">
        <v>75</v>
      </c>
      <c r="B389">
        <v>2021</v>
      </c>
      <c r="C389">
        <v>0.7</v>
      </c>
      <c r="D389">
        <v>0.44</v>
      </c>
      <c r="E389">
        <v>0.55000000000000004</v>
      </c>
      <c r="F389">
        <v>1</v>
      </c>
      <c r="G389">
        <v>0.53</v>
      </c>
      <c r="H389">
        <v>0.75</v>
      </c>
      <c r="I389">
        <v>110</v>
      </c>
      <c r="J389">
        <v>9</v>
      </c>
      <c r="K389">
        <v>0.63</v>
      </c>
      <c r="L389" t="s">
        <v>12</v>
      </c>
    </row>
    <row r="390" spans="1:12" x14ac:dyDescent="0.3">
      <c r="A390">
        <v>67</v>
      </c>
      <c r="B390">
        <v>2025</v>
      </c>
      <c r="C390">
        <v>0.63</v>
      </c>
      <c r="D390">
        <v>0.74</v>
      </c>
      <c r="E390">
        <v>0.65</v>
      </c>
      <c r="F390">
        <v>0.73</v>
      </c>
      <c r="G390">
        <v>0.97</v>
      </c>
      <c r="H390">
        <v>0.89</v>
      </c>
      <c r="I390">
        <v>454</v>
      </c>
      <c r="J390">
        <v>18</v>
      </c>
      <c r="K390">
        <v>0.71</v>
      </c>
      <c r="L390" t="s">
        <v>13</v>
      </c>
    </row>
    <row r="391" spans="1:12" x14ac:dyDescent="0.3">
      <c r="A391">
        <v>54</v>
      </c>
      <c r="B391">
        <v>2023</v>
      </c>
      <c r="C391">
        <v>0.31</v>
      </c>
      <c r="D391">
        <v>0.45</v>
      </c>
      <c r="E391">
        <v>0.66</v>
      </c>
      <c r="F391">
        <v>0.61</v>
      </c>
      <c r="G391">
        <v>0.31</v>
      </c>
      <c r="H391">
        <v>0.92</v>
      </c>
      <c r="I391">
        <v>482</v>
      </c>
      <c r="J391">
        <v>3</v>
      </c>
      <c r="K391">
        <v>0.46</v>
      </c>
      <c r="L391" t="s">
        <v>12</v>
      </c>
    </row>
    <row r="392" spans="1:12" x14ac:dyDescent="0.3">
      <c r="A392">
        <v>32</v>
      </c>
      <c r="B392">
        <v>2023</v>
      </c>
      <c r="C392">
        <v>0.3</v>
      </c>
      <c r="D392">
        <v>0.96</v>
      </c>
      <c r="E392">
        <v>0.71</v>
      </c>
      <c r="F392">
        <v>0.76</v>
      </c>
      <c r="G392">
        <v>0.56999999999999995</v>
      </c>
      <c r="H392">
        <v>7.0000000000000007E-2</v>
      </c>
      <c r="I392">
        <v>78</v>
      </c>
      <c r="J392">
        <v>18</v>
      </c>
      <c r="K392">
        <v>0.64</v>
      </c>
      <c r="L392" t="s">
        <v>12</v>
      </c>
    </row>
    <row r="393" spans="1:12" x14ac:dyDescent="0.3">
      <c r="A393">
        <v>43</v>
      </c>
      <c r="B393">
        <v>2022</v>
      </c>
      <c r="C393">
        <v>0.8</v>
      </c>
      <c r="D393">
        <v>0.63</v>
      </c>
      <c r="E393">
        <v>0.61</v>
      </c>
      <c r="F393">
        <v>0.84</v>
      </c>
      <c r="G393">
        <v>0.95</v>
      </c>
      <c r="H393">
        <v>0.93</v>
      </c>
      <c r="I393">
        <v>232</v>
      </c>
      <c r="J393">
        <v>4</v>
      </c>
      <c r="K393">
        <v>0.74</v>
      </c>
      <c r="L393" t="s">
        <v>13</v>
      </c>
    </row>
    <row r="394" spans="1:12" x14ac:dyDescent="0.3">
      <c r="A394">
        <v>63</v>
      </c>
      <c r="B394">
        <v>2023</v>
      </c>
      <c r="C394">
        <v>0.63</v>
      </c>
      <c r="D394">
        <v>0.67</v>
      </c>
      <c r="E394">
        <v>0.75</v>
      </c>
      <c r="F394">
        <v>0.94</v>
      </c>
      <c r="G394">
        <v>0.62</v>
      </c>
      <c r="H394">
        <v>0.94</v>
      </c>
      <c r="I394">
        <v>63</v>
      </c>
      <c r="J394">
        <v>10</v>
      </c>
      <c r="K394">
        <v>0.71</v>
      </c>
      <c r="L394" t="s">
        <v>13</v>
      </c>
    </row>
    <row r="395" spans="1:12" x14ac:dyDescent="0.3">
      <c r="A395">
        <v>32</v>
      </c>
      <c r="B395">
        <v>2023</v>
      </c>
      <c r="C395">
        <v>0.88</v>
      </c>
      <c r="D395">
        <v>0.62</v>
      </c>
      <c r="E395">
        <v>0.93</v>
      </c>
      <c r="F395">
        <v>0.64</v>
      </c>
      <c r="G395">
        <v>0.95</v>
      </c>
      <c r="H395">
        <v>0.63</v>
      </c>
      <c r="I395">
        <v>392</v>
      </c>
      <c r="J395">
        <v>8</v>
      </c>
      <c r="K395">
        <v>0.8</v>
      </c>
      <c r="L395" t="s">
        <v>13</v>
      </c>
    </row>
    <row r="396" spans="1:12" x14ac:dyDescent="0.3">
      <c r="A396">
        <v>59</v>
      </c>
      <c r="B396">
        <v>2021</v>
      </c>
      <c r="C396">
        <v>0.75</v>
      </c>
      <c r="D396">
        <v>0.56999999999999995</v>
      </c>
      <c r="E396">
        <v>0.57999999999999996</v>
      </c>
      <c r="F396">
        <v>0.85</v>
      </c>
      <c r="G396">
        <v>0.72</v>
      </c>
      <c r="H396">
        <v>0.18</v>
      </c>
      <c r="I396">
        <v>455</v>
      </c>
      <c r="J396">
        <v>17</v>
      </c>
      <c r="K396">
        <v>0.68</v>
      </c>
      <c r="L396" t="s">
        <v>12</v>
      </c>
    </row>
    <row r="397" spans="1:12" x14ac:dyDescent="0.3">
      <c r="A397">
        <v>47</v>
      </c>
      <c r="B397">
        <v>2021</v>
      </c>
      <c r="C397">
        <v>0.89</v>
      </c>
      <c r="D397">
        <v>0.5</v>
      </c>
      <c r="E397">
        <v>0.51</v>
      </c>
      <c r="F397">
        <v>0.91</v>
      </c>
      <c r="G397">
        <v>0.73</v>
      </c>
      <c r="H397">
        <v>0.7</v>
      </c>
      <c r="I397">
        <v>317</v>
      </c>
      <c r="J397">
        <v>7</v>
      </c>
      <c r="K397">
        <v>0.7</v>
      </c>
      <c r="L397" t="s">
        <v>12</v>
      </c>
    </row>
    <row r="398" spans="1:12" x14ac:dyDescent="0.3">
      <c r="A398">
        <v>20</v>
      </c>
      <c r="B398">
        <v>2023</v>
      </c>
      <c r="C398">
        <v>0.75</v>
      </c>
      <c r="D398">
        <v>0.97</v>
      </c>
      <c r="E398">
        <v>0.94</v>
      </c>
      <c r="F398">
        <v>0.83</v>
      </c>
      <c r="G398">
        <v>0.88</v>
      </c>
      <c r="H398">
        <v>0.64</v>
      </c>
      <c r="I398">
        <v>487</v>
      </c>
      <c r="J398">
        <v>10</v>
      </c>
      <c r="K398">
        <v>0.87</v>
      </c>
      <c r="L398" t="s">
        <v>13</v>
      </c>
    </row>
    <row r="399" spans="1:12" x14ac:dyDescent="0.3">
      <c r="A399">
        <v>72</v>
      </c>
      <c r="B399">
        <v>2024</v>
      </c>
      <c r="C399">
        <v>0.55000000000000004</v>
      </c>
      <c r="D399">
        <v>0.43</v>
      </c>
      <c r="E399">
        <v>0.52</v>
      </c>
      <c r="F399">
        <v>0.77</v>
      </c>
      <c r="G399">
        <v>0.36</v>
      </c>
      <c r="H399">
        <v>0.61</v>
      </c>
      <c r="I399">
        <v>165</v>
      </c>
      <c r="J399">
        <v>15</v>
      </c>
      <c r="K399">
        <v>0.53</v>
      </c>
      <c r="L399" t="s">
        <v>12</v>
      </c>
    </row>
    <row r="400" spans="1:12" x14ac:dyDescent="0.3">
      <c r="A400">
        <v>46</v>
      </c>
      <c r="B400">
        <v>2023</v>
      </c>
      <c r="C400">
        <v>0.45</v>
      </c>
      <c r="D400">
        <v>0.92</v>
      </c>
      <c r="E400">
        <v>0.94</v>
      </c>
      <c r="F400">
        <v>0.68</v>
      </c>
      <c r="G400">
        <v>0.82</v>
      </c>
      <c r="H400">
        <v>0.28999999999999998</v>
      </c>
      <c r="I400">
        <v>122</v>
      </c>
      <c r="J400">
        <v>2</v>
      </c>
      <c r="K400">
        <v>0.74</v>
      </c>
      <c r="L400" t="s">
        <v>13</v>
      </c>
    </row>
    <row r="401" spans="1:12" x14ac:dyDescent="0.3">
      <c r="A401">
        <v>51</v>
      </c>
      <c r="B401">
        <v>2024</v>
      </c>
      <c r="C401">
        <v>0.45</v>
      </c>
      <c r="D401">
        <v>0.81</v>
      </c>
      <c r="E401">
        <v>0.8</v>
      </c>
      <c r="F401">
        <v>0.85</v>
      </c>
      <c r="G401">
        <v>0.96</v>
      </c>
      <c r="H401">
        <v>0.78</v>
      </c>
      <c r="I401">
        <v>415</v>
      </c>
      <c r="J401">
        <v>19</v>
      </c>
      <c r="K401">
        <v>0.72</v>
      </c>
      <c r="L401" t="s">
        <v>13</v>
      </c>
    </row>
    <row r="402" spans="1:12" x14ac:dyDescent="0.3">
      <c r="A402">
        <v>53</v>
      </c>
      <c r="B402">
        <v>2024</v>
      </c>
      <c r="C402">
        <v>0.87</v>
      </c>
      <c r="D402">
        <v>0.91</v>
      </c>
      <c r="E402">
        <v>0.97</v>
      </c>
      <c r="F402">
        <v>0.63</v>
      </c>
      <c r="G402">
        <v>0.56999999999999995</v>
      </c>
      <c r="H402">
        <v>7.0000000000000007E-2</v>
      </c>
      <c r="I402">
        <v>413</v>
      </c>
      <c r="J402">
        <v>1</v>
      </c>
      <c r="K402">
        <v>0.83</v>
      </c>
      <c r="L402" t="s">
        <v>13</v>
      </c>
    </row>
    <row r="403" spans="1:12" x14ac:dyDescent="0.3">
      <c r="A403">
        <v>20</v>
      </c>
      <c r="B403">
        <v>2022</v>
      </c>
      <c r="C403">
        <v>0.49</v>
      </c>
      <c r="D403">
        <v>0.46</v>
      </c>
      <c r="E403">
        <v>0.57999999999999996</v>
      </c>
      <c r="F403">
        <v>0.66</v>
      </c>
      <c r="G403">
        <v>0.98</v>
      </c>
      <c r="H403">
        <v>0.76</v>
      </c>
      <c r="I403">
        <v>345</v>
      </c>
      <c r="J403">
        <v>7</v>
      </c>
      <c r="K403">
        <v>0.56999999999999995</v>
      </c>
      <c r="L403" t="s">
        <v>12</v>
      </c>
    </row>
    <row r="404" spans="1:12" x14ac:dyDescent="0.3">
      <c r="A404">
        <v>40</v>
      </c>
      <c r="B404">
        <v>2024</v>
      </c>
      <c r="C404">
        <v>0.49</v>
      </c>
      <c r="D404">
        <v>0.88</v>
      </c>
      <c r="E404">
        <v>0.66</v>
      </c>
      <c r="F404">
        <v>0.72</v>
      </c>
      <c r="G404">
        <v>0.46</v>
      </c>
      <c r="H404">
        <v>0.13</v>
      </c>
      <c r="I404">
        <v>88</v>
      </c>
      <c r="J404">
        <v>16</v>
      </c>
      <c r="K404">
        <v>0.65</v>
      </c>
      <c r="L404" t="s">
        <v>12</v>
      </c>
    </row>
    <row r="405" spans="1:12" x14ac:dyDescent="0.3">
      <c r="A405">
        <v>36</v>
      </c>
      <c r="B405">
        <v>2025</v>
      </c>
      <c r="C405">
        <v>0.51</v>
      </c>
      <c r="D405">
        <v>0.99</v>
      </c>
      <c r="E405">
        <v>0.59</v>
      </c>
      <c r="F405">
        <v>0.96</v>
      </c>
      <c r="G405">
        <v>0.84</v>
      </c>
      <c r="H405">
        <v>0.08</v>
      </c>
      <c r="I405">
        <v>393</v>
      </c>
      <c r="J405">
        <v>1</v>
      </c>
      <c r="K405">
        <v>0.75</v>
      </c>
      <c r="L405" t="s">
        <v>13</v>
      </c>
    </row>
    <row r="406" spans="1:12" x14ac:dyDescent="0.3">
      <c r="A406">
        <v>31</v>
      </c>
      <c r="B406">
        <v>2023</v>
      </c>
      <c r="C406">
        <v>0.69</v>
      </c>
      <c r="D406">
        <v>0.88</v>
      </c>
      <c r="E406">
        <v>0.56999999999999995</v>
      </c>
      <c r="F406">
        <v>0.83</v>
      </c>
      <c r="G406">
        <v>0.65</v>
      </c>
      <c r="H406">
        <v>0.14000000000000001</v>
      </c>
      <c r="I406">
        <v>404</v>
      </c>
      <c r="J406">
        <v>11</v>
      </c>
      <c r="K406">
        <v>0.73</v>
      </c>
      <c r="L406" t="s">
        <v>13</v>
      </c>
    </row>
    <row r="407" spans="1:12" x14ac:dyDescent="0.3">
      <c r="A407">
        <v>60</v>
      </c>
      <c r="B407">
        <v>2021</v>
      </c>
      <c r="C407">
        <v>0.61</v>
      </c>
      <c r="D407">
        <v>0.99</v>
      </c>
      <c r="E407">
        <v>0.7</v>
      </c>
      <c r="F407">
        <v>0.89</v>
      </c>
      <c r="G407">
        <v>0.5</v>
      </c>
      <c r="H407">
        <v>0.36</v>
      </c>
      <c r="I407">
        <v>327</v>
      </c>
      <c r="J407">
        <v>12</v>
      </c>
      <c r="K407">
        <v>0.75</v>
      </c>
      <c r="L407" t="s">
        <v>13</v>
      </c>
    </row>
    <row r="408" spans="1:12" x14ac:dyDescent="0.3">
      <c r="A408">
        <v>89</v>
      </c>
      <c r="B408">
        <v>2022</v>
      </c>
      <c r="C408">
        <v>0.77</v>
      </c>
      <c r="D408">
        <v>0.87</v>
      </c>
      <c r="E408">
        <v>0.93</v>
      </c>
      <c r="F408">
        <v>0.73</v>
      </c>
      <c r="G408">
        <v>0.68</v>
      </c>
      <c r="H408">
        <v>0.84</v>
      </c>
      <c r="I408">
        <v>386</v>
      </c>
      <c r="J408">
        <v>8</v>
      </c>
      <c r="K408">
        <v>0.81</v>
      </c>
      <c r="L408" t="s">
        <v>13</v>
      </c>
    </row>
    <row r="409" spans="1:12" x14ac:dyDescent="0.3">
      <c r="A409">
        <v>40</v>
      </c>
      <c r="B409">
        <v>2024</v>
      </c>
      <c r="C409">
        <v>0.31</v>
      </c>
      <c r="D409">
        <v>0.71</v>
      </c>
      <c r="E409">
        <v>0.74</v>
      </c>
      <c r="F409">
        <v>0.86</v>
      </c>
      <c r="G409">
        <v>0.69</v>
      </c>
      <c r="H409">
        <v>0.69</v>
      </c>
      <c r="I409">
        <v>493</v>
      </c>
      <c r="J409">
        <v>6</v>
      </c>
      <c r="K409">
        <v>0.62</v>
      </c>
      <c r="L409" t="s">
        <v>12</v>
      </c>
    </row>
    <row r="410" spans="1:12" x14ac:dyDescent="0.3">
      <c r="A410">
        <v>99</v>
      </c>
      <c r="B410">
        <v>2022</v>
      </c>
      <c r="C410">
        <v>0.39</v>
      </c>
      <c r="D410">
        <v>0.82</v>
      </c>
      <c r="E410">
        <v>0.71</v>
      </c>
      <c r="F410">
        <v>0.81</v>
      </c>
      <c r="G410">
        <v>0.93</v>
      </c>
      <c r="H410">
        <v>0.89</v>
      </c>
      <c r="I410">
        <v>278</v>
      </c>
      <c r="J410">
        <v>5</v>
      </c>
      <c r="K410">
        <v>0.68</v>
      </c>
      <c r="L410" t="s">
        <v>12</v>
      </c>
    </row>
    <row r="411" spans="1:12" x14ac:dyDescent="0.3">
      <c r="A411">
        <v>83</v>
      </c>
      <c r="B411">
        <v>2025</v>
      </c>
      <c r="C411">
        <v>0.71</v>
      </c>
      <c r="D411">
        <v>0.69</v>
      </c>
      <c r="E411">
        <v>0.82</v>
      </c>
      <c r="F411">
        <v>0.69</v>
      </c>
      <c r="G411">
        <v>0.69</v>
      </c>
      <c r="H411">
        <v>0.37</v>
      </c>
      <c r="I411">
        <v>209</v>
      </c>
      <c r="J411">
        <v>5</v>
      </c>
      <c r="K411">
        <v>0.72</v>
      </c>
      <c r="L411" t="s">
        <v>13</v>
      </c>
    </row>
    <row r="412" spans="1:12" x14ac:dyDescent="0.3">
      <c r="A412">
        <v>63</v>
      </c>
      <c r="B412">
        <v>2024</v>
      </c>
      <c r="C412">
        <v>0.42</v>
      </c>
      <c r="D412">
        <v>0.91</v>
      </c>
      <c r="E412">
        <v>0.75</v>
      </c>
      <c r="F412">
        <v>0.76</v>
      </c>
      <c r="G412">
        <v>0.93</v>
      </c>
      <c r="H412">
        <v>0.6</v>
      </c>
      <c r="I412">
        <v>471</v>
      </c>
      <c r="J412">
        <v>7</v>
      </c>
      <c r="K412">
        <v>0.71</v>
      </c>
      <c r="L412" t="s">
        <v>13</v>
      </c>
    </row>
    <row r="413" spans="1:12" x14ac:dyDescent="0.3">
      <c r="A413">
        <v>72</v>
      </c>
      <c r="B413">
        <v>2021</v>
      </c>
      <c r="C413">
        <v>0.85</v>
      </c>
      <c r="D413">
        <v>0.55000000000000004</v>
      </c>
      <c r="E413">
        <v>0.97</v>
      </c>
      <c r="F413">
        <v>0.96</v>
      </c>
      <c r="G413">
        <v>0.54</v>
      </c>
      <c r="H413">
        <v>0.73</v>
      </c>
      <c r="I413">
        <v>398</v>
      </c>
      <c r="J413">
        <v>4</v>
      </c>
      <c r="K413">
        <v>0.78</v>
      </c>
      <c r="L413" t="s">
        <v>13</v>
      </c>
    </row>
    <row r="414" spans="1:12" x14ac:dyDescent="0.3">
      <c r="A414">
        <v>62</v>
      </c>
      <c r="B414">
        <v>2024</v>
      </c>
      <c r="C414">
        <v>0.77</v>
      </c>
      <c r="D414">
        <v>0.53</v>
      </c>
      <c r="E414">
        <v>0.61</v>
      </c>
      <c r="F414">
        <v>0.95</v>
      </c>
      <c r="G414">
        <v>0.47</v>
      </c>
      <c r="H414">
        <v>0.26</v>
      </c>
      <c r="I414">
        <v>62</v>
      </c>
      <c r="J414">
        <v>12</v>
      </c>
      <c r="K414">
        <v>0.68</v>
      </c>
      <c r="L414" t="s">
        <v>12</v>
      </c>
    </row>
    <row r="415" spans="1:12" x14ac:dyDescent="0.3">
      <c r="A415">
        <v>42</v>
      </c>
      <c r="B415">
        <v>2022</v>
      </c>
      <c r="C415">
        <v>0.34</v>
      </c>
      <c r="D415">
        <v>0.63</v>
      </c>
      <c r="E415">
        <v>0.62</v>
      </c>
      <c r="F415">
        <v>0.71</v>
      </c>
      <c r="G415">
        <v>0.69</v>
      </c>
      <c r="H415">
        <v>0.2</v>
      </c>
      <c r="I415">
        <v>457</v>
      </c>
      <c r="J415">
        <v>7</v>
      </c>
      <c r="K415">
        <v>0.56000000000000005</v>
      </c>
      <c r="L415" t="s">
        <v>12</v>
      </c>
    </row>
    <row r="416" spans="1:12" x14ac:dyDescent="0.3">
      <c r="A416">
        <v>91</v>
      </c>
      <c r="B416">
        <v>2025</v>
      </c>
      <c r="C416">
        <v>0.96</v>
      </c>
      <c r="D416">
        <v>0.77</v>
      </c>
      <c r="E416">
        <v>0.96</v>
      </c>
      <c r="F416">
        <v>0.91</v>
      </c>
      <c r="G416">
        <v>0.71</v>
      </c>
      <c r="H416">
        <v>0.01</v>
      </c>
      <c r="I416">
        <v>205</v>
      </c>
      <c r="J416">
        <v>15</v>
      </c>
      <c r="K416">
        <v>0.88</v>
      </c>
      <c r="L416" t="s">
        <v>13</v>
      </c>
    </row>
    <row r="417" spans="1:12" x14ac:dyDescent="0.3">
      <c r="A417">
        <v>2</v>
      </c>
      <c r="B417">
        <v>2022</v>
      </c>
      <c r="C417">
        <v>0.66</v>
      </c>
      <c r="D417">
        <v>0.82</v>
      </c>
      <c r="E417">
        <v>0.97</v>
      </c>
      <c r="F417">
        <v>0.75</v>
      </c>
      <c r="G417">
        <v>0.8</v>
      </c>
      <c r="H417">
        <v>0.48</v>
      </c>
      <c r="I417">
        <v>220</v>
      </c>
      <c r="J417">
        <v>15</v>
      </c>
      <c r="K417">
        <v>0.79</v>
      </c>
      <c r="L417" t="s">
        <v>13</v>
      </c>
    </row>
    <row r="418" spans="1:12" x14ac:dyDescent="0.3">
      <c r="A418">
        <v>55</v>
      </c>
      <c r="B418">
        <v>2021</v>
      </c>
      <c r="C418">
        <v>0.66</v>
      </c>
      <c r="D418">
        <v>0.77</v>
      </c>
      <c r="E418">
        <v>0.96</v>
      </c>
      <c r="F418">
        <v>0.8</v>
      </c>
      <c r="G418">
        <v>0.65</v>
      </c>
      <c r="H418">
        <v>0.05</v>
      </c>
      <c r="I418">
        <v>229</v>
      </c>
      <c r="J418">
        <v>0</v>
      </c>
      <c r="K418">
        <v>0.77</v>
      </c>
      <c r="L418" t="s">
        <v>13</v>
      </c>
    </row>
    <row r="419" spans="1:12" x14ac:dyDescent="0.3">
      <c r="A419">
        <v>57</v>
      </c>
      <c r="B419">
        <v>2024</v>
      </c>
      <c r="C419">
        <v>0.95</v>
      </c>
      <c r="D419">
        <v>1</v>
      </c>
      <c r="E419">
        <v>0.9</v>
      </c>
      <c r="F419">
        <v>0.9</v>
      </c>
      <c r="G419">
        <v>0.45</v>
      </c>
      <c r="H419">
        <v>0.34</v>
      </c>
      <c r="I419">
        <v>189</v>
      </c>
      <c r="J419">
        <v>0</v>
      </c>
      <c r="K419">
        <v>0.9</v>
      </c>
      <c r="L419" t="s">
        <v>13</v>
      </c>
    </row>
    <row r="420" spans="1:12" x14ac:dyDescent="0.3">
      <c r="A420">
        <v>78</v>
      </c>
      <c r="B420">
        <v>2021</v>
      </c>
      <c r="C420">
        <v>0.73</v>
      </c>
      <c r="D420">
        <v>0.56999999999999995</v>
      </c>
      <c r="E420">
        <v>0.59</v>
      </c>
      <c r="F420">
        <v>0.75</v>
      </c>
      <c r="G420">
        <v>0.86</v>
      </c>
      <c r="H420">
        <v>0.39</v>
      </c>
      <c r="I420">
        <v>188</v>
      </c>
      <c r="J420">
        <v>6</v>
      </c>
      <c r="K420">
        <v>0.68</v>
      </c>
      <c r="L420" t="s">
        <v>12</v>
      </c>
    </row>
    <row r="421" spans="1:12" x14ac:dyDescent="0.3">
      <c r="A421">
        <v>43</v>
      </c>
      <c r="B421">
        <v>2021</v>
      </c>
      <c r="C421">
        <v>0.45</v>
      </c>
      <c r="D421">
        <v>0.73</v>
      </c>
      <c r="E421">
        <v>0.93</v>
      </c>
      <c r="F421">
        <v>0.93</v>
      </c>
      <c r="G421">
        <v>0.95</v>
      </c>
      <c r="H421">
        <v>0.37</v>
      </c>
      <c r="I421">
        <v>151</v>
      </c>
      <c r="J421">
        <v>4</v>
      </c>
      <c r="K421">
        <v>0.74</v>
      </c>
      <c r="L421" t="s">
        <v>13</v>
      </c>
    </row>
    <row r="422" spans="1:12" x14ac:dyDescent="0.3">
      <c r="A422">
        <v>64</v>
      </c>
      <c r="B422">
        <v>2023</v>
      </c>
      <c r="C422">
        <v>0.67</v>
      </c>
      <c r="D422">
        <v>0.87</v>
      </c>
      <c r="E422">
        <v>0.62</v>
      </c>
      <c r="F422">
        <v>0.74</v>
      </c>
      <c r="G422">
        <v>0.32</v>
      </c>
      <c r="H422">
        <v>0.96</v>
      </c>
      <c r="I422">
        <v>112</v>
      </c>
      <c r="J422">
        <v>7</v>
      </c>
      <c r="K422">
        <v>0.69</v>
      </c>
      <c r="L422" t="s">
        <v>12</v>
      </c>
    </row>
    <row r="423" spans="1:12" x14ac:dyDescent="0.3">
      <c r="A423">
        <v>83</v>
      </c>
      <c r="B423">
        <v>2024</v>
      </c>
      <c r="C423">
        <v>0.72</v>
      </c>
      <c r="D423">
        <v>0.79</v>
      </c>
      <c r="E423">
        <v>0.6</v>
      </c>
      <c r="F423">
        <v>0.72</v>
      </c>
      <c r="G423">
        <v>0.73</v>
      </c>
      <c r="H423">
        <v>0.6</v>
      </c>
      <c r="I423">
        <v>293</v>
      </c>
      <c r="J423">
        <v>3</v>
      </c>
      <c r="K423">
        <v>0.71</v>
      </c>
      <c r="L423" t="s">
        <v>13</v>
      </c>
    </row>
    <row r="424" spans="1:12" x14ac:dyDescent="0.3">
      <c r="A424">
        <v>86</v>
      </c>
      <c r="B424">
        <v>2022</v>
      </c>
      <c r="C424">
        <v>0.94</v>
      </c>
      <c r="D424">
        <v>0.6</v>
      </c>
      <c r="E424">
        <v>0.73</v>
      </c>
      <c r="F424">
        <v>0.87</v>
      </c>
      <c r="G424">
        <v>0.68</v>
      </c>
      <c r="H424">
        <v>0.35</v>
      </c>
      <c r="I424">
        <v>237</v>
      </c>
      <c r="J424">
        <v>13</v>
      </c>
      <c r="K424">
        <v>0.78</v>
      </c>
      <c r="L424" t="s">
        <v>13</v>
      </c>
    </row>
    <row r="425" spans="1:12" x14ac:dyDescent="0.3">
      <c r="A425">
        <v>83</v>
      </c>
      <c r="B425">
        <v>2022</v>
      </c>
      <c r="C425">
        <v>0.49</v>
      </c>
      <c r="D425">
        <v>0.49</v>
      </c>
      <c r="E425">
        <v>0.66</v>
      </c>
      <c r="F425">
        <v>0.94</v>
      </c>
      <c r="G425">
        <v>0.36</v>
      </c>
      <c r="H425">
        <v>0.99</v>
      </c>
      <c r="I425">
        <v>146</v>
      </c>
      <c r="J425">
        <v>11</v>
      </c>
      <c r="K425">
        <v>0.57999999999999996</v>
      </c>
      <c r="L425" t="s">
        <v>12</v>
      </c>
    </row>
    <row r="426" spans="1:12" x14ac:dyDescent="0.3">
      <c r="A426">
        <v>72</v>
      </c>
      <c r="B426">
        <v>2022</v>
      </c>
      <c r="C426">
        <v>0.95</v>
      </c>
      <c r="D426">
        <v>0.44</v>
      </c>
      <c r="E426">
        <v>0.55000000000000004</v>
      </c>
      <c r="F426">
        <v>0.67</v>
      </c>
      <c r="G426">
        <v>0.72</v>
      </c>
      <c r="H426">
        <v>0.15</v>
      </c>
      <c r="I426">
        <v>191</v>
      </c>
      <c r="J426">
        <v>12</v>
      </c>
      <c r="K426">
        <v>0.68</v>
      </c>
      <c r="L426" t="s">
        <v>12</v>
      </c>
    </row>
    <row r="427" spans="1:12" x14ac:dyDescent="0.3">
      <c r="A427">
        <v>25</v>
      </c>
      <c r="B427">
        <v>2022</v>
      </c>
      <c r="C427">
        <v>0.43</v>
      </c>
      <c r="D427">
        <v>0.4</v>
      </c>
      <c r="E427">
        <v>0.53</v>
      </c>
      <c r="F427">
        <v>0.96</v>
      </c>
      <c r="G427">
        <v>0.75</v>
      </c>
      <c r="H427">
        <v>0.27</v>
      </c>
      <c r="I427">
        <v>260</v>
      </c>
      <c r="J427">
        <v>2</v>
      </c>
      <c r="K427">
        <v>0.55000000000000004</v>
      </c>
      <c r="L427" t="s">
        <v>12</v>
      </c>
    </row>
    <row r="428" spans="1:12" x14ac:dyDescent="0.3">
      <c r="A428">
        <v>24</v>
      </c>
      <c r="B428">
        <v>2025</v>
      </c>
      <c r="C428">
        <v>0.38</v>
      </c>
      <c r="D428">
        <v>0.96</v>
      </c>
      <c r="E428">
        <v>0.89</v>
      </c>
      <c r="F428">
        <v>0.78</v>
      </c>
      <c r="G428">
        <v>0.91</v>
      </c>
      <c r="H428">
        <v>0.25</v>
      </c>
      <c r="I428">
        <v>224</v>
      </c>
      <c r="J428">
        <v>1</v>
      </c>
      <c r="K428">
        <v>0.74</v>
      </c>
      <c r="L428" t="s">
        <v>13</v>
      </c>
    </row>
    <row r="429" spans="1:12" x14ac:dyDescent="0.3">
      <c r="A429">
        <v>87</v>
      </c>
      <c r="B429">
        <v>2022</v>
      </c>
      <c r="C429">
        <v>0.93</v>
      </c>
      <c r="D429">
        <v>0.95</v>
      </c>
      <c r="E429">
        <v>0.66</v>
      </c>
      <c r="F429">
        <v>0.88</v>
      </c>
      <c r="G429">
        <v>0.49</v>
      </c>
      <c r="H429">
        <v>0.19</v>
      </c>
      <c r="I429">
        <v>207</v>
      </c>
      <c r="J429">
        <v>2</v>
      </c>
      <c r="K429">
        <v>0.83</v>
      </c>
      <c r="L429" t="s">
        <v>13</v>
      </c>
    </row>
    <row r="430" spans="1:12" x14ac:dyDescent="0.3">
      <c r="A430">
        <v>21</v>
      </c>
      <c r="B430">
        <v>2021</v>
      </c>
      <c r="C430">
        <v>0.9</v>
      </c>
      <c r="D430">
        <v>0.89</v>
      </c>
      <c r="E430">
        <v>0.59</v>
      </c>
      <c r="F430">
        <v>0.79</v>
      </c>
      <c r="G430">
        <v>0.38</v>
      </c>
      <c r="H430">
        <v>0.68</v>
      </c>
      <c r="I430">
        <v>299</v>
      </c>
      <c r="J430">
        <v>13</v>
      </c>
      <c r="K430">
        <v>0.77</v>
      </c>
      <c r="L430" t="s">
        <v>13</v>
      </c>
    </row>
    <row r="431" spans="1:12" x14ac:dyDescent="0.3">
      <c r="A431">
        <v>52</v>
      </c>
      <c r="B431">
        <v>2021</v>
      </c>
      <c r="C431">
        <v>0.42</v>
      </c>
      <c r="D431">
        <v>0.47</v>
      </c>
      <c r="E431">
        <v>0.77</v>
      </c>
      <c r="F431">
        <v>0.96</v>
      </c>
      <c r="G431">
        <v>0.54</v>
      </c>
      <c r="H431">
        <v>0.73</v>
      </c>
      <c r="I431">
        <v>140</v>
      </c>
      <c r="J431">
        <v>17</v>
      </c>
      <c r="K431">
        <v>0.6</v>
      </c>
      <c r="L431" t="s">
        <v>12</v>
      </c>
    </row>
    <row r="432" spans="1:12" x14ac:dyDescent="0.3">
      <c r="A432">
        <v>21</v>
      </c>
      <c r="B432">
        <v>2024</v>
      </c>
      <c r="C432">
        <v>0.91</v>
      </c>
      <c r="D432">
        <v>0.71</v>
      </c>
      <c r="E432">
        <v>0.85</v>
      </c>
      <c r="F432">
        <v>0.76</v>
      </c>
      <c r="G432">
        <v>0.69</v>
      </c>
      <c r="H432">
        <v>0.94</v>
      </c>
      <c r="I432">
        <v>249</v>
      </c>
      <c r="J432">
        <v>10</v>
      </c>
      <c r="K432">
        <v>0.8</v>
      </c>
      <c r="L432" t="s">
        <v>13</v>
      </c>
    </row>
    <row r="433" spans="1:12" x14ac:dyDescent="0.3">
      <c r="A433">
        <v>61</v>
      </c>
      <c r="B433">
        <v>2025</v>
      </c>
      <c r="C433">
        <v>0.37</v>
      </c>
      <c r="D433">
        <v>0.45</v>
      </c>
      <c r="E433">
        <v>0.68</v>
      </c>
      <c r="F433">
        <v>0.64</v>
      </c>
      <c r="G433">
        <v>0.71</v>
      </c>
      <c r="H433">
        <v>0.23</v>
      </c>
      <c r="I433">
        <v>108</v>
      </c>
      <c r="J433">
        <v>15</v>
      </c>
      <c r="K433">
        <v>0.53</v>
      </c>
      <c r="L433" t="s">
        <v>12</v>
      </c>
    </row>
    <row r="434" spans="1:12" x14ac:dyDescent="0.3">
      <c r="A434">
        <v>2</v>
      </c>
      <c r="B434">
        <v>2021</v>
      </c>
      <c r="C434">
        <v>0.79</v>
      </c>
      <c r="D434">
        <v>0.77</v>
      </c>
      <c r="E434">
        <v>0.93</v>
      </c>
      <c r="F434">
        <v>0.69</v>
      </c>
      <c r="G434">
        <v>0.91</v>
      </c>
      <c r="H434">
        <v>0.79</v>
      </c>
      <c r="I434">
        <v>496</v>
      </c>
      <c r="J434">
        <v>8</v>
      </c>
      <c r="K434">
        <v>0.81</v>
      </c>
      <c r="L434" t="s">
        <v>13</v>
      </c>
    </row>
    <row r="435" spans="1:12" x14ac:dyDescent="0.3">
      <c r="A435">
        <v>95</v>
      </c>
      <c r="B435">
        <v>2022</v>
      </c>
      <c r="C435">
        <v>0.6</v>
      </c>
      <c r="D435">
        <v>0.61</v>
      </c>
      <c r="E435">
        <v>0.53</v>
      </c>
      <c r="F435">
        <v>0.62</v>
      </c>
      <c r="G435">
        <v>0.78</v>
      </c>
      <c r="H435">
        <v>0.46</v>
      </c>
      <c r="I435">
        <v>89</v>
      </c>
      <c r="J435">
        <v>4</v>
      </c>
      <c r="K435">
        <v>0.61</v>
      </c>
      <c r="L435" t="s">
        <v>12</v>
      </c>
    </row>
    <row r="436" spans="1:12" x14ac:dyDescent="0.3">
      <c r="A436">
        <v>1</v>
      </c>
      <c r="B436">
        <v>2021</v>
      </c>
      <c r="C436">
        <v>0.4</v>
      </c>
      <c r="D436">
        <v>0.81</v>
      </c>
      <c r="E436">
        <v>0.95</v>
      </c>
      <c r="F436">
        <v>0.9</v>
      </c>
      <c r="G436">
        <v>0.35</v>
      </c>
      <c r="H436">
        <v>0.9</v>
      </c>
      <c r="I436">
        <v>257</v>
      </c>
      <c r="J436">
        <v>7</v>
      </c>
      <c r="K436">
        <v>0.68</v>
      </c>
      <c r="L436" t="s">
        <v>12</v>
      </c>
    </row>
    <row r="437" spans="1:12" x14ac:dyDescent="0.3">
      <c r="A437">
        <v>62</v>
      </c>
      <c r="B437">
        <v>2021</v>
      </c>
      <c r="C437">
        <v>0.53</v>
      </c>
      <c r="D437">
        <v>0.53</v>
      </c>
      <c r="E437">
        <v>0.54</v>
      </c>
      <c r="F437">
        <v>0.79</v>
      </c>
      <c r="G437">
        <v>0.64</v>
      </c>
      <c r="H437">
        <v>0.84</v>
      </c>
      <c r="I437">
        <v>415</v>
      </c>
      <c r="J437">
        <v>13</v>
      </c>
      <c r="K437">
        <v>0.57999999999999996</v>
      </c>
      <c r="L437" t="s">
        <v>12</v>
      </c>
    </row>
    <row r="438" spans="1:12" x14ac:dyDescent="0.3">
      <c r="A438">
        <v>72</v>
      </c>
      <c r="B438">
        <v>2025</v>
      </c>
      <c r="C438">
        <v>0.7</v>
      </c>
      <c r="D438">
        <v>0.86</v>
      </c>
      <c r="E438">
        <v>0.89</v>
      </c>
      <c r="F438">
        <v>0.71</v>
      </c>
      <c r="G438">
        <v>0.44</v>
      </c>
      <c r="H438">
        <v>0.02</v>
      </c>
      <c r="I438">
        <v>246</v>
      </c>
      <c r="J438">
        <v>16</v>
      </c>
      <c r="K438">
        <v>0.75</v>
      </c>
      <c r="L438" t="s">
        <v>13</v>
      </c>
    </row>
    <row r="439" spans="1:12" x14ac:dyDescent="0.3">
      <c r="A439">
        <v>23</v>
      </c>
      <c r="B439">
        <v>2021</v>
      </c>
      <c r="C439">
        <v>0.72</v>
      </c>
      <c r="D439">
        <v>0.96</v>
      </c>
      <c r="E439">
        <v>0.66</v>
      </c>
      <c r="F439">
        <v>0.7</v>
      </c>
      <c r="G439">
        <v>0.76</v>
      </c>
      <c r="H439">
        <v>0.62</v>
      </c>
      <c r="I439">
        <v>437</v>
      </c>
      <c r="J439">
        <v>16</v>
      </c>
      <c r="K439">
        <v>0.77</v>
      </c>
      <c r="L439" t="s">
        <v>13</v>
      </c>
    </row>
    <row r="440" spans="1:12" x14ac:dyDescent="0.3">
      <c r="A440">
        <v>14</v>
      </c>
      <c r="B440">
        <v>2025</v>
      </c>
      <c r="C440">
        <v>0.46</v>
      </c>
      <c r="D440">
        <v>0.54</v>
      </c>
      <c r="E440">
        <v>0.76</v>
      </c>
      <c r="F440">
        <v>0.91</v>
      </c>
      <c r="G440">
        <v>0.33</v>
      </c>
      <c r="H440">
        <v>0.69</v>
      </c>
      <c r="I440">
        <v>468</v>
      </c>
      <c r="J440">
        <v>18</v>
      </c>
      <c r="K440">
        <v>0.59</v>
      </c>
      <c r="L440" t="s">
        <v>12</v>
      </c>
    </row>
    <row r="441" spans="1:12" x14ac:dyDescent="0.3">
      <c r="A441">
        <v>20</v>
      </c>
      <c r="B441">
        <v>2024</v>
      </c>
      <c r="C441">
        <v>0.78</v>
      </c>
      <c r="D441">
        <v>0.96</v>
      </c>
      <c r="E441">
        <v>0.52</v>
      </c>
      <c r="F441">
        <v>0.73</v>
      </c>
      <c r="G441">
        <v>0.61</v>
      </c>
      <c r="H441">
        <v>0.9</v>
      </c>
      <c r="I441">
        <v>99</v>
      </c>
      <c r="J441">
        <v>0</v>
      </c>
      <c r="K441">
        <v>0.75</v>
      </c>
      <c r="L441" t="s">
        <v>13</v>
      </c>
    </row>
    <row r="442" spans="1:12" x14ac:dyDescent="0.3">
      <c r="A442">
        <v>99</v>
      </c>
      <c r="B442">
        <v>2024</v>
      </c>
      <c r="C442">
        <v>0.59</v>
      </c>
      <c r="D442">
        <v>0.81</v>
      </c>
      <c r="E442">
        <v>0.83</v>
      </c>
      <c r="F442">
        <v>0.63</v>
      </c>
      <c r="G442">
        <v>0.57999999999999996</v>
      </c>
      <c r="H442">
        <v>0.18</v>
      </c>
      <c r="I442">
        <v>236</v>
      </c>
      <c r="J442">
        <v>15</v>
      </c>
      <c r="K442">
        <v>0.7</v>
      </c>
      <c r="L442" t="s">
        <v>12</v>
      </c>
    </row>
    <row r="443" spans="1:12" x14ac:dyDescent="0.3">
      <c r="A443">
        <v>92</v>
      </c>
      <c r="B443">
        <v>2024</v>
      </c>
      <c r="C443">
        <v>0.59</v>
      </c>
      <c r="D443">
        <v>0.5</v>
      </c>
      <c r="E443">
        <v>0.94</v>
      </c>
      <c r="F443">
        <v>0.82</v>
      </c>
      <c r="G443">
        <v>0.46</v>
      </c>
      <c r="H443">
        <v>0.5</v>
      </c>
      <c r="I443">
        <v>220</v>
      </c>
      <c r="J443">
        <v>8</v>
      </c>
      <c r="K443">
        <v>0.66</v>
      </c>
      <c r="L443" t="s">
        <v>12</v>
      </c>
    </row>
    <row r="444" spans="1:12" x14ac:dyDescent="0.3">
      <c r="A444">
        <v>45</v>
      </c>
      <c r="B444">
        <v>2022</v>
      </c>
      <c r="C444">
        <v>0.92</v>
      </c>
      <c r="D444">
        <v>0.96</v>
      </c>
      <c r="E444">
        <v>0.96</v>
      </c>
      <c r="F444">
        <v>0.85</v>
      </c>
      <c r="G444">
        <v>0.74</v>
      </c>
      <c r="H444">
        <v>0.4</v>
      </c>
      <c r="I444">
        <v>279</v>
      </c>
      <c r="J444">
        <v>17</v>
      </c>
      <c r="K444">
        <v>0.91</v>
      </c>
      <c r="L444" t="s">
        <v>13</v>
      </c>
    </row>
    <row r="445" spans="1:12" x14ac:dyDescent="0.3">
      <c r="A445">
        <v>69</v>
      </c>
      <c r="B445">
        <v>2025</v>
      </c>
      <c r="C445">
        <v>0.6</v>
      </c>
      <c r="D445">
        <v>0.84</v>
      </c>
      <c r="E445">
        <v>0.91</v>
      </c>
      <c r="F445">
        <v>0.66</v>
      </c>
      <c r="G445">
        <v>0.88</v>
      </c>
      <c r="H445">
        <v>0.54</v>
      </c>
      <c r="I445">
        <v>171</v>
      </c>
      <c r="J445">
        <v>13</v>
      </c>
      <c r="K445">
        <v>0.76</v>
      </c>
      <c r="L445" t="s">
        <v>13</v>
      </c>
    </row>
    <row r="446" spans="1:12" x14ac:dyDescent="0.3">
      <c r="A446">
        <v>4</v>
      </c>
      <c r="B446">
        <v>2025</v>
      </c>
      <c r="C446">
        <v>0.94</v>
      </c>
      <c r="D446">
        <v>0.55000000000000004</v>
      </c>
      <c r="E446">
        <v>0.92</v>
      </c>
      <c r="F446">
        <v>0.79</v>
      </c>
      <c r="G446">
        <v>0.66</v>
      </c>
      <c r="H446">
        <v>0.31</v>
      </c>
      <c r="I446">
        <v>261</v>
      </c>
      <c r="J446">
        <v>5</v>
      </c>
      <c r="K446">
        <v>0.79</v>
      </c>
      <c r="L446" t="s">
        <v>13</v>
      </c>
    </row>
    <row r="447" spans="1:12" x14ac:dyDescent="0.3">
      <c r="A447">
        <v>63</v>
      </c>
      <c r="B447">
        <v>2023</v>
      </c>
      <c r="C447">
        <v>0.88</v>
      </c>
      <c r="D447">
        <v>0.83</v>
      </c>
      <c r="E447">
        <v>0.85</v>
      </c>
      <c r="F447">
        <v>0.73</v>
      </c>
      <c r="G447">
        <v>0.46</v>
      </c>
      <c r="H447">
        <v>0.21</v>
      </c>
      <c r="I447">
        <v>465</v>
      </c>
      <c r="J447">
        <v>5</v>
      </c>
      <c r="K447">
        <v>0.8</v>
      </c>
      <c r="L447" t="s">
        <v>13</v>
      </c>
    </row>
    <row r="448" spans="1:12" x14ac:dyDescent="0.3">
      <c r="A448">
        <v>35</v>
      </c>
      <c r="B448">
        <v>2021</v>
      </c>
      <c r="C448">
        <v>0.57999999999999996</v>
      </c>
      <c r="D448">
        <v>0.87</v>
      </c>
      <c r="E448">
        <v>0.63</v>
      </c>
      <c r="F448">
        <v>1</v>
      </c>
      <c r="G448">
        <v>0.32</v>
      </c>
      <c r="H448">
        <v>0.6</v>
      </c>
      <c r="I448">
        <v>136</v>
      </c>
      <c r="J448">
        <v>13</v>
      </c>
      <c r="K448">
        <v>0.7</v>
      </c>
      <c r="L448" t="s">
        <v>12</v>
      </c>
    </row>
    <row r="449" spans="1:12" x14ac:dyDescent="0.3">
      <c r="A449">
        <v>97</v>
      </c>
      <c r="B449">
        <v>2022</v>
      </c>
      <c r="C449">
        <v>0.38</v>
      </c>
      <c r="D449">
        <v>0.96</v>
      </c>
      <c r="E449">
        <v>0.59</v>
      </c>
      <c r="F449">
        <v>0.85</v>
      </c>
      <c r="G449">
        <v>0.46</v>
      </c>
      <c r="H449">
        <v>0.31</v>
      </c>
      <c r="I449">
        <v>305</v>
      </c>
      <c r="J449">
        <v>1</v>
      </c>
      <c r="K449">
        <v>0.65</v>
      </c>
      <c r="L449" t="s">
        <v>12</v>
      </c>
    </row>
    <row r="450" spans="1:12" x14ac:dyDescent="0.3">
      <c r="A450">
        <v>25</v>
      </c>
      <c r="B450">
        <v>2022</v>
      </c>
      <c r="C450">
        <v>0.93</v>
      </c>
      <c r="D450">
        <v>0.45</v>
      </c>
      <c r="E450">
        <v>0.7</v>
      </c>
      <c r="F450">
        <v>0.64</v>
      </c>
      <c r="G450">
        <v>0.31</v>
      </c>
      <c r="H450">
        <v>0.66</v>
      </c>
      <c r="I450">
        <v>165</v>
      </c>
      <c r="J450">
        <v>15</v>
      </c>
      <c r="K450">
        <v>0.66</v>
      </c>
      <c r="L450" t="s">
        <v>12</v>
      </c>
    </row>
    <row r="451" spans="1:12" x14ac:dyDescent="0.3">
      <c r="A451">
        <v>98</v>
      </c>
      <c r="B451">
        <v>2022</v>
      </c>
      <c r="C451">
        <v>0.46</v>
      </c>
      <c r="D451">
        <v>0.41</v>
      </c>
      <c r="E451">
        <v>0.92</v>
      </c>
      <c r="F451">
        <v>0.99</v>
      </c>
      <c r="G451">
        <v>0.39</v>
      </c>
      <c r="H451">
        <v>0.23</v>
      </c>
      <c r="I451">
        <v>113</v>
      </c>
      <c r="J451">
        <v>1</v>
      </c>
      <c r="K451">
        <v>0.61</v>
      </c>
      <c r="L451" t="s">
        <v>12</v>
      </c>
    </row>
    <row r="452" spans="1:12" x14ac:dyDescent="0.3">
      <c r="A452">
        <v>76</v>
      </c>
      <c r="B452">
        <v>2021</v>
      </c>
      <c r="C452">
        <v>0.59</v>
      </c>
      <c r="D452">
        <v>0.43</v>
      </c>
      <c r="E452">
        <v>0.52</v>
      </c>
      <c r="F452">
        <v>0.83</v>
      </c>
      <c r="G452">
        <v>0.57999999999999996</v>
      </c>
      <c r="H452">
        <v>0.03</v>
      </c>
      <c r="I452">
        <v>395</v>
      </c>
      <c r="J452">
        <v>15</v>
      </c>
      <c r="K452">
        <v>0.56999999999999995</v>
      </c>
      <c r="L452" t="s">
        <v>12</v>
      </c>
    </row>
    <row r="453" spans="1:12" x14ac:dyDescent="0.3">
      <c r="A453">
        <v>6</v>
      </c>
      <c r="B453">
        <v>2021</v>
      </c>
      <c r="C453">
        <v>0.85</v>
      </c>
      <c r="D453">
        <v>0.57999999999999996</v>
      </c>
      <c r="E453">
        <v>0.52</v>
      </c>
      <c r="F453">
        <v>0.84</v>
      </c>
      <c r="G453">
        <v>0.57999999999999996</v>
      </c>
      <c r="H453">
        <v>0.97</v>
      </c>
      <c r="I453">
        <v>179</v>
      </c>
      <c r="J453">
        <v>14</v>
      </c>
      <c r="K453">
        <v>0.69</v>
      </c>
      <c r="L453" t="s">
        <v>12</v>
      </c>
    </row>
    <row r="454" spans="1:12" x14ac:dyDescent="0.3">
      <c r="A454">
        <v>72</v>
      </c>
      <c r="B454">
        <v>2024</v>
      </c>
      <c r="C454">
        <v>0.6</v>
      </c>
      <c r="D454">
        <v>0.9</v>
      </c>
      <c r="E454">
        <v>0.9</v>
      </c>
      <c r="F454">
        <v>0.69</v>
      </c>
      <c r="G454">
        <v>0.46</v>
      </c>
      <c r="H454">
        <v>0.82</v>
      </c>
      <c r="I454">
        <v>374</v>
      </c>
      <c r="J454">
        <v>15</v>
      </c>
      <c r="K454">
        <v>0.73</v>
      </c>
      <c r="L454" t="s">
        <v>13</v>
      </c>
    </row>
    <row r="455" spans="1:12" x14ac:dyDescent="0.3">
      <c r="A455">
        <v>36</v>
      </c>
      <c r="B455">
        <v>2024</v>
      </c>
      <c r="C455">
        <v>0.34</v>
      </c>
      <c r="D455">
        <v>0.78</v>
      </c>
      <c r="E455">
        <v>0.64</v>
      </c>
      <c r="F455">
        <v>0.71</v>
      </c>
      <c r="G455">
        <v>0.53</v>
      </c>
      <c r="H455">
        <v>0.66</v>
      </c>
      <c r="I455">
        <v>229</v>
      </c>
      <c r="J455">
        <v>4</v>
      </c>
      <c r="K455">
        <v>0.57999999999999996</v>
      </c>
      <c r="L455" t="s">
        <v>12</v>
      </c>
    </row>
    <row r="456" spans="1:12" x14ac:dyDescent="0.3">
      <c r="A456">
        <v>29</v>
      </c>
      <c r="B456">
        <v>2023</v>
      </c>
      <c r="C456">
        <v>0.64</v>
      </c>
      <c r="D456">
        <v>0.82</v>
      </c>
      <c r="E456">
        <v>0.78</v>
      </c>
      <c r="F456">
        <v>0.69</v>
      </c>
      <c r="G456">
        <v>0.45</v>
      </c>
      <c r="H456">
        <v>0.3</v>
      </c>
      <c r="I456">
        <v>360</v>
      </c>
      <c r="J456">
        <v>19</v>
      </c>
      <c r="K456">
        <v>0.7</v>
      </c>
      <c r="L456" t="s">
        <v>12</v>
      </c>
    </row>
    <row r="457" spans="1:12" x14ac:dyDescent="0.3">
      <c r="A457">
        <v>29</v>
      </c>
      <c r="B457">
        <v>2024</v>
      </c>
      <c r="C457">
        <v>0.81</v>
      </c>
      <c r="D457">
        <v>0.61</v>
      </c>
      <c r="E457">
        <v>0.7</v>
      </c>
      <c r="F457">
        <v>0.65</v>
      </c>
      <c r="G457">
        <v>0.42</v>
      </c>
      <c r="H457">
        <v>0.83</v>
      </c>
      <c r="I457">
        <v>79</v>
      </c>
      <c r="J457">
        <v>12</v>
      </c>
      <c r="K457">
        <v>0.68</v>
      </c>
      <c r="L457" t="s">
        <v>12</v>
      </c>
    </row>
    <row r="458" spans="1:12" x14ac:dyDescent="0.3">
      <c r="A458">
        <v>19</v>
      </c>
      <c r="B458">
        <v>2022</v>
      </c>
      <c r="C458">
        <v>0.44</v>
      </c>
      <c r="D458">
        <v>0.78</v>
      </c>
      <c r="E458">
        <v>0.63</v>
      </c>
      <c r="F458">
        <v>0.95</v>
      </c>
      <c r="G458">
        <v>0.93</v>
      </c>
      <c r="H458">
        <v>0.3</v>
      </c>
      <c r="I458">
        <v>280</v>
      </c>
      <c r="J458">
        <v>18</v>
      </c>
      <c r="K458">
        <v>0.69</v>
      </c>
      <c r="L458" t="s">
        <v>12</v>
      </c>
    </row>
    <row r="459" spans="1:12" x14ac:dyDescent="0.3">
      <c r="A459">
        <v>19</v>
      </c>
      <c r="B459">
        <v>2024</v>
      </c>
      <c r="C459">
        <v>0.77</v>
      </c>
      <c r="D459">
        <v>0.9</v>
      </c>
      <c r="E459">
        <v>0.84</v>
      </c>
      <c r="F459">
        <v>0.93</v>
      </c>
      <c r="G459">
        <v>0.57999999999999996</v>
      </c>
      <c r="H459">
        <v>0.16</v>
      </c>
      <c r="I459">
        <v>175</v>
      </c>
      <c r="J459">
        <v>10</v>
      </c>
      <c r="K459">
        <v>0.82</v>
      </c>
      <c r="L459" t="s">
        <v>13</v>
      </c>
    </row>
    <row r="460" spans="1:12" x14ac:dyDescent="0.3">
      <c r="A460">
        <v>37</v>
      </c>
      <c r="B460">
        <v>2022</v>
      </c>
      <c r="C460">
        <v>0.32</v>
      </c>
      <c r="D460">
        <v>0.99</v>
      </c>
      <c r="E460">
        <v>0.52</v>
      </c>
      <c r="F460">
        <v>0.78</v>
      </c>
      <c r="G460">
        <v>0.65</v>
      </c>
      <c r="H460">
        <v>0.12</v>
      </c>
      <c r="I460">
        <v>208</v>
      </c>
      <c r="J460">
        <v>2</v>
      </c>
      <c r="K460">
        <v>0.63</v>
      </c>
      <c r="L460" t="s">
        <v>12</v>
      </c>
    </row>
    <row r="461" spans="1:12" x14ac:dyDescent="0.3">
      <c r="A461">
        <v>57</v>
      </c>
      <c r="B461">
        <v>2025</v>
      </c>
      <c r="C461">
        <v>0.91</v>
      </c>
      <c r="D461">
        <v>0.56999999999999995</v>
      </c>
      <c r="E461">
        <v>0.73</v>
      </c>
      <c r="F461">
        <v>0.85</v>
      </c>
      <c r="G461">
        <v>0.59</v>
      </c>
      <c r="H461">
        <v>0.43</v>
      </c>
      <c r="I461">
        <v>365</v>
      </c>
      <c r="J461">
        <v>16</v>
      </c>
      <c r="K461">
        <v>0.75</v>
      </c>
      <c r="L461" t="s">
        <v>13</v>
      </c>
    </row>
    <row r="462" spans="1:12" x14ac:dyDescent="0.3">
      <c r="A462">
        <v>96</v>
      </c>
      <c r="B462">
        <v>2025</v>
      </c>
      <c r="C462">
        <v>0.6</v>
      </c>
      <c r="D462">
        <v>0.56999999999999995</v>
      </c>
      <c r="E462">
        <v>0.56000000000000005</v>
      </c>
      <c r="F462">
        <v>0.64</v>
      </c>
      <c r="G462">
        <v>0.72</v>
      </c>
      <c r="H462">
        <v>0.52</v>
      </c>
      <c r="I462">
        <v>445</v>
      </c>
      <c r="J462">
        <v>16</v>
      </c>
      <c r="K462">
        <v>0.6</v>
      </c>
      <c r="L462" t="s">
        <v>12</v>
      </c>
    </row>
    <row r="463" spans="1:12" x14ac:dyDescent="0.3">
      <c r="A463">
        <v>97</v>
      </c>
      <c r="B463">
        <v>2023</v>
      </c>
      <c r="C463">
        <v>0.99</v>
      </c>
      <c r="D463">
        <v>0.57999999999999996</v>
      </c>
      <c r="E463">
        <v>0.61</v>
      </c>
      <c r="F463">
        <v>0.91</v>
      </c>
      <c r="G463">
        <v>0.48</v>
      </c>
      <c r="H463">
        <v>0.87</v>
      </c>
      <c r="I463">
        <v>157</v>
      </c>
      <c r="J463">
        <v>18</v>
      </c>
      <c r="K463">
        <v>0.75</v>
      </c>
      <c r="L463" t="s">
        <v>13</v>
      </c>
    </row>
    <row r="464" spans="1:12" x14ac:dyDescent="0.3">
      <c r="A464">
        <v>26</v>
      </c>
      <c r="B464">
        <v>2023</v>
      </c>
      <c r="C464">
        <v>0.99</v>
      </c>
      <c r="D464">
        <v>0.8</v>
      </c>
      <c r="E464">
        <v>0.92</v>
      </c>
      <c r="F464">
        <v>0.73</v>
      </c>
      <c r="G464">
        <v>0.77</v>
      </c>
      <c r="H464">
        <v>0.59</v>
      </c>
      <c r="I464">
        <v>499</v>
      </c>
      <c r="J464">
        <v>16</v>
      </c>
      <c r="K464">
        <v>0.87</v>
      </c>
      <c r="L464" t="s">
        <v>13</v>
      </c>
    </row>
    <row r="465" spans="1:12" x14ac:dyDescent="0.3">
      <c r="A465">
        <v>16</v>
      </c>
      <c r="B465">
        <v>2022</v>
      </c>
      <c r="C465">
        <v>0.7</v>
      </c>
      <c r="D465">
        <v>0.66</v>
      </c>
      <c r="E465">
        <v>0.64</v>
      </c>
      <c r="F465">
        <v>0.91</v>
      </c>
      <c r="G465">
        <v>0.46</v>
      </c>
      <c r="H465">
        <v>0.69</v>
      </c>
      <c r="I465">
        <v>345</v>
      </c>
      <c r="J465">
        <v>0</v>
      </c>
      <c r="K465">
        <v>0.69</v>
      </c>
      <c r="L465" t="s">
        <v>12</v>
      </c>
    </row>
    <row r="466" spans="1:12" x14ac:dyDescent="0.3">
      <c r="A466">
        <v>77</v>
      </c>
      <c r="B466">
        <v>2021</v>
      </c>
      <c r="C466">
        <v>0.76</v>
      </c>
      <c r="D466">
        <v>0.55000000000000004</v>
      </c>
      <c r="E466">
        <v>0.83</v>
      </c>
      <c r="F466">
        <v>0.68</v>
      </c>
      <c r="G466">
        <v>0.39</v>
      </c>
      <c r="H466">
        <v>0.7</v>
      </c>
      <c r="I466">
        <v>332</v>
      </c>
      <c r="J466">
        <v>8</v>
      </c>
      <c r="K466">
        <v>0.67</v>
      </c>
      <c r="L466" t="s">
        <v>12</v>
      </c>
    </row>
    <row r="467" spans="1:12" x14ac:dyDescent="0.3">
      <c r="A467">
        <v>80</v>
      </c>
      <c r="B467">
        <v>2022</v>
      </c>
      <c r="C467">
        <v>0.43</v>
      </c>
      <c r="D467">
        <v>0.76</v>
      </c>
      <c r="E467">
        <v>0.71</v>
      </c>
      <c r="F467">
        <v>0.65</v>
      </c>
      <c r="G467">
        <v>0.32</v>
      </c>
      <c r="H467">
        <v>0.62</v>
      </c>
      <c r="I467">
        <v>275</v>
      </c>
      <c r="J467">
        <v>15</v>
      </c>
      <c r="K467">
        <v>0.59</v>
      </c>
      <c r="L467" t="s">
        <v>12</v>
      </c>
    </row>
    <row r="468" spans="1:12" x14ac:dyDescent="0.3">
      <c r="A468">
        <v>20</v>
      </c>
      <c r="B468">
        <v>2024</v>
      </c>
      <c r="C468">
        <v>0.84</v>
      </c>
      <c r="D468">
        <v>0.8</v>
      </c>
      <c r="E468">
        <v>0.86</v>
      </c>
      <c r="F468">
        <v>0.8</v>
      </c>
      <c r="G468">
        <v>0.74</v>
      </c>
      <c r="H468">
        <v>0.81</v>
      </c>
      <c r="I468">
        <v>243</v>
      </c>
      <c r="J468">
        <v>14</v>
      </c>
      <c r="K468">
        <v>0.82</v>
      </c>
      <c r="L468" t="s">
        <v>13</v>
      </c>
    </row>
    <row r="469" spans="1:12" x14ac:dyDescent="0.3">
      <c r="A469">
        <v>12</v>
      </c>
      <c r="B469">
        <v>2025</v>
      </c>
      <c r="C469">
        <v>0.7</v>
      </c>
      <c r="D469">
        <v>0.74</v>
      </c>
      <c r="E469">
        <v>0.75</v>
      </c>
      <c r="F469">
        <v>0.63</v>
      </c>
      <c r="G469">
        <v>0.36</v>
      </c>
      <c r="H469">
        <v>0.6</v>
      </c>
      <c r="I469">
        <v>447</v>
      </c>
      <c r="J469">
        <v>1</v>
      </c>
      <c r="K469">
        <v>0.68</v>
      </c>
      <c r="L469" t="s">
        <v>12</v>
      </c>
    </row>
    <row r="470" spans="1:12" x14ac:dyDescent="0.3">
      <c r="A470">
        <v>58</v>
      </c>
      <c r="B470">
        <v>2024</v>
      </c>
      <c r="C470">
        <v>0.41</v>
      </c>
      <c r="D470">
        <v>0.91</v>
      </c>
      <c r="E470">
        <v>1</v>
      </c>
      <c r="F470">
        <v>0.89</v>
      </c>
      <c r="G470">
        <v>0.85</v>
      </c>
      <c r="H470">
        <v>0.99</v>
      </c>
      <c r="I470">
        <v>489</v>
      </c>
      <c r="J470">
        <v>0</v>
      </c>
      <c r="K470">
        <v>0.77</v>
      </c>
      <c r="L470" t="s">
        <v>13</v>
      </c>
    </row>
    <row r="471" spans="1:12" x14ac:dyDescent="0.3">
      <c r="A471">
        <v>45</v>
      </c>
      <c r="B471">
        <v>2024</v>
      </c>
      <c r="C471">
        <v>0.73</v>
      </c>
      <c r="D471">
        <v>0.75</v>
      </c>
      <c r="E471">
        <v>0.63</v>
      </c>
      <c r="F471">
        <v>0.9</v>
      </c>
      <c r="G471">
        <v>0.36</v>
      </c>
      <c r="H471">
        <v>0.92</v>
      </c>
      <c r="I471">
        <v>198</v>
      </c>
      <c r="J471">
        <v>7</v>
      </c>
      <c r="K471">
        <v>0.7</v>
      </c>
      <c r="L471" t="s">
        <v>12</v>
      </c>
    </row>
    <row r="472" spans="1:12" x14ac:dyDescent="0.3">
      <c r="A472">
        <v>78</v>
      </c>
      <c r="B472">
        <v>2024</v>
      </c>
      <c r="C472">
        <v>0.53</v>
      </c>
      <c r="D472">
        <v>0.8</v>
      </c>
      <c r="E472">
        <v>0.78</v>
      </c>
      <c r="F472">
        <v>0.74</v>
      </c>
      <c r="G472">
        <v>0.39</v>
      </c>
      <c r="H472">
        <v>0.09</v>
      </c>
      <c r="I472">
        <v>218</v>
      </c>
      <c r="J472">
        <v>14</v>
      </c>
      <c r="K472">
        <v>0.66</v>
      </c>
      <c r="L472" t="s">
        <v>12</v>
      </c>
    </row>
    <row r="473" spans="1:12" x14ac:dyDescent="0.3">
      <c r="A473">
        <v>44</v>
      </c>
      <c r="B473">
        <v>2022</v>
      </c>
      <c r="C473">
        <v>0.52</v>
      </c>
      <c r="D473">
        <v>0.94</v>
      </c>
      <c r="E473">
        <v>0.82</v>
      </c>
      <c r="F473">
        <v>0.72</v>
      </c>
      <c r="G473">
        <v>0.51</v>
      </c>
      <c r="H473">
        <v>0.89</v>
      </c>
      <c r="I473">
        <v>294</v>
      </c>
      <c r="J473">
        <v>2</v>
      </c>
      <c r="K473">
        <v>0.71</v>
      </c>
      <c r="L473" t="s">
        <v>13</v>
      </c>
    </row>
    <row r="474" spans="1:12" x14ac:dyDescent="0.3">
      <c r="A474">
        <v>17</v>
      </c>
      <c r="B474">
        <v>2024</v>
      </c>
      <c r="C474">
        <v>0.48</v>
      </c>
      <c r="D474">
        <v>0.41</v>
      </c>
      <c r="E474">
        <v>0.77</v>
      </c>
      <c r="F474">
        <v>0.94</v>
      </c>
      <c r="G474">
        <v>0.97</v>
      </c>
      <c r="H474">
        <v>0.56999999999999995</v>
      </c>
      <c r="I474">
        <v>250</v>
      </c>
      <c r="J474">
        <v>5</v>
      </c>
      <c r="K474">
        <v>0.64</v>
      </c>
      <c r="L474" t="s">
        <v>12</v>
      </c>
    </row>
    <row r="475" spans="1:12" x14ac:dyDescent="0.3">
      <c r="A475">
        <v>25</v>
      </c>
      <c r="B475">
        <v>2022</v>
      </c>
      <c r="C475">
        <v>0.72</v>
      </c>
      <c r="D475">
        <v>0.63</v>
      </c>
      <c r="E475">
        <v>0.62</v>
      </c>
      <c r="F475">
        <v>0.64</v>
      </c>
      <c r="G475">
        <v>0.52</v>
      </c>
      <c r="H475">
        <v>0.1</v>
      </c>
      <c r="I475">
        <v>124</v>
      </c>
      <c r="J475">
        <v>6</v>
      </c>
      <c r="K475">
        <v>0.65</v>
      </c>
      <c r="L475" t="s">
        <v>12</v>
      </c>
    </row>
    <row r="476" spans="1:12" x14ac:dyDescent="0.3">
      <c r="A476">
        <v>54</v>
      </c>
      <c r="B476">
        <v>2023</v>
      </c>
      <c r="C476">
        <v>0.67</v>
      </c>
      <c r="D476">
        <v>0.92</v>
      </c>
      <c r="E476">
        <v>1</v>
      </c>
      <c r="F476">
        <v>0.83</v>
      </c>
      <c r="G476">
        <v>0.87</v>
      </c>
      <c r="H476">
        <v>0.33</v>
      </c>
      <c r="I476">
        <v>160</v>
      </c>
      <c r="J476">
        <v>0</v>
      </c>
      <c r="K476">
        <v>0.84</v>
      </c>
      <c r="L476" t="s">
        <v>13</v>
      </c>
    </row>
    <row r="477" spans="1:12" x14ac:dyDescent="0.3">
      <c r="A477">
        <v>81</v>
      </c>
      <c r="B477">
        <v>2022</v>
      </c>
      <c r="C477">
        <v>0.77</v>
      </c>
      <c r="D477">
        <v>0.81</v>
      </c>
      <c r="E477">
        <v>0.66</v>
      </c>
      <c r="F477">
        <v>0.65</v>
      </c>
      <c r="G477">
        <v>0.74</v>
      </c>
      <c r="H477">
        <v>0.13</v>
      </c>
      <c r="I477">
        <v>413</v>
      </c>
      <c r="J477">
        <v>11</v>
      </c>
      <c r="K477">
        <v>0.74</v>
      </c>
      <c r="L477" t="s">
        <v>13</v>
      </c>
    </row>
    <row r="478" spans="1:12" x14ac:dyDescent="0.3">
      <c r="A478">
        <v>84</v>
      </c>
      <c r="B478">
        <v>2025</v>
      </c>
      <c r="C478">
        <v>0.48</v>
      </c>
      <c r="D478">
        <v>0.88</v>
      </c>
      <c r="E478">
        <v>0.71</v>
      </c>
      <c r="F478">
        <v>1</v>
      </c>
      <c r="G478">
        <v>0.36</v>
      </c>
      <c r="H478">
        <v>0.78</v>
      </c>
      <c r="I478">
        <v>446</v>
      </c>
      <c r="J478">
        <v>19</v>
      </c>
      <c r="K478">
        <v>0.69</v>
      </c>
      <c r="L478" t="s">
        <v>12</v>
      </c>
    </row>
    <row r="479" spans="1:12" x14ac:dyDescent="0.3">
      <c r="A479">
        <v>53</v>
      </c>
      <c r="B479">
        <v>2025</v>
      </c>
      <c r="C479">
        <v>0.89</v>
      </c>
      <c r="D479">
        <v>0.52</v>
      </c>
      <c r="E479">
        <v>0.56000000000000005</v>
      </c>
      <c r="F479">
        <v>0.99</v>
      </c>
      <c r="G479">
        <v>0.38</v>
      </c>
      <c r="H479">
        <v>0.48</v>
      </c>
      <c r="I479">
        <v>348</v>
      </c>
      <c r="J479">
        <v>12</v>
      </c>
      <c r="K479">
        <v>0.7</v>
      </c>
      <c r="L479" t="s">
        <v>12</v>
      </c>
    </row>
    <row r="480" spans="1:12" x14ac:dyDescent="0.3">
      <c r="A480">
        <v>28</v>
      </c>
      <c r="B480">
        <v>2021</v>
      </c>
      <c r="C480">
        <v>0.36</v>
      </c>
      <c r="D480">
        <v>0.43</v>
      </c>
      <c r="E480">
        <v>0.55000000000000004</v>
      </c>
      <c r="F480">
        <v>0.83</v>
      </c>
      <c r="G480">
        <v>0.68</v>
      </c>
      <c r="H480">
        <v>0.23</v>
      </c>
      <c r="I480">
        <v>203</v>
      </c>
      <c r="J480">
        <v>9</v>
      </c>
      <c r="K480">
        <v>0.52</v>
      </c>
      <c r="L480" t="s">
        <v>12</v>
      </c>
    </row>
    <row r="481" spans="1:12" x14ac:dyDescent="0.3">
      <c r="A481">
        <v>27</v>
      </c>
      <c r="B481">
        <v>2023</v>
      </c>
      <c r="C481">
        <v>0.33</v>
      </c>
      <c r="D481">
        <v>0.7</v>
      </c>
      <c r="E481">
        <v>0.84</v>
      </c>
      <c r="F481">
        <v>0.7</v>
      </c>
      <c r="G481">
        <v>0.52</v>
      </c>
      <c r="H481">
        <v>0.61</v>
      </c>
      <c r="I481">
        <v>114</v>
      </c>
      <c r="J481">
        <v>2</v>
      </c>
      <c r="K481">
        <v>0.6</v>
      </c>
      <c r="L481" t="s">
        <v>12</v>
      </c>
    </row>
    <row r="482" spans="1:12" x14ac:dyDescent="0.3">
      <c r="A482">
        <v>72</v>
      </c>
      <c r="B482">
        <v>2023</v>
      </c>
      <c r="C482">
        <v>0.39</v>
      </c>
      <c r="D482">
        <v>0.94</v>
      </c>
      <c r="E482">
        <v>0.54</v>
      </c>
      <c r="F482">
        <v>0.96</v>
      </c>
      <c r="G482">
        <v>1</v>
      </c>
      <c r="H482">
        <v>0.7</v>
      </c>
      <c r="I482">
        <v>407</v>
      </c>
      <c r="J482">
        <v>13</v>
      </c>
      <c r="K482">
        <v>0.7</v>
      </c>
      <c r="L482" t="s">
        <v>12</v>
      </c>
    </row>
    <row r="483" spans="1:12" x14ac:dyDescent="0.3">
      <c r="A483">
        <v>12</v>
      </c>
      <c r="B483">
        <v>2023</v>
      </c>
      <c r="C483">
        <v>0.96</v>
      </c>
      <c r="D483">
        <v>0.72</v>
      </c>
      <c r="E483">
        <v>0.87</v>
      </c>
      <c r="F483">
        <v>0.97</v>
      </c>
      <c r="G483">
        <v>0.98</v>
      </c>
      <c r="H483">
        <v>0.83</v>
      </c>
      <c r="I483">
        <v>103</v>
      </c>
      <c r="J483">
        <v>19</v>
      </c>
      <c r="K483">
        <v>0.89</v>
      </c>
      <c r="L483" t="s">
        <v>13</v>
      </c>
    </row>
    <row r="484" spans="1:12" x14ac:dyDescent="0.3">
      <c r="A484">
        <v>4</v>
      </c>
      <c r="B484">
        <v>2023</v>
      </c>
      <c r="C484">
        <v>0.95</v>
      </c>
      <c r="D484">
        <v>0.81</v>
      </c>
      <c r="E484">
        <v>0.65</v>
      </c>
      <c r="F484">
        <v>0.75</v>
      </c>
      <c r="G484">
        <v>0.69</v>
      </c>
      <c r="H484">
        <v>0.79</v>
      </c>
      <c r="I484">
        <v>77</v>
      </c>
      <c r="J484">
        <v>10</v>
      </c>
      <c r="K484">
        <v>0.8</v>
      </c>
      <c r="L484" t="s">
        <v>13</v>
      </c>
    </row>
    <row r="485" spans="1:12" x14ac:dyDescent="0.3">
      <c r="A485">
        <v>57</v>
      </c>
      <c r="B485">
        <v>2022</v>
      </c>
      <c r="C485">
        <v>0.87</v>
      </c>
      <c r="D485">
        <v>0.68</v>
      </c>
      <c r="E485">
        <v>0.54</v>
      </c>
      <c r="F485">
        <v>0.67</v>
      </c>
      <c r="G485">
        <v>0.34</v>
      </c>
      <c r="H485">
        <v>0.5</v>
      </c>
      <c r="I485">
        <v>257</v>
      </c>
      <c r="J485">
        <v>13</v>
      </c>
      <c r="K485">
        <v>0.67</v>
      </c>
      <c r="L485" t="s">
        <v>12</v>
      </c>
    </row>
    <row r="486" spans="1:12" x14ac:dyDescent="0.3">
      <c r="A486">
        <v>30</v>
      </c>
      <c r="B486">
        <v>2024</v>
      </c>
      <c r="C486">
        <v>0.57999999999999996</v>
      </c>
      <c r="D486">
        <v>0.47</v>
      </c>
      <c r="E486">
        <v>0.94</v>
      </c>
      <c r="F486">
        <v>0.77</v>
      </c>
      <c r="G486">
        <v>0.56999999999999995</v>
      </c>
      <c r="H486">
        <v>0.66</v>
      </c>
      <c r="I486">
        <v>113</v>
      </c>
      <c r="J486">
        <v>19</v>
      </c>
      <c r="K486">
        <v>0.65</v>
      </c>
      <c r="L486" t="s">
        <v>12</v>
      </c>
    </row>
    <row r="487" spans="1:12" x14ac:dyDescent="0.3">
      <c r="A487">
        <v>38</v>
      </c>
      <c r="B487">
        <v>2021</v>
      </c>
      <c r="C487">
        <v>0.96</v>
      </c>
      <c r="D487">
        <v>0.79</v>
      </c>
      <c r="E487">
        <v>0.98</v>
      </c>
      <c r="F487">
        <v>0.66</v>
      </c>
      <c r="G487">
        <v>0.63</v>
      </c>
      <c r="H487">
        <v>0.6</v>
      </c>
      <c r="I487">
        <v>430</v>
      </c>
      <c r="J487">
        <v>17</v>
      </c>
      <c r="K487">
        <v>0.84</v>
      </c>
      <c r="L487" t="s">
        <v>13</v>
      </c>
    </row>
    <row r="488" spans="1:12" x14ac:dyDescent="0.3">
      <c r="A488">
        <v>91</v>
      </c>
      <c r="B488">
        <v>2024</v>
      </c>
      <c r="C488">
        <v>0.51</v>
      </c>
      <c r="D488">
        <v>0.5</v>
      </c>
      <c r="E488">
        <v>0.84</v>
      </c>
      <c r="F488">
        <v>0.62</v>
      </c>
      <c r="G488">
        <v>0.73</v>
      </c>
      <c r="H488">
        <v>0.7</v>
      </c>
      <c r="I488">
        <v>309</v>
      </c>
      <c r="J488">
        <v>0</v>
      </c>
      <c r="K488">
        <v>0.61</v>
      </c>
      <c r="L488" t="s">
        <v>12</v>
      </c>
    </row>
    <row r="489" spans="1:12" x14ac:dyDescent="0.3">
      <c r="A489">
        <v>71</v>
      </c>
      <c r="B489">
        <v>2022</v>
      </c>
      <c r="C489">
        <v>0.91</v>
      </c>
      <c r="D489">
        <v>0.75</v>
      </c>
      <c r="E489">
        <v>0.67</v>
      </c>
      <c r="F489">
        <v>0.92</v>
      </c>
      <c r="G489">
        <v>0.68</v>
      </c>
      <c r="H489">
        <v>0.08</v>
      </c>
      <c r="I489">
        <v>332</v>
      </c>
      <c r="J489">
        <v>13</v>
      </c>
      <c r="K489">
        <v>0.8</v>
      </c>
      <c r="L489" t="s">
        <v>13</v>
      </c>
    </row>
    <row r="490" spans="1:12" x14ac:dyDescent="0.3">
      <c r="A490">
        <v>18</v>
      </c>
      <c r="B490">
        <v>2024</v>
      </c>
      <c r="C490">
        <v>0.51</v>
      </c>
      <c r="D490">
        <v>0.49</v>
      </c>
      <c r="E490">
        <v>0.57999999999999996</v>
      </c>
      <c r="F490">
        <v>0.77</v>
      </c>
      <c r="G490">
        <v>0.72</v>
      </c>
      <c r="H490">
        <v>0.08</v>
      </c>
      <c r="I490">
        <v>353</v>
      </c>
      <c r="J490">
        <v>13</v>
      </c>
      <c r="K490">
        <v>0.57999999999999996</v>
      </c>
      <c r="L490" t="s">
        <v>12</v>
      </c>
    </row>
    <row r="491" spans="1:12" x14ac:dyDescent="0.3">
      <c r="A491">
        <v>90</v>
      </c>
      <c r="B491">
        <v>2021</v>
      </c>
      <c r="C491">
        <v>0.88</v>
      </c>
      <c r="D491">
        <v>0.45</v>
      </c>
      <c r="E491">
        <v>0.74</v>
      </c>
      <c r="F491">
        <v>0.85</v>
      </c>
      <c r="G491">
        <v>0.88</v>
      </c>
      <c r="H491">
        <v>0.78</v>
      </c>
      <c r="I491">
        <v>230</v>
      </c>
      <c r="J491">
        <v>6</v>
      </c>
      <c r="K491">
        <v>0.74</v>
      </c>
      <c r="L491" t="s">
        <v>13</v>
      </c>
    </row>
    <row r="492" spans="1:12" x14ac:dyDescent="0.3">
      <c r="A492">
        <v>1</v>
      </c>
      <c r="B492">
        <v>2022</v>
      </c>
      <c r="C492">
        <v>0.99</v>
      </c>
      <c r="D492">
        <v>0.6</v>
      </c>
      <c r="E492">
        <v>0.7</v>
      </c>
      <c r="F492">
        <v>0.84</v>
      </c>
      <c r="G492">
        <v>0.86</v>
      </c>
      <c r="H492">
        <v>0.47</v>
      </c>
      <c r="I492">
        <v>451</v>
      </c>
      <c r="J492">
        <v>4</v>
      </c>
      <c r="K492">
        <v>0.8</v>
      </c>
      <c r="L492" t="s">
        <v>13</v>
      </c>
    </row>
    <row r="493" spans="1:12" x14ac:dyDescent="0.3">
      <c r="A493">
        <v>30</v>
      </c>
      <c r="B493">
        <v>2021</v>
      </c>
      <c r="C493">
        <v>0.93</v>
      </c>
      <c r="D493">
        <v>0.49</v>
      </c>
      <c r="E493">
        <v>0.89</v>
      </c>
      <c r="F493">
        <v>0.85</v>
      </c>
      <c r="G493">
        <v>0.54</v>
      </c>
      <c r="H493">
        <v>0.87</v>
      </c>
      <c r="I493">
        <v>381</v>
      </c>
      <c r="J493">
        <v>0</v>
      </c>
      <c r="K493">
        <v>0.76</v>
      </c>
      <c r="L493" t="s">
        <v>13</v>
      </c>
    </row>
    <row r="494" spans="1:12" x14ac:dyDescent="0.3">
      <c r="A494">
        <v>62</v>
      </c>
      <c r="B494">
        <v>2025</v>
      </c>
      <c r="C494">
        <v>0.61</v>
      </c>
      <c r="D494">
        <v>0.79</v>
      </c>
      <c r="E494">
        <v>0.69</v>
      </c>
      <c r="F494">
        <v>0.62</v>
      </c>
      <c r="G494">
        <v>0.72</v>
      </c>
      <c r="H494">
        <v>0.9</v>
      </c>
      <c r="I494">
        <v>285</v>
      </c>
      <c r="J494">
        <v>5</v>
      </c>
      <c r="K494">
        <v>0.68</v>
      </c>
      <c r="L494" t="s">
        <v>12</v>
      </c>
    </row>
    <row r="495" spans="1:12" x14ac:dyDescent="0.3">
      <c r="A495">
        <v>37</v>
      </c>
      <c r="B495">
        <v>2022</v>
      </c>
      <c r="C495">
        <v>0.61</v>
      </c>
      <c r="D495">
        <v>0.43</v>
      </c>
      <c r="E495">
        <v>0.91</v>
      </c>
      <c r="F495">
        <v>0.93</v>
      </c>
      <c r="G495">
        <v>0.71</v>
      </c>
      <c r="H495">
        <v>0.35</v>
      </c>
      <c r="I495">
        <v>142</v>
      </c>
      <c r="J495">
        <v>1</v>
      </c>
      <c r="K495">
        <v>0.68</v>
      </c>
      <c r="L495" t="s">
        <v>12</v>
      </c>
    </row>
    <row r="496" spans="1:12" x14ac:dyDescent="0.3">
      <c r="A496">
        <v>44</v>
      </c>
      <c r="B496">
        <v>2022</v>
      </c>
      <c r="C496">
        <v>0.85</v>
      </c>
      <c r="D496">
        <v>0.76</v>
      </c>
      <c r="E496">
        <v>0.71</v>
      </c>
      <c r="F496">
        <v>0.98</v>
      </c>
      <c r="G496">
        <v>0.68</v>
      </c>
      <c r="H496">
        <v>0.61</v>
      </c>
      <c r="I496">
        <v>269</v>
      </c>
      <c r="J496">
        <v>18</v>
      </c>
      <c r="K496">
        <v>0.8</v>
      </c>
      <c r="L496" t="s">
        <v>13</v>
      </c>
    </row>
    <row r="497" spans="1:12" x14ac:dyDescent="0.3">
      <c r="A497">
        <v>49</v>
      </c>
      <c r="B497">
        <v>2021</v>
      </c>
      <c r="C497">
        <v>0.31</v>
      </c>
      <c r="D497">
        <v>0.89</v>
      </c>
      <c r="E497">
        <v>0.91</v>
      </c>
      <c r="F497">
        <v>0.92</v>
      </c>
      <c r="G497">
        <v>0.5</v>
      </c>
      <c r="H497">
        <v>0.84</v>
      </c>
      <c r="I497">
        <v>300</v>
      </c>
      <c r="J497">
        <v>6</v>
      </c>
      <c r="K497">
        <v>0.69</v>
      </c>
      <c r="L497" t="s">
        <v>12</v>
      </c>
    </row>
    <row r="498" spans="1:12" x14ac:dyDescent="0.3">
      <c r="A498">
        <v>15</v>
      </c>
      <c r="B498">
        <v>2025</v>
      </c>
      <c r="C498">
        <v>0.31</v>
      </c>
      <c r="D498">
        <v>0.49</v>
      </c>
      <c r="E498">
        <v>0.87</v>
      </c>
      <c r="F498">
        <v>0.7</v>
      </c>
      <c r="G498">
        <v>0.72</v>
      </c>
      <c r="H498">
        <v>0.39</v>
      </c>
      <c r="I498">
        <v>343</v>
      </c>
      <c r="J498">
        <v>12</v>
      </c>
      <c r="K498">
        <v>0.56999999999999995</v>
      </c>
      <c r="L498" t="s">
        <v>12</v>
      </c>
    </row>
    <row r="499" spans="1:12" x14ac:dyDescent="0.3">
      <c r="A499">
        <v>93</v>
      </c>
      <c r="B499">
        <v>2023</v>
      </c>
      <c r="C499">
        <v>0.92</v>
      </c>
      <c r="D499">
        <v>0.56000000000000005</v>
      </c>
      <c r="E499">
        <v>0.6</v>
      </c>
      <c r="F499">
        <v>0.79</v>
      </c>
      <c r="G499">
        <v>0.31</v>
      </c>
      <c r="H499">
        <v>0.03</v>
      </c>
      <c r="I499">
        <v>185</v>
      </c>
      <c r="J499">
        <v>15</v>
      </c>
      <c r="K499">
        <v>0.69</v>
      </c>
      <c r="L499" t="s">
        <v>12</v>
      </c>
    </row>
    <row r="500" spans="1:12" x14ac:dyDescent="0.3">
      <c r="A500">
        <v>77</v>
      </c>
      <c r="B500">
        <v>2023</v>
      </c>
      <c r="C500">
        <v>0.91</v>
      </c>
      <c r="D500">
        <v>0.73</v>
      </c>
      <c r="E500">
        <v>0.98</v>
      </c>
      <c r="F500">
        <v>0.62</v>
      </c>
      <c r="G500">
        <v>0.37</v>
      </c>
      <c r="H500">
        <v>0.04</v>
      </c>
      <c r="I500">
        <v>474</v>
      </c>
      <c r="J500">
        <v>16</v>
      </c>
      <c r="K500">
        <v>0.78</v>
      </c>
      <c r="L500" t="s">
        <v>13</v>
      </c>
    </row>
    <row r="501" spans="1:12" x14ac:dyDescent="0.3">
      <c r="A501">
        <v>44</v>
      </c>
      <c r="B501">
        <v>2021</v>
      </c>
      <c r="C501">
        <v>0.53</v>
      </c>
      <c r="D501">
        <v>0.75</v>
      </c>
      <c r="E501">
        <v>0.73</v>
      </c>
      <c r="F501">
        <v>0.78</v>
      </c>
      <c r="G501">
        <v>0.96</v>
      </c>
      <c r="H501">
        <v>0.98</v>
      </c>
      <c r="I501">
        <v>237</v>
      </c>
      <c r="J501">
        <v>13</v>
      </c>
      <c r="K501">
        <v>0.71</v>
      </c>
      <c r="L501" t="s">
        <v>13</v>
      </c>
    </row>
    <row r="502" spans="1:12" x14ac:dyDescent="0.3">
      <c r="A502">
        <v>78</v>
      </c>
      <c r="B502">
        <v>2021</v>
      </c>
      <c r="C502">
        <v>0.42</v>
      </c>
      <c r="D502">
        <v>0.44</v>
      </c>
      <c r="E502">
        <v>0.85</v>
      </c>
      <c r="F502">
        <v>0.89</v>
      </c>
      <c r="G502">
        <v>0.33</v>
      </c>
      <c r="H502">
        <v>0.93</v>
      </c>
      <c r="I502">
        <v>92</v>
      </c>
      <c r="J502">
        <v>13</v>
      </c>
      <c r="K502">
        <v>0.56999999999999995</v>
      </c>
      <c r="L502" t="s">
        <v>12</v>
      </c>
    </row>
    <row r="503" spans="1:12" x14ac:dyDescent="0.3">
      <c r="A503">
        <v>28</v>
      </c>
      <c r="B503">
        <v>2022</v>
      </c>
      <c r="C503">
        <v>0.77</v>
      </c>
      <c r="D503">
        <v>0.5</v>
      </c>
      <c r="E503">
        <v>0.53</v>
      </c>
      <c r="F503">
        <v>0.73</v>
      </c>
      <c r="G503">
        <v>0.84</v>
      </c>
      <c r="H503">
        <v>0.41</v>
      </c>
      <c r="I503">
        <v>269</v>
      </c>
      <c r="J503">
        <v>0</v>
      </c>
      <c r="K503">
        <v>0.66</v>
      </c>
      <c r="L503" t="s">
        <v>12</v>
      </c>
    </row>
    <row r="504" spans="1:12" x14ac:dyDescent="0.3">
      <c r="A504">
        <v>68</v>
      </c>
      <c r="B504">
        <v>2021</v>
      </c>
      <c r="C504">
        <v>0.37</v>
      </c>
      <c r="D504">
        <v>0.97</v>
      </c>
      <c r="E504">
        <v>0.8</v>
      </c>
      <c r="F504">
        <v>0.89</v>
      </c>
      <c r="G504">
        <v>0.52</v>
      </c>
      <c r="H504">
        <v>0.39</v>
      </c>
      <c r="I504">
        <v>318</v>
      </c>
      <c r="J504">
        <v>4</v>
      </c>
      <c r="K504">
        <v>0.7</v>
      </c>
      <c r="L504" t="s">
        <v>12</v>
      </c>
    </row>
    <row r="505" spans="1:12" x14ac:dyDescent="0.3">
      <c r="A505">
        <v>25</v>
      </c>
      <c r="B505">
        <v>2024</v>
      </c>
      <c r="C505">
        <v>0.43</v>
      </c>
      <c r="D505">
        <v>0.88</v>
      </c>
      <c r="E505">
        <v>0.84</v>
      </c>
      <c r="F505">
        <v>0.82</v>
      </c>
      <c r="G505">
        <v>0.63</v>
      </c>
      <c r="H505">
        <v>0.92</v>
      </c>
      <c r="I505">
        <v>163</v>
      </c>
      <c r="J505">
        <v>14</v>
      </c>
      <c r="K505">
        <v>0.7</v>
      </c>
      <c r="L505" t="s">
        <v>12</v>
      </c>
    </row>
    <row r="506" spans="1:12" x14ac:dyDescent="0.3">
      <c r="A506">
        <v>55</v>
      </c>
      <c r="B506">
        <v>2023</v>
      </c>
      <c r="C506">
        <v>0.89</v>
      </c>
      <c r="D506">
        <v>0.59</v>
      </c>
      <c r="E506">
        <v>0.84</v>
      </c>
      <c r="F506">
        <v>0.98</v>
      </c>
      <c r="G506">
        <v>0.81</v>
      </c>
      <c r="H506">
        <v>0.49</v>
      </c>
      <c r="I506">
        <v>242</v>
      </c>
      <c r="J506">
        <v>18</v>
      </c>
      <c r="K506">
        <v>0.81</v>
      </c>
      <c r="L506" t="s">
        <v>13</v>
      </c>
    </row>
    <row r="507" spans="1:12" x14ac:dyDescent="0.3">
      <c r="A507">
        <v>43</v>
      </c>
      <c r="B507">
        <v>2023</v>
      </c>
      <c r="C507">
        <v>0.53</v>
      </c>
      <c r="D507">
        <v>0.84</v>
      </c>
      <c r="E507">
        <v>0.71</v>
      </c>
      <c r="F507">
        <v>0.83</v>
      </c>
      <c r="G507">
        <v>0.88</v>
      </c>
      <c r="H507">
        <v>0.8</v>
      </c>
      <c r="I507">
        <v>302</v>
      </c>
      <c r="J507">
        <v>16</v>
      </c>
      <c r="K507">
        <v>0.72</v>
      </c>
      <c r="L507" t="s">
        <v>13</v>
      </c>
    </row>
    <row r="508" spans="1:12" x14ac:dyDescent="0.3">
      <c r="A508">
        <v>37</v>
      </c>
      <c r="B508">
        <v>2022</v>
      </c>
      <c r="C508">
        <v>0.92</v>
      </c>
      <c r="D508">
        <v>0.79</v>
      </c>
      <c r="E508">
        <v>0.73</v>
      </c>
      <c r="F508">
        <v>0.87</v>
      </c>
      <c r="G508">
        <v>0.73</v>
      </c>
      <c r="H508">
        <v>0.56999999999999995</v>
      </c>
      <c r="I508">
        <v>199</v>
      </c>
      <c r="J508">
        <v>15</v>
      </c>
      <c r="K508">
        <v>0.82</v>
      </c>
      <c r="L508" t="s">
        <v>13</v>
      </c>
    </row>
    <row r="509" spans="1:12" x14ac:dyDescent="0.3">
      <c r="A509">
        <v>28</v>
      </c>
      <c r="B509">
        <v>2023</v>
      </c>
      <c r="C509">
        <v>0.57999999999999996</v>
      </c>
      <c r="D509">
        <v>0.48</v>
      </c>
      <c r="E509">
        <v>0.57999999999999996</v>
      </c>
      <c r="F509">
        <v>0.98</v>
      </c>
      <c r="G509">
        <v>0.92</v>
      </c>
      <c r="H509">
        <v>0.91</v>
      </c>
      <c r="I509">
        <v>458</v>
      </c>
      <c r="J509">
        <v>8</v>
      </c>
      <c r="K509">
        <v>0.65</v>
      </c>
      <c r="L509" t="s">
        <v>12</v>
      </c>
    </row>
    <row r="510" spans="1:12" x14ac:dyDescent="0.3">
      <c r="A510">
        <v>65</v>
      </c>
      <c r="B510">
        <v>2023</v>
      </c>
      <c r="C510">
        <v>0.77</v>
      </c>
      <c r="D510">
        <v>0.69</v>
      </c>
      <c r="E510">
        <v>0.71</v>
      </c>
      <c r="F510">
        <v>0.74</v>
      </c>
      <c r="G510">
        <v>0.72</v>
      </c>
      <c r="H510">
        <v>0.57999999999999996</v>
      </c>
      <c r="I510">
        <v>274</v>
      </c>
      <c r="J510">
        <v>6</v>
      </c>
      <c r="K510">
        <v>0.73</v>
      </c>
      <c r="L510" t="s">
        <v>13</v>
      </c>
    </row>
    <row r="511" spans="1:12" x14ac:dyDescent="0.3">
      <c r="A511">
        <v>23</v>
      </c>
      <c r="B511">
        <v>2023</v>
      </c>
      <c r="C511">
        <v>0.7</v>
      </c>
      <c r="D511">
        <v>0.53</v>
      </c>
      <c r="E511">
        <v>0.87</v>
      </c>
      <c r="F511">
        <v>0.61</v>
      </c>
      <c r="G511">
        <v>0.55000000000000004</v>
      </c>
      <c r="H511">
        <v>0.78</v>
      </c>
      <c r="I511">
        <v>389</v>
      </c>
      <c r="J511">
        <v>5</v>
      </c>
      <c r="K511">
        <v>0.66</v>
      </c>
      <c r="L511" t="s">
        <v>12</v>
      </c>
    </row>
    <row r="512" spans="1:12" x14ac:dyDescent="0.3">
      <c r="A512">
        <v>91</v>
      </c>
      <c r="B512">
        <v>2021</v>
      </c>
      <c r="C512">
        <v>0.82</v>
      </c>
      <c r="D512">
        <v>0.65</v>
      </c>
      <c r="E512">
        <v>0.6</v>
      </c>
      <c r="F512">
        <v>0.81</v>
      </c>
      <c r="G512">
        <v>0.39</v>
      </c>
      <c r="H512">
        <v>0.44</v>
      </c>
      <c r="I512">
        <v>197</v>
      </c>
      <c r="J512">
        <v>4</v>
      </c>
      <c r="K512">
        <v>0.69</v>
      </c>
      <c r="L512" t="s">
        <v>12</v>
      </c>
    </row>
    <row r="513" spans="1:12" x14ac:dyDescent="0.3">
      <c r="A513">
        <v>92</v>
      </c>
      <c r="B513">
        <v>2021</v>
      </c>
      <c r="C513">
        <v>0.79</v>
      </c>
      <c r="D513">
        <v>0.51</v>
      </c>
      <c r="E513">
        <v>0.66</v>
      </c>
      <c r="F513">
        <v>0.77</v>
      </c>
      <c r="G513">
        <v>0.94</v>
      </c>
      <c r="H513">
        <v>0.24</v>
      </c>
      <c r="I513">
        <v>439</v>
      </c>
      <c r="J513">
        <v>12</v>
      </c>
      <c r="K513">
        <v>0.71</v>
      </c>
      <c r="L513" t="s">
        <v>13</v>
      </c>
    </row>
    <row r="514" spans="1:12" x14ac:dyDescent="0.3">
      <c r="A514">
        <v>75</v>
      </c>
      <c r="B514">
        <v>2022</v>
      </c>
      <c r="C514">
        <v>0.96</v>
      </c>
      <c r="D514">
        <v>0.5</v>
      </c>
      <c r="E514">
        <v>0.74</v>
      </c>
      <c r="F514">
        <v>0.64</v>
      </c>
      <c r="G514">
        <v>0.74</v>
      </c>
      <c r="H514">
        <v>0.55000000000000004</v>
      </c>
      <c r="I514">
        <v>430</v>
      </c>
      <c r="J514">
        <v>12</v>
      </c>
      <c r="K514">
        <v>0.73</v>
      </c>
      <c r="L514" t="s">
        <v>13</v>
      </c>
    </row>
    <row r="515" spans="1:12" x14ac:dyDescent="0.3">
      <c r="A515">
        <v>35</v>
      </c>
      <c r="B515">
        <v>2021</v>
      </c>
      <c r="C515">
        <v>0.44</v>
      </c>
      <c r="D515">
        <v>0.41</v>
      </c>
      <c r="E515">
        <v>0.93</v>
      </c>
      <c r="F515">
        <v>0.83</v>
      </c>
      <c r="G515">
        <v>0.92</v>
      </c>
      <c r="H515">
        <v>0.6</v>
      </c>
      <c r="I515">
        <v>452</v>
      </c>
      <c r="J515">
        <v>18</v>
      </c>
      <c r="K515">
        <v>0.64</v>
      </c>
      <c r="L515" t="s">
        <v>12</v>
      </c>
    </row>
    <row r="516" spans="1:12" x14ac:dyDescent="0.3">
      <c r="A516">
        <v>25</v>
      </c>
      <c r="B516">
        <v>2023</v>
      </c>
      <c r="C516">
        <v>0.48</v>
      </c>
      <c r="D516">
        <v>0.6</v>
      </c>
      <c r="E516">
        <v>0.57999999999999996</v>
      </c>
      <c r="F516">
        <v>0.67</v>
      </c>
      <c r="G516">
        <v>0.85</v>
      </c>
      <c r="H516">
        <v>0.38</v>
      </c>
      <c r="I516">
        <v>394</v>
      </c>
      <c r="J516">
        <v>12</v>
      </c>
      <c r="K516">
        <v>0.6</v>
      </c>
      <c r="L516" t="s">
        <v>12</v>
      </c>
    </row>
    <row r="517" spans="1:12" x14ac:dyDescent="0.3">
      <c r="A517">
        <v>6</v>
      </c>
      <c r="B517">
        <v>2025</v>
      </c>
      <c r="C517">
        <v>0.6</v>
      </c>
      <c r="D517">
        <v>0.77</v>
      </c>
      <c r="E517">
        <v>0.54</v>
      </c>
      <c r="F517">
        <v>0.64</v>
      </c>
      <c r="G517">
        <v>0.42</v>
      </c>
      <c r="H517">
        <v>0.52</v>
      </c>
      <c r="I517">
        <v>293</v>
      </c>
      <c r="J517">
        <v>17</v>
      </c>
      <c r="K517">
        <v>0.62</v>
      </c>
      <c r="L517" t="s">
        <v>12</v>
      </c>
    </row>
    <row r="518" spans="1:12" x14ac:dyDescent="0.3">
      <c r="A518">
        <v>60</v>
      </c>
      <c r="B518">
        <v>2024</v>
      </c>
      <c r="C518">
        <v>0.55000000000000004</v>
      </c>
      <c r="D518">
        <v>0.76</v>
      </c>
      <c r="E518">
        <v>0.69</v>
      </c>
      <c r="F518">
        <v>0.95</v>
      </c>
      <c r="G518">
        <v>0.52</v>
      </c>
      <c r="H518">
        <v>0.28999999999999998</v>
      </c>
      <c r="I518">
        <v>258</v>
      </c>
      <c r="J518">
        <v>15</v>
      </c>
      <c r="K518">
        <v>0.69</v>
      </c>
      <c r="L518" t="s">
        <v>12</v>
      </c>
    </row>
    <row r="519" spans="1:12" x14ac:dyDescent="0.3">
      <c r="A519">
        <v>15</v>
      </c>
      <c r="B519">
        <v>2023</v>
      </c>
      <c r="C519">
        <v>0.69</v>
      </c>
      <c r="D519">
        <v>0.82</v>
      </c>
      <c r="E519">
        <v>0.83</v>
      </c>
      <c r="F519">
        <v>0.92</v>
      </c>
      <c r="G519">
        <v>0.92</v>
      </c>
      <c r="H519">
        <v>0.82</v>
      </c>
      <c r="I519">
        <v>309</v>
      </c>
      <c r="J519">
        <v>9</v>
      </c>
      <c r="K519">
        <v>0.81</v>
      </c>
      <c r="L519" t="s">
        <v>13</v>
      </c>
    </row>
    <row r="520" spans="1:12" x14ac:dyDescent="0.3">
      <c r="A520">
        <v>74</v>
      </c>
      <c r="B520">
        <v>2025</v>
      </c>
      <c r="C520">
        <v>0.5</v>
      </c>
      <c r="D520">
        <v>0.93</v>
      </c>
      <c r="E520">
        <v>0.52</v>
      </c>
      <c r="F520">
        <v>0.69</v>
      </c>
      <c r="G520">
        <v>0.93</v>
      </c>
      <c r="H520">
        <v>0.26</v>
      </c>
      <c r="I520">
        <v>148</v>
      </c>
      <c r="J520">
        <v>4</v>
      </c>
      <c r="K520">
        <v>0.68</v>
      </c>
      <c r="L520" t="s">
        <v>12</v>
      </c>
    </row>
    <row r="521" spans="1:12" x14ac:dyDescent="0.3">
      <c r="A521">
        <v>42</v>
      </c>
      <c r="B521">
        <v>2025</v>
      </c>
      <c r="C521">
        <v>0.45</v>
      </c>
      <c r="D521">
        <v>0.65</v>
      </c>
      <c r="E521">
        <v>0.68</v>
      </c>
      <c r="F521">
        <v>0.96</v>
      </c>
      <c r="G521">
        <v>0.33</v>
      </c>
      <c r="H521">
        <v>0.51</v>
      </c>
      <c r="I521">
        <v>295</v>
      </c>
      <c r="J521">
        <v>6</v>
      </c>
      <c r="K521">
        <v>0.61</v>
      </c>
      <c r="L521" t="s">
        <v>12</v>
      </c>
    </row>
    <row r="522" spans="1:12" x14ac:dyDescent="0.3">
      <c r="A522">
        <v>40</v>
      </c>
      <c r="B522">
        <v>2025</v>
      </c>
      <c r="C522">
        <v>0.95</v>
      </c>
      <c r="D522">
        <v>0.57999999999999996</v>
      </c>
      <c r="E522">
        <v>0.89</v>
      </c>
      <c r="F522">
        <v>0.91</v>
      </c>
      <c r="G522">
        <v>0.78</v>
      </c>
      <c r="H522">
        <v>0.97</v>
      </c>
      <c r="I522">
        <v>285</v>
      </c>
      <c r="J522">
        <v>16</v>
      </c>
      <c r="K522">
        <v>0.82</v>
      </c>
      <c r="L522" t="s">
        <v>13</v>
      </c>
    </row>
    <row r="523" spans="1:12" x14ac:dyDescent="0.3">
      <c r="A523">
        <v>2</v>
      </c>
      <c r="B523">
        <v>2021</v>
      </c>
      <c r="C523">
        <v>0.81</v>
      </c>
      <c r="D523">
        <v>0.75</v>
      </c>
      <c r="E523">
        <v>0.6</v>
      </c>
      <c r="F523">
        <v>0.8</v>
      </c>
      <c r="G523">
        <v>0.52</v>
      </c>
      <c r="H523">
        <v>0.43</v>
      </c>
      <c r="I523">
        <v>423</v>
      </c>
      <c r="J523">
        <v>19</v>
      </c>
      <c r="K523">
        <v>0.72</v>
      </c>
      <c r="L523" t="s">
        <v>13</v>
      </c>
    </row>
    <row r="524" spans="1:12" x14ac:dyDescent="0.3">
      <c r="A524">
        <v>64</v>
      </c>
      <c r="B524">
        <v>2025</v>
      </c>
      <c r="C524">
        <v>0.46</v>
      </c>
      <c r="D524">
        <v>0.64</v>
      </c>
      <c r="E524">
        <v>0.63</v>
      </c>
      <c r="F524">
        <v>0.68</v>
      </c>
      <c r="G524">
        <v>0.85</v>
      </c>
      <c r="H524">
        <v>0.91</v>
      </c>
      <c r="I524">
        <v>373</v>
      </c>
      <c r="J524">
        <v>14</v>
      </c>
      <c r="K524">
        <v>0.61</v>
      </c>
      <c r="L524" t="s">
        <v>12</v>
      </c>
    </row>
    <row r="525" spans="1:12" x14ac:dyDescent="0.3">
      <c r="A525">
        <v>89</v>
      </c>
      <c r="B525">
        <v>2024</v>
      </c>
      <c r="C525">
        <v>0.93</v>
      </c>
      <c r="D525">
        <v>0.91</v>
      </c>
      <c r="E525">
        <v>0.59</v>
      </c>
      <c r="F525">
        <v>0.98</v>
      </c>
      <c r="G525">
        <v>0.56000000000000005</v>
      </c>
      <c r="H525">
        <v>0.34</v>
      </c>
      <c r="I525">
        <v>193</v>
      </c>
      <c r="J525">
        <v>14</v>
      </c>
      <c r="K525">
        <v>0.83</v>
      </c>
      <c r="L525" t="s">
        <v>13</v>
      </c>
    </row>
    <row r="526" spans="1:12" x14ac:dyDescent="0.3">
      <c r="A526">
        <v>51</v>
      </c>
      <c r="B526">
        <v>2022</v>
      </c>
      <c r="C526">
        <v>0.52</v>
      </c>
      <c r="D526">
        <v>0.89</v>
      </c>
      <c r="E526">
        <v>0.94</v>
      </c>
      <c r="F526">
        <v>0.72</v>
      </c>
      <c r="G526">
        <v>0.9</v>
      </c>
      <c r="H526">
        <v>0.86</v>
      </c>
      <c r="I526">
        <v>83</v>
      </c>
      <c r="J526">
        <v>3</v>
      </c>
      <c r="K526">
        <v>0.76</v>
      </c>
      <c r="L526" t="s">
        <v>13</v>
      </c>
    </row>
    <row r="527" spans="1:12" x14ac:dyDescent="0.3">
      <c r="A527">
        <v>25</v>
      </c>
      <c r="B527">
        <v>2022</v>
      </c>
      <c r="C527">
        <v>0.96</v>
      </c>
      <c r="D527">
        <v>0.81</v>
      </c>
      <c r="E527">
        <v>0.67</v>
      </c>
      <c r="F527">
        <v>0.8</v>
      </c>
      <c r="G527">
        <v>0.75</v>
      </c>
      <c r="H527">
        <v>0.51</v>
      </c>
      <c r="I527">
        <v>164</v>
      </c>
      <c r="J527">
        <v>1</v>
      </c>
      <c r="K527">
        <v>0.82</v>
      </c>
      <c r="L527" t="s">
        <v>13</v>
      </c>
    </row>
    <row r="528" spans="1:12" x14ac:dyDescent="0.3">
      <c r="A528">
        <v>28</v>
      </c>
      <c r="B528">
        <v>2023</v>
      </c>
      <c r="C528">
        <v>0.42</v>
      </c>
      <c r="D528">
        <v>0.4</v>
      </c>
      <c r="E528">
        <v>0.72</v>
      </c>
      <c r="F528">
        <v>0.63</v>
      </c>
      <c r="G528">
        <v>0.78</v>
      </c>
      <c r="H528">
        <v>0.24</v>
      </c>
      <c r="I528">
        <v>364</v>
      </c>
      <c r="J528">
        <v>7</v>
      </c>
      <c r="K528">
        <v>0.54</v>
      </c>
      <c r="L528" t="s">
        <v>12</v>
      </c>
    </row>
    <row r="529" spans="1:12" x14ac:dyDescent="0.3">
      <c r="A529">
        <v>51</v>
      </c>
      <c r="B529">
        <v>2024</v>
      </c>
      <c r="C529">
        <v>0.5</v>
      </c>
      <c r="D529">
        <v>0.87</v>
      </c>
      <c r="E529">
        <v>0.9</v>
      </c>
      <c r="F529">
        <v>0.99</v>
      </c>
      <c r="G529">
        <v>0.72</v>
      </c>
      <c r="H529">
        <v>0.08</v>
      </c>
      <c r="I529">
        <v>245</v>
      </c>
      <c r="J529">
        <v>2</v>
      </c>
      <c r="K529">
        <v>0.77</v>
      </c>
      <c r="L529" t="s">
        <v>13</v>
      </c>
    </row>
    <row r="530" spans="1:12" x14ac:dyDescent="0.3">
      <c r="A530">
        <v>3</v>
      </c>
      <c r="B530">
        <v>2025</v>
      </c>
      <c r="C530">
        <v>0.34</v>
      </c>
      <c r="D530">
        <v>0.83</v>
      </c>
      <c r="E530">
        <v>0.74</v>
      </c>
      <c r="F530">
        <v>0.94</v>
      </c>
      <c r="G530">
        <v>0.56999999999999995</v>
      </c>
      <c r="H530">
        <v>0.17</v>
      </c>
      <c r="I530">
        <v>380</v>
      </c>
      <c r="J530">
        <v>9</v>
      </c>
      <c r="K530">
        <v>0.66</v>
      </c>
      <c r="L530" t="s">
        <v>12</v>
      </c>
    </row>
    <row r="531" spans="1:12" x14ac:dyDescent="0.3">
      <c r="A531">
        <v>33</v>
      </c>
      <c r="B531">
        <v>2022</v>
      </c>
      <c r="C531">
        <v>0.57999999999999996</v>
      </c>
      <c r="D531">
        <v>0.75</v>
      </c>
      <c r="E531">
        <v>0.65</v>
      </c>
      <c r="F531">
        <v>0.79</v>
      </c>
      <c r="G531">
        <v>0.86</v>
      </c>
      <c r="H531">
        <v>0.98</v>
      </c>
      <c r="I531">
        <v>52</v>
      </c>
      <c r="J531">
        <v>19</v>
      </c>
      <c r="K531">
        <v>0.7</v>
      </c>
      <c r="L531" t="s">
        <v>12</v>
      </c>
    </row>
    <row r="532" spans="1:12" x14ac:dyDescent="0.3">
      <c r="A532">
        <v>47</v>
      </c>
      <c r="B532">
        <v>2023</v>
      </c>
      <c r="C532">
        <v>0.89</v>
      </c>
      <c r="D532">
        <v>0.8</v>
      </c>
      <c r="E532">
        <v>0.85</v>
      </c>
      <c r="F532">
        <v>0.75</v>
      </c>
      <c r="G532">
        <v>0.92</v>
      </c>
      <c r="H532">
        <v>0.73</v>
      </c>
      <c r="I532">
        <v>200</v>
      </c>
      <c r="J532">
        <v>17</v>
      </c>
      <c r="K532">
        <v>0.84</v>
      </c>
      <c r="L532" t="s">
        <v>13</v>
      </c>
    </row>
    <row r="533" spans="1:12" x14ac:dyDescent="0.3">
      <c r="A533">
        <v>50</v>
      </c>
      <c r="B533">
        <v>2022</v>
      </c>
      <c r="C533">
        <v>0.33</v>
      </c>
      <c r="D533">
        <v>0.98</v>
      </c>
      <c r="E533">
        <v>0.84</v>
      </c>
      <c r="F533">
        <v>0.85</v>
      </c>
      <c r="G533">
        <v>0.49</v>
      </c>
      <c r="H533">
        <v>0.25</v>
      </c>
      <c r="I533">
        <v>96</v>
      </c>
      <c r="J533">
        <v>12</v>
      </c>
      <c r="K533">
        <v>0.69</v>
      </c>
      <c r="L533" t="s">
        <v>12</v>
      </c>
    </row>
    <row r="534" spans="1:12" x14ac:dyDescent="0.3">
      <c r="A534">
        <v>98</v>
      </c>
      <c r="B534">
        <v>2025</v>
      </c>
      <c r="C534">
        <v>0.4</v>
      </c>
      <c r="D534">
        <v>0.41</v>
      </c>
      <c r="E534">
        <v>0.77</v>
      </c>
      <c r="F534">
        <v>0.99</v>
      </c>
      <c r="G534">
        <v>0.56000000000000005</v>
      </c>
      <c r="H534">
        <v>0.36</v>
      </c>
      <c r="I534">
        <v>426</v>
      </c>
      <c r="J534">
        <v>1</v>
      </c>
      <c r="K534">
        <v>0.57999999999999996</v>
      </c>
      <c r="L534" t="s">
        <v>12</v>
      </c>
    </row>
    <row r="535" spans="1:12" x14ac:dyDescent="0.3">
      <c r="A535">
        <v>82</v>
      </c>
      <c r="B535">
        <v>2025</v>
      </c>
      <c r="C535">
        <v>0.32</v>
      </c>
      <c r="D535">
        <v>0.47</v>
      </c>
      <c r="E535">
        <v>0.71</v>
      </c>
      <c r="F535">
        <v>0.63</v>
      </c>
      <c r="G535">
        <v>0.57999999999999996</v>
      </c>
      <c r="H535">
        <v>0.47</v>
      </c>
      <c r="I535">
        <v>406</v>
      </c>
      <c r="J535">
        <v>13</v>
      </c>
      <c r="K535">
        <v>0.51</v>
      </c>
      <c r="L535" t="s">
        <v>12</v>
      </c>
    </row>
    <row r="536" spans="1:12" x14ac:dyDescent="0.3">
      <c r="A536">
        <v>89</v>
      </c>
      <c r="B536">
        <v>2025</v>
      </c>
      <c r="C536">
        <v>0.63</v>
      </c>
      <c r="D536">
        <v>0.65</v>
      </c>
      <c r="E536">
        <v>0.91</v>
      </c>
      <c r="F536">
        <v>0.96</v>
      </c>
      <c r="G536">
        <v>0.9</v>
      </c>
      <c r="H536">
        <v>0.67</v>
      </c>
      <c r="I536">
        <v>476</v>
      </c>
      <c r="J536">
        <v>16</v>
      </c>
      <c r="K536">
        <v>0.77</v>
      </c>
      <c r="L536" t="s">
        <v>13</v>
      </c>
    </row>
    <row r="537" spans="1:12" x14ac:dyDescent="0.3">
      <c r="A537">
        <v>80</v>
      </c>
      <c r="B537">
        <v>2022</v>
      </c>
      <c r="C537">
        <v>0.33</v>
      </c>
      <c r="D537">
        <v>0.96</v>
      </c>
      <c r="E537">
        <v>0.83</v>
      </c>
      <c r="F537">
        <v>0.9</v>
      </c>
      <c r="G537">
        <v>0.52</v>
      </c>
      <c r="H537">
        <v>0.85</v>
      </c>
      <c r="I537">
        <v>118</v>
      </c>
      <c r="J537">
        <v>19</v>
      </c>
      <c r="K537">
        <v>0.69</v>
      </c>
      <c r="L537" t="s">
        <v>12</v>
      </c>
    </row>
    <row r="538" spans="1:12" x14ac:dyDescent="0.3">
      <c r="A538">
        <v>64</v>
      </c>
      <c r="B538">
        <v>2023</v>
      </c>
      <c r="C538">
        <v>0.34</v>
      </c>
      <c r="D538">
        <v>0.52</v>
      </c>
      <c r="E538">
        <v>0.71</v>
      </c>
      <c r="F538">
        <v>0.69</v>
      </c>
      <c r="G538">
        <v>0.3</v>
      </c>
      <c r="H538">
        <v>0.92</v>
      </c>
      <c r="I538">
        <v>369</v>
      </c>
      <c r="J538">
        <v>1</v>
      </c>
      <c r="K538">
        <v>0.51</v>
      </c>
      <c r="L538" t="s">
        <v>12</v>
      </c>
    </row>
    <row r="539" spans="1:12" x14ac:dyDescent="0.3">
      <c r="A539">
        <v>55</v>
      </c>
      <c r="B539">
        <v>2025</v>
      </c>
      <c r="C539">
        <v>0.38</v>
      </c>
      <c r="D539">
        <v>0.44</v>
      </c>
      <c r="E539">
        <v>0.86</v>
      </c>
      <c r="F539">
        <v>0.97</v>
      </c>
      <c r="G539">
        <v>0.6</v>
      </c>
      <c r="H539">
        <v>0.12</v>
      </c>
      <c r="I539">
        <v>309</v>
      </c>
      <c r="J539">
        <v>17</v>
      </c>
      <c r="K539">
        <v>0.6</v>
      </c>
      <c r="L539" t="s">
        <v>12</v>
      </c>
    </row>
    <row r="540" spans="1:12" x14ac:dyDescent="0.3">
      <c r="A540">
        <v>27</v>
      </c>
      <c r="B540">
        <v>2023</v>
      </c>
      <c r="C540">
        <v>0.82</v>
      </c>
      <c r="D540">
        <v>0.83</v>
      </c>
      <c r="E540">
        <v>0.62</v>
      </c>
      <c r="F540">
        <v>0.9</v>
      </c>
      <c r="G540">
        <v>0.94</v>
      </c>
      <c r="H540">
        <v>0.11</v>
      </c>
      <c r="I540">
        <v>339</v>
      </c>
      <c r="J540">
        <v>17</v>
      </c>
      <c r="K540">
        <v>0.81</v>
      </c>
      <c r="L540" t="s">
        <v>13</v>
      </c>
    </row>
    <row r="541" spans="1:12" x14ac:dyDescent="0.3">
      <c r="A541">
        <v>88</v>
      </c>
      <c r="B541">
        <v>2021</v>
      </c>
      <c r="C541">
        <v>0.56999999999999995</v>
      </c>
      <c r="D541">
        <v>0.88</v>
      </c>
      <c r="E541">
        <v>0.67</v>
      </c>
      <c r="F541">
        <v>0.78</v>
      </c>
      <c r="G541">
        <v>0.77</v>
      </c>
      <c r="H541">
        <v>0.51</v>
      </c>
      <c r="I541">
        <v>128</v>
      </c>
      <c r="J541">
        <v>17</v>
      </c>
      <c r="K541">
        <v>0.72</v>
      </c>
      <c r="L541" t="s">
        <v>13</v>
      </c>
    </row>
    <row r="542" spans="1:12" x14ac:dyDescent="0.3">
      <c r="A542">
        <v>23</v>
      </c>
      <c r="B542">
        <v>2023</v>
      </c>
      <c r="C542">
        <v>0.32</v>
      </c>
      <c r="D542">
        <v>0.72</v>
      </c>
      <c r="E542">
        <v>0.52</v>
      </c>
      <c r="F542">
        <v>0.92</v>
      </c>
      <c r="G542">
        <v>0.52</v>
      </c>
      <c r="H542">
        <v>0.56000000000000005</v>
      </c>
      <c r="I542">
        <v>119</v>
      </c>
      <c r="J542">
        <v>0</v>
      </c>
      <c r="K542">
        <v>0.56999999999999995</v>
      </c>
      <c r="L542" t="s">
        <v>12</v>
      </c>
    </row>
    <row r="543" spans="1:12" x14ac:dyDescent="0.3">
      <c r="A543">
        <v>68</v>
      </c>
      <c r="B543">
        <v>2021</v>
      </c>
      <c r="C543">
        <v>0.9</v>
      </c>
      <c r="D543">
        <v>0.46</v>
      </c>
      <c r="E543">
        <v>0.85</v>
      </c>
      <c r="F543">
        <v>0.74</v>
      </c>
      <c r="G543">
        <v>0.3</v>
      </c>
      <c r="H543">
        <v>0.4</v>
      </c>
      <c r="I543">
        <v>484</v>
      </c>
      <c r="J543">
        <v>18</v>
      </c>
      <c r="K543">
        <v>0.7</v>
      </c>
      <c r="L543" t="s">
        <v>12</v>
      </c>
    </row>
    <row r="544" spans="1:12" x14ac:dyDescent="0.3">
      <c r="A544">
        <v>70</v>
      </c>
      <c r="B544">
        <v>2024</v>
      </c>
      <c r="C544">
        <v>0.88</v>
      </c>
      <c r="D544">
        <v>0.4</v>
      </c>
      <c r="E544">
        <v>0.65</v>
      </c>
      <c r="F544">
        <v>0.7</v>
      </c>
      <c r="G544">
        <v>0.46</v>
      </c>
      <c r="H544">
        <v>7.0000000000000007E-2</v>
      </c>
      <c r="I544">
        <v>132</v>
      </c>
      <c r="J544">
        <v>2</v>
      </c>
      <c r="K544">
        <v>0.64</v>
      </c>
      <c r="L544" t="s">
        <v>12</v>
      </c>
    </row>
    <row r="545" spans="1:12" x14ac:dyDescent="0.3">
      <c r="A545">
        <v>62</v>
      </c>
      <c r="B545">
        <v>2025</v>
      </c>
      <c r="C545">
        <v>0.91</v>
      </c>
      <c r="D545">
        <v>0.94</v>
      </c>
      <c r="E545">
        <v>0.75</v>
      </c>
      <c r="F545">
        <v>0.73</v>
      </c>
      <c r="G545">
        <v>0.37</v>
      </c>
      <c r="H545">
        <v>0.95</v>
      </c>
      <c r="I545">
        <v>161</v>
      </c>
      <c r="J545">
        <v>17</v>
      </c>
      <c r="K545">
        <v>0.8</v>
      </c>
      <c r="L545" t="s">
        <v>13</v>
      </c>
    </row>
    <row r="546" spans="1:12" x14ac:dyDescent="0.3">
      <c r="A546">
        <v>17</v>
      </c>
      <c r="B546">
        <v>2021</v>
      </c>
      <c r="C546">
        <v>0.89</v>
      </c>
      <c r="D546">
        <v>0.95</v>
      </c>
      <c r="E546">
        <v>0.86</v>
      </c>
      <c r="F546">
        <v>0.71</v>
      </c>
      <c r="G546">
        <v>0.53</v>
      </c>
      <c r="H546">
        <v>0.02</v>
      </c>
      <c r="I546">
        <v>163</v>
      </c>
      <c r="J546">
        <v>0</v>
      </c>
      <c r="K546">
        <v>0.84</v>
      </c>
      <c r="L546" t="s">
        <v>13</v>
      </c>
    </row>
    <row r="547" spans="1:12" x14ac:dyDescent="0.3">
      <c r="A547">
        <v>52</v>
      </c>
      <c r="B547">
        <v>2025</v>
      </c>
      <c r="C547">
        <v>0.68</v>
      </c>
      <c r="D547">
        <v>0.45</v>
      </c>
      <c r="E547">
        <v>0.98</v>
      </c>
      <c r="F547">
        <v>0.7</v>
      </c>
      <c r="G547">
        <v>0.9</v>
      </c>
      <c r="H547">
        <v>0.17</v>
      </c>
      <c r="I547">
        <v>110</v>
      </c>
      <c r="J547">
        <v>7</v>
      </c>
      <c r="K547">
        <v>0.71</v>
      </c>
      <c r="L547" t="s">
        <v>13</v>
      </c>
    </row>
    <row r="548" spans="1:12" x14ac:dyDescent="0.3">
      <c r="A548">
        <v>26</v>
      </c>
      <c r="B548">
        <v>2024</v>
      </c>
      <c r="C548">
        <v>0.84</v>
      </c>
      <c r="D548">
        <v>0.96</v>
      </c>
      <c r="E548">
        <v>0.95</v>
      </c>
      <c r="F548">
        <v>0.93</v>
      </c>
      <c r="G548">
        <v>0.92</v>
      </c>
      <c r="H548">
        <v>0.2</v>
      </c>
      <c r="I548">
        <v>376</v>
      </c>
      <c r="J548">
        <v>11</v>
      </c>
      <c r="K548">
        <v>0.91</v>
      </c>
      <c r="L548" t="s">
        <v>13</v>
      </c>
    </row>
    <row r="549" spans="1:12" x14ac:dyDescent="0.3">
      <c r="A549">
        <v>79</v>
      </c>
      <c r="B549">
        <v>2022</v>
      </c>
      <c r="C549">
        <v>0.56000000000000005</v>
      </c>
      <c r="D549">
        <v>0.64</v>
      </c>
      <c r="E549">
        <v>0.77</v>
      </c>
      <c r="F549">
        <v>0.66</v>
      </c>
      <c r="G549">
        <v>0.78</v>
      </c>
      <c r="H549">
        <v>0.17</v>
      </c>
      <c r="I549">
        <v>174</v>
      </c>
      <c r="J549">
        <v>16</v>
      </c>
      <c r="K549">
        <v>0.66</v>
      </c>
      <c r="L549" t="s">
        <v>12</v>
      </c>
    </row>
    <row r="550" spans="1:12" x14ac:dyDescent="0.3">
      <c r="A550">
        <v>12</v>
      </c>
      <c r="B550">
        <v>2021</v>
      </c>
      <c r="C550">
        <v>0.75</v>
      </c>
      <c r="D550">
        <v>0.49</v>
      </c>
      <c r="E550">
        <v>0.77</v>
      </c>
      <c r="F550">
        <v>0.63</v>
      </c>
      <c r="G550">
        <v>0.56000000000000005</v>
      </c>
      <c r="H550">
        <v>0.41</v>
      </c>
      <c r="I550">
        <v>328</v>
      </c>
      <c r="J550">
        <v>12</v>
      </c>
      <c r="K550">
        <v>0.65</v>
      </c>
      <c r="L550" t="s">
        <v>12</v>
      </c>
    </row>
    <row r="551" spans="1:12" x14ac:dyDescent="0.3">
      <c r="A551">
        <v>7</v>
      </c>
      <c r="B551">
        <v>2024</v>
      </c>
      <c r="C551">
        <v>0.98</v>
      </c>
      <c r="D551">
        <v>0.84</v>
      </c>
      <c r="E551">
        <v>0.85</v>
      </c>
      <c r="F551">
        <v>0.94</v>
      </c>
      <c r="G551">
        <v>0.38</v>
      </c>
      <c r="H551">
        <v>0.71</v>
      </c>
      <c r="I551">
        <v>179</v>
      </c>
      <c r="J551">
        <v>0</v>
      </c>
      <c r="K551">
        <v>0.85</v>
      </c>
      <c r="L551" t="s">
        <v>13</v>
      </c>
    </row>
    <row r="552" spans="1:12" x14ac:dyDescent="0.3">
      <c r="A552">
        <v>80</v>
      </c>
      <c r="B552">
        <v>2025</v>
      </c>
      <c r="C552">
        <v>0.54</v>
      </c>
      <c r="D552">
        <v>0.78</v>
      </c>
      <c r="E552">
        <v>0.6</v>
      </c>
      <c r="F552">
        <v>0.66</v>
      </c>
      <c r="G552">
        <v>0.96</v>
      </c>
      <c r="H552">
        <v>0.92</v>
      </c>
      <c r="I552">
        <v>52</v>
      </c>
      <c r="J552">
        <v>17</v>
      </c>
      <c r="K552">
        <v>0.67</v>
      </c>
      <c r="L552" t="s">
        <v>12</v>
      </c>
    </row>
    <row r="553" spans="1:12" x14ac:dyDescent="0.3">
      <c r="A553">
        <v>43</v>
      </c>
      <c r="B553">
        <v>2021</v>
      </c>
      <c r="C553">
        <v>0.53</v>
      </c>
      <c r="D553">
        <v>0.59</v>
      </c>
      <c r="E553">
        <v>0.82</v>
      </c>
      <c r="F553">
        <v>0.74</v>
      </c>
      <c r="G553">
        <v>0.4</v>
      </c>
      <c r="H553">
        <v>0.6</v>
      </c>
      <c r="I553">
        <v>277</v>
      </c>
      <c r="J553">
        <v>16</v>
      </c>
      <c r="K553">
        <v>0.62</v>
      </c>
      <c r="L553" t="s">
        <v>12</v>
      </c>
    </row>
    <row r="554" spans="1:12" x14ac:dyDescent="0.3">
      <c r="A554">
        <v>97</v>
      </c>
      <c r="B554">
        <v>2022</v>
      </c>
      <c r="C554">
        <v>0.98</v>
      </c>
      <c r="D554">
        <v>0.79</v>
      </c>
      <c r="E554">
        <v>0.78</v>
      </c>
      <c r="F554">
        <v>0.97</v>
      </c>
      <c r="G554">
        <v>0.71</v>
      </c>
      <c r="H554">
        <v>0.53</v>
      </c>
      <c r="I554">
        <v>111</v>
      </c>
      <c r="J554">
        <v>16</v>
      </c>
      <c r="K554">
        <v>0.86</v>
      </c>
      <c r="L554" t="s">
        <v>13</v>
      </c>
    </row>
    <row r="555" spans="1:12" x14ac:dyDescent="0.3">
      <c r="A555">
        <v>64</v>
      </c>
      <c r="B555">
        <v>2023</v>
      </c>
      <c r="C555">
        <v>0.86</v>
      </c>
      <c r="D555">
        <v>0.51</v>
      </c>
      <c r="E555">
        <v>0.55000000000000004</v>
      </c>
      <c r="F555">
        <v>0.95</v>
      </c>
      <c r="G555">
        <v>0.54</v>
      </c>
      <c r="H555">
        <v>0.68</v>
      </c>
      <c r="I555">
        <v>327</v>
      </c>
      <c r="J555">
        <v>0</v>
      </c>
      <c r="K555">
        <v>0.69</v>
      </c>
      <c r="L555" t="s">
        <v>12</v>
      </c>
    </row>
    <row r="556" spans="1:12" x14ac:dyDescent="0.3">
      <c r="A556">
        <v>75</v>
      </c>
      <c r="B556">
        <v>2022</v>
      </c>
      <c r="C556">
        <v>0.81</v>
      </c>
      <c r="D556">
        <v>0.62</v>
      </c>
      <c r="E556">
        <v>0.54</v>
      </c>
      <c r="F556">
        <v>0.68</v>
      </c>
      <c r="G556">
        <v>0.68</v>
      </c>
      <c r="H556">
        <v>0.21</v>
      </c>
      <c r="I556">
        <v>146</v>
      </c>
      <c r="J556">
        <v>16</v>
      </c>
      <c r="K556">
        <v>0.68</v>
      </c>
      <c r="L556" t="s">
        <v>12</v>
      </c>
    </row>
    <row r="557" spans="1:12" x14ac:dyDescent="0.3">
      <c r="A557">
        <v>88</v>
      </c>
      <c r="B557">
        <v>2025</v>
      </c>
      <c r="C557">
        <v>0.89</v>
      </c>
      <c r="D557">
        <v>0.64</v>
      </c>
      <c r="E557">
        <v>0.62</v>
      </c>
      <c r="F557">
        <v>0.92</v>
      </c>
      <c r="G557">
        <v>0.54</v>
      </c>
      <c r="H557">
        <v>0.11</v>
      </c>
      <c r="I557">
        <v>355</v>
      </c>
      <c r="J557">
        <v>15</v>
      </c>
      <c r="K557">
        <v>0.74</v>
      </c>
      <c r="L557" t="s">
        <v>13</v>
      </c>
    </row>
    <row r="558" spans="1:12" x14ac:dyDescent="0.3">
      <c r="A558">
        <v>94</v>
      </c>
      <c r="B558">
        <v>2022</v>
      </c>
      <c r="C558">
        <v>0.82</v>
      </c>
      <c r="D558">
        <v>0.73</v>
      </c>
      <c r="E558">
        <v>0.94</v>
      </c>
      <c r="F558">
        <v>0.82</v>
      </c>
      <c r="G558">
        <v>0.67</v>
      </c>
      <c r="H558">
        <v>0.2</v>
      </c>
      <c r="I558">
        <v>261</v>
      </c>
      <c r="J558">
        <v>4</v>
      </c>
      <c r="K558">
        <v>0.81</v>
      </c>
      <c r="L558" t="s">
        <v>13</v>
      </c>
    </row>
    <row r="559" spans="1:12" x14ac:dyDescent="0.3">
      <c r="A559">
        <v>45</v>
      </c>
      <c r="B559">
        <v>2022</v>
      </c>
      <c r="C559">
        <v>0.44</v>
      </c>
      <c r="D559">
        <v>0.93</v>
      </c>
      <c r="E559">
        <v>0.56000000000000005</v>
      </c>
      <c r="F559">
        <v>0.6</v>
      </c>
      <c r="G559">
        <v>0.65</v>
      </c>
      <c r="H559">
        <v>0.57999999999999996</v>
      </c>
      <c r="I559">
        <v>96</v>
      </c>
      <c r="J559">
        <v>10</v>
      </c>
      <c r="K559">
        <v>0.63</v>
      </c>
      <c r="L559" t="s">
        <v>12</v>
      </c>
    </row>
    <row r="560" spans="1:12" x14ac:dyDescent="0.3">
      <c r="A560">
        <v>9</v>
      </c>
      <c r="B560">
        <v>2025</v>
      </c>
      <c r="C560">
        <v>0.48</v>
      </c>
      <c r="D560">
        <v>0.68</v>
      </c>
      <c r="E560">
        <v>0.61</v>
      </c>
      <c r="F560">
        <v>0.9</v>
      </c>
      <c r="G560">
        <v>0.94</v>
      </c>
      <c r="H560">
        <v>0.42</v>
      </c>
      <c r="I560">
        <v>203</v>
      </c>
      <c r="J560">
        <v>13</v>
      </c>
      <c r="K560">
        <v>0.66</v>
      </c>
      <c r="L560" t="s">
        <v>12</v>
      </c>
    </row>
    <row r="561" spans="1:12" x14ac:dyDescent="0.3">
      <c r="A561">
        <v>92</v>
      </c>
      <c r="B561">
        <v>2021</v>
      </c>
      <c r="C561">
        <v>0.61</v>
      </c>
      <c r="D561">
        <v>0.69</v>
      </c>
      <c r="E561">
        <v>0.68</v>
      </c>
      <c r="F561">
        <v>0.96</v>
      </c>
      <c r="G561">
        <v>0.7</v>
      </c>
      <c r="H561">
        <v>0.76</v>
      </c>
      <c r="I561">
        <v>226</v>
      </c>
      <c r="J561">
        <v>2</v>
      </c>
      <c r="K561">
        <v>0.71</v>
      </c>
      <c r="L561" t="s">
        <v>13</v>
      </c>
    </row>
    <row r="562" spans="1:12" x14ac:dyDescent="0.3">
      <c r="A562">
        <v>49</v>
      </c>
      <c r="B562">
        <v>2022</v>
      </c>
      <c r="C562">
        <v>0.55000000000000004</v>
      </c>
      <c r="D562">
        <v>0.88</v>
      </c>
      <c r="E562">
        <v>0.97</v>
      </c>
      <c r="F562">
        <v>0.85</v>
      </c>
      <c r="G562">
        <v>0.82</v>
      </c>
      <c r="H562">
        <v>0.81</v>
      </c>
      <c r="I562">
        <v>238</v>
      </c>
      <c r="J562">
        <v>0</v>
      </c>
      <c r="K562">
        <v>0.79</v>
      </c>
      <c r="L562" t="s">
        <v>13</v>
      </c>
    </row>
    <row r="563" spans="1:12" x14ac:dyDescent="0.3">
      <c r="A563">
        <v>49</v>
      </c>
      <c r="B563">
        <v>2021</v>
      </c>
      <c r="C563">
        <v>0.57999999999999996</v>
      </c>
      <c r="D563">
        <v>0.8</v>
      </c>
      <c r="E563">
        <v>0.73</v>
      </c>
      <c r="F563">
        <v>0.9</v>
      </c>
      <c r="G563">
        <v>0.55000000000000004</v>
      </c>
      <c r="H563">
        <v>0.63</v>
      </c>
      <c r="I563">
        <v>385</v>
      </c>
      <c r="J563">
        <v>6</v>
      </c>
      <c r="K563">
        <v>0.71</v>
      </c>
      <c r="L563" t="s">
        <v>13</v>
      </c>
    </row>
    <row r="564" spans="1:12" x14ac:dyDescent="0.3">
      <c r="A564">
        <v>78</v>
      </c>
      <c r="B564">
        <v>2023</v>
      </c>
      <c r="C564">
        <v>0.38</v>
      </c>
      <c r="D564">
        <v>0.76</v>
      </c>
      <c r="E564">
        <v>0.74</v>
      </c>
      <c r="F564">
        <v>0.61</v>
      </c>
      <c r="G564">
        <v>0.56999999999999995</v>
      </c>
      <c r="H564">
        <v>0.11</v>
      </c>
      <c r="I564">
        <v>117</v>
      </c>
      <c r="J564">
        <v>10</v>
      </c>
      <c r="K564">
        <v>0.6</v>
      </c>
      <c r="L564" t="s">
        <v>12</v>
      </c>
    </row>
    <row r="565" spans="1:12" x14ac:dyDescent="0.3">
      <c r="A565">
        <v>2</v>
      </c>
      <c r="B565">
        <v>2024</v>
      </c>
      <c r="C565">
        <v>0.63</v>
      </c>
      <c r="D565">
        <v>0.94</v>
      </c>
      <c r="E565">
        <v>0.76</v>
      </c>
      <c r="F565">
        <v>0.88</v>
      </c>
      <c r="G565">
        <v>0.48</v>
      </c>
      <c r="H565">
        <v>0.45</v>
      </c>
      <c r="I565">
        <v>331</v>
      </c>
      <c r="J565">
        <v>15</v>
      </c>
      <c r="K565">
        <v>0.76</v>
      </c>
      <c r="L565" t="s">
        <v>13</v>
      </c>
    </row>
    <row r="566" spans="1:12" x14ac:dyDescent="0.3">
      <c r="A566">
        <v>100</v>
      </c>
      <c r="B566">
        <v>2022</v>
      </c>
      <c r="C566">
        <v>0.32</v>
      </c>
      <c r="D566">
        <v>0.61</v>
      </c>
      <c r="E566">
        <v>0.67</v>
      </c>
      <c r="F566">
        <v>0.76</v>
      </c>
      <c r="G566">
        <v>0.4</v>
      </c>
      <c r="H566">
        <v>0.74</v>
      </c>
      <c r="I566">
        <v>325</v>
      </c>
      <c r="J566">
        <v>13</v>
      </c>
      <c r="K566">
        <v>0.54</v>
      </c>
      <c r="L566" t="s">
        <v>12</v>
      </c>
    </row>
    <row r="567" spans="1:12" x14ac:dyDescent="0.3">
      <c r="A567">
        <v>3</v>
      </c>
      <c r="B567">
        <v>2024</v>
      </c>
      <c r="C567">
        <v>0.79</v>
      </c>
      <c r="D567">
        <v>0.91</v>
      </c>
      <c r="E567">
        <v>0.71</v>
      </c>
      <c r="F567">
        <v>0.72</v>
      </c>
      <c r="G567">
        <v>0.96</v>
      </c>
      <c r="H567">
        <v>0.52</v>
      </c>
      <c r="I567">
        <v>241</v>
      </c>
      <c r="J567">
        <v>3</v>
      </c>
      <c r="K567">
        <v>0.81</v>
      </c>
      <c r="L567" t="s">
        <v>13</v>
      </c>
    </row>
    <row r="568" spans="1:12" x14ac:dyDescent="0.3">
      <c r="A568">
        <v>22</v>
      </c>
      <c r="B568">
        <v>2022</v>
      </c>
      <c r="C568">
        <v>0.53</v>
      </c>
      <c r="D568">
        <v>0.89</v>
      </c>
      <c r="E568">
        <v>0.8</v>
      </c>
      <c r="F568">
        <v>0.76</v>
      </c>
      <c r="G568">
        <v>0.63</v>
      </c>
      <c r="H568">
        <v>0.85</v>
      </c>
      <c r="I568">
        <v>311</v>
      </c>
      <c r="J568">
        <v>19</v>
      </c>
      <c r="K568">
        <v>0.72</v>
      </c>
      <c r="L568" t="s">
        <v>13</v>
      </c>
    </row>
    <row r="569" spans="1:12" x14ac:dyDescent="0.3">
      <c r="A569">
        <v>27</v>
      </c>
      <c r="B569">
        <v>2025</v>
      </c>
      <c r="C569">
        <v>0.36</v>
      </c>
      <c r="D569">
        <v>0.87</v>
      </c>
      <c r="E569">
        <v>0.92</v>
      </c>
      <c r="F569">
        <v>0.67</v>
      </c>
      <c r="G569">
        <v>0.6</v>
      </c>
      <c r="H569">
        <v>0.17</v>
      </c>
      <c r="I569">
        <v>72</v>
      </c>
      <c r="J569">
        <v>4</v>
      </c>
      <c r="K569">
        <v>0.67</v>
      </c>
      <c r="L569" t="s">
        <v>12</v>
      </c>
    </row>
    <row r="570" spans="1:12" x14ac:dyDescent="0.3">
      <c r="A570">
        <v>9</v>
      </c>
      <c r="B570">
        <v>2023</v>
      </c>
      <c r="C570">
        <v>0.44</v>
      </c>
      <c r="D570">
        <v>0.53</v>
      </c>
      <c r="E570">
        <v>0.52</v>
      </c>
      <c r="F570">
        <v>0.73</v>
      </c>
      <c r="G570">
        <v>0.69</v>
      </c>
      <c r="H570">
        <v>0.86</v>
      </c>
      <c r="I570">
        <v>430</v>
      </c>
      <c r="J570">
        <v>2</v>
      </c>
      <c r="K570">
        <v>0.55000000000000004</v>
      </c>
      <c r="L570" t="s">
        <v>12</v>
      </c>
    </row>
    <row r="571" spans="1:12" x14ac:dyDescent="0.3">
      <c r="A571">
        <v>14</v>
      </c>
      <c r="B571">
        <v>2022</v>
      </c>
      <c r="C571">
        <v>0.95</v>
      </c>
      <c r="D571">
        <v>0.72</v>
      </c>
      <c r="E571">
        <v>0.63</v>
      </c>
      <c r="F571">
        <v>0.62</v>
      </c>
      <c r="G571">
        <v>0.81</v>
      </c>
      <c r="H571">
        <v>0.12</v>
      </c>
      <c r="I571">
        <v>495</v>
      </c>
      <c r="J571">
        <v>18</v>
      </c>
      <c r="K571">
        <v>0.76</v>
      </c>
      <c r="L571" t="s">
        <v>13</v>
      </c>
    </row>
    <row r="572" spans="1:12" x14ac:dyDescent="0.3">
      <c r="A572">
        <v>1</v>
      </c>
      <c r="B572">
        <v>2024</v>
      </c>
      <c r="C572">
        <v>0.34</v>
      </c>
      <c r="D572">
        <v>0.5</v>
      </c>
      <c r="E572">
        <v>0.85</v>
      </c>
      <c r="F572">
        <v>0.88</v>
      </c>
      <c r="G572">
        <v>0.93</v>
      </c>
      <c r="H572">
        <v>0.57999999999999996</v>
      </c>
      <c r="I572">
        <v>68</v>
      </c>
      <c r="J572">
        <v>1</v>
      </c>
      <c r="K572">
        <v>0.62</v>
      </c>
      <c r="L572" t="s">
        <v>12</v>
      </c>
    </row>
    <row r="573" spans="1:12" x14ac:dyDescent="0.3">
      <c r="A573">
        <v>12</v>
      </c>
      <c r="B573">
        <v>2021</v>
      </c>
      <c r="C573">
        <v>0.8</v>
      </c>
      <c r="D573">
        <v>0.51</v>
      </c>
      <c r="E573">
        <v>0.66</v>
      </c>
      <c r="F573">
        <v>0.79</v>
      </c>
      <c r="G573">
        <v>0.32</v>
      </c>
      <c r="H573">
        <v>0.25</v>
      </c>
      <c r="I573">
        <v>51</v>
      </c>
      <c r="J573">
        <v>7</v>
      </c>
      <c r="K573">
        <v>0.65</v>
      </c>
      <c r="L573" t="s">
        <v>12</v>
      </c>
    </row>
    <row r="574" spans="1:12" x14ac:dyDescent="0.3">
      <c r="A574">
        <v>11</v>
      </c>
      <c r="B574">
        <v>2024</v>
      </c>
      <c r="C574">
        <v>0.66</v>
      </c>
      <c r="D574">
        <v>0.52</v>
      </c>
      <c r="E574">
        <v>0.9</v>
      </c>
      <c r="F574">
        <v>0.67</v>
      </c>
      <c r="G574">
        <v>0.36</v>
      </c>
      <c r="H574">
        <v>0.44</v>
      </c>
      <c r="I574">
        <v>63</v>
      </c>
      <c r="J574">
        <v>15</v>
      </c>
      <c r="K574">
        <v>0.64</v>
      </c>
      <c r="L574" t="s">
        <v>12</v>
      </c>
    </row>
    <row r="575" spans="1:12" x14ac:dyDescent="0.3">
      <c r="A575">
        <v>54</v>
      </c>
      <c r="B575">
        <v>2022</v>
      </c>
      <c r="C575">
        <v>0.49</v>
      </c>
      <c r="D575">
        <v>0.73</v>
      </c>
      <c r="E575">
        <v>0.67</v>
      </c>
      <c r="F575">
        <v>0.97</v>
      </c>
      <c r="G575">
        <v>0.95</v>
      </c>
      <c r="H575">
        <v>0.5</v>
      </c>
      <c r="I575">
        <v>178</v>
      </c>
      <c r="J575">
        <v>5</v>
      </c>
      <c r="K575">
        <v>0.7</v>
      </c>
      <c r="L575" t="s">
        <v>12</v>
      </c>
    </row>
    <row r="576" spans="1:12" x14ac:dyDescent="0.3">
      <c r="A576">
        <v>38</v>
      </c>
      <c r="B576">
        <v>2025</v>
      </c>
      <c r="C576">
        <v>0.63</v>
      </c>
      <c r="D576">
        <v>0.6</v>
      </c>
      <c r="E576">
        <v>0.96</v>
      </c>
      <c r="F576">
        <v>0.6</v>
      </c>
      <c r="G576">
        <v>0.69</v>
      </c>
      <c r="H576">
        <v>0.74</v>
      </c>
      <c r="I576">
        <v>457</v>
      </c>
      <c r="J576">
        <v>18</v>
      </c>
      <c r="K576">
        <v>0.69</v>
      </c>
      <c r="L576" t="s">
        <v>12</v>
      </c>
    </row>
    <row r="577" spans="1:12" x14ac:dyDescent="0.3">
      <c r="A577">
        <v>10</v>
      </c>
      <c r="B577">
        <v>2025</v>
      </c>
      <c r="C577">
        <v>0.66</v>
      </c>
      <c r="D577">
        <v>0.77</v>
      </c>
      <c r="E577">
        <v>0.62</v>
      </c>
      <c r="F577">
        <v>0.79</v>
      </c>
      <c r="G577">
        <v>0.6</v>
      </c>
      <c r="H577">
        <v>7.0000000000000007E-2</v>
      </c>
      <c r="I577">
        <v>362</v>
      </c>
      <c r="J577">
        <v>19</v>
      </c>
      <c r="K577">
        <v>0.69</v>
      </c>
      <c r="L577" t="s">
        <v>12</v>
      </c>
    </row>
    <row r="578" spans="1:12" x14ac:dyDescent="0.3">
      <c r="A578">
        <v>96</v>
      </c>
      <c r="B578">
        <v>2024</v>
      </c>
      <c r="C578">
        <v>0.47</v>
      </c>
      <c r="D578">
        <v>0.52</v>
      </c>
      <c r="E578">
        <v>0.75</v>
      </c>
      <c r="F578">
        <v>0.91</v>
      </c>
      <c r="G578">
        <v>0.34</v>
      </c>
      <c r="H578">
        <v>0.57999999999999996</v>
      </c>
      <c r="I578">
        <v>380</v>
      </c>
      <c r="J578">
        <v>1</v>
      </c>
      <c r="K578">
        <v>0.59</v>
      </c>
      <c r="L578" t="s">
        <v>12</v>
      </c>
    </row>
    <row r="579" spans="1:12" x14ac:dyDescent="0.3">
      <c r="A579">
        <v>57</v>
      </c>
      <c r="B579">
        <v>2024</v>
      </c>
      <c r="C579">
        <v>0.6</v>
      </c>
      <c r="D579">
        <v>0.63</v>
      </c>
      <c r="E579">
        <v>0.86</v>
      </c>
      <c r="F579">
        <v>0.82</v>
      </c>
      <c r="G579">
        <v>0.96</v>
      </c>
      <c r="H579">
        <v>0.25</v>
      </c>
      <c r="I579">
        <v>224</v>
      </c>
      <c r="J579">
        <v>0</v>
      </c>
      <c r="K579">
        <v>0.73</v>
      </c>
      <c r="L579" t="s">
        <v>13</v>
      </c>
    </row>
    <row r="580" spans="1:12" x14ac:dyDescent="0.3">
      <c r="A580">
        <v>98</v>
      </c>
      <c r="B580">
        <v>2024</v>
      </c>
      <c r="C580">
        <v>0.61</v>
      </c>
      <c r="D580">
        <v>0.75</v>
      </c>
      <c r="E580">
        <v>0.79</v>
      </c>
      <c r="F580">
        <v>0.73</v>
      </c>
      <c r="G580">
        <v>0.52</v>
      </c>
      <c r="H580">
        <v>0.11</v>
      </c>
      <c r="I580">
        <v>221</v>
      </c>
      <c r="J580">
        <v>9</v>
      </c>
      <c r="K580">
        <v>0.69</v>
      </c>
      <c r="L580" t="s">
        <v>12</v>
      </c>
    </row>
    <row r="581" spans="1:12" x14ac:dyDescent="0.3">
      <c r="A581">
        <v>87</v>
      </c>
      <c r="B581">
        <v>2024</v>
      </c>
      <c r="C581">
        <v>1</v>
      </c>
      <c r="D581">
        <v>0.92</v>
      </c>
      <c r="E581">
        <v>0.78</v>
      </c>
      <c r="F581">
        <v>0.81</v>
      </c>
      <c r="G581">
        <v>0.5</v>
      </c>
      <c r="H581">
        <v>0.52</v>
      </c>
      <c r="I581">
        <v>91</v>
      </c>
      <c r="J581">
        <v>18</v>
      </c>
      <c r="K581">
        <v>0.86</v>
      </c>
      <c r="L581" t="s">
        <v>13</v>
      </c>
    </row>
    <row r="582" spans="1:12" x14ac:dyDescent="0.3">
      <c r="A582">
        <v>82</v>
      </c>
      <c r="B582">
        <v>2025</v>
      </c>
      <c r="C582">
        <v>0.5</v>
      </c>
      <c r="D582">
        <v>0.52</v>
      </c>
      <c r="E582">
        <v>0.63</v>
      </c>
      <c r="F582">
        <v>0.67</v>
      </c>
      <c r="G582">
        <v>0.37</v>
      </c>
      <c r="H582">
        <v>0.42</v>
      </c>
      <c r="I582">
        <v>441</v>
      </c>
      <c r="J582">
        <v>17</v>
      </c>
      <c r="K582">
        <v>0.54</v>
      </c>
      <c r="L582" t="s">
        <v>12</v>
      </c>
    </row>
    <row r="583" spans="1:12" x14ac:dyDescent="0.3">
      <c r="A583">
        <v>57</v>
      </c>
      <c r="B583">
        <v>2025</v>
      </c>
      <c r="C583">
        <v>0.42</v>
      </c>
      <c r="D583">
        <v>0.44</v>
      </c>
      <c r="E583">
        <v>0.66</v>
      </c>
      <c r="F583">
        <v>0.69</v>
      </c>
      <c r="G583">
        <v>0.66</v>
      </c>
      <c r="H583">
        <v>0.1</v>
      </c>
      <c r="I583">
        <v>304</v>
      </c>
      <c r="J583">
        <v>11</v>
      </c>
      <c r="K583">
        <v>0.54</v>
      </c>
      <c r="L583" t="s">
        <v>12</v>
      </c>
    </row>
    <row r="584" spans="1:12" x14ac:dyDescent="0.3">
      <c r="A584">
        <v>2</v>
      </c>
      <c r="B584">
        <v>2023</v>
      </c>
      <c r="C584">
        <v>0.82</v>
      </c>
      <c r="D584">
        <v>0.72</v>
      </c>
      <c r="E584">
        <v>0.93</v>
      </c>
      <c r="F584">
        <v>0.88</v>
      </c>
      <c r="G584">
        <v>0.31</v>
      </c>
      <c r="H584">
        <v>0.39</v>
      </c>
      <c r="I584">
        <v>137</v>
      </c>
      <c r="J584">
        <v>11</v>
      </c>
      <c r="K584">
        <v>0.78</v>
      </c>
      <c r="L584" t="s">
        <v>13</v>
      </c>
    </row>
    <row r="585" spans="1:12" x14ac:dyDescent="0.3">
      <c r="A585">
        <v>16</v>
      </c>
      <c r="B585">
        <v>2024</v>
      </c>
      <c r="C585">
        <v>0.86</v>
      </c>
      <c r="D585">
        <v>0.5</v>
      </c>
      <c r="E585">
        <v>0.77</v>
      </c>
      <c r="F585">
        <v>0.68</v>
      </c>
      <c r="G585">
        <v>0.8</v>
      </c>
      <c r="H585">
        <v>0.27</v>
      </c>
      <c r="I585">
        <v>415</v>
      </c>
      <c r="J585">
        <v>17</v>
      </c>
      <c r="K585">
        <v>0.72</v>
      </c>
      <c r="L585" t="s">
        <v>13</v>
      </c>
    </row>
    <row r="586" spans="1:12" x14ac:dyDescent="0.3">
      <c r="A586">
        <v>15</v>
      </c>
      <c r="B586">
        <v>2022</v>
      </c>
      <c r="C586">
        <v>0.63</v>
      </c>
      <c r="D586">
        <v>0.8</v>
      </c>
      <c r="E586">
        <v>0.7</v>
      </c>
      <c r="F586">
        <v>0.72</v>
      </c>
      <c r="G586">
        <v>0.74</v>
      </c>
      <c r="H586">
        <v>0.15</v>
      </c>
      <c r="I586">
        <v>247</v>
      </c>
      <c r="J586">
        <v>0</v>
      </c>
      <c r="K586">
        <v>0.71</v>
      </c>
      <c r="L586" t="s">
        <v>13</v>
      </c>
    </row>
    <row r="587" spans="1:12" x14ac:dyDescent="0.3">
      <c r="A587">
        <v>4</v>
      </c>
      <c r="B587">
        <v>2023</v>
      </c>
      <c r="C587">
        <v>0.79</v>
      </c>
      <c r="D587">
        <v>0.97</v>
      </c>
      <c r="E587">
        <v>1</v>
      </c>
      <c r="F587">
        <v>0.78</v>
      </c>
      <c r="G587">
        <v>0.48</v>
      </c>
      <c r="H587">
        <v>0.44</v>
      </c>
      <c r="I587">
        <v>473</v>
      </c>
      <c r="J587">
        <v>12</v>
      </c>
      <c r="K587">
        <v>0.84</v>
      </c>
      <c r="L587" t="s">
        <v>13</v>
      </c>
    </row>
    <row r="588" spans="1:12" x14ac:dyDescent="0.3">
      <c r="A588">
        <v>23</v>
      </c>
      <c r="B588">
        <v>2023</v>
      </c>
      <c r="C588">
        <v>0.44</v>
      </c>
      <c r="D588">
        <v>0.86</v>
      </c>
      <c r="E588">
        <v>0.71</v>
      </c>
      <c r="F588">
        <v>0.83</v>
      </c>
      <c r="G588">
        <v>0.31</v>
      </c>
      <c r="H588">
        <v>0.03</v>
      </c>
      <c r="I588">
        <v>445</v>
      </c>
      <c r="J588">
        <v>4</v>
      </c>
      <c r="K588">
        <v>0.64</v>
      </c>
      <c r="L588" t="s">
        <v>12</v>
      </c>
    </row>
    <row r="589" spans="1:12" x14ac:dyDescent="0.3">
      <c r="A589">
        <v>97</v>
      </c>
      <c r="B589">
        <v>2024</v>
      </c>
      <c r="C589">
        <v>0.65</v>
      </c>
      <c r="D589">
        <v>0.64</v>
      </c>
      <c r="E589">
        <v>0.82</v>
      </c>
      <c r="F589">
        <v>0.85</v>
      </c>
      <c r="G589">
        <v>0.38</v>
      </c>
      <c r="H589">
        <v>0.98</v>
      </c>
      <c r="I589">
        <v>275</v>
      </c>
      <c r="J589">
        <v>12</v>
      </c>
      <c r="K589">
        <v>0.68</v>
      </c>
      <c r="L589" t="s">
        <v>12</v>
      </c>
    </row>
    <row r="590" spans="1:12" x14ac:dyDescent="0.3">
      <c r="A590">
        <v>58</v>
      </c>
      <c r="B590">
        <v>2023</v>
      </c>
      <c r="C590">
        <v>0.96</v>
      </c>
      <c r="D590">
        <v>0.56999999999999995</v>
      </c>
      <c r="E590">
        <v>0.67</v>
      </c>
      <c r="F590">
        <v>0.88</v>
      </c>
      <c r="G590">
        <v>0.84</v>
      </c>
      <c r="H590">
        <v>0.93</v>
      </c>
      <c r="I590">
        <v>123</v>
      </c>
      <c r="J590">
        <v>10</v>
      </c>
      <c r="K590">
        <v>0.78</v>
      </c>
      <c r="L590" t="s">
        <v>13</v>
      </c>
    </row>
    <row r="591" spans="1:12" x14ac:dyDescent="0.3">
      <c r="A591">
        <v>15</v>
      </c>
      <c r="B591">
        <v>2025</v>
      </c>
      <c r="C591">
        <v>0.57999999999999996</v>
      </c>
      <c r="D591">
        <v>0.55000000000000004</v>
      </c>
      <c r="E591">
        <v>0.6</v>
      </c>
      <c r="F591">
        <v>0.98</v>
      </c>
      <c r="G591">
        <v>0.94</v>
      </c>
      <c r="H591">
        <v>0.05</v>
      </c>
      <c r="I591">
        <v>341</v>
      </c>
      <c r="J591">
        <v>11</v>
      </c>
      <c r="K591">
        <v>0.67</v>
      </c>
      <c r="L591" t="s">
        <v>12</v>
      </c>
    </row>
    <row r="592" spans="1:12" x14ac:dyDescent="0.3">
      <c r="A592">
        <v>98</v>
      </c>
      <c r="B592">
        <v>2024</v>
      </c>
      <c r="C592">
        <v>0.74</v>
      </c>
      <c r="D592">
        <v>0.78</v>
      </c>
      <c r="E592">
        <v>0.93</v>
      </c>
      <c r="F592">
        <v>0.9</v>
      </c>
      <c r="G592">
        <v>0.68</v>
      </c>
      <c r="H592">
        <v>0.65</v>
      </c>
      <c r="I592">
        <v>275</v>
      </c>
      <c r="J592">
        <v>8</v>
      </c>
      <c r="K592">
        <v>0.81</v>
      </c>
      <c r="L592" t="s">
        <v>13</v>
      </c>
    </row>
    <row r="593" spans="1:12" x14ac:dyDescent="0.3">
      <c r="A593">
        <v>78</v>
      </c>
      <c r="B593">
        <v>2024</v>
      </c>
      <c r="C593">
        <v>0.64</v>
      </c>
      <c r="D593">
        <v>0.48</v>
      </c>
      <c r="E593">
        <v>0.62</v>
      </c>
      <c r="F593">
        <v>0.72</v>
      </c>
      <c r="G593">
        <v>0.95</v>
      </c>
      <c r="H593">
        <v>0.23</v>
      </c>
      <c r="I593">
        <v>403</v>
      </c>
      <c r="J593">
        <v>9</v>
      </c>
      <c r="K593">
        <v>0.64</v>
      </c>
      <c r="L593" t="s">
        <v>12</v>
      </c>
    </row>
    <row r="594" spans="1:12" x14ac:dyDescent="0.3">
      <c r="A594">
        <v>1</v>
      </c>
      <c r="B594">
        <v>2022</v>
      </c>
      <c r="C594">
        <v>0.38</v>
      </c>
      <c r="D594">
        <v>0.97</v>
      </c>
      <c r="E594">
        <v>0.93</v>
      </c>
      <c r="F594">
        <v>0.83</v>
      </c>
      <c r="G594">
        <v>0.77</v>
      </c>
      <c r="H594">
        <v>0.02</v>
      </c>
      <c r="I594">
        <v>495</v>
      </c>
      <c r="J594">
        <v>5</v>
      </c>
      <c r="K594">
        <v>0.74</v>
      </c>
      <c r="L594" t="s">
        <v>13</v>
      </c>
    </row>
    <row r="595" spans="1:12" x14ac:dyDescent="0.3">
      <c r="A595">
        <v>23</v>
      </c>
      <c r="B595">
        <v>2024</v>
      </c>
      <c r="C595">
        <v>0.79</v>
      </c>
      <c r="D595">
        <v>0.65</v>
      </c>
      <c r="E595">
        <v>0.75</v>
      </c>
      <c r="F595">
        <v>0.6</v>
      </c>
      <c r="G595">
        <v>0.78</v>
      </c>
      <c r="H595">
        <v>0.66</v>
      </c>
      <c r="I595">
        <v>288</v>
      </c>
      <c r="J595">
        <v>14</v>
      </c>
      <c r="K595">
        <v>0.72</v>
      </c>
      <c r="L595" t="s">
        <v>13</v>
      </c>
    </row>
    <row r="596" spans="1:12" x14ac:dyDescent="0.3">
      <c r="A596">
        <v>40</v>
      </c>
      <c r="B596">
        <v>2023</v>
      </c>
      <c r="C596">
        <v>0.66</v>
      </c>
      <c r="D596">
        <v>0.91</v>
      </c>
      <c r="E596">
        <v>0.73</v>
      </c>
      <c r="F596">
        <v>0.74</v>
      </c>
      <c r="G596">
        <v>0.68</v>
      </c>
      <c r="H596">
        <v>0.72</v>
      </c>
      <c r="I596">
        <v>76</v>
      </c>
      <c r="J596">
        <v>3</v>
      </c>
      <c r="K596">
        <v>0.75</v>
      </c>
      <c r="L596" t="s">
        <v>13</v>
      </c>
    </row>
    <row r="597" spans="1:12" x14ac:dyDescent="0.3">
      <c r="A597">
        <v>80</v>
      </c>
      <c r="B597">
        <v>2024</v>
      </c>
      <c r="C597">
        <v>0.63</v>
      </c>
      <c r="D597">
        <v>0.85</v>
      </c>
      <c r="E597">
        <v>0.84</v>
      </c>
      <c r="F597">
        <v>0.95</v>
      </c>
      <c r="G597">
        <v>1</v>
      </c>
      <c r="H597">
        <v>0.43</v>
      </c>
      <c r="I597">
        <v>125</v>
      </c>
      <c r="J597">
        <v>3</v>
      </c>
      <c r="K597">
        <v>0.81</v>
      </c>
      <c r="L597" t="s">
        <v>13</v>
      </c>
    </row>
    <row r="598" spans="1:12" x14ac:dyDescent="0.3">
      <c r="A598">
        <v>95</v>
      </c>
      <c r="B598">
        <v>2024</v>
      </c>
      <c r="C598">
        <v>0.44</v>
      </c>
      <c r="D598">
        <v>0.9</v>
      </c>
      <c r="E598">
        <v>0.78</v>
      </c>
      <c r="F598">
        <v>0.62</v>
      </c>
      <c r="G598">
        <v>0.98</v>
      </c>
      <c r="H598">
        <v>0.51</v>
      </c>
      <c r="I598">
        <v>194</v>
      </c>
      <c r="J598">
        <v>17</v>
      </c>
      <c r="K598">
        <v>0.7</v>
      </c>
      <c r="L598" t="s">
        <v>12</v>
      </c>
    </row>
    <row r="599" spans="1:12" x14ac:dyDescent="0.3">
      <c r="A599">
        <v>37</v>
      </c>
      <c r="B599">
        <v>2025</v>
      </c>
      <c r="C599">
        <v>0.76</v>
      </c>
      <c r="D599">
        <v>0.77</v>
      </c>
      <c r="E599">
        <v>0.59</v>
      </c>
      <c r="F599">
        <v>0.81</v>
      </c>
      <c r="G599">
        <v>0.8</v>
      </c>
      <c r="H599">
        <v>0.97</v>
      </c>
      <c r="I599">
        <v>349</v>
      </c>
      <c r="J599">
        <v>6</v>
      </c>
      <c r="K599">
        <v>0.74</v>
      </c>
      <c r="L599" t="s">
        <v>13</v>
      </c>
    </row>
    <row r="600" spans="1:12" x14ac:dyDescent="0.3">
      <c r="A600">
        <v>44</v>
      </c>
      <c r="B600">
        <v>2025</v>
      </c>
      <c r="C600">
        <v>0.53</v>
      </c>
      <c r="D600">
        <v>0.96</v>
      </c>
      <c r="E600">
        <v>0.67</v>
      </c>
      <c r="F600">
        <v>1</v>
      </c>
      <c r="G600">
        <v>0.64</v>
      </c>
      <c r="H600">
        <v>0.18</v>
      </c>
      <c r="I600">
        <v>427</v>
      </c>
      <c r="J600">
        <v>9</v>
      </c>
      <c r="K600">
        <v>0.75</v>
      </c>
      <c r="L600" t="s">
        <v>13</v>
      </c>
    </row>
    <row r="601" spans="1:12" x14ac:dyDescent="0.3">
      <c r="A601">
        <v>10</v>
      </c>
      <c r="B601">
        <v>2023</v>
      </c>
      <c r="C601">
        <v>0.99</v>
      </c>
      <c r="D601">
        <v>0.43</v>
      </c>
      <c r="E601">
        <v>0.55000000000000004</v>
      </c>
      <c r="F601">
        <v>0.89</v>
      </c>
      <c r="G601">
        <v>0.5</v>
      </c>
      <c r="H601">
        <v>0.18</v>
      </c>
      <c r="I601">
        <v>262</v>
      </c>
      <c r="J601">
        <v>16</v>
      </c>
      <c r="K601">
        <v>0.7</v>
      </c>
      <c r="L601" t="s">
        <v>12</v>
      </c>
    </row>
    <row r="602" spans="1:12" x14ac:dyDescent="0.3">
      <c r="A602">
        <v>9</v>
      </c>
      <c r="B602">
        <v>2021</v>
      </c>
      <c r="C602">
        <v>0.84</v>
      </c>
      <c r="D602">
        <v>0.48</v>
      </c>
      <c r="E602">
        <v>0.73</v>
      </c>
      <c r="F602">
        <v>0.84</v>
      </c>
      <c r="G602">
        <v>0.6</v>
      </c>
      <c r="H602">
        <v>0.03</v>
      </c>
      <c r="I602">
        <v>355</v>
      </c>
      <c r="J602">
        <v>0</v>
      </c>
      <c r="K602">
        <v>0.7</v>
      </c>
      <c r="L602" t="s">
        <v>12</v>
      </c>
    </row>
    <row r="603" spans="1:12" x14ac:dyDescent="0.3">
      <c r="A603">
        <v>13</v>
      </c>
      <c r="B603">
        <v>2021</v>
      </c>
      <c r="C603">
        <v>0.7</v>
      </c>
      <c r="D603">
        <v>0.88</v>
      </c>
      <c r="E603">
        <v>0.99</v>
      </c>
      <c r="F603">
        <v>0.7</v>
      </c>
      <c r="G603">
        <v>0.66</v>
      </c>
      <c r="H603">
        <v>0.91</v>
      </c>
      <c r="I603">
        <v>120</v>
      </c>
      <c r="J603">
        <v>15</v>
      </c>
      <c r="K603">
        <v>0.8</v>
      </c>
      <c r="L603" t="s">
        <v>13</v>
      </c>
    </row>
    <row r="604" spans="1:12" x14ac:dyDescent="0.3">
      <c r="A604">
        <v>56</v>
      </c>
      <c r="B604">
        <v>2024</v>
      </c>
      <c r="C604">
        <v>0.62</v>
      </c>
      <c r="D604">
        <v>0.56999999999999995</v>
      </c>
      <c r="E604">
        <v>0.98</v>
      </c>
      <c r="F604">
        <v>0.66</v>
      </c>
      <c r="G604">
        <v>0.71</v>
      </c>
      <c r="H604">
        <v>0.28000000000000003</v>
      </c>
      <c r="I604">
        <v>142</v>
      </c>
      <c r="J604">
        <v>18</v>
      </c>
      <c r="K604">
        <v>0.69</v>
      </c>
      <c r="L604" t="s">
        <v>12</v>
      </c>
    </row>
    <row r="605" spans="1:12" x14ac:dyDescent="0.3">
      <c r="A605">
        <v>97</v>
      </c>
      <c r="B605">
        <v>2021</v>
      </c>
      <c r="C605">
        <v>0.71</v>
      </c>
      <c r="D605">
        <v>0.89</v>
      </c>
      <c r="E605">
        <v>0.7</v>
      </c>
      <c r="F605">
        <v>0.78</v>
      </c>
      <c r="G605">
        <v>0.81</v>
      </c>
      <c r="H605">
        <v>0.36</v>
      </c>
      <c r="I605">
        <v>104</v>
      </c>
      <c r="J605">
        <v>19</v>
      </c>
      <c r="K605">
        <v>0.77</v>
      </c>
      <c r="L605" t="s">
        <v>13</v>
      </c>
    </row>
    <row r="606" spans="1:12" x14ac:dyDescent="0.3">
      <c r="A606">
        <v>52</v>
      </c>
      <c r="B606">
        <v>2024</v>
      </c>
      <c r="C606">
        <v>0.36</v>
      </c>
      <c r="D606">
        <v>0.57999999999999996</v>
      </c>
      <c r="E606">
        <v>0.98</v>
      </c>
      <c r="F606">
        <v>0.98</v>
      </c>
      <c r="G606">
        <v>0.53</v>
      </c>
      <c r="H606">
        <v>0.56999999999999995</v>
      </c>
      <c r="I606">
        <v>136</v>
      </c>
      <c r="J606">
        <v>8</v>
      </c>
      <c r="K606">
        <v>0.65</v>
      </c>
      <c r="L606" t="s">
        <v>12</v>
      </c>
    </row>
    <row r="607" spans="1:12" x14ac:dyDescent="0.3">
      <c r="A607">
        <v>81</v>
      </c>
      <c r="B607">
        <v>2025</v>
      </c>
      <c r="C607">
        <v>0.87</v>
      </c>
      <c r="D607">
        <v>0.97</v>
      </c>
      <c r="E607">
        <v>0.55000000000000004</v>
      </c>
      <c r="F607">
        <v>0.66</v>
      </c>
      <c r="G607">
        <v>0.97</v>
      </c>
      <c r="H607">
        <v>0.54</v>
      </c>
      <c r="I607">
        <v>66</v>
      </c>
      <c r="J607">
        <v>14</v>
      </c>
      <c r="K607">
        <v>0.81</v>
      </c>
      <c r="L607" t="s">
        <v>13</v>
      </c>
    </row>
    <row r="608" spans="1:12" x14ac:dyDescent="0.3">
      <c r="A608">
        <v>2</v>
      </c>
      <c r="B608">
        <v>2024</v>
      </c>
      <c r="C608">
        <v>0.82</v>
      </c>
      <c r="D608">
        <v>0.53</v>
      </c>
      <c r="E608">
        <v>0.93</v>
      </c>
      <c r="F608">
        <v>0.98</v>
      </c>
      <c r="G608">
        <v>0.47</v>
      </c>
      <c r="H608">
        <v>0.88</v>
      </c>
      <c r="I608">
        <v>473</v>
      </c>
      <c r="J608">
        <v>12</v>
      </c>
      <c r="K608">
        <v>0.76</v>
      </c>
      <c r="L608" t="s">
        <v>13</v>
      </c>
    </row>
    <row r="609" spans="1:12" x14ac:dyDescent="0.3">
      <c r="A609">
        <v>4</v>
      </c>
      <c r="B609">
        <v>2021</v>
      </c>
      <c r="C609">
        <v>0.9</v>
      </c>
      <c r="D609">
        <v>0.7</v>
      </c>
      <c r="E609">
        <v>0.8</v>
      </c>
      <c r="F609">
        <v>0.69</v>
      </c>
      <c r="G609">
        <v>0.68</v>
      </c>
      <c r="H609">
        <v>0.69</v>
      </c>
      <c r="I609">
        <v>195</v>
      </c>
      <c r="J609">
        <v>9</v>
      </c>
      <c r="K609">
        <v>0.78</v>
      </c>
      <c r="L609" t="s">
        <v>13</v>
      </c>
    </row>
    <row r="610" spans="1:12" x14ac:dyDescent="0.3">
      <c r="A610">
        <v>57</v>
      </c>
      <c r="B610">
        <v>2023</v>
      </c>
      <c r="C610">
        <v>0.73</v>
      </c>
      <c r="D610">
        <v>0.62</v>
      </c>
      <c r="E610">
        <v>0.89</v>
      </c>
      <c r="F610">
        <v>0.67</v>
      </c>
      <c r="G610">
        <v>0.56999999999999995</v>
      </c>
      <c r="H610">
        <v>0.35</v>
      </c>
      <c r="I610">
        <v>301</v>
      </c>
      <c r="J610">
        <v>8</v>
      </c>
      <c r="K610">
        <v>0.71</v>
      </c>
      <c r="L610" t="s">
        <v>13</v>
      </c>
    </row>
    <row r="611" spans="1:12" x14ac:dyDescent="0.3">
      <c r="A611">
        <v>15</v>
      </c>
      <c r="B611">
        <v>2024</v>
      </c>
      <c r="C611">
        <v>0.64</v>
      </c>
      <c r="D611">
        <v>0.88</v>
      </c>
      <c r="E611">
        <v>0.79</v>
      </c>
      <c r="F611">
        <v>0.74</v>
      </c>
      <c r="G611">
        <v>0.87</v>
      </c>
      <c r="H611">
        <v>0.24</v>
      </c>
      <c r="I611">
        <v>482</v>
      </c>
      <c r="J611">
        <v>12</v>
      </c>
      <c r="K611">
        <v>0.77</v>
      </c>
      <c r="L611" t="s">
        <v>13</v>
      </c>
    </row>
    <row r="612" spans="1:12" x14ac:dyDescent="0.3">
      <c r="A612">
        <v>1</v>
      </c>
      <c r="B612">
        <v>2022</v>
      </c>
      <c r="C612">
        <v>0.48</v>
      </c>
      <c r="D612">
        <v>0.41</v>
      </c>
      <c r="E612">
        <v>0.82</v>
      </c>
      <c r="F612">
        <v>0.8</v>
      </c>
      <c r="G612">
        <v>0.61</v>
      </c>
      <c r="H612">
        <v>0.97</v>
      </c>
      <c r="I612">
        <v>76</v>
      </c>
      <c r="J612">
        <v>17</v>
      </c>
      <c r="K612">
        <v>0.59</v>
      </c>
      <c r="L612" t="s">
        <v>12</v>
      </c>
    </row>
    <row r="613" spans="1:12" x14ac:dyDescent="0.3">
      <c r="A613">
        <v>39</v>
      </c>
      <c r="B613">
        <v>2021</v>
      </c>
      <c r="C613">
        <v>0.7</v>
      </c>
      <c r="D613">
        <v>0.92</v>
      </c>
      <c r="E613">
        <v>0.79</v>
      </c>
      <c r="F613">
        <v>0.89</v>
      </c>
      <c r="G613">
        <v>0.56000000000000005</v>
      </c>
      <c r="H613">
        <v>0.09</v>
      </c>
      <c r="I613">
        <v>87</v>
      </c>
      <c r="J613">
        <v>8</v>
      </c>
      <c r="K613">
        <v>0.79</v>
      </c>
      <c r="L613" t="s">
        <v>13</v>
      </c>
    </row>
    <row r="614" spans="1:12" x14ac:dyDescent="0.3">
      <c r="A614">
        <v>73</v>
      </c>
      <c r="B614">
        <v>2023</v>
      </c>
      <c r="C614">
        <v>0.97</v>
      </c>
      <c r="D614">
        <v>0.55000000000000004</v>
      </c>
      <c r="E614">
        <v>0.67</v>
      </c>
      <c r="F614">
        <v>0.96</v>
      </c>
      <c r="G614">
        <v>0.98</v>
      </c>
      <c r="H614">
        <v>0.44</v>
      </c>
      <c r="I614">
        <v>253</v>
      </c>
      <c r="J614">
        <v>1</v>
      </c>
      <c r="K614">
        <v>0.8</v>
      </c>
      <c r="L614" t="s">
        <v>13</v>
      </c>
    </row>
    <row r="615" spans="1:12" x14ac:dyDescent="0.3">
      <c r="A615">
        <v>78</v>
      </c>
      <c r="B615">
        <v>2024</v>
      </c>
      <c r="C615">
        <v>0.46</v>
      </c>
      <c r="D615">
        <v>0.46</v>
      </c>
      <c r="E615">
        <v>0.91</v>
      </c>
      <c r="F615">
        <v>0.66</v>
      </c>
      <c r="G615">
        <v>0.82</v>
      </c>
      <c r="H615">
        <v>0.05</v>
      </c>
      <c r="I615">
        <v>155</v>
      </c>
      <c r="J615">
        <v>4</v>
      </c>
      <c r="K615">
        <v>0.62</v>
      </c>
      <c r="L615" t="s">
        <v>12</v>
      </c>
    </row>
    <row r="616" spans="1:12" x14ac:dyDescent="0.3">
      <c r="A616">
        <v>50</v>
      </c>
      <c r="B616">
        <v>2022</v>
      </c>
      <c r="C616">
        <v>0.52</v>
      </c>
      <c r="D616">
        <v>0.98</v>
      </c>
      <c r="E616">
        <v>0.71</v>
      </c>
      <c r="F616">
        <v>0.78</v>
      </c>
      <c r="G616">
        <v>0.7</v>
      </c>
      <c r="H616">
        <v>0.98</v>
      </c>
      <c r="I616">
        <v>245</v>
      </c>
      <c r="J616">
        <v>6</v>
      </c>
      <c r="K616">
        <v>0.73</v>
      </c>
      <c r="L616" t="s">
        <v>13</v>
      </c>
    </row>
    <row r="617" spans="1:12" x14ac:dyDescent="0.3">
      <c r="A617">
        <v>62</v>
      </c>
      <c r="B617">
        <v>2021</v>
      </c>
      <c r="C617">
        <v>0.8</v>
      </c>
      <c r="D617">
        <v>0.76</v>
      </c>
      <c r="E617">
        <v>0.54</v>
      </c>
      <c r="F617">
        <v>0.87</v>
      </c>
      <c r="G617">
        <v>0.34</v>
      </c>
      <c r="H617">
        <v>0.6</v>
      </c>
      <c r="I617">
        <v>363</v>
      </c>
      <c r="J617">
        <v>18</v>
      </c>
      <c r="K617">
        <v>0.7</v>
      </c>
      <c r="L617" t="s">
        <v>12</v>
      </c>
    </row>
    <row r="618" spans="1:12" x14ac:dyDescent="0.3">
      <c r="A618">
        <v>34</v>
      </c>
      <c r="B618">
        <v>2024</v>
      </c>
      <c r="C618">
        <v>0.78</v>
      </c>
      <c r="D618">
        <v>0.89</v>
      </c>
      <c r="E618">
        <v>0.71</v>
      </c>
      <c r="F618">
        <v>0.72</v>
      </c>
      <c r="G618">
        <v>0.96</v>
      </c>
      <c r="H618">
        <v>0.68</v>
      </c>
      <c r="I618">
        <v>100</v>
      </c>
      <c r="J618">
        <v>2</v>
      </c>
      <c r="K618">
        <v>0.8</v>
      </c>
      <c r="L618" t="s">
        <v>13</v>
      </c>
    </row>
    <row r="619" spans="1:12" x14ac:dyDescent="0.3">
      <c r="A619">
        <v>76</v>
      </c>
      <c r="B619">
        <v>2025</v>
      </c>
      <c r="C619">
        <v>0.54</v>
      </c>
      <c r="D619">
        <v>0.77</v>
      </c>
      <c r="E619">
        <v>0.77</v>
      </c>
      <c r="F619">
        <v>0.65</v>
      </c>
      <c r="G619">
        <v>0.5</v>
      </c>
      <c r="H619">
        <v>0.24</v>
      </c>
      <c r="I619">
        <v>183</v>
      </c>
      <c r="J619">
        <v>18</v>
      </c>
      <c r="K619">
        <v>0.66</v>
      </c>
      <c r="L619" t="s">
        <v>12</v>
      </c>
    </row>
    <row r="620" spans="1:12" x14ac:dyDescent="0.3">
      <c r="A620">
        <v>69</v>
      </c>
      <c r="B620">
        <v>2022</v>
      </c>
      <c r="C620">
        <v>0.31</v>
      </c>
      <c r="D620">
        <v>0.71</v>
      </c>
      <c r="E620">
        <v>0.56999999999999995</v>
      </c>
      <c r="F620">
        <v>0.95</v>
      </c>
      <c r="G620">
        <v>0.91</v>
      </c>
      <c r="H620">
        <v>0.42</v>
      </c>
      <c r="I620">
        <v>373</v>
      </c>
      <c r="J620">
        <v>4</v>
      </c>
      <c r="K620">
        <v>0.62</v>
      </c>
      <c r="L620" t="s">
        <v>12</v>
      </c>
    </row>
    <row r="621" spans="1:12" x14ac:dyDescent="0.3">
      <c r="A621">
        <v>40</v>
      </c>
      <c r="B621">
        <v>2023</v>
      </c>
      <c r="C621">
        <v>0.49</v>
      </c>
      <c r="D621">
        <v>0.7</v>
      </c>
      <c r="E621">
        <v>0.89</v>
      </c>
      <c r="F621">
        <v>0.94</v>
      </c>
      <c r="G621">
        <v>0.89</v>
      </c>
      <c r="H621">
        <v>0.36</v>
      </c>
      <c r="I621">
        <v>322</v>
      </c>
      <c r="J621">
        <v>3</v>
      </c>
      <c r="K621">
        <v>0.73</v>
      </c>
      <c r="L621" t="s">
        <v>13</v>
      </c>
    </row>
    <row r="622" spans="1:12" x14ac:dyDescent="0.3">
      <c r="A622">
        <v>99</v>
      </c>
      <c r="B622">
        <v>2021</v>
      </c>
      <c r="C622">
        <v>0.79</v>
      </c>
      <c r="D622">
        <v>0.41</v>
      </c>
      <c r="E622">
        <v>0.7</v>
      </c>
      <c r="F622">
        <v>0.73</v>
      </c>
      <c r="G622">
        <v>0.79</v>
      </c>
      <c r="H622">
        <v>0.77</v>
      </c>
      <c r="I622">
        <v>416</v>
      </c>
      <c r="J622">
        <v>10</v>
      </c>
      <c r="K622">
        <v>0.67</v>
      </c>
      <c r="L622" t="s">
        <v>12</v>
      </c>
    </row>
    <row r="623" spans="1:12" x14ac:dyDescent="0.3">
      <c r="A623">
        <v>55</v>
      </c>
      <c r="B623">
        <v>2023</v>
      </c>
      <c r="C623">
        <v>0.51</v>
      </c>
      <c r="D623">
        <v>0.67</v>
      </c>
      <c r="E623">
        <v>0.86</v>
      </c>
      <c r="F623">
        <v>0.88</v>
      </c>
      <c r="G623">
        <v>0.99</v>
      </c>
      <c r="H623">
        <v>0.23</v>
      </c>
      <c r="I623">
        <v>230</v>
      </c>
      <c r="J623">
        <v>12</v>
      </c>
      <c r="K623">
        <v>0.72</v>
      </c>
      <c r="L623" t="s">
        <v>13</v>
      </c>
    </row>
    <row r="624" spans="1:12" x14ac:dyDescent="0.3">
      <c r="A624">
        <v>12</v>
      </c>
      <c r="B624">
        <v>2025</v>
      </c>
      <c r="C624">
        <v>0.94</v>
      </c>
      <c r="D624">
        <v>0.49</v>
      </c>
      <c r="E624">
        <v>0.88</v>
      </c>
      <c r="F624">
        <v>0.83</v>
      </c>
      <c r="G624">
        <v>0.49</v>
      </c>
      <c r="H624">
        <v>0.47</v>
      </c>
      <c r="I624">
        <v>54</v>
      </c>
      <c r="J624">
        <v>10</v>
      </c>
      <c r="K624">
        <v>0.75</v>
      </c>
      <c r="L624" t="s">
        <v>13</v>
      </c>
    </row>
    <row r="625" spans="1:12" x14ac:dyDescent="0.3">
      <c r="A625">
        <v>71</v>
      </c>
      <c r="B625">
        <v>2025</v>
      </c>
      <c r="C625">
        <v>0.7</v>
      </c>
      <c r="D625">
        <v>0.78</v>
      </c>
      <c r="E625">
        <v>0.76</v>
      </c>
      <c r="F625">
        <v>0.62</v>
      </c>
      <c r="G625">
        <v>0.46</v>
      </c>
      <c r="H625">
        <v>0.49</v>
      </c>
      <c r="I625">
        <v>115</v>
      </c>
      <c r="J625">
        <v>5</v>
      </c>
      <c r="K625">
        <v>0.7</v>
      </c>
      <c r="L625" t="s">
        <v>12</v>
      </c>
    </row>
    <row r="626" spans="1:12" x14ac:dyDescent="0.3">
      <c r="A626">
        <v>41</v>
      </c>
      <c r="B626">
        <v>2024</v>
      </c>
      <c r="C626">
        <v>0.53</v>
      </c>
      <c r="D626">
        <v>0.55000000000000004</v>
      </c>
      <c r="E626">
        <v>0.73</v>
      </c>
      <c r="F626">
        <v>0.65</v>
      </c>
      <c r="G626">
        <v>0.95</v>
      </c>
      <c r="H626">
        <v>0.87</v>
      </c>
      <c r="I626">
        <v>430</v>
      </c>
      <c r="J626">
        <v>13</v>
      </c>
      <c r="K626">
        <v>0.64</v>
      </c>
      <c r="L626" t="s">
        <v>12</v>
      </c>
    </row>
    <row r="627" spans="1:12" x14ac:dyDescent="0.3">
      <c r="A627">
        <v>70</v>
      </c>
      <c r="B627">
        <v>2022</v>
      </c>
      <c r="C627">
        <v>0.93</v>
      </c>
      <c r="D627">
        <v>0.78</v>
      </c>
      <c r="E627">
        <v>0.72</v>
      </c>
      <c r="F627">
        <v>0.62</v>
      </c>
      <c r="G627">
        <v>0.65</v>
      </c>
      <c r="H627">
        <v>0.76</v>
      </c>
      <c r="I627">
        <v>338</v>
      </c>
      <c r="J627">
        <v>17</v>
      </c>
      <c r="K627">
        <v>0.78</v>
      </c>
      <c r="L627" t="s">
        <v>13</v>
      </c>
    </row>
    <row r="628" spans="1:12" x14ac:dyDescent="0.3">
      <c r="A628">
        <v>5</v>
      </c>
      <c r="B628">
        <v>2022</v>
      </c>
      <c r="C628">
        <v>0.75</v>
      </c>
      <c r="D628">
        <v>0.45</v>
      </c>
      <c r="E628">
        <v>0.72</v>
      </c>
      <c r="F628">
        <v>0.72</v>
      </c>
      <c r="G628">
        <v>0.68</v>
      </c>
      <c r="H628">
        <v>0.13</v>
      </c>
      <c r="I628">
        <v>225</v>
      </c>
      <c r="J628">
        <v>11</v>
      </c>
      <c r="K628">
        <v>0.66</v>
      </c>
      <c r="L628" t="s">
        <v>12</v>
      </c>
    </row>
    <row r="629" spans="1:12" x14ac:dyDescent="0.3">
      <c r="A629">
        <v>82</v>
      </c>
      <c r="B629">
        <v>2021</v>
      </c>
      <c r="C629">
        <v>0.37</v>
      </c>
      <c r="D629">
        <v>0.75</v>
      </c>
      <c r="E629">
        <v>0.74</v>
      </c>
      <c r="F629">
        <v>0.81</v>
      </c>
      <c r="G629">
        <v>0.77</v>
      </c>
      <c r="H629">
        <v>0.27</v>
      </c>
      <c r="I629">
        <v>374</v>
      </c>
      <c r="J629">
        <v>6</v>
      </c>
      <c r="K629">
        <v>0.64</v>
      </c>
      <c r="L629" t="s">
        <v>12</v>
      </c>
    </row>
    <row r="630" spans="1:12" x14ac:dyDescent="0.3">
      <c r="A630">
        <v>45</v>
      </c>
      <c r="B630">
        <v>2024</v>
      </c>
      <c r="C630">
        <v>0.74</v>
      </c>
      <c r="D630">
        <v>0.45</v>
      </c>
      <c r="E630">
        <v>0.56000000000000005</v>
      </c>
      <c r="F630">
        <v>0.62</v>
      </c>
      <c r="G630">
        <v>0.48</v>
      </c>
      <c r="H630">
        <v>0.14000000000000001</v>
      </c>
      <c r="I630">
        <v>102</v>
      </c>
      <c r="J630">
        <v>5</v>
      </c>
      <c r="K630">
        <v>0.59</v>
      </c>
      <c r="L630" t="s">
        <v>12</v>
      </c>
    </row>
    <row r="631" spans="1:12" x14ac:dyDescent="0.3">
      <c r="A631">
        <v>69</v>
      </c>
      <c r="B631">
        <v>2024</v>
      </c>
      <c r="C631">
        <v>0.73</v>
      </c>
      <c r="D631">
        <v>0.9</v>
      </c>
      <c r="E631">
        <v>0.86</v>
      </c>
      <c r="F631">
        <v>0.65</v>
      </c>
      <c r="G631">
        <v>0.82</v>
      </c>
      <c r="H631">
        <v>0.28000000000000003</v>
      </c>
      <c r="I631">
        <v>174</v>
      </c>
      <c r="J631">
        <v>18</v>
      </c>
      <c r="K631">
        <v>0.8</v>
      </c>
      <c r="L631" t="s">
        <v>13</v>
      </c>
    </row>
    <row r="632" spans="1:12" x14ac:dyDescent="0.3">
      <c r="A632">
        <v>39</v>
      </c>
      <c r="B632">
        <v>2024</v>
      </c>
      <c r="C632">
        <v>0.62</v>
      </c>
      <c r="D632">
        <v>0.87</v>
      </c>
      <c r="E632">
        <v>0.8</v>
      </c>
      <c r="F632">
        <v>0.86</v>
      </c>
      <c r="G632">
        <v>1</v>
      </c>
      <c r="H632">
        <v>7.0000000000000007E-2</v>
      </c>
      <c r="I632">
        <v>70</v>
      </c>
      <c r="J632">
        <v>6</v>
      </c>
      <c r="K632">
        <v>0.79</v>
      </c>
      <c r="L632" t="s">
        <v>13</v>
      </c>
    </row>
    <row r="633" spans="1:12" x14ac:dyDescent="0.3">
      <c r="A633">
        <v>95</v>
      </c>
      <c r="B633">
        <v>2022</v>
      </c>
      <c r="C633">
        <v>0.35</v>
      </c>
      <c r="D633">
        <v>0.89</v>
      </c>
      <c r="E633">
        <v>0.82</v>
      </c>
      <c r="F633">
        <v>0.86</v>
      </c>
      <c r="G633">
        <v>0.39</v>
      </c>
      <c r="H633">
        <v>0.65</v>
      </c>
      <c r="I633">
        <v>152</v>
      </c>
      <c r="J633">
        <v>0</v>
      </c>
      <c r="K633">
        <v>0.66</v>
      </c>
      <c r="L633" t="s">
        <v>12</v>
      </c>
    </row>
    <row r="634" spans="1:12" x14ac:dyDescent="0.3">
      <c r="A634">
        <v>25</v>
      </c>
      <c r="B634">
        <v>2023</v>
      </c>
      <c r="C634">
        <v>0.61</v>
      </c>
      <c r="D634">
        <v>0.42</v>
      </c>
      <c r="E634">
        <v>0.68</v>
      </c>
      <c r="F634">
        <v>0.93</v>
      </c>
      <c r="G634">
        <v>0.79</v>
      </c>
      <c r="H634">
        <v>0.46</v>
      </c>
      <c r="I634">
        <v>118</v>
      </c>
      <c r="J634">
        <v>8</v>
      </c>
      <c r="K634">
        <v>0.64</v>
      </c>
      <c r="L634" t="s">
        <v>12</v>
      </c>
    </row>
    <row r="635" spans="1:12" x14ac:dyDescent="0.3">
      <c r="A635">
        <v>2</v>
      </c>
      <c r="B635">
        <v>2022</v>
      </c>
      <c r="C635">
        <v>0.63</v>
      </c>
      <c r="D635">
        <v>0.96</v>
      </c>
      <c r="E635">
        <v>0.82</v>
      </c>
      <c r="F635">
        <v>0.72</v>
      </c>
      <c r="G635">
        <v>0.67</v>
      </c>
      <c r="H635">
        <v>7.0000000000000007E-2</v>
      </c>
      <c r="I635">
        <v>375</v>
      </c>
      <c r="J635">
        <v>15</v>
      </c>
      <c r="K635">
        <v>0.77</v>
      </c>
      <c r="L635" t="s">
        <v>13</v>
      </c>
    </row>
    <row r="636" spans="1:12" x14ac:dyDescent="0.3">
      <c r="A636">
        <v>49</v>
      </c>
      <c r="B636">
        <v>2023</v>
      </c>
      <c r="C636">
        <v>0.63</v>
      </c>
      <c r="D636">
        <v>0.61</v>
      </c>
      <c r="E636">
        <v>0.84</v>
      </c>
      <c r="F636">
        <v>0.86</v>
      </c>
      <c r="G636">
        <v>0.8</v>
      </c>
      <c r="H636">
        <v>0.27</v>
      </c>
      <c r="I636">
        <v>121</v>
      </c>
      <c r="J636">
        <v>4</v>
      </c>
      <c r="K636">
        <v>0.72</v>
      </c>
      <c r="L636" t="s">
        <v>13</v>
      </c>
    </row>
    <row r="637" spans="1:12" x14ac:dyDescent="0.3">
      <c r="A637">
        <v>15</v>
      </c>
      <c r="B637">
        <v>2023</v>
      </c>
      <c r="C637">
        <v>0.37</v>
      </c>
      <c r="D637">
        <v>0.41</v>
      </c>
      <c r="E637">
        <v>0.56999999999999995</v>
      </c>
      <c r="F637">
        <v>0.89</v>
      </c>
      <c r="G637">
        <v>0.98</v>
      </c>
      <c r="H637">
        <v>0.98</v>
      </c>
      <c r="I637">
        <v>284</v>
      </c>
      <c r="J637">
        <v>1</v>
      </c>
      <c r="K637">
        <v>0.56000000000000005</v>
      </c>
      <c r="L637" t="s">
        <v>12</v>
      </c>
    </row>
    <row r="638" spans="1:12" x14ac:dyDescent="0.3">
      <c r="A638">
        <v>54</v>
      </c>
      <c r="B638">
        <v>2023</v>
      </c>
      <c r="C638">
        <v>0.87</v>
      </c>
      <c r="D638">
        <v>0.55000000000000004</v>
      </c>
      <c r="E638">
        <v>0.71</v>
      </c>
      <c r="F638">
        <v>0.94</v>
      </c>
      <c r="G638">
        <v>0.91</v>
      </c>
      <c r="H638">
        <v>0.24</v>
      </c>
      <c r="I638">
        <v>166</v>
      </c>
      <c r="J638">
        <v>6</v>
      </c>
      <c r="K638">
        <v>0.77</v>
      </c>
      <c r="L638" t="s">
        <v>13</v>
      </c>
    </row>
    <row r="639" spans="1:12" x14ac:dyDescent="0.3">
      <c r="A639">
        <v>64</v>
      </c>
      <c r="B639">
        <v>2025</v>
      </c>
      <c r="C639">
        <v>0.48</v>
      </c>
      <c r="D639">
        <v>0.78</v>
      </c>
      <c r="E639">
        <v>0.51</v>
      </c>
      <c r="F639">
        <v>0.89</v>
      </c>
      <c r="G639">
        <v>0.66</v>
      </c>
      <c r="H639">
        <v>0.61</v>
      </c>
      <c r="I639">
        <v>298</v>
      </c>
      <c r="J639">
        <v>15</v>
      </c>
      <c r="K639">
        <v>0.64</v>
      </c>
      <c r="L639" t="s">
        <v>12</v>
      </c>
    </row>
    <row r="640" spans="1:12" x14ac:dyDescent="0.3">
      <c r="A640">
        <v>9</v>
      </c>
      <c r="B640">
        <v>2022</v>
      </c>
      <c r="C640">
        <v>0.83</v>
      </c>
      <c r="D640">
        <v>0.84</v>
      </c>
      <c r="E640">
        <v>0.93</v>
      </c>
      <c r="F640">
        <v>0.68</v>
      </c>
      <c r="G640">
        <v>0.57999999999999996</v>
      </c>
      <c r="H640">
        <v>0.95</v>
      </c>
      <c r="I640">
        <v>474</v>
      </c>
      <c r="J640">
        <v>7</v>
      </c>
      <c r="K640">
        <v>0.8</v>
      </c>
      <c r="L640" t="s">
        <v>13</v>
      </c>
    </row>
    <row r="641" spans="1:12" x14ac:dyDescent="0.3">
      <c r="A641">
        <v>93</v>
      </c>
      <c r="B641">
        <v>2024</v>
      </c>
      <c r="C641">
        <v>0.38</v>
      </c>
      <c r="D641">
        <v>0.52</v>
      </c>
      <c r="E641">
        <v>1</v>
      </c>
      <c r="F641">
        <v>0.82</v>
      </c>
      <c r="G641">
        <v>0.5</v>
      </c>
      <c r="H641">
        <v>0.99</v>
      </c>
      <c r="I641">
        <v>139</v>
      </c>
      <c r="J641">
        <v>18</v>
      </c>
      <c r="K641">
        <v>0.62</v>
      </c>
      <c r="L641" t="s">
        <v>12</v>
      </c>
    </row>
    <row r="642" spans="1:12" x14ac:dyDescent="0.3">
      <c r="A642">
        <v>49</v>
      </c>
      <c r="B642">
        <v>2023</v>
      </c>
      <c r="C642">
        <v>0.89</v>
      </c>
      <c r="D642">
        <v>0.83</v>
      </c>
      <c r="E642">
        <v>0.84</v>
      </c>
      <c r="F642">
        <v>0.96</v>
      </c>
      <c r="G642">
        <v>0.78</v>
      </c>
      <c r="H642">
        <v>0.28000000000000003</v>
      </c>
      <c r="I642">
        <v>107</v>
      </c>
      <c r="J642">
        <v>13</v>
      </c>
      <c r="K642">
        <v>0.86</v>
      </c>
      <c r="L642" t="s">
        <v>13</v>
      </c>
    </row>
    <row r="643" spans="1:12" x14ac:dyDescent="0.3">
      <c r="A643">
        <v>66</v>
      </c>
      <c r="B643">
        <v>2021</v>
      </c>
      <c r="C643">
        <v>0.83</v>
      </c>
      <c r="D643">
        <v>0.77</v>
      </c>
      <c r="E643">
        <v>0.54</v>
      </c>
      <c r="F643">
        <v>0.81</v>
      </c>
      <c r="G643">
        <v>0.54</v>
      </c>
      <c r="H643">
        <v>0.33</v>
      </c>
      <c r="I643">
        <v>55</v>
      </c>
      <c r="J643">
        <v>5</v>
      </c>
      <c r="K643">
        <v>0.73</v>
      </c>
      <c r="L643" t="s">
        <v>13</v>
      </c>
    </row>
    <row r="644" spans="1:12" x14ac:dyDescent="0.3">
      <c r="A644">
        <v>53</v>
      </c>
      <c r="B644">
        <v>2022</v>
      </c>
      <c r="C644">
        <v>0.35</v>
      </c>
      <c r="D644">
        <v>0.8</v>
      </c>
      <c r="E644">
        <v>0.9</v>
      </c>
      <c r="F644">
        <v>0.87</v>
      </c>
      <c r="G644">
        <v>0.65</v>
      </c>
      <c r="H644">
        <v>0.95</v>
      </c>
      <c r="I644">
        <v>261</v>
      </c>
      <c r="J644">
        <v>0</v>
      </c>
      <c r="K644">
        <v>0.68</v>
      </c>
      <c r="L644" t="s">
        <v>12</v>
      </c>
    </row>
    <row r="645" spans="1:12" x14ac:dyDescent="0.3">
      <c r="A645">
        <v>65</v>
      </c>
      <c r="B645">
        <v>2021</v>
      </c>
      <c r="C645">
        <v>0.6</v>
      </c>
      <c r="D645">
        <v>0.42</v>
      </c>
      <c r="E645">
        <v>0.98</v>
      </c>
      <c r="F645">
        <v>0.68</v>
      </c>
      <c r="G645">
        <v>0.85</v>
      </c>
      <c r="H645">
        <v>0.77</v>
      </c>
      <c r="I645">
        <v>265</v>
      </c>
      <c r="J645">
        <v>11</v>
      </c>
      <c r="K645">
        <v>0.67</v>
      </c>
      <c r="L645" t="s">
        <v>12</v>
      </c>
    </row>
    <row r="646" spans="1:12" x14ac:dyDescent="0.3">
      <c r="A646">
        <v>45</v>
      </c>
      <c r="B646">
        <v>2022</v>
      </c>
      <c r="C646">
        <v>0.64</v>
      </c>
      <c r="D646">
        <v>0.41</v>
      </c>
      <c r="E646">
        <v>0.96</v>
      </c>
      <c r="F646">
        <v>0.99</v>
      </c>
      <c r="G646">
        <v>0.46</v>
      </c>
      <c r="H646">
        <v>0.21</v>
      </c>
      <c r="I646">
        <v>108</v>
      </c>
      <c r="J646">
        <v>16</v>
      </c>
      <c r="K646">
        <v>0.68</v>
      </c>
      <c r="L646" t="s">
        <v>12</v>
      </c>
    </row>
    <row r="647" spans="1:12" x14ac:dyDescent="0.3">
      <c r="A647">
        <v>54</v>
      </c>
      <c r="B647">
        <v>2021</v>
      </c>
      <c r="C647">
        <v>0.55000000000000004</v>
      </c>
      <c r="D647">
        <v>0.9</v>
      </c>
      <c r="E647">
        <v>0.75</v>
      </c>
      <c r="F647">
        <v>0.96</v>
      </c>
      <c r="G647">
        <v>0.95</v>
      </c>
      <c r="H647">
        <v>0.17</v>
      </c>
      <c r="I647">
        <v>124</v>
      </c>
      <c r="J647">
        <v>17</v>
      </c>
      <c r="K647">
        <v>0.78</v>
      </c>
      <c r="L647" t="s">
        <v>13</v>
      </c>
    </row>
    <row r="648" spans="1:12" x14ac:dyDescent="0.3">
      <c r="A648">
        <v>98</v>
      </c>
      <c r="B648">
        <v>2021</v>
      </c>
      <c r="C648">
        <v>0.55000000000000004</v>
      </c>
      <c r="D648">
        <v>0.74</v>
      </c>
      <c r="E648">
        <v>0.63</v>
      </c>
      <c r="F648">
        <v>0.97</v>
      </c>
      <c r="G648">
        <v>0.49</v>
      </c>
      <c r="H648">
        <v>0.9</v>
      </c>
      <c r="I648">
        <v>406</v>
      </c>
      <c r="J648">
        <v>15</v>
      </c>
      <c r="K648">
        <v>0.67</v>
      </c>
      <c r="L648" t="s">
        <v>12</v>
      </c>
    </row>
    <row r="649" spans="1:12" x14ac:dyDescent="0.3">
      <c r="A649">
        <v>79</v>
      </c>
      <c r="B649">
        <v>2022</v>
      </c>
      <c r="C649">
        <v>0.93</v>
      </c>
      <c r="D649">
        <v>0.5</v>
      </c>
      <c r="E649">
        <v>0.98</v>
      </c>
      <c r="F649">
        <v>0.78</v>
      </c>
      <c r="G649">
        <v>0.96</v>
      </c>
      <c r="H649">
        <v>0.68</v>
      </c>
      <c r="I649">
        <v>50</v>
      </c>
      <c r="J649">
        <v>2</v>
      </c>
      <c r="K649">
        <v>0.81</v>
      </c>
      <c r="L649" t="s">
        <v>13</v>
      </c>
    </row>
    <row r="650" spans="1:12" x14ac:dyDescent="0.3">
      <c r="A650">
        <v>30</v>
      </c>
      <c r="B650">
        <v>2024</v>
      </c>
      <c r="C650">
        <v>0.4</v>
      </c>
      <c r="D650">
        <v>0.46</v>
      </c>
      <c r="E650">
        <v>0.71</v>
      </c>
      <c r="F650">
        <v>0.92</v>
      </c>
      <c r="G650">
        <v>0.4</v>
      </c>
      <c r="H650">
        <v>0.13</v>
      </c>
      <c r="I650">
        <v>156</v>
      </c>
      <c r="J650">
        <v>12</v>
      </c>
      <c r="K650">
        <v>0.56000000000000005</v>
      </c>
      <c r="L650" t="s">
        <v>12</v>
      </c>
    </row>
    <row r="651" spans="1:12" x14ac:dyDescent="0.3">
      <c r="A651">
        <v>53</v>
      </c>
      <c r="B651">
        <v>2024</v>
      </c>
      <c r="C651">
        <v>0.42</v>
      </c>
      <c r="D651">
        <v>0.95</v>
      </c>
      <c r="E651">
        <v>0.91</v>
      </c>
      <c r="F651">
        <v>0.74</v>
      </c>
      <c r="G651">
        <v>0.76</v>
      </c>
      <c r="H651">
        <v>0.54</v>
      </c>
      <c r="I651">
        <v>70</v>
      </c>
      <c r="J651">
        <v>3</v>
      </c>
      <c r="K651">
        <v>0.73</v>
      </c>
      <c r="L651" t="s">
        <v>13</v>
      </c>
    </row>
    <row r="652" spans="1:12" x14ac:dyDescent="0.3">
      <c r="A652">
        <v>44</v>
      </c>
      <c r="B652">
        <v>2025</v>
      </c>
      <c r="C652">
        <v>0.33</v>
      </c>
      <c r="D652">
        <v>0.67</v>
      </c>
      <c r="E652">
        <v>0.95</v>
      </c>
      <c r="F652">
        <v>0.83</v>
      </c>
      <c r="G652">
        <v>0.88</v>
      </c>
      <c r="H652">
        <v>0.99</v>
      </c>
      <c r="I652">
        <v>150</v>
      </c>
      <c r="J652">
        <v>1</v>
      </c>
      <c r="K652">
        <v>0.67</v>
      </c>
      <c r="L652" t="s">
        <v>12</v>
      </c>
    </row>
    <row r="653" spans="1:12" x14ac:dyDescent="0.3">
      <c r="A653">
        <v>48</v>
      </c>
      <c r="B653">
        <v>2023</v>
      </c>
      <c r="C653">
        <v>0.78</v>
      </c>
      <c r="D653">
        <v>0.54</v>
      </c>
      <c r="E653">
        <v>0.56999999999999995</v>
      </c>
      <c r="F653">
        <v>0.95</v>
      </c>
      <c r="G653">
        <v>0.49</v>
      </c>
      <c r="H653">
        <v>0.22</v>
      </c>
      <c r="I653">
        <v>172</v>
      </c>
      <c r="J653">
        <v>4</v>
      </c>
      <c r="K653">
        <v>0.67</v>
      </c>
      <c r="L653" t="s">
        <v>12</v>
      </c>
    </row>
    <row r="654" spans="1:12" x14ac:dyDescent="0.3">
      <c r="A654">
        <v>82</v>
      </c>
      <c r="B654">
        <v>2024</v>
      </c>
      <c r="C654">
        <v>0.74</v>
      </c>
      <c r="D654">
        <v>0.66</v>
      </c>
      <c r="E654">
        <v>0.72</v>
      </c>
      <c r="F654">
        <v>0.72</v>
      </c>
      <c r="G654">
        <v>0.83</v>
      </c>
      <c r="H654">
        <v>0.94</v>
      </c>
      <c r="I654">
        <v>123</v>
      </c>
      <c r="J654">
        <v>10</v>
      </c>
      <c r="K654">
        <v>0.72</v>
      </c>
      <c r="L654" t="s">
        <v>13</v>
      </c>
    </row>
    <row r="655" spans="1:12" x14ac:dyDescent="0.3">
      <c r="A655">
        <v>81</v>
      </c>
      <c r="B655">
        <v>2025</v>
      </c>
      <c r="C655">
        <v>0.91</v>
      </c>
      <c r="D655">
        <v>0.84</v>
      </c>
      <c r="E655">
        <v>0.63</v>
      </c>
      <c r="F655">
        <v>0.63</v>
      </c>
      <c r="G655">
        <v>0.49</v>
      </c>
      <c r="H655">
        <v>0.91</v>
      </c>
      <c r="I655">
        <v>430</v>
      </c>
      <c r="J655">
        <v>17</v>
      </c>
      <c r="K655">
        <v>0.75</v>
      </c>
      <c r="L655" t="s">
        <v>13</v>
      </c>
    </row>
    <row r="656" spans="1:12" x14ac:dyDescent="0.3">
      <c r="A656">
        <v>78</v>
      </c>
      <c r="B656">
        <v>2021</v>
      </c>
      <c r="C656">
        <v>0.48</v>
      </c>
      <c r="D656">
        <v>0.83</v>
      </c>
      <c r="E656">
        <v>0.51</v>
      </c>
      <c r="F656">
        <v>0.75</v>
      </c>
      <c r="G656">
        <v>0.74</v>
      </c>
      <c r="H656">
        <v>0.15</v>
      </c>
      <c r="I656">
        <v>221</v>
      </c>
      <c r="J656">
        <v>6</v>
      </c>
      <c r="K656">
        <v>0.64</v>
      </c>
      <c r="L656" t="s">
        <v>12</v>
      </c>
    </row>
    <row r="657" spans="1:12" x14ac:dyDescent="0.3">
      <c r="A657">
        <v>80</v>
      </c>
      <c r="B657">
        <v>2023</v>
      </c>
      <c r="C657">
        <v>0.76</v>
      </c>
      <c r="D657">
        <v>0.64</v>
      </c>
      <c r="E657">
        <v>0.8</v>
      </c>
      <c r="F657">
        <v>0.64</v>
      </c>
      <c r="G657">
        <v>0.31</v>
      </c>
      <c r="H657">
        <v>0.91</v>
      </c>
      <c r="I657">
        <v>304</v>
      </c>
      <c r="J657">
        <v>19</v>
      </c>
      <c r="K657">
        <v>0.68</v>
      </c>
      <c r="L657" t="s">
        <v>12</v>
      </c>
    </row>
    <row r="658" spans="1:12" x14ac:dyDescent="0.3">
      <c r="A658">
        <v>58</v>
      </c>
      <c r="B658">
        <v>2021</v>
      </c>
      <c r="C658">
        <v>0.86</v>
      </c>
      <c r="D658">
        <v>0.45</v>
      </c>
      <c r="E658">
        <v>0.71</v>
      </c>
      <c r="F658">
        <v>0.87</v>
      </c>
      <c r="G658">
        <v>0.47</v>
      </c>
      <c r="H658">
        <v>0.08</v>
      </c>
      <c r="I658">
        <v>147</v>
      </c>
      <c r="J658">
        <v>11</v>
      </c>
      <c r="K658">
        <v>0.69</v>
      </c>
      <c r="L658" t="s">
        <v>12</v>
      </c>
    </row>
    <row r="659" spans="1:12" x14ac:dyDescent="0.3">
      <c r="A659">
        <v>5</v>
      </c>
      <c r="B659">
        <v>2025</v>
      </c>
      <c r="C659">
        <v>0.98</v>
      </c>
      <c r="D659">
        <v>0.98</v>
      </c>
      <c r="E659">
        <v>0.57999999999999996</v>
      </c>
      <c r="F659">
        <v>0.72</v>
      </c>
      <c r="G659">
        <v>0.37</v>
      </c>
      <c r="H659">
        <v>0.27</v>
      </c>
      <c r="I659">
        <v>180</v>
      </c>
      <c r="J659">
        <v>8</v>
      </c>
      <c r="K659">
        <v>0.8</v>
      </c>
      <c r="L659" t="s">
        <v>13</v>
      </c>
    </row>
    <row r="660" spans="1:12" x14ac:dyDescent="0.3">
      <c r="A660">
        <v>26</v>
      </c>
      <c r="B660">
        <v>2022</v>
      </c>
      <c r="C660">
        <v>0.99</v>
      </c>
      <c r="D660">
        <v>0.78</v>
      </c>
      <c r="E660">
        <v>0.71</v>
      </c>
      <c r="F660">
        <v>0.67</v>
      </c>
      <c r="G660">
        <v>0.99</v>
      </c>
      <c r="H660">
        <v>0.82</v>
      </c>
      <c r="I660">
        <v>442</v>
      </c>
      <c r="J660">
        <v>1</v>
      </c>
      <c r="K660">
        <v>0.83</v>
      </c>
      <c r="L660" t="s">
        <v>13</v>
      </c>
    </row>
    <row r="661" spans="1:12" x14ac:dyDescent="0.3">
      <c r="A661">
        <v>61</v>
      </c>
      <c r="B661">
        <v>2021</v>
      </c>
      <c r="C661">
        <v>0.76</v>
      </c>
      <c r="D661">
        <v>0.84</v>
      </c>
      <c r="E661">
        <v>0.89</v>
      </c>
      <c r="F661">
        <v>0.7</v>
      </c>
      <c r="G661">
        <v>0.51</v>
      </c>
      <c r="H661">
        <v>0.48</v>
      </c>
      <c r="I661">
        <v>155</v>
      </c>
      <c r="J661">
        <v>11</v>
      </c>
      <c r="K661">
        <v>0.77</v>
      </c>
      <c r="L661" t="s">
        <v>13</v>
      </c>
    </row>
    <row r="662" spans="1:12" x14ac:dyDescent="0.3">
      <c r="A662">
        <v>74</v>
      </c>
      <c r="B662">
        <v>2023</v>
      </c>
      <c r="C662">
        <v>0.55000000000000004</v>
      </c>
      <c r="D662">
        <v>0.85</v>
      </c>
      <c r="E662">
        <v>0.75</v>
      </c>
      <c r="F662">
        <v>0.65</v>
      </c>
      <c r="G662">
        <v>0.71</v>
      </c>
      <c r="H662">
        <v>0.3</v>
      </c>
      <c r="I662">
        <v>52</v>
      </c>
      <c r="J662">
        <v>5</v>
      </c>
      <c r="K662">
        <v>0.7</v>
      </c>
      <c r="L662" t="s">
        <v>12</v>
      </c>
    </row>
    <row r="663" spans="1:12" x14ac:dyDescent="0.3">
      <c r="A663">
        <v>43</v>
      </c>
      <c r="B663">
        <v>2024</v>
      </c>
      <c r="C663">
        <v>0.72</v>
      </c>
      <c r="D663">
        <v>0.93</v>
      </c>
      <c r="E663">
        <v>0.71</v>
      </c>
      <c r="F663">
        <v>0.84</v>
      </c>
      <c r="G663">
        <v>0.74</v>
      </c>
      <c r="H663">
        <v>0.42</v>
      </c>
      <c r="I663">
        <v>134</v>
      </c>
      <c r="J663">
        <v>3</v>
      </c>
      <c r="K663">
        <v>0.79</v>
      </c>
      <c r="L663" t="s">
        <v>13</v>
      </c>
    </row>
    <row r="664" spans="1:12" x14ac:dyDescent="0.3">
      <c r="A664">
        <v>52</v>
      </c>
      <c r="B664">
        <v>2024</v>
      </c>
      <c r="C664">
        <v>0.91</v>
      </c>
      <c r="D664">
        <v>0.54</v>
      </c>
      <c r="E664">
        <v>0.61</v>
      </c>
      <c r="F664">
        <v>0.89</v>
      </c>
      <c r="G664">
        <v>0.52</v>
      </c>
      <c r="H664">
        <v>0.51</v>
      </c>
      <c r="I664">
        <v>362</v>
      </c>
      <c r="J664">
        <v>14</v>
      </c>
      <c r="K664">
        <v>0.72</v>
      </c>
      <c r="L664" t="s">
        <v>13</v>
      </c>
    </row>
    <row r="665" spans="1:12" x14ac:dyDescent="0.3">
      <c r="A665">
        <v>73</v>
      </c>
      <c r="B665">
        <v>2023</v>
      </c>
      <c r="C665">
        <v>0.9</v>
      </c>
      <c r="D665">
        <v>0.92</v>
      </c>
      <c r="E665">
        <v>0.7</v>
      </c>
      <c r="F665">
        <v>0.9</v>
      </c>
      <c r="G665">
        <v>0.4</v>
      </c>
      <c r="H665">
        <v>0.01</v>
      </c>
      <c r="I665">
        <v>89</v>
      </c>
      <c r="J665">
        <v>18</v>
      </c>
      <c r="K665">
        <v>0.82</v>
      </c>
      <c r="L665" t="s">
        <v>13</v>
      </c>
    </row>
    <row r="666" spans="1:12" x14ac:dyDescent="0.3">
      <c r="A666">
        <v>50</v>
      </c>
      <c r="B666">
        <v>2022</v>
      </c>
      <c r="C666">
        <v>0.83</v>
      </c>
      <c r="D666">
        <v>0.85</v>
      </c>
      <c r="E666">
        <v>0.56999999999999995</v>
      </c>
      <c r="F666">
        <v>0.95</v>
      </c>
      <c r="G666">
        <v>0.49</v>
      </c>
      <c r="H666">
        <v>0.98</v>
      </c>
      <c r="I666">
        <v>184</v>
      </c>
      <c r="J666">
        <v>11</v>
      </c>
      <c r="K666">
        <v>0.77</v>
      </c>
      <c r="L666" t="s">
        <v>13</v>
      </c>
    </row>
    <row r="667" spans="1:12" x14ac:dyDescent="0.3">
      <c r="A667">
        <v>72</v>
      </c>
      <c r="B667">
        <v>2025</v>
      </c>
      <c r="C667">
        <v>0.61</v>
      </c>
      <c r="D667">
        <v>0.44</v>
      </c>
      <c r="E667">
        <v>0.79</v>
      </c>
      <c r="F667">
        <v>0.84</v>
      </c>
      <c r="G667">
        <v>0.82</v>
      </c>
      <c r="H667">
        <v>0.03</v>
      </c>
      <c r="I667">
        <v>156</v>
      </c>
      <c r="J667">
        <v>0</v>
      </c>
      <c r="K667">
        <v>0.66</v>
      </c>
      <c r="L667" t="s">
        <v>12</v>
      </c>
    </row>
    <row r="668" spans="1:12" x14ac:dyDescent="0.3">
      <c r="A668">
        <v>18</v>
      </c>
      <c r="B668">
        <v>2022</v>
      </c>
      <c r="C668">
        <v>0.34</v>
      </c>
      <c r="D668">
        <v>0.95</v>
      </c>
      <c r="E668">
        <v>0.85</v>
      </c>
      <c r="F668">
        <v>0.8</v>
      </c>
      <c r="G668">
        <v>0.61</v>
      </c>
      <c r="H668">
        <v>0.13</v>
      </c>
      <c r="I668">
        <v>435</v>
      </c>
      <c r="J668">
        <v>16</v>
      </c>
      <c r="K668">
        <v>0.69</v>
      </c>
      <c r="L668" t="s">
        <v>12</v>
      </c>
    </row>
    <row r="669" spans="1:12" x14ac:dyDescent="0.3">
      <c r="A669">
        <v>6</v>
      </c>
      <c r="B669">
        <v>2022</v>
      </c>
      <c r="C669">
        <v>0.62</v>
      </c>
      <c r="D669">
        <v>0.83</v>
      </c>
      <c r="E669">
        <v>0.79</v>
      </c>
      <c r="F669">
        <v>0.8</v>
      </c>
      <c r="G669">
        <v>0.43</v>
      </c>
      <c r="H669">
        <v>0.46</v>
      </c>
      <c r="I669">
        <v>462</v>
      </c>
      <c r="J669">
        <v>5</v>
      </c>
      <c r="K669">
        <v>0.71</v>
      </c>
      <c r="L669" t="s">
        <v>13</v>
      </c>
    </row>
    <row r="670" spans="1:12" x14ac:dyDescent="0.3">
      <c r="A670">
        <v>78</v>
      </c>
      <c r="B670">
        <v>2022</v>
      </c>
      <c r="C670">
        <v>0.67</v>
      </c>
      <c r="D670">
        <v>0.78</v>
      </c>
      <c r="E670">
        <v>0.77</v>
      </c>
      <c r="F670">
        <v>0.65</v>
      </c>
      <c r="G670">
        <v>0.56000000000000005</v>
      </c>
      <c r="H670">
        <v>0.1</v>
      </c>
      <c r="I670">
        <v>190</v>
      </c>
      <c r="J670">
        <v>8</v>
      </c>
      <c r="K670">
        <v>0.7</v>
      </c>
      <c r="L670" t="s">
        <v>12</v>
      </c>
    </row>
    <row r="671" spans="1:12" x14ac:dyDescent="0.3">
      <c r="A671">
        <v>10</v>
      </c>
      <c r="B671">
        <v>2025</v>
      </c>
      <c r="C671">
        <v>0.51</v>
      </c>
      <c r="D671">
        <v>0.43</v>
      </c>
      <c r="E671">
        <v>0.73</v>
      </c>
      <c r="F671">
        <v>0.94</v>
      </c>
      <c r="G671">
        <v>0.95</v>
      </c>
      <c r="H671">
        <v>0.93</v>
      </c>
      <c r="I671">
        <v>340</v>
      </c>
      <c r="J671">
        <v>5</v>
      </c>
      <c r="K671">
        <v>0.64</v>
      </c>
      <c r="L671" t="s">
        <v>12</v>
      </c>
    </row>
    <row r="672" spans="1:12" x14ac:dyDescent="0.3">
      <c r="A672">
        <v>3</v>
      </c>
      <c r="B672">
        <v>2022</v>
      </c>
      <c r="C672">
        <v>0.99</v>
      </c>
      <c r="D672">
        <v>0.8</v>
      </c>
      <c r="E672">
        <v>0.64</v>
      </c>
      <c r="F672">
        <v>0.83</v>
      </c>
      <c r="G672">
        <v>0.38</v>
      </c>
      <c r="H672">
        <v>0.97</v>
      </c>
      <c r="I672">
        <v>421</v>
      </c>
      <c r="J672">
        <v>11</v>
      </c>
      <c r="K672">
        <v>0.79</v>
      </c>
      <c r="L672" t="s">
        <v>13</v>
      </c>
    </row>
    <row r="673" spans="1:12" x14ac:dyDescent="0.3">
      <c r="A673">
        <v>5</v>
      </c>
      <c r="B673">
        <v>2023</v>
      </c>
      <c r="C673">
        <v>0.47</v>
      </c>
      <c r="D673">
        <v>0.83</v>
      </c>
      <c r="E673">
        <v>0.89</v>
      </c>
      <c r="F673">
        <v>0.87</v>
      </c>
      <c r="G673">
        <v>0.73</v>
      </c>
      <c r="H673">
        <v>0.89</v>
      </c>
      <c r="I673">
        <v>382</v>
      </c>
      <c r="J673">
        <v>8</v>
      </c>
      <c r="K673">
        <v>0.73</v>
      </c>
      <c r="L673" t="s">
        <v>13</v>
      </c>
    </row>
    <row r="674" spans="1:12" x14ac:dyDescent="0.3">
      <c r="A674">
        <v>2</v>
      </c>
      <c r="B674">
        <v>2025</v>
      </c>
      <c r="C674">
        <v>0.47</v>
      </c>
      <c r="D674">
        <v>0.99</v>
      </c>
      <c r="E674">
        <v>0.69</v>
      </c>
      <c r="F674">
        <v>0.89</v>
      </c>
      <c r="G674">
        <v>0.78</v>
      </c>
      <c r="H674">
        <v>0.21</v>
      </c>
      <c r="I674">
        <v>468</v>
      </c>
      <c r="J674">
        <v>15</v>
      </c>
      <c r="K674">
        <v>0.74</v>
      </c>
      <c r="L674" t="s">
        <v>13</v>
      </c>
    </row>
    <row r="675" spans="1:12" x14ac:dyDescent="0.3">
      <c r="A675">
        <v>15</v>
      </c>
      <c r="B675">
        <v>2024</v>
      </c>
      <c r="C675">
        <v>0.44</v>
      </c>
      <c r="D675">
        <v>0.96</v>
      </c>
      <c r="E675">
        <v>0.68</v>
      </c>
      <c r="F675">
        <v>0.64</v>
      </c>
      <c r="G675">
        <v>0.79</v>
      </c>
      <c r="H675">
        <v>0.3</v>
      </c>
      <c r="I675">
        <v>201</v>
      </c>
      <c r="J675">
        <v>1</v>
      </c>
      <c r="K675">
        <v>0.68</v>
      </c>
      <c r="L675" t="s">
        <v>12</v>
      </c>
    </row>
    <row r="676" spans="1:12" x14ac:dyDescent="0.3">
      <c r="A676">
        <v>38</v>
      </c>
      <c r="B676">
        <v>2023</v>
      </c>
      <c r="C676">
        <v>0.59</v>
      </c>
      <c r="D676">
        <v>0.99</v>
      </c>
      <c r="E676">
        <v>0.83</v>
      </c>
      <c r="F676">
        <v>0.9</v>
      </c>
      <c r="G676">
        <v>0.32</v>
      </c>
      <c r="H676">
        <v>0.12</v>
      </c>
      <c r="I676">
        <v>395</v>
      </c>
      <c r="J676">
        <v>17</v>
      </c>
      <c r="K676">
        <v>0.76</v>
      </c>
      <c r="L676" t="s">
        <v>13</v>
      </c>
    </row>
    <row r="677" spans="1:12" x14ac:dyDescent="0.3">
      <c r="A677">
        <v>9</v>
      </c>
      <c r="B677">
        <v>2025</v>
      </c>
      <c r="C677">
        <v>0.87</v>
      </c>
      <c r="D677">
        <v>0.64</v>
      </c>
      <c r="E677">
        <v>0.97</v>
      </c>
      <c r="F677">
        <v>0.76</v>
      </c>
      <c r="G677">
        <v>0.84</v>
      </c>
      <c r="H677">
        <v>0.48</v>
      </c>
      <c r="I677">
        <v>478</v>
      </c>
      <c r="J677">
        <v>16</v>
      </c>
      <c r="K677">
        <v>0.81</v>
      </c>
      <c r="L677" t="s">
        <v>13</v>
      </c>
    </row>
    <row r="678" spans="1:12" x14ac:dyDescent="0.3">
      <c r="A678">
        <v>40</v>
      </c>
      <c r="B678">
        <v>2022</v>
      </c>
      <c r="C678">
        <v>0.96</v>
      </c>
      <c r="D678">
        <v>0.9</v>
      </c>
      <c r="E678">
        <v>0.9</v>
      </c>
      <c r="F678">
        <v>0.68</v>
      </c>
      <c r="G678">
        <v>0.86</v>
      </c>
      <c r="H678">
        <v>0.85</v>
      </c>
      <c r="I678">
        <v>442</v>
      </c>
      <c r="J678">
        <v>10</v>
      </c>
      <c r="K678">
        <v>0.88</v>
      </c>
      <c r="L678" t="s">
        <v>13</v>
      </c>
    </row>
    <row r="679" spans="1:12" x14ac:dyDescent="0.3">
      <c r="A679">
        <v>69</v>
      </c>
      <c r="B679">
        <v>2023</v>
      </c>
      <c r="C679">
        <v>0.7</v>
      </c>
      <c r="D679">
        <v>0.63</v>
      </c>
      <c r="E679">
        <v>0.98</v>
      </c>
      <c r="F679">
        <v>0.71</v>
      </c>
      <c r="G679">
        <v>0.57999999999999996</v>
      </c>
      <c r="H679">
        <v>0.98</v>
      </c>
      <c r="I679">
        <v>493</v>
      </c>
      <c r="J679">
        <v>10</v>
      </c>
      <c r="K679">
        <v>0.73</v>
      </c>
      <c r="L679" t="s">
        <v>13</v>
      </c>
    </row>
    <row r="680" spans="1:12" x14ac:dyDescent="0.3">
      <c r="A680">
        <v>87</v>
      </c>
      <c r="B680">
        <v>2021</v>
      </c>
      <c r="C680">
        <v>0.31</v>
      </c>
      <c r="D680">
        <v>0.74</v>
      </c>
      <c r="E680">
        <v>0.97</v>
      </c>
      <c r="F680">
        <v>0.87</v>
      </c>
      <c r="G680">
        <v>0.88</v>
      </c>
      <c r="H680">
        <v>0.01</v>
      </c>
      <c r="I680">
        <v>478</v>
      </c>
      <c r="J680">
        <v>19</v>
      </c>
      <c r="K680">
        <v>0.69</v>
      </c>
      <c r="L680" t="s">
        <v>12</v>
      </c>
    </row>
    <row r="681" spans="1:12" x14ac:dyDescent="0.3">
      <c r="A681">
        <v>61</v>
      </c>
      <c r="B681">
        <v>2024</v>
      </c>
      <c r="C681">
        <v>0.78</v>
      </c>
      <c r="D681">
        <v>0.7</v>
      </c>
      <c r="E681">
        <v>0.88</v>
      </c>
      <c r="F681">
        <v>0.79</v>
      </c>
      <c r="G681">
        <v>0.4</v>
      </c>
      <c r="H681">
        <v>0.65</v>
      </c>
      <c r="I681">
        <v>356</v>
      </c>
      <c r="J681">
        <v>4</v>
      </c>
      <c r="K681">
        <v>0.74</v>
      </c>
      <c r="L681" t="s">
        <v>13</v>
      </c>
    </row>
    <row r="682" spans="1:12" x14ac:dyDescent="0.3">
      <c r="A682">
        <v>13</v>
      </c>
      <c r="B682">
        <v>2023</v>
      </c>
      <c r="C682">
        <v>0.73</v>
      </c>
      <c r="D682">
        <v>0.49</v>
      </c>
      <c r="E682">
        <v>0.98</v>
      </c>
      <c r="F682">
        <v>0.81</v>
      </c>
      <c r="G682">
        <v>0.35</v>
      </c>
      <c r="H682">
        <v>0.63</v>
      </c>
      <c r="I682">
        <v>254</v>
      </c>
      <c r="J682">
        <v>14</v>
      </c>
      <c r="K682">
        <v>0.69</v>
      </c>
      <c r="L682" t="s">
        <v>12</v>
      </c>
    </row>
    <row r="683" spans="1:12" x14ac:dyDescent="0.3">
      <c r="A683">
        <v>54</v>
      </c>
      <c r="B683">
        <v>2023</v>
      </c>
      <c r="C683">
        <v>0.74</v>
      </c>
      <c r="D683">
        <v>0.96</v>
      </c>
      <c r="E683">
        <v>0.6</v>
      </c>
      <c r="F683">
        <v>0.89</v>
      </c>
      <c r="G683">
        <v>0.91</v>
      </c>
      <c r="H683">
        <v>0.52</v>
      </c>
      <c r="I683">
        <v>261</v>
      </c>
      <c r="J683">
        <v>15</v>
      </c>
      <c r="K683">
        <v>0.81</v>
      </c>
      <c r="L683" t="s">
        <v>13</v>
      </c>
    </row>
    <row r="684" spans="1:12" x14ac:dyDescent="0.3">
      <c r="A684">
        <v>76</v>
      </c>
      <c r="B684">
        <v>2025</v>
      </c>
      <c r="C684">
        <v>0.9</v>
      </c>
      <c r="D684">
        <v>0.91</v>
      </c>
      <c r="E684">
        <v>0.55000000000000004</v>
      </c>
      <c r="F684">
        <v>0.64</v>
      </c>
      <c r="G684">
        <v>0.48</v>
      </c>
      <c r="H684">
        <v>0.87</v>
      </c>
      <c r="I684">
        <v>186</v>
      </c>
      <c r="J684">
        <v>7</v>
      </c>
      <c r="K684">
        <v>0.75</v>
      </c>
      <c r="L684" t="s">
        <v>13</v>
      </c>
    </row>
    <row r="685" spans="1:12" x14ac:dyDescent="0.3">
      <c r="A685">
        <v>87</v>
      </c>
      <c r="B685">
        <v>2022</v>
      </c>
      <c r="C685">
        <v>0.74</v>
      </c>
      <c r="D685">
        <v>0.61</v>
      </c>
      <c r="E685">
        <v>0.89</v>
      </c>
      <c r="F685">
        <v>0.69</v>
      </c>
      <c r="G685">
        <v>0.75</v>
      </c>
      <c r="H685">
        <v>0.24</v>
      </c>
      <c r="I685">
        <v>218</v>
      </c>
      <c r="J685">
        <v>9</v>
      </c>
      <c r="K685">
        <v>0.73</v>
      </c>
      <c r="L685" t="s">
        <v>13</v>
      </c>
    </row>
    <row r="686" spans="1:12" x14ac:dyDescent="0.3">
      <c r="A686">
        <v>24</v>
      </c>
      <c r="B686">
        <v>2022</v>
      </c>
      <c r="C686">
        <v>0.39</v>
      </c>
      <c r="D686">
        <v>0.92</v>
      </c>
      <c r="E686">
        <v>0.8</v>
      </c>
      <c r="F686">
        <v>0.65</v>
      </c>
      <c r="G686">
        <v>0.6</v>
      </c>
      <c r="H686">
        <v>0.16</v>
      </c>
      <c r="I686">
        <v>78</v>
      </c>
      <c r="J686">
        <v>13</v>
      </c>
      <c r="K686">
        <v>0.66</v>
      </c>
      <c r="L686" t="s">
        <v>12</v>
      </c>
    </row>
    <row r="687" spans="1:12" x14ac:dyDescent="0.3">
      <c r="A687">
        <v>79</v>
      </c>
      <c r="B687">
        <v>2021</v>
      </c>
      <c r="C687">
        <v>0.36</v>
      </c>
      <c r="D687">
        <v>0.52</v>
      </c>
      <c r="E687">
        <v>0.74</v>
      </c>
      <c r="F687">
        <v>0.74</v>
      </c>
      <c r="G687">
        <v>0.55000000000000004</v>
      </c>
      <c r="H687">
        <v>0.53</v>
      </c>
      <c r="I687">
        <v>207</v>
      </c>
      <c r="J687">
        <v>18</v>
      </c>
      <c r="K687">
        <v>0.55000000000000004</v>
      </c>
      <c r="L687" t="s">
        <v>12</v>
      </c>
    </row>
    <row r="688" spans="1:12" x14ac:dyDescent="0.3">
      <c r="A688">
        <v>53</v>
      </c>
      <c r="B688">
        <v>2025</v>
      </c>
      <c r="C688">
        <v>0.86</v>
      </c>
      <c r="D688">
        <v>0.6</v>
      </c>
      <c r="E688">
        <v>0.53</v>
      </c>
      <c r="F688">
        <v>0.82</v>
      </c>
      <c r="G688">
        <v>0.71</v>
      </c>
      <c r="H688">
        <v>0.93</v>
      </c>
      <c r="I688">
        <v>487</v>
      </c>
      <c r="J688">
        <v>16</v>
      </c>
      <c r="K688">
        <v>0.71</v>
      </c>
      <c r="L688" t="s">
        <v>13</v>
      </c>
    </row>
    <row r="689" spans="1:12" x14ac:dyDescent="0.3">
      <c r="A689">
        <v>19</v>
      </c>
      <c r="B689">
        <v>2023</v>
      </c>
      <c r="C689">
        <v>0.94</v>
      </c>
      <c r="D689">
        <v>0.76</v>
      </c>
      <c r="E689">
        <v>0.76</v>
      </c>
      <c r="F689">
        <v>0.82</v>
      </c>
      <c r="G689">
        <v>0.98</v>
      </c>
      <c r="H689">
        <v>0.77</v>
      </c>
      <c r="I689">
        <v>60</v>
      </c>
      <c r="J689">
        <v>15</v>
      </c>
      <c r="K689">
        <v>0.84</v>
      </c>
      <c r="L689" t="s">
        <v>13</v>
      </c>
    </row>
    <row r="690" spans="1:12" x14ac:dyDescent="0.3">
      <c r="A690">
        <v>90</v>
      </c>
      <c r="B690">
        <v>2025</v>
      </c>
      <c r="C690">
        <v>0.62</v>
      </c>
      <c r="D690">
        <v>0.57999999999999996</v>
      </c>
      <c r="E690">
        <v>0.52</v>
      </c>
      <c r="F690">
        <v>0.73</v>
      </c>
      <c r="G690">
        <v>0.68</v>
      </c>
      <c r="H690">
        <v>0.55000000000000004</v>
      </c>
      <c r="I690">
        <v>61</v>
      </c>
      <c r="J690">
        <v>2</v>
      </c>
      <c r="K690">
        <v>0.61</v>
      </c>
      <c r="L690" t="s">
        <v>12</v>
      </c>
    </row>
    <row r="691" spans="1:12" x14ac:dyDescent="0.3">
      <c r="A691">
        <v>21</v>
      </c>
      <c r="B691">
        <v>2022</v>
      </c>
      <c r="C691">
        <v>0.53</v>
      </c>
      <c r="D691">
        <v>0.56999999999999995</v>
      </c>
      <c r="E691">
        <v>0.59</v>
      </c>
      <c r="F691">
        <v>0.8</v>
      </c>
      <c r="G691">
        <v>0.49</v>
      </c>
      <c r="H691">
        <v>0.73</v>
      </c>
      <c r="I691">
        <v>186</v>
      </c>
      <c r="J691">
        <v>5</v>
      </c>
      <c r="K691">
        <v>0.59</v>
      </c>
      <c r="L691" t="s">
        <v>12</v>
      </c>
    </row>
    <row r="692" spans="1:12" x14ac:dyDescent="0.3">
      <c r="A692">
        <v>3</v>
      </c>
      <c r="B692">
        <v>2024</v>
      </c>
      <c r="C692">
        <v>0.84</v>
      </c>
      <c r="D692">
        <v>0.6</v>
      </c>
      <c r="E692">
        <v>0.78</v>
      </c>
      <c r="F692">
        <v>0.68</v>
      </c>
      <c r="G692">
        <v>0.82</v>
      </c>
      <c r="H692">
        <v>0.05</v>
      </c>
      <c r="I692">
        <v>75</v>
      </c>
      <c r="J692">
        <v>13</v>
      </c>
      <c r="K692">
        <v>0.74</v>
      </c>
      <c r="L692" t="s">
        <v>13</v>
      </c>
    </row>
    <row r="693" spans="1:12" x14ac:dyDescent="0.3">
      <c r="A693">
        <v>54</v>
      </c>
      <c r="B693">
        <v>2022</v>
      </c>
      <c r="C693">
        <v>0.6</v>
      </c>
      <c r="D693">
        <v>0.51</v>
      </c>
      <c r="E693">
        <v>0.64</v>
      </c>
      <c r="F693">
        <v>0.71</v>
      </c>
      <c r="G693">
        <v>0.66</v>
      </c>
      <c r="H693">
        <v>0.23</v>
      </c>
      <c r="I693">
        <v>491</v>
      </c>
      <c r="J693">
        <v>15</v>
      </c>
      <c r="K693">
        <v>0.61</v>
      </c>
      <c r="L693" t="s">
        <v>12</v>
      </c>
    </row>
    <row r="694" spans="1:12" x14ac:dyDescent="0.3">
      <c r="A694">
        <v>24</v>
      </c>
      <c r="B694">
        <v>2025</v>
      </c>
      <c r="C694">
        <v>0.71</v>
      </c>
      <c r="D694">
        <v>0.84</v>
      </c>
      <c r="E694">
        <v>0.66</v>
      </c>
      <c r="F694">
        <v>0.61</v>
      </c>
      <c r="G694">
        <v>0.39</v>
      </c>
      <c r="H694">
        <v>0.91</v>
      </c>
      <c r="I694">
        <v>186</v>
      </c>
      <c r="J694">
        <v>2</v>
      </c>
      <c r="K694">
        <v>0.69</v>
      </c>
      <c r="L694" t="s">
        <v>12</v>
      </c>
    </row>
    <row r="695" spans="1:12" x14ac:dyDescent="0.3">
      <c r="A695">
        <v>64</v>
      </c>
      <c r="B695">
        <v>2024</v>
      </c>
      <c r="C695">
        <v>0.81</v>
      </c>
      <c r="D695">
        <v>0.72</v>
      </c>
      <c r="E695">
        <v>0.6</v>
      </c>
      <c r="F695">
        <v>0.64</v>
      </c>
      <c r="G695">
        <v>0.56999999999999995</v>
      </c>
      <c r="H695">
        <v>0.84</v>
      </c>
      <c r="I695">
        <v>482</v>
      </c>
      <c r="J695">
        <v>15</v>
      </c>
      <c r="K695">
        <v>0.7</v>
      </c>
      <c r="L695" t="s">
        <v>12</v>
      </c>
    </row>
    <row r="696" spans="1:12" x14ac:dyDescent="0.3">
      <c r="A696">
        <v>100</v>
      </c>
      <c r="B696">
        <v>2023</v>
      </c>
      <c r="C696">
        <v>0.41</v>
      </c>
      <c r="D696">
        <v>0.56999999999999995</v>
      </c>
      <c r="E696">
        <v>0.69</v>
      </c>
      <c r="F696">
        <v>0.9</v>
      </c>
      <c r="G696">
        <v>0.68</v>
      </c>
      <c r="H696">
        <v>0.08</v>
      </c>
      <c r="I696">
        <v>179</v>
      </c>
      <c r="J696">
        <v>19</v>
      </c>
      <c r="K696">
        <v>0.61</v>
      </c>
      <c r="L696" t="s">
        <v>12</v>
      </c>
    </row>
    <row r="697" spans="1:12" x14ac:dyDescent="0.3">
      <c r="A697">
        <v>15</v>
      </c>
      <c r="B697">
        <v>2024</v>
      </c>
      <c r="C697">
        <v>0.59</v>
      </c>
      <c r="D697">
        <v>0.96</v>
      </c>
      <c r="E697">
        <v>0.82</v>
      </c>
      <c r="F697">
        <v>0.92</v>
      </c>
      <c r="G697">
        <v>0.63</v>
      </c>
      <c r="H697">
        <v>0.36</v>
      </c>
      <c r="I697">
        <v>172</v>
      </c>
      <c r="J697">
        <v>7</v>
      </c>
      <c r="K697">
        <v>0.78</v>
      </c>
      <c r="L697" t="s">
        <v>13</v>
      </c>
    </row>
    <row r="698" spans="1:12" x14ac:dyDescent="0.3">
      <c r="A698">
        <v>29</v>
      </c>
      <c r="B698">
        <v>2023</v>
      </c>
      <c r="C698">
        <v>0.85</v>
      </c>
      <c r="D698">
        <v>0.5</v>
      </c>
      <c r="E698">
        <v>0.76</v>
      </c>
      <c r="F698">
        <v>0.79</v>
      </c>
      <c r="G698">
        <v>0.74</v>
      </c>
      <c r="H698">
        <v>0.95</v>
      </c>
      <c r="I698">
        <v>240</v>
      </c>
      <c r="J698">
        <v>11</v>
      </c>
      <c r="K698">
        <v>0.72</v>
      </c>
      <c r="L698" t="s">
        <v>13</v>
      </c>
    </row>
    <row r="699" spans="1:12" x14ac:dyDescent="0.3">
      <c r="A699">
        <v>76</v>
      </c>
      <c r="B699">
        <v>2023</v>
      </c>
      <c r="C699">
        <v>0.34</v>
      </c>
      <c r="D699">
        <v>0.44</v>
      </c>
      <c r="E699">
        <v>0.59</v>
      </c>
      <c r="F699">
        <v>0.61</v>
      </c>
      <c r="G699">
        <v>0.82</v>
      </c>
      <c r="H699">
        <v>0.72</v>
      </c>
      <c r="I699">
        <v>260</v>
      </c>
      <c r="J699">
        <v>15</v>
      </c>
      <c r="K699">
        <v>0.5</v>
      </c>
      <c r="L699" t="s">
        <v>12</v>
      </c>
    </row>
    <row r="700" spans="1:12" x14ac:dyDescent="0.3">
      <c r="A700">
        <v>86</v>
      </c>
      <c r="B700">
        <v>2025</v>
      </c>
      <c r="C700">
        <v>0.41</v>
      </c>
      <c r="D700">
        <v>0.57999999999999996</v>
      </c>
      <c r="E700">
        <v>0.62</v>
      </c>
      <c r="F700">
        <v>0.75</v>
      </c>
      <c r="G700">
        <v>0.48</v>
      </c>
      <c r="H700">
        <v>0.49</v>
      </c>
      <c r="I700">
        <v>58</v>
      </c>
      <c r="J700">
        <v>18</v>
      </c>
      <c r="K700">
        <v>0.55000000000000004</v>
      </c>
      <c r="L700" t="s">
        <v>12</v>
      </c>
    </row>
    <row r="701" spans="1:12" x14ac:dyDescent="0.3">
      <c r="A701">
        <v>35</v>
      </c>
      <c r="B701">
        <v>2025</v>
      </c>
      <c r="C701">
        <v>0.75</v>
      </c>
      <c r="D701">
        <v>0.57999999999999996</v>
      </c>
      <c r="E701">
        <v>0.73</v>
      </c>
      <c r="F701">
        <v>0.71</v>
      </c>
      <c r="G701">
        <v>0.56000000000000005</v>
      </c>
      <c r="H701">
        <v>0.16</v>
      </c>
      <c r="I701">
        <v>55</v>
      </c>
      <c r="J701">
        <v>13</v>
      </c>
      <c r="K701">
        <v>0.68</v>
      </c>
      <c r="L701" t="s">
        <v>12</v>
      </c>
    </row>
    <row r="702" spans="1:12" x14ac:dyDescent="0.3">
      <c r="A702">
        <v>67</v>
      </c>
      <c r="B702">
        <v>2024</v>
      </c>
      <c r="C702">
        <v>0.42</v>
      </c>
      <c r="D702">
        <v>0.52</v>
      </c>
      <c r="E702">
        <v>0.66</v>
      </c>
      <c r="F702">
        <v>0.84</v>
      </c>
      <c r="G702">
        <v>0.45</v>
      </c>
      <c r="H702">
        <v>0.12</v>
      </c>
      <c r="I702">
        <v>205</v>
      </c>
      <c r="J702">
        <v>13</v>
      </c>
      <c r="K702">
        <v>0.56000000000000005</v>
      </c>
      <c r="L702" t="s">
        <v>12</v>
      </c>
    </row>
    <row r="703" spans="1:12" x14ac:dyDescent="0.3">
      <c r="A703">
        <v>44</v>
      </c>
      <c r="B703">
        <v>2021</v>
      </c>
      <c r="C703">
        <v>0.31</v>
      </c>
      <c r="D703">
        <v>0.62</v>
      </c>
      <c r="E703">
        <v>0.54</v>
      </c>
      <c r="F703">
        <v>0.7</v>
      </c>
      <c r="G703">
        <v>0.36</v>
      </c>
      <c r="H703">
        <v>0.1</v>
      </c>
      <c r="I703">
        <v>407</v>
      </c>
      <c r="J703">
        <v>1</v>
      </c>
      <c r="K703">
        <v>0.5</v>
      </c>
      <c r="L703" t="s">
        <v>12</v>
      </c>
    </row>
    <row r="704" spans="1:12" x14ac:dyDescent="0.3">
      <c r="A704">
        <v>40</v>
      </c>
      <c r="B704">
        <v>2023</v>
      </c>
      <c r="C704">
        <v>0.75</v>
      </c>
      <c r="D704">
        <v>0.48</v>
      </c>
      <c r="E704">
        <v>0.96</v>
      </c>
      <c r="F704">
        <v>0.64</v>
      </c>
      <c r="G704">
        <v>0.97</v>
      </c>
      <c r="H704">
        <v>0.61</v>
      </c>
      <c r="I704">
        <v>248</v>
      </c>
      <c r="J704">
        <v>1</v>
      </c>
      <c r="K704">
        <v>0.73</v>
      </c>
      <c r="L704" t="s">
        <v>13</v>
      </c>
    </row>
    <row r="705" spans="1:12" x14ac:dyDescent="0.3">
      <c r="A705">
        <v>11</v>
      </c>
      <c r="B705">
        <v>2022</v>
      </c>
      <c r="C705">
        <v>0.36</v>
      </c>
      <c r="D705">
        <v>0.97</v>
      </c>
      <c r="E705">
        <v>0.63</v>
      </c>
      <c r="F705">
        <v>0.73</v>
      </c>
      <c r="G705">
        <v>0.57999999999999996</v>
      </c>
      <c r="H705">
        <v>0.05</v>
      </c>
      <c r="I705">
        <v>155</v>
      </c>
      <c r="J705">
        <v>12</v>
      </c>
      <c r="K705">
        <v>0.64</v>
      </c>
      <c r="L705" t="s">
        <v>12</v>
      </c>
    </row>
    <row r="706" spans="1:12" x14ac:dyDescent="0.3">
      <c r="A706">
        <v>53</v>
      </c>
      <c r="B706">
        <v>2024</v>
      </c>
      <c r="C706">
        <v>0.55000000000000004</v>
      </c>
      <c r="D706">
        <v>0.86</v>
      </c>
      <c r="E706">
        <v>0.9</v>
      </c>
      <c r="F706">
        <v>0.66</v>
      </c>
      <c r="G706">
        <v>0.56000000000000005</v>
      </c>
      <c r="H706">
        <v>0.37</v>
      </c>
      <c r="I706">
        <v>490</v>
      </c>
      <c r="J706">
        <v>4</v>
      </c>
      <c r="K706">
        <v>0.72</v>
      </c>
      <c r="L706" t="s">
        <v>13</v>
      </c>
    </row>
    <row r="707" spans="1:12" x14ac:dyDescent="0.3">
      <c r="A707">
        <v>98</v>
      </c>
      <c r="B707">
        <v>2024</v>
      </c>
      <c r="C707">
        <v>0.87</v>
      </c>
      <c r="D707">
        <v>0.63</v>
      </c>
      <c r="E707">
        <v>0.52</v>
      </c>
      <c r="F707">
        <v>0.67</v>
      </c>
      <c r="G707">
        <v>0.97</v>
      </c>
      <c r="H707">
        <v>7.0000000000000007E-2</v>
      </c>
      <c r="I707">
        <v>413</v>
      </c>
      <c r="J707">
        <v>15</v>
      </c>
      <c r="K707">
        <v>0.72</v>
      </c>
      <c r="L707" t="s">
        <v>13</v>
      </c>
    </row>
    <row r="708" spans="1:12" x14ac:dyDescent="0.3">
      <c r="A708">
        <v>25</v>
      </c>
      <c r="B708">
        <v>2024</v>
      </c>
      <c r="C708">
        <v>0.3</v>
      </c>
      <c r="D708">
        <v>0.7</v>
      </c>
      <c r="E708">
        <v>0.69</v>
      </c>
      <c r="F708">
        <v>0.99</v>
      </c>
      <c r="G708">
        <v>0.41</v>
      </c>
      <c r="H708">
        <v>0.35</v>
      </c>
      <c r="I708">
        <v>409</v>
      </c>
      <c r="J708">
        <v>2</v>
      </c>
      <c r="K708">
        <v>0.59</v>
      </c>
      <c r="L708" t="s">
        <v>12</v>
      </c>
    </row>
    <row r="709" spans="1:12" x14ac:dyDescent="0.3">
      <c r="A709">
        <v>87</v>
      </c>
      <c r="B709">
        <v>2025</v>
      </c>
      <c r="C709">
        <v>0.45</v>
      </c>
      <c r="D709">
        <v>0.53</v>
      </c>
      <c r="E709">
        <v>0.86</v>
      </c>
      <c r="F709">
        <v>0.8</v>
      </c>
      <c r="G709">
        <v>0.59</v>
      </c>
      <c r="H709">
        <v>0.17</v>
      </c>
      <c r="I709">
        <v>222</v>
      </c>
      <c r="J709">
        <v>9</v>
      </c>
      <c r="K709">
        <v>0.62</v>
      </c>
      <c r="L709" t="s">
        <v>12</v>
      </c>
    </row>
    <row r="710" spans="1:12" x14ac:dyDescent="0.3">
      <c r="A710">
        <v>25</v>
      </c>
      <c r="B710">
        <v>2024</v>
      </c>
      <c r="C710">
        <v>0.36</v>
      </c>
      <c r="D710">
        <v>0.73</v>
      </c>
      <c r="E710">
        <v>0.95</v>
      </c>
      <c r="F710">
        <v>0.71</v>
      </c>
      <c r="G710">
        <v>0.53</v>
      </c>
      <c r="H710">
        <v>0.12</v>
      </c>
      <c r="I710">
        <v>373</v>
      </c>
      <c r="J710">
        <v>18</v>
      </c>
      <c r="K710">
        <v>0.64</v>
      </c>
      <c r="L710" t="s">
        <v>12</v>
      </c>
    </row>
    <row r="711" spans="1:12" x14ac:dyDescent="0.3">
      <c r="A711">
        <v>19</v>
      </c>
      <c r="B711">
        <v>2024</v>
      </c>
      <c r="C711">
        <v>0.76</v>
      </c>
      <c r="D711">
        <v>0.9</v>
      </c>
      <c r="E711">
        <v>0.61</v>
      </c>
      <c r="F711">
        <v>0.65</v>
      </c>
      <c r="G711">
        <v>0.9</v>
      </c>
      <c r="H711">
        <v>0.16</v>
      </c>
      <c r="I711">
        <v>154</v>
      </c>
      <c r="J711">
        <v>17</v>
      </c>
      <c r="K711">
        <v>0.76</v>
      </c>
      <c r="L711" t="s">
        <v>13</v>
      </c>
    </row>
    <row r="712" spans="1:12" x14ac:dyDescent="0.3">
      <c r="A712">
        <v>75</v>
      </c>
      <c r="B712">
        <v>2022</v>
      </c>
      <c r="C712">
        <v>0.34</v>
      </c>
      <c r="D712">
        <v>0.92</v>
      </c>
      <c r="E712">
        <v>0.67</v>
      </c>
      <c r="F712">
        <v>0.96</v>
      </c>
      <c r="G712">
        <v>0.96</v>
      </c>
      <c r="H712">
        <v>0.67</v>
      </c>
      <c r="I712">
        <v>416</v>
      </c>
      <c r="J712">
        <v>1</v>
      </c>
      <c r="K712">
        <v>0.71</v>
      </c>
      <c r="L712" t="s">
        <v>13</v>
      </c>
    </row>
    <row r="713" spans="1:12" x14ac:dyDescent="0.3">
      <c r="A713">
        <v>93</v>
      </c>
      <c r="B713">
        <v>2021</v>
      </c>
      <c r="C713">
        <v>0.88</v>
      </c>
      <c r="D713">
        <v>0.98</v>
      </c>
      <c r="E713">
        <v>0.89</v>
      </c>
      <c r="F713">
        <v>0.85</v>
      </c>
      <c r="G713">
        <v>0.72</v>
      </c>
      <c r="H713">
        <v>0.85</v>
      </c>
      <c r="I713">
        <v>176</v>
      </c>
      <c r="J713">
        <v>7</v>
      </c>
      <c r="K713">
        <v>0.89</v>
      </c>
      <c r="L713" t="s">
        <v>13</v>
      </c>
    </row>
    <row r="714" spans="1:12" x14ac:dyDescent="0.3">
      <c r="A714">
        <v>19</v>
      </c>
      <c r="B714">
        <v>2023</v>
      </c>
      <c r="C714">
        <v>0.34</v>
      </c>
      <c r="D714">
        <v>0.63</v>
      </c>
      <c r="E714">
        <v>0.72</v>
      </c>
      <c r="F714">
        <v>0.66</v>
      </c>
      <c r="G714">
        <v>0.37</v>
      </c>
      <c r="H714">
        <v>0.54</v>
      </c>
      <c r="I714">
        <v>347</v>
      </c>
      <c r="J714">
        <v>1</v>
      </c>
      <c r="K714">
        <v>0.54</v>
      </c>
      <c r="L714" t="s">
        <v>12</v>
      </c>
    </row>
    <row r="715" spans="1:12" x14ac:dyDescent="0.3">
      <c r="A715">
        <v>9</v>
      </c>
      <c r="B715">
        <v>2023</v>
      </c>
      <c r="C715">
        <v>0.98</v>
      </c>
      <c r="D715">
        <v>0.83</v>
      </c>
      <c r="E715">
        <v>1</v>
      </c>
      <c r="F715">
        <v>0.88</v>
      </c>
      <c r="G715">
        <v>0.51</v>
      </c>
      <c r="H715">
        <v>0.67</v>
      </c>
      <c r="I715">
        <v>479</v>
      </c>
      <c r="J715">
        <v>1</v>
      </c>
      <c r="K715">
        <v>0.88</v>
      </c>
      <c r="L715" t="s">
        <v>13</v>
      </c>
    </row>
    <row r="716" spans="1:12" x14ac:dyDescent="0.3">
      <c r="A716">
        <v>46</v>
      </c>
      <c r="B716">
        <v>2023</v>
      </c>
      <c r="C716">
        <v>0.79</v>
      </c>
      <c r="D716">
        <v>0.41</v>
      </c>
      <c r="E716">
        <v>0.82</v>
      </c>
      <c r="F716">
        <v>0.67</v>
      </c>
      <c r="G716">
        <v>0.7</v>
      </c>
      <c r="H716">
        <v>0.5</v>
      </c>
      <c r="I716">
        <v>397</v>
      </c>
      <c r="J716">
        <v>7</v>
      </c>
      <c r="K716">
        <v>0.67</v>
      </c>
      <c r="L716" t="s">
        <v>12</v>
      </c>
    </row>
    <row r="717" spans="1:12" x14ac:dyDescent="0.3">
      <c r="A717">
        <v>34</v>
      </c>
      <c r="B717">
        <v>2024</v>
      </c>
      <c r="C717">
        <v>0.89</v>
      </c>
      <c r="D717">
        <v>0.93</v>
      </c>
      <c r="E717">
        <v>0.74</v>
      </c>
      <c r="F717">
        <v>0.89</v>
      </c>
      <c r="G717">
        <v>0.52</v>
      </c>
      <c r="H717">
        <v>0.34</v>
      </c>
      <c r="I717">
        <v>162</v>
      </c>
      <c r="J717">
        <v>12</v>
      </c>
      <c r="K717">
        <v>0.83</v>
      </c>
      <c r="L717" t="s">
        <v>13</v>
      </c>
    </row>
    <row r="718" spans="1:12" x14ac:dyDescent="0.3">
      <c r="A718">
        <v>21</v>
      </c>
      <c r="B718">
        <v>2022</v>
      </c>
      <c r="C718">
        <v>0.75</v>
      </c>
      <c r="D718">
        <v>0.42</v>
      </c>
      <c r="E718">
        <v>0.81</v>
      </c>
      <c r="F718">
        <v>0.8</v>
      </c>
      <c r="G718">
        <v>0.68</v>
      </c>
      <c r="H718">
        <v>0.36</v>
      </c>
      <c r="I718">
        <v>351</v>
      </c>
      <c r="J718">
        <v>7</v>
      </c>
      <c r="K718">
        <v>0.68</v>
      </c>
      <c r="L718" t="s">
        <v>12</v>
      </c>
    </row>
    <row r="719" spans="1:12" x14ac:dyDescent="0.3">
      <c r="A719">
        <v>10</v>
      </c>
      <c r="B719">
        <v>2021</v>
      </c>
      <c r="C719">
        <v>0.97</v>
      </c>
      <c r="D719">
        <v>0.65</v>
      </c>
      <c r="E719">
        <v>0.73</v>
      </c>
      <c r="F719">
        <v>0.62</v>
      </c>
      <c r="G719">
        <v>0.33</v>
      </c>
      <c r="H719">
        <v>0.72</v>
      </c>
      <c r="I719">
        <v>167</v>
      </c>
      <c r="J719">
        <v>3</v>
      </c>
      <c r="K719">
        <v>0.73</v>
      </c>
      <c r="L719" t="s">
        <v>13</v>
      </c>
    </row>
    <row r="720" spans="1:12" x14ac:dyDescent="0.3">
      <c r="A720">
        <v>39</v>
      </c>
      <c r="B720">
        <v>2025</v>
      </c>
      <c r="C720">
        <v>0.47</v>
      </c>
      <c r="D720">
        <v>0.85</v>
      </c>
      <c r="E720">
        <v>0.57999999999999996</v>
      </c>
      <c r="F720">
        <v>0.68</v>
      </c>
      <c r="G720">
        <v>0.62</v>
      </c>
      <c r="H720">
        <v>0.28999999999999998</v>
      </c>
      <c r="I720">
        <v>340</v>
      </c>
      <c r="J720">
        <v>12</v>
      </c>
      <c r="K720">
        <v>0.63</v>
      </c>
      <c r="L720" t="s">
        <v>12</v>
      </c>
    </row>
    <row r="721" spans="1:12" x14ac:dyDescent="0.3">
      <c r="A721">
        <v>52</v>
      </c>
      <c r="B721">
        <v>2023</v>
      </c>
      <c r="C721">
        <v>0.86</v>
      </c>
      <c r="D721">
        <v>0.9</v>
      </c>
      <c r="E721">
        <v>0.93</v>
      </c>
      <c r="F721">
        <v>0.77</v>
      </c>
      <c r="G721">
        <v>0.79</v>
      </c>
      <c r="H721">
        <v>0.27</v>
      </c>
      <c r="I721">
        <v>241</v>
      </c>
      <c r="J721">
        <v>6</v>
      </c>
      <c r="K721">
        <v>0.86</v>
      </c>
      <c r="L721" t="s">
        <v>13</v>
      </c>
    </row>
    <row r="722" spans="1:12" x14ac:dyDescent="0.3">
      <c r="A722">
        <v>12</v>
      </c>
      <c r="B722">
        <v>2023</v>
      </c>
      <c r="C722">
        <v>0.7</v>
      </c>
      <c r="D722">
        <v>0.95</v>
      </c>
      <c r="E722">
        <v>0.98</v>
      </c>
      <c r="F722">
        <v>0.82</v>
      </c>
      <c r="G722">
        <v>0.62</v>
      </c>
      <c r="H722">
        <v>0.95</v>
      </c>
      <c r="I722">
        <v>488</v>
      </c>
      <c r="J722">
        <v>3</v>
      </c>
      <c r="K722">
        <v>0.83</v>
      </c>
      <c r="L722" t="s">
        <v>13</v>
      </c>
    </row>
    <row r="723" spans="1:12" x14ac:dyDescent="0.3">
      <c r="A723">
        <v>89</v>
      </c>
      <c r="B723">
        <v>2024</v>
      </c>
      <c r="C723">
        <v>0.47</v>
      </c>
      <c r="D723">
        <v>0.68</v>
      </c>
      <c r="E723">
        <v>0.73</v>
      </c>
      <c r="F723">
        <v>0.83</v>
      </c>
      <c r="G723">
        <v>0.55000000000000004</v>
      </c>
      <c r="H723">
        <v>0.16</v>
      </c>
      <c r="I723">
        <v>82</v>
      </c>
      <c r="J723">
        <v>19</v>
      </c>
      <c r="K723">
        <v>0.64</v>
      </c>
      <c r="L723" t="s">
        <v>12</v>
      </c>
    </row>
    <row r="724" spans="1:12" x14ac:dyDescent="0.3">
      <c r="A724">
        <v>42</v>
      </c>
      <c r="B724">
        <v>2024</v>
      </c>
      <c r="C724">
        <v>0.73</v>
      </c>
      <c r="D724">
        <v>0.52</v>
      </c>
      <c r="E724">
        <v>0.8</v>
      </c>
      <c r="F724">
        <v>0.87</v>
      </c>
      <c r="G724">
        <v>0.67</v>
      </c>
      <c r="H724">
        <v>0.72</v>
      </c>
      <c r="I724">
        <v>158</v>
      </c>
      <c r="J724">
        <v>4</v>
      </c>
      <c r="K724">
        <v>0.71</v>
      </c>
      <c r="L724" t="s">
        <v>13</v>
      </c>
    </row>
    <row r="725" spans="1:12" x14ac:dyDescent="0.3">
      <c r="A725">
        <v>54</v>
      </c>
      <c r="B725">
        <v>2025</v>
      </c>
      <c r="C725">
        <v>0.42</v>
      </c>
      <c r="D725">
        <v>0.81</v>
      </c>
      <c r="E725">
        <v>0.82</v>
      </c>
      <c r="F725">
        <v>0.96</v>
      </c>
      <c r="G725">
        <v>0.81</v>
      </c>
      <c r="H725">
        <v>0.51</v>
      </c>
      <c r="I725">
        <v>111</v>
      </c>
      <c r="J725">
        <v>12</v>
      </c>
      <c r="K725">
        <v>0.72</v>
      </c>
      <c r="L725" t="s">
        <v>13</v>
      </c>
    </row>
    <row r="726" spans="1:12" x14ac:dyDescent="0.3">
      <c r="A726">
        <v>39</v>
      </c>
      <c r="B726">
        <v>2025</v>
      </c>
      <c r="C726">
        <v>0.88</v>
      </c>
      <c r="D726">
        <v>0.66</v>
      </c>
      <c r="E726">
        <v>0.82</v>
      </c>
      <c r="F726">
        <v>0.89</v>
      </c>
      <c r="G726">
        <v>0.74</v>
      </c>
      <c r="H726">
        <v>0.14000000000000001</v>
      </c>
      <c r="I726">
        <v>253</v>
      </c>
      <c r="J726">
        <v>15</v>
      </c>
      <c r="K726">
        <v>0.8</v>
      </c>
      <c r="L726" t="s">
        <v>13</v>
      </c>
    </row>
    <row r="727" spans="1:12" x14ac:dyDescent="0.3">
      <c r="A727">
        <v>27</v>
      </c>
      <c r="B727">
        <v>2024</v>
      </c>
      <c r="C727">
        <v>0.9</v>
      </c>
      <c r="D727">
        <v>0.81</v>
      </c>
      <c r="E727">
        <v>0.94</v>
      </c>
      <c r="F727">
        <v>0.68</v>
      </c>
      <c r="G727">
        <v>0.91</v>
      </c>
      <c r="H727">
        <v>0.06</v>
      </c>
      <c r="I727">
        <v>68</v>
      </c>
      <c r="J727">
        <v>7</v>
      </c>
      <c r="K727">
        <v>0.85</v>
      </c>
      <c r="L727" t="s">
        <v>13</v>
      </c>
    </row>
    <row r="728" spans="1:12" x14ac:dyDescent="0.3">
      <c r="A728">
        <v>38</v>
      </c>
      <c r="B728">
        <v>2025</v>
      </c>
      <c r="C728">
        <v>0.51</v>
      </c>
      <c r="D728">
        <v>0.85</v>
      </c>
      <c r="E728">
        <v>0.6</v>
      </c>
      <c r="F728">
        <v>0.68</v>
      </c>
      <c r="G728">
        <v>0.43</v>
      </c>
      <c r="H728">
        <v>0.13</v>
      </c>
      <c r="I728">
        <v>472</v>
      </c>
      <c r="J728">
        <v>9</v>
      </c>
      <c r="K728">
        <v>0.63</v>
      </c>
      <c r="L728" t="s">
        <v>12</v>
      </c>
    </row>
    <row r="729" spans="1:12" x14ac:dyDescent="0.3">
      <c r="A729">
        <v>48</v>
      </c>
      <c r="B729">
        <v>2024</v>
      </c>
      <c r="C729">
        <v>0.84</v>
      </c>
      <c r="D729">
        <v>0.84</v>
      </c>
      <c r="E729">
        <v>0.9</v>
      </c>
      <c r="F729">
        <v>0.71</v>
      </c>
      <c r="G729">
        <v>0.92</v>
      </c>
      <c r="H729">
        <v>0.14000000000000001</v>
      </c>
      <c r="I729">
        <v>275</v>
      </c>
      <c r="J729">
        <v>5</v>
      </c>
      <c r="K729">
        <v>0.84</v>
      </c>
      <c r="L729" t="s">
        <v>13</v>
      </c>
    </row>
    <row r="730" spans="1:12" x14ac:dyDescent="0.3">
      <c r="A730">
        <v>54</v>
      </c>
      <c r="B730">
        <v>2021</v>
      </c>
      <c r="C730">
        <v>0.41</v>
      </c>
      <c r="D730">
        <v>0.97</v>
      </c>
      <c r="E730">
        <v>0.88</v>
      </c>
      <c r="F730">
        <v>0.71</v>
      </c>
      <c r="G730">
        <v>0.71</v>
      </c>
      <c r="H730">
        <v>0.72</v>
      </c>
      <c r="I730">
        <v>443</v>
      </c>
      <c r="J730">
        <v>11</v>
      </c>
      <c r="K730">
        <v>0.72</v>
      </c>
      <c r="L730" t="s">
        <v>13</v>
      </c>
    </row>
    <row r="731" spans="1:12" x14ac:dyDescent="0.3">
      <c r="A731">
        <v>92</v>
      </c>
      <c r="B731">
        <v>2023</v>
      </c>
      <c r="C731">
        <v>0.77</v>
      </c>
      <c r="D731">
        <v>0.63</v>
      </c>
      <c r="E731">
        <v>0.98</v>
      </c>
      <c r="F731">
        <v>0.95</v>
      </c>
      <c r="G731">
        <v>0.8</v>
      </c>
      <c r="H731">
        <v>0.71</v>
      </c>
      <c r="I731">
        <v>57</v>
      </c>
      <c r="J731">
        <v>19</v>
      </c>
      <c r="K731">
        <v>0.81</v>
      </c>
      <c r="L731" t="s">
        <v>13</v>
      </c>
    </row>
    <row r="732" spans="1:12" x14ac:dyDescent="0.3">
      <c r="A732">
        <v>51</v>
      </c>
      <c r="B732">
        <v>2025</v>
      </c>
      <c r="C732">
        <v>0.68</v>
      </c>
      <c r="D732">
        <v>0.98</v>
      </c>
      <c r="E732">
        <v>0.74</v>
      </c>
      <c r="F732">
        <v>0.63</v>
      </c>
      <c r="G732">
        <v>0.69</v>
      </c>
      <c r="H732">
        <v>0.84</v>
      </c>
      <c r="I732">
        <v>427</v>
      </c>
      <c r="J732">
        <v>16</v>
      </c>
      <c r="K732">
        <v>0.76</v>
      </c>
      <c r="L732" t="s">
        <v>13</v>
      </c>
    </row>
    <row r="733" spans="1:12" x14ac:dyDescent="0.3">
      <c r="A733">
        <v>62</v>
      </c>
      <c r="B733">
        <v>2021</v>
      </c>
      <c r="C733">
        <v>0.8</v>
      </c>
      <c r="D733">
        <v>0.54</v>
      </c>
      <c r="E733">
        <v>0.84</v>
      </c>
      <c r="F733">
        <v>0.99</v>
      </c>
      <c r="G733">
        <v>0.78</v>
      </c>
      <c r="H733">
        <v>0.88</v>
      </c>
      <c r="I733">
        <v>364</v>
      </c>
      <c r="J733">
        <v>9</v>
      </c>
      <c r="K733">
        <v>0.77</v>
      </c>
      <c r="L733" t="s">
        <v>13</v>
      </c>
    </row>
    <row r="734" spans="1:12" x14ac:dyDescent="0.3">
      <c r="A734">
        <v>99</v>
      </c>
      <c r="B734">
        <v>2024</v>
      </c>
      <c r="C734">
        <v>0.79</v>
      </c>
      <c r="D734">
        <v>0.91</v>
      </c>
      <c r="E734">
        <v>0.68</v>
      </c>
      <c r="F734">
        <v>0.7</v>
      </c>
      <c r="G734">
        <v>0.96</v>
      </c>
      <c r="H734">
        <v>0.73</v>
      </c>
      <c r="I734">
        <v>209</v>
      </c>
      <c r="J734">
        <v>9</v>
      </c>
      <c r="K734">
        <v>0.8</v>
      </c>
      <c r="L734" t="s">
        <v>13</v>
      </c>
    </row>
    <row r="735" spans="1:12" x14ac:dyDescent="0.3">
      <c r="A735">
        <v>11</v>
      </c>
      <c r="B735">
        <v>2023</v>
      </c>
      <c r="C735">
        <v>0.68</v>
      </c>
      <c r="D735">
        <v>0.79</v>
      </c>
      <c r="E735">
        <v>0.88</v>
      </c>
      <c r="F735">
        <v>0.85</v>
      </c>
      <c r="G735">
        <v>0.68</v>
      </c>
      <c r="H735">
        <v>0.75</v>
      </c>
      <c r="I735">
        <v>89</v>
      </c>
      <c r="J735">
        <v>18</v>
      </c>
      <c r="K735">
        <v>0.77</v>
      </c>
      <c r="L735" t="s">
        <v>13</v>
      </c>
    </row>
    <row r="736" spans="1:12" x14ac:dyDescent="0.3">
      <c r="A736">
        <v>67</v>
      </c>
      <c r="B736">
        <v>2022</v>
      </c>
      <c r="C736">
        <v>0.55000000000000004</v>
      </c>
      <c r="D736">
        <v>0.64</v>
      </c>
      <c r="E736">
        <v>0.99</v>
      </c>
      <c r="F736">
        <v>0.64</v>
      </c>
      <c r="G736">
        <v>0.49</v>
      </c>
      <c r="H736">
        <v>0.49</v>
      </c>
      <c r="I736">
        <v>220</v>
      </c>
      <c r="J736">
        <v>6</v>
      </c>
      <c r="K736">
        <v>0.67</v>
      </c>
      <c r="L736" t="s">
        <v>12</v>
      </c>
    </row>
    <row r="737" spans="1:12" x14ac:dyDescent="0.3">
      <c r="A737">
        <v>49</v>
      </c>
      <c r="B737">
        <v>2021</v>
      </c>
      <c r="C737">
        <v>0.72</v>
      </c>
      <c r="D737">
        <v>0.57999999999999996</v>
      </c>
      <c r="E737">
        <v>0.71</v>
      </c>
      <c r="F737">
        <v>0.69</v>
      </c>
      <c r="G737">
        <v>0.98</v>
      </c>
      <c r="H737">
        <v>0.13</v>
      </c>
      <c r="I737">
        <v>73</v>
      </c>
      <c r="J737">
        <v>6</v>
      </c>
      <c r="K737">
        <v>0.7</v>
      </c>
      <c r="L737" t="s">
        <v>12</v>
      </c>
    </row>
    <row r="738" spans="1:12" x14ac:dyDescent="0.3">
      <c r="A738">
        <v>81</v>
      </c>
      <c r="B738">
        <v>2025</v>
      </c>
      <c r="C738">
        <v>0.44</v>
      </c>
      <c r="D738">
        <v>0.45</v>
      </c>
      <c r="E738">
        <v>0.74</v>
      </c>
      <c r="F738">
        <v>0.6</v>
      </c>
      <c r="G738">
        <v>0.36</v>
      </c>
      <c r="H738">
        <v>0.81</v>
      </c>
      <c r="I738">
        <v>277</v>
      </c>
      <c r="J738">
        <v>12</v>
      </c>
      <c r="K738">
        <v>0.52</v>
      </c>
      <c r="L738" t="s">
        <v>12</v>
      </c>
    </row>
    <row r="739" spans="1:12" x14ac:dyDescent="0.3">
      <c r="A739">
        <v>23</v>
      </c>
      <c r="B739">
        <v>2023</v>
      </c>
      <c r="C739">
        <v>0.78</v>
      </c>
      <c r="D739">
        <v>0.43</v>
      </c>
      <c r="E739">
        <v>0.89</v>
      </c>
      <c r="F739">
        <v>0.94</v>
      </c>
      <c r="G739">
        <v>0.86</v>
      </c>
      <c r="H739">
        <v>0.51</v>
      </c>
      <c r="I739">
        <v>177</v>
      </c>
      <c r="J739">
        <v>12</v>
      </c>
      <c r="K739">
        <v>0.75</v>
      </c>
      <c r="L739" t="s">
        <v>13</v>
      </c>
    </row>
    <row r="740" spans="1:12" x14ac:dyDescent="0.3">
      <c r="A740">
        <v>31</v>
      </c>
      <c r="B740">
        <v>2022</v>
      </c>
      <c r="C740">
        <v>0.45</v>
      </c>
      <c r="D740">
        <v>0.72</v>
      </c>
      <c r="E740">
        <v>0.87</v>
      </c>
      <c r="F740">
        <v>0.85</v>
      </c>
      <c r="G740">
        <v>0.63</v>
      </c>
      <c r="H740">
        <v>0.96</v>
      </c>
      <c r="I740">
        <v>472</v>
      </c>
      <c r="J740">
        <v>12</v>
      </c>
      <c r="K740">
        <v>0.68</v>
      </c>
      <c r="L740" t="s">
        <v>12</v>
      </c>
    </row>
    <row r="741" spans="1:12" x14ac:dyDescent="0.3">
      <c r="A741">
        <v>37</v>
      </c>
      <c r="B741">
        <v>2021</v>
      </c>
      <c r="C741">
        <v>0.81</v>
      </c>
      <c r="D741">
        <v>0.84</v>
      </c>
      <c r="E741">
        <v>0.54</v>
      </c>
      <c r="F741">
        <v>0.74</v>
      </c>
      <c r="G741">
        <v>0.9</v>
      </c>
      <c r="H741">
        <v>0.23</v>
      </c>
      <c r="I741">
        <v>252</v>
      </c>
      <c r="J741">
        <v>5</v>
      </c>
      <c r="K741">
        <v>0.76</v>
      </c>
      <c r="L741" t="s">
        <v>13</v>
      </c>
    </row>
    <row r="742" spans="1:12" x14ac:dyDescent="0.3">
      <c r="A742">
        <v>61</v>
      </c>
      <c r="B742">
        <v>2022</v>
      </c>
      <c r="C742">
        <v>0.35</v>
      </c>
      <c r="D742">
        <v>0.55000000000000004</v>
      </c>
      <c r="E742">
        <v>0.83</v>
      </c>
      <c r="F742">
        <v>0.96</v>
      </c>
      <c r="G742">
        <v>0.62</v>
      </c>
      <c r="H742">
        <v>0.61</v>
      </c>
      <c r="I742">
        <v>235</v>
      </c>
      <c r="J742">
        <v>5</v>
      </c>
      <c r="K742">
        <v>0.61</v>
      </c>
      <c r="L742" t="s">
        <v>12</v>
      </c>
    </row>
    <row r="743" spans="1:12" x14ac:dyDescent="0.3">
      <c r="A743">
        <v>57</v>
      </c>
      <c r="B743">
        <v>2025</v>
      </c>
      <c r="C743">
        <v>0.54</v>
      </c>
      <c r="D743">
        <v>0.71</v>
      </c>
      <c r="E743">
        <v>0.99</v>
      </c>
      <c r="F743">
        <v>0.88</v>
      </c>
      <c r="G743">
        <v>0.77</v>
      </c>
      <c r="H743">
        <v>0.24</v>
      </c>
      <c r="I743">
        <v>59</v>
      </c>
      <c r="J743">
        <v>10</v>
      </c>
      <c r="K743">
        <v>0.75</v>
      </c>
      <c r="L743" t="s">
        <v>13</v>
      </c>
    </row>
    <row r="744" spans="1:12" x14ac:dyDescent="0.3">
      <c r="A744">
        <v>97</v>
      </c>
      <c r="B744">
        <v>2021</v>
      </c>
      <c r="C744">
        <v>0.67</v>
      </c>
      <c r="D744">
        <v>0.75</v>
      </c>
      <c r="E744">
        <v>0.5</v>
      </c>
      <c r="F744">
        <v>0.9</v>
      </c>
      <c r="G744">
        <v>0.8</v>
      </c>
      <c r="H744">
        <v>0.37</v>
      </c>
      <c r="I744">
        <v>488</v>
      </c>
      <c r="J744">
        <v>13</v>
      </c>
      <c r="K744">
        <v>0.7</v>
      </c>
      <c r="L744" t="s">
        <v>12</v>
      </c>
    </row>
    <row r="745" spans="1:12" x14ac:dyDescent="0.3">
      <c r="A745">
        <v>93</v>
      </c>
      <c r="B745">
        <v>2024</v>
      </c>
      <c r="C745">
        <v>0.97</v>
      </c>
      <c r="D745">
        <v>0.54</v>
      </c>
      <c r="E745">
        <v>0.66</v>
      </c>
      <c r="F745">
        <v>0.67</v>
      </c>
      <c r="G745">
        <v>0.7</v>
      </c>
      <c r="H745">
        <v>0.15</v>
      </c>
      <c r="I745">
        <v>213</v>
      </c>
      <c r="J745">
        <v>5</v>
      </c>
      <c r="K745">
        <v>0.73</v>
      </c>
      <c r="L745" t="s">
        <v>13</v>
      </c>
    </row>
    <row r="746" spans="1:12" x14ac:dyDescent="0.3">
      <c r="A746">
        <v>21</v>
      </c>
      <c r="B746">
        <v>2025</v>
      </c>
      <c r="C746">
        <v>0.76</v>
      </c>
      <c r="D746">
        <v>0.6</v>
      </c>
      <c r="E746">
        <v>0.87</v>
      </c>
      <c r="F746">
        <v>0.82</v>
      </c>
      <c r="G746">
        <v>0.62</v>
      </c>
      <c r="H746">
        <v>0.17</v>
      </c>
      <c r="I746">
        <v>386</v>
      </c>
      <c r="J746">
        <v>13</v>
      </c>
      <c r="K746">
        <v>0.74</v>
      </c>
      <c r="L746" t="s">
        <v>13</v>
      </c>
    </row>
    <row r="747" spans="1:12" x14ac:dyDescent="0.3">
      <c r="A747">
        <v>16</v>
      </c>
      <c r="B747">
        <v>2024</v>
      </c>
      <c r="C747">
        <v>0.56000000000000005</v>
      </c>
      <c r="D747">
        <v>0.96</v>
      </c>
      <c r="E747">
        <v>0.75</v>
      </c>
      <c r="F747">
        <v>0.86</v>
      </c>
      <c r="G747">
        <v>0.94</v>
      </c>
      <c r="H747">
        <v>0.87</v>
      </c>
      <c r="I747">
        <v>251</v>
      </c>
      <c r="J747">
        <v>17</v>
      </c>
      <c r="K747">
        <v>0.78</v>
      </c>
      <c r="L747" t="s">
        <v>13</v>
      </c>
    </row>
    <row r="748" spans="1:12" x14ac:dyDescent="0.3">
      <c r="A748">
        <v>22</v>
      </c>
      <c r="B748">
        <v>2021</v>
      </c>
      <c r="C748">
        <v>0.63</v>
      </c>
      <c r="D748">
        <v>0.43</v>
      </c>
      <c r="E748">
        <v>0.6</v>
      </c>
      <c r="F748">
        <v>0.92</v>
      </c>
      <c r="G748">
        <v>0.62</v>
      </c>
      <c r="H748">
        <v>0.3</v>
      </c>
      <c r="I748">
        <v>288</v>
      </c>
      <c r="J748">
        <v>18</v>
      </c>
      <c r="K748">
        <v>0.62</v>
      </c>
      <c r="L748" t="s">
        <v>12</v>
      </c>
    </row>
    <row r="749" spans="1:12" x14ac:dyDescent="0.3">
      <c r="A749">
        <v>63</v>
      </c>
      <c r="B749">
        <v>2021</v>
      </c>
      <c r="C749">
        <v>0.82</v>
      </c>
      <c r="D749">
        <v>0.56000000000000005</v>
      </c>
      <c r="E749">
        <v>0.56000000000000005</v>
      </c>
      <c r="F749">
        <v>0.7</v>
      </c>
      <c r="G749">
        <v>0.94</v>
      </c>
      <c r="H749">
        <v>0.57999999999999996</v>
      </c>
      <c r="I749">
        <v>226</v>
      </c>
      <c r="J749">
        <v>19</v>
      </c>
      <c r="K749">
        <v>0.7</v>
      </c>
      <c r="L749" t="s">
        <v>12</v>
      </c>
    </row>
    <row r="750" spans="1:12" x14ac:dyDescent="0.3">
      <c r="A750">
        <v>64</v>
      </c>
      <c r="B750">
        <v>2023</v>
      </c>
      <c r="C750">
        <v>0.66</v>
      </c>
      <c r="D750">
        <v>0.68</v>
      </c>
      <c r="E750">
        <v>0.63</v>
      </c>
      <c r="F750">
        <v>0.93</v>
      </c>
      <c r="G750">
        <v>0.93</v>
      </c>
      <c r="H750">
        <v>0.78</v>
      </c>
      <c r="I750">
        <v>424</v>
      </c>
      <c r="J750">
        <v>12</v>
      </c>
      <c r="K750">
        <v>0.73</v>
      </c>
      <c r="L750" t="s">
        <v>13</v>
      </c>
    </row>
    <row r="751" spans="1:12" x14ac:dyDescent="0.3">
      <c r="A751">
        <v>37</v>
      </c>
      <c r="B751">
        <v>2021</v>
      </c>
      <c r="C751">
        <v>0.37</v>
      </c>
      <c r="D751">
        <v>0.84</v>
      </c>
      <c r="E751">
        <v>0.6</v>
      </c>
      <c r="F751">
        <v>0.75</v>
      </c>
      <c r="G751">
        <v>0.65</v>
      </c>
      <c r="H751">
        <v>0.73</v>
      </c>
      <c r="I751">
        <v>225</v>
      </c>
      <c r="J751">
        <v>5</v>
      </c>
      <c r="K751">
        <v>0.62</v>
      </c>
      <c r="L751" t="s">
        <v>12</v>
      </c>
    </row>
    <row r="752" spans="1:12" x14ac:dyDescent="0.3">
      <c r="A752">
        <v>70</v>
      </c>
      <c r="B752">
        <v>2023</v>
      </c>
      <c r="C752">
        <v>0.68</v>
      </c>
      <c r="D752">
        <v>0.89</v>
      </c>
      <c r="E752">
        <v>0.59</v>
      </c>
      <c r="F752">
        <v>0.92</v>
      </c>
      <c r="G752">
        <v>0.79</v>
      </c>
      <c r="H752">
        <v>0.56000000000000005</v>
      </c>
      <c r="I752">
        <v>88</v>
      </c>
      <c r="J752">
        <v>6</v>
      </c>
      <c r="K752">
        <v>0.76</v>
      </c>
      <c r="L752" t="s">
        <v>13</v>
      </c>
    </row>
    <row r="753" spans="1:12" x14ac:dyDescent="0.3">
      <c r="A753">
        <v>11</v>
      </c>
      <c r="B753">
        <v>2024</v>
      </c>
      <c r="C753">
        <v>0.4</v>
      </c>
      <c r="D753">
        <v>0.8</v>
      </c>
      <c r="E753">
        <v>0.76</v>
      </c>
      <c r="F753">
        <v>0.86</v>
      </c>
      <c r="G753">
        <v>0.54</v>
      </c>
      <c r="H753">
        <v>0.91</v>
      </c>
      <c r="I753">
        <v>360</v>
      </c>
      <c r="J753">
        <v>8</v>
      </c>
      <c r="K753">
        <v>0.66</v>
      </c>
      <c r="L753" t="s">
        <v>12</v>
      </c>
    </row>
    <row r="754" spans="1:12" x14ac:dyDescent="0.3">
      <c r="A754">
        <v>10</v>
      </c>
      <c r="B754">
        <v>2024</v>
      </c>
      <c r="C754">
        <v>0.77</v>
      </c>
      <c r="D754">
        <v>0.54</v>
      </c>
      <c r="E754">
        <v>0.8</v>
      </c>
      <c r="F754">
        <v>0.88</v>
      </c>
      <c r="G754">
        <v>0.36</v>
      </c>
      <c r="H754">
        <v>0.5</v>
      </c>
      <c r="I754">
        <v>158</v>
      </c>
      <c r="J754">
        <v>19</v>
      </c>
      <c r="K754">
        <v>0.69</v>
      </c>
      <c r="L754" t="s">
        <v>12</v>
      </c>
    </row>
    <row r="755" spans="1:12" x14ac:dyDescent="0.3">
      <c r="A755">
        <v>92</v>
      </c>
      <c r="B755">
        <v>2022</v>
      </c>
      <c r="C755">
        <v>0.43</v>
      </c>
      <c r="D755">
        <v>0.94</v>
      </c>
      <c r="E755">
        <v>0.72</v>
      </c>
      <c r="F755">
        <v>0.68</v>
      </c>
      <c r="G755">
        <v>0.61</v>
      </c>
      <c r="H755">
        <v>0.41</v>
      </c>
      <c r="I755">
        <v>51</v>
      </c>
      <c r="J755">
        <v>7</v>
      </c>
      <c r="K755">
        <v>0.67</v>
      </c>
      <c r="L755" t="s">
        <v>12</v>
      </c>
    </row>
    <row r="756" spans="1:12" x14ac:dyDescent="0.3">
      <c r="A756">
        <v>84</v>
      </c>
      <c r="B756">
        <v>2022</v>
      </c>
      <c r="C756">
        <v>0.66</v>
      </c>
      <c r="D756">
        <v>0.49</v>
      </c>
      <c r="E756">
        <v>0.53</v>
      </c>
      <c r="F756">
        <v>0.89</v>
      </c>
      <c r="G756">
        <v>0.69</v>
      </c>
      <c r="H756">
        <v>0.36</v>
      </c>
      <c r="I756">
        <v>435</v>
      </c>
      <c r="J756">
        <v>19</v>
      </c>
      <c r="K756">
        <v>0.63</v>
      </c>
      <c r="L756" t="s">
        <v>12</v>
      </c>
    </row>
    <row r="757" spans="1:12" x14ac:dyDescent="0.3">
      <c r="A757">
        <v>61</v>
      </c>
      <c r="B757">
        <v>2025</v>
      </c>
      <c r="C757">
        <v>0.83</v>
      </c>
      <c r="D757">
        <v>0.6</v>
      </c>
      <c r="E757">
        <v>0.87</v>
      </c>
      <c r="F757">
        <v>0.66</v>
      </c>
      <c r="G757">
        <v>0.39</v>
      </c>
      <c r="H757">
        <v>0.35</v>
      </c>
      <c r="I757">
        <v>319</v>
      </c>
      <c r="J757">
        <v>3</v>
      </c>
      <c r="K757">
        <v>0.71</v>
      </c>
      <c r="L757" t="s">
        <v>13</v>
      </c>
    </row>
    <row r="758" spans="1:12" x14ac:dyDescent="0.3">
      <c r="A758">
        <v>69</v>
      </c>
      <c r="B758">
        <v>2023</v>
      </c>
      <c r="C758">
        <v>0.34</v>
      </c>
      <c r="D758">
        <v>0.48</v>
      </c>
      <c r="E758">
        <v>0.93</v>
      </c>
      <c r="F758">
        <v>0.85</v>
      </c>
      <c r="G758">
        <v>0.48</v>
      </c>
      <c r="H758">
        <v>0.56000000000000005</v>
      </c>
      <c r="I758">
        <v>385</v>
      </c>
      <c r="J758">
        <v>5</v>
      </c>
      <c r="K758">
        <v>0.57999999999999996</v>
      </c>
      <c r="L758" t="s">
        <v>12</v>
      </c>
    </row>
    <row r="759" spans="1:12" x14ac:dyDescent="0.3">
      <c r="A759">
        <v>65</v>
      </c>
      <c r="B759">
        <v>2021</v>
      </c>
      <c r="C759">
        <v>0.83</v>
      </c>
      <c r="D759">
        <v>0.41</v>
      </c>
      <c r="E759">
        <v>0.76</v>
      </c>
      <c r="F759">
        <v>0.81</v>
      </c>
      <c r="G759">
        <v>0.57999999999999996</v>
      </c>
      <c r="H759">
        <v>0.3</v>
      </c>
      <c r="I759">
        <v>334</v>
      </c>
      <c r="J759">
        <v>10</v>
      </c>
      <c r="K759">
        <v>0.68</v>
      </c>
      <c r="L759" t="s">
        <v>12</v>
      </c>
    </row>
    <row r="760" spans="1:12" x14ac:dyDescent="0.3">
      <c r="A760">
        <v>3</v>
      </c>
      <c r="B760">
        <v>2024</v>
      </c>
      <c r="C760">
        <v>0.86</v>
      </c>
      <c r="D760">
        <v>0.88</v>
      </c>
      <c r="E760">
        <v>0.71</v>
      </c>
      <c r="F760">
        <v>0.71</v>
      </c>
      <c r="G760">
        <v>0.5</v>
      </c>
      <c r="H760">
        <v>0.48</v>
      </c>
      <c r="I760">
        <v>75</v>
      </c>
      <c r="J760">
        <v>18</v>
      </c>
      <c r="K760">
        <v>0.78</v>
      </c>
      <c r="L760" t="s">
        <v>13</v>
      </c>
    </row>
    <row r="761" spans="1:12" x14ac:dyDescent="0.3">
      <c r="A761">
        <v>1</v>
      </c>
      <c r="B761">
        <v>2025</v>
      </c>
      <c r="C761">
        <v>0.87</v>
      </c>
      <c r="D761">
        <v>0.57999999999999996</v>
      </c>
      <c r="E761">
        <v>0.79</v>
      </c>
      <c r="F761">
        <v>0.9</v>
      </c>
      <c r="G761">
        <v>0.56999999999999995</v>
      </c>
      <c r="H761">
        <v>0.3</v>
      </c>
      <c r="I761">
        <v>339</v>
      </c>
      <c r="J761">
        <v>13</v>
      </c>
      <c r="K761">
        <v>0.76</v>
      </c>
      <c r="L761" t="s">
        <v>13</v>
      </c>
    </row>
    <row r="762" spans="1:12" x14ac:dyDescent="0.3">
      <c r="A762">
        <v>49</v>
      </c>
      <c r="B762">
        <v>2021</v>
      </c>
      <c r="C762">
        <v>0.95</v>
      </c>
      <c r="D762">
        <v>0.73</v>
      </c>
      <c r="E762">
        <v>0.83</v>
      </c>
      <c r="F762">
        <v>0.96</v>
      </c>
      <c r="G762">
        <v>0.37</v>
      </c>
      <c r="H762">
        <v>0.23</v>
      </c>
      <c r="I762">
        <v>199</v>
      </c>
      <c r="J762">
        <v>17</v>
      </c>
      <c r="K762">
        <v>0.81</v>
      </c>
      <c r="L762" t="s">
        <v>13</v>
      </c>
    </row>
    <row r="763" spans="1:12" x14ac:dyDescent="0.3">
      <c r="A763">
        <v>76</v>
      </c>
      <c r="B763">
        <v>2022</v>
      </c>
      <c r="C763">
        <v>0.9</v>
      </c>
      <c r="D763">
        <v>0.65</v>
      </c>
      <c r="E763">
        <v>0.54</v>
      </c>
      <c r="F763">
        <v>0.78</v>
      </c>
      <c r="G763">
        <v>0.46</v>
      </c>
      <c r="H763">
        <v>0.28999999999999998</v>
      </c>
      <c r="I763">
        <v>434</v>
      </c>
      <c r="J763">
        <v>18</v>
      </c>
      <c r="K763">
        <v>0.7</v>
      </c>
      <c r="L763" t="s">
        <v>12</v>
      </c>
    </row>
    <row r="764" spans="1:12" x14ac:dyDescent="0.3">
      <c r="A764">
        <v>37</v>
      </c>
      <c r="B764">
        <v>2023</v>
      </c>
      <c r="C764">
        <v>0.82</v>
      </c>
      <c r="D764">
        <v>0.42</v>
      </c>
      <c r="E764">
        <v>0.79</v>
      </c>
      <c r="F764">
        <v>0.91</v>
      </c>
      <c r="G764">
        <v>0.31</v>
      </c>
      <c r="H764">
        <v>0.55000000000000004</v>
      </c>
      <c r="I764">
        <v>115</v>
      </c>
      <c r="J764">
        <v>14</v>
      </c>
      <c r="K764">
        <v>0.68</v>
      </c>
      <c r="L764" t="s">
        <v>12</v>
      </c>
    </row>
    <row r="765" spans="1:12" x14ac:dyDescent="0.3">
      <c r="A765">
        <v>20</v>
      </c>
      <c r="B765">
        <v>2024</v>
      </c>
      <c r="C765">
        <v>0.46</v>
      </c>
      <c r="D765">
        <v>0.96</v>
      </c>
      <c r="E765">
        <v>0.67</v>
      </c>
      <c r="F765">
        <v>0.66</v>
      </c>
      <c r="G765">
        <v>0.69</v>
      </c>
      <c r="H765">
        <v>0.94</v>
      </c>
      <c r="I765">
        <v>451</v>
      </c>
      <c r="J765">
        <v>1</v>
      </c>
      <c r="K765">
        <v>0.68</v>
      </c>
      <c r="L765" t="s">
        <v>12</v>
      </c>
    </row>
    <row r="766" spans="1:12" x14ac:dyDescent="0.3">
      <c r="A766">
        <v>48</v>
      </c>
      <c r="B766">
        <v>2021</v>
      </c>
      <c r="C766">
        <v>0.83</v>
      </c>
      <c r="D766">
        <v>0.87</v>
      </c>
      <c r="E766">
        <v>0.82</v>
      </c>
      <c r="F766">
        <v>0.94</v>
      </c>
      <c r="G766">
        <v>0.82</v>
      </c>
      <c r="H766">
        <v>0.88</v>
      </c>
      <c r="I766">
        <v>442</v>
      </c>
      <c r="J766">
        <v>14</v>
      </c>
      <c r="K766">
        <v>0.85</v>
      </c>
      <c r="L766" t="s">
        <v>13</v>
      </c>
    </row>
    <row r="767" spans="1:12" x14ac:dyDescent="0.3">
      <c r="A767">
        <v>15</v>
      </c>
      <c r="B767">
        <v>2023</v>
      </c>
      <c r="C767">
        <v>0.59</v>
      </c>
      <c r="D767">
        <v>0.56999999999999995</v>
      </c>
      <c r="E767">
        <v>0.78</v>
      </c>
      <c r="F767">
        <v>0.72</v>
      </c>
      <c r="G767">
        <v>0.36</v>
      </c>
      <c r="H767">
        <v>0</v>
      </c>
      <c r="I767">
        <v>330</v>
      </c>
      <c r="J767">
        <v>8</v>
      </c>
      <c r="K767">
        <v>0.62</v>
      </c>
      <c r="L767" t="s">
        <v>12</v>
      </c>
    </row>
    <row r="768" spans="1:12" x14ac:dyDescent="0.3">
      <c r="A768">
        <v>6</v>
      </c>
      <c r="B768">
        <v>2022</v>
      </c>
      <c r="C768">
        <v>1</v>
      </c>
      <c r="D768">
        <v>0.56999999999999995</v>
      </c>
      <c r="E768">
        <v>0.64</v>
      </c>
      <c r="F768">
        <v>0.66</v>
      </c>
      <c r="G768">
        <v>0.41</v>
      </c>
      <c r="H768">
        <v>0.28999999999999998</v>
      </c>
      <c r="I768">
        <v>218</v>
      </c>
      <c r="J768">
        <v>13</v>
      </c>
      <c r="K768">
        <v>0.71</v>
      </c>
      <c r="L768" t="s">
        <v>13</v>
      </c>
    </row>
    <row r="769" spans="1:12" x14ac:dyDescent="0.3">
      <c r="A769">
        <v>36</v>
      </c>
      <c r="B769">
        <v>2024</v>
      </c>
      <c r="C769">
        <v>0.73</v>
      </c>
      <c r="D769">
        <v>0.56000000000000005</v>
      </c>
      <c r="E769">
        <v>0.64</v>
      </c>
      <c r="F769">
        <v>0.8</v>
      </c>
      <c r="G769">
        <v>0.86</v>
      </c>
      <c r="H769">
        <v>0.05</v>
      </c>
      <c r="I769">
        <v>253</v>
      </c>
      <c r="J769">
        <v>15</v>
      </c>
      <c r="K769">
        <v>0.69</v>
      </c>
      <c r="L769" t="s">
        <v>12</v>
      </c>
    </row>
    <row r="770" spans="1:12" x14ac:dyDescent="0.3">
      <c r="A770">
        <v>51</v>
      </c>
      <c r="B770">
        <v>2022</v>
      </c>
      <c r="C770">
        <v>0.31</v>
      </c>
      <c r="D770">
        <v>0.59</v>
      </c>
      <c r="E770">
        <v>0.79</v>
      </c>
      <c r="F770">
        <v>0.66</v>
      </c>
      <c r="G770">
        <v>0.6</v>
      </c>
      <c r="H770">
        <v>0.55000000000000004</v>
      </c>
      <c r="I770">
        <v>320</v>
      </c>
      <c r="J770">
        <v>3</v>
      </c>
      <c r="K770">
        <v>0.56000000000000005</v>
      </c>
      <c r="L770" t="s">
        <v>12</v>
      </c>
    </row>
    <row r="771" spans="1:12" x14ac:dyDescent="0.3">
      <c r="A771">
        <v>60</v>
      </c>
      <c r="B771">
        <v>2025</v>
      </c>
      <c r="C771">
        <v>0.57999999999999996</v>
      </c>
      <c r="D771">
        <v>0.87</v>
      </c>
      <c r="E771">
        <v>0.97</v>
      </c>
      <c r="F771">
        <v>0.94</v>
      </c>
      <c r="G771">
        <v>0.69</v>
      </c>
      <c r="H771">
        <v>0.41</v>
      </c>
      <c r="I771">
        <v>315</v>
      </c>
      <c r="J771">
        <v>19</v>
      </c>
      <c r="K771">
        <v>0.8</v>
      </c>
      <c r="L771" t="s">
        <v>13</v>
      </c>
    </row>
    <row r="772" spans="1:12" x14ac:dyDescent="0.3">
      <c r="A772">
        <v>65</v>
      </c>
      <c r="B772">
        <v>2025</v>
      </c>
      <c r="C772">
        <v>0.52</v>
      </c>
      <c r="D772">
        <v>0.68</v>
      </c>
      <c r="E772">
        <v>0.64</v>
      </c>
      <c r="F772">
        <v>0.98</v>
      </c>
      <c r="G772">
        <v>0.52</v>
      </c>
      <c r="H772">
        <v>0.1</v>
      </c>
      <c r="I772">
        <v>418</v>
      </c>
      <c r="J772">
        <v>1</v>
      </c>
      <c r="K772">
        <v>0.65</v>
      </c>
      <c r="L772" t="s">
        <v>12</v>
      </c>
    </row>
    <row r="773" spans="1:12" x14ac:dyDescent="0.3">
      <c r="A773">
        <v>13</v>
      </c>
      <c r="B773">
        <v>2023</v>
      </c>
      <c r="C773">
        <v>0.74</v>
      </c>
      <c r="D773">
        <v>0.62</v>
      </c>
      <c r="E773">
        <v>0.77</v>
      </c>
      <c r="F773">
        <v>0.92</v>
      </c>
      <c r="G773">
        <v>0.87</v>
      </c>
      <c r="H773">
        <v>0.96</v>
      </c>
      <c r="I773">
        <v>57</v>
      </c>
      <c r="J773">
        <v>12</v>
      </c>
      <c r="K773">
        <v>0.76</v>
      </c>
      <c r="L773" t="s">
        <v>13</v>
      </c>
    </row>
    <row r="774" spans="1:12" x14ac:dyDescent="0.3">
      <c r="A774">
        <v>59</v>
      </c>
      <c r="B774">
        <v>2022</v>
      </c>
      <c r="C774">
        <v>0.84</v>
      </c>
      <c r="D774">
        <v>0.43</v>
      </c>
      <c r="E774">
        <v>0.51</v>
      </c>
      <c r="F774">
        <v>0.92</v>
      </c>
      <c r="G774">
        <v>0.63</v>
      </c>
      <c r="H774">
        <v>0.13</v>
      </c>
      <c r="I774">
        <v>181</v>
      </c>
      <c r="J774">
        <v>3</v>
      </c>
      <c r="K774">
        <v>0.66</v>
      </c>
      <c r="L774" t="s">
        <v>12</v>
      </c>
    </row>
    <row r="775" spans="1:12" x14ac:dyDescent="0.3">
      <c r="A775">
        <v>54</v>
      </c>
      <c r="B775">
        <v>2022</v>
      </c>
      <c r="C775">
        <v>0.9</v>
      </c>
      <c r="D775">
        <v>0.83</v>
      </c>
      <c r="E775">
        <v>0.74</v>
      </c>
      <c r="F775">
        <v>0.81</v>
      </c>
      <c r="G775">
        <v>0.98</v>
      </c>
      <c r="H775">
        <v>0.97</v>
      </c>
      <c r="I775">
        <v>375</v>
      </c>
      <c r="J775">
        <v>17</v>
      </c>
      <c r="K775">
        <v>0.85</v>
      </c>
      <c r="L775" t="s">
        <v>13</v>
      </c>
    </row>
    <row r="776" spans="1:12" x14ac:dyDescent="0.3">
      <c r="A776">
        <v>2</v>
      </c>
      <c r="B776">
        <v>2022</v>
      </c>
      <c r="C776">
        <v>0.66</v>
      </c>
      <c r="D776">
        <v>0.47</v>
      </c>
      <c r="E776">
        <v>0.98</v>
      </c>
      <c r="F776">
        <v>0.72</v>
      </c>
      <c r="G776">
        <v>0.9</v>
      </c>
      <c r="H776">
        <v>0.39</v>
      </c>
      <c r="I776">
        <v>477</v>
      </c>
      <c r="J776">
        <v>7</v>
      </c>
      <c r="K776">
        <v>0.71</v>
      </c>
      <c r="L776" t="s">
        <v>13</v>
      </c>
    </row>
    <row r="777" spans="1:12" x14ac:dyDescent="0.3">
      <c r="A777">
        <v>74</v>
      </c>
      <c r="B777">
        <v>2025</v>
      </c>
      <c r="C777">
        <v>0.41</v>
      </c>
      <c r="D777">
        <v>0.62</v>
      </c>
      <c r="E777">
        <v>0.81</v>
      </c>
      <c r="F777">
        <v>0.66</v>
      </c>
      <c r="G777">
        <v>0.98</v>
      </c>
      <c r="H777">
        <v>0.91</v>
      </c>
      <c r="I777">
        <v>362</v>
      </c>
      <c r="J777">
        <v>17</v>
      </c>
      <c r="K777">
        <v>0.64</v>
      </c>
      <c r="L777" t="s">
        <v>12</v>
      </c>
    </row>
    <row r="778" spans="1:12" x14ac:dyDescent="0.3">
      <c r="A778">
        <v>74</v>
      </c>
      <c r="B778">
        <v>2022</v>
      </c>
      <c r="C778">
        <v>0.36</v>
      </c>
      <c r="D778">
        <v>0.95</v>
      </c>
      <c r="E778">
        <v>0.6</v>
      </c>
      <c r="F778">
        <v>0.77</v>
      </c>
      <c r="G778">
        <v>0.61</v>
      </c>
      <c r="H778">
        <v>0.6</v>
      </c>
      <c r="I778">
        <v>383</v>
      </c>
      <c r="J778">
        <v>3</v>
      </c>
      <c r="K778">
        <v>0.64</v>
      </c>
      <c r="L778" t="s">
        <v>12</v>
      </c>
    </row>
    <row r="779" spans="1:12" x14ac:dyDescent="0.3">
      <c r="A779">
        <v>90</v>
      </c>
      <c r="B779">
        <v>2021</v>
      </c>
      <c r="C779">
        <v>0.78</v>
      </c>
      <c r="D779">
        <v>0.76</v>
      </c>
      <c r="E779">
        <v>0.55000000000000004</v>
      </c>
      <c r="F779">
        <v>0.8</v>
      </c>
      <c r="G779">
        <v>0.81</v>
      </c>
      <c r="H779">
        <v>0.99</v>
      </c>
      <c r="I779">
        <v>124</v>
      </c>
      <c r="J779">
        <v>6</v>
      </c>
      <c r="K779">
        <v>0.74</v>
      </c>
      <c r="L779" t="s">
        <v>13</v>
      </c>
    </row>
    <row r="780" spans="1:12" x14ac:dyDescent="0.3">
      <c r="A780">
        <v>26</v>
      </c>
      <c r="B780">
        <v>2021</v>
      </c>
      <c r="C780">
        <v>0.97</v>
      </c>
      <c r="D780">
        <v>0.45</v>
      </c>
      <c r="E780">
        <v>0.77</v>
      </c>
      <c r="F780">
        <v>0.72</v>
      </c>
      <c r="G780">
        <v>0.56999999999999995</v>
      </c>
      <c r="H780">
        <v>0.18</v>
      </c>
      <c r="I780">
        <v>193</v>
      </c>
      <c r="J780">
        <v>8</v>
      </c>
      <c r="K780">
        <v>0.72</v>
      </c>
      <c r="L780" t="s">
        <v>13</v>
      </c>
    </row>
    <row r="781" spans="1:12" x14ac:dyDescent="0.3">
      <c r="A781">
        <v>28</v>
      </c>
      <c r="B781">
        <v>2025</v>
      </c>
      <c r="C781">
        <v>0.65</v>
      </c>
      <c r="D781">
        <v>0.45</v>
      </c>
      <c r="E781">
        <v>0.81</v>
      </c>
      <c r="F781">
        <v>0.74</v>
      </c>
      <c r="G781">
        <v>0.9</v>
      </c>
      <c r="H781">
        <v>0.43</v>
      </c>
      <c r="I781">
        <v>499</v>
      </c>
      <c r="J781">
        <v>5</v>
      </c>
      <c r="K781">
        <v>0.67</v>
      </c>
      <c r="L781" t="s">
        <v>12</v>
      </c>
    </row>
    <row r="782" spans="1:12" x14ac:dyDescent="0.3">
      <c r="A782">
        <v>96</v>
      </c>
      <c r="B782">
        <v>2022</v>
      </c>
      <c r="C782">
        <v>0.49</v>
      </c>
      <c r="D782">
        <v>0.86</v>
      </c>
      <c r="E782">
        <v>0.6</v>
      </c>
      <c r="F782">
        <v>0.73</v>
      </c>
      <c r="G782">
        <v>0.63</v>
      </c>
      <c r="H782">
        <v>0.94</v>
      </c>
      <c r="I782">
        <v>380</v>
      </c>
      <c r="J782">
        <v>13</v>
      </c>
      <c r="K782">
        <v>0.65</v>
      </c>
      <c r="L782" t="s">
        <v>12</v>
      </c>
    </row>
    <row r="783" spans="1:12" x14ac:dyDescent="0.3">
      <c r="A783">
        <v>38</v>
      </c>
      <c r="B783">
        <v>2024</v>
      </c>
      <c r="C783">
        <v>0.55000000000000004</v>
      </c>
      <c r="D783">
        <v>0.49</v>
      </c>
      <c r="E783">
        <v>0.75</v>
      </c>
      <c r="F783">
        <v>0.78</v>
      </c>
      <c r="G783">
        <v>0.93</v>
      </c>
      <c r="H783">
        <v>0.93</v>
      </c>
      <c r="I783">
        <v>288</v>
      </c>
      <c r="J783">
        <v>13</v>
      </c>
      <c r="K783">
        <v>0.65</v>
      </c>
      <c r="L783" t="s">
        <v>12</v>
      </c>
    </row>
    <row r="784" spans="1:12" x14ac:dyDescent="0.3">
      <c r="A784">
        <v>34</v>
      </c>
      <c r="B784">
        <v>2021</v>
      </c>
      <c r="C784">
        <v>0.93</v>
      </c>
      <c r="D784">
        <v>0.88</v>
      </c>
      <c r="E784">
        <v>0.5</v>
      </c>
      <c r="F784">
        <v>0.73</v>
      </c>
      <c r="G784">
        <v>0.6</v>
      </c>
      <c r="H784">
        <v>0.23</v>
      </c>
      <c r="I784">
        <v>68</v>
      </c>
      <c r="J784">
        <v>7</v>
      </c>
      <c r="K784">
        <v>0.77</v>
      </c>
      <c r="L784" t="s">
        <v>13</v>
      </c>
    </row>
    <row r="785" spans="1:12" x14ac:dyDescent="0.3">
      <c r="A785">
        <v>92</v>
      </c>
      <c r="B785">
        <v>2023</v>
      </c>
      <c r="C785">
        <v>0.48</v>
      </c>
      <c r="D785">
        <v>0.43</v>
      </c>
      <c r="E785">
        <v>0.62</v>
      </c>
      <c r="F785">
        <v>0.92</v>
      </c>
      <c r="G785">
        <v>0.9</v>
      </c>
      <c r="H785">
        <v>0.48</v>
      </c>
      <c r="I785">
        <v>454</v>
      </c>
      <c r="J785">
        <v>11</v>
      </c>
      <c r="K785">
        <v>0.6</v>
      </c>
      <c r="L785" t="s">
        <v>12</v>
      </c>
    </row>
    <row r="786" spans="1:12" x14ac:dyDescent="0.3">
      <c r="A786">
        <v>37</v>
      </c>
      <c r="B786">
        <v>2023</v>
      </c>
      <c r="C786">
        <v>0.95</v>
      </c>
      <c r="D786">
        <v>0.79</v>
      </c>
      <c r="E786">
        <v>0.69</v>
      </c>
      <c r="F786">
        <v>0.9</v>
      </c>
      <c r="G786">
        <v>0.77</v>
      </c>
      <c r="H786">
        <v>0.53</v>
      </c>
      <c r="I786">
        <v>407</v>
      </c>
      <c r="J786">
        <v>14</v>
      </c>
      <c r="K786">
        <v>0.83</v>
      </c>
      <c r="L786" t="s">
        <v>13</v>
      </c>
    </row>
    <row r="787" spans="1:12" x14ac:dyDescent="0.3">
      <c r="A787">
        <v>94</v>
      </c>
      <c r="B787">
        <v>2024</v>
      </c>
      <c r="C787">
        <v>0.91</v>
      </c>
      <c r="D787">
        <v>0.5</v>
      </c>
      <c r="E787">
        <v>0.93</v>
      </c>
      <c r="F787">
        <v>0.95</v>
      </c>
      <c r="G787">
        <v>0.68</v>
      </c>
      <c r="H787">
        <v>0.66</v>
      </c>
      <c r="I787">
        <v>53</v>
      </c>
      <c r="J787">
        <v>11</v>
      </c>
      <c r="K787">
        <v>0.79</v>
      </c>
      <c r="L787" t="s">
        <v>13</v>
      </c>
    </row>
    <row r="788" spans="1:12" x14ac:dyDescent="0.3">
      <c r="A788">
        <v>73</v>
      </c>
      <c r="B788">
        <v>2025</v>
      </c>
      <c r="C788">
        <v>0.81</v>
      </c>
      <c r="D788">
        <v>0.92</v>
      </c>
      <c r="E788">
        <v>0.83</v>
      </c>
      <c r="F788">
        <v>0.8</v>
      </c>
      <c r="G788">
        <v>0.41</v>
      </c>
      <c r="H788">
        <v>0.05</v>
      </c>
      <c r="I788">
        <v>418</v>
      </c>
      <c r="J788">
        <v>12</v>
      </c>
      <c r="K788">
        <v>0.8</v>
      </c>
      <c r="L788" t="s">
        <v>13</v>
      </c>
    </row>
    <row r="789" spans="1:12" x14ac:dyDescent="0.3">
      <c r="A789">
        <v>77</v>
      </c>
      <c r="B789">
        <v>2022</v>
      </c>
      <c r="C789">
        <v>0.7</v>
      </c>
      <c r="D789">
        <v>0.63</v>
      </c>
      <c r="E789">
        <v>0.88</v>
      </c>
      <c r="F789">
        <v>0.72</v>
      </c>
      <c r="G789">
        <v>0.72</v>
      </c>
      <c r="H789">
        <v>0.54</v>
      </c>
      <c r="I789">
        <v>417</v>
      </c>
      <c r="J789">
        <v>19</v>
      </c>
      <c r="K789">
        <v>0.72</v>
      </c>
      <c r="L789" t="s">
        <v>13</v>
      </c>
    </row>
    <row r="790" spans="1:12" x14ac:dyDescent="0.3">
      <c r="A790">
        <v>15</v>
      </c>
      <c r="B790">
        <v>2021</v>
      </c>
      <c r="C790">
        <v>0.83</v>
      </c>
      <c r="D790">
        <v>0.48</v>
      </c>
      <c r="E790">
        <v>0.61</v>
      </c>
      <c r="F790">
        <v>0.95</v>
      </c>
      <c r="G790">
        <v>0.31</v>
      </c>
      <c r="H790">
        <v>0.75</v>
      </c>
      <c r="I790">
        <v>273</v>
      </c>
      <c r="J790">
        <v>10</v>
      </c>
      <c r="K790">
        <v>0.66</v>
      </c>
      <c r="L790" t="s">
        <v>12</v>
      </c>
    </row>
    <row r="791" spans="1:12" x14ac:dyDescent="0.3">
      <c r="A791">
        <v>8</v>
      </c>
      <c r="B791">
        <v>2024</v>
      </c>
      <c r="C791">
        <v>0.3</v>
      </c>
      <c r="D791">
        <v>0.89</v>
      </c>
      <c r="E791">
        <v>0.68</v>
      </c>
      <c r="F791">
        <v>0.82</v>
      </c>
      <c r="G791">
        <v>0.77</v>
      </c>
      <c r="H791">
        <v>0.7</v>
      </c>
      <c r="I791">
        <v>98</v>
      </c>
      <c r="J791">
        <v>18</v>
      </c>
      <c r="K791">
        <v>0.65</v>
      </c>
      <c r="L791" t="s">
        <v>12</v>
      </c>
    </row>
    <row r="792" spans="1:12" x14ac:dyDescent="0.3">
      <c r="A792">
        <v>33</v>
      </c>
      <c r="B792">
        <v>2023</v>
      </c>
      <c r="C792">
        <v>0.95</v>
      </c>
      <c r="D792">
        <v>0.92</v>
      </c>
      <c r="E792">
        <v>0.71</v>
      </c>
      <c r="F792">
        <v>0.88</v>
      </c>
      <c r="G792">
        <v>0.93</v>
      </c>
      <c r="H792">
        <v>0.85</v>
      </c>
      <c r="I792">
        <v>248</v>
      </c>
      <c r="J792">
        <v>14</v>
      </c>
      <c r="K792">
        <v>0.88</v>
      </c>
      <c r="L792" t="s">
        <v>13</v>
      </c>
    </row>
    <row r="793" spans="1:12" x14ac:dyDescent="0.3">
      <c r="A793">
        <v>46</v>
      </c>
      <c r="B793">
        <v>2021</v>
      </c>
      <c r="C793">
        <v>0.68</v>
      </c>
      <c r="D793">
        <v>0.66</v>
      </c>
      <c r="E793">
        <v>0.87</v>
      </c>
      <c r="F793">
        <v>0.93</v>
      </c>
      <c r="G793">
        <v>0.84</v>
      </c>
      <c r="H793">
        <v>0.04</v>
      </c>
      <c r="I793">
        <v>115</v>
      </c>
      <c r="J793">
        <v>19</v>
      </c>
      <c r="K793">
        <v>0.77</v>
      </c>
      <c r="L793" t="s">
        <v>13</v>
      </c>
    </row>
    <row r="794" spans="1:12" x14ac:dyDescent="0.3">
      <c r="A794">
        <v>33</v>
      </c>
      <c r="B794">
        <v>2021</v>
      </c>
      <c r="C794">
        <v>0.88</v>
      </c>
      <c r="D794">
        <v>0.91</v>
      </c>
      <c r="E794">
        <v>0.65</v>
      </c>
      <c r="F794">
        <v>0.77</v>
      </c>
      <c r="G794">
        <v>0.63</v>
      </c>
      <c r="H794">
        <v>0.16</v>
      </c>
      <c r="I794">
        <v>225</v>
      </c>
      <c r="J794">
        <v>12</v>
      </c>
      <c r="K794">
        <v>0.8</v>
      </c>
      <c r="L794" t="s">
        <v>13</v>
      </c>
    </row>
    <row r="795" spans="1:12" x14ac:dyDescent="0.3">
      <c r="A795">
        <v>61</v>
      </c>
      <c r="B795">
        <v>2021</v>
      </c>
      <c r="C795">
        <v>0.47</v>
      </c>
      <c r="D795">
        <v>0.45</v>
      </c>
      <c r="E795">
        <v>0.96</v>
      </c>
      <c r="F795">
        <v>0.83</v>
      </c>
      <c r="G795">
        <v>0.77</v>
      </c>
      <c r="H795">
        <v>0.91</v>
      </c>
      <c r="I795">
        <v>98</v>
      </c>
      <c r="J795">
        <v>6</v>
      </c>
      <c r="K795">
        <v>0.65</v>
      </c>
      <c r="L795" t="s">
        <v>12</v>
      </c>
    </row>
    <row r="796" spans="1:12" x14ac:dyDescent="0.3">
      <c r="A796">
        <v>65</v>
      </c>
      <c r="B796">
        <v>2023</v>
      </c>
      <c r="C796">
        <v>0.76</v>
      </c>
      <c r="D796">
        <v>0.64</v>
      </c>
      <c r="E796">
        <v>0.68</v>
      </c>
      <c r="F796">
        <v>0.88</v>
      </c>
      <c r="G796">
        <v>0.56999999999999995</v>
      </c>
      <c r="H796">
        <v>0.35</v>
      </c>
      <c r="I796">
        <v>160</v>
      </c>
      <c r="J796">
        <v>4</v>
      </c>
      <c r="K796">
        <v>0.71</v>
      </c>
      <c r="L796" t="s">
        <v>13</v>
      </c>
    </row>
    <row r="797" spans="1:12" x14ac:dyDescent="0.3">
      <c r="A797">
        <v>76</v>
      </c>
      <c r="B797">
        <v>2024</v>
      </c>
      <c r="C797">
        <v>0.47</v>
      </c>
      <c r="D797">
        <v>0.41</v>
      </c>
      <c r="E797">
        <v>0.57999999999999996</v>
      </c>
      <c r="F797">
        <v>0.84</v>
      </c>
      <c r="G797">
        <v>0.8</v>
      </c>
      <c r="H797">
        <v>0.02</v>
      </c>
      <c r="I797">
        <v>449</v>
      </c>
      <c r="J797">
        <v>8</v>
      </c>
      <c r="K797">
        <v>0.56999999999999995</v>
      </c>
      <c r="L797" t="s">
        <v>12</v>
      </c>
    </row>
    <row r="798" spans="1:12" x14ac:dyDescent="0.3">
      <c r="A798">
        <v>13</v>
      </c>
      <c r="B798">
        <v>2024</v>
      </c>
      <c r="C798">
        <v>0.35</v>
      </c>
      <c r="D798">
        <v>0.94</v>
      </c>
      <c r="E798">
        <v>0.61</v>
      </c>
      <c r="F798">
        <v>0.9</v>
      </c>
      <c r="G798">
        <v>0.52</v>
      </c>
      <c r="H798">
        <v>0.86</v>
      </c>
      <c r="I798">
        <v>190</v>
      </c>
      <c r="J798">
        <v>7</v>
      </c>
      <c r="K798">
        <v>0.65</v>
      </c>
      <c r="L798" t="s">
        <v>12</v>
      </c>
    </row>
    <row r="799" spans="1:12" x14ac:dyDescent="0.3">
      <c r="A799">
        <v>55</v>
      </c>
      <c r="B799">
        <v>2025</v>
      </c>
      <c r="C799">
        <v>0.35</v>
      </c>
      <c r="D799">
        <v>0.84</v>
      </c>
      <c r="E799">
        <v>0.81</v>
      </c>
      <c r="F799">
        <v>0.6</v>
      </c>
      <c r="G799">
        <v>0.31</v>
      </c>
      <c r="H799">
        <v>0.81</v>
      </c>
      <c r="I799">
        <v>405</v>
      </c>
      <c r="J799">
        <v>19</v>
      </c>
      <c r="K799">
        <v>0.6</v>
      </c>
      <c r="L799" t="s">
        <v>12</v>
      </c>
    </row>
    <row r="800" spans="1:12" x14ac:dyDescent="0.3">
      <c r="A800">
        <v>75</v>
      </c>
      <c r="B800">
        <v>2024</v>
      </c>
      <c r="C800">
        <v>0.94</v>
      </c>
      <c r="D800">
        <v>1</v>
      </c>
      <c r="E800">
        <v>0.57999999999999996</v>
      </c>
      <c r="F800">
        <v>0.95</v>
      </c>
      <c r="G800">
        <v>0.49</v>
      </c>
      <c r="H800">
        <v>0.59</v>
      </c>
      <c r="I800">
        <v>60</v>
      </c>
      <c r="J800">
        <v>8</v>
      </c>
      <c r="K800">
        <v>0.84</v>
      </c>
      <c r="L800" t="s">
        <v>13</v>
      </c>
    </row>
    <row r="801" spans="1:12" x14ac:dyDescent="0.3">
      <c r="A801">
        <v>50</v>
      </c>
      <c r="B801">
        <v>2021</v>
      </c>
      <c r="C801">
        <v>0.78</v>
      </c>
      <c r="D801">
        <v>0.87</v>
      </c>
      <c r="E801">
        <v>0.9</v>
      </c>
      <c r="F801">
        <v>0.65</v>
      </c>
      <c r="G801">
        <v>0.61</v>
      </c>
      <c r="H801">
        <v>0.83</v>
      </c>
      <c r="I801">
        <v>154</v>
      </c>
      <c r="J801">
        <v>2</v>
      </c>
      <c r="K801">
        <v>0.79</v>
      </c>
      <c r="L801" t="s">
        <v>13</v>
      </c>
    </row>
    <row r="802" spans="1:12" x14ac:dyDescent="0.3">
      <c r="A802">
        <v>19</v>
      </c>
      <c r="B802">
        <v>2021</v>
      </c>
      <c r="C802">
        <v>0.64</v>
      </c>
      <c r="D802">
        <v>0.47</v>
      </c>
      <c r="E802">
        <v>0.9</v>
      </c>
      <c r="F802">
        <v>0.7</v>
      </c>
      <c r="G802">
        <v>0.93</v>
      </c>
      <c r="H802">
        <v>0.91</v>
      </c>
      <c r="I802">
        <v>449</v>
      </c>
      <c r="J802">
        <v>14</v>
      </c>
      <c r="K802">
        <v>0.69</v>
      </c>
      <c r="L802" t="s">
        <v>12</v>
      </c>
    </row>
    <row r="803" spans="1:12" x14ac:dyDescent="0.3">
      <c r="A803">
        <v>90</v>
      </c>
      <c r="B803">
        <v>2024</v>
      </c>
      <c r="C803">
        <v>0.61</v>
      </c>
      <c r="D803">
        <v>0.78</v>
      </c>
      <c r="E803">
        <v>0.73</v>
      </c>
      <c r="F803">
        <v>0.74</v>
      </c>
      <c r="G803">
        <v>0.56999999999999995</v>
      </c>
      <c r="H803">
        <v>0.24</v>
      </c>
      <c r="I803">
        <v>123</v>
      </c>
      <c r="J803">
        <v>2</v>
      </c>
      <c r="K803">
        <v>0.69</v>
      </c>
      <c r="L803" t="s">
        <v>12</v>
      </c>
    </row>
    <row r="804" spans="1:12" x14ac:dyDescent="0.3">
      <c r="A804">
        <v>87</v>
      </c>
      <c r="B804">
        <v>2021</v>
      </c>
      <c r="C804">
        <v>0.31</v>
      </c>
      <c r="D804">
        <v>0.41</v>
      </c>
      <c r="E804">
        <v>0.99</v>
      </c>
      <c r="F804">
        <v>0.69</v>
      </c>
      <c r="G804">
        <v>0.86</v>
      </c>
      <c r="H804">
        <v>0.06</v>
      </c>
      <c r="I804">
        <v>112</v>
      </c>
      <c r="J804">
        <v>0</v>
      </c>
      <c r="K804">
        <v>0.57999999999999996</v>
      </c>
      <c r="L804" t="s">
        <v>12</v>
      </c>
    </row>
    <row r="805" spans="1:12" x14ac:dyDescent="0.3">
      <c r="A805">
        <v>90</v>
      </c>
      <c r="B805">
        <v>2021</v>
      </c>
      <c r="C805">
        <v>0.31</v>
      </c>
      <c r="D805">
        <v>0.55000000000000004</v>
      </c>
      <c r="E805">
        <v>0.7</v>
      </c>
      <c r="F805">
        <v>0.78</v>
      </c>
      <c r="G805">
        <v>0.51</v>
      </c>
      <c r="H805">
        <v>0.03</v>
      </c>
      <c r="I805">
        <v>286</v>
      </c>
      <c r="J805">
        <v>10</v>
      </c>
      <c r="K805">
        <v>0.54</v>
      </c>
      <c r="L805" t="s">
        <v>12</v>
      </c>
    </row>
    <row r="806" spans="1:12" x14ac:dyDescent="0.3">
      <c r="A806">
        <v>59</v>
      </c>
      <c r="B806">
        <v>2022</v>
      </c>
      <c r="C806">
        <v>0.36</v>
      </c>
      <c r="D806">
        <v>0.45</v>
      </c>
      <c r="E806">
        <v>0.96</v>
      </c>
      <c r="F806">
        <v>0.88</v>
      </c>
      <c r="G806">
        <v>0.39</v>
      </c>
      <c r="H806">
        <v>0.36</v>
      </c>
      <c r="I806">
        <v>368</v>
      </c>
      <c r="J806">
        <v>4</v>
      </c>
      <c r="K806">
        <v>0.57999999999999996</v>
      </c>
      <c r="L806" t="s">
        <v>12</v>
      </c>
    </row>
    <row r="807" spans="1:12" x14ac:dyDescent="0.3">
      <c r="A807">
        <v>93</v>
      </c>
      <c r="B807">
        <v>2022</v>
      </c>
      <c r="C807">
        <v>0.76</v>
      </c>
      <c r="D807">
        <v>0.56999999999999995</v>
      </c>
      <c r="E807">
        <v>0.98</v>
      </c>
      <c r="F807">
        <v>0.73</v>
      </c>
      <c r="G807">
        <v>1</v>
      </c>
      <c r="H807">
        <v>1</v>
      </c>
      <c r="I807">
        <v>103</v>
      </c>
      <c r="J807">
        <v>19</v>
      </c>
      <c r="K807">
        <v>0.78</v>
      </c>
      <c r="L807" t="s">
        <v>13</v>
      </c>
    </row>
    <row r="808" spans="1:12" x14ac:dyDescent="0.3">
      <c r="A808">
        <v>79</v>
      </c>
      <c r="B808">
        <v>2022</v>
      </c>
      <c r="C808">
        <v>0.76</v>
      </c>
      <c r="D808">
        <v>0.72</v>
      </c>
      <c r="E808">
        <v>0.98</v>
      </c>
      <c r="F808">
        <v>0.89</v>
      </c>
      <c r="G808">
        <v>0.45</v>
      </c>
      <c r="H808">
        <v>0.11</v>
      </c>
      <c r="I808">
        <v>348</v>
      </c>
      <c r="J808">
        <v>14</v>
      </c>
      <c r="K808">
        <v>0.78</v>
      </c>
      <c r="L808" t="s">
        <v>13</v>
      </c>
    </row>
    <row r="809" spans="1:12" x14ac:dyDescent="0.3">
      <c r="A809">
        <v>85</v>
      </c>
      <c r="B809">
        <v>2024</v>
      </c>
      <c r="C809">
        <v>0.85</v>
      </c>
      <c r="D809">
        <v>0.59</v>
      </c>
      <c r="E809">
        <v>0.66</v>
      </c>
      <c r="F809">
        <v>0.6</v>
      </c>
      <c r="G809">
        <v>0.79</v>
      </c>
      <c r="H809">
        <v>0.11</v>
      </c>
      <c r="I809">
        <v>158</v>
      </c>
      <c r="J809">
        <v>7</v>
      </c>
      <c r="K809">
        <v>0.7</v>
      </c>
      <c r="L809" t="s">
        <v>12</v>
      </c>
    </row>
    <row r="810" spans="1:12" x14ac:dyDescent="0.3">
      <c r="A810">
        <v>44</v>
      </c>
      <c r="B810">
        <v>2023</v>
      </c>
      <c r="C810">
        <v>0.59</v>
      </c>
      <c r="D810">
        <v>0.69</v>
      </c>
      <c r="E810">
        <v>0.54</v>
      </c>
      <c r="F810">
        <v>0.71</v>
      </c>
      <c r="G810">
        <v>0.53</v>
      </c>
      <c r="H810">
        <v>0.95</v>
      </c>
      <c r="I810">
        <v>376</v>
      </c>
      <c r="J810">
        <v>17</v>
      </c>
      <c r="K810">
        <v>0.62</v>
      </c>
      <c r="L810" t="s">
        <v>12</v>
      </c>
    </row>
    <row r="811" spans="1:12" x14ac:dyDescent="0.3">
      <c r="A811">
        <v>90</v>
      </c>
      <c r="B811">
        <v>2022</v>
      </c>
      <c r="C811">
        <v>0.94</v>
      </c>
      <c r="D811">
        <v>0.52</v>
      </c>
      <c r="E811">
        <v>0.99</v>
      </c>
      <c r="F811">
        <v>0.89</v>
      </c>
      <c r="G811">
        <v>0.84</v>
      </c>
      <c r="H811">
        <v>0.66</v>
      </c>
      <c r="I811">
        <v>326</v>
      </c>
      <c r="J811">
        <v>19</v>
      </c>
      <c r="K811">
        <v>0.83</v>
      </c>
      <c r="L811" t="s">
        <v>13</v>
      </c>
    </row>
    <row r="812" spans="1:12" x14ac:dyDescent="0.3">
      <c r="A812">
        <v>34</v>
      </c>
      <c r="B812">
        <v>2021</v>
      </c>
      <c r="C812">
        <v>0.8</v>
      </c>
      <c r="D812">
        <v>0.85</v>
      </c>
      <c r="E812">
        <v>0.61</v>
      </c>
      <c r="F812">
        <v>0.78</v>
      </c>
      <c r="G812">
        <v>0.73</v>
      </c>
      <c r="H812">
        <v>0.77</v>
      </c>
      <c r="I812">
        <v>274</v>
      </c>
      <c r="J812">
        <v>1</v>
      </c>
      <c r="K812">
        <v>0.76</v>
      </c>
      <c r="L812" t="s">
        <v>13</v>
      </c>
    </row>
    <row r="813" spans="1:12" x14ac:dyDescent="0.3">
      <c r="A813">
        <v>64</v>
      </c>
      <c r="B813">
        <v>2023</v>
      </c>
      <c r="C813">
        <v>0.66</v>
      </c>
      <c r="D813">
        <v>0.68</v>
      </c>
      <c r="E813">
        <v>0.66</v>
      </c>
      <c r="F813">
        <v>0.83</v>
      </c>
      <c r="G813">
        <v>0.81</v>
      </c>
      <c r="H813">
        <v>0.41</v>
      </c>
      <c r="I813">
        <v>141</v>
      </c>
      <c r="J813">
        <v>18</v>
      </c>
      <c r="K813">
        <v>0.71</v>
      </c>
      <c r="L813" t="s">
        <v>13</v>
      </c>
    </row>
    <row r="814" spans="1:12" x14ac:dyDescent="0.3">
      <c r="A814">
        <v>73</v>
      </c>
      <c r="B814">
        <v>2023</v>
      </c>
      <c r="C814">
        <v>0.74</v>
      </c>
      <c r="D814">
        <v>0.48</v>
      </c>
      <c r="E814">
        <v>0.88</v>
      </c>
      <c r="F814">
        <v>0.71</v>
      </c>
      <c r="G814">
        <v>0.93</v>
      </c>
      <c r="H814">
        <v>0.82</v>
      </c>
      <c r="I814">
        <v>100</v>
      </c>
      <c r="J814">
        <v>18</v>
      </c>
      <c r="K814">
        <v>0.72</v>
      </c>
      <c r="L814" t="s">
        <v>13</v>
      </c>
    </row>
    <row r="815" spans="1:12" x14ac:dyDescent="0.3">
      <c r="A815">
        <v>21</v>
      </c>
      <c r="B815">
        <v>2023</v>
      </c>
      <c r="C815">
        <v>0.55000000000000004</v>
      </c>
      <c r="D815">
        <v>0.46</v>
      </c>
      <c r="E815">
        <v>0.98</v>
      </c>
      <c r="F815">
        <v>0.86</v>
      </c>
      <c r="G815">
        <v>0.62</v>
      </c>
      <c r="H815">
        <v>0.4</v>
      </c>
      <c r="I815">
        <v>462</v>
      </c>
      <c r="J815">
        <v>16</v>
      </c>
      <c r="K815">
        <v>0.67</v>
      </c>
      <c r="L815" t="s">
        <v>12</v>
      </c>
    </row>
    <row r="816" spans="1:12" x14ac:dyDescent="0.3">
      <c r="A816">
        <v>68</v>
      </c>
      <c r="B816">
        <v>2024</v>
      </c>
      <c r="C816">
        <v>0.39</v>
      </c>
      <c r="D816">
        <v>0.59</v>
      </c>
      <c r="E816">
        <v>0.74</v>
      </c>
      <c r="F816">
        <v>0.79</v>
      </c>
      <c r="G816">
        <v>0.63</v>
      </c>
      <c r="H816">
        <v>0.18</v>
      </c>
      <c r="I816">
        <v>138</v>
      </c>
      <c r="J816">
        <v>16</v>
      </c>
      <c r="K816">
        <v>0.59</v>
      </c>
      <c r="L816" t="s">
        <v>12</v>
      </c>
    </row>
    <row r="817" spans="1:12" x14ac:dyDescent="0.3">
      <c r="A817">
        <v>70</v>
      </c>
      <c r="B817">
        <v>2022</v>
      </c>
      <c r="C817">
        <v>0.94</v>
      </c>
      <c r="D817">
        <v>0.47</v>
      </c>
      <c r="E817">
        <v>0.88</v>
      </c>
      <c r="F817">
        <v>0.9</v>
      </c>
      <c r="G817">
        <v>0.87</v>
      </c>
      <c r="H817">
        <v>0.89</v>
      </c>
      <c r="I817">
        <v>245</v>
      </c>
      <c r="J817">
        <v>8</v>
      </c>
      <c r="K817">
        <v>0.8</v>
      </c>
      <c r="L817" t="s">
        <v>13</v>
      </c>
    </row>
    <row r="818" spans="1:12" x14ac:dyDescent="0.3">
      <c r="A818">
        <v>37</v>
      </c>
      <c r="B818">
        <v>2023</v>
      </c>
      <c r="C818">
        <v>0.63</v>
      </c>
      <c r="D818">
        <v>0.56000000000000005</v>
      </c>
      <c r="E818">
        <v>0.87</v>
      </c>
      <c r="F818">
        <v>0.85</v>
      </c>
      <c r="G818">
        <v>0.91</v>
      </c>
      <c r="H818">
        <v>0.08</v>
      </c>
      <c r="I818">
        <v>226</v>
      </c>
      <c r="J818">
        <v>8</v>
      </c>
      <c r="K818">
        <v>0.72</v>
      </c>
      <c r="L818" t="s">
        <v>13</v>
      </c>
    </row>
    <row r="819" spans="1:12" x14ac:dyDescent="0.3">
      <c r="A819">
        <v>83</v>
      </c>
      <c r="B819">
        <v>2025</v>
      </c>
      <c r="C819">
        <v>0.48</v>
      </c>
      <c r="D819">
        <v>0.64</v>
      </c>
      <c r="E819">
        <v>0.69</v>
      </c>
      <c r="F819">
        <v>0.92</v>
      </c>
      <c r="G819">
        <v>0.62</v>
      </c>
      <c r="H819">
        <v>0.17</v>
      </c>
      <c r="I819">
        <v>97</v>
      </c>
      <c r="J819">
        <v>12</v>
      </c>
      <c r="K819">
        <v>0.64</v>
      </c>
      <c r="L819" t="s">
        <v>12</v>
      </c>
    </row>
    <row r="820" spans="1:12" x14ac:dyDescent="0.3">
      <c r="A820">
        <v>40</v>
      </c>
      <c r="B820">
        <v>2021</v>
      </c>
      <c r="C820">
        <v>0.73</v>
      </c>
      <c r="D820">
        <v>0.74</v>
      </c>
      <c r="E820">
        <v>0.86</v>
      </c>
      <c r="F820">
        <v>0.98</v>
      </c>
      <c r="G820">
        <v>0.94</v>
      </c>
      <c r="H820">
        <v>0.95</v>
      </c>
      <c r="I820">
        <v>159</v>
      </c>
      <c r="J820">
        <v>12</v>
      </c>
      <c r="K820">
        <v>0.82</v>
      </c>
      <c r="L820" t="s">
        <v>13</v>
      </c>
    </row>
    <row r="821" spans="1:12" x14ac:dyDescent="0.3">
      <c r="A821">
        <v>11</v>
      </c>
      <c r="B821">
        <v>2024</v>
      </c>
      <c r="C821">
        <v>0.51</v>
      </c>
      <c r="D821">
        <v>0.94</v>
      </c>
      <c r="E821">
        <v>0.99</v>
      </c>
      <c r="F821">
        <v>0.94</v>
      </c>
      <c r="G821">
        <v>0.38</v>
      </c>
      <c r="H821">
        <v>0.95</v>
      </c>
      <c r="I821">
        <v>323</v>
      </c>
      <c r="J821">
        <v>10</v>
      </c>
      <c r="K821">
        <v>0.77</v>
      </c>
      <c r="L821" t="s">
        <v>13</v>
      </c>
    </row>
    <row r="822" spans="1:12" x14ac:dyDescent="0.3">
      <c r="A822">
        <v>80</v>
      </c>
      <c r="B822">
        <v>2021</v>
      </c>
      <c r="C822">
        <v>0.61</v>
      </c>
      <c r="D822">
        <v>0.43</v>
      </c>
      <c r="E822">
        <v>0.77</v>
      </c>
      <c r="F822">
        <v>0.74</v>
      </c>
      <c r="G822">
        <v>0.63</v>
      </c>
      <c r="H822">
        <v>0.61</v>
      </c>
      <c r="I822">
        <v>488</v>
      </c>
      <c r="J822">
        <v>13</v>
      </c>
      <c r="K822">
        <v>0.62</v>
      </c>
      <c r="L822" t="s">
        <v>12</v>
      </c>
    </row>
    <row r="823" spans="1:12" x14ac:dyDescent="0.3">
      <c r="A823">
        <v>58</v>
      </c>
      <c r="B823">
        <v>2021</v>
      </c>
      <c r="C823">
        <v>0.6</v>
      </c>
      <c r="D823">
        <v>0.89</v>
      </c>
      <c r="E823">
        <v>0.95</v>
      </c>
      <c r="F823">
        <v>0.65</v>
      </c>
      <c r="G823">
        <v>0.67</v>
      </c>
      <c r="H823">
        <v>0.28000000000000003</v>
      </c>
      <c r="I823">
        <v>271</v>
      </c>
      <c r="J823">
        <v>6</v>
      </c>
      <c r="K823">
        <v>0.76</v>
      </c>
      <c r="L823" t="s">
        <v>13</v>
      </c>
    </row>
    <row r="824" spans="1:12" x14ac:dyDescent="0.3">
      <c r="A824">
        <v>63</v>
      </c>
      <c r="B824">
        <v>2022</v>
      </c>
      <c r="C824">
        <v>0.42</v>
      </c>
      <c r="D824">
        <v>0.59</v>
      </c>
      <c r="E824">
        <v>0.72</v>
      </c>
      <c r="F824">
        <v>0.93</v>
      </c>
      <c r="G824">
        <v>0.95</v>
      </c>
      <c r="H824">
        <v>0.63</v>
      </c>
      <c r="I824">
        <v>236</v>
      </c>
      <c r="J824">
        <v>16</v>
      </c>
      <c r="K824">
        <v>0.65</v>
      </c>
      <c r="L824" t="s">
        <v>12</v>
      </c>
    </row>
    <row r="825" spans="1:12" x14ac:dyDescent="0.3">
      <c r="A825">
        <v>36</v>
      </c>
      <c r="B825">
        <v>2022</v>
      </c>
      <c r="C825">
        <v>0.8</v>
      </c>
      <c r="D825">
        <v>0.67</v>
      </c>
      <c r="E825">
        <v>0.63</v>
      </c>
      <c r="F825">
        <v>0.68</v>
      </c>
      <c r="G825">
        <v>0.77</v>
      </c>
      <c r="H825">
        <v>0</v>
      </c>
      <c r="I825">
        <v>105</v>
      </c>
      <c r="J825">
        <v>4</v>
      </c>
      <c r="K825">
        <v>0.71</v>
      </c>
      <c r="L825" t="s">
        <v>13</v>
      </c>
    </row>
    <row r="826" spans="1:12" x14ac:dyDescent="0.3">
      <c r="A826">
        <v>47</v>
      </c>
      <c r="B826">
        <v>2023</v>
      </c>
      <c r="C826">
        <v>0.56999999999999995</v>
      </c>
      <c r="D826">
        <v>0.69</v>
      </c>
      <c r="E826">
        <v>0.68</v>
      </c>
      <c r="F826">
        <v>0.73</v>
      </c>
      <c r="G826">
        <v>0.97</v>
      </c>
      <c r="H826">
        <v>0.64</v>
      </c>
      <c r="I826">
        <v>475</v>
      </c>
      <c r="J826">
        <v>15</v>
      </c>
      <c r="K826">
        <v>0.69</v>
      </c>
      <c r="L826" t="s">
        <v>12</v>
      </c>
    </row>
    <row r="827" spans="1:12" x14ac:dyDescent="0.3">
      <c r="A827">
        <v>74</v>
      </c>
      <c r="B827">
        <v>2022</v>
      </c>
      <c r="C827">
        <v>0.76</v>
      </c>
      <c r="D827">
        <v>0.66</v>
      </c>
      <c r="E827">
        <v>0.88</v>
      </c>
      <c r="F827">
        <v>1</v>
      </c>
      <c r="G827">
        <v>0.76</v>
      </c>
      <c r="H827">
        <v>0.05</v>
      </c>
      <c r="I827">
        <v>108</v>
      </c>
      <c r="J827">
        <v>0</v>
      </c>
      <c r="K827">
        <v>0.8</v>
      </c>
      <c r="L827" t="s">
        <v>13</v>
      </c>
    </row>
    <row r="828" spans="1:12" x14ac:dyDescent="0.3">
      <c r="A828">
        <v>41</v>
      </c>
      <c r="B828">
        <v>2021</v>
      </c>
      <c r="C828">
        <v>0.68</v>
      </c>
      <c r="D828">
        <v>0.56999999999999995</v>
      </c>
      <c r="E828">
        <v>0.97</v>
      </c>
      <c r="F828">
        <v>0.94</v>
      </c>
      <c r="G828">
        <v>0.81</v>
      </c>
      <c r="H828">
        <v>0.08</v>
      </c>
      <c r="I828">
        <v>138</v>
      </c>
      <c r="J828">
        <v>0</v>
      </c>
      <c r="K828">
        <v>0.76</v>
      </c>
      <c r="L828" t="s">
        <v>13</v>
      </c>
    </row>
    <row r="829" spans="1:12" x14ac:dyDescent="0.3">
      <c r="A829">
        <v>25</v>
      </c>
      <c r="B829">
        <v>2021</v>
      </c>
      <c r="C829">
        <v>0.41</v>
      </c>
      <c r="D829">
        <v>0.99</v>
      </c>
      <c r="E829">
        <v>0.57999999999999996</v>
      </c>
      <c r="F829">
        <v>0.79</v>
      </c>
      <c r="G829">
        <v>0.55000000000000004</v>
      </c>
      <c r="H829">
        <v>0.64</v>
      </c>
      <c r="I829">
        <v>489</v>
      </c>
      <c r="J829">
        <v>16</v>
      </c>
      <c r="K829">
        <v>0.66</v>
      </c>
      <c r="L829" t="s">
        <v>12</v>
      </c>
    </row>
    <row r="830" spans="1:12" x14ac:dyDescent="0.3">
      <c r="A830">
        <v>60</v>
      </c>
      <c r="B830">
        <v>2024</v>
      </c>
      <c r="C830">
        <v>0.56000000000000005</v>
      </c>
      <c r="D830">
        <v>0.8</v>
      </c>
      <c r="E830">
        <v>0.54</v>
      </c>
      <c r="F830">
        <v>0.7</v>
      </c>
      <c r="G830">
        <v>0.8</v>
      </c>
      <c r="H830">
        <v>0.48</v>
      </c>
      <c r="I830">
        <v>227</v>
      </c>
      <c r="J830">
        <v>4</v>
      </c>
      <c r="K830">
        <v>0.66</v>
      </c>
      <c r="L830" t="s">
        <v>12</v>
      </c>
    </row>
    <row r="831" spans="1:12" x14ac:dyDescent="0.3">
      <c r="A831">
        <v>46</v>
      </c>
      <c r="B831">
        <v>2022</v>
      </c>
      <c r="C831">
        <v>0.67</v>
      </c>
      <c r="D831">
        <v>0.57999999999999996</v>
      </c>
      <c r="E831">
        <v>0.68</v>
      </c>
      <c r="F831">
        <v>0.63</v>
      </c>
      <c r="G831">
        <v>0.99</v>
      </c>
      <c r="H831">
        <v>0.04</v>
      </c>
      <c r="I831">
        <v>143</v>
      </c>
      <c r="J831">
        <v>1</v>
      </c>
      <c r="K831">
        <v>0.68</v>
      </c>
      <c r="L831" t="s">
        <v>12</v>
      </c>
    </row>
    <row r="832" spans="1:12" x14ac:dyDescent="0.3">
      <c r="A832">
        <v>65</v>
      </c>
      <c r="B832">
        <v>2021</v>
      </c>
      <c r="C832">
        <v>0.47</v>
      </c>
      <c r="D832">
        <v>0.72</v>
      </c>
      <c r="E832">
        <v>0.74</v>
      </c>
      <c r="F832">
        <v>0.88</v>
      </c>
      <c r="G832">
        <v>0.35</v>
      </c>
      <c r="H832">
        <v>0.19</v>
      </c>
      <c r="I832">
        <v>123</v>
      </c>
      <c r="J832">
        <v>11</v>
      </c>
      <c r="K832">
        <v>0.64</v>
      </c>
      <c r="L832" t="s">
        <v>12</v>
      </c>
    </row>
    <row r="833" spans="1:12" x14ac:dyDescent="0.3">
      <c r="A833">
        <v>46</v>
      </c>
      <c r="B833">
        <v>2021</v>
      </c>
      <c r="C833">
        <v>0.43</v>
      </c>
      <c r="D833">
        <v>0.43</v>
      </c>
      <c r="E833">
        <v>0.54</v>
      </c>
      <c r="F833">
        <v>1</v>
      </c>
      <c r="G833">
        <v>0.85</v>
      </c>
      <c r="H833">
        <v>0.92</v>
      </c>
      <c r="I833">
        <v>357</v>
      </c>
      <c r="J833">
        <v>10</v>
      </c>
      <c r="K833">
        <v>0.57999999999999996</v>
      </c>
      <c r="L833" t="s">
        <v>12</v>
      </c>
    </row>
    <row r="834" spans="1:12" x14ac:dyDescent="0.3">
      <c r="A834">
        <v>84</v>
      </c>
      <c r="B834">
        <v>2024</v>
      </c>
      <c r="C834">
        <v>0.88</v>
      </c>
      <c r="D834">
        <v>0.61</v>
      </c>
      <c r="E834">
        <v>0.71</v>
      </c>
      <c r="F834">
        <v>0.65</v>
      </c>
      <c r="G834">
        <v>0.39</v>
      </c>
      <c r="H834">
        <v>0.62</v>
      </c>
      <c r="I834">
        <v>166</v>
      </c>
      <c r="J834">
        <v>10</v>
      </c>
      <c r="K834">
        <v>0.7</v>
      </c>
      <c r="L834" t="s">
        <v>12</v>
      </c>
    </row>
    <row r="835" spans="1:12" x14ac:dyDescent="0.3">
      <c r="A835">
        <v>27</v>
      </c>
      <c r="B835">
        <v>2025</v>
      </c>
      <c r="C835">
        <v>0.75</v>
      </c>
      <c r="D835">
        <v>0.41</v>
      </c>
      <c r="E835">
        <v>0.57999999999999996</v>
      </c>
      <c r="F835">
        <v>0.99</v>
      </c>
      <c r="G835">
        <v>0.35</v>
      </c>
      <c r="H835">
        <v>0.68</v>
      </c>
      <c r="I835">
        <v>130</v>
      </c>
      <c r="J835">
        <v>12</v>
      </c>
      <c r="K835">
        <v>0.63</v>
      </c>
      <c r="L835" t="s">
        <v>12</v>
      </c>
    </row>
    <row r="836" spans="1:12" x14ac:dyDescent="0.3">
      <c r="A836">
        <v>26</v>
      </c>
      <c r="B836">
        <v>2022</v>
      </c>
      <c r="C836">
        <v>0.46</v>
      </c>
      <c r="D836">
        <v>0.56000000000000005</v>
      </c>
      <c r="E836">
        <v>0.83</v>
      </c>
      <c r="F836">
        <v>0.76</v>
      </c>
      <c r="G836">
        <v>0.44</v>
      </c>
      <c r="H836">
        <v>0.73</v>
      </c>
      <c r="I836">
        <v>134</v>
      </c>
      <c r="J836">
        <v>8</v>
      </c>
      <c r="K836">
        <v>0.6</v>
      </c>
      <c r="L836" t="s">
        <v>12</v>
      </c>
    </row>
    <row r="837" spans="1:12" x14ac:dyDescent="0.3">
      <c r="A837">
        <v>77</v>
      </c>
      <c r="B837">
        <v>2023</v>
      </c>
      <c r="C837">
        <v>0.43</v>
      </c>
      <c r="D837">
        <v>0.94</v>
      </c>
      <c r="E837">
        <v>0.84</v>
      </c>
      <c r="F837">
        <v>0.85</v>
      </c>
      <c r="G837">
        <v>0.37</v>
      </c>
      <c r="H837">
        <v>0.6</v>
      </c>
      <c r="I837">
        <v>362</v>
      </c>
      <c r="J837">
        <v>16</v>
      </c>
      <c r="K837">
        <v>0.7</v>
      </c>
      <c r="L837" t="s">
        <v>12</v>
      </c>
    </row>
    <row r="838" spans="1:12" x14ac:dyDescent="0.3">
      <c r="A838">
        <v>88</v>
      </c>
      <c r="B838">
        <v>2023</v>
      </c>
      <c r="C838">
        <v>0.55000000000000004</v>
      </c>
      <c r="D838">
        <v>0.55000000000000004</v>
      </c>
      <c r="E838">
        <v>0.84</v>
      </c>
      <c r="F838">
        <v>0.87</v>
      </c>
      <c r="G838">
        <v>0.65</v>
      </c>
      <c r="H838">
        <v>0.78</v>
      </c>
      <c r="I838">
        <v>110</v>
      </c>
      <c r="J838">
        <v>1</v>
      </c>
      <c r="K838">
        <v>0.67</v>
      </c>
      <c r="L838" t="s">
        <v>12</v>
      </c>
    </row>
    <row r="839" spans="1:12" x14ac:dyDescent="0.3">
      <c r="A839">
        <v>50</v>
      </c>
      <c r="B839">
        <v>2022</v>
      </c>
      <c r="C839">
        <v>0.53</v>
      </c>
      <c r="D839">
        <v>0.46</v>
      </c>
      <c r="E839">
        <v>0.99</v>
      </c>
      <c r="F839">
        <v>0.71</v>
      </c>
      <c r="G839">
        <v>0.6</v>
      </c>
      <c r="H839">
        <v>0.65</v>
      </c>
      <c r="I839">
        <v>225</v>
      </c>
      <c r="J839">
        <v>13</v>
      </c>
      <c r="K839">
        <v>0.64</v>
      </c>
      <c r="L839" t="s">
        <v>12</v>
      </c>
    </row>
    <row r="840" spans="1:12" x14ac:dyDescent="0.3">
      <c r="A840">
        <v>47</v>
      </c>
      <c r="B840">
        <v>2024</v>
      </c>
      <c r="C840">
        <v>0.82</v>
      </c>
      <c r="D840">
        <v>0.89</v>
      </c>
      <c r="E840">
        <v>0.56000000000000005</v>
      </c>
      <c r="F840">
        <v>0.61</v>
      </c>
      <c r="G840">
        <v>0.78</v>
      </c>
      <c r="H840">
        <v>0.3</v>
      </c>
      <c r="I840">
        <v>386</v>
      </c>
      <c r="J840">
        <v>11</v>
      </c>
      <c r="K840">
        <v>0.75</v>
      </c>
      <c r="L840" t="s">
        <v>13</v>
      </c>
    </row>
    <row r="841" spans="1:12" x14ac:dyDescent="0.3">
      <c r="A841">
        <v>23</v>
      </c>
      <c r="B841">
        <v>2025</v>
      </c>
      <c r="C841">
        <v>0.71</v>
      </c>
      <c r="D841">
        <v>0.71</v>
      </c>
      <c r="E841">
        <v>0.75</v>
      </c>
      <c r="F841">
        <v>0.73</v>
      </c>
      <c r="G841">
        <v>0.35</v>
      </c>
      <c r="H841">
        <v>0.09</v>
      </c>
      <c r="I841">
        <v>360</v>
      </c>
      <c r="J841">
        <v>12</v>
      </c>
      <c r="K841">
        <v>0.68</v>
      </c>
      <c r="L841" t="s">
        <v>12</v>
      </c>
    </row>
    <row r="842" spans="1:12" x14ac:dyDescent="0.3">
      <c r="A842">
        <v>76</v>
      </c>
      <c r="B842">
        <v>2021</v>
      </c>
      <c r="C842">
        <v>0.88</v>
      </c>
      <c r="D842">
        <v>0.69</v>
      </c>
      <c r="E842">
        <v>0.77</v>
      </c>
      <c r="F842">
        <v>0.72</v>
      </c>
      <c r="G842">
        <v>0.43</v>
      </c>
      <c r="H842">
        <v>0.09</v>
      </c>
      <c r="I842">
        <v>315</v>
      </c>
      <c r="J842">
        <v>7</v>
      </c>
      <c r="K842">
        <v>0.74</v>
      </c>
      <c r="L842" t="s">
        <v>13</v>
      </c>
    </row>
    <row r="843" spans="1:12" x14ac:dyDescent="0.3">
      <c r="A843">
        <v>79</v>
      </c>
      <c r="B843">
        <v>2025</v>
      </c>
      <c r="C843">
        <v>0.43</v>
      </c>
      <c r="D843">
        <v>0.79</v>
      </c>
      <c r="E843">
        <v>0.56999999999999995</v>
      </c>
      <c r="F843">
        <v>0.82</v>
      </c>
      <c r="G843">
        <v>0.67</v>
      </c>
      <c r="H843">
        <v>0.73</v>
      </c>
      <c r="I843">
        <v>123</v>
      </c>
      <c r="J843">
        <v>14</v>
      </c>
      <c r="K843">
        <v>0.63</v>
      </c>
      <c r="L843" t="s">
        <v>12</v>
      </c>
    </row>
    <row r="844" spans="1:12" x14ac:dyDescent="0.3">
      <c r="A844">
        <v>56</v>
      </c>
      <c r="B844">
        <v>2022</v>
      </c>
      <c r="C844">
        <v>0.45</v>
      </c>
      <c r="D844">
        <v>0.51</v>
      </c>
      <c r="E844">
        <v>0.72</v>
      </c>
      <c r="F844">
        <v>0.93</v>
      </c>
      <c r="G844">
        <v>0.89</v>
      </c>
      <c r="H844">
        <v>0.52</v>
      </c>
      <c r="I844">
        <v>334</v>
      </c>
      <c r="J844">
        <v>0</v>
      </c>
      <c r="K844">
        <v>0.64</v>
      </c>
      <c r="L844" t="s">
        <v>12</v>
      </c>
    </row>
    <row r="845" spans="1:12" x14ac:dyDescent="0.3">
      <c r="A845">
        <v>100</v>
      </c>
      <c r="B845">
        <v>2025</v>
      </c>
      <c r="C845">
        <v>0.94</v>
      </c>
      <c r="D845">
        <v>0.87</v>
      </c>
      <c r="E845">
        <v>0.73</v>
      </c>
      <c r="F845">
        <v>0.9</v>
      </c>
      <c r="G845">
        <v>0.97</v>
      </c>
      <c r="H845">
        <v>0.77</v>
      </c>
      <c r="I845">
        <v>390</v>
      </c>
      <c r="J845">
        <v>8</v>
      </c>
      <c r="K845">
        <v>0.88</v>
      </c>
      <c r="L845" t="s">
        <v>13</v>
      </c>
    </row>
    <row r="846" spans="1:12" x14ac:dyDescent="0.3">
      <c r="A846">
        <v>23</v>
      </c>
      <c r="B846">
        <v>2024</v>
      </c>
      <c r="C846">
        <v>0.76</v>
      </c>
      <c r="D846">
        <v>0.47</v>
      </c>
      <c r="E846">
        <v>0.77</v>
      </c>
      <c r="F846">
        <v>0.77</v>
      </c>
      <c r="G846">
        <v>0.49</v>
      </c>
      <c r="H846">
        <v>0.6</v>
      </c>
      <c r="I846">
        <v>78</v>
      </c>
      <c r="J846">
        <v>14</v>
      </c>
      <c r="K846">
        <v>0.66</v>
      </c>
      <c r="L846" t="s">
        <v>12</v>
      </c>
    </row>
    <row r="847" spans="1:12" x14ac:dyDescent="0.3">
      <c r="A847">
        <v>60</v>
      </c>
      <c r="B847">
        <v>2023</v>
      </c>
      <c r="C847">
        <v>0.57999999999999996</v>
      </c>
      <c r="D847">
        <v>0.54</v>
      </c>
      <c r="E847">
        <v>0.63</v>
      </c>
      <c r="F847">
        <v>0.79</v>
      </c>
      <c r="G847">
        <v>0.56000000000000005</v>
      </c>
      <c r="H847">
        <v>0.91</v>
      </c>
      <c r="I847">
        <v>191</v>
      </c>
      <c r="J847">
        <v>11</v>
      </c>
      <c r="K847">
        <v>0.61</v>
      </c>
      <c r="L847" t="s">
        <v>12</v>
      </c>
    </row>
    <row r="848" spans="1:12" x14ac:dyDescent="0.3">
      <c r="A848">
        <v>16</v>
      </c>
      <c r="B848">
        <v>2021</v>
      </c>
      <c r="C848">
        <v>0.56999999999999995</v>
      </c>
      <c r="D848">
        <v>0.9</v>
      </c>
      <c r="E848">
        <v>0.83</v>
      </c>
      <c r="F848">
        <v>0.85</v>
      </c>
      <c r="G848">
        <v>0.53</v>
      </c>
      <c r="H848">
        <v>0.82</v>
      </c>
      <c r="I848">
        <v>247</v>
      </c>
      <c r="J848">
        <v>15</v>
      </c>
      <c r="K848">
        <v>0.74</v>
      </c>
      <c r="L848" t="s">
        <v>13</v>
      </c>
    </row>
    <row r="849" spans="1:12" x14ac:dyDescent="0.3">
      <c r="A849">
        <v>31</v>
      </c>
      <c r="B849">
        <v>2021</v>
      </c>
      <c r="C849">
        <v>0.71</v>
      </c>
      <c r="D849">
        <v>0.82</v>
      </c>
      <c r="E849">
        <v>0.93</v>
      </c>
      <c r="F849">
        <v>0.66</v>
      </c>
      <c r="G849">
        <v>0.68</v>
      </c>
      <c r="H849">
        <v>0.01</v>
      </c>
      <c r="I849">
        <v>236</v>
      </c>
      <c r="J849">
        <v>17</v>
      </c>
      <c r="K849">
        <v>0.77</v>
      </c>
      <c r="L849" t="s">
        <v>13</v>
      </c>
    </row>
    <row r="850" spans="1:12" x14ac:dyDescent="0.3">
      <c r="A850">
        <v>52</v>
      </c>
      <c r="B850">
        <v>2022</v>
      </c>
      <c r="C850">
        <v>0.81</v>
      </c>
      <c r="D850">
        <v>0.45</v>
      </c>
      <c r="E850">
        <v>0.86</v>
      </c>
      <c r="F850">
        <v>0.7</v>
      </c>
      <c r="G850">
        <v>0.91</v>
      </c>
      <c r="H850">
        <v>0.81</v>
      </c>
      <c r="I850">
        <v>169</v>
      </c>
      <c r="J850">
        <v>2</v>
      </c>
      <c r="K850">
        <v>0.72</v>
      </c>
      <c r="L850" t="s">
        <v>13</v>
      </c>
    </row>
    <row r="851" spans="1:12" x14ac:dyDescent="0.3">
      <c r="A851">
        <v>61</v>
      </c>
      <c r="B851">
        <v>2024</v>
      </c>
      <c r="C851">
        <v>0.95</v>
      </c>
      <c r="D851">
        <v>0.92</v>
      </c>
      <c r="E851">
        <v>0.85</v>
      </c>
      <c r="F851">
        <v>0.67</v>
      </c>
      <c r="G851">
        <v>0.49</v>
      </c>
      <c r="H851">
        <v>0.21</v>
      </c>
      <c r="I851">
        <v>358</v>
      </c>
      <c r="J851">
        <v>6</v>
      </c>
      <c r="K851">
        <v>0.83</v>
      </c>
      <c r="L851" t="s">
        <v>13</v>
      </c>
    </row>
    <row r="852" spans="1:12" x14ac:dyDescent="0.3">
      <c r="A852">
        <v>97</v>
      </c>
      <c r="B852">
        <v>2025</v>
      </c>
      <c r="C852">
        <v>0.91</v>
      </c>
      <c r="D852">
        <v>0.97</v>
      </c>
      <c r="E852">
        <v>0.7</v>
      </c>
      <c r="F852">
        <v>0.8</v>
      </c>
      <c r="G852">
        <v>0.98</v>
      </c>
      <c r="H852">
        <v>0.28000000000000003</v>
      </c>
      <c r="I852">
        <v>343</v>
      </c>
      <c r="J852">
        <v>1</v>
      </c>
      <c r="K852">
        <v>0.87</v>
      </c>
      <c r="L852" t="s">
        <v>13</v>
      </c>
    </row>
    <row r="853" spans="1:12" x14ac:dyDescent="0.3">
      <c r="A853">
        <v>26</v>
      </c>
      <c r="B853">
        <v>2021</v>
      </c>
      <c r="C853">
        <v>0.59</v>
      </c>
      <c r="D853">
        <v>0.6</v>
      </c>
      <c r="E853">
        <v>0.8</v>
      </c>
      <c r="F853">
        <v>0.97</v>
      </c>
      <c r="G853">
        <v>0.89</v>
      </c>
      <c r="H853">
        <v>1</v>
      </c>
      <c r="I853">
        <v>297</v>
      </c>
      <c r="J853">
        <v>17</v>
      </c>
      <c r="K853">
        <v>0.72</v>
      </c>
      <c r="L853" t="s">
        <v>13</v>
      </c>
    </row>
    <row r="854" spans="1:12" x14ac:dyDescent="0.3">
      <c r="A854">
        <v>62</v>
      </c>
      <c r="B854">
        <v>2024</v>
      </c>
      <c r="C854">
        <v>0.68</v>
      </c>
      <c r="D854">
        <v>0.85</v>
      </c>
      <c r="E854">
        <v>0.89</v>
      </c>
      <c r="F854">
        <v>0.73</v>
      </c>
      <c r="G854">
        <v>0.8</v>
      </c>
      <c r="H854">
        <v>0.66</v>
      </c>
      <c r="I854">
        <v>65</v>
      </c>
      <c r="J854">
        <v>17</v>
      </c>
      <c r="K854">
        <v>0.78</v>
      </c>
      <c r="L854" t="s">
        <v>13</v>
      </c>
    </row>
    <row r="855" spans="1:12" x14ac:dyDescent="0.3">
      <c r="A855">
        <v>78</v>
      </c>
      <c r="B855">
        <v>2025</v>
      </c>
      <c r="C855">
        <v>0.73</v>
      </c>
      <c r="D855">
        <v>0.75</v>
      </c>
      <c r="E855">
        <v>0.77</v>
      </c>
      <c r="F855">
        <v>0.86</v>
      </c>
      <c r="G855">
        <v>0.48</v>
      </c>
      <c r="H855">
        <v>0.08</v>
      </c>
      <c r="I855">
        <v>196</v>
      </c>
      <c r="J855">
        <v>14</v>
      </c>
      <c r="K855">
        <v>0.74</v>
      </c>
      <c r="L855" t="s">
        <v>13</v>
      </c>
    </row>
    <row r="856" spans="1:12" x14ac:dyDescent="0.3">
      <c r="A856">
        <v>22</v>
      </c>
      <c r="B856">
        <v>2023</v>
      </c>
      <c r="C856">
        <v>0.62</v>
      </c>
      <c r="D856">
        <v>0.7</v>
      </c>
      <c r="E856">
        <v>0.52</v>
      </c>
      <c r="F856">
        <v>0.68</v>
      </c>
      <c r="G856">
        <v>0.88</v>
      </c>
      <c r="H856">
        <v>0.83</v>
      </c>
      <c r="I856">
        <v>330</v>
      </c>
      <c r="J856">
        <v>0</v>
      </c>
      <c r="K856">
        <v>0.65</v>
      </c>
      <c r="L856" t="s">
        <v>12</v>
      </c>
    </row>
    <row r="857" spans="1:12" x14ac:dyDescent="0.3">
      <c r="A857">
        <v>2</v>
      </c>
      <c r="B857">
        <v>2023</v>
      </c>
      <c r="C857">
        <v>0.71</v>
      </c>
      <c r="D857">
        <v>0.99</v>
      </c>
      <c r="E857">
        <v>0.57999999999999996</v>
      </c>
      <c r="F857">
        <v>0.62</v>
      </c>
      <c r="G857">
        <v>0.85</v>
      </c>
      <c r="H857">
        <v>0.25</v>
      </c>
      <c r="I857">
        <v>399</v>
      </c>
      <c r="J857">
        <v>19</v>
      </c>
      <c r="K857">
        <v>0.75</v>
      </c>
      <c r="L857" t="s">
        <v>13</v>
      </c>
    </row>
    <row r="858" spans="1:12" x14ac:dyDescent="0.3">
      <c r="A858">
        <v>3</v>
      </c>
      <c r="B858">
        <v>2023</v>
      </c>
      <c r="C858">
        <v>0.7</v>
      </c>
      <c r="D858">
        <v>0.7</v>
      </c>
      <c r="E858">
        <v>0.93</v>
      </c>
      <c r="F858">
        <v>0.81</v>
      </c>
      <c r="G858">
        <v>0.48</v>
      </c>
      <c r="H858">
        <v>0.68</v>
      </c>
      <c r="I858">
        <v>460</v>
      </c>
      <c r="J858">
        <v>12</v>
      </c>
      <c r="K858">
        <v>0.74</v>
      </c>
      <c r="L858" t="s">
        <v>13</v>
      </c>
    </row>
    <row r="859" spans="1:12" x14ac:dyDescent="0.3">
      <c r="A859">
        <v>4</v>
      </c>
      <c r="B859">
        <v>2022</v>
      </c>
      <c r="C859">
        <v>0.88</v>
      </c>
      <c r="D859">
        <v>0.42</v>
      </c>
      <c r="E859">
        <v>0.82</v>
      </c>
      <c r="F859">
        <v>0.74</v>
      </c>
      <c r="G859">
        <v>0.5</v>
      </c>
      <c r="H859">
        <v>0.39</v>
      </c>
      <c r="I859">
        <v>60</v>
      </c>
      <c r="J859">
        <v>7</v>
      </c>
      <c r="K859">
        <v>0.69</v>
      </c>
      <c r="L859" t="s">
        <v>12</v>
      </c>
    </row>
    <row r="860" spans="1:12" x14ac:dyDescent="0.3">
      <c r="A860">
        <v>32</v>
      </c>
      <c r="B860">
        <v>2021</v>
      </c>
      <c r="C860">
        <v>0.87</v>
      </c>
      <c r="D860">
        <v>0.42</v>
      </c>
      <c r="E860">
        <v>0.68</v>
      </c>
      <c r="F860">
        <v>0.82</v>
      </c>
      <c r="G860">
        <v>0.4</v>
      </c>
      <c r="H860">
        <v>0.75</v>
      </c>
      <c r="I860">
        <v>241</v>
      </c>
      <c r="J860">
        <v>3</v>
      </c>
      <c r="K860">
        <v>0.66</v>
      </c>
      <c r="L860" t="s">
        <v>12</v>
      </c>
    </row>
    <row r="861" spans="1:12" x14ac:dyDescent="0.3">
      <c r="A861">
        <v>91</v>
      </c>
      <c r="B861">
        <v>2024</v>
      </c>
      <c r="C861">
        <v>0.8</v>
      </c>
      <c r="D861">
        <v>0.95</v>
      </c>
      <c r="E861">
        <v>0.85</v>
      </c>
      <c r="F861">
        <v>0.87</v>
      </c>
      <c r="G861">
        <v>0.57999999999999996</v>
      </c>
      <c r="H861">
        <v>0</v>
      </c>
      <c r="I861">
        <v>332</v>
      </c>
      <c r="J861">
        <v>16</v>
      </c>
      <c r="K861">
        <v>0.84</v>
      </c>
      <c r="L861" t="s">
        <v>13</v>
      </c>
    </row>
    <row r="862" spans="1:12" x14ac:dyDescent="0.3">
      <c r="A862">
        <v>44</v>
      </c>
      <c r="B862">
        <v>2021</v>
      </c>
      <c r="C862">
        <v>0.56999999999999995</v>
      </c>
      <c r="D862">
        <v>0.53</v>
      </c>
      <c r="E862">
        <v>0.91</v>
      </c>
      <c r="F862">
        <v>0.84</v>
      </c>
      <c r="G862">
        <v>0.61</v>
      </c>
      <c r="H862">
        <v>0.94</v>
      </c>
      <c r="I862">
        <v>54</v>
      </c>
      <c r="J862">
        <v>15</v>
      </c>
      <c r="K862">
        <v>0.67</v>
      </c>
      <c r="L862" t="s">
        <v>12</v>
      </c>
    </row>
    <row r="863" spans="1:12" x14ac:dyDescent="0.3">
      <c r="A863">
        <v>18</v>
      </c>
      <c r="B863">
        <v>2021</v>
      </c>
      <c r="C863">
        <v>0.38</v>
      </c>
      <c r="D863">
        <v>0.99</v>
      </c>
      <c r="E863">
        <v>0.6</v>
      </c>
      <c r="F863">
        <v>0.6</v>
      </c>
      <c r="G863">
        <v>1</v>
      </c>
      <c r="H863">
        <v>0.28000000000000003</v>
      </c>
      <c r="I863">
        <v>217</v>
      </c>
      <c r="J863">
        <v>18</v>
      </c>
      <c r="K863">
        <v>0.67</v>
      </c>
      <c r="L863" t="s">
        <v>12</v>
      </c>
    </row>
    <row r="864" spans="1:12" x14ac:dyDescent="0.3">
      <c r="A864">
        <v>82</v>
      </c>
      <c r="B864">
        <v>2022</v>
      </c>
      <c r="C864">
        <v>0.71</v>
      </c>
      <c r="D864">
        <v>0.94</v>
      </c>
      <c r="E864">
        <v>0.66</v>
      </c>
      <c r="F864">
        <v>0.87</v>
      </c>
      <c r="G864">
        <v>0.43</v>
      </c>
      <c r="H864">
        <v>0.62</v>
      </c>
      <c r="I864">
        <v>87</v>
      </c>
      <c r="J864">
        <v>8</v>
      </c>
      <c r="K864">
        <v>0.75</v>
      </c>
      <c r="L864" t="s">
        <v>13</v>
      </c>
    </row>
    <row r="865" spans="1:12" x14ac:dyDescent="0.3">
      <c r="A865">
        <v>7</v>
      </c>
      <c r="B865">
        <v>2023</v>
      </c>
      <c r="C865">
        <v>0.51</v>
      </c>
      <c r="D865">
        <v>0.93</v>
      </c>
      <c r="E865">
        <v>0.92</v>
      </c>
      <c r="F865">
        <v>0.79</v>
      </c>
      <c r="G865">
        <v>0.33</v>
      </c>
      <c r="H865">
        <v>0.64</v>
      </c>
      <c r="I865">
        <v>125</v>
      </c>
      <c r="J865">
        <v>16</v>
      </c>
      <c r="K865">
        <v>0.72</v>
      </c>
      <c r="L865" t="s">
        <v>13</v>
      </c>
    </row>
    <row r="866" spans="1:12" x14ac:dyDescent="0.3">
      <c r="A866">
        <v>64</v>
      </c>
      <c r="B866">
        <v>2023</v>
      </c>
      <c r="C866">
        <v>0.61</v>
      </c>
      <c r="D866">
        <v>0.92</v>
      </c>
      <c r="E866">
        <v>0.78</v>
      </c>
      <c r="F866">
        <v>0.66</v>
      </c>
      <c r="G866">
        <v>0.78</v>
      </c>
      <c r="H866">
        <v>0.51</v>
      </c>
      <c r="I866">
        <v>99</v>
      </c>
      <c r="J866">
        <v>11</v>
      </c>
      <c r="K866">
        <v>0.75</v>
      </c>
      <c r="L866" t="s">
        <v>13</v>
      </c>
    </row>
    <row r="867" spans="1:12" x14ac:dyDescent="0.3">
      <c r="A867">
        <v>9</v>
      </c>
      <c r="B867">
        <v>2021</v>
      </c>
      <c r="C867">
        <v>0.57999999999999996</v>
      </c>
      <c r="D867">
        <v>0.47</v>
      </c>
      <c r="E867">
        <v>0.79</v>
      </c>
      <c r="F867">
        <v>0.62</v>
      </c>
      <c r="G867">
        <v>0.67</v>
      </c>
      <c r="H867">
        <v>0.89</v>
      </c>
      <c r="I867">
        <v>246</v>
      </c>
      <c r="J867">
        <v>13</v>
      </c>
      <c r="K867">
        <v>0.61</v>
      </c>
      <c r="L867" t="s">
        <v>12</v>
      </c>
    </row>
    <row r="868" spans="1:12" x14ac:dyDescent="0.3">
      <c r="A868">
        <v>67</v>
      </c>
      <c r="B868">
        <v>2022</v>
      </c>
      <c r="C868">
        <v>0.74</v>
      </c>
      <c r="D868">
        <v>0.43</v>
      </c>
      <c r="E868">
        <v>0.51</v>
      </c>
      <c r="F868">
        <v>0.78</v>
      </c>
      <c r="G868">
        <v>0.53</v>
      </c>
      <c r="H868">
        <v>0.44</v>
      </c>
      <c r="I868">
        <v>177</v>
      </c>
      <c r="J868">
        <v>4</v>
      </c>
      <c r="K868">
        <v>0.6</v>
      </c>
      <c r="L868" t="s">
        <v>12</v>
      </c>
    </row>
    <row r="869" spans="1:12" x14ac:dyDescent="0.3">
      <c r="A869">
        <v>61</v>
      </c>
      <c r="B869">
        <v>2021</v>
      </c>
      <c r="C869">
        <v>0.66</v>
      </c>
      <c r="D869">
        <v>0.52</v>
      </c>
      <c r="E869">
        <v>0.66</v>
      </c>
      <c r="F869">
        <v>0.84</v>
      </c>
      <c r="G869">
        <v>0.35</v>
      </c>
      <c r="H869">
        <v>0.15</v>
      </c>
      <c r="I869">
        <v>391</v>
      </c>
      <c r="J869">
        <v>10</v>
      </c>
      <c r="K869">
        <v>0.62</v>
      </c>
      <c r="L869" t="s">
        <v>12</v>
      </c>
    </row>
    <row r="870" spans="1:12" x14ac:dyDescent="0.3">
      <c r="A870">
        <v>77</v>
      </c>
      <c r="B870">
        <v>2023</v>
      </c>
      <c r="C870">
        <v>0.87</v>
      </c>
      <c r="D870">
        <v>0.51</v>
      </c>
      <c r="E870">
        <v>0.56000000000000005</v>
      </c>
      <c r="F870">
        <v>0.89</v>
      </c>
      <c r="G870">
        <v>0.41</v>
      </c>
      <c r="H870">
        <v>0.85</v>
      </c>
      <c r="I870">
        <v>265</v>
      </c>
      <c r="J870">
        <v>4</v>
      </c>
      <c r="K870">
        <v>0.68</v>
      </c>
      <c r="L870" t="s">
        <v>12</v>
      </c>
    </row>
    <row r="871" spans="1:12" x14ac:dyDescent="0.3">
      <c r="A871">
        <v>69</v>
      </c>
      <c r="B871">
        <v>2021</v>
      </c>
      <c r="C871">
        <v>0.52</v>
      </c>
      <c r="D871">
        <v>0.8</v>
      </c>
      <c r="E871">
        <v>0.52</v>
      </c>
      <c r="F871">
        <v>0.89</v>
      </c>
      <c r="G871">
        <v>0.89</v>
      </c>
      <c r="H871">
        <v>0.42</v>
      </c>
      <c r="I871">
        <v>382</v>
      </c>
      <c r="J871">
        <v>12</v>
      </c>
      <c r="K871">
        <v>0.68</v>
      </c>
      <c r="L871" t="s">
        <v>12</v>
      </c>
    </row>
    <row r="872" spans="1:12" x14ac:dyDescent="0.3">
      <c r="A872">
        <v>32</v>
      </c>
      <c r="B872">
        <v>2025</v>
      </c>
      <c r="C872">
        <v>0.53</v>
      </c>
      <c r="D872">
        <v>0.98</v>
      </c>
      <c r="E872">
        <v>0.99</v>
      </c>
      <c r="F872">
        <v>0.81</v>
      </c>
      <c r="G872">
        <v>0.95</v>
      </c>
      <c r="H872">
        <v>0.52</v>
      </c>
      <c r="I872">
        <v>310</v>
      </c>
      <c r="J872">
        <v>12</v>
      </c>
      <c r="K872">
        <v>0.82</v>
      </c>
      <c r="L872" t="s">
        <v>13</v>
      </c>
    </row>
    <row r="873" spans="1:12" x14ac:dyDescent="0.3">
      <c r="A873">
        <v>1</v>
      </c>
      <c r="B873">
        <v>2023</v>
      </c>
      <c r="C873">
        <v>0.42</v>
      </c>
      <c r="D873">
        <v>0.75</v>
      </c>
      <c r="E873">
        <v>0.78</v>
      </c>
      <c r="F873">
        <v>0.9</v>
      </c>
      <c r="G873">
        <v>0.65</v>
      </c>
      <c r="H873">
        <v>0.27</v>
      </c>
      <c r="I873">
        <v>476</v>
      </c>
      <c r="J873">
        <v>16</v>
      </c>
      <c r="K873">
        <v>0.67</v>
      </c>
      <c r="L873" t="s">
        <v>12</v>
      </c>
    </row>
    <row r="874" spans="1:12" x14ac:dyDescent="0.3">
      <c r="A874">
        <v>60</v>
      </c>
      <c r="B874">
        <v>2021</v>
      </c>
      <c r="C874">
        <v>0.7</v>
      </c>
      <c r="D874">
        <v>0.84</v>
      </c>
      <c r="E874">
        <v>0.56999999999999995</v>
      </c>
      <c r="F874">
        <v>0.95</v>
      </c>
      <c r="G874">
        <v>0.71</v>
      </c>
      <c r="H874">
        <v>0.13</v>
      </c>
      <c r="I874">
        <v>284</v>
      </c>
      <c r="J874">
        <v>18</v>
      </c>
      <c r="K874">
        <v>0.75</v>
      </c>
      <c r="L874" t="s">
        <v>13</v>
      </c>
    </row>
    <row r="875" spans="1:12" x14ac:dyDescent="0.3">
      <c r="A875">
        <v>90</v>
      </c>
      <c r="B875">
        <v>2024</v>
      </c>
      <c r="C875">
        <v>0.49</v>
      </c>
      <c r="D875">
        <v>0.83</v>
      </c>
      <c r="E875">
        <v>0.55000000000000004</v>
      </c>
      <c r="F875">
        <v>0.61</v>
      </c>
      <c r="G875">
        <v>0.69</v>
      </c>
      <c r="H875">
        <v>0.69</v>
      </c>
      <c r="I875">
        <v>388</v>
      </c>
      <c r="J875">
        <v>14</v>
      </c>
      <c r="K875">
        <v>0.62</v>
      </c>
      <c r="L875" t="s">
        <v>12</v>
      </c>
    </row>
    <row r="876" spans="1:12" x14ac:dyDescent="0.3">
      <c r="A876">
        <v>54</v>
      </c>
      <c r="B876">
        <v>2024</v>
      </c>
      <c r="C876">
        <v>0.64</v>
      </c>
      <c r="D876">
        <v>0.41</v>
      </c>
      <c r="E876">
        <v>0.55000000000000004</v>
      </c>
      <c r="F876">
        <v>0.73</v>
      </c>
      <c r="G876">
        <v>0.61</v>
      </c>
      <c r="H876">
        <v>0.28000000000000003</v>
      </c>
      <c r="I876">
        <v>379</v>
      </c>
      <c r="J876">
        <v>15</v>
      </c>
      <c r="K876">
        <v>0.56999999999999995</v>
      </c>
      <c r="L876" t="s">
        <v>12</v>
      </c>
    </row>
    <row r="877" spans="1:12" x14ac:dyDescent="0.3">
      <c r="A877">
        <v>95</v>
      </c>
      <c r="B877">
        <v>2025</v>
      </c>
      <c r="C877">
        <v>0.4</v>
      </c>
      <c r="D877">
        <v>0.82</v>
      </c>
      <c r="E877">
        <v>0.56999999999999995</v>
      </c>
      <c r="F877">
        <v>0.86</v>
      </c>
      <c r="G877">
        <v>0.34</v>
      </c>
      <c r="H877">
        <v>0.41</v>
      </c>
      <c r="I877">
        <v>306</v>
      </c>
      <c r="J877">
        <v>7</v>
      </c>
      <c r="K877">
        <v>0.6</v>
      </c>
      <c r="L877" t="s">
        <v>12</v>
      </c>
    </row>
    <row r="878" spans="1:12" x14ac:dyDescent="0.3">
      <c r="A878">
        <v>32</v>
      </c>
      <c r="B878">
        <v>2025</v>
      </c>
      <c r="C878">
        <v>0.95</v>
      </c>
      <c r="D878">
        <v>0.43</v>
      </c>
      <c r="E878">
        <v>0.71</v>
      </c>
      <c r="F878">
        <v>0.88</v>
      </c>
      <c r="G878">
        <v>0.62</v>
      </c>
      <c r="H878">
        <v>0.81</v>
      </c>
      <c r="I878">
        <v>135</v>
      </c>
      <c r="J878">
        <v>3</v>
      </c>
      <c r="K878">
        <v>0.73</v>
      </c>
      <c r="L878" t="s">
        <v>13</v>
      </c>
    </row>
    <row r="879" spans="1:12" x14ac:dyDescent="0.3">
      <c r="A879">
        <v>75</v>
      </c>
      <c r="B879">
        <v>2021</v>
      </c>
      <c r="C879">
        <v>0.87</v>
      </c>
      <c r="D879">
        <v>0.45</v>
      </c>
      <c r="E879">
        <v>0.82</v>
      </c>
      <c r="F879">
        <v>0.97</v>
      </c>
      <c r="G879">
        <v>0.45</v>
      </c>
      <c r="H879">
        <v>0.67</v>
      </c>
      <c r="I879">
        <v>319</v>
      </c>
      <c r="J879">
        <v>15</v>
      </c>
      <c r="K879">
        <v>0.73</v>
      </c>
      <c r="L879" t="s">
        <v>13</v>
      </c>
    </row>
    <row r="880" spans="1:12" x14ac:dyDescent="0.3">
      <c r="A880">
        <v>44</v>
      </c>
      <c r="B880">
        <v>2025</v>
      </c>
      <c r="C880">
        <v>0.39</v>
      </c>
      <c r="D880">
        <v>0.88</v>
      </c>
      <c r="E880">
        <v>0.99</v>
      </c>
      <c r="F880">
        <v>0.75</v>
      </c>
      <c r="G880">
        <v>0.61</v>
      </c>
      <c r="H880">
        <v>0.05</v>
      </c>
      <c r="I880">
        <v>238</v>
      </c>
      <c r="J880">
        <v>1</v>
      </c>
      <c r="K880">
        <v>0.71</v>
      </c>
      <c r="L880" t="s">
        <v>13</v>
      </c>
    </row>
    <row r="881" spans="1:12" x14ac:dyDescent="0.3">
      <c r="A881">
        <v>42</v>
      </c>
      <c r="B881">
        <v>2021</v>
      </c>
      <c r="C881">
        <v>0.39</v>
      </c>
      <c r="D881">
        <v>0.67</v>
      </c>
      <c r="E881">
        <v>0.91</v>
      </c>
      <c r="F881">
        <v>0.96</v>
      </c>
      <c r="G881">
        <v>0.66</v>
      </c>
      <c r="H881">
        <v>0.56999999999999995</v>
      </c>
      <c r="I881">
        <v>223</v>
      </c>
      <c r="J881">
        <v>17</v>
      </c>
      <c r="K881">
        <v>0.68</v>
      </c>
      <c r="L881" t="s">
        <v>12</v>
      </c>
    </row>
    <row r="882" spans="1:12" x14ac:dyDescent="0.3">
      <c r="A882">
        <v>70</v>
      </c>
      <c r="B882">
        <v>2022</v>
      </c>
      <c r="C882">
        <v>0.44</v>
      </c>
      <c r="D882">
        <v>0.77</v>
      </c>
      <c r="E882">
        <v>0.54</v>
      </c>
      <c r="F882">
        <v>0.76</v>
      </c>
      <c r="G882">
        <v>0.8</v>
      </c>
      <c r="H882">
        <v>0.66</v>
      </c>
      <c r="I882">
        <v>66</v>
      </c>
      <c r="J882">
        <v>17</v>
      </c>
      <c r="K882">
        <v>0.63</v>
      </c>
      <c r="L882" t="s">
        <v>12</v>
      </c>
    </row>
    <row r="883" spans="1:12" x14ac:dyDescent="0.3">
      <c r="A883">
        <v>32</v>
      </c>
      <c r="B883">
        <v>2023</v>
      </c>
      <c r="C883">
        <v>0.37</v>
      </c>
      <c r="D883">
        <v>0.83</v>
      </c>
      <c r="E883">
        <v>0.75</v>
      </c>
      <c r="F883">
        <v>0.88</v>
      </c>
      <c r="G883">
        <v>0.47</v>
      </c>
      <c r="H883">
        <v>0.32</v>
      </c>
      <c r="I883">
        <v>299</v>
      </c>
      <c r="J883">
        <v>2</v>
      </c>
      <c r="K883">
        <v>0.65</v>
      </c>
      <c r="L883" t="s">
        <v>12</v>
      </c>
    </row>
    <row r="884" spans="1:12" x14ac:dyDescent="0.3">
      <c r="A884">
        <v>74</v>
      </c>
      <c r="B884">
        <v>2023</v>
      </c>
      <c r="C884">
        <v>0.74</v>
      </c>
      <c r="D884">
        <v>0.85</v>
      </c>
      <c r="E884">
        <v>0.72</v>
      </c>
      <c r="F884">
        <v>0.97</v>
      </c>
      <c r="G884">
        <v>0.74</v>
      </c>
      <c r="H884">
        <v>0.28999999999999998</v>
      </c>
      <c r="I884">
        <v>221</v>
      </c>
      <c r="J884">
        <v>14</v>
      </c>
      <c r="K884">
        <v>0.8</v>
      </c>
      <c r="L884" t="s">
        <v>13</v>
      </c>
    </row>
    <row r="885" spans="1:12" x14ac:dyDescent="0.3">
      <c r="A885">
        <v>40</v>
      </c>
      <c r="B885">
        <v>2023</v>
      </c>
      <c r="C885">
        <v>0.9</v>
      </c>
      <c r="D885">
        <v>0.7</v>
      </c>
      <c r="E885">
        <v>0.84</v>
      </c>
      <c r="F885">
        <v>0.76</v>
      </c>
      <c r="G885">
        <v>0.48</v>
      </c>
      <c r="H885">
        <v>0.95</v>
      </c>
      <c r="I885">
        <v>283</v>
      </c>
      <c r="J885">
        <v>2</v>
      </c>
      <c r="K885">
        <v>0.78</v>
      </c>
      <c r="L885" t="s">
        <v>13</v>
      </c>
    </row>
    <row r="886" spans="1:12" x14ac:dyDescent="0.3">
      <c r="A886">
        <v>91</v>
      </c>
      <c r="B886">
        <v>2024</v>
      </c>
      <c r="C886">
        <v>0.44</v>
      </c>
      <c r="D886">
        <v>0.49</v>
      </c>
      <c r="E886">
        <v>0.93</v>
      </c>
      <c r="F886">
        <v>0.87</v>
      </c>
      <c r="G886">
        <v>0.43</v>
      </c>
      <c r="H886">
        <v>0.27</v>
      </c>
      <c r="I886">
        <v>73</v>
      </c>
      <c r="J886">
        <v>4</v>
      </c>
      <c r="K886">
        <v>0.61</v>
      </c>
      <c r="L886" t="s">
        <v>12</v>
      </c>
    </row>
    <row r="887" spans="1:12" x14ac:dyDescent="0.3">
      <c r="A887">
        <v>41</v>
      </c>
      <c r="B887">
        <v>2022</v>
      </c>
      <c r="C887">
        <v>0.52</v>
      </c>
      <c r="D887">
        <v>0.47</v>
      </c>
      <c r="E887">
        <v>0.55000000000000004</v>
      </c>
      <c r="F887">
        <v>0.89</v>
      </c>
      <c r="G887">
        <v>0.9</v>
      </c>
      <c r="H887">
        <v>0.26</v>
      </c>
      <c r="I887">
        <v>404</v>
      </c>
      <c r="J887">
        <v>6</v>
      </c>
      <c r="K887">
        <v>0.61</v>
      </c>
      <c r="L887" t="s">
        <v>12</v>
      </c>
    </row>
    <row r="888" spans="1:12" x14ac:dyDescent="0.3">
      <c r="A888">
        <v>60</v>
      </c>
      <c r="B888">
        <v>2022</v>
      </c>
      <c r="C888">
        <v>0.6</v>
      </c>
      <c r="D888">
        <v>0.54</v>
      </c>
      <c r="E888">
        <v>0.76</v>
      </c>
      <c r="F888">
        <v>0.7</v>
      </c>
      <c r="G888">
        <v>0.96</v>
      </c>
      <c r="H888">
        <v>0.91</v>
      </c>
      <c r="I888">
        <v>156</v>
      </c>
      <c r="J888">
        <v>17</v>
      </c>
      <c r="K888">
        <v>0.67</v>
      </c>
      <c r="L888" t="s">
        <v>12</v>
      </c>
    </row>
    <row r="889" spans="1:12" x14ac:dyDescent="0.3">
      <c r="A889">
        <v>17</v>
      </c>
      <c r="B889">
        <v>2022</v>
      </c>
      <c r="C889">
        <v>0.59</v>
      </c>
      <c r="D889">
        <v>0.84</v>
      </c>
      <c r="E889">
        <v>0.73</v>
      </c>
      <c r="F889">
        <v>0.94</v>
      </c>
      <c r="G889">
        <v>0.96</v>
      </c>
      <c r="H889">
        <v>0.34</v>
      </c>
      <c r="I889">
        <v>170</v>
      </c>
      <c r="J889">
        <v>3</v>
      </c>
      <c r="K889">
        <v>0.77</v>
      </c>
      <c r="L889" t="s">
        <v>13</v>
      </c>
    </row>
    <row r="890" spans="1:12" x14ac:dyDescent="0.3">
      <c r="A890">
        <v>25</v>
      </c>
      <c r="B890">
        <v>2024</v>
      </c>
      <c r="C890">
        <v>0.59</v>
      </c>
      <c r="D890">
        <v>0.52</v>
      </c>
      <c r="E890">
        <v>0.94</v>
      </c>
      <c r="F890">
        <v>0.66</v>
      </c>
      <c r="G890">
        <v>0.62</v>
      </c>
      <c r="H890">
        <v>0.61</v>
      </c>
      <c r="I890">
        <v>111</v>
      </c>
      <c r="J890">
        <v>16</v>
      </c>
      <c r="K890">
        <v>0.66</v>
      </c>
      <c r="L890" t="s">
        <v>12</v>
      </c>
    </row>
    <row r="891" spans="1:12" x14ac:dyDescent="0.3">
      <c r="A891">
        <v>78</v>
      </c>
      <c r="B891">
        <v>2021</v>
      </c>
      <c r="C891">
        <v>0.7</v>
      </c>
      <c r="D891">
        <v>0.66</v>
      </c>
      <c r="E891">
        <v>0.53</v>
      </c>
      <c r="F891">
        <v>0.79</v>
      </c>
      <c r="G891">
        <v>0.87</v>
      </c>
      <c r="H891">
        <v>0.61</v>
      </c>
      <c r="I891">
        <v>356</v>
      </c>
      <c r="J891">
        <v>15</v>
      </c>
      <c r="K891">
        <v>0.69</v>
      </c>
      <c r="L891" t="s">
        <v>12</v>
      </c>
    </row>
    <row r="892" spans="1:12" x14ac:dyDescent="0.3">
      <c r="A892">
        <v>18</v>
      </c>
      <c r="B892">
        <v>2025</v>
      </c>
      <c r="C892">
        <v>0.31</v>
      </c>
      <c r="D892">
        <v>0.57999999999999996</v>
      </c>
      <c r="E892">
        <v>0.85</v>
      </c>
      <c r="F892">
        <v>0.92</v>
      </c>
      <c r="G892">
        <v>0.51</v>
      </c>
      <c r="H892">
        <v>0.5</v>
      </c>
      <c r="I892">
        <v>243</v>
      </c>
      <c r="J892">
        <v>9</v>
      </c>
      <c r="K892">
        <v>0.6</v>
      </c>
      <c r="L892" t="s">
        <v>12</v>
      </c>
    </row>
    <row r="893" spans="1:12" x14ac:dyDescent="0.3">
      <c r="A893">
        <v>55</v>
      </c>
      <c r="B893">
        <v>2025</v>
      </c>
      <c r="C893">
        <v>0.76</v>
      </c>
      <c r="D893">
        <v>0.93</v>
      </c>
      <c r="E893">
        <v>0.7</v>
      </c>
      <c r="F893">
        <v>0.72</v>
      </c>
      <c r="G893">
        <v>0.31</v>
      </c>
      <c r="H893">
        <v>0.56999999999999995</v>
      </c>
      <c r="I893">
        <v>234</v>
      </c>
      <c r="J893">
        <v>5</v>
      </c>
      <c r="K893">
        <v>0.74</v>
      </c>
      <c r="L893" t="s">
        <v>13</v>
      </c>
    </row>
    <row r="894" spans="1:12" x14ac:dyDescent="0.3">
      <c r="A894">
        <v>92</v>
      </c>
      <c r="B894">
        <v>2024</v>
      </c>
      <c r="C894">
        <v>0.44</v>
      </c>
      <c r="D894">
        <v>0.61</v>
      </c>
      <c r="E894">
        <v>0.68</v>
      </c>
      <c r="F894">
        <v>0.6</v>
      </c>
      <c r="G894">
        <v>0.89</v>
      </c>
      <c r="H894">
        <v>0.03</v>
      </c>
      <c r="I894">
        <v>90</v>
      </c>
      <c r="J894">
        <v>7</v>
      </c>
      <c r="K894">
        <v>0.6</v>
      </c>
      <c r="L894" t="s">
        <v>12</v>
      </c>
    </row>
    <row r="895" spans="1:12" x14ac:dyDescent="0.3">
      <c r="A895">
        <v>3</v>
      </c>
      <c r="B895">
        <v>2021</v>
      </c>
      <c r="C895">
        <v>0.67</v>
      </c>
      <c r="D895">
        <v>0.73</v>
      </c>
      <c r="E895">
        <v>0.83</v>
      </c>
      <c r="F895">
        <v>0.75</v>
      </c>
      <c r="G895">
        <v>0.75</v>
      </c>
      <c r="H895">
        <v>0.04</v>
      </c>
      <c r="I895">
        <v>215</v>
      </c>
      <c r="J895">
        <v>10</v>
      </c>
      <c r="K895">
        <v>0.74</v>
      </c>
      <c r="L895" t="s">
        <v>13</v>
      </c>
    </row>
    <row r="896" spans="1:12" x14ac:dyDescent="0.3">
      <c r="A896">
        <v>90</v>
      </c>
      <c r="B896">
        <v>2021</v>
      </c>
      <c r="C896">
        <v>0.66</v>
      </c>
      <c r="D896">
        <v>0.74</v>
      </c>
      <c r="E896">
        <v>0.75</v>
      </c>
      <c r="F896">
        <v>0.89</v>
      </c>
      <c r="G896">
        <v>0.56999999999999995</v>
      </c>
      <c r="H896">
        <v>0.94</v>
      </c>
      <c r="I896">
        <v>150</v>
      </c>
      <c r="J896">
        <v>15</v>
      </c>
      <c r="K896">
        <v>0.72</v>
      </c>
      <c r="L896" t="s">
        <v>13</v>
      </c>
    </row>
    <row r="897" spans="1:12" x14ac:dyDescent="0.3">
      <c r="A897">
        <v>62</v>
      </c>
      <c r="B897">
        <v>2021</v>
      </c>
      <c r="C897">
        <v>0.65</v>
      </c>
      <c r="D897">
        <v>0.88</v>
      </c>
      <c r="E897">
        <v>0.72</v>
      </c>
      <c r="F897">
        <v>0.8</v>
      </c>
      <c r="G897">
        <v>0.89</v>
      </c>
      <c r="H897">
        <v>0.71</v>
      </c>
      <c r="I897">
        <v>442</v>
      </c>
      <c r="J897">
        <v>11</v>
      </c>
      <c r="K897">
        <v>0.77</v>
      </c>
      <c r="L897" t="s">
        <v>13</v>
      </c>
    </row>
    <row r="898" spans="1:12" x14ac:dyDescent="0.3">
      <c r="A898">
        <v>15</v>
      </c>
      <c r="B898">
        <v>2025</v>
      </c>
      <c r="C898">
        <v>0.92</v>
      </c>
      <c r="D898">
        <v>0.75</v>
      </c>
      <c r="E898">
        <v>0.61</v>
      </c>
      <c r="F898">
        <v>0.71</v>
      </c>
      <c r="G898">
        <v>0.86</v>
      </c>
      <c r="H898">
        <v>0.04</v>
      </c>
      <c r="I898">
        <v>292</v>
      </c>
      <c r="J898">
        <v>15</v>
      </c>
      <c r="K898">
        <v>0.78</v>
      </c>
      <c r="L898" t="s">
        <v>13</v>
      </c>
    </row>
    <row r="899" spans="1:12" x14ac:dyDescent="0.3">
      <c r="A899">
        <v>25</v>
      </c>
      <c r="B899">
        <v>2024</v>
      </c>
      <c r="C899">
        <v>0.64</v>
      </c>
      <c r="D899">
        <v>0.93</v>
      </c>
      <c r="E899">
        <v>0.71</v>
      </c>
      <c r="F899">
        <v>0.81</v>
      </c>
      <c r="G899">
        <v>0.33</v>
      </c>
      <c r="H899">
        <v>0</v>
      </c>
      <c r="I899">
        <v>145</v>
      </c>
      <c r="J899">
        <v>8</v>
      </c>
      <c r="K899">
        <v>0.72</v>
      </c>
      <c r="L899" t="s">
        <v>13</v>
      </c>
    </row>
    <row r="900" spans="1:12" x14ac:dyDescent="0.3">
      <c r="A900">
        <v>29</v>
      </c>
      <c r="B900">
        <v>2022</v>
      </c>
      <c r="C900">
        <v>0.38</v>
      </c>
      <c r="D900">
        <v>0.47</v>
      </c>
      <c r="E900">
        <v>0.71</v>
      </c>
      <c r="F900">
        <v>0.86</v>
      </c>
      <c r="G900">
        <v>0.8</v>
      </c>
      <c r="H900">
        <v>0.18</v>
      </c>
      <c r="I900">
        <v>453</v>
      </c>
      <c r="J900">
        <v>18</v>
      </c>
      <c r="K900">
        <v>0.57999999999999996</v>
      </c>
      <c r="L900" t="s">
        <v>12</v>
      </c>
    </row>
    <row r="901" spans="1:12" x14ac:dyDescent="0.3">
      <c r="A901">
        <v>81</v>
      </c>
      <c r="B901">
        <v>2024</v>
      </c>
      <c r="C901">
        <v>0.74</v>
      </c>
      <c r="D901">
        <v>0.46</v>
      </c>
      <c r="E901">
        <v>0.81</v>
      </c>
      <c r="F901">
        <v>0.64</v>
      </c>
      <c r="G901">
        <v>0.37</v>
      </c>
      <c r="H901">
        <v>0.73</v>
      </c>
      <c r="I901">
        <v>158</v>
      </c>
      <c r="J901">
        <v>14</v>
      </c>
      <c r="K901">
        <v>0.63</v>
      </c>
      <c r="L901" t="s">
        <v>12</v>
      </c>
    </row>
    <row r="902" spans="1:12" x14ac:dyDescent="0.3">
      <c r="A902">
        <v>6</v>
      </c>
      <c r="B902">
        <v>2021</v>
      </c>
      <c r="C902">
        <v>0.39</v>
      </c>
      <c r="D902">
        <v>0.71</v>
      </c>
      <c r="E902">
        <v>0.79</v>
      </c>
      <c r="F902">
        <v>0.74</v>
      </c>
      <c r="G902">
        <v>0.63</v>
      </c>
      <c r="H902">
        <v>0.36</v>
      </c>
      <c r="I902">
        <v>315</v>
      </c>
      <c r="J902">
        <v>8</v>
      </c>
      <c r="K902">
        <v>0.63</v>
      </c>
      <c r="L902" t="s">
        <v>12</v>
      </c>
    </row>
    <row r="903" spans="1:12" x14ac:dyDescent="0.3">
      <c r="A903">
        <v>41</v>
      </c>
      <c r="B903">
        <v>2021</v>
      </c>
      <c r="C903">
        <v>0.4</v>
      </c>
      <c r="D903">
        <v>0.94</v>
      </c>
      <c r="E903">
        <v>0.98</v>
      </c>
      <c r="F903">
        <v>1</v>
      </c>
      <c r="G903">
        <v>0.85</v>
      </c>
      <c r="H903">
        <v>0.66</v>
      </c>
      <c r="I903">
        <v>307</v>
      </c>
      <c r="J903">
        <v>3</v>
      </c>
      <c r="K903">
        <v>0.79</v>
      </c>
      <c r="L903" t="s">
        <v>13</v>
      </c>
    </row>
    <row r="904" spans="1:12" x14ac:dyDescent="0.3">
      <c r="A904">
        <v>19</v>
      </c>
      <c r="B904">
        <v>2022</v>
      </c>
      <c r="C904">
        <v>0.72</v>
      </c>
      <c r="D904">
        <v>0.43</v>
      </c>
      <c r="E904">
        <v>0.95</v>
      </c>
      <c r="F904">
        <v>0.81</v>
      </c>
      <c r="G904">
        <v>0.77</v>
      </c>
      <c r="H904">
        <v>0.83</v>
      </c>
      <c r="I904">
        <v>220</v>
      </c>
      <c r="J904">
        <v>6</v>
      </c>
      <c r="K904">
        <v>0.71</v>
      </c>
      <c r="L904" t="s">
        <v>13</v>
      </c>
    </row>
    <row r="905" spans="1:12" x14ac:dyDescent="0.3">
      <c r="A905">
        <v>100</v>
      </c>
      <c r="B905">
        <v>2025</v>
      </c>
      <c r="C905">
        <v>0.48</v>
      </c>
      <c r="D905">
        <v>0.99</v>
      </c>
      <c r="E905">
        <v>0.95</v>
      </c>
      <c r="F905">
        <v>0.65</v>
      </c>
      <c r="G905">
        <v>0.32</v>
      </c>
      <c r="H905">
        <v>0.69</v>
      </c>
      <c r="I905">
        <v>78</v>
      </c>
      <c r="J905">
        <v>18</v>
      </c>
      <c r="K905">
        <v>0.71</v>
      </c>
      <c r="L905" t="s">
        <v>13</v>
      </c>
    </row>
    <row r="906" spans="1:12" x14ac:dyDescent="0.3">
      <c r="A906">
        <v>26</v>
      </c>
      <c r="B906">
        <v>2025</v>
      </c>
      <c r="C906">
        <v>0.99</v>
      </c>
      <c r="D906">
        <v>0.78</v>
      </c>
      <c r="E906">
        <v>0.57999999999999996</v>
      </c>
      <c r="F906">
        <v>0.96</v>
      </c>
      <c r="G906">
        <v>0.66</v>
      </c>
      <c r="H906">
        <v>0.15</v>
      </c>
      <c r="I906">
        <v>426</v>
      </c>
      <c r="J906">
        <v>8</v>
      </c>
      <c r="K906">
        <v>0.82</v>
      </c>
      <c r="L906" t="s">
        <v>13</v>
      </c>
    </row>
    <row r="907" spans="1:12" x14ac:dyDescent="0.3">
      <c r="A907">
        <v>41</v>
      </c>
      <c r="B907">
        <v>2022</v>
      </c>
      <c r="C907">
        <v>0.49</v>
      </c>
      <c r="D907">
        <v>0.88</v>
      </c>
      <c r="E907">
        <v>0.81</v>
      </c>
      <c r="F907">
        <v>0.9</v>
      </c>
      <c r="G907">
        <v>0.61</v>
      </c>
      <c r="H907">
        <v>0.31</v>
      </c>
      <c r="I907">
        <v>369</v>
      </c>
      <c r="J907">
        <v>9</v>
      </c>
      <c r="K907">
        <v>0.73</v>
      </c>
      <c r="L907" t="s">
        <v>13</v>
      </c>
    </row>
    <row r="908" spans="1:12" x14ac:dyDescent="0.3">
      <c r="A908">
        <v>13</v>
      </c>
      <c r="B908">
        <v>2025</v>
      </c>
      <c r="C908">
        <v>0.62</v>
      </c>
      <c r="D908">
        <v>0.88</v>
      </c>
      <c r="E908">
        <v>0.92</v>
      </c>
      <c r="F908">
        <v>0.86</v>
      </c>
      <c r="G908">
        <v>0.46</v>
      </c>
      <c r="H908">
        <v>0.27</v>
      </c>
      <c r="I908">
        <v>51</v>
      </c>
      <c r="J908">
        <v>17</v>
      </c>
      <c r="K908">
        <v>0.77</v>
      </c>
      <c r="L908" t="s">
        <v>13</v>
      </c>
    </row>
    <row r="909" spans="1:12" x14ac:dyDescent="0.3">
      <c r="A909">
        <v>41</v>
      </c>
      <c r="B909">
        <v>2022</v>
      </c>
      <c r="C909">
        <v>0.49</v>
      </c>
      <c r="D909">
        <v>0.53</v>
      </c>
      <c r="E909">
        <v>0.73</v>
      </c>
      <c r="F909">
        <v>0.96</v>
      </c>
      <c r="G909">
        <v>0.37</v>
      </c>
      <c r="H909">
        <v>0.72</v>
      </c>
      <c r="I909">
        <v>411</v>
      </c>
      <c r="J909">
        <v>10</v>
      </c>
      <c r="K909">
        <v>0.61</v>
      </c>
      <c r="L909" t="s">
        <v>12</v>
      </c>
    </row>
    <row r="910" spans="1:12" x14ac:dyDescent="0.3">
      <c r="A910">
        <v>93</v>
      </c>
      <c r="B910">
        <v>2021</v>
      </c>
      <c r="C910">
        <v>0.95</v>
      </c>
      <c r="D910">
        <v>0.74</v>
      </c>
      <c r="E910">
        <v>0.68</v>
      </c>
      <c r="F910">
        <v>0.9</v>
      </c>
      <c r="G910">
        <v>0.48</v>
      </c>
      <c r="H910">
        <v>0.69</v>
      </c>
      <c r="I910">
        <v>460</v>
      </c>
      <c r="J910">
        <v>1</v>
      </c>
      <c r="K910">
        <v>0.79</v>
      </c>
      <c r="L910" t="s">
        <v>13</v>
      </c>
    </row>
    <row r="911" spans="1:12" x14ac:dyDescent="0.3">
      <c r="A911">
        <v>78</v>
      </c>
      <c r="B911">
        <v>2024</v>
      </c>
      <c r="C911">
        <v>0.89</v>
      </c>
      <c r="D911">
        <v>0.64</v>
      </c>
      <c r="E911">
        <v>0.76</v>
      </c>
      <c r="F911">
        <v>0.76</v>
      </c>
      <c r="G911">
        <v>0.51</v>
      </c>
      <c r="H911">
        <v>0.8</v>
      </c>
      <c r="I911">
        <v>187</v>
      </c>
      <c r="J911">
        <v>11</v>
      </c>
      <c r="K911">
        <v>0.74</v>
      </c>
      <c r="L911" t="s">
        <v>13</v>
      </c>
    </row>
    <row r="912" spans="1:12" x14ac:dyDescent="0.3">
      <c r="A912">
        <v>21</v>
      </c>
      <c r="B912">
        <v>2022</v>
      </c>
      <c r="C912">
        <v>0.65</v>
      </c>
      <c r="D912">
        <v>0.91</v>
      </c>
      <c r="E912">
        <v>0.9</v>
      </c>
      <c r="F912">
        <v>0.76</v>
      </c>
      <c r="G912">
        <v>0.46</v>
      </c>
      <c r="H912">
        <v>0.41</v>
      </c>
      <c r="I912">
        <v>406</v>
      </c>
      <c r="J912">
        <v>19</v>
      </c>
      <c r="K912">
        <v>0.76</v>
      </c>
      <c r="L912" t="s">
        <v>13</v>
      </c>
    </row>
    <row r="913" spans="1:12" x14ac:dyDescent="0.3">
      <c r="A913">
        <v>61</v>
      </c>
      <c r="B913">
        <v>2025</v>
      </c>
      <c r="C913">
        <v>0.67</v>
      </c>
      <c r="D913">
        <v>0.88</v>
      </c>
      <c r="E913">
        <v>0.68</v>
      </c>
      <c r="F913">
        <v>0.86</v>
      </c>
      <c r="G913">
        <v>0.47</v>
      </c>
      <c r="H913">
        <v>0.11</v>
      </c>
      <c r="I913">
        <v>496</v>
      </c>
      <c r="J913">
        <v>13</v>
      </c>
      <c r="K913">
        <v>0.73</v>
      </c>
      <c r="L913" t="s">
        <v>13</v>
      </c>
    </row>
    <row r="914" spans="1:12" x14ac:dyDescent="0.3">
      <c r="A914">
        <v>3</v>
      </c>
      <c r="B914">
        <v>2022</v>
      </c>
      <c r="C914">
        <v>0.49</v>
      </c>
      <c r="D914">
        <v>0.89</v>
      </c>
      <c r="E914">
        <v>0.77</v>
      </c>
      <c r="F914">
        <v>0.62</v>
      </c>
      <c r="G914">
        <v>0.62</v>
      </c>
      <c r="H914">
        <v>0.94</v>
      </c>
      <c r="I914">
        <v>75</v>
      </c>
      <c r="J914">
        <v>14</v>
      </c>
      <c r="K914">
        <v>0.68</v>
      </c>
      <c r="L914" t="s">
        <v>12</v>
      </c>
    </row>
    <row r="915" spans="1:12" x14ac:dyDescent="0.3">
      <c r="A915">
        <v>33</v>
      </c>
      <c r="B915">
        <v>2025</v>
      </c>
      <c r="C915">
        <v>0.8</v>
      </c>
      <c r="D915">
        <v>0.42</v>
      </c>
      <c r="E915">
        <v>0.94</v>
      </c>
      <c r="F915">
        <v>0.66</v>
      </c>
      <c r="G915">
        <v>0.39</v>
      </c>
      <c r="H915">
        <v>0.18</v>
      </c>
      <c r="I915">
        <v>81</v>
      </c>
      <c r="J915">
        <v>11</v>
      </c>
      <c r="K915">
        <v>0.67</v>
      </c>
      <c r="L915" t="s">
        <v>12</v>
      </c>
    </row>
    <row r="916" spans="1:12" x14ac:dyDescent="0.3">
      <c r="A916">
        <v>63</v>
      </c>
      <c r="B916">
        <v>2025</v>
      </c>
      <c r="C916">
        <v>0.84</v>
      </c>
      <c r="D916">
        <v>0.62</v>
      </c>
      <c r="E916">
        <v>0.59</v>
      </c>
      <c r="F916">
        <v>0.86</v>
      </c>
      <c r="G916">
        <v>0.53</v>
      </c>
      <c r="H916">
        <v>0.86</v>
      </c>
      <c r="I916">
        <v>373</v>
      </c>
      <c r="J916">
        <v>19</v>
      </c>
      <c r="K916">
        <v>0.71</v>
      </c>
      <c r="L916" t="s">
        <v>13</v>
      </c>
    </row>
    <row r="917" spans="1:12" x14ac:dyDescent="0.3">
      <c r="A917">
        <v>4</v>
      </c>
      <c r="B917">
        <v>2023</v>
      </c>
      <c r="C917">
        <v>0.96</v>
      </c>
      <c r="D917">
        <v>0.49</v>
      </c>
      <c r="E917">
        <v>0.5</v>
      </c>
      <c r="F917">
        <v>0.7</v>
      </c>
      <c r="G917">
        <v>0.87</v>
      </c>
      <c r="H917">
        <v>0.21</v>
      </c>
      <c r="I917">
        <v>392</v>
      </c>
      <c r="J917">
        <v>1</v>
      </c>
      <c r="K917">
        <v>0.7</v>
      </c>
      <c r="L917" t="s">
        <v>12</v>
      </c>
    </row>
    <row r="918" spans="1:12" x14ac:dyDescent="0.3">
      <c r="A918">
        <v>75</v>
      </c>
      <c r="B918">
        <v>2022</v>
      </c>
      <c r="C918">
        <v>0.8</v>
      </c>
      <c r="D918">
        <v>0.44</v>
      </c>
      <c r="E918">
        <v>0.67</v>
      </c>
      <c r="F918">
        <v>0.71</v>
      </c>
      <c r="G918">
        <v>0.69</v>
      </c>
      <c r="H918">
        <v>0.73</v>
      </c>
      <c r="I918">
        <v>315</v>
      </c>
      <c r="J918">
        <v>14</v>
      </c>
      <c r="K918">
        <v>0.66</v>
      </c>
      <c r="L918" t="s">
        <v>12</v>
      </c>
    </row>
    <row r="919" spans="1:12" x14ac:dyDescent="0.3">
      <c r="A919">
        <v>42</v>
      </c>
      <c r="B919">
        <v>2025</v>
      </c>
      <c r="C919">
        <v>0.97</v>
      </c>
      <c r="D919">
        <v>0.62</v>
      </c>
      <c r="E919">
        <v>0.89</v>
      </c>
      <c r="F919">
        <v>0.9</v>
      </c>
      <c r="G919">
        <v>0.93</v>
      </c>
      <c r="H919">
        <v>0.45</v>
      </c>
      <c r="I919">
        <v>356</v>
      </c>
      <c r="J919">
        <v>0</v>
      </c>
      <c r="K919">
        <v>0.85</v>
      </c>
      <c r="L919" t="s">
        <v>13</v>
      </c>
    </row>
    <row r="920" spans="1:12" x14ac:dyDescent="0.3">
      <c r="A920">
        <v>95</v>
      </c>
      <c r="B920">
        <v>2022</v>
      </c>
      <c r="C920">
        <v>0.46</v>
      </c>
      <c r="D920">
        <v>0.54</v>
      </c>
      <c r="E920">
        <v>0.69</v>
      </c>
      <c r="F920">
        <v>0.69</v>
      </c>
      <c r="G920">
        <v>0.69</v>
      </c>
      <c r="H920">
        <v>0.13</v>
      </c>
      <c r="I920">
        <v>393</v>
      </c>
      <c r="J920">
        <v>2</v>
      </c>
      <c r="K920">
        <v>0.57999999999999996</v>
      </c>
      <c r="L920" t="s">
        <v>12</v>
      </c>
    </row>
    <row r="921" spans="1:12" x14ac:dyDescent="0.3">
      <c r="A921">
        <v>52</v>
      </c>
      <c r="B921">
        <v>2022</v>
      </c>
      <c r="C921">
        <v>0.43</v>
      </c>
      <c r="D921">
        <v>0.66</v>
      </c>
      <c r="E921">
        <v>0.79</v>
      </c>
      <c r="F921">
        <v>0.93</v>
      </c>
      <c r="G921">
        <v>0.99</v>
      </c>
      <c r="H921">
        <v>0.39</v>
      </c>
      <c r="I921">
        <v>121</v>
      </c>
      <c r="J921">
        <v>10</v>
      </c>
      <c r="K921">
        <v>0.69</v>
      </c>
      <c r="L921" t="s">
        <v>12</v>
      </c>
    </row>
    <row r="922" spans="1:12" x14ac:dyDescent="0.3">
      <c r="A922">
        <v>68</v>
      </c>
      <c r="B922">
        <v>2024</v>
      </c>
      <c r="C922">
        <v>0.72</v>
      </c>
      <c r="D922">
        <v>0.52</v>
      </c>
      <c r="E922">
        <v>0.75</v>
      </c>
      <c r="F922">
        <v>0.9</v>
      </c>
      <c r="G922">
        <v>0.84</v>
      </c>
      <c r="H922">
        <v>0.5</v>
      </c>
      <c r="I922">
        <v>65</v>
      </c>
      <c r="J922">
        <v>10</v>
      </c>
      <c r="K922">
        <v>0.72</v>
      </c>
      <c r="L922" t="s">
        <v>13</v>
      </c>
    </row>
    <row r="923" spans="1:12" x14ac:dyDescent="0.3">
      <c r="A923">
        <v>42</v>
      </c>
      <c r="B923">
        <v>2021</v>
      </c>
      <c r="C923">
        <v>0.64</v>
      </c>
      <c r="D923">
        <v>0.6</v>
      </c>
      <c r="E923">
        <v>0.87</v>
      </c>
      <c r="F923">
        <v>0.73</v>
      </c>
      <c r="G923">
        <v>0.88</v>
      </c>
      <c r="H923">
        <v>0.59</v>
      </c>
      <c r="I923">
        <v>161</v>
      </c>
      <c r="J923">
        <v>17</v>
      </c>
      <c r="K923">
        <v>0.71</v>
      </c>
      <c r="L923" t="s">
        <v>13</v>
      </c>
    </row>
    <row r="924" spans="1:12" x14ac:dyDescent="0.3">
      <c r="A924">
        <v>23</v>
      </c>
      <c r="B924">
        <v>2025</v>
      </c>
      <c r="C924">
        <v>0.78</v>
      </c>
      <c r="D924">
        <v>0.99</v>
      </c>
      <c r="E924">
        <v>0.51</v>
      </c>
      <c r="F924">
        <v>0.74</v>
      </c>
      <c r="G924">
        <v>0.38</v>
      </c>
      <c r="H924">
        <v>0.26</v>
      </c>
      <c r="I924">
        <v>426</v>
      </c>
      <c r="J924">
        <v>3</v>
      </c>
      <c r="K924">
        <v>0.73</v>
      </c>
      <c r="L924" t="s">
        <v>13</v>
      </c>
    </row>
    <row r="925" spans="1:12" x14ac:dyDescent="0.3">
      <c r="A925">
        <v>51</v>
      </c>
      <c r="B925">
        <v>2022</v>
      </c>
      <c r="C925">
        <v>0.84</v>
      </c>
      <c r="D925">
        <v>0.77</v>
      </c>
      <c r="E925">
        <v>0.99</v>
      </c>
      <c r="F925">
        <v>0.75</v>
      </c>
      <c r="G925">
        <v>0.78</v>
      </c>
      <c r="H925">
        <v>0.06</v>
      </c>
      <c r="I925">
        <v>373</v>
      </c>
      <c r="J925">
        <v>8</v>
      </c>
      <c r="K925">
        <v>0.83</v>
      </c>
      <c r="L925" t="s">
        <v>13</v>
      </c>
    </row>
    <row r="926" spans="1:12" x14ac:dyDescent="0.3">
      <c r="A926">
        <v>93</v>
      </c>
      <c r="B926">
        <v>2023</v>
      </c>
      <c r="C926">
        <v>0.5</v>
      </c>
      <c r="D926">
        <v>0.47</v>
      </c>
      <c r="E926">
        <v>0.85</v>
      </c>
      <c r="F926">
        <v>0.86</v>
      </c>
      <c r="G926">
        <v>0.56000000000000005</v>
      </c>
      <c r="H926">
        <v>0.95</v>
      </c>
      <c r="I926">
        <v>427</v>
      </c>
      <c r="J926">
        <v>5</v>
      </c>
      <c r="K926">
        <v>0.62</v>
      </c>
      <c r="L926" t="s">
        <v>12</v>
      </c>
    </row>
    <row r="927" spans="1:12" x14ac:dyDescent="0.3">
      <c r="A927">
        <v>63</v>
      </c>
      <c r="B927">
        <v>2023</v>
      </c>
      <c r="C927">
        <v>0.94</v>
      </c>
      <c r="D927">
        <v>0.59</v>
      </c>
      <c r="E927">
        <v>0.63</v>
      </c>
      <c r="F927">
        <v>0.81</v>
      </c>
      <c r="G927">
        <v>0.88</v>
      </c>
      <c r="H927">
        <v>0.1</v>
      </c>
      <c r="I927">
        <v>97</v>
      </c>
      <c r="J927">
        <v>18</v>
      </c>
      <c r="K927">
        <v>0.76</v>
      </c>
      <c r="L927" t="s">
        <v>13</v>
      </c>
    </row>
    <row r="928" spans="1:12" x14ac:dyDescent="0.3">
      <c r="A928">
        <v>52</v>
      </c>
      <c r="B928">
        <v>2023</v>
      </c>
      <c r="C928">
        <v>0.8</v>
      </c>
      <c r="D928">
        <v>0.63</v>
      </c>
      <c r="E928">
        <v>0.7</v>
      </c>
      <c r="F928">
        <v>0.91</v>
      </c>
      <c r="G928">
        <v>0.97</v>
      </c>
      <c r="H928">
        <v>0.13</v>
      </c>
      <c r="I928">
        <v>144</v>
      </c>
      <c r="J928">
        <v>16</v>
      </c>
      <c r="K928">
        <v>0.77</v>
      </c>
      <c r="L928" t="s">
        <v>13</v>
      </c>
    </row>
    <row r="929" spans="1:12" x14ac:dyDescent="0.3">
      <c r="A929">
        <v>41</v>
      </c>
      <c r="B929">
        <v>2021</v>
      </c>
      <c r="C929">
        <v>0.56000000000000005</v>
      </c>
      <c r="D929">
        <v>0.62</v>
      </c>
      <c r="E929">
        <v>0.53</v>
      </c>
      <c r="F929">
        <v>0.87</v>
      </c>
      <c r="G929">
        <v>0.61</v>
      </c>
      <c r="H929">
        <v>0.19</v>
      </c>
      <c r="I929">
        <v>117</v>
      </c>
      <c r="J929">
        <v>17</v>
      </c>
      <c r="K929">
        <v>0.62</v>
      </c>
      <c r="L929" t="s">
        <v>12</v>
      </c>
    </row>
    <row r="930" spans="1:12" x14ac:dyDescent="0.3">
      <c r="A930">
        <v>26</v>
      </c>
      <c r="B930">
        <v>2023</v>
      </c>
      <c r="C930">
        <v>0.51</v>
      </c>
      <c r="D930">
        <v>0.78</v>
      </c>
      <c r="E930">
        <v>0.64</v>
      </c>
      <c r="F930">
        <v>0.69</v>
      </c>
      <c r="G930">
        <v>0.81</v>
      </c>
      <c r="H930">
        <v>0.04</v>
      </c>
      <c r="I930">
        <v>330</v>
      </c>
      <c r="J930">
        <v>14</v>
      </c>
      <c r="K930">
        <v>0.66</v>
      </c>
      <c r="L930" t="s">
        <v>12</v>
      </c>
    </row>
    <row r="931" spans="1:12" x14ac:dyDescent="0.3">
      <c r="A931">
        <v>55</v>
      </c>
      <c r="B931">
        <v>2021</v>
      </c>
      <c r="C931">
        <v>0.3</v>
      </c>
      <c r="D931">
        <v>0.53</v>
      </c>
      <c r="E931">
        <v>0.67</v>
      </c>
      <c r="F931">
        <v>1</v>
      </c>
      <c r="G931">
        <v>0.67</v>
      </c>
      <c r="H931">
        <v>0.2</v>
      </c>
      <c r="I931">
        <v>494</v>
      </c>
      <c r="J931">
        <v>9</v>
      </c>
      <c r="K931">
        <v>0.56999999999999995</v>
      </c>
      <c r="L931" t="s">
        <v>12</v>
      </c>
    </row>
    <row r="932" spans="1:12" x14ac:dyDescent="0.3">
      <c r="A932">
        <v>31</v>
      </c>
      <c r="B932">
        <v>2024</v>
      </c>
      <c r="C932">
        <v>0.39</v>
      </c>
      <c r="D932">
        <v>0.82</v>
      </c>
      <c r="E932">
        <v>0.56000000000000005</v>
      </c>
      <c r="F932">
        <v>0.69</v>
      </c>
      <c r="G932">
        <v>0.55000000000000004</v>
      </c>
      <c r="H932">
        <v>0.76</v>
      </c>
      <c r="I932">
        <v>254</v>
      </c>
      <c r="J932">
        <v>15</v>
      </c>
      <c r="K932">
        <v>0.59</v>
      </c>
      <c r="L932" t="s">
        <v>12</v>
      </c>
    </row>
    <row r="933" spans="1:12" x14ac:dyDescent="0.3">
      <c r="A933">
        <v>11</v>
      </c>
      <c r="B933">
        <v>2023</v>
      </c>
      <c r="C933">
        <v>0.59</v>
      </c>
      <c r="D933">
        <v>0.96</v>
      </c>
      <c r="E933">
        <v>0.69</v>
      </c>
      <c r="F933">
        <v>0.87</v>
      </c>
      <c r="G933">
        <v>0.48</v>
      </c>
      <c r="H933">
        <v>0.13</v>
      </c>
      <c r="I933">
        <v>368</v>
      </c>
      <c r="J933">
        <v>1</v>
      </c>
      <c r="K933">
        <v>0.73</v>
      </c>
      <c r="L933" t="s">
        <v>13</v>
      </c>
    </row>
    <row r="934" spans="1:12" x14ac:dyDescent="0.3">
      <c r="A934">
        <v>10</v>
      </c>
      <c r="B934">
        <v>2024</v>
      </c>
      <c r="C934">
        <v>0.99</v>
      </c>
      <c r="D934">
        <v>0.96</v>
      </c>
      <c r="E934">
        <v>0.95</v>
      </c>
      <c r="F934">
        <v>0.89</v>
      </c>
      <c r="G934">
        <v>0.56000000000000005</v>
      </c>
      <c r="H934">
        <v>0.11</v>
      </c>
      <c r="I934">
        <v>260</v>
      </c>
      <c r="J934">
        <v>14</v>
      </c>
      <c r="K934">
        <v>0.92</v>
      </c>
      <c r="L934" t="s">
        <v>13</v>
      </c>
    </row>
    <row r="935" spans="1:12" x14ac:dyDescent="0.3">
      <c r="A935">
        <v>12</v>
      </c>
      <c r="B935">
        <v>2025</v>
      </c>
      <c r="C935">
        <v>0.81</v>
      </c>
      <c r="D935">
        <v>0.92</v>
      </c>
      <c r="E935">
        <v>0.6</v>
      </c>
      <c r="F935">
        <v>0.64</v>
      </c>
      <c r="G935">
        <v>0.93</v>
      </c>
      <c r="H935">
        <v>0.35</v>
      </c>
      <c r="I935">
        <v>276</v>
      </c>
      <c r="J935">
        <v>9</v>
      </c>
      <c r="K935">
        <v>0.78</v>
      </c>
      <c r="L935" t="s">
        <v>13</v>
      </c>
    </row>
    <row r="936" spans="1:12" x14ac:dyDescent="0.3">
      <c r="A936">
        <v>59</v>
      </c>
      <c r="B936">
        <v>2023</v>
      </c>
      <c r="C936">
        <v>0.83</v>
      </c>
      <c r="D936">
        <v>0.65</v>
      </c>
      <c r="E936">
        <v>0.5</v>
      </c>
      <c r="F936">
        <v>0.73</v>
      </c>
      <c r="G936">
        <v>0.67</v>
      </c>
      <c r="H936">
        <v>0.32</v>
      </c>
      <c r="I936">
        <v>305</v>
      </c>
      <c r="J936">
        <v>4</v>
      </c>
      <c r="K936">
        <v>0.69</v>
      </c>
      <c r="L936" t="s">
        <v>12</v>
      </c>
    </row>
    <row r="937" spans="1:12" x14ac:dyDescent="0.3">
      <c r="A937">
        <v>62</v>
      </c>
      <c r="B937">
        <v>2024</v>
      </c>
      <c r="C937">
        <v>0.33</v>
      </c>
      <c r="D937">
        <v>0.4</v>
      </c>
      <c r="E937">
        <v>0.66</v>
      </c>
      <c r="F937">
        <v>0.86</v>
      </c>
      <c r="G937">
        <v>0.81</v>
      </c>
      <c r="H937">
        <v>0.45</v>
      </c>
      <c r="I937">
        <v>448</v>
      </c>
      <c r="J937">
        <v>4</v>
      </c>
      <c r="K937">
        <v>0.54</v>
      </c>
      <c r="L937" t="s">
        <v>12</v>
      </c>
    </row>
    <row r="938" spans="1:12" x14ac:dyDescent="0.3">
      <c r="A938">
        <v>3</v>
      </c>
      <c r="B938">
        <v>2025</v>
      </c>
      <c r="C938">
        <v>0.77</v>
      </c>
      <c r="D938">
        <v>0.42</v>
      </c>
      <c r="E938">
        <v>0.7</v>
      </c>
      <c r="F938">
        <v>0.92</v>
      </c>
      <c r="G938">
        <v>0.86</v>
      </c>
      <c r="H938">
        <v>0.72</v>
      </c>
      <c r="I938">
        <v>427</v>
      </c>
      <c r="J938">
        <v>19</v>
      </c>
      <c r="K938">
        <v>0.7</v>
      </c>
      <c r="L938" t="s">
        <v>12</v>
      </c>
    </row>
    <row r="939" spans="1:12" x14ac:dyDescent="0.3">
      <c r="A939">
        <v>36</v>
      </c>
      <c r="B939">
        <v>2021</v>
      </c>
      <c r="C939">
        <v>1</v>
      </c>
      <c r="D939">
        <v>0.46</v>
      </c>
      <c r="E939">
        <v>0.59</v>
      </c>
      <c r="F939">
        <v>0.65</v>
      </c>
      <c r="G939">
        <v>0.53</v>
      </c>
      <c r="H939">
        <v>0.21</v>
      </c>
      <c r="I939">
        <v>175</v>
      </c>
      <c r="J939">
        <v>11</v>
      </c>
      <c r="K939">
        <v>0.68</v>
      </c>
      <c r="L939" t="s">
        <v>12</v>
      </c>
    </row>
    <row r="940" spans="1:12" x14ac:dyDescent="0.3">
      <c r="A940">
        <v>48</v>
      </c>
      <c r="B940">
        <v>2024</v>
      </c>
      <c r="C940">
        <v>0.52</v>
      </c>
      <c r="D940">
        <v>0.76</v>
      </c>
      <c r="E940">
        <v>0.8</v>
      </c>
      <c r="F940">
        <v>0.79</v>
      </c>
      <c r="G940">
        <v>0.87</v>
      </c>
      <c r="H940">
        <v>0.06</v>
      </c>
      <c r="I940">
        <v>171</v>
      </c>
      <c r="J940">
        <v>13</v>
      </c>
      <c r="K940">
        <v>0.71</v>
      </c>
      <c r="L940" t="s">
        <v>13</v>
      </c>
    </row>
    <row r="941" spans="1:12" x14ac:dyDescent="0.3">
      <c r="A941">
        <v>75</v>
      </c>
      <c r="B941">
        <v>2025</v>
      </c>
      <c r="C941">
        <v>0.71</v>
      </c>
      <c r="D941">
        <v>0.71</v>
      </c>
      <c r="E941">
        <v>0.87</v>
      </c>
      <c r="F941">
        <v>0.8</v>
      </c>
      <c r="G941">
        <v>0.6</v>
      </c>
      <c r="H941">
        <v>0.4</v>
      </c>
      <c r="I941">
        <v>402</v>
      </c>
      <c r="J941">
        <v>1</v>
      </c>
      <c r="K941">
        <v>0.74</v>
      </c>
      <c r="L941" t="s">
        <v>13</v>
      </c>
    </row>
    <row r="942" spans="1:12" x14ac:dyDescent="0.3">
      <c r="A942">
        <v>45</v>
      </c>
      <c r="B942">
        <v>2021</v>
      </c>
      <c r="C942">
        <v>0.32</v>
      </c>
      <c r="D942">
        <v>0.83</v>
      </c>
      <c r="E942">
        <v>0.91</v>
      </c>
      <c r="F942">
        <v>0.92</v>
      </c>
      <c r="G942">
        <v>0.39</v>
      </c>
      <c r="H942">
        <v>0.9</v>
      </c>
      <c r="I942">
        <v>347</v>
      </c>
      <c r="J942">
        <v>12</v>
      </c>
      <c r="K942">
        <v>0.66</v>
      </c>
      <c r="L942" t="s">
        <v>12</v>
      </c>
    </row>
    <row r="943" spans="1:12" x14ac:dyDescent="0.3">
      <c r="A943">
        <v>12</v>
      </c>
      <c r="B943">
        <v>2025</v>
      </c>
      <c r="C943">
        <v>0.98</v>
      </c>
      <c r="D943">
        <v>0.82</v>
      </c>
      <c r="E943">
        <v>0.54</v>
      </c>
      <c r="F943">
        <v>0.68</v>
      </c>
      <c r="G943">
        <v>0.84</v>
      </c>
      <c r="H943">
        <v>0.84</v>
      </c>
      <c r="I943">
        <v>404</v>
      </c>
      <c r="J943">
        <v>7</v>
      </c>
      <c r="K943">
        <v>0.79</v>
      </c>
      <c r="L943" t="s">
        <v>13</v>
      </c>
    </row>
    <row r="944" spans="1:12" x14ac:dyDescent="0.3">
      <c r="A944">
        <v>54</v>
      </c>
      <c r="B944">
        <v>2022</v>
      </c>
      <c r="C944">
        <v>0.45</v>
      </c>
      <c r="D944">
        <v>0.41</v>
      </c>
      <c r="E944">
        <v>0.74</v>
      </c>
      <c r="F944">
        <v>0.81</v>
      </c>
      <c r="G944">
        <v>0.47</v>
      </c>
      <c r="H944">
        <v>0.12</v>
      </c>
      <c r="I944">
        <v>306</v>
      </c>
      <c r="J944">
        <v>11</v>
      </c>
      <c r="K944">
        <v>0.55000000000000004</v>
      </c>
      <c r="L944" t="s">
        <v>12</v>
      </c>
    </row>
    <row r="945" spans="1:12" x14ac:dyDescent="0.3">
      <c r="A945">
        <v>22</v>
      </c>
      <c r="B945">
        <v>2023</v>
      </c>
      <c r="C945">
        <v>0.54</v>
      </c>
      <c r="D945">
        <v>0.65</v>
      </c>
      <c r="E945">
        <v>0.75</v>
      </c>
      <c r="F945">
        <v>0.79</v>
      </c>
      <c r="G945">
        <v>0.49</v>
      </c>
      <c r="H945">
        <v>0.03</v>
      </c>
      <c r="I945">
        <v>195</v>
      </c>
      <c r="J945">
        <v>2</v>
      </c>
      <c r="K945">
        <v>0.64</v>
      </c>
      <c r="L945" t="s">
        <v>12</v>
      </c>
    </row>
    <row r="946" spans="1:12" x14ac:dyDescent="0.3">
      <c r="A946">
        <v>87</v>
      </c>
      <c r="B946">
        <v>2023</v>
      </c>
      <c r="C946">
        <v>0.91</v>
      </c>
      <c r="D946">
        <v>0.85</v>
      </c>
      <c r="E946">
        <v>0.93</v>
      </c>
      <c r="F946">
        <v>0.8</v>
      </c>
      <c r="G946">
        <v>0.39</v>
      </c>
      <c r="H946">
        <v>0.7</v>
      </c>
      <c r="I946">
        <v>121</v>
      </c>
      <c r="J946">
        <v>8</v>
      </c>
      <c r="K946">
        <v>0.83</v>
      </c>
      <c r="L946" t="s">
        <v>13</v>
      </c>
    </row>
    <row r="947" spans="1:12" x14ac:dyDescent="0.3">
      <c r="A947">
        <v>37</v>
      </c>
      <c r="B947">
        <v>2025</v>
      </c>
      <c r="C947">
        <v>0.88</v>
      </c>
      <c r="D947">
        <v>0.48</v>
      </c>
      <c r="E947">
        <v>0.95</v>
      </c>
      <c r="F947">
        <v>0.95</v>
      </c>
      <c r="G947">
        <v>0.63</v>
      </c>
      <c r="H947">
        <v>0.74</v>
      </c>
      <c r="I947">
        <v>118</v>
      </c>
      <c r="J947">
        <v>13</v>
      </c>
      <c r="K947">
        <v>0.78</v>
      </c>
      <c r="L947" t="s">
        <v>13</v>
      </c>
    </row>
    <row r="948" spans="1:12" x14ac:dyDescent="0.3">
      <c r="A948">
        <v>42</v>
      </c>
      <c r="B948">
        <v>2022</v>
      </c>
      <c r="C948">
        <v>0.57999999999999996</v>
      </c>
      <c r="D948">
        <v>0.56999999999999995</v>
      </c>
      <c r="E948">
        <v>0.57999999999999996</v>
      </c>
      <c r="F948">
        <v>0.73</v>
      </c>
      <c r="G948">
        <v>0.73</v>
      </c>
      <c r="H948">
        <v>0.57999999999999996</v>
      </c>
      <c r="I948">
        <v>353</v>
      </c>
      <c r="J948">
        <v>11</v>
      </c>
      <c r="K948">
        <v>0.62</v>
      </c>
      <c r="L948" t="s">
        <v>12</v>
      </c>
    </row>
    <row r="949" spans="1:12" x14ac:dyDescent="0.3">
      <c r="A949">
        <v>45</v>
      </c>
      <c r="B949">
        <v>2023</v>
      </c>
      <c r="C949">
        <v>0.32</v>
      </c>
      <c r="D949">
        <v>0.41</v>
      </c>
      <c r="E949">
        <v>0.94</v>
      </c>
      <c r="F949">
        <v>0.62</v>
      </c>
      <c r="G949">
        <v>0.81</v>
      </c>
      <c r="H949">
        <v>0.87</v>
      </c>
      <c r="I949">
        <v>467</v>
      </c>
      <c r="J949">
        <v>11</v>
      </c>
      <c r="K949">
        <v>0.56000000000000005</v>
      </c>
      <c r="L949" t="s">
        <v>12</v>
      </c>
    </row>
    <row r="950" spans="1:12" x14ac:dyDescent="0.3">
      <c r="A950">
        <v>53</v>
      </c>
      <c r="B950">
        <v>2023</v>
      </c>
      <c r="C950">
        <v>0.88</v>
      </c>
      <c r="D950">
        <v>0.69</v>
      </c>
      <c r="E950">
        <v>0.88</v>
      </c>
      <c r="F950">
        <v>0.93</v>
      </c>
      <c r="G950">
        <v>0.54</v>
      </c>
      <c r="H950">
        <v>0.89</v>
      </c>
      <c r="I950">
        <v>206</v>
      </c>
      <c r="J950">
        <v>5</v>
      </c>
      <c r="K950">
        <v>0.81</v>
      </c>
      <c r="L950" t="s">
        <v>13</v>
      </c>
    </row>
    <row r="951" spans="1:12" x14ac:dyDescent="0.3">
      <c r="A951">
        <v>59</v>
      </c>
      <c r="B951">
        <v>2021</v>
      </c>
      <c r="C951">
        <v>1</v>
      </c>
      <c r="D951">
        <v>0.91</v>
      </c>
      <c r="E951">
        <v>0.68</v>
      </c>
      <c r="F951">
        <v>0.6</v>
      </c>
      <c r="G951">
        <v>0.74</v>
      </c>
      <c r="H951">
        <v>0.7</v>
      </c>
      <c r="I951">
        <v>397</v>
      </c>
      <c r="J951">
        <v>5</v>
      </c>
      <c r="K951">
        <v>0.83</v>
      </c>
      <c r="L951" t="s">
        <v>13</v>
      </c>
    </row>
    <row r="952" spans="1:12" x14ac:dyDescent="0.3">
      <c r="A952">
        <v>41</v>
      </c>
      <c r="B952">
        <v>2024</v>
      </c>
      <c r="C952">
        <v>0.9</v>
      </c>
      <c r="D952">
        <v>0.67</v>
      </c>
      <c r="E952">
        <v>0.53</v>
      </c>
      <c r="F952">
        <v>0.79</v>
      </c>
      <c r="G952">
        <v>0.78</v>
      </c>
      <c r="H952">
        <v>0.61</v>
      </c>
      <c r="I952">
        <v>148</v>
      </c>
      <c r="J952">
        <v>17</v>
      </c>
      <c r="K952">
        <v>0.74</v>
      </c>
      <c r="L952" t="s">
        <v>13</v>
      </c>
    </row>
    <row r="953" spans="1:12" x14ac:dyDescent="0.3">
      <c r="A953">
        <v>30</v>
      </c>
      <c r="B953">
        <v>2022</v>
      </c>
      <c r="C953">
        <v>0.42</v>
      </c>
      <c r="D953">
        <v>0.54</v>
      </c>
      <c r="E953">
        <v>0.79</v>
      </c>
      <c r="F953">
        <v>0.77</v>
      </c>
      <c r="G953">
        <v>0.66</v>
      </c>
      <c r="H953">
        <v>0.17</v>
      </c>
      <c r="I953">
        <v>420</v>
      </c>
      <c r="J953">
        <v>11</v>
      </c>
      <c r="K953">
        <v>0.6</v>
      </c>
      <c r="L953" t="s">
        <v>12</v>
      </c>
    </row>
    <row r="954" spans="1:12" x14ac:dyDescent="0.3">
      <c r="A954">
        <v>49</v>
      </c>
      <c r="B954">
        <v>2024</v>
      </c>
      <c r="C954">
        <v>0.77</v>
      </c>
      <c r="D954">
        <v>0.82</v>
      </c>
      <c r="E954">
        <v>0.65</v>
      </c>
      <c r="F954">
        <v>0.79</v>
      </c>
      <c r="G954">
        <v>0.97</v>
      </c>
      <c r="H954">
        <v>0.77</v>
      </c>
      <c r="I954">
        <v>329</v>
      </c>
      <c r="J954">
        <v>18</v>
      </c>
      <c r="K954">
        <v>0.78</v>
      </c>
      <c r="L954" t="s">
        <v>13</v>
      </c>
    </row>
    <row r="955" spans="1:12" x14ac:dyDescent="0.3">
      <c r="A955">
        <v>83</v>
      </c>
      <c r="B955">
        <v>2024</v>
      </c>
      <c r="C955">
        <v>0.42</v>
      </c>
      <c r="D955">
        <v>0.44</v>
      </c>
      <c r="E955">
        <v>0.79</v>
      </c>
      <c r="F955">
        <v>0.74</v>
      </c>
      <c r="G955">
        <v>0.49</v>
      </c>
      <c r="H955">
        <v>0.81</v>
      </c>
      <c r="I955">
        <v>374</v>
      </c>
      <c r="J955">
        <v>9</v>
      </c>
      <c r="K955">
        <v>0.55000000000000004</v>
      </c>
      <c r="L955" t="s">
        <v>12</v>
      </c>
    </row>
    <row r="956" spans="1:12" x14ac:dyDescent="0.3">
      <c r="A956">
        <v>45</v>
      </c>
      <c r="B956">
        <v>2025</v>
      </c>
      <c r="C956">
        <v>0.68</v>
      </c>
      <c r="D956">
        <v>0.67</v>
      </c>
      <c r="E956">
        <v>0.6</v>
      </c>
      <c r="F956">
        <v>0.6</v>
      </c>
      <c r="G956">
        <v>0.47</v>
      </c>
      <c r="H956">
        <v>0.51</v>
      </c>
      <c r="I956">
        <v>87</v>
      </c>
      <c r="J956">
        <v>0</v>
      </c>
      <c r="K956">
        <v>0.63</v>
      </c>
      <c r="L956" t="s">
        <v>12</v>
      </c>
    </row>
    <row r="957" spans="1:12" x14ac:dyDescent="0.3">
      <c r="A957">
        <v>68</v>
      </c>
      <c r="B957">
        <v>2023</v>
      </c>
      <c r="C957">
        <v>1</v>
      </c>
      <c r="D957">
        <v>0.86</v>
      </c>
      <c r="E957">
        <v>0.88</v>
      </c>
      <c r="F957">
        <v>0.98</v>
      </c>
      <c r="G957">
        <v>0.92</v>
      </c>
      <c r="H957">
        <v>0.32</v>
      </c>
      <c r="I957">
        <v>412</v>
      </c>
      <c r="J957">
        <v>15</v>
      </c>
      <c r="K957">
        <v>0.93</v>
      </c>
      <c r="L957" t="s">
        <v>13</v>
      </c>
    </row>
    <row r="958" spans="1:12" x14ac:dyDescent="0.3">
      <c r="A958">
        <v>41</v>
      </c>
      <c r="B958">
        <v>2023</v>
      </c>
      <c r="C958">
        <v>0.56000000000000005</v>
      </c>
      <c r="D958">
        <v>0.68</v>
      </c>
      <c r="E958">
        <v>0.82</v>
      </c>
      <c r="F958">
        <v>0.96</v>
      </c>
      <c r="G958">
        <v>0.59</v>
      </c>
      <c r="H958">
        <v>0.78</v>
      </c>
      <c r="I958">
        <v>217</v>
      </c>
      <c r="J958">
        <v>18</v>
      </c>
      <c r="K958">
        <v>0.7</v>
      </c>
      <c r="L958" t="s">
        <v>12</v>
      </c>
    </row>
    <row r="959" spans="1:12" x14ac:dyDescent="0.3">
      <c r="A959">
        <v>5</v>
      </c>
      <c r="B959">
        <v>2025</v>
      </c>
      <c r="C959">
        <v>0.52</v>
      </c>
      <c r="D959">
        <v>0.48</v>
      </c>
      <c r="E959">
        <v>0.6</v>
      </c>
      <c r="F959">
        <v>0.84</v>
      </c>
      <c r="G959">
        <v>0.34</v>
      </c>
      <c r="H959">
        <v>0.86</v>
      </c>
      <c r="I959">
        <v>77</v>
      </c>
      <c r="J959">
        <v>13</v>
      </c>
      <c r="K959">
        <v>0.56000000000000005</v>
      </c>
      <c r="L959" t="s">
        <v>12</v>
      </c>
    </row>
    <row r="960" spans="1:12" x14ac:dyDescent="0.3">
      <c r="A960">
        <v>3</v>
      </c>
      <c r="B960">
        <v>2024</v>
      </c>
      <c r="C960">
        <v>0.32</v>
      </c>
      <c r="D960">
        <v>0.78</v>
      </c>
      <c r="E960">
        <v>0.71</v>
      </c>
      <c r="F960">
        <v>0.71</v>
      </c>
      <c r="G960">
        <v>0.44</v>
      </c>
      <c r="H960">
        <v>0.65</v>
      </c>
      <c r="I960">
        <v>330</v>
      </c>
      <c r="J960">
        <v>9</v>
      </c>
      <c r="K960">
        <v>0.57999999999999996</v>
      </c>
      <c r="L960" t="s">
        <v>12</v>
      </c>
    </row>
    <row r="961" spans="1:12" x14ac:dyDescent="0.3">
      <c r="A961">
        <v>61</v>
      </c>
      <c r="B961">
        <v>2024</v>
      </c>
      <c r="C961">
        <v>0.78</v>
      </c>
      <c r="D961">
        <v>0.74</v>
      </c>
      <c r="E961">
        <v>0.93</v>
      </c>
      <c r="F961">
        <v>0.65</v>
      </c>
      <c r="G961">
        <v>0.85</v>
      </c>
      <c r="H961">
        <v>0.67</v>
      </c>
      <c r="I961">
        <v>393</v>
      </c>
      <c r="J961">
        <v>16</v>
      </c>
      <c r="K961">
        <v>0.79</v>
      </c>
      <c r="L961" t="s">
        <v>13</v>
      </c>
    </row>
    <row r="962" spans="1:12" x14ac:dyDescent="0.3">
      <c r="A962">
        <v>55</v>
      </c>
      <c r="B962">
        <v>2025</v>
      </c>
      <c r="C962">
        <v>0.96</v>
      </c>
      <c r="D962">
        <v>0.48</v>
      </c>
      <c r="E962">
        <v>0.82</v>
      </c>
      <c r="F962">
        <v>0.75</v>
      </c>
      <c r="G962">
        <v>0.97</v>
      </c>
      <c r="H962">
        <v>0.33</v>
      </c>
      <c r="I962">
        <v>264</v>
      </c>
      <c r="J962">
        <v>12</v>
      </c>
      <c r="K962">
        <v>0.78</v>
      </c>
      <c r="L962" t="s">
        <v>13</v>
      </c>
    </row>
    <row r="963" spans="1:12" x14ac:dyDescent="0.3">
      <c r="A963">
        <v>95</v>
      </c>
      <c r="B963">
        <v>2021</v>
      </c>
      <c r="C963">
        <v>0.67</v>
      </c>
      <c r="D963">
        <v>0.78</v>
      </c>
      <c r="E963">
        <v>0.98</v>
      </c>
      <c r="F963">
        <v>0.64</v>
      </c>
      <c r="G963">
        <v>0.52</v>
      </c>
      <c r="H963">
        <v>0.61</v>
      </c>
      <c r="I963">
        <v>164</v>
      </c>
      <c r="J963">
        <v>5</v>
      </c>
      <c r="K963">
        <v>0.74</v>
      </c>
      <c r="L963" t="s">
        <v>13</v>
      </c>
    </row>
    <row r="964" spans="1:12" x14ac:dyDescent="0.3">
      <c r="A964">
        <v>55</v>
      </c>
      <c r="B964">
        <v>2021</v>
      </c>
      <c r="C964">
        <v>0.32</v>
      </c>
      <c r="D964">
        <v>0.43</v>
      </c>
      <c r="E964">
        <v>0.53</v>
      </c>
      <c r="F964">
        <v>0.96</v>
      </c>
      <c r="G964">
        <v>0.8</v>
      </c>
      <c r="H964">
        <v>0.68</v>
      </c>
      <c r="I964">
        <v>327</v>
      </c>
      <c r="J964">
        <v>0</v>
      </c>
      <c r="K964">
        <v>0.53</v>
      </c>
      <c r="L964" t="s">
        <v>12</v>
      </c>
    </row>
    <row r="965" spans="1:12" x14ac:dyDescent="0.3">
      <c r="A965">
        <v>47</v>
      </c>
      <c r="B965">
        <v>2025</v>
      </c>
      <c r="C965">
        <v>0.3</v>
      </c>
      <c r="D965">
        <v>0.55000000000000004</v>
      </c>
      <c r="E965">
        <v>0.96</v>
      </c>
      <c r="F965">
        <v>0.97</v>
      </c>
      <c r="G965">
        <v>0.8</v>
      </c>
      <c r="H965">
        <v>0.77</v>
      </c>
      <c r="I965">
        <v>376</v>
      </c>
      <c r="J965">
        <v>7</v>
      </c>
      <c r="K965">
        <v>0.64</v>
      </c>
      <c r="L965" t="s">
        <v>12</v>
      </c>
    </row>
    <row r="966" spans="1:12" x14ac:dyDescent="0.3">
      <c r="A966">
        <v>78</v>
      </c>
      <c r="B966">
        <v>2022</v>
      </c>
      <c r="C966">
        <v>0.43</v>
      </c>
      <c r="D966">
        <v>0.89</v>
      </c>
      <c r="E966">
        <v>0.56999999999999995</v>
      </c>
      <c r="F966">
        <v>0.79</v>
      </c>
      <c r="G966">
        <v>0.96</v>
      </c>
      <c r="H966">
        <v>0.19</v>
      </c>
      <c r="I966">
        <v>293</v>
      </c>
      <c r="J966">
        <v>1</v>
      </c>
      <c r="K966">
        <v>0.68</v>
      </c>
      <c r="L966" t="s">
        <v>12</v>
      </c>
    </row>
    <row r="967" spans="1:12" x14ac:dyDescent="0.3">
      <c r="A967">
        <v>68</v>
      </c>
      <c r="B967">
        <v>2025</v>
      </c>
      <c r="C967">
        <v>0.4</v>
      </c>
      <c r="D967">
        <v>0.41</v>
      </c>
      <c r="E967">
        <v>0.93</v>
      </c>
      <c r="F967">
        <v>0.82</v>
      </c>
      <c r="G967">
        <v>0.73</v>
      </c>
      <c r="H967">
        <v>0.93</v>
      </c>
      <c r="I967">
        <v>295</v>
      </c>
      <c r="J967">
        <v>5</v>
      </c>
      <c r="K967">
        <v>0.6</v>
      </c>
      <c r="L967" t="s">
        <v>12</v>
      </c>
    </row>
    <row r="968" spans="1:12" x14ac:dyDescent="0.3">
      <c r="A968">
        <v>29</v>
      </c>
      <c r="B968">
        <v>2021</v>
      </c>
      <c r="C968">
        <v>0.72</v>
      </c>
      <c r="D968">
        <v>0.95</v>
      </c>
      <c r="E968">
        <v>0.64</v>
      </c>
      <c r="F968">
        <v>0.67</v>
      </c>
      <c r="G968">
        <v>0.76</v>
      </c>
      <c r="H968">
        <v>0.71</v>
      </c>
      <c r="I968">
        <v>219</v>
      </c>
      <c r="J968">
        <v>6</v>
      </c>
      <c r="K968">
        <v>0.76</v>
      </c>
      <c r="L968" t="s">
        <v>13</v>
      </c>
    </row>
    <row r="969" spans="1:12" x14ac:dyDescent="0.3">
      <c r="A969">
        <v>69</v>
      </c>
      <c r="B969">
        <v>2024</v>
      </c>
      <c r="C969">
        <v>0.48</v>
      </c>
      <c r="D969">
        <v>0.97</v>
      </c>
      <c r="E969">
        <v>0.96</v>
      </c>
      <c r="F969">
        <v>0.78</v>
      </c>
      <c r="G969">
        <v>0.89</v>
      </c>
      <c r="H969">
        <v>0.45</v>
      </c>
      <c r="I969">
        <v>111</v>
      </c>
      <c r="J969">
        <v>4</v>
      </c>
      <c r="K969">
        <v>0.78</v>
      </c>
      <c r="L969" t="s">
        <v>13</v>
      </c>
    </row>
    <row r="970" spans="1:12" x14ac:dyDescent="0.3">
      <c r="A970">
        <v>6</v>
      </c>
      <c r="B970">
        <v>2022</v>
      </c>
      <c r="C970">
        <v>0.64</v>
      </c>
      <c r="D970">
        <v>0.82</v>
      </c>
      <c r="E970">
        <v>0.76</v>
      </c>
      <c r="F970">
        <v>0.76</v>
      </c>
      <c r="G970">
        <v>0.74</v>
      </c>
      <c r="H970">
        <v>0.97</v>
      </c>
      <c r="I970">
        <v>192</v>
      </c>
      <c r="J970">
        <v>2</v>
      </c>
      <c r="K970">
        <v>0.74</v>
      </c>
      <c r="L970" t="s">
        <v>13</v>
      </c>
    </row>
    <row r="971" spans="1:12" x14ac:dyDescent="0.3">
      <c r="A971">
        <v>49</v>
      </c>
      <c r="B971">
        <v>2023</v>
      </c>
      <c r="C971">
        <v>0.85</v>
      </c>
      <c r="D971">
        <v>0.72</v>
      </c>
      <c r="E971">
        <v>0.66</v>
      </c>
      <c r="F971">
        <v>0.65</v>
      </c>
      <c r="G971">
        <v>0.92</v>
      </c>
      <c r="H971">
        <v>0.47</v>
      </c>
      <c r="I971">
        <v>125</v>
      </c>
      <c r="J971">
        <v>0</v>
      </c>
      <c r="K971">
        <v>0.76</v>
      </c>
      <c r="L971" t="s">
        <v>13</v>
      </c>
    </row>
    <row r="972" spans="1:12" x14ac:dyDescent="0.3">
      <c r="A972">
        <v>24</v>
      </c>
      <c r="B972">
        <v>2024</v>
      </c>
      <c r="C972">
        <v>0.77</v>
      </c>
      <c r="D972">
        <v>0.88</v>
      </c>
      <c r="E972">
        <v>0.83</v>
      </c>
      <c r="F972">
        <v>0.76</v>
      </c>
      <c r="G972">
        <v>0.66</v>
      </c>
      <c r="H972">
        <v>0.8</v>
      </c>
      <c r="I972">
        <v>479</v>
      </c>
      <c r="J972">
        <v>11</v>
      </c>
      <c r="K972">
        <v>0.8</v>
      </c>
      <c r="L972" t="s">
        <v>13</v>
      </c>
    </row>
    <row r="973" spans="1:12" x14ac:dyDescent="0.3">
      <c r="A973">
        <v>93</v>
      </c>
      <c r="B973">
        <v>2024</v>
      </c>
      <c r="C973">
        <v>0.98</v>
      </c>
      <c r="D973">
        <v>0.98</v>
      </c>
      <c r="E973">
        <v>0.68</v>
      </c>
      <c r="F973">
        <v>0.63</v>
      </c>
      <c r="G973">
        <v>0.42</v>
      </c>
      <c r="H973">
        <v>0.99</v>
      </c>
      <c r="I973">
        <v>64</v>
      </c>
      <c r="J973">
        <v>9</v>
      </c>
      <c r="K973">
        <v>0.81</v>
      </c>
      <c r="L973" t="s">
        <v>13</v>
      </c>
    </row>
    <row r="974" spans="1:12" x14ac:dyDescent="0.3">
      <c r="A974">
        <v>63</v>
      </c>
      <c r="B974">
        <v>2024</v>
      </c>
      <c r="C974">
        <v>0.84</v>
      </c>
      <c r="D974">
        <v>0.9</v>
      </c>
      <c r="E974">
        <v>0.59</v>
      </c>
      <c r="F974">
        <v>0.96</v>
      </c>
      <c r="G974">
        <v>0.76</v>
      </c>
      <c r="H974">
        <v>0.88</v>
      </c>
      <c r="I974">
        <v>412</v>
      </c>
      <c r="J974">
        <v>10</v>
      </c>
      <c r="K974">
        <v>0.82</v>
      </c>
      <c r="L974" t="s">
        <v>13</v>
      </c>
    </row>
    <row r="975" spans="1:12" x14ac:dyDescent="0.3">
      <c r="A975">
        <v>7</v>
      </c>
      <c r="B975">
        <v>2025</v>
      </c>
      <c r="C975">
        <v>0.94</v>
      </c>
      <c r="D975">
        <v>0.94</v>
      </c>
      <c r="E975">
        <v>0.72</v>
      </c>
      <c r="F975">
        <v>0.71</v>
      </c>
      <c r="G975">
        <v>0.57999999999999996</v>
      </c>
      <c r="H975">
        <v>0.39</v>
      </c>
      <c r="I975">
        <v>437</v>
      </c>
      <c r="J975">
        <v>1</v>
      </c>
      <c r="K975">
        <v>0.83</v>
      </c>
      <c r="L975" t="s">
        <v>13</v>
      </c>
    </row>
    <row r="976" spans="1:12" x14ac:dyDescent="0.3">
      <c r="A976">
        <v>67</v>
      </c>
      <c r="B976">
        <v>2022</v>
      </c>
      <c r="C976">
        <v>0.35</v>
      </c>
      <c r="D976">
        <v>0.81</v>
      </c>
      <c r="E976">
        <v>0.59</v>
      </c>
      <c r="F976">
        <v>0.74</v>
      </c>
      <c r="G976">
        <v>0.34</v>
      </c>
      <c r="H976">
        <v>0.27</v>
      </c>
      <c r="I976">
        <v>132</v>
      </c>
      <c r="J976">
        <v>2</v>
      </c>
      <c r="K976">
        <v>0.56999999999999995</v>
      </c>
      <c r="L976" t="s">
        <v>12</v>
      </c>
    </row>
    <row r="977" spans="1:12" x14ac:dyDescent="0.3">
      <c r="A977">
        <v>73</v>
      </c>
      <c r="B977">
        <v>2024</v>
      </c>
      <c r="C977">
        <v>0.46</v>
      </c>
      <c r="D977">
        <v>0.68</v>
      </c>
      <c r="E977">
        <v>0.74</v>
      </c>
      <c r="F977">
        <v>0.95</v>
      </c>
      <c r="G977">
        <v>0.83</v>
      </c>
      <c r="H977">
        <v>0.51</v>
      </c>
      <c r="I977">
        <v>224</v>
      </c>
      <c r="J977">
        <v>2</v>
      </c>
      <c r="K977">
        <v>0.68</v>
      </c>
      <c r="L977" t="s">
        <v>12</v>
      </c>
    </row>
    <row r="978" spans="1:12" x14ac:dyDescent="0.3">
      <c r="A978">
        <v>83</v>
      </c>
      <c r="B978">
        <v>2024</v>
      </c>
      <c r="C978">
        <v>0.31</v>
      </c>
      <c r="D978">
        <v>0.64</v>
      </c>
      <c r="E978">
        <v>0.95</v>
      </c>
      <c r="F978">
        <v>0.9</v>
      </c>
      <c r="G978">
        <v>0.68</v>
      </c>
      <c r="H978">
        <v>0.53</v>
      </c>
      <c r="I978">
        <v>58</v>
      </c>
      <c r="J978">
        <v>16</v>
      </c>
      <c r="K978">
        <v>0.65</v>
      </c>
      <c r="L978" t="s">
        <v>12</v>
      </c>
    </row>
    <row r="979" spans="1:12" x14ac:dyDescent="0.3">
      <c r="A979">
        <v>65</v>
      </c>
      <c r="B979">
        <v>2023</v>
      </c>
      <c r="C979">
        <v>0.3</v>
      </c>
      <c r="D979">
        <v>0.7</v>
      </c>
      <c r="E979">
        <v>0.88</v>
      </c>
      <c r="F979">
        <v>0.93</v>
      </c>
      <c r="G979">
        <v>0.92</v>
      </c>
      <c r="H979">
        <v>0.49</v>
      </c>
      <c r="I979">
        <v>455</v>
      </c>
      <c r="J979">
        <v>14</v>
      </c>
      <c r="K979">
        <v>0.67</v>
      </c>
      <c r="L979" t="s">
        <v>12</v>
      </c>
    </row>
    <row r="980" spans="1:12" x14ac:dyDescent="0.3">
      <c r="A980">
        <v>56</v>
      </c>
      <c r="B980">
        <v>2021</v>
      </c>
      <c r="C980">
        <v>0.41</v>
      </c>
      <c r="D980">
        <v>0.62</v>
      </c>
      <c r="E980">
        <v>0.66</v>
      </c>
      <c r="F980">
        <v>0.77</v>
      </c>
      <c r="G980">
        <v>0.7</v>
      </c>
      <c r="H980">
        <v>0.9</v>
      </c>
      <c r="I980">
        <v>121</v>
      </c>
      <c r="J980">
        <v>5</v>
      </c>
      <c r="K980">
        <v>0.6</v>
      </c>
      <c r="L980" t="s">
        <v>12</v>
      </c>
    </row>
    <row r="981" spans="1:12" x14ac:dyDescent="0.3">
      <c r="A981">
        <v>12</v>
      </c>
      <c r="B981">
        <v>2022</v>
      </c>
      <c r="C981">
        <v>0.37</v>
      </c>
      <c r="D981">
        <v>0.41</v>
      </c>
      <c r="E981">
        <v>0.57999999999999996</v>
      </c>
      <c r="F981">
        <v>1</v>
      </c>
      <c r="G981">
        <v>0.43</v>
      </c>
      <c r="H981">
        <v>0.5</v>
      </c>
      <c r="I981">
        <v>420</v>
      </c>
      <c r="J981">
        <v>17</v>
      </c>
      <c r="K981">
        <v>0.52</v>
      </c>
      <c r="L981" t="s">
        <v>12</v>
      </c>
    </row>
    <row r="982" spans="1:12" x14ac:dyDescent="0.3">
      <c r="A982">
        <v>52</v>
      </c>
      <c r="B982">
        <v>2024</v>
      </c>
      <c r="C982">
        <v>0.72</v>
      </c>
      <c r="D982">
        <v>0.56999999999999995</v>
      </c>
      <c r="E982">
        <v>0.93</v>
      </c>
      <c r="F982">
        <v>0.71</v>
      </c>
      <c r="G982">
        <v>0.78</v>
      </c>
      <c r="H982">
        <v>0.67</v>
      </c>
      <c r="I982">
        <v>327</v>
      </c>
      <c r="J982">
        <v>0</v>
      </c>
      <c r="K982">
        <v>0.73</v>
      </c>
      <c r="L982" t="s">
        <v>13</v>
      </c>
    </row>
    <row r="983" spans="1:12" x14ac:dyDescent="0.3">
      <c r="A983">
        <v>38</v>
      </c>
      <c r="B983">
        <v>2025</v>
      </c>
      <c r="C983">
        <v>0.5</v>
      </c>
      <c r="D983">
        <v>0.89</v>
      </c>
      <c r="E983">
        <v>0.9</v>
      </c>
      <c r="F983">
        <v>0.78</v>
      </c>
      <c r="G983">
        <v>0.72</v>
      </c>
      <c r="H983">
        <v>0.6</v>
      </c>
      <c r="I983">
        <v>300</v>
      </c>
      <c r="J983">
        <v>12</v>
      </c>
      <c r="K983">
        <v>0.74</v>
      </c>
      <c r="L983" t="s">
        <v>13</v>
      </c>
    </row>
    <row r="984" spans="1:12" x14ac:dyDescent="0.3">
      <c r="A984">
        <v>96</v>
      </c>
      <c r="B984">
        <v>2025</v>
      </c>
      <c r="C984">
        <v>0.68</v>
      </c>
      <c r="D984">
        <v>0.73</v>
      </c>
      <c r="E984">
        <v>0.75</v>
      </c>
      <c r="F984">
        <v>0.72</v>
      </c>
      <c r="G984">
        <v>0.95</v>
      </c>
      <c r="H984">
        <v>0.59</v>
      </c>
      <c r="I984">
        <v>299</v>
      </c>
      <c r="J984">
        <v>11</v>
      </c>
      <c r="K984">
        <v>0.74</v>
      </c>
      <c r="L984" t="s">
        <v>13</v>
      </c>
    </row>
    <row r="985" spans="1:12" x14ac:dyDescent="0.3">
      <c r="A985">
        <v>21</v>
      </c>
      <c r="B985">
        <v>2023</v>
      </c>
      <c r="C985">
        <v>0.84</v>
      </c>
      <c r="D985">
        <v>0.98</v>
      </c>
      <c r="E985">
        <v>0.75</v>
      </c>
      <c r="F985">
        <v>0.64</v>
      </c>
      <c r="G985">
        <v>0.61</v>
      </c>
      <c r="H985">
        <v>0.48</v>
      </c>
      <c r="I985">
        <v>421</v>
      </c>
      <c r="J985">
        <v>15</v>
      </c>
      <c r="K985">
        <v>0.8</v>
      </c>
      <c r="L985" t="s">
        <v>13</v>
      </c>
    </row>
    <row r="986" spans="1:12" x14ac:dyDescent="0.3">
      <c r="A986">
        <v>10</v>
      </c>
      <c r="B986">
        <v>2025</v>
      </c>
      <c r="C986">
        <v>0.64</v>
      </c>
      <c r="D986">
        <v>0.98</v>
      </c>
      <c r="E986">
        <v>0.5</v>
      </c>
      <c r="F986">
        <v>0.96</v>
      </c>
      <c r="G986">
        <v>0.95</v>
      </c>
      <c r="H986">
        <v>0.96</v>
      </c>
      <c r="I986">
        <v>215</v>
      </c>
      <c r="J986">
        <v>14</v>
      </c>
      <c r="K986">
        <v>0.78</v>
      </c>
      <c r="L986" t="s">
        <v>13</v>
      </c>
    </row>
    <row r="987" spans="1:12" x14ac:dyDescent="0.3">
      <c r="A987">
        <v>87</v>
      </c>
      <c r="B987">
        <v>2022</v>
      </c>
      <c r="C987">
        <v>0.87</v>
      </c>
      <c r="D987">
        <v>0.97</v>
      </c>
      <c r="E987">
        <v>0.56999999999999995</v>
      </c>
      <c r="F987">
        <v>0.8</v>
      </c>
      <c r="G987">
        <v>0.45</v>
      </c>
      <c r="H987">
        <v>0.06</v>
      </c>
      <c r="I987">
        <v>80</v>
      </c>
      <c r="J987">
        <v>9</v>
      </c>
      <c r="K987">
        <v>0.78</v>
      </c>
      <c r="L987" t="s">
        <v>13</v>
      </c>
    </row>
    <row r="988" spans="1:12" x14ac:dyDescent="0.3">
      <c r="A988">
        <v>19</v>
      </c>
      <c r="B988">
        <v>2024</v>
      </c>
      <c r="C988">
        <v>0.4</v>
      </c>
      <c r="D988">
        <v>0.64</v>
      </c>
      <c r="E988">
        <v>0.95</v>
      </c>
      <c r="F988">
        <v>1</v>
      </c>
      <c r="G988">
        <v>0.99</v>
      </c>
      <c r="H988">
        <v>0.88</v>
      </c>
      <c r="I988">
        <v>450</v>
      </c>
      <c r="J988">
        <v>17</v>
      </c>
      <c r="K988">
        <v>0.72</v>
      </c>
      <c r="L988" t="s">
        <v>13</v>
      </c>
    </row>
    <row r="989" spans="1:12" x14ac:dyDescent="0.3">
      <c r="A989">
        <v>28</v>
      </c>
      <c r="B989">
        <v>2023</v>
      </c>
      <c r="C989">
        <v>0.52</v>
      </c>
      <c r="D989">
        <v>0.45</v>
      </c>
      <c r="E989">
        <v>0.61</v>
      </c>
      <c r="F989">
        <v>0.68</v>
      </c>
      <c r="G989">
        <v>0.6</v>
      </c>
      <c r="H989">
        <v>0.66</v>
      </c>
      <c r="I989">
        <v>445</v>
      </c>
      <c r="J989">
        <v>1</v>
      </c>
      <c r="K989">
        <v>0.55000000000000004</v>
      </c>
      <c r="L989" t="s">
        <v>12</v>
      </c>
    </row>
    <row r="990" spans="1:12" x14ac:dyDescent="0.3">
      <c r="A990">
        <v>28</v>
      </c>
      <c r="B990">
        <v>2022</v>
      </c>
      <c r="C990">
        <v>0.3</v>
      </c>
      <c r="D990">
        <v>0.63</v>
      </c>
      <c r="E990">
        <v>0.53</v>
      </c>
      <c r="F990">
        <v>0.97</v>
      </c>
      <c r="G990">
        <v>0.59</v>
      </c>
      <c r="H990">
        <v>0.46</v>
      </c>
      <c r="I990">
        <v>282</v>
      </c>
      <c r="J990">
        <v>9</v>
      </c>
      <c r="K990">
        <v>0.56000000000000005</v>
      </c>
      <c r="L990" t="s">
        <v>12</v>
      </c>
    </row>
    <row r="991" spans="1:12" x14ac:dyDescent="0.3">
      <c r="A991">
        <v>86</v>
      </c>
      <c r="B991">
        <v>2021</v>
      </c>
      <c r="C991">
        <v>0.75</v>
      </c>
      <c r="D991">
        <v>0.85</v>
      </c>
      <c r="E991">
        <v>0.95</v>
      </c>
      <c r="F991">
        <v>0.95</v>
      </c>
      <c r="G991">
        <v>0.77</v>
      </c>
      <c r="H991">
        <v>0.21</v>
      </c>
      <c r="I991">
        <v>150</v>
      </c>
      <c r="J991">
        <v>1</v>
      </c>
      <c r="K991">
        <v>0.85</v>
      </c>
      <c r="L991" t="s">
        <v>13</v>
      </c>
    </row>
    <row r="992" spans="1:12" x14ac:dyDescent="0.3">
      <c r="A992">
        <v>60</v>
      </c>
      <c r="B992">
        <v>2022</v>
      </c>
      <c r="C992">
        <v>0.76</v>
      </c>
      <c r="D992">
        <v>0.66</v>
      </c>
      <c r="E992">
        <v>0.94</v>
      </c>
      <c r="F992">
        <v>0.94</v>
      </c>
      <c r="G992">
        <v>0.67</v>
      </c>
      <c r="H992">
        <v>0.69</v>
      </c>
      <c r="I992">
        <v>214</v>
      </c>
      <c r="J992">
        <v>15</v>
      </c>
      <c r="K992">
        <v>0.79</v>
      </c>
      <c r="L992" t="s">
        <v>13</v>
      </c>
    </row>
    <row r="993" spans="1:12" x14ac:dyDescent="0.3">
      <c r="A993">
        <v>89</v>
      </c>
      <c r="B993">
        <v>2024</v>
      </c>
      <c r="C993">
        <v>0.52</v>
      </c>
      <c r="D993">
        <v>0.85</v>
      </c>
      <c r="E993">
        <v>0.61</v>
      </c>
      <c r="F993">
        <v>0.76</v>
      </c>
      <c r="G993">
        <v>0.91</v>
      </c>
      <c r="H993">
        <v>0.72</v>
      </c>
      <c r="I993">
        <v>170</v>
      </c>
      <c r="J993">
        <v>16</v>
      </c>
      <c r="K993">
        <v>0.7</v>
      </c>
      <c r="L993" t="s">
        <v>12</v>
      </c>
    </row>
    <row r="994" spans="1:12" x14ac:dyDescent="0.3">
      <c r="A994">
        <v>24</v>
      </c>
      <c r="B994">
        <v>2022</v>
      </c>
      <c r="C994">
        <v>0.5</v>
      </c>
      <c r="D994">
        <v>0.51</v>
      </c>
      <c r="E994">
        <v>0.87</v>
      </c>
      <c r="F994">
        <v>0.7</v>
      </c>
      <c r="G994">
        <v>0.62</v>
      </c>
      <c r="H994">
        <v>0.39</v>
      </c>
      <c r="I994">
        <v>120</v>
      </c>
      <c r="J994">
        <v>13</v>
      </c>
      <c r="K994">
        <v>0.62</v>
      </c>
      <c r="L994" t="s">
        <v>12</v>
      </c>
    </row>
    <row r="995" spans="1:12" x14ac:dyDescent="0.3">
      <c r="A995">
        <v>28</v>
      </c>
      <c r="B995">
        <v>2022</v>
      </c>
      <c r="C995">
        <v>0.36</v>
      </c>
      <c r="D995">
        <v>0.45</v>
      </c>
      <c r="E995">
        <v>0.8</v>
      </c>
      <c r="F995">
        <v>0.84</v>
      </c>
      <c r="G995">
        <v>0.59</v>
      </c>
      <c r="H995">
        <v>0.43</v>
      </c>
      <c r="I995">
        <v>179</v>
      </c>
      <c r="J995">
        <v>18</v>
      </c>
      <c r="K995">
        <v>0.56999999999999995</v>
      </c>
      <c r="L995" t="s">
        <v>12</v>
      </c>
    </row>
    <row r="996" spans="1:12" x14ac:dyDescent="0.3">
      <c r="A996">
        <v>76</v>
      </c>
      <c r="B996">
        <v>2021</v>
      </c>
      <c r="C996">
        <v>0.4</v>
      </c>
      <c r="D996">
        <v>0.46</v>
      </c>
      <c r="E996">
        <v>0.56000000000000005</v>
      </c>
      <c r="F996">
        <v>0.64</v>
      </c>
      <c r="G996">
        <v>0.73</v>
      </c>
      <c r="H996">
        <v>0.2</v>
      </c>
      <c r="I996">
        <v>383</v>
      </c>
      <c r="J996">
        <v>9</v>
      </c>
      <c r="K996">
        <v>0.52</v>
      </c>
      <c r="L996" t="s">
        <v>12</v>
      </c>
    </row>
    <row r="997" spans="1:12" x14ac:dyDescent="0.3">
      <c r="A997">
        <v>67</v>
      </c>
      <c r="B997">
        <v>2024</v>
      </c>
      <c r="C997">
        <v>0.56999999999999995</v>
      </c>
      <c r="D997">
        <v>0.84</v>
      </c>
      <c r="E997">
        <v>0.71</v>
      </c>
      <c r="F997">
        <v>0.89</v>
      </c>
      <c r="G997">
        <v>0.38</v>
      </c>
      <c r="H997">
        <v>0.81</v>
      </c>
      <c r="I997">
        <v>208</v>
      </c>
      <c r="J997">
        <v>19</v>
      </c>
      <c r="K997">
        <v>0.69</v>
      </c>
      <c r="L997" t="s">
        <v>12</v>
      </c>
    </row>
    <row r="998" spans="1:12" x14ac:dyDescent="0.3">
      <c r="A998">
        <v>26</v>
      </c>
      <c r="B998">
        <v>2023</v>
      </c>
      <c r="C998">
        <v>0.86</v>
      </c>
      <c r="D998">
        <v>0.88</v>
      </c>
      <c r="E998">
        <v>0.56000000000000005</v>
      </c>
      <c r="F998">
        <v>0.76</v>
      </c>
      <c r="G998">
        <v>0.42</v>
      </c>
      <c r="H998">
        <v>0.25</v>
      </c>
      <c r="I998">
        <v>108</v>
      </c>
      <c r="J998">
        <v>11</v>
      </c>
      <c r="K998">
        <v>0.75</v>
      </c>
      <c r="L998" t="s">
        <v>13</v>
      </c>
    </row>
    <row r="999" spans="1:12" x14ac:dyDescent="0.3">
      <c r="A999">
        <v>64</v>
      </c>
      <c r="B999">
        <v>2025</v>
      </c>
      <c r="C999">
        <v>0.54</v>
      </c>
      <c r="D999">
        <v>0.47</v>
      </c>
      <c r="E999">
        <v>0.64</v>
      </c>
      <c r="F999">
        <v>0.91</v>
      </c>
      <c r="G999">
        <v>0.55000000000000004</v>
      </c>
      <c r="H999">
        <v>0.81</v>
      </c>
      <c r="I999">
        <v>165</v>
      </c>
      <c r="J999">
        <v>12</v>
      </c>
      <c r="K999">
        <v>0.6</v>
      </c>
      <c r="L999" t="s">
        <v>12</v>
      </c>
    </row>
    <row r="1000" spans="1:12" x14ac:dyDescent="0.3">
      <c r="A1000">
        <v>29</v>
      </c>
      <c r="B1000">
        <v>2023</v>
      </c>
      <c r="C1000">
        <v>0.62</v>
      </c>
      <c r="D1000">
        <v>0.41</v>
      </c>
      <c r="E1000">
        <v>0.56000000000000005</v>
      </c>
      <c r="F1000">
        <v>0.67</v>
      </c>
      <c r="G1000">
        <v>0.38</v>
      </c>
      <c r="H1000">
        <v>0.34</v>
      </c>
      <c r="I1000">
        <v>65</v>
      </c>
      <c r="J1000">
        <v>16</v>
      </c>
      <c r="K1000">
        <v>0.54</v>
      </c>
      <c r="L1000" t="s">
        <v>12</v>
      </c>
    </row>
    <row r="1001" spans="1:12" x14ac:dyDescent="0.3">
      <c r="A1001">
        <v>32</v>
      </c>
      <c r="B1001">
        <v>2022</v>
      </c>
      <c r="C1001">
        <v>0.8</v>
      </c>
      <c r="D1001">
        <v>0.66</v>
      </c>
      <c r="E1001">
        <v>0.7</v>
      </c>
      <c r="F1001">
        <v>0.65</v>
      </c>
      <c r="G1001">
        <v>0.65</v>
      </c>
      <c r="H1001">
        <v>0.13</v>
      </c>
      <c r="I1001">
        <v>142</v>
      </c>
      <c r="J1001">
        <v>18</v>
      </c>
      <c r="K1001">
        <v>0.71</v>
      </c>
      <c r="L1001" t="s">
        <v>13</v>
      </c>
    </row>
    <row r="1002" spans="1:12" x14ac:dyDescent="0.3">
      <c r="A1002">
        <v>44</v>
      </c>
      <c r="B1002">
        <v>2024</v>
      </c>
      <c r="C1002">
        <v>0.4</v>
      </c>
      <c r="D1002">
        <v>0.73</v>
      </c>
      <c r="E1002">
        <v>0.88</v>
      </c>
      <c r="F1002">
        <v>0.71</v>
      </c>
      <c r="G1002">
        <v>0.45</v>
      </c>
      <c r="H1002">
        <v>0.52</v>
      </c>
      <c r="I1002">
        <v>83</v>
      </c>
      <c r="J1002">
        <v>15</v>
      </c>
      <c r="K1002">
        <v>0.63</v>
      </c>
      <c r="L1002" t="s">
        <v>12</v>
      </c>
    </row>
    <row r="1003" spans="1:12" x14ac:dyDescent="0.3">
      <c r="A1003">
        <v>45</v>
      </c>
      <c r="B1003">
        <v>2023</v>
      </c>
      <c r="C1003">
        <v>0.33</v>
      </c>
      <c r="D1003">
        <v>0.77</v>
      </c>
      <c r="E1003">
        <v>0.65</v>
      </c>
      <c r="F1003">
        <v>0.63</v>
      </c>
      <c r="G1003">
        <v>0.83</v>
      </c>
      <c r="H1003">
        <v>0.31</v>
      </c>
      <c r="I1003">
        <v>289</v>
      </c>
      <c r="J1003">
        <v>2</v>
      </c>
      <c r="K1003">
        <v>0.6</v>
      </c>
      <c r="L1003" t="s">
        <v>12</v>
      </c>
    </row>
    <row r="1004" spans="1:12" x14ac:dyDescent="0.3">
      <c r="A1004">
        <v>39</v>
      </c>
      <c r="B1004">
        <v>2025</v>
      </c>
      <c r="C1004">
        <v>0.74</v>
      </c>
      <c r="D1004">
        <v>0.57999999999999996</v>
      </c>
      <c r="E1004">
        <v>0.98</v>
      </c>
      <c r="F1004">
        <v>0.88</v>
      </c>
      <c r="G1004">
        <v>0.4</v>
      </c>
      <c r="H1004">
        <v>0.42</v>
      </c>
      <c r="I1004">
        <v>337</v>
      </c>
      <c r="J1004">
        <v>12</v>
      </c>
      <c r="K1004">
        <v>0.74</v>
      </c>
      <c r="L1004" t="s">
        <v>13</v>
      </c>
    </row>
    <row r="1005" spans="1:12" x14ac:dyDescent="0.3">
      <c r="A1005">
        <v>61</v>
      </c>
      <c r="B1005">
        <v>2021</v>
      </c>
      <c r="C1005">
        <v>0.71</v>
      </c>
      <c r="D1005">
        <v>0.44</v>
      </c>
      <c r="E1005">
        <v>0.83</v>
      </c>
      <c r="F1005">
        <v>0.6</v>
      </c>
      <c r="G1005">
        <v>0.85</v>
      </c>
      <c r="H1005">
        <v>0.67</v>
      </c>
      <c r="I1005">
        <v>497</v>
      </c>
      <c r="J1005">
        <v>12</v>
      </c>
      <c r="K1005">
        <v>0.66</v>
      </c>
      <c r="L1005" t="s">
        <v>12</v>
      </c>
    </row>
    <row r="1006" spans="1:12" x14ac:dyDescent="0.3">
      <c r="A1006">
        <v>30</v>
      </c>
      <c r="B1006">
        <v>2025</v>
      </c>
      <c r="C1006">
        <v>0.33</v>
      </c>
      <c r="D1006">
        <v>0.74</v>
      </c>
      <c r="E1006">
        <v>0.93</v>
      </c>
      <c r="F1006">
        <v>0.7</v>
      </c>
      <c r="G1006">
        <v>0.91</v>
      </c>
      <c r="H1006">
        <v>0.02</v>
      </c>
      <c r="I1006">
        <v>451</v>
      </c>
      <c r="J1006">
        <v>4</v>
      </c>
      <c r="K1006">
        <v>0.67</v>
      </c>
      <c r="L1006" t="s">
        <v>12</v>
      </c>
    </row>
    <row r="1007" spans="1:12" x14ac:dyDescent="0.3">
      <c r="A1007">
        <v>19</v>
      </c>
      <c r="B1007">
        <v>2022</v>
      </c>
      <c r="C1007">
        <v>0.76</v>
      </c>
      <c r="D1007">
        <v>0.66</v>
      </c>
      <c r="E1007">
        <v>0.52</v>
      </c>
      <c r="F1007">
        <v>0.97</v>
      </c>
      <c r="G1007">
        <v>0.63</v>
      </c>
      <c r="H1007">
        <v>0.03</v>
      </c>
      <c r="I1007">
        <v>314</v>
      </c>
      <c r="J1007">
        <v>11</v>
      </c>
      <c r="K1007">
        <v>0.71</v>
      </c>
      <c r="L1007" t="s">
        <v>13</v>
      </c>
    </row>
    <row r="1008" spans="1:12" x14ac:dyDescent="0.3">
      <c r="A1008">
        <v>78</v>
      </c>
      <c r="B1008">
        <v>2025</v>
      </c>
      <c r="C1008">
        <v>0.35</v>
      </c>
      <c r="D1008">
        <v>0.74</v>
      </c>
      <c r="E1008">
        <v>0.81</v>
      </c>
      <c r="F1008">
        <v>0.8</v>
      </c>
      <c r="G1008">
        <v>0.87</v>
      </c>
      <c r="H1008">
        <v>0.86</v>
      </c>
      <c r="I1008">
        <v>423</v>
      </c>
      <c r="J1008">
        <v>13</v>
      </c>
      <c r="K1008">
        <v>0.66</v>
      </c>
      <c r="L1008" t="s">
        <v>12</v>
      </c>
    </row>
    <row r="1009" spans="1:12" x14ac:dyDescent="0.3">
      <c r="A1009">
        <v>75</v>
      </c>
      <c r="B1009">
        <v>2025</v>
      </c>
      <c r="C1009">
        <v>0.59</v>
      </c>
      <c r="D1009">
        <v>0.74</v>
      </c>
      <c r="E1009">
        <v>0.82</v>
      </c>
      <c r="F1009">
        <v>0.74</v>
      </c>
      <c r="G1009">
        <v>0.94</v>
      </c>
      <c r="H1009">
        <v>0.13</v>
      </c>
      <c r="I1009">
        <v>224</v>
      </c>
      <c r="J1009">
        <v>17</v>
      </c>
      <c r="K1009">
        <v>0.73</v>
      </c>
      <c r="L1009" t="s">
        <v>13</v>
      </c>
    </row>
    <row r="1010" spans="1:12" x14ac:dyDescent="0.3">
      <c r="A1010">
        <v>5</v>
      </c>
      <c r="B1010">
        <v>2023</v>
      </c>
      <c r="C1010">
        <v>0.69</v>
      </c>
      <c r="D1010">
        <v>0.49</v>
      </c>
      <c r="E1010">
        <v>0.9</v>
      </c>
      <c r="F1010">
        <v>0.97</v>
      </c>
      <c r="G1010">
        <v>0.42</v>
      </c>
      <c r="H1010">
        <v>0.82</v>
      </c>
      <c r="I1010">
        <v>158</v>
      </c>
      <c r="J1010">
        <v>9</v>
      </c>
      <c r="K1010">
        <v>0.7</v>
      </c>
      <c r="L1010" t="s">
        <v>12</v>
      </c>
    </row>
    <row r="1011" spans="1:12" x14ac:dyDescent="0.3">
      <c r="A1011">
        <v>89</v>
      </c>
      <c r="B1011">
        <v>2021</v>
      </c>
      <c r="C1011">
        <v>0.94</v>
      </c>
      <c r="D1011">
        <v>0.73</v>
      </c>
      <c r="E1011">
        <v>0.68</v>
      </c>
      <c r="F1011">
        <v>0.6</v>
      </c>
      <c r="G1011">
        <v>0.34</v>
      </c>
      <c r="H1011">
        <v>0.43</v>
      </c>
      <c r="I1011">
        <v>309</v>
      </c>
      <c r="J1011">
        <v>3</v>
      </c>
      <c r="K1011">
        <v>0.72</v>
      </c>
      <c r="L1011" t="s">
        <v>13</v>
      </c>
    </row>
    <row r="1012" spans="1:12" x14ac:dyDescent="0.3">
      <c r="A1012">
        <v>94</v>
      </c>
      <c r="B1012">
        <v>2022</v>
      </c>
      <c r="C1012">
        <v>0.42</v>
      </c>
      <c r="D1012">
        <v>0.91</v>
      </c>
      <c r="E1012">
        <v>0.65</v>
      </c>
      <c r="F1012">
        <v>0.84</v>
      </c>
      <c r="G1012">
        <v>0.65</v>
      </c>
      <c r="H1012">
        <v>0.05</v>
      </c>
      <c r="I1012">
        <v>210</v>
      </c>
      <c r="J1012">
        <v>11</v>
      </c>
      <c r="K1012">
        <v>0.67</v>
      </c>
      <c r="L1012" t="s">
        <v>12</v>
      </c>
    </row>
    <row r="1013" spans="1:12" x14ac:dyDescent="0.3">
      <c r="A1013">
        <v>57</v>
      </c>
      <c r="B1013">
        <v>2022</v>
      </c>
      <c r="C1013">
        <v>0.94</v>
      </c>
      <c r="D1013">
        <v>0.87</v>
      </c>
      <c r="E1013">
        <v>0.88</v>
      </c>
      <c r="F1013">
        <v>0.84</v>
      </c>
      <c r="G1013">
        <v>0.74</v>
      </c>
      <c r="H1013">
        <v>0.64</v>
      </c>
      <c r="I1013">
        <v>185</v>
      </c>
      <c r="J1013">
        <v>11</v>
      </c>
      <c r="K1013">
        <v>0.88</v>
      </c>
      <c r="L1013" t="s">
        <v>13</v>
      </c>
    </row>
    <row r="1014" spans="1:12" x14ac:dyDescent="0.3">
      <c r="A1014">
        <v>41</v>
      </c>
      <c r="B1014">
        <v>2022</v>
      </c>
      <c r="C1014">
        <v>0.6</v>
      </c>
      <c r="D1014">
        <v>0.52</v>
      </c>
      <c r="E1014">
        <v>0.51</v>
      </c>
      <c r="F1014">
        <v>0.92</v>
      </c>
      <c r="G1014">
        <v>0.31</v>
      </c>
      <c r="H1014">
        <v>0.83</v>
      </c>
      <c r="I1014">
        <v>386</v>
      </c>
      <c r="J1014">
        <v>11</v>
      </c>
      <c r="K1014">
        <v>0.57999999999999996</v>
      </c>
      <c r="L1014" t="s">
        <v>12</v>
      </c>
    </row>
    <row r="1015" spans="1:12" x14ac:dyDescent="0.3">
      <c r="A1015">
        <v>13</v>
      </c>
      <c r="B1015">
        <v>2023</v>
      </c>
      <c r="C1015">
        <v>0.38</v>
      </c>
      <c r="D1015">
        <v>0.92</v>
      </c>
      <c r="E1015">
        <v>0.92</v>
      </c>
      <c r="F1015">
        <v>0.86</v>
      </c>
      <c r="G1015">
        <v>0.65</v>
      </c>
      <c r="H1015">
        <v>0.72</v>
      </c>
      <c r="I1015">
        <v>299</v>
      </c>
      <c r="J1015">
        <v>13</v>
      </c>
      <c r="K1015">
        <v>0.72</v>
      </c>
      <c r="L1015" t="s">
        <v>13</v>
      </c>
    </row>
    <row r="1016" spans="1:12" x14ac:dyDescent="0.3">
      <c r="A1016">
        <v>6</v>
      </c>
      <c r="B1016">
        <v>2021</v>
      </c>
      <c r="C1016">
        <v>0.39</v>
      </c>
      <c r="D1016">
        <v>0.99</v>
      </c>
      <c r="E1016">
        <v>0.7</v>
      </c>
      <c r="F1016">
        <v>0.69</v>
      </c>
      <c r="G1016">
        <v>0.42</v>
      </c>
      <c r="H1016">
        <v>0.67</v>
      </c>
      <c r="I1016">
        <v>433</v>
      </c>
      <c r="J1016">
        <v>17</v>
      </c>
      <c r="K1016">
        <v>0.65</v>
      </c>
      <c r="L1016" t="s">
        <v>12</v>
      </c>
    </row>
    <row r="1017" spans="1:12" x14ac:dyDescent="0.3">
      <c r="A1017">
        <v>52</v>
      </c>
      <c r="B1017">
        <v>2025</v>
      </c>
      <c r="C1017">
        <v>0.78</v>
      </c>
      <c r="D1017">
        <v>0.62</v>
      </c>
      <c r="E1017">
        <v>0.88</v>
      </c>
      <c r="F1017">
        <v>0.99</v>
      </c>
      <c r="G1017">
        <v>0.38</v>
      </c>
      <c r="H1017">
        <v>0.31</v>
      </c>
      <c r="I1017">
        <v>392</v>
      </c>
      <c r="J1017">
        <v>7</v>
      </c>
      <c r="K1017">
        <v>0.75</v>
      </c>
      <c r="L1017" t="s">
        <v>13</v>
      </c>
    </row>
    <row r="1018" spans="1:12" x14ac:dyDescent="0.3">
      <c r="A1018">
        <v>45</v>
      </c>
      <c r="B1018">
        <v>2023</v>
      </c>
      <c r="C1018">
        <v>0.85</v>
      </c>
      <c r="D1018">
        <v>0.96</v>
      </c>
      <c r="E1018">
        <v>0.62</v>
      </c>
      <c r="F1018">
        <v>0.83</v>
      </c>
      <c r="G1018">
        <v>0.49</v>
      </c>
      <c r="H1018">
        <v>0.82</v>
      </c>
      <c r="I1018">
        <v>329</v>
      </c>
      <c r="J1018">
        <v>1</v>
      </c>
      <c r="K1018">
        <v>0.79</v>
      </c>
      <c r="L1018" t="s">
        <v>13</v>
      </c>
    </row>
    <row r="1019" spans="1:12" x14ac:dyDescent="0.3">
      <c r="A1019">
        <v>7</v>
      </c>
      <c r="B1019">
        <v>2025</v>
      </c>
      <c r="C1019">
        <v>0.91</v>
      </c>
      <c r="D1019">
        <v>0.42</v>
      </c>
      <c r="E1019">
        <v>0.78</v>
      </c>
      <c r="F1019">
        <v>0.69</v>
      </c>
      <c r="G1019">
        <v>0.54</v>
      </c>
      <c r="H1019">
        <v>0.78</v>
      </c>
      <c r="I1019">
        <v>64</v>
      </c>
      <c r="J1019">
        <v>8</v>
      </c>
      <c r="K1019">
        <v>0.69</v>
      </c>
      <c r="L1019" t="s">
        <v>12</v>
      </c>
    </row>
    <row r="1020" spans="1:12" x14ac:dyDescent="0.3">
      <c r="A1020">
        <v>53</v>
      </c>
      <c r="B1020">
        <v>2021</v>
      </c>
      <c r="C1020">
        <v>0.84</v>
      </c>
      <c r="D1020">
        <v>0.88</v>
      </c>
      <c r="E1020">
        <v>0.77</v>
      </c>
      <c r="F1020">
        <v>0.67</v>
      </c>
      <c r="G1020">
        <v>0.6</v>
      </c>
      <c r="H1020">
        <v>0.55000000000000004</v>
      </c>
      <c r="I1020">
        <v>117</v>
      </c>
      <c r="J1020">
        <v>14</v>
      </c>
      <c r="K1020">
        <v>0.79</v>
      </c>
      <c r="L1020" t="s">
        <v>13</v>
      </c>
    </row>
    <row r="1021" spans="1:12" x14ac:dyDescent="0.3">
      <c r="A1021">
        <v>65</v>
      </c>
      <c r="B1021">
        <v>2025</v>
      </c>
      <c r="C1021">
        <v>0.6</v>
      </c>
      <c r="D1021">
        <v>0.73</v>
      </c>
      <c r="E1021">
        <v>0.66</v>
      </c>
      <c r="F1021">
        <v>0.89</v>
      </c>
      <c r="G1021">
        <v>0.75</v>
      </c>
      <c r="H1021">
        <v>0.33</v>
      </c>
      <c r="I1021">
        <v>412</v>
      </c>
      <c r="J1021">
        <v>8</v>
      </c>
      <c r="K1021">
        <v>0.7</v>
      </c>
      <c r="L1021" t="s">
        <v>12</v>
      </c>
    </row>
    <row r="1022" spans="1:12" x14ac:dyDescent="0.3">
      <c r="A1022">
        <v>89</v>
      </c>
      <c r="B1022">
        <v>2022</v>
      </c>
      <c r="C1022">
        <v>0.69</v>
      </c>
      <c r="D1022">
        <v>0.41</v>
      </c>
      <c r="E1022">
        <v>0.85</v>
      </c>
      <c r="F1022">
        <v>0.75</v>
      </c>
      <c r="G1022">
        <v>0.96</v>
      </c>
      <c r="H1022">
        <v>0.82</v>
      </c>
      <c r="I1022">
        <v>322</v>
      </c>
      <c r="J1022">
        <v>2</v>
      </c>
      <c r="K1022">
        <v>0.69</v>
      </c>
      <c r="L1022" t="s">
        <v>12</v>
      </c>
    </row>
    <row r="1023" spans="1:12" x14ac:dyDescent="0.3">
      <c r="A1023">
        <v>1</v>
      </c>
      <c r="B1023">
        <v>2025</v>
      </c>
      <c r="C1023">
        <v>0.44</v>
      </c>
      <c r="D1023">
        <v>0.6</v>
      </c>
      <c r="E1023">
        <v>0.74</v>
      </c>
      <c r="F1023">
        <v>0.72</v>
      </c>
      <c r="G1023">
        <v>0.66</v>
      </c>
      <c r="H1023">
        <v>0.17</v>
      </c>
      <c r="I1023">
        <v>322</v>
      </c>
      <c r="J1023">
        <v>7</v>
      </c>
      <c r="K1023">
        <v>0.6</v>
      </c>
      <c r="L1023" t="s">
        <v>12</v>
      </c>
    </row>
    <row r="1024" spans="1:12" x14ac:dyDescent="0.3">
      <c r="A1024">
        <v>13</v>
      </c>
      <c r="B1024">
        <v>2024</v>
      </c>
      <c r="C1024">
        <v>0.95</v>
      </c>
      <c r="D1024">
        <v>0.95</v>
      </c>
      <c r="E1024">
        <v>0.76</v>
      </c>
      <c r="F1024">
        <v>0.89</v>
      </c>
      <c r="G1024">
        <v>0.61</v>
      </c>
      <c r="H1024">
        <v>0.63</v>
      </c>
      <c r="I1024">
        <v>66</v>
      </c>
      <c r="J1024">
        <v>15</v>
      </c>
      <c r="K1024">
        <v>0.87</v>
      </c>
      <c r="L1024" t="s">
        <v>13</v>
      </c>
    </row>
    <row r="1025" spans="1:12" x14ac:dyDescent="0.3">
      <c r="A1025">
        <v>20</v>
      </c>
      <c r="B1025">
        <v>2021</v>
      </c>
      <c r="C1025">
        <v>0.65</v>
      </c>
      <c r="D1025">
        <v>0.75</v>
      </c>
      <c r="E1025">
        <v>0.64</v>
      </c>
      <c r="F1025">
        <v>0.75</v>
      </c>
      <c r="G1025">
        <v>0.36</v>
      </c>
      <c r="H1025">
        <v>0.05</v>
      </c>
      <c r="I1025">
        <v>318</v>
      </c>
      <c r="J1025">
        <v>13</v>
      </c>
      <c r="K1025">
        <v>0.66</v>
      </c>
      <c r="L1025" t="s">
        <v>12</v>
      </c>
    </row>
    <row r="1026" spans="1:12" x14ac:dyDescent="0.3">
      <c r="A1026">
        <v>27</v>
      </c>
      <c r="B1026">
        <v>2023</v>
      </c>
      <c r="C1026">
        <v>0.73</v>
      </c>
      <c r="D1026">
        <v>0.76</v>
      </c>
      <c r="E1026">
        <v>0.65</v>
      </c>
      <c r="F1026">
        <v>0.87</v>
      </c>
      <c r="G1026">
        <v>0.86</v>
      </c>
      <c r="H1026">
        <v>0.11</v>
      </c>
      <c r="I1026">
        <v>117</v>
      </c>
      <c r="J1026">
        <v>19</v>
      </c>
      <c r="K1026">
        <v>0.76</v>
      </c>
      <c r="L1026" t="s">
        <v>13</v>
      </c>
    </row>
    <row r="1027" spans="1:12" x14ac:dyDescent="0.3">
      <c r="A1027">
        <v>83</v>
      </c>
      <c r="B1027">
        <v>2022</v>
      </c>
      <c r="C1027">
        <v>0.91</v>
      </c>
      <c r="D1027">
        <v>0.7</v>
      </c>
      <c r="E1027">
        <v>0.9</v>
      </c>
      <c r="F1027">
        <v>0.75</v>
      </c>
      <c r="G1027">
        <v>0.39</v>
      </c>
      <c r="H1027">
        <v>0.04</v>
      </c>
      <c r="I1027">
        <v>485</v>
      </c>
      <c r="J1027">
        <v>18</v>
      </c>
      <c r="K1027">
        <v>0.78</v>
      </c>
      <c r="L1027" t="s">
        <v>13</v>
      </c>
    </row>
    <row r="1028" spans="1:12" x14ac:dyDescent="0.3">
      <c r="A1028">
        <v>9</v>
      </c>
      <c r="B1028">
        <v>2025</v>
      </c>
      <c r="C1028">
        <v>0.62</v>
      </c>
      <c r="D1028">
        <v>0.83</v>
      </c>
      <c r="E1028">
        <v>0.55000000000000004</v>
      </c>
      <c r="F1028">
        <v>0.94</v>
      </c>
      <c r="G1028">
        <v>0.82</v>
      </c>
      <c r="H1028">
        <v>0.21</v>
      </c>
      <c r="I1028">
        <v>273</v>
      </c>
      <c r="J1028">
        <v>7</v>
      </c>
      <c r="K1028">
        <v>0.73</v>
      </c>
      <c r="L1028" t="s">
        <v>13</v>
      </c>
    </row>
    <row r="1029" spans="1:12" x14ac:dyDescent="0.3">
      <c r="A1029">
        <v>21</v>
      </c>
      <c r="B1029">
        <v>2022</v>
      </c>
      <c r="C1029">
        <v>0.48</v>
      </c>
      <c r="D1029">
        <v>0.67</v>
      </c>
      <c r="E1029">
        <v>0.52</v>
      </c>
      <c r="F1029">
        <v>0.76</v>
      </c>
      <c r="G1029">
        <v>0.7</v>
      </c>
      <c r="H1029">
        <v>0.95</v>
      </c>
      <c r="I1029">
        <v>83</v>
      </c>
      <c r="J1029">
        <v>7</v>
      </c>
      <c r="K1029">
        <v>0.6</v>
      </c>
      <c r="L1029" t="s">
        <v>12</v>
      </c>
    </row>
    <row r="1030" spans="1:12" x14ac:dyDescent="0.3">
      <c r="A1030">
        <v>10</v>
      </c>
      <c r="B1030">
        <v>2023</v>
      </c>
      <c r="C1030">
        <v>0.33</v>
      </c>
      <c r="D1030">
        <v>0.59</v>
      </c>
      <c r="E1030">
        <v>0.79</v>
      </c>
      <c r="F1030">
        <v>0.98</v>
      </c>
      <c r="G1030">
        <v>0.9</v>
      </c>
      <c r="H1030">
        <v>0.23</v>
      </c>
      <c r="I1030">
        <v>111</v>
      </c>
      <c r="J1030">
        <v>13</v>
      </c>
      <c r="K1030">
        <v>0.64</v>
      </c>
      <c r="L1030" t="s">
        <v>12</v>
      </c>
    </row>
    <row r="1031" spans="1:12" x14ac:dyDescent="0.3">
      <c r="A1031">
        <v>87</v>
      </c>
      <c r="B1031">
        <v>2023</v>
      </c>
      <c r="C1031">
        <v>0.95</v>
      </c>
      <c r="D1031">
        <v>0.91</v>
      </c>
      <c r="E1031">
        <v>0.89</v>
      </c>
      <c r="F1031">
        <v>0.76</v>
      </c>
      <c r="G1031">
        <v>0.65</v>
      </c>
      <c r="H1031">
        <v>0.46</v>
      </c>
      <c r="I1031">
        <v>243</v>
      </c>
      <c r="J1031">
        <v>12</v>
      </c>
      <c r="K1031">
        <v>0.87</v>
      </c>
      <c r="L1031" t="s">
        <v>13</v>
      </c>
    </row>
    <row r="1032" spans="1:12" x14ac:dyDescent="0.3">
      <c r="A1032">
        <v>47</v>
      </c>
      <c r="B1032">
        <v>2023</v>
      </c>
      <c r="C1032">
        <v>0.39</v>
      </c>
      <c r="D1032">
        <v>0.93</v>
      </c>
      <c r="E1032">
        <v>0.88</v>
      </c>
      <c r="F1032">
        <v>0.77</v>
      </c>
      <c r="G1032">
        <v>0.66</v>
      </c>
      <c r="H1032">
        <v>0.37</v>
      </c>
      <c r="I1032">
        <v>339</v>
      </c>
      <c r="J1032">
        <v>15</v>
      </c>
      <c r="K1032">
        <v>0.71</v>
      </c>
      <c r="L1032" t="s">
        <v>13</v>
      </c>
    </row>
    <row r="1033" spans="1:12" x14ac:dyDescent="0.3">
      <c r="A1033">
        <v>12</v>
      </c>
      <c r="B1033">
        <v>2021</v>
      </c>
      <c r="C1033">
        <v>0.44</v>
      </c>
      <c r="D1033">
        <v>0.6</v>
      </c>
      <c r="E1033">
        <v>0.73</v>
      </c>
      <c r="F1033">
        <v>0.73</v>
      </c>
      <c r="G1033">
        <v>0.83</v>
      </c>
      <c r="H1033">
        <v>0.33</v>
      </c>
      <c r="I1033">
        <v>438</v>
      </c>
      <c r="J1033">
        <v>12</v>
      </c>
      <c r="K1033">
        <v>0.62</v>
      </c>
      <c r="L1033" t="s">
        <v>12</v>
      </c>
    </row>
    <row r="1034" spans="1:12" x14ac:dyDescent="0.3">
      <c r="A1034">
        <v>5</v>
      </c>
      <c r="B1034">
        <v>2024</v>
      </c>
      <c r="C1034">
        <v>0.46</v>
      </c>
      <c r="D1034">
        <v>0.77</v>
      </c>
      <c r="E1034">
        <v>0.72</v>
      </c>
      <c r="F1034">
        <v>0.63</v>
      </c>
      <c r="G1034">
        <v>0.64</v>
      </c>
      <c r="H1034">
        <v>0.7</v>
      </c>
      <c r="I1034">
        <v>160</v>
      </c>
      <c r="J1034">
        <v>19</v>
      </c>
      <c r="K1034">
        <v>0.63</v>
      </c>
      <c r="L1034" t="s">
        <v>12</v>
      </c>
    </row>
    <row r="1035" spans="1:12" x14ac:dyDescent="0.3">
      <c r="A1035">
        <v>60</v>
      </c>
      <c r="B1035">
        <v>2021</v>
      </c>
      <c r="C1035">
        <v>0.36</v>
      </c>
      <c r="D1035">
        <v>0.96</v>
      </c>
      <c r="E1035">
        <v>0.69</v>
      </c>
      <c r="F1035">
        <v>0.83</v>
      </c>
      <c r="G1035">
        <v>0.85</v>
      </c>
      <c r="H1035">
        <v>0.32</v>
      </c>
      <c r="I1035">
        <v>347</v>
      </c>
      <c r="J1035">
        <v>5</v>
      </c>
      <c r="K1035">
        <v>0.7</v>
      </c>
      <c r="L1035" t="s">
        <v>12</v>
      </c>
    </row>
    <row r="1036" spans="1:12" x14ac:dyDescent="0.3">
      <c r="A1036">
        <v>80</v>
      </c>
      <c r="B1036">
        <v>2022</v>
      </c>
      <c r="C1036">
        <v>0.95</v>
      </c>
      <c r="D1036">
        <v>0.88</v>
      </c>
      <c r="E1036">
        <v>0.72</v>
      </c>
      <c r="F1036">
        <v>0.8</v>
      </c>
      <c r="G1036">
        <v>0.49</v>
      </c>
      <c r="H1036">
        <v>0.7</v>
      </c>
      <c r="I1036">
        <v>317</v>
      </c>
      <c r="J1036">
        <v>6</v>
      </c>
      <c r="K1036">
        <v>0.82</v>
      </c>
      <c r="L1036" t="s">
        <v>13</v>
      </c>
    </row>
    <row r="1037" spans="1:12" x14ac:dyDescent="0.3">
      <c r="A1037">
        <v>47</v>
      </c>
      <c r="B1037">
        <v>2023</v>
      </c>
      <c r="C1037">
        <v>0.33</v>
      </c>
      <c r="D1037">
        <v>0.77</v>
      </c>
      <c r="E1037">
        <v>0.78</v>
      </c>
      <c r="F1037">
        <v>0.76</v>
      </c>
      <c r="G1037">
        <v>0.75</v>
      </c>
      <c r="H1037">
        <v>0.55000000000000004</v>
      </c>
      <c r="I1037">
        <v>352</v>
      </c>
      <c r="J1037">
        <v>1</v>
      </c>
      <c r="K1037">
        <v>0.64</v>
      </c>
      <c r="L1037" t="s">
        <v>12</v>
      </c>
    </row>
    <row r="1038" spans="1:12" x14ac:dyDescent="0.3">
      <c r="A1038">
        <v>94</v>
      </c>
      <c r="B1038">
        <v>2021</v>
      </c>
      <c r="C1038">
        <v>0.92</v>
      </c>
      <c r="D1038">
        <v>0.98</v>
      </c>
      <c r="E1038">
        <v>0.95</v>
      </c>
      <c r="F1038">
        <v>0.89</v>
      </c>
      <c r="G1038">
        <v>0.71</v>
      </c>
      <c r="H1038">
        <v>0.69</v>
      </c>
      <c r="I1038">
        <v>104</v>
      </c>
      <c r="J1038">
        <v>19</v>
      </c>
      <c r="K1038">
        <v>0.92</v>
      </c>
      <c r="L1038" t="s">
        <v>13</v>
      </c>
    </row>
    <row r="1039" spans="1:12" x14ac:dyDescent="0.3">
      <c r="A1039">
        <v>81</v>
      </c>
      <c r="B1039">
        <v>2021</v>
      </c>
      <c r="C1039">
        <v>0.67</v>
      </c>
      <c r="D1039">
        <v>0.81</v>
      </c>
      <c r="E1039">
        <v>0.84</v>
      </c>
      <c r="F1039">
        <v>0.7</v>
      </c>
      <c r="G1039">
        <v>0.71</v>
      </c>
      <c r="H1039">
        <v>0.8</v>
      </c>
      <c r="I1039">
        <v>232</v>
      </c>
      <c r="J1039">
        <v>17</v>
      </c>
      <c r="K1039">
        <v>0.75</v>
      </c>
      <c r="L1039" t="s">
        <v>13</v>
      </c>
    </row>
    <row r="1040" spans="1:12" x14ac:dyDescent="0.3">
      <c r="A1040">
        <v>48</v>
      </c>
      <c r="B1040">
        <v>2025</v>
      </c>
      <c r="C1040">
        <v>0.55000000000000004</v>
      </c>
      <c r="D1040">
        <v>0.96</v>
      </c>
      <c r="E1040">
        <v>0.77</v>
      </c>
      <c r="F1040">
        <v>0.84</v>
      </c>
      <c r="G1040">
        <v>0.32</v>
      </c>
      <c r="H1040">
        <v>0.17</v>
      </c>
      <c r="I1040">
        <v>151</v>
      </c>
      <c r="J1040">
        <v>2</v>
      </c>
      <c r="K1040">
        <v>0.72</v>
      </c>
      <c r="L1040" t="s">
        <v>13</v>
      </c>
    </row>
    <row r="1041" spans="1:12" x14ac:dyDescent="0.3">
      <c r="A1041">
        <v>95</v>
      </c>
      <c r="B1041">
        <v>2021</v>
      </c>
      <c r="C1041">
        <v>0.34</v>
      </c>
      <c r="D1041">
        <v>0.9</v>
      </c>
      <c r="E1041">
        <v>0.89</v>
      </c>
      <c r="F1041">
        <v>0.67</v>
      </c>
      <c r="G1041">
        <v>0.74</v>
      </c>
      <c r="H1041">
        <v>0.82</v>
      </c>
      <c r="I1041">
        <v>117</v>
      </c>
      <c r="J1041">
        <v>12</v>
      </c>
      <c r="K1041">
        <v>0.68</v>
      </c>
      <c r="L1041" t="s">
        <v>12</v>
      </c>
    </row>
    <row r="1042" spans="1:12" x14ac:dyDescent="0.3">
      <c r="A1042">
        <v>75</v>
      </c>
      <c r="B1042">
        <v>2025</v>
      </c>
      <c r="C1042">
        <v>0.95</v>
      </c>
      <c r="D1042">
        <v>0.76</v>
      </c>
      <c r="E1042">
        <v>0.83</v>
      </c>
      <c r="F1042">
        <v>0.76</v>
      </c>
      <c r="G1042">
        <v>0.94</v>
      </c>
      <c r="H1042">
        <v>0.64</v>
      </c>
      <c r="I1042">
        <v>324</v>
      </c>
      <c r="J1042">
        <v>13</v>
      </c>
      <c r="K1042">
        <v>0.85</v>
      </c>
      <c r="L1042" t="s">
        <v>13</v>
      </c>
    </row>
    <row r="1043" spans="1:12" x14ac:dyDescent="0.3">
      <c r="A1043">
        <v>40</v>
      </c>
      <c r="B1043">
        <v>2021</v>
      </c>
      <c r="C1043">
        <v>0.97</v>
      </c>
      <c r="D1043">
        <v>0.89</v>
      </c>
      <c r="E1043">
        <v>0.93</v>
      </c>
      <c r="F1043">
        <v>0.67</v>
      </c>
      <c r="G1043">
        <v>0.49</v>
      </c>
      <c r="H1043">
        <v>0.28999999999999998</v>
      </c>
      <c r="I1043">
        <v>184</v>
      </c>
      <c r="J1043">
        <v>13</v>
      </c>
      <c r="K1043">
        <v>0.85</v>
      </c>
      <c r="L1043" t="s">
        <v>13</v>
      </c>
    </row>
    <row r="1044" spans="1:12" x14ac:dyDescent="0.3">
      <c r="A1044">
        <v>5</v>
      </c>
      <c r="B1044">
        <v>2024</v>
      </c>
      <c r="C1044">
        <v>0.84</v>
      </c>
      <c r="D1044">
        <v>0.77</v>
      </c>
      <c r="E1044">
        <v>0.8</v>
      </c>
      <c r="F1044">
        <v>0.82</v>
      </c>
      <c r="G1044">
        <v>0.71</v>
      </c>
      <c r="H1044">
        <v>0.93</v>
      </c>
      <c r="I1044">
        <v>446</v>
      </c>
      <c r="J1044">
        <v>15</v>
      </c>
      <c r="K1044">
        <v>0.8</v>
      </c>
      <c r="L1044" t="s">
        <v>13</v>
      </c>
    </row>
    <row r="1045" spans="1:12" x14ac:dyDescent="0.3">
      <c r="A1045">
        <v>3</v>
      </c>
      <c r="B1045">
        <v>2021</v>
      </c>
      <c r="C1045">
        <v>0.43</v>
      </c>
      <c r="D1045">
        <v>0.5</v>
      </c>
      <c r="E1045">
        <v>0.59</v>
      </c>
      <c r="F1045">
        <v>0.87</v>
      </c>
      <c r="G1045">
        <v>0.62</v>
      </c>
      <c r="H1045">
        <v>0.99</v>
      </c>
      <c r="I1045">
        <v>62</v>
      </c>
      <c r="J1045">
        <v>4</v>
      </c>
      <c r="K1045">
        <v>0.56000000000000005</v>
      </c>
      <c r="L1045" t="s">
        <v>12</v>
      </c>
    </row>
    <row r="1046" spans="1:12" x14ac:dyDescent="0.3">
      <c r="A1046">
        <v>41</v>
      </c>
      <c r="B1046">
        <v>2025</v>
      </c>
      <c r="C1046">
        <v>0.99</v>
      </c>
      <c r="D1046">
        <v>0.9</v>
      </c>
      <c r="E1046">
        <v>0.73</v>
      </c>
      <c r="F1046">
        <v>0.82</v>
      </c>
      <c r="G1046">
        <v>0.89</v>
      </c>
      <c r="H1046">
        <v>0.48</v>
      </c>
      <c r="I1046">
        <v>183</v>
      </c>
      <c r="J1046">
        <v>11</v>
      </c>
      <c r="K1046">
        <v>0.88</v>
      </c>
      <c r="L1046" t="s">
        <v>13</v>
      </c>
    </row>
    <row r="1047" spans="1:12" x14ac:dyDescent="0.3">
      <c r="A1047">
        <v>62</v>
      </c>
      <c r="B1047">
        <v>2024</v>
      </c>
      <c r="C1047">
        <v>0.41</v>
      </c>
      <c r="D1047">
        <v>0.7</v>
      </c>
      <c r="E1047">
        <v>0.71</v>
      </c>
      <c r="F1047">
        <v>0.95</v>
      </c>
      <c r="G1047">
        <v>0.39</v>
      </c>
      <c r="H1047">
        <v>0.88</v>
      </c>
      <c r="I1047">
        <v>255</v>
      </c>
      <c r="J1047">
        <v>2</v>
      </c>
      <c r="K1047">
        <v>0.62</v>
      </c>
      <c r="L1047" t="s">
        <v>12</v>
      </c>
    </row>
    <row r="1048" spans="1:12" x14ac:dyDescent="0.3">
      <c r="A1048">
        <v>67</v>
      </c>
      <c r="B1048">
        <v>2023</v>
      </c>
      <c r="C1048">
        <v>0.56000000000000005</v>
      </c>
      <c r="D1048">
        <v>0.54</v>
      </c>
      <c r="E1048">
        <v>0.78</v>
      </c>
      <c r="F1048">
        <v>0.92</v>
      </c>
      <c r="G1048">
        <v>0.3</v>
      </c>
      <c r="H1048">
        <v>0.63</v>
      </c>
      <c r="I1048">
        <v>161</v>
      </c>
      <c r="J1048">
        <v>5</v>
      </c>
      <c r="K1048">
        <v>0.63</v>
      </c>
      <c r="L1048" t="s">
        <v>12</v>
      </c>
    </row>
    <row r="1049" spans="1:12" x14ac:dyDescent="0.3">
      <c r="A1049">
        <v>24</v>
      </c>
      <c r="B1049">
        <v>2023</v>
      </c>
      <c r="C1049">
        <v>0.94</v>
      </c>
      <c r="D1049">
        <v>0.91</v>
      </c>
      <c r="E1049">
        <v>0.56000000000000005</v>
      </c>
      <c r="F1049">
        <v>0.64</v>
      </c>
      <c r="G1049">
        <v>0.71</v>
      </c>
      <c r="H1049">
        <v>0.53</v>
      </c>
      <c r="I1049">
        <v>361</v>
      </c>
      <c r="J1049">
        <v>3</v>
      </c>
      <c r="K1049">
        <v>0.79</v>
      </c>
      <c r="L1049" t="s">
        <v>13</v>
      </c>
    </row>
    <row r="1050" spans="1:12" x14ac:dyDescent="0.3">
      <c r="A1050">
        <v>54</v>
      </c>
      <c r="B1050">
        <v>2023</v>
      </c>
      <c r="C1050">
        <v>0.95</v>
      </c>
      <c r="D1050">
        <v>0.64</v>
      </c>
      <c r="E1050">
        <v>0.95</v>
      </c>
      <c r="F1050">
        <v>0.75</v>
      </c>
      <c r="G1050">
        <v>0.82</v>
      </c>
      <c r="H1050">
        <v>0.48</v>
      </c>
      <c r="I1050">
        <v>52</v>
      </c>
      <c r="J1050">
        <v>19</v>
      </c>
      <c r="K1050">
        <v>0.83</v>
      </c>
      <c r="L1050" t="s">
        <v>13</v>
      </c>
    </row>
    <row r="1051" spans="1:12" x14ac:dyDescent="0.3">
      <c r="A1051">
        <v>28</v>
      </c>
      <c r="B1051">
        <v>2023</v>
      </c>
      <c r="C1051">
        <v>0.81</v>
      </c>
      <c r="D1051">
        <v>0.62</v>
      </c>
      <c r="E1051">
        <v>0.51</v>
      </c>
      <c r="F1051">
        <v>0.64</v>
      </c>
      <c r="G1051">
        <v>0.65</v>
      </c>
      <c r="H1051">
        <v>0.69</v>
      </c>
      <c r="I1051">
        <v>289</v>
      </c>
      <c r="J1051">
        <v>17</v>
      </c>
      <c r="K1051">
        <v>0.66</v>
      </c>
      <c r="L1051" t="s">
        <v>12</v>
      </c>
    </row>
    <row r="1052" spans="1:12" x14ac:dyDescent="0.3">
      <c r="A1052">
        <v>13</v>
      </c>
      <c r="B1052">
        <v>2023</v>
      </c>
      <c r="C1052">
        <v>0.66</v>
      </c>
      <c r="D1052">
        <v>0.48</v>
      </c>
      <c r="E1052">
        <v>0.62</v>
      </c>
      <c r="F1052">
        <v>0.78</v>
      </c>
      <c r="G1052">
        <v>0.43</v>
      </c>
      <c r="H1052">
        <v>0.27</v>
      </c>
      <c r="I1052">
        <v>63</v>
      </c>
      <c r="J1052">
        <v>7</v>
      </c>
      <c r="K1052">
        <v>0.6</v>
      </c>
      <c r="L1052" t="s">
        <v>12</v>
      </c>
    </row>
    <row r="1053" spans="1:12" x14ac:dyDescent="0.3">
      <c r="A1053">
        <v>60</v>
      </c>
      <c r="B1053">
        <v>2024</v>
      </c>
      <c r="C1053">
        <v>0.8</v>
      </c>
      <c r="D1053">
        <v>0.93</v>
      </c>
      <c r="E1053">
        <v>0.61</v>
      </c>
      <c r="F1053">
        <v>0.92</v>
      </c>
      <c r="G1053">
        <v>0.83</v>
      </c>
      <c r="H1053">
        <v>0.36</v>
      </c>
      <c r="I1053">
        <v>76</v>
      </c>
      <c r="J1053">
        <v>7</v>
      </c>
      <c r="K1053">
        <v>0.82</v>
      </c>
      <c r="L1053" t="s">
        <v>13</v>
      </c>
    </row>
    <row r="1054" spans="1:12" x14ac:dyDescent="0.3">
      <c r="A1054">
        <v>87</v>
      </c>
      <c r="B1054">
        <v>2025</v>
      </c>
      <c r="C1054">
        <v>0.65</v>
      </c>
      <c r="D1054">
        <v>0.81</v>
      </c>
      <c r="E1054">
        <v>0.82</v>
      </c>
      <c r="F1054">
        <v>0.92</v>
      </c>
      <c r="G1054">
        <v>0.33</v>
      </c>
      <c r="H1054">
        <v>0.3</v>
      </c>
      <c r="I1054">
        <v>182</v>
      </c>
      <c r="J1054">
        <v>4</v>
      </c>
      <c r="K1054">
        <v>0.73</v>
      </c>
      <c r="L1054" t="s">
        <v>13</v>
      </c>
    </row>
    <row r="1055" spans="1:12" x14ac:dyDescent="0.3">
      <c r="A1055">
        <v>64</v>
      </c>
      <c r="B1055">
        <v>2022</v>
      </c>
      <c r="C1055">
        <v>0.5</v>
      </c>
      <c r="D1055">
        <v>0.59</v>
      </c>
      <c r="E1055">
        <v>0.76</v>
      </c>
      <c r="F1055">
        <v>0.87</v>
      </c>
      <c r="G1055">
        <v>0.56999999999999995</v>
      </c>
      <c r="H1055">
        <v>0.72</v>
      </c>
      <c r="I1055">
        <v>154</v>
      </c>
      <c r="J1055">
        <v>3</v>
      </c>
      <c r="K1055">
        <v>0.64</v>
      </c>
      <c r="L1055" t="s">
        <v>12</v>
      </c>
    </row>
    <row r="1056" spans="1:12" x14ac:dyDescent="0.3">
      <c r="A1056">
        <v>100</v>
      </c>
      <c r="B1056">
        <v>2021</v>
      </c>
      <c r="C1056">
        <v>0.32</v>
      </c>
      <c r="D1056">
        <v>0.45</v>
      </c>
      <c r="E1056">
        <v>0.71</v>
      </c>
      <c r="F1056">
        <v>0.98</v>
      </c>
      <c r="G1056">
        <v>0.81</v>
      </c>
      <c r="H1056">
        <v>0.09</v>
      </c>
      <c r="I1056">
        <v>59</v>
      </c>
      <c r="J1056">
        <v>8</v>
      </c>
      <c r="K1056">
        <v>0.57999999999999996</v>
      </c>
      <c r="L1056" t="s">
        <v>12</v>
      </c>
    </row>
    <row r="1057" spans="1:12" x14ac:dyDescent="0.3">
      <c r="A1057">
        <v>36</v>
      </c>
      <c r="B1057">
        <v>2025</v>
      </c>
      <c r="C1057">
        <v>0.73</v>
      </c>
      <c r="D1057">
        <v>0.89</v>
      </c>
      <c r="E1057">
        <v>0.7</v>
      </c>
      <c r="F1057">
        <v>0.69</v>
      </c>
      <c r="G1057">
        <v>0.66</v>
      </c>
      <c r="H1057">
        <v>0.55000000000000004</v>
      </c>
      <c r="I1057">
        <v>466</v>
      </c>
      <c r="J1057">
        <v>15</v>
      </c>
      <c r="K1057">
        <v>0.75</v>
      </c>
      <c r="L1057" t="s">
        <v>13</v>
      </c>
    </row>
    <row r="1058" spans="1:12" x14ac:dyDescent="0.3">
      <c r="A1058">
        <v>79</v>
      </c>
      <c r="B1058">
        <v>2021</v>
      </c>
      <c r="C1058">
        <v>0.74</v>
      </c>
      <c r="D1058">
        <v>0.41</v>
      </c>
      <c r="E1058">
        <v>0.77</v>
      </c>
      <c r="F1058">
        <v>0.64</v>
      </c>
      <c r="G1058">
        <v>0.32</v>
      </c>
      <c r="H1058">
        <v>0.79</v>
      </c>
      <c r="I1058">
        <v>198</v>
      </c>
      <c r="J1058">
        <v>7</v>
      </c>
      <c r="K1058">
        <v>0.61</v>
      </c>
      <c r="L1058" t="s">
        <v>12</v>
      </c>
    </row>
    <row r="1059" spans="1:12" x14ac:dyDescent="0.3">
      <c r="A1059">
        <v>62</v>
      </c>
      <c r="B1059">
        <v>2022</v>
      </c>
      <c r="C1059">
        <v>0.65</v>
      </c>
      <c r="D1059">
        <v>0.93</v>
      </c>
      <c r="E1059">
        <v>0.7</v>
      </c>
      <c r="F1059">
        <v>0.71</v>
      </c>
      <c r="G1059">
        <v>0.54</v>
      </c>
      <c r="H1059">
        <v>0.71</v>
      </c>
      <c r="I1059">
        <v>50</v>
      </c>
      <c r="J1059">
        <v>9</v>
      </c>
      <c r="K1059">
        <v>0.73</v>
      </c>
      <c r="L1059" t="s">
        <v>13</v>
      </c>
    </row>
    <row r="1060" spans="1:12" x14ac:dyDescent="0.3">
      <c r="A1060">
        <v>52</v>
      </c>
      <c r="B1060">
        <v>2025</v>
      </c>
      <c r="C1060">
        <v>0.65</v>
      </c>
      <c r="D1060">
        <v>0.87</v>
      </c>
      <c r="E1060">
        <v>0.97</v>
      </c>
      <c r="F1060">
        <v>0.74</v>
      </c>
      <c r="G1060">
        <v>0.47</v>
      </c>
      <c r="H1060">
        <v>0.62</v>
      </c>
      <c r="I1060">
        <v>321</v>
      </c>
      <c r="J1060">
        <v>1</v>
      </c>
      <c r="K1060">
        <v>0.76</v>
      </c>
      <c r="L1060" t="s">
        <v>13</v>
      </c>
    </row>
    <row r="1061" spans="1:12" x14ac:dyDescent="0.3">
      <c r="A1061">
        <v>5</v>
      </c>
      <c r="B1061">
        <v>2022</v>
      </c>
      <c r="C1061">
        <v>0.62</v>
      </c>
      <c r="D1061">
        <v>0.44</v>
      </c>
      <c r="E1061">
        <v>0.99</v>
      </c>
      <c r="F1061">
        <v>0.94</v>
      </c>
      <c r="G1061">
        <v>0.42</v>
      </c>
      <c r="H1061">
        <v>0.9</v>
      </c>
      <c r="I1061">
        <v>256</v>
      </c>
      <c r="J1061">
        <v>14</v>
      </c>
      <c r="K1061">
        <v>0.68</v>
      </c>
      <c r="L1061" t="s">
        <v>12</v>
      </c>
    </row>
    <row r="1062" spans="1:12" x14ac:dyDescent="0.3">
      <c r="A1062">
        <v>47</v>
      </c>
      <c r="B1062">
        <v>2021</v>
      </c>
      <c r="C1062">
        <v>0.61</v>
      </c>
      <c r="D1062">
        <v>0.83</v>
      </c>
      <c r="E1062">
        <v>0.69</v>
      </c>
      <c r="F1062">
        <v>0.68</v>
      </c>
      <c r="G1062">
        <v>0.74</v>
      </c>
      <c r="H1062">
        <v>0.98</v>
      </c>
      <c r="I1062">
        <v>435</v>
      </c>
      <c r="J1062">
        <v>5</v>
      </c>
      <c r="K1062">
        <v>0.7</v>
      </c>
      <c r="L1062" t="s">
        <v>12</v>
      </c>
    </row>
    <row r="1063" spans="1:12" x14ac:dyDescent="0.3">
      <c r="A1063">
        <v>43</v>
      </c>
      <c r="B1063">
        <v>2024</v>
      </c>
      <c r="C1063">
        <v>0.79</v>
      </c>
      <c r="D1063">
        <v>0.93</v>
      </c>
      <c r="E1063">
        <v>0.74</v>
      </c>
      <c r="F1063">
        <v>0.75</v>
      </c>
      <c r="G1063">
        <v>0.48</v>
      </c>
      <c r="H1063">
        <v>0.6</v>
      </c>
      <c r="I1063">
        <v>178</v>
      </c>
      <c r="J1063">
        <v>15</v>
      </c>
      <c r="K1063">
        <v>0.78</v>
      </c>
      <c r="L1063" t="s">
        <v>13</v>
      </c>
    </row>
    <row r="1064" spans="1:12" x14ac:dyDescent="0.3">
      <c r="A1064">
        <v>51</v>
      </c>
      <c r="B1064">
        <v>2023</v>
      </c>
      <c r="C1064">
        <v>0.54</v>
      </c>
      <c r="D1064">
        <v>0.93</v>
      </c>
      <c r="E1064">
        <v>0.6</v>
      </c>
      <c r="F1064">
        <v>0.63</v>
      </c>
      <c r="G1064">
        <v>0.85</v>
      </c>
      <c r="H1064">
        <v>0.84</v>
      </c>
      <c r="I1064">
        <v>413</v>
      </c>
      <c r="J1064">
        <v>7</v>
      </c>
      <c r="K1064">
        <v>0.69</v>
      </c>
      <c r="L1064" t="s">
        <v>12</v>
      </c>
    </row>
    <row r="1065" spans="1:12" x14ac:dyDescent="0.3">
      <c r="A1065">
        <v>49</v>
      </c>
      <c r="B1065">
        <v>2022</v>
      </c>
      <c r="C1065">
        <v>0.66</v>
      </c>
      <c r="D1065">
        <v>0.9</v>
      </c>
      <c r="E1065">
        <v>0.71</v>
      </c>
      <c r="F1065">
        <v>0.68</v>
      </c>
      <c r="G1065">
        <v>0.5</v>
      </c>
      <c r="H1065">
        <v>0.51</v>
      </c>
      <c r="I1065">
        <v>416</v>
      </c>
      <c r="J1065">
        <v>1</v>
      </c>
      <c r="K1065">
        <v>0.72</v>
      </c>
      <c r="L1065" t="s">
        <v>13</v>
      </c>
    </row>
    <row r="1066" spans="1:12" x14ac:dyDescent="0.3">
      <c r="A1066">
        <v>14</v>
      </c>
      <c r="B1066">
        <v>2025</v>
      </c>
      <c r="C1066">
        <v>0.85</v>
      </c>
      <c r="D1066">
        <v>0.75</v>
      </c>
      <c r="E1066">
        <v>0.89</v>
      </c>
      <c r="F1066">
        <v>0.68</v>
      </c>
      <c r="G1066">
        <v>0.34</v>
      </c>
      <c r="H1066">
        <v>0.87</v>
      </c>
      <c r="I1066">
        <v>57</v>
      </c>
      <c r="J1066">
        <v>14</v>
      </c>
      <c r="K1066">
        <v>0.76</v>
      </c>
      <c r="L1066" t="s">
        <v>13</v>
      </c>
    </row>
    <row r="1067" spans="1:12" x14ac:dyDescent="0.3">
      <c r="A1067">
        <v>26</v>
      </c>
      <c r="B1067">
        <v>2024</v>
      </c>
      <c r="C1067">
        <v>0.79</v>
      </c>
      <c r="D1067">
        <v>0.65</v>
      </c>
      <c r="E1067">
        <v>0.94</v>
      </c>
      <c r="F1067">
        <v>0.72</v>
      </c>
      <c r="G1067">
        <v>0.31</v>
      </c>
      <c r="H1067">
        <v>0.3</v>
      </c>
      <c r="I1067">
        <v>216</v>
      </c>
      <c r="J1067">
        <v>0</v>
      </c>
      <c r="K1067">
        <v>0.73</v>
      </c>
      <c r="L1067" t="s">
        <v>13</v>
      </c>
    </row>
    <row r="1068" spans="1:12" x14ac:dyDescent="0.3">
      <c r="A1068">
        <v>71</v>
      </c>
      <c r="B1068">
        <v>2022</v>
      </c>
      <c r="C1068">
        <v>0.33</v>
      </c>
      <c r="D1068">
        <v>0.93</v>
      </c>
      <c r="E1068">
        <v>0.91</v>
      </c>
      <c r="F1068">
        <v>0.87</v>
      </c>
      <c r="G1068">
        <v>0.54</v>
      </c>
      <c r="H1068">
        <v>7.0000000000000007E-2</v>
      </c>
      <c r="I1068">
        <v>303</v>
      </c>
      <c r="J1068">
        <v>4</v>
      </c>
      <c r="K1068">
        <v>0.7</v>
      </c>
      <c r="L1068" t="s">
        <v>12</v>
      </c>
    </row>
    <row r="1069" spans="1:12" x14ac:dyDescent="0.3">
      <c r="A1069">
        <v>95</v>
      </c>
      <c r="B1069">
        <v>2021</v>
      </c>
      <c r="C1069">
        <v>0.81</v>
      </c>
      <c r="D1069">
        <v>0.63</v>
      </c>
      <c r="E1069">
        <v>0.5</v>
      </c>
      <c r="F1069">
        <v>0.6</v>
      </c>
      <c r="G1069">
        <v>0.62</v>
      </c>
      <c r="H1069">
        <v>0.49</v>
      </c>
      <c r="I1069">
        <v>225</v>
      </c>
      <c r="J1069">
        <v>18</v>
      </c>
      <c r="K1069">
        <v>0.65</v>
      </c>
      <c r="L1069" t="s">
        <v>12</v>
      </c>
    </row>
    <row r="1070" spans="1:12" x14ac:dyDescent="0.3">
      <c r="A1070">
        <v>42</v>
      </c>
      <c r="B1070">
        <v>2023</v>
      </c>
      <c r="C1070">
        <v>0.51</v>
      </c>
      <c r="D1070">
        <v>0.74</v>
      </c>
      <c r="E1070">
        <v>0.65</v>
      </c>
      <c r="F1070">
        <v>0.67</v>
      </c>
      <c r="G1070">
        <v>0.59</v>
      </c>
      <c r="H1070">
        <v>0.23</v>
      </c>
      <c r="I1070">
        <v>454</v>
      </c>
      <c r="J1070">
        <v>3</v>
      </c>
      <c r="K1070">
        <v>0.63</v>
      </c>
      <c r="L1070" t="s">
        <v>12</v>
      </c>
    </row>
    <row r="1071" spans="1:12" x14ac:dyDescent="0.3">
      <c r="A1071">
        <v>53</v>
      </c>
      <c r="B1071">
        <v>2024</v>
      </c>
      <c r="C1071">
        <v>0.41</v>
      </c>
      <c r="D1071">
        <v>0.8</v>
      </c>
      <c r="E1071">
        <v>0.88</v>
      </c>
      <c r="F1071">
        <v>0.64</v>
      </c>
      <c r="G1071">
        <v>0.63</v>
      </c>
      <c r="H1071">
        <v>7.0000000000000007E-2</v>
      </c>
      <c r="I1071">
        <v>52</v>
      </c>
      <c r="J1071">
        <v>1</v>
      </c>
      <c r="K1071">
        <v>0.66</v>
      </c>
      <c r="L1071" t="s">
        <v>12</v>
      </c>
    </row>
    <row r="1072" spans="1:12" x14ac:dyDescent="0.3">
      <c r="A1072">
        <v>16</v>
      </c>
      <c r="B1072">
        <v>2025</v>
      </c>
      <c r="C1072">
        <v>0.31</v>
      </c>
      <c r="D1072">
        <v>0.53</v>
      </c>
      <c r="E1072">
        <v>0.81</v>
      </c>
      <c r="F1072">
        <v>0.75</v>
      </c>
      <c r="G1072">
        <v>0.99</v>
      </c>
      <c r="H1072">
        <v>0.03</v>
      </c>
      <c r="I1072">
        <v>365</v>
      </c>
      <c r="J1072">
        <v>15</v>
      </c>
      <c r="K1072">
        <v>0.6</v>
      </c>
      <c r="L1072" t="s">
        <v>12</v>
      </c>
    </row>
    <row r="1073" spans="1:12" x14ac:dyDescent="0.3">
      <c r="A1073">
        <v>58</v>
      </c>
      <c r="B1073">
        <v>2024</v>
      </c>
      <c r="C1073">
        <v>0.88</v>
      </c>
      <c r="D1073">
        <v>0.89</v>
      </c>
      <c r="E1073">
        <v>0.59</v>
      </c>
      <c r="F1073">
        <v>0.88</v>
      </c>
      <c r="G1073">
        <v>0.5</v>
      </c>
      <c r="H1073">
        <v>0.3</v>
      </c>
      <c r="I1073">
        <v>478</v>
      </c>
      <c r="J1073">
        <v>4</v>
      </c>
      <c r="K1073">
        <v>0.79</v>
      </c>
      <c r="L1073" t="s">
        <v>13</v>
      </c>
    </row>
    <row r="1074" spans="1:12" x14ac:dyDescent="0.3">
      <c r="A1074">
        <v>84</v>
      </c>
      <c r="B1074">
        <v>2024</v>
      </c>
      <c r="C1074">
        <v>0.3</v>
      </c>
      <c r="D1074">
        <v>0.83</v>
      </c>
      <c r="E1074">
        <v>0.59</v>
      </c>
      <c r="F1074">
        <v>0.64</v>
      </c>
      <c r="G1074">
        <v>0.47</v>
      </c>
      <c r="H1074">
        <v>0.38</v>
      </c>
      <c r="I1074">
        <v>389</v>
      </c>
      <c r="J1074">
        <v>12</v>
      </c>
      <c r="K1074">
        <v>0.56000000000000005</v>
      </c>
      <c r="L1074" t="s">
        <v>12</v>
      </c>
    </row>
    <row r="1075" spans="1:12" x14ac:dyDescent="0.3">
      <c r="A1075">
        <v>47</v>
      </c>
      <c r="B1075">
        <v>2024</v>
      </c>
      <c r="C1075">
        <v>0.98</v>
      </c>
      <c r="D1075">
        <v>0.83</v>
      </c>
      <c r="E1075">
        <v>0.66</v>
      </c>
      <c r="F1075">
        <v>0.73</v>
      </c>
      <c r="G1075">
        <v>0.61</v>
      </c>
      <c r="H1075">
        <v>0.63</v>
      </c>
      <c r="I1075">
        <v>199</v>
      </c>
      <c r="J1075">
        <v>15</v>
      </c>
      <c r="K1075">
        <v>0.8</v>
      </c>
      <c r="L1075" t="s">
        <v>13</v>
      </c>
    </row>
    <row r="1076" spans="1:12" x14ac:dyDescent="0.3">
      <c r="A1076">
        <v>91</v>
      </c>
      <c r="B1076">
        <v>2024</v>
      </c>
      <c r="C1076">
        <v>0.35</v>
      </c>
      <c r="D1076">
        <v>0.8</v>
      </c>
      <c r="E1076">
        <v>0.91</v>
      </c>
      <c r="F1076">
        <v>0.72</v>
      </c>
      <c r="G1076">
        <v>0.99</v>
      </c>
      <c r="H1076">
        <v>0.08</v>
      </c>
      <c r="I1076">
        <v>454</v>
      </c>
      <c r="J1076">
        <v>3</v>
      </c>
      <c r="K1076">
        <v>0.69</v>
      </c>
      <c r="L1076" t="s">
        <v>12</v>
      </c>
    </row>
    <row r="1077" spans="1:12" x14ac:dyDescent="0.3">
      <c r="A1077">
        <v>65</v>
      </c>
      <c r="B1077">
        <v>2024</v>
      </c>
      <c r="C1077">
        <v>0.64</v>
      </c>
      <c r="D1077">
        <v>0.89</v>
      </c>
      <c r="E1077">
        <v>0.98</v>
      </c>
      <c r="F1077">
        <v>0.97</v>
      </c>
      <c r="G1077">
        <v>0.94</v>
      </c>
      <c r="H1077">
        <v>0.51</v>
      </c>
      <c r="I1077">
        <v>72</v>
      </c>
      <c r="J1077">
        <v>15</v>
      </c>
      <c r="K1077">
        <v>0.85</v>
      </c>
      <c r="L1077" t="s">
        <v>13</v>
      </c>
    </row>
    <row r="1078" spans="1:12" x14ac:dyDescent="0.3">
      <c r="A1078">
        <v>22</v>
      </c>
      <c r="B1078">
        <v>2025</v>
      </c>
      <c r="C1078">
        <v>0.78</v>
      </c>
      <c r="D1078">
        <v>0.93</v>
      </c>
      <c r="E1078">
        <v>0.6</v>
      </c>
      <c r="F1078">
        <v>0.97</v>
      </c>
      <c r="G1078">
        <v>0.87</v>
      </c>
      <c r="H1078">
        <v>0.98</v>
      </c>
      <c r="I1078">
        <v>100</v>
      </c>
      <c r="J1078">
        <v>0</v>
      </c>
      <c r="K1078">
        <v>0.82</v>
      </c>
      <c r="L1078" t="s">
        <v>13</v>
      </c>
    </row>
    <row r="1079" spans="1:12" x14ac:dyDescent="0.3">
      <c r="A1079">
        <v>9</v>
      </c>
      <c r="B1079">
        <v>2022</v>
      </c>
      <c r="C1079">
        <v>0.37</v>
      </c>
      <c r="D1079">
        <v>0.47</v>
      </c>
      <c r="E1079">
        <v>0.65</v>
      </c>
      <c r="F1079">
        <v>0.85</v>
      </c>
      <c r="G1079">
        <v>0.86</v>
      </c>
      <c r="H1079">
        <v>0.9</v>
      </c>
      <c r="I1079">
        <v>392</v>
      </c>
      <c r="J1079">
        <v>14</v>
      </c>
      <c r="K1079">
        <v>0.56999999999999995</v>
      </c>
      <c r="L1079" t="s">
        <v>12</v>
      </c>
    </row>
    <row r="1080" spans="1:12" x14ac:dyDescent="0.3">
      <c r="A1080">
        <v>81</v>
      </c>
      <c r="B1080">
        <v>2024</v>
      </c>
      <c r="C1080">
        <v>0.37</v>
      </c>
      <c r="D1080">
        <v>0.62</v>
      </c>
      <c r="E1080">
        <v>0.75</v>
      </c>
      <c r="F1080">
        <v>0.62</v>
      </c>
      <c r="G1080">
        <v>0.54</v>
      </c>
      <c r="H1080">
        <v>0.18</v>
      </c>
      <c r="I1080">
        <v>303</v>
      </c>
      <c r="J1080">
        <v>4</v>
      </c>
      <c r="K1080">
        <v>0.56000000000000005</v>
      </c>
      <c r="L1080" t="s">
        <v>12</v>
      </c>
    </row>
    <row r="1081" spans="1:12" x14ac:dyDescent="0.3">
      <c r="A1081">
        <v>49</v>
      </c>
      <c r="B1081">
        <v>2022</v>
      </c>
      <c r="C1081">
        <v>0.35</v>
      </c>
      <c r="D1081">
        <v>0.68</v>
      </c>
      <c r="E1081">
        <v>0.81</v>
      </c>
      <c r="F1081">
        <v>0.64</v>
      </c>
      <c r="G1081">
        <v>0.97</v>
      </c>
      <c r="H1081">
        <v>0.98</v>
      </c>
      <c r="I1081">
        <v>258</v>
      </c>
      <c r="J1081">
        <v>4</v>
      </c>
      <c r="K1081">
        <v>0.63</v>
      </c>
      <c r="L1081" t="s">
        <v>12</v>
      </c>
    </row>
    <row r="1082" spans="1:12" x14ac:dyDescent="0.3">
      <c r="A1082">
        <v>38</v>
      </c>
      <c r="B1082">
        <v>2022</v>
      </c>
      <c r="C1082">
        <v>0.33</v>
      </c>
      <c r="D1082">
        <v>0.75</v>
      </c>
      <c r="E1082">
        <v>0.53</v>
      </c>
      <c r="F1082">
        <v>0.98</v>
      </c>
      <c r="G1082">
        <v>0.4</v>
      </c>
      <c r="H1082">
        <v>0.3</v>
      </c>
      <c r="I1082">
        <v>258</v>
      </c>
      <c r="J1082">
        <v>16</v>
      </c>
      <c r="K1082">
        <v>0.57999999999999996</v>
      </c>
      <c r="L1082" t="s">
        <v>12</v>
      </c>
    </row>
    <row r="1083" spans="1:12" x14ac:dyDescent="0.3">
      <c r="A1083">
        <v>61</v>
      </c>
      <c r="B1083">
        <v>2023</v>
      </c>
      <c r="C1083">
        <v>0.47</v>
      </c>
      <c r="D1083">
        <v>0.79</v>
      </c>
      <c r="E1083">
        <v>0.64</v>
      </c>
      <c r="F1083">
        <v>0.69</v>
      </c>
      <c r="G1083">
        <v>0.48</v>
      </c>
      <c r="H1083">
        <v>0.49</v>
      </c>
      <c r="I1083">
        <v>96</v>
      </c>
      <c r="J1083">
        <v>6</v>
      </c>
      <c r="K1083">
        <v>0.62</v>
      </c>
      <c r="L1083" t="s">
        <v>12</v>
      </c>
    </row>
    <row r="1084" spans="1:12" x14ac:dyDescent="0.3">
      <c r="A1084">
        <v>64</v>
      </c>
      <c r="B1084">
        <v>2023</v>
      </c>
      <c r="C1084">
        <v>0.5</v>
      </c>
      <c r="D1084">
        <v>0.62</v>
      </c>
      <c r="E1084">
        <v>0.73</v>
      </c>
      <c r="F1084">
        <v>0.99</v>
      </c>
      <c r="G1084">
        <v>0.42</v>
      </c>
      <c r="H1084">
        <v>0.36</v>
      </c>
      <c r="I1084">
        <v>339</v>
      </c>
      <c r="J1084">
        <v>19</v>
      </c>
      <c r="K1084">
        <v>0.64</v>
      </c>
      <c r="L1084" t="s">
        <v>12</v>
      </c>
    </row>
    <row r="1085" spans="1:12" x14ac:dyDescent="0.3">
      <c r="A1085">
        <v>29</v>
      </c>
      <c r="B1085">
        <v>2023</v>
      </c>
      <c r="C1085">
        <v>0.46</v>
      </c>
      <c r="D1085">
        <v>0.41</v>
      </c>
      <c r="E1085">
        <v>0.8</v>
      </c>
      <c r="F1085">
        <v>0.87</v>
      </c>
      <c r="G1085">
        <v>0.72</v>
      </c>
      <c r="H1085">
        <v>7.0000000000000007E-2</v>
      </c>
      <c r="I1085">
        <v>270</v>
      </c>
      <c r="J1085">
        <v>18</v>
      </c>
      <c r="K1085">
        <v>0.6</v>
      </c>
      <c r="L1085" t="s">
        <v>12</v>
      </c>
    </row>
    <row r="1086" spans="1:12" x14ac:dyDescent="0.3">
      <c r="A1086">
        <v>36</v>
      </c>
      <c r="B1086">
        <v>2024</v>
      </c>
      <c r="C1086">
        <v>0.63</v>
      </c>
      <c r="D1086">
        <v>0.6</v>
      </c>
      <c r="E1086">
        <v>0.55000000000000004</v>
      </c>
      <c r="F1086">
        <v>0.66</v>
      </c>
      <c r="G1086">
        <v>0.32</v>
      </c>
      <c r="H1086">
        <v>0.47</v>
      </c>
      <c r="I1086">
        <v>345</v>
      </c>
      <c r="J1086">
        <v>18</v>
      </c>
      <c r="K1086">
        <v>0.57999999999999996</v>
      </c>
      <c r="L1086" t="s">
        <v>12</v>
      </c>
    </row>
    <row r="1087" spans="1:12" x14ac:dyDescent="0.3">
      <c r="A1087">
        <v>47</v>
      </c>
      <c r="B1087">
        <v>2021</v>
      </c>
      <c r="C1087">
        <v>0.96</v>
      </c>
      <c r="D1087">
        <v>0.84</v>
      </c>
      <c r="E1087">
        <v>0.82</v>
      </c>
      <c r="F1087">
        <v>0.86</v>
      </c>
      <c r="G1087">
        <v>0.88</v>
      </c>
      <c r="H1087">
        <v>0.11</v>
      </c>
      <c r="I1087">
        <v>143</v>
      </c>
      <c r="J1087">
        <v>9</v>
      </c>
      <c r="K1087">
        <v>0.88</v>
      </c>
      <c r="L1087" t="s">
        <v>13</v>
      </c>
    </row>
    <row r="1088" spans="1:12" x14ac:dyDescent="0.3">
      <c r="A1088">
        <v>5</v>
      </c>
      <c r="B1088">
        <v>2022</v>
      </c>
      <c r="C1088">
        <v>0.71</v>
      </c>
      <c r="D1088">
        <v>0.9</v>
      </c>
      <c r="E1088">
        <v>0.54</v>
      </c>
      <c r="F1088">
        <v>0.88</v>
      </c>
      <c r="G1088">
        <v>0.67</v>
      </c>
      <c r="H1088">
        <v>0.38</v>
      </c>
      <c r="I1088">
        <v>285</v>
      </c>
      <c r="J1088">
        <v>0</v>
      </c>
      <c r="K1088">
        <v>0.75</v>
      </c>
      <c r="L1088" t="s">
        <v>13</v>
      </c>
    </row>
    <row r="1089" spans="1:12" x14ac:dyDescent="0.3">
      <c r="A1089">
        <v>26</v>
      </c>
      <c r="B1089">
        <v>2022</v>
      </c>
      <c r="C1089">
        <v>0.89</v>
      </c>
      <c r="D1089">
        <v>0.69</v>
      </c>
      <c r="E1089">
        <v>0.66</v>
      </c>
      <c r="F1089">
        <v>0.95</v>
      </c>
      <c r="G1089">
        <v>0.41</v>
      </c>
      <c r="H1089">
        <v>0.21</v>
      </c>
      <c r="I1089">
        <v>221</v>
      </c>
      <c r="J1089">
        <v>15</v>
      </c>
      <c r="K1089">
        <v>0.76</v>
      </c>
      <c r="L1089" t="s">
        <v>13</v>
      </c>
    </row>
    <row r="1090" spans="1:12" x14ac:dyDescent="0.3">
      <c r="A1090">
        <v>22</v>
      </c>
      <c r="B1090">
        <v>2022</v>
      </c>
      <c r="C1090">
        <v>0.8</v>
      </c>
      <c r="D1090">
        <v>0.85</v>
      </c>
      <c r="E1090">
        <v>0.53</v>
      </c>
      <c r="F1090">
        <v>0.69</v>
      </c>
      <c r="G1090">
        <v>0.49</v>
      </c>
      <c r="H1090">
        <v>0.55000000000000004</v>
      </c>
      <c r="I1090">
        <v>346</v>
      </c>
      <c r="J1090">
        <v>10</v>
      </c>
      <c r="K1090">
        <v>0.71</v>
      </c>
      <c r="L1090" t="s">
        <v>13</v>
      </c>
    </row>
    <row r="1091" spans="1:12" x14ac:dyDescent="0.3">
      <c r="A1091">
        <v>85</v>
      </c>
      <c r="B1091">
        <v>2025</v>
      </c>
      <c r="C1091">
        <v>0.96</v>
      </c>
      <c r="D1091">
        <v>0.88</v>
      </c>
      <c r="E1091">
        <v>0.59</v>
      </c>
      <c r="F1091">
        <v>0.76</v>
      </c>
      <c r="G1091">
        <v>0.55000000000000004</v>
      </c>
      <c r="H1091">
        <v>0.79</v>
      </c>
      <c r="I1091">
        <v>123</v>
      </c>
      <c r="J1091">
        <v>1</v>
      </c>
      <c r="K1091">
        <v>0.8</v>
      </c>
      <c r="L1091" t="s">
        <v>13</v>
      </c>
    </row>
    <row r="1092" spans="1:12" x14ac:dyDescent="0.3">
      <c r="A1092">
        <v>40</v>
      </c>
      <c r="B1092">
        <v>2022</v>
      </c>
      <c r="C1092">
        <v>0.57999999999999996</v>
      </c>
      <c r="D1092">
        <v>0.56000000000000005</v>
      </c>
      <c r="E1092">
        <v>0.69</v>
      </c>
      <c r="F1092">
        <v>0.8</v>
      </c>
      <c r="G1092">
        <v>0.54</v>
      </c>
      <c r="H1092">
        <v>0.24</v>
      </c>
      <c r="I1092">
        <v>190</v>
      </c>
      <c r="J1092">
        <v>11</v>
      </c>
      <c r="K1092">
        <v>0.63</v>
      </c>
      <c r="L1092" t="s">
        <v>12</v>
      </c>
    </row>
    <row r="1093" spans="1:12" x14ac:dyDescent="0.3">
      <c r="A1093">
        <v>9</v>
      </c>
      <c r="B1093">
        <v>2024</v>
      </c>
      <c r="C1093">
        <v>0.84</v>
      </c>
      <c r="D1093">
        <v>0.5</v>
      </c>
      <c r="E1093">
        <v>0.52</v>
      </c>
      <c r="F1093">
        <v>0.86</v>
      </c>
      <c r="G1093">
        <v>0.84</v>
      </c>
      <c r="H1093">
        <v>0.81</v>
      </c>
      <c r="I1093">
        <v>100</v>
      </c>
      <c r="J1093">
        <v>19</v>
      </c>
      <c r="K1093">
        <v>0.69</v>
      </c>
      <c r="L1093" t="s">
        <v>12</v>
      </c>
    </row>
    <row r="1094" spans="1:12" x14ac:dyDescent="0.3">
      <c r="A1094">
        <v>39</v>
      </c>
      <c r="B1094">
        <v>2022</v>
      </c>
      <c r="C1094">
        <v>0.9</v>
      </c>
      <c r="D1094">
        <v>0.68</v>
      </c>
      <c r="E1094">
        <v>0.7</v>
      </c>
      <c r="F1094">
        <v>0.78</v>
      </c>
      <c r="G1094">
        <v>0.98</v>
      </c>
      <c r="H1094">
        <v>0.85</v>
      </c>
      <c r="I1094">
        <v>406</v>
      </c>
      <c r="J1094">
        <v>5</v>
      </c>
      <c r="K1094">
        <v>0.8</v>
      </c>
      <c r="L1094" t="s">
        <v>13</v>
      </c>
    </row>
    <row r="1095" spans="1:12" x14ac:dyDescent="0.3">
      <c r="A1095">
        <v>26</v>
      </c>
      <c r="B1095">
        <v>2021</v>
      </c>
      <c r="C1095">
        <v>0.95</v>
      </c>
      <c r="D1095">
        <v>0.65</v>
      </c>
      <c r="E1095">
        <v>0.64</v>
      </c>
      <c r="F1095">
        <v>0.79</v>
      </c>
      <c r="G1095">
        <v>0.94</v>
      </c>
      <c r="H1095">
        <v>0.39</v>
      </c>
      <c r="I1095">
        <v>465</v>
      </c>
      <c r="J1095">
        <v>2</v>
      </c>
      <c r="K1095">
        <v>0.79</v>
      </c>
      <c r="L1095" t="s">
        <v>13</v>
      </c>
    </row>
    <row r="1096" spans="1:12" x14ac:dyDescent="0.3">
      <c r="A1096">
        <v>19</v>
      </c>
      <c r="B1096">
        <v>2021</v>
      </c>
      <c r="C1096">
        <v>0.33</v>
      </c>
      <c r="D1096">
        <v>0.63</v>
      </c>
      <c r="E1096">
        <v>0.57999999999999996</v>
      </c>
      <c r="F1096">
        <v>0.88</v>
      </c>
      <c r="G1096">
        <v>0.37</v>
      </c>
      <c r="H1096">
        <v>0.66</v>
      </c>
      <c r="I1096">
        <v>136</v>
      </c>
      <c r="J1096">
        <v>9</v>
      </c>
      <c r="K1096">
        <v>0.54</v>
      </c>
      <c r="L1096" t="s">
        <v>12</v>
      </c>
    </row>
    <row r="1097" spans="1:12" x14ac:dyDescent="0.3">
      <c r="A1097">
        <v>67</v>
      </c>
      <c r="B1097">
        <v>2025</v>
      </c>
      <c r="C1097">
        <v>0.96</v>
      </c>
      <c r="D1097">
        <v>0.41</v>
      </c>
      <c r="E1097">
        <v>0.72</v>
      </c>
      <c r="F1097">
        <v>0.61</v>
      </c>
      <c r="G1097">
        <v>0.64</v>
      </c>
      <c r="H1097">
        <v>0.5</v>
      </c>
      <c r="I1097">
        <v>251</v>
      </c>
      <c r="J1097">
        <v>1</v>
      </c>
      <c r="K1097">
        <v>0.69</v>
      </c>
      <c r="L1097" t="s">
        <v>12</v>
      </c>
    </row>
    <row r="1098" spans="1:12" x14ac:dyDescent="0.3">
      <c r="A1098">
        <v>44</v>
      </c>
      <c r="B1098">
        <v>2022</v>
      </c>
      <c r="C1098">
        <v>0.77</v>
      </c>
      <c r="D1098">
        <v>0.87</v>
      </c>
      <c r="E1098">
        <v>0.77</v>
      </c>
      <c r="F1098">
        <v>0.84</v>
      </c>
      <c r="G1098">
        <v>0.44</v>
      </c>
      <c r="H1098">
        <v>0.28999999999999998</v>
      </c>
      <c r="I1098">
        <v>441</v>
      </c>
      <c r="J1098">
        <v>11</v>
      </c>
      <c r="K1098">
        <v>0.77</v>
      </c>
      <c r="L1098" t="s">
        <v>13</v>
      </c>
    </row>
    <row r="1099" spans="1:12" x14ac:dyDescent="0.3">
      <c r="A1099">
        <v>48</v>
      </c>
      <c r="B1099">
        <v>2022</v>
      </c>
      <c r="C1099">
        <v>0.79</v>
      </c>
      <c r="D1099">
        <v>0.95</v>
      </c>
      <c r="E1099">
        <v>0.69</v>
      </c>
      <c r="F1099">
        <v>0.96</v>
      </c>
      <c r="G1099">
        <v>0.94</v>
      </c>
      <c r="H1099">
        <v>0.93</v>
      </c>
      <c r="I1099">
        <v>55</v>
      </c>
      <c r="J1099">
        <v>8</v>
      </c>
      <c r="K1099">
        <v>0.85</v>
      </c>
      <c r="L1099" t="s">
        <v>13</v>
      </c>
    </row>
    <row r="1100" spans="1:12" x14ac:dyDescent="0.3">
      <c r="A1100">
        <v>74</v>
      </c>
      <c r="B1100">
        <v>2024</v>
      </c>
      <c r="C1100">
        <v>0.48</v>
      </c>
      <c r="D1100">
        <v>0.42</v>
      </c>
      <c r="E1100">
        <v>0.65</v>
      </c>
      <c r="F1100">
        <v>0.9</v>
      </c>
      <c r="G1100">
        <v>0.33</v>
      </c>
      <c r="H1100">
        <v>0.22</v>
      </c>
      <c r="I1100">
        <v>365</v>
      </c>
      <c r="J1100">
        <v>18</v>
      </c>
      <c r="K1100">
        <v>0.55000000000000004</v>
      </c>
      <c r="L1100" t="s">
        <v>12</v>
      </c>
    </row>
    <row r="1101" spans="1:12" x14ac:dyDescent="0.3">
      <c r="A1101">
        <v>83</v>
      </c>
      <c r="B1101">
        <v>2025</v>
      </c>
      <c r="C1101">
        <v>0.78</v>
      </c>
      <c r="D1101">
        <v>0.79</v>
      </c>
      <c r="E1101">
        <v>0.71</v>
      </c>
      <c r="F1101">
        <v>0.77</v>
      </c>
      <c r="G1101">
        <v>0.4</v>
      </c>
      <c r="H1101">
        <v>0.51</v>
      </c>
      <c r="I1101">
        <v>332</v>
      </c>
      <c r="J1101">
        <v>6</v>
      </c>
      <c r="K1101">
        <v>0.73</v>
      </c>
      <c r="L1101" t="s">
        <v>13</v>
      </c>
    </row>
    <row r="1102" spans="1:12" x14ac:dyDescent="0.3">
      <c r="A1102">
        <v>20</v>
      </c>
      <c r="B1102">
        <v>2022</v>
      </c>
      <c r="C1102">
        <v>0.53</v>
      </c>
      <c r="D1102">
        <v>0.83</v>
      </c>
      <c r="E1102">
        <v>0.54</v>
      </c>
      <c r="F1102">
        <v>0.97</v>
      </c>
      <c r="G1102">
        <v>0.31</v>
      </c>
      <c r="H1102">
        <v>0.96</v>
      </c>
      <c r="I1102">
        <v>273</v>
      </c>
      <c r="J1102">
        <v>13</v>
      </c>
      <c r="K1102">
        <v>0.65</v>
      </c>
      <c r="L1102" t="s">
        <v>12</v>
      </c>
    </row>
    <row r="1103" spans="1:12" x14ac:dyDescent="0.3">
      <c r="A1103">
        <v>47</v>
      </c>
      <c r="B1103">
        <v>2023</v>
      </c>
      <c r="C1103">
        <v>0.31</v>
      </c>
      <c r="D1103">
        <v>0.56000000000000005</v>
      </c>
      <c r="E1103">
        <v>0.55000000000000004</v>
      </c>
      <c r="F1103">
        <v>0.86</v>
      </c>
      <c r="G1103">
        <v>0.52</v>
      </c>
      <c r="H1103">
        <v>0.77</v>
      </c>
      <c r="I1103">
        <v>459</v>
      </c>
      <c r="J1103">
        <v>2</v>
      </c>
      <c r="K1103">
        <v>0.52</v>
      </c>
      <c r="L1103" t="s">
        <v>12</v>
      </c>
    </row>
    <row r="1104" spans="1:12" x14ac:dyDescent="0.3">
      <c r="A1104">
        <v>51</v>
      </c>
      <c r="B1104">
        <v>2024</v>
      </c>
      <c r="C1104">
        <v>0.82</v>
      </c>
      <c r="D1104">
        <v>0.72</v>
      </c>
      <c r="E1104">
        <v>0.9</v>
      </c>
      <c r="F1104">
        <v>0.91</v>
      </c>
      <c r="G1104">
        <v>0.45</v>
      </c>
      <c r="H1104">
        <v>0.72</v>
      </c>
      <c r="I1104">
        <v>444</v>
      </c>
      <c r="J1104">
        <v>13</v>
      </c>
      <c r="K1104">
        <v>0.79</v>
      </c>
      <c r="L1104" t="s">
        <v>13</v>
      </c>
    </row>
    <row r="1105" spans="1:12" x14ac:dyDescent="0.3">
      <c r="A1105">
        <v>86</v>
      </c>
      <c r="B1105">
        <v>2024</v>
      </c>
      <c r="C1105">
        <v>0.62</v>
      </c>
      <c r="D1105">
        <v>0.61</v>
      </c>
      <c r="E1105">
        <v>0.78</v>
      </c>
      <c r="F1105">
        <v>0.68</v>
      </c>
      <c r="G1105">
        <v>0.9</v>
      </c>
      <c r="H1105">
        <v>0.26</v>
      </c>
      <c r="I1105">
        <v>153</v>
      </c>
      <c r="J1105">
        <v>12</v>
      </c>
      <c r="K1105">
        <v>0.69</v>
      </c>
      <c r="L1105" t="s">
        <v>12</v>
      </c>
    </row>
    <row r="1106" spans="1:12" x14ac:dyDescent="0.3">
      <c r="A1106">
        <v>50</v>
      </c>
      <c r="B1106">
        <v>2025</v>
      </c>
      <c r="C1106">
        <v>0.31</v>
      </c>
      <c r="D1106">
        <v>0.84</v>
      </c>
      <c r="E1106">
        <v>0.54</v>
      </c>
      <c r="F1106">
        <v>0.85</v>
      </c>
      <c r="G1106">
        <v>0.86</v>
      </c>
      <c r="H1106">
        <v>0.13</v>
      </c>
      <c r="I1106">
        <v>379</v>
      </c>
      <c r="J1106">
        <v>17</v>
      </c>
      <c r="K1106">
        <v>0.62</v>
      </c>
      <c r="L1106" t="s">
        <v>12</v>
      </c>
    </row>
    <row r="1107" spans="1:12" x14ac:dyDescent="0.3">
      <c r="A1107">
        <v>5</v>
      </c>
      <c r="B1107">
        <v>2025</v>
      </c>
      <c r="C1107">
        <v>0.98</v>
      </c>
      <c r="D1107">
        <v>0.89</v>
      </c>
      <c r="E1107">
        <v>0.6</v>
      </c>
      <c r="F1107">
        <v>0.67</v>
      </c>
      <c r="G1107">
        <v>0.39</v>
      </c>
      <c r="H1107">
        <v>0.14000000000000001</v>
      </c>
      <c r="I1107">
        <v>52</v>
      </c>
      <c r="J1107">
        <v>11</v>
      </c>
      <c r="K1107">
        <v>0.78</v>
      </c>
      <c r="L1107" t="s">
        <v>13</v>
      </c>
    </row>
    <row r="1108" spans="1:12" x14ac:dyDescent="0.3">
      <c r="A1108">
        <v>64</v>
      </c>
      <c r="B1108">
        <v>2025</v>
      </c>
      <c r="C1108">
        <v>0.82</v>
      </c>
      <c r="D1108">
        <v>0.76</v>
      </c>
      <c r="E1108">
        <v>0.84</v>
      </c>
      <c r="F1108">
        <v>0.61</v>
      </c>
      <c r="G1108">
        <v>0.52</v>
      </c>
      <c r="H1108">
        <v>0.64</v>
      </c>
      <c r="I1108">
        <v>121</v>
      </c>
      <c r="J1108">
        <v>5</v>
      </c>
      <c r="K1108">
        <v>0.75</v>
      </c>
      <c r="L1108" t="s">
        <v>13</v>
      </c>
    </row>
    <row r="1109" spans="1:12" x14ac:dyDescent="0.3">
      <c r="A1109">
        <v>68</v>
      </c>
      <c r="B1109">
        <v>2024</v>
      </c>
      <c r="C1109">
        <v>0.9</v>
      </c>
      <c r="D1109">
        <v>0.81</v>
      </c>
      <c r="E1109">
        <v>0.63</v>
      </c>
      <c r="F1109">
        <v>0.88</v>
      </c>
      <c r="G1109">
        <v>0.85</v>
      </c>
      <c r="H1109">
        <v>0.31</v>
      </c>
      <c r="I1109">
        <v>254</v>
      </c>
      <c r="J1109">
        <v>8</v>
      </c>
      <c r="K1109">
        <v>0.82</v>
      </c>
      <c r="L1109" t="s">
        <v>13</v>
      </c>
    </row>
    <row r="1110" spans="1:12" x14ac:dyDescent="0.3">
      <c r="A1110">
        <v>71</v>
      </c>
      <c r="B1110">
        <v>2024</v>
      </c>
      <c r="C1110">
        <v>0.54</v>
      </c>
      <c r="D1110">
        <v>0.46</v>
      </c>
      <c r="E1110">
        <v>0.75</v>
      </c>
      <c r="F1110">
        <v>0.91</v>
      </c>
      <c r="G1110">
        <v>0.46</v>
      </c>
      <c r="H1110">
        <v>0.27</v>
      </c>
      <c r="I1110">
        <v>367</v>
      </c>
      <c r="J1110">
        <v>0</v>
      </c>
      <c r="K1110">
        <v>0.61</v>
      </c>
      <c r="L1110" t="s">
        <v>12</v>
      </c>
    </row>
    <row r="1111" spans="1:12" x14ac:dyDescent="0.3">
      <c r="A1111">
        <v>17</v>
      </c>
      <c r="B1111">
        <v>2021</v>
      </c>
      <c r="C1111">
        <v>0.7</v>
      </c>
      <c r="D1111">
        <v>0.96</v>
      </c>
      <c r="E1111">
        <v>0.56999999999999995</v>
      </c>
      <c r="F1111">
        <v>0.99</v>
      </c>
      <c r="G1111">
        <v>0.96</v>
      </c>
      <c r="H1111">
        <v>0.88</v>
      </c>
      <c r="I1111">
        <v>316</v>
      </c>
      <c r="J1111">
        <v>7</v>
      </c>
      <c r="K1111">
        <v>0.81</v>
      </c>
      <c r="L1111" t="s">
        <v>13</v>
      </c>
    </row>
    <row r="1112" spans="1:12" x14ac:dyDescent="0.3">
      <c r="A1112">
        <v>55</v>
      </c>
      <c r="B1112">
        <v>2025</v>
      </c>
      <c r="C1112">
        <v>0.99</v>
      </c>
      <c r="D1112">
        <v>0.51</v>
      </c>
      <c r="E1112">
        <v>0.88</v>
      </c>
      <c r="F1112">
        <v>0.74</v>
      </c>
      <c r="G1112">
        <v>0.42</v>
      </c>
      <c r="H1112">
        <v>0.42</v>
      </c>
      <c r="I1112">
        <v>196</v>
      </c>
      <c r="J1112">
        <v>6</v>
      </c>
      <c r="K1112">
        <v>0.75</v>
      </c>
      <c r="L1112" t="s">
        <v>13</v>
      </c>
    </row>
    <row r="1113" spans="1:12" x14ac:dyDescent="0.3">
      <c r="A1113">
        <v>31</v>
      </c>
      <c r="B1113">
        <v>2022</v>
      </c>
      <c r="C1113">
        <v>0.68</v>
      </c>
      <c r="D1113">
        <v>1</v>
      </c>
      <c r="E1113">
        <v>0.7</v>
      </c>
      <c r="F1113">
        <v>0.85</v>
      </c>
      <c r="G1113">
        <v>0.56000000000000005</v>
      </c>
      <c r="H1113">
        <v>0.39</v>
      </c>
      <c r="I1113">
        <v>363</v>
      </c>
      <c r="J1113">
        <v>19</v>
      </c>
      <c r="K1113">
        <v>0.78</v>
      </c>
      <c r="L1113" t="s">
        <v>13</v>
      </c>
    </row>
    <row r="1114" spans="1:12" x14ac:dyDescent="0.3">
      <c r="A1114">
        <v>92</v>
      </c>
      <c r="B1114">
        <v>2022</v>
      </c>
      <c r="C1114">
        <v>0.84</v>
      </c>
      <c r="D1114">
        <v>0.45</v>
      </c>
      <c r="E1114">
        <v>0.61</v>
      </c>
      <c r="F1114">
        <v>0.8</v>
      </c>
      <c r="G1114">
        <v>0.31</v>
      </c>
      <c r="H1114">
        <v>0.25</v>
      </c>
      <c r="I1114">
        <v>350</v>
      </c>
      <c r="J1114">
        <v>1</v>
      </c>
      <c r="K1114">
        <v>0.64</v>
      </c>
      <c r="L1114" t="s">
        <v>12</v>
      </c>
    </row>
    <row r="1115" spans="1:12" x14ac:dyDescent="0.3">
      <c r="A1115">
        <v>32</v>
      </c>
      <c r="B1115">
        <v>2025</v>
      </c>
      <c r="C1115">
        <v>0.64</v>
      </c>
      <c r="D1115">
        <v>0.83</v>
      </c>
      <c r="E1115">
        <v>0.93</v>
      </c>
      <c r="F1115">
        <v>0.97</v>
      </c>
      <c r="G1115">
        <v>0.53</v>
      </c>
      <c r="H1115">
        <v>0.14000000000000001</v>
      </c>
      <c r="I1115">
        <v>370</v>
      </c>
      <c r="J1115">
        <v>13</v>
      </c>
      <c r="K1115">
        <v>0.78</v>
      </c>
      <c r="L1115" t="s">
        <v>13</v>
      </c>
    </row>
    <row r="1116" spans="1:12" x14ac:dyDescent="0.3">
      <c r="A1116">
        <v>73</v>
      </c>
      <c r="B1116">
        <v>2024</v>
      </c>
      <c r="C1116">
        <v>0.63</v>
      </c>
      <c r="D1116">
        <v>0.57999999999999996</v>
      </c>
      <c r="E1116">
        <v>0.71</v>
      </c>
      <c r="F1116">
        <v>0.72</v>
      </c>
      <c r="G1116">
        <v>0.48</v>
      </c>
      <c r="H1116">
        <v>0.59</v>
      </c>
      <c r="I1116">
        <v>92</v>
      </c>
      <c r="J1116">
        <v>3</v>
      </c>
      <c r="K1116">
        <v>0.63</v>
      </c>
      <c r="L1116" t="s">
        <v>12</v>
      </c>
    </row>
    <row r="1117" spans="1:12" x14ac:dyDescent="0.3">
      <c r="A1117">
        <v>14</v>
      </c>
      <c r="B1117">
        <v>2022</v>
      </c>
      <c r="C1117">
        <v>0.48</v>
      </c>
      <c r="D1117">
        <v>0.87</v>
      </c>
      <c r="E1117">
        <v>0.98</v>
      </c>
      <c r="F1117">
        <v>0.88</v>
      </c>
      <c r="G1117">
        <v>0.72</v>
      </c>
      <c r="H1117">
        <v>0.46</v>
      </c>
      <c r="I1117">
        <v>309</v>
      </c>
      <c r="J1117">
        <v>9</v>
      </c>
      <c r="K1117">
        <v>0.76</v>
      </c>
      <c r="L1117" t="s">
        <v>13</v>
      </c>
    </row>
    <row r="1118" spans="1:12" x14ac:dyDescent="0.3">
      <c r="A1118">
        <v>100</v>
      </c>
      <c r="B1118">
        <v>2025</v>
      </c>
      <c r="C1118">
        <v>0.83</v>
      </c>
      <c r="D1118">
        <v>0.81</v>
      </c>
      <c r="E1118">
        <v>0.6</v>
      </c>
      <c r="F1118">
        <v>0.8</v>
      </c>
      <c r="G1118">
        <v>0.85</v>
      </c>
      <c r="H1118">
        <v>0.48</v>
      </c>
      <c r="I1118">
        <v>221</v>
      </c>
      <c r="J1118">
        <v>15</v>
      </c>
      <c r="K1118">
        <v>0.78</v>
      </c>
      <c r="L1118" t="s">
        <v>13</v>
      </c>
    </row>
    <row r="1119" spans="1:12" x14ac:dyDescent="0.3">
      <c r="A1119">
        <v>65</v>
      </c>
      <c r="B1119">
        <v>2022</v>
      </c>
      <c r="C1119">
        <v>0.59</v>
      </c>
      <c r="D1119">
        <v>0.94</v>
      </c>
      <c r="E1119">
        <v>0.57999999999999996</v>
      </c>
      <c r="F1119">
        <v>1</v>
      </c>
      <c r="G1119">
        <v>0.38</v>
      </c>
      <c r="H1119">
        <v>0.01</v>
      </c>
      <c r="I1119">
        <v>370</v>
      </c>
      <c r="J1119">
        <v>15</v>
      </c>
      <c r="K1119">
        <v>0.72</v>
      </c>
      <c r="L1119" t="s">
        <v>13</v>
      </c>
    </row>
    <row r="1120" spans="1:12" x14ac:dyDescent="0.3">
      <c r="A1120">
        <v>86</v>
      </c>
      <c r="B1120">
        <v>2023</v>
      </c>
      <c r="C1120">
        <v>0.85</v>
      </c>
      <c r="D1120">
        <v>0.65</v>
      </c>
      <c r="E1120">
        <v>0.91</v>
      </c>
      <c r="F1120">
        <v>0.87</v>
      </c>
      <c r="G1120">
        <v>0.85</v>
      </c>
      <c r="H1120">
        <v>0.82</v>
      </c>
      <c r="I1120">
        <v>410</v>
      </c>
      <c r="J1120">
        <v>18</v>
      </c>
      <c r="K1120">
        <v>0.82</v>
      </c>
      <c r="L1120" t="s">
        <v>13</v>
      </c>
    </row>
    <row r="1121" spans="1:12" x14ac:dyDescent="0.3">
      <c r="A1121">
        <v>57</v>
      </c>
      <c r="B1121">
        <v>2022</v>
      </c>
      <c r="C1121">
        <v>0.33</v>
      </c>
      <c r="D1121">
        <v>0.94</v>
      </c>
      <c r="E1121">
        <v>0.76</v>
      </c>
      <c r="F1121">
        <v>0.89</v>
      </c>
      <c r="G1121">
        <v>0.89</v>
      </c>
      <c r="H1121">
        <v>0.95</v>
      </c>
      <c r="I1121">
        <v>198</v>
      </c>
      <c r="J1121">
        <v>13</v>
      </c>
      <c r="K1121">
        <v>0.71</v>
      </c>
      <c r="L1121" t="s">
        <v>13</v>
      </c>
    </row>
    <row r="1122" spans="1:12" x14ac:dyDescent="0.3">
      <c r="A1122">
        <v>2</v>
      </c>
      <c r="B1122">
        <v>2025</v>
      </c>
      <c r="C1122">
        <v>0.41</v>
      </c>
      <c r="D1122">
        <v>0.64</v>
      </c>
      <c r="E1122">
        <v>0.68</v>
      </c>
      <c r="F1122">
        <v>0.82</v>
      </c>
      <c r="G1122">
        <v>0.77</v>
      </c>
      <c r="H1122">
        <v>0.98</v>
      </c>
      <c r="I1122">
        <v>152</v>
      </c>
      <c r="J1122">
        <v>8</v>
      </c>
      <c r="K1122">
        <v>0.62</v>
      </c>
      <c r="L1122" t="s">
        <v>12</v>
      </c>
    </row>
    <row r="1123" spans="1:12" x14ac:dyDescent="0.3">
      <c r="A1123">
        <v>37</v>
      </c>
      <c r="B1123">
        <v>2025</v>
      </c>
      <c r="C1123">
        <v>0.44</v>
      </c>
      <c r="D1123">
        <v>0.95</v>
      </c>
      <c r="E1123">
        <v>0.59</v>
      </c>
      <c r="F1123">
        <v>0.71</v>
      </c>
      <c r="G1123">
        <v>0.66</v>
      </c>
      <c r="H1123">
        <v>0.26</v>
      </c>
      <c r="I1123">
        <v>337</v>
      </c>
      <c r="J1123">
        <v>1</v>
      </c>
      <c r="K1123">
        <v>0.66</v>
      </c>
      <c r="L1123" t="s">
        <v>12</v>
      </c>
    </row>
    <row r="1124" spans="1:12" x14ac:dyDescent="0.3">
      <c r="A1124">
        <v>77</v>
      </c>
      <c r="B1124">
        <v>2021</v>
      </c>
      <c r="C1124">
        <v>0.59</v>
      </c>
      <c r="D1124">
        <v>0.87</v>
      </c>
      <c r="E1124">
        <v>0.87</v>
      </c>
      <c r="F1124">
        <v>0.83</v>
      </c>
      <c r="G1124">
        <v>0.88</v>
      </c>
      <c r="H1124">
        <v>0.56000000000000005</v>
      </c>
      <c r="I1124">
        <v>263</v>
      </c>
      <c r="J1124">
        <v>4</v>
      </c>
      <c r="K1124">
        <v>0.78</v>
      </c>
      <c r="L1124" t="s">
        <v>13</v>
      </c>
    </row>
    <row r="1125" spans="1:12" x14ac:dyDescent="0.3">
      <c r="A1125">
        <v>48</v>
      </c>
      <c r="B1125">
        <v>2023</v>
      </c>
      <c r="C1125">
        <v>0.77</v>
      </c>
      <c r="D1125">
        <v>0.93</v>
      </c>
      <c r="E1125">
        <v>0.9</v>
      </c>
      <c r="F1125">
        <v>0.67</v>
      </c>
      <c r="G1125">
        <v>0.51</v>
      </c>
      <c r="H1125">
        <v>0.72</v>
      </c>
      <c r="I1125">
        <v>383</v>
      </c>
      <c r="J1125">
        <v>17</v>
      </c>
      <c r="K1125">
        <v>0.8</v>
      </c>
      <c r="L1125" t="s">
        <v>13</v>
      </c>
    </row>
    <row r="1126" spans="1:12" x14ac:dyDescent="0.3">
      <c r="A1126">
        <v>27</v>
      </c>
      <c r="B1126">
        <v>2024</v>
      </c>
      <c r="C1126">
        <v>0.82</v>
      </c>
      <c r="D1126">
        <v>0.88</v>
      </c>
      <c r="E1126">
        <v>0.98</v>
      </c>
      <c r="F1126">
        <v>0.83</v>
      </c>
      <c r="G1126">
        <v>0.45</v>
      </c>
      <c r="H1126">
        <v>0.86</v>
      </c>
      <c r="I1126">
        <v>213</v>
      </c>
      <c r="J1126">
        <v>8</v>
      </c>
      <c r="K1126">
        <v>0.83</v>
      </c>
      <c r="L1126" t="s">
        <v>13</v>
      </c>
    </row>
    <row r="1127" spans="1:12" x14ac:dyDescent="0.3">
      <c r="A1127">
        <v>47</v>
      </c>
      <c r="B1127">
        <v>2023</v>
      </c>
      <c r="C1127">
        <v>0.59</v>
      </c>
      <c r="D1127">
        <v>0.96</v>
      </c>
      <c r="E1127">
        <v>0.67</v>
      </c>
      <c r="F1127">
        <v>0.99</v>
      </c>
      <c r="G1127">
        <v>0.94</v>
      </c>
      <c r="H1127">
        <v>0.63</v>
      </c>
      <c r="I1127">
        <v>367</v>
      </c>
      <c r="J1127">
        <v>19</v>
      </c>
      <c r="K1127">
        <v>0.79</v>
      </c>
      <c r="L1127" t="s">
        <v>13</v>
      </c>
    </row>
    <row r="1128" spans="1:12" x14ac:dyDescent="0.3">
      <c r="A1128">
        <v>96</v>
      </c>
      <c r="B1128">
        <v>2021</v>
      </c>
      <c r="C1128">
        <v>0.39</v>
      </c>
      <c r="D1128">
        <v>0.85</v>
      </c>
      <c r="E1128">
        <v>0.74</v>
      </c>
      <c r="F1128">
        <v>0.66</v>
      </c>
      <c r="G1128">
        <v>0.48</v>
      </c>
      <c r="H1128">
        <v>0.95</v>
      </c>
      <c r="I1128">
        <v>301</v>
      </c>
      <c r="J1128">
        <v>14</v>
      </c>
      <c r="K1128">
        <v>0.62</v>
      </c>
      <c r="L1128" t="s">
        <v>12</v>
      </c>
    </row>
    <row r="1129" spans="1:12" x14ac:dyDescent="0.3">
      <c r="A1129">
        <v>48</v>
      </c>
      <c r="B1129">
        <v>2025</v>
      </c>
      <c r="C1129">
        <v>0.91</v>
      </c>
      <c r="D1129">
        <v>0.76</v>
      </c>
      <c r="E1129">
        <v>0.81</v>
      </c>
      <c r="F1129">
        <v>0.81</v>
      </c>
      <c r="G1129">
        <v>0.36</v>
      </c>
      <c r="H1129">
        <v>0.45</v>
      </c>
      <c r="I1129">
        <v>160</v>
      </c>
      <c r="J1129">
        <v>0</v>
      </c>
      <c r="K1129">
        <v>0.78</v>
      </c>
      <c r="L1129" t="s">
        <v>13</v>
      </c>
    </row>
    <row r="1130" spans="1:12" x14ac:dyDescent="0.3">
      <c r="A1130">
        <v>41</v>
      </c>
      <c r="B1130">
        <v>2024</v>
      </c>
      <c r="C1130">
        <v>0.88</v>
      </c>
      <c r="D1130">
        <v>0.46</v>
      </c>
      <c r="E1130">
        <v>0.61</v>
      </c>
      <c r="F1130">
        <v>0.6</v>
      </c>
      <c r="G1130">
        <v>0.51</v>
      </c>
      <c r="H1130">
        <v>0.11</v>
      </c>
      <c r="I1130">
        <v>79</v>
      </c>
      <c r="J1130">
        <v>12</v>
      </c>
      <c r="K1130">
        <v>0.64</v>
      </c>
      <c r="L1130" t="s">
        <v>12</v>
      </c>
    </row>
    <row r="1131" spans="1:12" x14ac:dyDescent="0.3">
      <c r="A1131">
        <v>80</v>
      </c>
      <c r="B1131">
        <v>2025</v>
      </c>
      <c r="C1131">
        <v>0.77</v>
      </c>
      <c r="D1131">
        <v>0.52</v>
      </c>
      <c r="E1131">
        <v>0.54</v>
      </c>
      <c r="F1131">
        <v>0.93</v>
      </c>
      <c r="G1131">
        <v>0.36</v>
      </c>
      <c r="H1131">
        <v>0.09</v>
      </c>
      <c r="I1131">
        <v>361</v>
      </c>
      <c r="J1131">
        <v>3</v>
      </c>
      <c r="K1131">
        <v>0.64</v>
      </c>
      <c r="L1131" t="s">
        <v>12</v>
      </c>
    </row>
    <row r="1132" spans="1:12" x14ac:dyDescent="0.3">
      <c r="A1132">
        <v>54</v>
      </c>
      <c r="B1132">
        <v>2022</v>
      </c>
      <c r="C1132">
        <v>0.66</v>
      </c>
      <c r="D1132">
        <v>0.66</v>
      </c>
      <c r="E1132">
        <v>0.76</v>
      </c>
      <c r="F1132">
        <v>0.87</v>
      </c>
      <c r="G1132">
        <v>0.56999999999999995</v>
      </c>
      <c r="H1132">
        <v>0.25</v>
      </c>
      <c r="I1132">
        <v>141</v>
      </c>
      <c r="J1132">
        <v>19</v>
      </c>
      <c r="K1132">
        <v>0.7</v>
      </c>
      <c r="L1132" t="s">
        <v>12</v>
      </c>
    </row>
    <row r="1133" spans="1:12" x14ac:dyDescent="0.3">
      <c r="A1133">
        <v>75</v>
      </c>
      <c r="B1133">
        <v>2022</v>
      </c>
      <c r="C1133">
        <v>0.81</v>
      </c>
      <c r="D1133">
        <v>0.88</v>
      </c>
      <c r="E1133">
        <v>0.9</v>
      </c>
      <c r="F1133">
        <v>0.99</v>
      </c>
      <c r="G1133">
        <v>0.85</v>
      </c>
      <c r="H1133">
        <v>0.77</v>
      </c>
      <c r="I1133">
        <v>379</v>
      </c>
      <c r="J1133">
        <v>1</v>
      </c>
      <c r="K1133">
        <v>0.88</v>
      </c>
      <c r="L1133" t="s">
        <v>13</v>
      </c>
    </row>
    <row r="1134" spans="1:12" x14ac:dyDescent="0.3">
      <c r="A1134">
        <v>24</v>
      </c>
      <c r="B1134">
        <v>2024</v>
      </c>
      <c r="C1134">
        <v>0.7</v>
      </c>
      <c r="D1134">
        <v>0.83</v>
      </c>
      <c r="E1134">
        <v>0.55000000000000004</v>
      </c>
      <c r="F1134">
        <v>0.9</v>
      </c>
      <c r="G1134">
        <v>0.4</v>
      </c>
      <c r="H1134">
        <v>7.0000000000000007E-2</v>
      </c>
      <c r="I1134">
        <v>476</v>
      </c>
      <c r="J1134">
        <v>1</v>
      </c>
      <c r="K1134">
        <v>0.7</v>
      </c>
      <c r="L1134" t="s">
        <v>12</v>
      </c>
    </row>
    <row r="1135" spans="1:12" x14ac:dyDescent="0.3">
      <c r="A1135">
        <v>15</v>
      </c>
      <c r="B1135">
        <v>2021</v>
      </c>
      <c r="C1135">
        <v>0.61</v>
      </c>
      <c r="D1135">
        <v>0.51</v>
      </c>
      <c r="E1135">
        <v>0.74</v>
      </c>
      <c r="F1135">
        <v>0.93</v>
      </c>
      <c r="G1135">
        <v>0.97</v>
      </c>
      <c r="H1135">
        <v>0.63</v>
      </c>
      <c r="I1135">
        <v>329</v>
      </c>
      <c r="J1135">
        <v>19</v>
      </c>
      <c r="K1135">
        <v>0.7</v>
      </c>
      <c r="L1135" t="s">
        <v>12</v>
      </c>
    </row>
    <row r="1136" spans="1:12" x14ac:dyDescent="0.3">
      <c r="A1136">
        <v>39</v>
      </c>
      <c r="B1136">
        <v>2024</v>
      </c>
      <c r="C1136">
        <v>0.61</v>
      </c>
      <c r="D1136">
        <v>0.97</v>
      </c>
      <c r="E1136">
        <v>0.8</v>
      </c>
      <c r="F1136">
        <v>0.69</v>
      </c>
      <c r="G1136">
        <v>0.64</v>
      </c>
      <c r="H1136">
        <v>0.68</v>
      </c>
      <c r="I1136">
        <v>497</v>
      </c>
      <c r="J1136">
        <v>13</v>
      </c>
      <c r="K1136">
        <v>0.75</v>
      </c>
      <c r="L1136" t="s">
        <v>13</v>
      </c>
    </row>
    <row r="1137" spans="1:12" x14ac:dyDescent="0.3">
      <c r="A1137">
        <v>35</v>
      </c>
      <c r="B1137">
        <v>2021</v>
      </c>
      <c r="C1137">
        <v>0.63</v>
      </c>
      <c r="D1137">
        <v>0.89</v>
      </c>
      <c r="E1137">
        <v>0.56000000000000005</v>
      </c>
      <c r="F1137">
        <v>0.94</v>
      </c>
      <c r="G1137">
        <v>0.93</v>
      </c>
      <c r="H1137">
        <v>0.95</v>
      </c>
      <c r="I1137">
        <v>238</v>
      </c>
      <c r="J1137">
        <v>7</v>
      </c>
      <c r="K1137">
        <v>0.76</v>
      </c>
      <c r="L1137" t="s">
        <v>13</v>
      </c>
    </row>
    <row r="1138" spans="1:12" x14ac:dyDescent="0.3">
      <c r="A1138">
        <v>39</v>
      </c>
      <c r="B1138">
        <v>2024</v>
      </c>
      <c r="C1138">
        <v>0.43</v>
      </c>
      <c r="D1138">
        <v>0.95</v>
      </c>
      <c r="E1138">
        <v>0.88</v>
      </c>
      <c r="F1138">
        <v>0.97</v>
      </c>
      <c r="G1138">
        <v>0.52</v>
      </c>
      <c r="H1138">
        <v>0.94</v>
      </c>
      <c r="I1138">
        <v>132</v>
      </c>
      <c r="J1138">
        <v>11</v>
      </c>
      <c r="K1138">
        <v>0.74</v>
      </c>
      <c r="L1138" t="s">
        <v>13</v>
      </c>
    </row>
    <row r="1139" spans="1:12" x14ac:dyDescent="0.3">
      <c r="A1139">
        <v>68</v>
      </c>
      <c r="B1139">
        <v>2021</v>
      </c>
      <c r="C1139">
        <v>0.92</v>
      </c>
      <c r="D1139">
        <v>0.84</v>
      </c>
      <c r="E1139">
        <v>0.96</v>
      </c>
      <c r="F1139">
        <v>0.73</v>
      </c>
      <c r="G1139">
        <v>0.65</v>
      </c>
      <c r="H1139">
        <v>0.01</v>
      </c>
      <c r="I1139">
        <v>295</v>
      </c>
      <c r="J1139">
        <v>5</v>
      </c>
      <c r="K1139">
        <v>0.85</v>
      </c>
      <c r="L1139" t="s">
        <v>13</v>
      </c>
    </row>
    <row r="1140" spans="1:12" x14ac:dyDescent="0.3">
      <c r="A1140">
        <v>21</v>
      </c>
      <c r="B1140">
        <v>2022</v>
      </c>
      <c r="C1140">
        <v>0.42</v>
      </c>
      <c r="D1140">
        <v>0.42</v>
      </c>
      <c r="E1140">
        <v>0.95</v>
      </c>
      <c r="F1140">
        <v>0.6</v>
      </c>
      <c r="G1140">
        <v>0.82</v>
      </c>
      <c r="H1140">
        <v>0.15</v>
      </c>
      <c r="I1140">
        <v>410</v>
      </c>
      <c r="J1140">
        <v>12</v>
      </c>
      <c r="K1140">
        <v>0.59</v>
      </c>
      <c r="L1140" t="s">
        <v>12</v>
      </c>
    </row>
    <row r="1141" spans="1:12" x14ac:dyDescent="0.3">
      <c r="A1141">
        <v>87</v>
      </c>
      <c r="B1141">
        <v>2024</v>
      </c>
      <c r="C1141">
        <v>0.76</v>
      </c>
      <c r="D1141">
        <v>0.8</v>
      </c>
      <c r="E1141">
        <v>0.5</v>
      </c>
      <c r="F1141">
        <v>0.99</v>
      </c>
      <c r="G1141">
        <v>0.91</v>
      </c>
      <c r="H1141">
        <v>0.9</v>
      </c>
      <c r="I1141">
        <v>331</v>
      </c>
      <c r="J1141">
        <v>18</v>
      </c>
      <c r="K1141">
        <v>0.77</v>
      </c>
      <c r="L1141" t="s">
        <v>13</v>
      </c>
    </row>
    <row r="1142" spans="1:12" x14ac:dyDescent="0.3">
      <c r="A1142">
        <v>69</v>
      </c>
      <c r="B1142">
        <v>2021</v>
      </c>
      <c r="C1142">
        <v>0.84</v>
      </c>
      <c r="D1142">
        <v>0.92</v>
      </c>
      <c r="E1142">
        <v>0.76</v>
      </c>
      <c r="F1142">
        <v>1</v>
      </c>
      <c r="G1142">
        <v>0.31</v>
      </c>
      <c r="H1142">
        <v>0.3</v>
      </c>
      <c r="I1142">
        <v>400</v>
      </c>
      <c r="J1142">
        <v>7</v>
      </c>
      <c r="K1142">
        <v>0.82</v>
      </c>
      <c r="L1142" t="s">
        <v>13</v>
      </c>
    </row>
    <row r="1143" spans="1:12" x14ac:dyDescent="0.3">
      <c r="A1143">
        <v>43</v>
      </c>
      <c r="B1143">
        <v>2023</v>
      </c>
      <c r="C1143">
        <v>0.38</v>
      </c>
      <c r="D1143">
        <v>0.62</v>
      </c>
      <c r="E1143">
        <v>0.51</v>
      </c>
      <c r="F1143">
        <v>0.86</v>
      </c>
      <c r="G1143">
        <v>0.92</v>
      </c>
      <c r="H1143">
        <v>0.88</v>
      </c>
      <c r="I1143">
        <v>228</v>
      </c>
      <c r="J1143">
        <v>4</v>
      </c>
      <c r="K1143">
        <v>0.59</v>
      </c>
      <c r="L1143" t="s">
        <v>12</v>
      </c>
    </row>
    <row r="1144" spans="1:12" x14ac:dyDescent="0.3">
      <c r="A1144">
        <v>55</v>
      </c>
      <c r="B1144">
        <v>2025</v>
      </c>
      <c r="C1144">
        <v>0.66</v>
      </c>
      <c r="D1144">
        <v>0.48</v>
      </c>
      <c r="E1144">
        <v>0.67</v>
      </c>
      <c r="F1144">
        <v>0.68</v>
      </c>
      <c r="G1144">
        <v>0.87</v>
      </c>
      <c r="H1144">
        <v>0.91</v>
      </c>
      <c r="I1144">
        <v>438</v>
      </c>
      <c r="J1144">
        <v>17</v>
      </c>
      <c r="K1144">
        <v>0.64</v>
      </c>
      <c r="L1144" t="s">
        <v>12</v>
      </c>
    </row>
    <row r="1145" spans="1:12" x14ac:dyDescent="0.3">
      <c r="A1145">
        <v>55</v>
      </c>
      <c r="B1145">
        <v>2025</v>
      </c>
      <c r="C1145">
        <v>0.73</v>
      </c>
      <c r="D1145">
        <v>0.82</v>
      </c>
      <c r="E1145">
        <v>0.73</v>
      </c>
      <c r="F1145">
        <v>0.7</v>
      </c>
      <c r="G1145">
        <v>0.91</v>
      </c>
      <c r="H1145">
        <v>0.74</v>
      </c>
      <c r="I1145">
        <v>352</v>
      </c>
      <c r="J1145">
        <v>18</v>
      </c>
      <c r="K1145">
        <v>0.77</v>
      </c>
      <c r="L1145" t="s">
        <v>13</v>
      </c>
    </row>
    <row r="1146" spans="1:12" x14ac:dyDescent="0.3">
      <c r="A1146">
        <v>45</v>
      </c>
      <c r="B1146">
        <v>2025</v>
      </c>
      <c r="C1146">
        <v>0.43</v>
      </c>
      <c r="D1146">
        <v>0.45</v>
      </c>
      <c r="E1146">
        <v>0.67</v>
      </c>
      <c r="F1146">
        <v>0.65</v>
      </c>
      <c r="G1146">
        <v>0.67</v>
      </c>
      <c r="H1146">
        <v>0.63</v>
      </c>
      <c r="I1146">
        <v>312</v>
      </c>
      <c r="J1146">
        <v>2</v>
      </c>
      <c r="K1146">
        <v>0.54</v>
      </c>
      <c r="L1146" t="s">
        <v>12</v>
      </c>
    </row>
    <row r="1147" spans="1:12" x14ac:dyDescent="0.3">
      <c r="A1147">
        <v>47</v>
      </c>
      <c r="B1147">
        <v>2021</v>
      </c>
      <c r="C1147">
        <v>0.94</v>
      </c>
      <c r="D1147">
        <v>0.41</v>
      </c>
      <c r="E1147">
        <v>0.67</v>
      </c>
      <c r="F1147">
        <v>0.89</v>
      </c>
      <c r="G1147">
        <v>0.84</v>
      </c>
      <c r="H1147">
        <v>0.42</v>
      </c>
      <c r="I1147">
        <v>439</v>
      </c>
      <c r="J1147">
        <v>13</v>
      </c>
      <c r="K1147">
        <v>0.74</v>
      </c>
      <c r="L1147" t="s">
        <v>13</v>
      </c>
    </row>
    <row r="1148" spans="1:12" x14ac:dyDescent="0.3">
      <c r="A1148">
        <v>81</v>
      </c>
      <c r="B1148">
        <v>2022</v>
      </c>
      <c r="C1148">
        <v>0.34</v>
      </c>
      <c r="D1148">
        <v>0.46</v>
      </c>
      <c r="E1148">
        <v>0.83</v>
      </c>
      <c r="F1148">
        <v>0.72</v>
      </c>
      <c r="G1148">
        <v>0.54</v>
      </c>
      <c r="H1148">
        <v>0.49</v>
      </c>
      <c r="I1148">
        <v>332</v>
      </c>
      <c r="J1148">
        <v>13</v>
      </c>
      <c r="K1148">
        <v>0.55000000000000004</v>
      </c>
      <c r="L1148" t="s">
        <v>12</v>
      </c>
    </row>
    <row r="1149" spans="1:12" x14ac:dyDescent="0.3">
      <c r="A1149">
        <v>52</v>
      </c>
      <c r="B1149">
        <v>2021</v>
      </c>
      <c r="C1149">
        <v>0.59</v>
      </c>
      <c r="D1149">
        <v>0.56000000000000005</v>
      </c>
      <c r="E1149">
        <v>0.65</v>
      </c>
      <c r="F1149">
        <v>0.71</v>
      </c>
      <c r="G1149">
        <v>0.67</v>
      </c>
      <c r="H1149">
        <v>0.61</v>
      </c>
      <c r="I1149">
        <v>377</v>
      </c>
      <c r="J1149">
        <v>12</v>
      </c>
      <c r="K1149">
        <v>0.62</v>
      </c>
      <c r="L1149" t="s">
        <v>12</v>
      </c>
    </row>
    <row r="1150" spans="1:12" x14ac:dyDescent="0.3">
      <c r="A1150">
        <v>23</v>
      </c>
      <c r="B1150">
        <v>2021</v>
      </c>
      <c r="C1150">
        <v>0.45</v>
      </c>
      <c r="D1150">
        <v>0.69</v>
      </c>
      <c r="E1150">
        <v>0.67</v>
      </c>
      <c r="F1150">
        <v>0.82</v>
      </c>
      <c r="G1150">
        <v>0.77</v>
      </c>
      <c r="H1150">
        <v>0.63</v>
      </c>
      <c r="I1150">
        <v>95</v>
      </c>
      <c r="J1150">
        <v>16</v>
      </c>
      <c r="K1150">
        <v>0.64</v>
      </c>
      <c r="L1150" t="s">
        <v>12</v>
      </c>
    </row>
    <row r="1151" spans="1:12" x14ac:dyDescent="0.3">
      <c r="A1151">
        <v>45</v>
      </c>
      <c r="B1151">
        <v>2023</v>
      </c>
      <c r="C1151">
        <v>0.5</v>
      </c>
      <c r="D1151">
        <v>0.41</v>
      </c>
      <c r="E1151">
        <v>0.81</v>
      </c>
      <c r="F1151">
        <v>0.7</v>
      </c>
      <c r="G1151">
        <v>0.77</v>
      </c>
      <c r="H1151">
        <v>0.75</v>
      </c>
      <c r="I1151">
        <v>492</v>
      </c>
      <c r="J1151">
        <v>7</v>
      </c>
      <c r="K1151">
        <v>0.6</v>
      </c>
      <c r="L1151" t="s">
        <v>12</v>
      </c>
    </row>
    <row r="1152" spans="1:12" x14ac:dyDescent="0.3">
      <c r="A1152">
        <v>92</v>
      </c>
      <c r="B1152">
        <v>2023</v>
      </c>
      <c r="C1152">
        <v>0.99</v>
      </c>
      <c r="D1152">
        <v>0.81</v>
      </c>
      <c r="E1152">
        <v>0.82</v>
      </c>
      <c r="F1152">
        <v>0.61</v>
      </c>
      <c r="G1152">
        <v>0.9</v>
      </c>
      <c r="H1152">
        <v>0.15</v>
      </c>
      <c r="I1152">
        <v>243</v>
      </c>
      <c r="J1152">
        <v>13</v>
      </c>
      <c r="K1152">
        <v>0.84</v>
      </c>
      <c r="L1152" t="s">
        <v>13</v>
      </c>
    </row>
    <row r="1153" spans="1:12" x14ac:dyDescent="0.3">
      <c r="A1153">
        <v>56</v>
      </c>
      <c r="B1153">
        <v>2021</v>
      </c>
      <c r="C1153">
        <v>0.78</v>
      </c>
      <c r="D1153">
        <v>1</v>
      </c>
      <c r="E1153">
        <v>0.62</v>
      </c>
      <c r="F1153">
        <v>0.85</v>
      </c>
      <c r="G1153">
        <v>0.62</v>
      </c>
      <c r="H1153">
        <v>0.04</v>
      </c>
      <c r="I1153">
        <v>309</v>
      </c>
      <c r="J1153">
        <v>19</v>
      </c>
      <c r="K1153">
        <v>0.8</v>
      </c>
      <c r="L1153" t="s">
        <v>13</v>
      </c>
    </row>
    <row r="1154" spans="1:12" x14ac:dyDescent="0.3">
      <c r="A1154">
        <v>46</v>
      </c>
      <c r="B1154">
        <v>2022</v>
      </c>
      <c r="C1154">
        <v>0.5</v>
      </c>
      <c r="D1154">
        <v>0.95</v>
      </c>
      <c r="E1154">
        <v>0.93</v>
      </c>
      <c r="F1154">
        <v>0.75</v>
      </c>
      <c r="G1154">
        <v>0.35</v>
      </c>
      <c r="H1154">
        <v>0.89</v>
      </c>
      <c r="I1154">
        <v>227</v>
      </c>
      <c r="J1154">
        <v>19</v>
      </c>
      <c r="K1154">
        <v>0.72</v>
      </c>
      <c r="L1154" t="s">
        <v>13</v>
      </c>
    </row>
    <row r="1155" spans="1:12" x14ac:dyDescent="0.3">
      <c r="A1155">
        <v>68</v>
      </c>
      <c r="B1155">
        <v>2025</v>
      </c>
      <c r="C1155">
        <v>0.92</v>
      </c>
      <c r="D1155">
        <v>0.54</v>
      </c>
      <c r="E1155">
        <v>0.64</v>
      </c>
      <c r="F1155">
        <v>0.62</v>
      </c>
      <c r="G1155">
        <v>0.86</v>
      </c>
      <c r="H1155">
        <v>0.42</v>
      </c>
      <c r="I1155">
        <v>301</v>
      </c>
      <c r="J1155">
        <v>15</v>
      </c>
      <c r="K1155">
        <v>0.72</v>
      </c>
      <c r="L1155" t="s">
        <v>13</v>
      </c>
    </row>
    <row r="1156" spans="1:12" x14ac:dyDescent="0.3">
      <c r="A1156">
        <v>35</v>
      </c>
      <c r="B1156">
        <v>2021</v>
      </c>
      <c r="C1156">
        <v>0.39</v>
      </c>
      <c r="D1156">
        <v>0.67</v>
      </c>
      <c r="E1156">
        <v>0.91</v>
      </c>
      <c r="F1156">
        <v>0.93</v>
      </c>
      <c r="G1156">
        <v>0.59</v>
      </c>
      <c r="H1156">
        <v>0.52</v>
      </c>
      <c r="I1156">
        <v>297</v>
      </c>
      <c r="J1156">
        <v>16</v>
      </c>
      <c r="K1156">
        <v>0.66</v>
      </c>
      <c r="L1156" t="s">
        <v>12</v>
      </c>
    </row>
    <row r="1157" spans="1:12" x14ac:dyDescent="0.3">
      <c r="A1157">
        <v>52</v>
      </c>
      <c r="B1157">
        <v>2021</v>
      </c>
      <c r="C1157">
        <v>0.61</v>
      </c>
      <c r="D1157">
        <v>0.92</v>
      </c>
      <c r="E1157">
        <v>0.73</v>
      </c>
      <c r="F1157">
        <v>0.61</v>
      </c>
      <c r="G1157">
        <v>0.46</v>
      </c>
      <c r="H1157">
        <v>0.48</v>
      </c>
      <c r="I1157">
        <v>143</v>
      </c>
      <c r="J1157">
        <v>14</v>
      </c>
      <c r="K1157">
        <v>0.7</v>
      </c>
      <c r="L1157" t="s">
        <v>12</v>
      </c>
    </row>
    <row r="1158" spans="1:12" x14ac:dyDescent="0.3">
      <c r="A1158">
        <v>51</v>
      </c>
      <c r="B1158">
        <v>2025</v>
      </c>
      <c r="C1158">
        <v>0.68</v>
      </c>
      <c r="D1158">
        <v>0.81</v>
      </c>
      <c r="E1158">
        <v>0.73</v>
      </c>
      <c r="F1158">
        <v>0.78</v>
      </c>
      <c r="G1158">
        <v>0.61</v>
      </c>
      <c r="H1158">
        <v>0.41</v>
      </c>
      <c r="I1158">
        <v>413</v>
      </c>
      <c r="J1158">
        <v>16</v>
      </c>
      <c r="K1158">
        <v>0.73</v>
      </c>
      <c r="L1158" t="s">
        <v>13</v>
      </c>
    </row>
    <row r="1159" spans="1:12" x14ac:dyDescent="0.3">
      <c r="A1159">
        <v>7</v>
      </c>
      <c r="B1159">
        <v>2024</v>
      </c>
      <c r="C1159">
        <v>0.4</v>
      </c>
      <c r="D1159">
        <v>0.46</v>
      </c>
      <c r="E1159">
        <v>0.51</v>
      </c>
      <c r="F1159">
        <v>0.77</v>
      </c>
      <c r="G1159">
        <v>0.43</v>
      </c>
      <c r="H1159">
        <v>0.02</v>
      </c>
      <c r="I1159">
        <v>114</v>
      </c>
      <c r="J1159">
        <v>3</v>
      </c>
      <c r="K1159">
        <v>0.5</v>
      </c>
      <c r="L1159" t="s">
        <v>12</v>
      </c>
    </row>
    <row r="1160" spans="1:12" x14ac:dyDescent="0.3">
      <c r="A1160">
        <v>8</v>
      </c>
      <c r="B1160">
        <v>2024</v>
      </c>
      <c r="C1160">
        <v>0.46</v>
      </c>
      <c r="D1160">
        <v>0.96</v>
      </c>
      <c r="E1160">
        <v>0.86</v>
      </c>
      <c r="F1160">
        <v>0.91</v>
      </c>
      <c r="G1160">
        <v>0.44</v>
      </c>
      <c r="H1160">
        <v>0.23</v>
      </c>
      <c r="I1160">
        <v>484</v>
      </c>
      <c r="J1160">
        <v>10</v>
      </c>
      <c r="K1160">
        <v>0.73</v>
      </c>
      <c r="L1160" t="s">
        <v>13</v>
      </c>
    </row>
    <row r="1161" spans="1:12" x14ac:dyDescent="0.3">
      <c r="A1161">
        <v>99</v>
      </c>
      <c r="B1161">
        <v>2024</v>
      </c>
      <c r="C1161">
        <v>0.9</v>
      </c>
      <c r="D1161">
        <v>0.66</v>
      </c>
      <c r="E1161">
        <v>0.98</v>
      </c>
      <c r="F1161">
        <v>0.89</v>
      </c>
      <c r="G1161">
        <v>0.75</v>
      </c>
      <c r="H1161">
        <v>0.73</v>
      </c>
      <c r="I1161">
        <v>302</v>
      </c>
      <c r="J1161">
        <v>19</v>
      </c>
      <c r="K1161">
        <v>0.84</v>
      </c>
      <c r="L1161" t="s">
        <v>13</v>
      </c>
    </row>
    <row r="1162" spans="1:12" x14ac:dyDescent="0.3">
      <c r="A1162">
        <v>23</v>
      </c>
      <c r="B1162">
        <v>2021</v>
      </c>
      <c r="C1162">
        <v>0.53</v>
      </c>
      <c r="D1162">
        <v>0.47</v>
      </c>
      <c r="E1162">
        <v>0.79</v>
      </c>
      <c r="F1162">
        <v>0.96</v>
      </c>
      <c r="G1162">
        <v>0.85</v>
      </c>
      <c r="H1162">
        <v>0.62</v>
      </c>
      <c r="I1162">
        <v>278</v>
      </c>
      <c r="J1162">
        <v>19</v>
      </c>
      <c r="K1162">
        <v>0.66</v>
      </c>
      <c r="L1162" t="s">
        <v>12</v>
      </c>
    </row>
    <row r="1163" spans="1:12" x14ac:dyDescent="0.3">
      <c r="A1163">
        <v>33</v>
      </c>
      <c r="B1163">
        <v>2025</v>
      </c>
      <c r="C1163">
        <v>0.36</v>
      </c>
      <c r="D1163">
        <v>0.81</v>
      </c>
      <c r="E1163">
        <v>0.86</v>
      </c>
      <c r="F1163">
        <v>0.99</v>
      </c>
      <c r="G1163">
        <v>0.48</v>
      </c>
      <c r="H1163">
        <v>0.02</v>
      </c>
      <c r="I1163">
        <v>334</v>
      </c>
      <c r="J1163">
        <v>1</v>
      </c>
      <c r="K1163">
        <v>0.68</v>
      </c>
      <c r="L1163" t="s">
        <v>12</v>
      </c>
    </row>
    <row r="1164" spans="1:12" x14ac:dyDescent="0.3">
      <c r="A1164">
        <v>50</v>
      </c>
      <c r="B1164">
        <v>2025</v>
      </c>
      <c r="C1164">
        <v>0.59</v>
      </c>
      <c r="D1164">
        <v>0.63</v>
      </c>
      <c r="E1164">
        <v>0.69</v>
      </c>
      <c r="F1164">
        <v>0.84</v>
      </c>
      <c r="G1164">
        <v>0.75</v>
      </c>
      <c r="H1164">
        <v>0.45</v>
      </c>
      <c r="I1164">
        <v>493</v>
      </c>
      <c r="J1164">
        <v>12</v>
      </c>
      <c r="K1164">
        <v>0.67</v>
      </c>
      <c r="L1164" t="s">
        <v>12</v>
      </c>
    </row>
    <row r="1165" spans="1:12" x14ac:dyDescent="0.3">
      <c r="A1165">
        <v>44</v>
      </c>
      <c r="B1165">
        <v>2023</v>
      </c>
      <c r="C1165">
        <v>0.54</v>
      </c>
      <c r="D1165">
        <v>0.65</v>
      </c>
      <c r="E1165">
        <v>0.51</v>
      </c>
      <c r="F1165">
        <v>0.75</v>
      </c>
      <c r="G1165">
        <v>0.49</v>
      </c>
      <c r="H1165">
        <v>0.51</v>
      </c>
      <c r="I1165">
        <v>156</v>
      </c>
      <c r="J1165">
        <v>3</v>
      </c>
      <c r="K1165">
        <v>0.59</v>
      </c>
      <c r="L1165" t="s">
        <v>12</v>
      </c>
    </row>
    <row r="1166" spans="1:12" x14ac:dyDescent="0.3">
      <c r="A1166">
        <v>19</v>
      </c>
      <c r="B1166">
        <v>2021</v>
      </c>
      <c r="C1166">
        <v>0.98</v>
      </c>
      <c r="D1166">
        <v>0.5</v>
      </c>
      <c r="E1166">
        <v>0.89</v>
      </c>
      <c r="F1166">
        <v>0.99</v>
      </c>
      <c r="G1166">
        <v>0.31</v>
      </c>
      <c r="H1166">
        <v>0.7</v>
      </c>
      <c r="I1166">
        <v>329</v>
      </c>
      <c r="J1166">
        <v>11</v>
      </c>
      <c r="K1166">
        <v>0.78</v>
      </c>
      <c r="L1166" t="s">
        <v>13</v>
      </c>
    </row>
    <row r="1167" spans="1:12" x14ac:dyDescent="0.3">
      <c r="A1167">
        <v>98</v>
      </c>
      <c r="B1167">
        <v>2024</v>
      </c>
      <c r="C1167">
        <v>0.77</v>
      </c>
      <c r="D1167">
        <v>0.54</v>
      </c>
      <c r="E1167">
        <v>0.95</v>
      </c>
      <c r="F1167">
        <v>0.67</v>
      </c>
      <c r="G1167">
        <v>0.45</v>
      </c>
      <c r="H1167">
        <v>0.27</v>
      </c>
      <c r="I1167">
        <v>62</v>
      </c>
      <c r="J1167">
        <v>6</v>
      </c>
      <c r="K1167">
        <v>0.7</v>
      </c>
      <c r="L1167" t="s">
        <v>12</v>
      </c>
    </row>
    <row r="1168" spans="1:12" x14ac:dyDescent="0.3">
      <c r="A1168">
        <v>16</v>
      </c>
      <c r="B1168">
        <v>2021</v>
      </c>
      <c r="C1168">
        <v>0.8</v>
      </c>
      <c r="D1168">
        <v>0.96</v>
      </c>
      <c r="E1168">
        <v>0.54</v>
      </c>
      <c r="F1168">
        <v>0.98</v>
      </c>
      <c r="G1168">
        <v>0.94</v>
      </c>
      <c r="H1168">
        <v>0.05</v>
      </c>
      <c r="I1168">
        <v>445</v>
      </c>
      <c r="J1168">
        <v>9</v>
      </c>
      <c r="K1168">
        <v>0.83</v>
      </c>
      <c r="L1168" t="s">
        <v>13</v>
      </c>
    </row>
    <row r="1169" spans="1:12" x14ac:dyDescent="0.3">
      <c r="A1169">
        <v>83</v>
      </c>
      <c r="B1169">
        <v>2025</v>
      </c>
      <c r="C1169">
        <v>0.8</v>
      </c>
      <c r="D1169">
        <v>0.7</v>
      </c>
      <c r="E1169">
        <v>0.52</v>
      </c>
      <c r="F1169">
        <v>0.83</v>
      </c>
      <c r="G1169">
        <v>0.33</v>
      </c>
      <c r="H1169">
        <v>0.6</v>
      </c>
      <c r="I1169">
        <v>397</v>
      </c>
      <c r="J1169">
        <v>15</v>
      </c>
      <c r="K1169">
        <v>0.68</v>
      </c>
      <c r="L1169" t="s">
        <v>12</v>
      </c>
    </row>
    <row r="1170" spans="1:12" x14ac:dyDescent="0.3">
      <c r="A1170">
        <v>58</v>
      </c>
      <c r="B1170">
        <v>2021</v>
      </c>
      <c r="C1170">
        <v>0.82</v>
      </c>
      <c r="D1170">
        <v>0.8</v>
      </c>
      <c r="E1170">
        <v>1</v>
      </c>
      <c r="F1170">
        <v>0.89</v>
      </c>
      <c r="G1170">
        <v>0.41</v>
      </c>
      <c r="H1170">
        <v>0.96</v>
      </c>
      <c r="I1170">
        <v>255</v>
      </c>
      <c r="J1170">
        <v>10</v>
      </c>
      <c r="K1170">
        <v>0.82</v>
      </c>
      <c r="L1170" t="s">
        <v>13</v>
      </c>
    </row>
    <row r="1171" spans="1:12" x14ac:dyDescent="0.3">
      <c r="A1171">
        <v>31</v>
      </c>
      <c r="B1171">
        <v>2023</v>
      </c>
      <c r="C1171">
        <v>0.52</v>
      </c>
      <c r="D1171">
        <v>0.81</v>
      </c>
      <c r="E1171">
        <v>0.74</v>
      </c>
      <c r="F1171">
        <v>0.99</v>
      </c>
      <c r="G1171">
        <v>0.91</v>
      </c>
      <c r="H1171">
        <v>0.36</v>
      </c>
      <c r="I1171">
        <v>455</v>
      </c>
      <c r="J1171">
        <v>5</v>
      </c>
      <c r="K1171">
        <v>0.75</v>
      </c>
      <c r="L1171" t="s">
        <v>13</v>
      </c>
    </row>
    <row r="1172" spans="1:12" x14ac:dyDescent="0.3">
      <c r="A1172">
        <v>7</v>
      </c>
      <c r="B1172">
        <v>2023</v>
      </c>
      <c r="C1172">
        <v>0.87</v>
      </c>
      <c r="D1172">
        <v>0.48</v>
      </c>
      <c r="E1172">
        <v>1</v>
      </c>
      <c r="F1172">
        <v>0.7</v>
      </c>
      <c r="G1172">
        <v>0.81</v>
      </c>
      <c r="H1172">
        <v>0.91</v>
      </c>
      <c r="I1172">
        <v>477</v>
      </c>
      <c r="J1172">
        <v>12</v>
      </c>
      <c r="K1172">
        <v>0.77</v>
      </c>
      <c r="L1172" t="s">
        <v>13</v>
      </c>
    </row>
    <row r="1173" spans="1:12" x14ac:dyDescent="0.3">
      <c r="A1173">
        <v>90</v>
      </c>
      <c r="B1173">
        <v>2024</v>
      </c>
      <c r="C1173">
        <v>0.98</v>
      </c>
      <c r="D1173">
        <v>0.56999999999999995</v>
      </c>
      <c r="E1173">
        <v>0.98</v>
      </c>
      <c r="F1173">
        <v>0.62</v>
      </c>
      <c r="G1173">
        <v>0.8</v>
      </c>
      <c r="H1173">
        <v>0.53</v>
      </c>
      <c r="I1173">
        <v>275</v>
      </c>
      <c r="J1173">
        <v>7</v>
      </c>
      <c r="K1173">
        <v>0.81</v>
      </c>
      <c r="L1173" t="s">
        <v>13</v>
      </c>
    </row>
    <row r="1174" spans="1:12" x14ac:dyDescent="0.3">
      <c r="A1174">
        <v>33</v>
      </c>
      <c r="B1174">
        <v>2025</v>
      </c>
      <c r="C1174">
        <v>0.69</v>
      </c>
      <c r="D1174">
        <v>0.55000000000000004</v>
      </c>
      <c r="E1174">
        <v>0.98</v>
      </c>
      <c r="F1174">
        <v>0.61</v>
      </c>
      <c r="G1174">
        <v>0.44</v>
      </c>
      <c r="H1174">
        <v>0.24</v>
      </c>
      <c r="I1174">
        <v>395</v>
      </c>
      <c r="J1174">
        <v>0</v>
      </c>
      <c r="K1174">
        <v>0.68</v>
      </c>
      <c r="L1174" t="s">
        <v>12</v>
      </c>
    </row>
    <row r="1175" spans="1:12" x14ac:dyDescent="0.3">
      <c r="A1175">
        <v>32</v>
      </c>
      <c r="B1175">
        <v>2021</v>
      </c>
      <c r="C1175">
        <v>0.64</v>
      </c>
      <c r="D1175">
        <v>0.92</v>
      </c>
      <c r="E1175">
        <v>0.86</v>
      </c>
      <c r="F1175">
        <v>0.83</v>
      </c>
      <c r="G1175">
        <v>0.36</v>
      </c>
      <c r="H1175">
        <v>0.69</v>
      </c>
      <c r="I1175">
        <v>160</v>
      </c>
      <c r="J1175">
        <v>11</v>
      </c>
      <c r="K1175">
        <v>0.75</v>
      </c>
      <c r="L1175" t="s">
        <v>13</v>
      </c>
    </row>
    <row r="1176" spans="1:12" x14ac:dyDescent="0.3">
      <c r="A1176">
        <v>25</v>
      </c>
      <c r="B1176">
        <v>2022</v>
      </c>
      <c r="C1176">
        <v>1</v>
      </c>
      <c r="D1176">
        <v>0.87</v>
      </c>
      <c r="E1176">
        <v>0.64</v>
      </c>
      <c r="F1176">
        <v>0.76</v>
      </c>
      <c r="G1176">
        <v>0.82</v>
      </c>
      <c r="H1176">
        <v>0.97</v>
      </c>
      <c r="I1176">
        <v>106</v>
      </c>
      <c r="J1176">
        <v>3</v>
      </c>
      <c r="K1176">
        <v>0.84</v>
      </c>
      <c r="L1176" t="s">
        <v>13</v>
      </c>
    </row>
    <row r="1177" spans="1:12" x14ac:dyDescent="0.3">
      <c r="A1177">
        <v>64</v>
      </c>
      <c r="B1177">
        <v>2021</v>
      </c>
      <c r="C1177">
        <v>0.6</v>
      </c>
      <c r="D1177">
        <v>0.69</v>
      </c>
      <c r="E1177">
        <v>0.96</v>
      </c>
      <c r="F1177">
        <v>0.81</v>
      </c>
      <c r="G1177">
        <v>0.64</v>
      </c>
      <c r="H1177">
        <v>0.57999999999999996</v>
      </c>
      <c r="I1177">
        <v>104</v>
      </c>
      <c r="J1177">
        <v>19</v>
      </c>
      <c r="K1177">
        <v>0.73</v>
      </c>
      <c r="L1177" t="s">
        <v>13</v>
      </c>
    </row>
    <row r="1178" spans="1:12" x14ac:dyDescent="0.3">
      <c r="A1178">
        <v>78</v>
      </c>
      <c r="B1178">
        <v>2021</v>
      </c>
      <c r="C1178">
        <v>0.6</v>
      </c>
      <c r="D1178">
        <v>0.44</v>
      </c>
      <c r="E1178">
        <v>0.89</v>
      </c>
      <c r="F1178">
        <v>0.75</v>
      </c>
      <c r="G1178">
        <v>0.37</v>
      </c>
      <c r="H1178">
        <v>0.63</v>
      </c>
      <c r="I1178">
        <v>463</v>
      </c>
      <c r="J1178">
        <v>18</v>
      </c>
      <c r="K1178">
        <v>0.62</v>
      </c>
      <c r="L1178" t="s">
        <v>12</v>
      </c>
    </row>
    <row r="1179" spans="1:12" x14ac:dyDescent="0.3">
      <c r="A1179">
        <v>35</v>
      </c>
      <c r="B1179">
        <v>2021</v>
      </c>
      <c r="C1179">
        <v>0.3</v>
      </c>
      <c r="D1179">
        <v>0.63</v>
      </c>
      <c r="E1179">
        <v>0.91</v>
      </c>
      <c r="F1179">
        <v>0.75</v>
      </c>
      <c r="G1179">
        <v>0.72</v>
      </c>
      <c r="H1179">
        <v>0.61</v>
      </c>
      <c r="I1179">
        <v>141</v>
      </c>
      <c r="J1179">
        <v>0</v>
      </c>
      <c r="K1179">
        <v>0.61</v>
      </c>
      <c r="L1179" t="s">
        <v>12</v>
      </c>
    </row>
    <row r="1180" spans="1:12" x14ac:dyDescent="0.3">
      <c r="A1180">
        <v>6</v>
      </c>
      <c r="B1180">
        <v>2021</v>
      </c>
      <c r="C1180">
        <v>0.43</v>
      </c>
      <c r="D1180">
        <v>0.48</v>
      </c>
      <c r="E1180">
        <v>0.8</v>
      </c>
      <c r="F1180">
        <v>0.85</v>
      </c>
      <c r="G1180">
        <v>0.34</v>
      </c>
      <c r="H1180">
        <v>0.24</v>
      </c>
      <c r="I1180">
        <v>164</v>
      </c>
      <c r="J1180">
        <v>11</v>
      </c>
      <c r="K1180">
        <v>0.56999999999999995</v>
      </c>
      <c r="L1180" t="s">
        <v>12</v>
      </c>
    </row>
    <row r="1181" spans="1:12" x14ac:dyDescent="0.3">
      <c r="A1181">
        <v>2</v>
      </c>
      <c r="B1181">
        <v>2021</v>
      </c>
      <c r="C1181">
        <v>0.9</v>
      </c>
      <c r="D1181">
        <v>0.79</v>
      </c>
      <c r="E1181">
        <v>0.72</v>
      </c>
      <c r="F1181">
        <v>0.74</v>
      </c>
      <c r="G1181">
        <v>0.31</v>
      </c>
      <c r="H1181">
        <v>0.83</v>
      </c>
      <c r="I1181">
        <v>390</v>
      </c>
      <c r="J1181">
        <v>11</v>
      </c>
      <c r="K1181">
        <v>0.75</v>
      </c>
      <c r="L1181" t="s">
        <v>13</v>
      </c>
    </row>
    <row r="1182" spans="1:12" x14ac:dyDescent="0.3">
      <c r="A1182">
        <v>96</v>
      </c>
      <c r="B1182">
        <v>2025</v>
      </c>
      <c r="C1182">
        <v>0.65</v>
      </c>
      <c r="D1182">
        <v>0.89</v>
      </c>
      <c r="E1182">
        <v>0.74</v>
      </c>
      <c r="F1182">
        <v>0.98</v>
      </c>
      <c r="G1182">
        <v>0.89</v>
      </c>
      <c r="H1182">
        <v>0.33</v>
      </c>
      <c r="I1182">
        <v>298</v>
      </c>
      <c r="J1182">
        <v>7</v>
      </c>
      <c r="K1182">
        <v>0.8</v>
      </c>
      <c r="L1182" t="s">
        <v>13</v>
      </c>
    </row>
    <row r="1183" spans="1:12" x14ac:dyDescent="0.3">
      <c r="A1183">
        <v>24</v>
      </c>
      <c r="B1183">
        <v>2021</v>
      </c>
      <c r="C1183">
        <v>0.98</v>
      </c>
      <c r="D1183">
        <v>0.77</v>
      </c>
      <c r="E1183">
        <v>0.7</v>
      </c>
      <c r="F1183">
        <v>0.86</v>
      </c>
      <c r="G1183">
        <v>0.57999999999999996</v>
      </c>
      <c r="H1183">
        <v>0.82</v>
      </c>
      <c r="I1183">
        <v>173</v>
      </c>
      <c r="J1183">
        <v>10</v>
      </c>
      <c r="K1183">
        <v>0.81</v>
      </c>
      <c r="L1183" t="s">
        <v>13</v>
      </c>
    </row>
    <row r="1184" spans="1:12" x14ac:dyDescent="0.3">
      <c r="A1184">
        <v>82</v>
      </c>
      <c r="B1184">
        <v>2021</v>
      </c>
      <c r="C1184">
        <v>0.86</v>
      </c>
      <c r="D1184">
        <v>0.87</v>
      </c>
      <c r="E1184">
        <v>0.62</v>
      </c>
      <c r="F1184">
        <v>0.72</v>
      </c>
      <c r="G1184">
        <v>0.96</v>
      </c>
      <c r="H1184">
        <v>0.83</v>
      </c>
      <c r="I1184">
        <v>435</v>
      </c>
      <c r="J1184">
        <v>14</v>
      </c>
      <c r="K1184">
        <v>0.8</v>
      </c>
      <c r="L1184" t="s">
        <v>13</v>
      </c>
    </row>
    <row r="1185" spans="1:12" x14ac:dyDescent="0.3">
      <c r="A1185">
        <v>36</v>
      </c>
      <c r="B1185">
        <v>2023</v>
      </c>
      <c r="C1185">
        <v>0.68</v>
      </c>
      <c r="D1185">
        <v>0.56000000000000005</v>
      </c>
      <c r="E1185">
        <v>0.74</v>
      </c>
      <c r="F1185">
        <v>0.9</v>
      </c>
      <c r="G1185">
        <v>0.44</v>
      </c>
      <c r="H1185">
        <v>0.28999999999999998</v>
      </c>
      <c r="I1185">
        <v>270</v>
      </c>
      <c r="J1185">
        <v>19</v>
      </c>
      <c r="K1185">
        <v>0.67</v>
      </c>
      <c r="L1185" t="s">
        <v>12</v>
      </c>
    </row>
    <row r="1186" spans="1:12" x14ac:dyDescent="0.3">
      <c r="A1186">
        <v>59</v>
      </c>
      <c r="B1186">
        <v>2023</v>
      </c>
      <c r="C1186">
        <v>0.89</v>
      </c>
      <c r="D1186">
        <v>0.63</v>
      </c>
      <c r="E1186">
        <v>0.65</v>
      </c>
      <c r="F1186">
        <v>0.96</v>
      </c>
      <c r="G1186">
        <v>1</v>
      </c>
      <c r="H1186">
        <v>0.67</v>
      </c>
      <c r="I1186">
        <v>206</v>
      </c>
      <c r="J1186">
        <v>1</v>
      </c>
      <c r="K1186">
        <v>0.8</v>
      </c>
      <c r="L1186" t="s">
        <v>13</v>
      </c>
    </row>
    <row r="1187" spans="1:12" x14ac:dyDescent="0.3">
      <c r="A1187">
        <v>86</v>
      </c>
      <c r="B1187">
        <v>2023</v>
      </c>
      <c r="C1187">
        <v>0.65</v>
      </c>
      <c r="D1187">
        <v>0.67</v>
      </c>
      <c r="E1187">
        <v>0.67</v>
      </c>
      <c r="F1187">
        <v>0.88</v>
      </c>
      <c r="G1187">
        <v>0.83</v>
      </c>
      <c r="H1187">
        <v>0.85</v>
      </c>
      <c r="I1187">
        <v>403</v>
      </c>
      <c r="J1187">
        <v>7</v>
      </c>
      <c r="K1187">
        <v>0.71</v>
      </c>
      <c r="L1187" t="s">
        <v>13</v>
      </c>
    </row>
    <row r="1188" spans="1:12" x14ac:dyDescent="0.3">
      <c r="A1188">
        <v>94</v>
      </c>
      <c r="B1188">
        <v>2023</v>
      </c>
      <c r="C1188">
        <v>0.48</v>
      </c>
      <c r="D1188">
        <v>0.77</v>
      </c>
      <c r="E1188">
        <v>0.97</v>
      </c>
      <c r="F1188">
        <v>0.62</v>
      </c>
      <c r="G1188">
        <v>0.3</v>
      </c>
      <c r="H1188">
        <v>0.6</v>
      </c>
      <c r="I1188">
        <v>484</v>
      </c>
      <c r="J1188">
        <v>12</v>
      </c>
      <c r="K1188">
        <v>0.65</v>
      </c>
      <c r="L1188" t="s">
        <v>12</v>
      </c>
    </row>
    <row r="1189" spans="1:12" x14ac:dyDescent="0.3">
      <c r="A1189">
        <v>39</v>
      </c>
      <c r="B1189">
        <v>2021</v>
      </c>
      <c r="C1189">
        <v>0.53</v>
      </c>
      <c r="D1189">
        <v>0.56999999999999995</v>
      </c>
      <c r="E1189">
        <v>0.63</v>
      </c>
      <c r="F1189">
        <v>0.66</v>
      </c>
      <c r="G1189">
        <v>0.71</v>
      </c>
      <c r="H1189">
        <v>0.17</v>
      </c>
      <c r="I1189">
        <v>240</v>
      </c>
      <c r="J1189">
        <v>12</v>
      </c>
      <c r="K1189">
        <v>0.6</v>
      </c>
      <c r="L1189" t="s">
        <v>12</v>
      </c>
    </row>
    <row r="1190" spans="1:12" x14ac:dyDescent="0.3">
      <c r="A1190">
        <v>37</v>
      </c>
      <c r="B1190">
        <v>2025</v>
      </c>
      <c r="C1190">
        <v>0.98</v>
      </c>
      <c r="D1190">
        <v>0.95</v>
      </c>
      <c r="E1190">
        <v>0.57999999999999996</v>
      </c>
      <c r="F1190">
        <v>0.75</v>
      </c>
      <c r="G1190">
        <v>0.6</v>
      </c>
      <c r="H1190">
        <v>0.36</v>
      </c>
      <c r="I1190">
        <v>376</v>
      </c>
      <c r="J1190">
        <v>18</v>
      </c>
      <c r="K1190">
        <v>0.82</v>
      </c>
      <c r="L1190" t="s">
        <v>13</v>
      </c>
    </row>
    <row r="1191" spans="1:12" x14ac:dyDescent="0.3">
      <c r="A1191">
        <v>34</v>
      </c>
      <c r="B1191">
        <v>2022</v>
      </c>
      <c r="C1191">
        <v>0.74</v>
      </c>
      <c r="D1191">
        <v>0.9</v>
      </c>
      <c r="E1191">
        <v>0.84</v>
      </c>
      <c r="F1191">
        <v>0.68</v>
      </c>
      <c r="G1191">
        <v>0.62</v>
      </c>
      <c r="H1191">
        <v>0.91</v>
      </c>
      <c r="I1191">
        <v>423</v>
      </c>
      <c r="J1191">
        <v>18</v>
      </c>
      <c r="K1191">
        <v>0.78</v>
      </c>
      <c r="L1191" t="s">
        <v>13</v>
      </c>
    </row>
    <row r="1192" spans="1:12" x14ac:dyDescent="0.3">
      <c r="A1192">
        <v>27</v>
      </c>
      <c r="B1192">
        <v>2024</v>
      </c>
      <c r="C1192">
        <v>0.81</v>
      </c>
      <c r="D1192">
        <v>0.85</v>
      </c>
      <c r="E1192">
        <v>0.63</v>
      </c>
      <c r="F1192">
        <v>0.77</v>
      </c>
      <c r="G1192">
        <v>0.36</v>
      </c>
      <c r="H1192">
        <v>0.61</v>
      </c>
      <c r="I1192">
        <v>425</v>
      </c>
      <c r="J1192">
        <v>7</v>
      </c>
      <c r="K1192">
        <v>0.73</v>
      </c>
      <c r="L1192" t="s">
        <v>13</v>
      </c>
    </row>
    <row r="1193" spans="1:12" x14ac:dyDescent="0.3">
      <c r="A1193">
        <v>42</v>
      </c>
      <c r="B1193">
        <v>2024</v>
      </c>
      <c r="C1193">
        <v>0.74</v>
      </c>
      <c r="D1193">
        <v>0.59</v>
      </c>
      <c r="E1193">
        <v>0.62</v>
      </c>
      <c r="F1193">
        <v>0.6</v>
      </c>
      <c r="G1193">
        <v>0.46</v>
      </c>
      <c r="H1193">
        <v>0.14000000000000001</v>
      </c>
      <c r="I1193">
        <v>303</v>
      </c>
      <c r="J1193">
        <v>14</v>
      </c>
      <c r="K1193">
        <v>0.63</v>
      </c>
      <c r="L1193" t="s">
        <v>12</v>
      </c>
    </row>
    <row r="1194" spans="1:12" x14ac:dyDescent="0.3">
      <c r="A1194">
        <v>98</v>
      </c>
      <c r="B1194">
        <v>2025</v>
      </c>
      <c r="C1194">
        <v>0.62</v>
      </c>
      <c r="D1194">
        <v>0.76</v>
      </c>
      <c r="E1194">
        <v>0.89</v>
      </c>
      <c r="F1194">
        <v>0.69</v>
      </c>
      <c r="G1194">
        <v>0.35</v>
      </c>
      <c r="H1194">
        <v>0.53</v>
      </c>
      <c r="I1194">
        <v>416</v>
      </c>
      <c r="J1194">
        <v>8</v>
      </c>
      <c r="K1194">
        <v>0.69</v>
      </c>
      <c r="L1194" t="s">
        <v>12</v>
      </c>
    </row>
    <row r="1195" spans="1:12" x14ac:dyDescent="0.3">
      <c r="A1195">
        <v>88</v>
      </c>
      <c r="B1195">
        <v>2025</v>
      </c>
      <c r="C1195">
        <v>0.62</v>
      </c>
      <c r="D1195">
        <v>0.71</v>
      </c>
      <c r="E1195">
        <v>0.86</v>
      </c>
      <c r="F1195">
        <v>0.71</v>
      </c>
      <c r="G1195">
        <v>0.39</v>
      </c>
      <c r="H1195">
        <v>0.56000000000000005</v>
      </c>
      <c r="I1195">
        <v>112</v>
      </c>
      <c r="J1195">
        <v>12</v>
      </c>
      <c r="K1195">
        <v>0.68</v>
      </c>
      <c r="L1195" t="s">
        <v>12</v>
      </c>
    </row>
    <row r="1196" spans="1:12" x14ac:dyDescent="0.3">
      <c r="A1196">
        <v>73</v>
      </c>
      <c r="B1196">
        <v>2021</v>
      </c>
      <c r="C1196">
        <v>0.65</v>
      </c>
      <c r="D1196">
        <v>0.77</v>
      </c>
      <c r="E1196">
        <v>0.77</v>
      </c>
      <c r="F1196">
        <v>0.9</v>
      </c>
      <c r="G1196">
        <v>0.79</v>
      </c>
      <c r="H1196">
        <v>0.53</v>
      </c>
      <c r="I1196">
        <v>183</v>
      </c>
      <c r="J1196">
        <v>5</v>
      </c>
      <c r="K1196">
        <v>0.76</v>
      </c>
      <c r="L1196" t="s">
        <v>13</v>
      </c>
    </row>
    <row r="1197" spans="1:12" x14ac:dyDescent="0.3">
      <c r="A1197">
        <v>68</v>
      </c>
      <c r="B1197">
        <v>2023</v>
      </c>
      <c r="C1197">
        <v>0.39</v>
      </c>
      <c r="D1197">
        <v>0.9</v>
      </c>
      <c r="E1197">
        <v>0.93</v>
      </c>
      <c r="F1197">
        <v>0.78</v>
      </c>
      <c r="G1197">
        <v>0.8</v>
      </c>
      <c r="H1197">
        <v>0.87</v>
      </c>
      <c r="I1197">
        <v>87</v>
      </c>
      <c r="J1197">
        <v>5</v>
      </c>
      <c r="K1197">
        <v>0.73</v>
      </c>
      <c r="L1197" t="s">
        <v>13</v>
      </c>
    </row>
    <row r="1198" spans="1:12" x14ac:dyDescent="0.3">
      <c r="A1198">
        <v>15</v>
      </c>
      <c r="B1198">
        <v>2022</v>
      </c>
      <c r="C1198">
        <v>0.34</v>
      </c>
      <c r="D1198">
        <v>0.76</v>
      </c>
      <c r="E1198">
        <v>0.71</v>
      </c>
      <c r="F1198">
        <v>0.73</v>
      </c>
      <c r="G1198">
        <v>0.36</v>
      </c>
      <c r="H1198">
        <v>0.56000000000000005</v>
      </c>
      <c r="I1198">
        <v>470</v>
      </c>
      <c r="J1198">
        <v>5</v>
      </c>
      <c r="K1198">
        <v>0.57999999999999996</v>
      </c>
      <c r="L1198" t="s">
        <v>12</v>
      </c>
    </row>
    <row r="1199" spans="1:12" x14ac:dyDescent="0.3">
      <c r="A1199">
        <v>12</v>
      </c>
      <c r="B1199">
        <v>2023</v>
      </c>
      <c r="C1199">
        <v>0.35</v>
      </c>
      <c r="D1199">
        <v>0.5</v>
      </c>
      <c r="E1199">
        <v>0.66</v>
      </c>
      <c r="F1199">
        <v>0.73</v>
      </c>
      <c r="G1199">
        <v>0.76</v>
      </c>
      <c r="H1199">
        <v>0.62</v>
      </c>
      <c r="I1199">
        <v>442</v>
      </c>
      <c r="J1199">
        <v>18</v>
      </c>
      <c r="K1199">
        <v>0.55000000000000004</v>
      </c>
      <c r="L1199" t="s">
        <v>12</v>
      </c>
    </row>
    <row r="1200" spans="1:12" x14ac:dyDescent="0.3">
      <c r="A1200">
        <v>55</v>
      </c>
      <c r="B1200">
        <v>2024</v>
      </c>
      <c r="C1200">
        <v>0.63</v>
      </c>
      <c r="D1200">
        <v>0.48</v>
      </c>
      <c r="E1200">
        <v>0.82</v>
      </c>
      <c r="F1200">
        <v>0.63</v>
      </c>
      <c r="G1200">
        <v>0.56000000000000005</v>
      </c>
      <c r="H1200">
        <v>0.71</v>
      </c>
      <c r="I1200">
        <v>338</v>
      </c>
      <c r="J1200">
        <v>17</v>
      </c>
      <c r="K1200">
        <v>0.62</v>
      </c>
      <c r="L1200" t="s">
        <v>12</v>
      </c>
    </row>
    <row r="1201" spans="1:12" x14ac:dyDescent="0.3">
      <c r="A1201">
        <v>20</v>
      </c>
      <c r="B1201">
        <v>2023</v>
      </c>
      <c r="C1201">
        <v>0.43</v>
      </c>
      <c r="D1201">
        <v>0.96</v>
      </c>
      <c r="E1201">
        <v>0.76</v>
      </c>
      <c r="F1201">
        <v>1</v>
      </c>
      <c r="G1201">
        <v>0.67</v>
      </c>
      <c r="H1201">
        <v>0.54</v>
      </c>
      <c r="I1201">
        <v>254</v>
      </c>
      <c r="J1201">
        <v>15</v>
      </c>
      <c r="K1201">
        <v>0.74</v>
      </c>
      <c r="L1201" t="s">
        <v>13</v>
      </c>
    </row>
    <row r="1202" spans="1:12" x14ac:dyDescent="0.3">
      <c r="A1202">
        <v>32</v>
      </c>
      <c r="B1202">
        <v>2022</v>
      </c>
      <c r="C1202">
        <v>0.54</v>
      </c>
      <c r="D1202">
        <v>0.68</v>
      </c>
      <c r="E1202">
        <v>0.6</v>
      </c>
      <c r="F1202">
        <v>0.69</v>
      </c>
      <c r="G1202">
        <v>0.49</v>
      </c>
      <c r="H1202">
        <v>0.45</v>
      </c>
      <c r="I1202">
        <v>269</v>
      </c>
      <c r="J1202">
        <v>13</v>
      </c>
      <c r="K1202">
        <v>0.6</v>
      </c>
      <c r="L1202" t="s">
        <v>12</v>
      </c>
    </row>
    <row r="1203" spans="1:12" x14ac:dyDescent="0.3">
      <c r="A1203">
        <v>48</v>
      </c>
      <c r="B1203">
        <v>2024</v>
      </c>
      <c r="C1203">
        <v>0.43</v>
      </c>
      <c r="D1203">
        <v>0.63</v>
      </c>
      <c r="E1203">
        <v>0.95</v>
      </c>
      <c r="F1203">
        <v>0.6</v>
      </c>
      <c r="G1203">
        <v>0.77</v>
      </c>
      <c r="H1203">
        <v>0.48</v>
      </c>
      <c r="I1203">
        <v>349</v>
      </c>
      <c r="J1203">
        <v>16</v>
      </c>
      <c r="K1203">
        <v>0.64</v>
      </c>
      <c r="L1203" t="s">
        <v>12</v>
      </c>
    </row>
    <row r="1204" spans="1:12" x14ac:dyDescent="0.3">
      <c r="A1204">
        <v>38</v>
      </c>
      <c r="B1204">
        <v>2023</v>
      </c>
      <c r="C1204">
        <v>0.86</v>
      </c>
      <c r="D1204">
        <v>0.48</v>
      </c>
      <c r="E1204">
        <v>0.89</v>
      </c>
      <c r="F1204">
        <v>0.85</v>
      </c>
      <c r="G1204">
        <v>0.59</v>
      </c>
      <c r="H1204">
        <v>0.25</v>
      </c>
      <c r="I1204">
        <v>439</v>
      </c>
      <c r="J1204">
        <v>12</v>
      </c>
      <c r="K1204">
        <v>0.74</v>
      </c>
      <c r="L1204" t="s">
        <v>13</v>
      </c>
    </row>
    <row r="1205" spans="1:12" x14ac:dyDescent="0.3">
      <c r="A1205">
        <v>59</v>
      </c>
      <c r="B1205">
        <v>2024</v>
      </c>
      <c r="C1205">
        <v>0.43</v>
      </c>
      <c r="D1205">
        <v>0.81</v>
      </c>
      <c r="E1205">
        <v>0.53</v>
      </c>
      <c r="F1205">
        <v>0.83</v>
      </c>
      <c r="G1205">
        <v>0.45</v>
      </c>
      <c r="H1205">
        <v>0.95</v>
      </c>
      <c r="I1205">
        <v>242</v>
      </c>
      <c r="J1205">
        <v>12</v>
      </c>
      <c r="K1205">
        <v>0.61</v>
      </c>
      <c r="L1205" t="s">
        <v>12</v>
      </c>
    </row>
    <row r="1206" spans="1:12" x14ac:dyDescent="0.3">
      <c r="A1206">
        <v>50</v>
      </c>
      <c r="B1206">
        <v>2022</v>
      </c>
      <c r="C1206">
        <v>0.59</v>
      </c>
      <c r="D1206">
        <v>0.98</v>
      </c>
      <c r="E1206">
        <v>0.51</v>
      </c>
      <c r="F1206">
        <v>0.72</v>
      </c>
      <c r="G1206">
        <v>0.77</v>
      </c>
      <c r="H1206">
        <v>0.89</v>
      </c>
      <c r="I1206">
        <v>68</v>
      </c>
      <c r="J1206">
        <v>8</v>
      </c>
      <c r="K1206">
        <v>0.71</v>
      </c>
      <c r="L1206" t="s">
        <v>13</v>
      </c>
    </row>
    <row r="1207" spans="1:12" x14ac:dyDescent="0.3">
      <c r="A1207">
        <v>37</v>
      </c>
      <c r="B1207">
        <v>2023</v>
      </c>
      <c r="C1207">
        <v>0.86</v>
      </c>
      <c r="D1207">
        <v>0.64</v>
      </c>
      <c r="E1207">
        <v>0.61</v>
      </c>
      <c r="F1207">
        <v>0.96</v>
      </c>
      <c r="G1207">
        <v>0.95</v>
      </c>
      <c r="H1207">
        <v>0.5</v>
      </c>
      <c r="I1207">
        <v>127</v>
      </c>
      <c r="J1207">
        <v>6</v>
      </c>
      <c r="K1207">
        <v>0.78</v>
      </c>
      <c r="L1207" t="s">
        <v>13</v>
      </c>
    </row>
    <row r="1208" spans="1:12" x14ac:dyDescent="0.3">
      <c r="A1208">
        <v>90</v>
      </c>
      <c r="B1208">
        <v>2024</v>
      </c>
      <c r="C1208">
        <v>0.97</v>
      </c>
      <c r="D1208">
        <v>0.79</v>
      </c>
      <c r="E1208">
        <v>0.92</v>
      </c>
      <c r="F1208">
        <v>0.81</v>
      </c>
      <c r="G1208">
        <v>0.45</v>
      </c>
      <c r="H1208">
        <v>0.52</v>
      </c>
      <c r="I1208">
        <v>223</v>
      </c>
      <c r="J1208">
        <v>14</v>
      </c>
      <c r="K1208">
        <v>0.84</v>
      </c>
      <c r="L1208" t="s">
        <v>13</v>
      </c>
    </row>
    <row r="1209" spans="1:12" x14ac:dyDescent="0.3">
      <c r="A1209">
        <v>79</v>
      </c>
      <c r="B1209">
        <v>2025</v>
      </c>
      <c r="C1209">
        <v>0.51</v>
      </c>
      <c r="D1209">
        <v>0.81</v>
      </c>
      <c r="E1209">
        <v>0.92</v>
      </c>
      <c r="F1209">
        <v>0.88</v>
      </c>
      <c r="G1209">
        <v>0.95</v>
      </c>
      <c r="H1209">
        <v>0.72</v>
      </c>
      <c r="I1209">
        <v>469</v>
      </c>
      <c r="J1209">
        <v>14</v>
      </c>
      <c r="K1209">
        <v>0.77</v>
      </c>
      <c r="L1209" t="s">
        <v>13</v>
      </c>
    </row>
    <row r="1210" spans="1:12" x14ac:dyDescent="0.3">
      <c r="A1210">
        <v>43</v>
      </c>
      <c r="B1210">
        <v>2021</v>
      </c>
      <c r="C1210">
        <v>0.59</v>
      </c>
      <c r="D1210">
        <v>0.69</v>
      </c>
      <c r="E1210">
        <v>0.63</v>
      </c>
      <c r="F1210">
        <v>0.81</v>
      </c>
      <c r="G1210">
        <v>0.5</v>
      </c>
      <c r="H1210">
        <v>0.69</v>
      </c>
      <c r="I1210">
        <v>381</v>
      </c>
      <c r="J1210">
        <v>18</v>
      </c>
      <c r="K1210">
        <v>0.65</v>
      </c>
      <c r="L1210" t="s">
        <v>12</v>
      </c>
    </row>
    <row r="1211" spans="1:12" x14ac:dyDescent="0.3">
      <c r="A1211">
        <v>89</v>
      </c>
      <c r="B1211">
        <v>2022</v>
      </c>
      <c r="C1211">
        <v>0.99</v>
      </c>
      <c r="D1211">
        <v>0.64</v>
      </c>
      <c r="E1211">
        <v>0.68</v>
      </c>
      <c r="F1211">
        <v>0.73</v>
      </c>
      <c r="G1211">
        <v>0.93</v>
      </c>
      <c r="H1211">
        <v>0.5</v>
      </c>
      <c r="I1211">
        <v>160</v>
      </c>
      <c r="J1211">
        <v>19</v>
      </c>
      <c r="K1211">
        <v>0.8</v>
      </c>
      <c r="L1211" t="s">
        <v>13</v>
      </c>
    </row>
    <row r="1212" spans="1:12" x14ac:dyDescent="0.3">
      <c r="A1212">
        <v>60</v>
      </c>
      <c r="B1212">
        <v>2024</v>
      </c>
      <c r="C1212">
        <v>0.68</v>
      </c>
      <c r="D1212">
        <v>0.56000000000000005</v>
      </c>
      <c r="E1212">
        <v>0.87</v>
      </c>
      <c r="F1212">
        <v>0.93</v>
      </c>
      <c r="G1212">
        <v>0.8</v>
      </c>
      <c r="H1212">
        <v>0.73</v>
      </c>
      <c r="I1212">
        <v>255</v>
      </c>
      <c r="J1212">
        <v>1</v>
      </c>
      <c r="K1212">
        <v>0.74</v>
      </c>
      <c r="L1212" t="s">
        <v>13</v>
      </c>
    </row>
    <row r="1213" spans="1:12" x14ac:dyDescent="0.3">
      <c r="A1213">
        <v>77</v>
      </c>
      <c r="B1213">
        <v>2023</v>
      </c>
      <c r="C1213">
        <v>0.4</v>
      </c>
      <c r="D1213">
        <v>0.4</v>
      </c>
      <c r="E1213">
        <v>0.62</v>
      </c>
      <c r="F1213">
        <v>0.88</v>
      </c>
      <c r="G1213">
        <v>0.37</v>
      </c>
      <c r="H1213">
        <v>0.91</v>
      </c>
      <c r="I1213">
        <v>76</v>
      </c>
      <c r="J1213">
        <v>16</v>
      </c>
      <c r="K1213">
        <v>0.51</v>
      </c>
      <c r="L1213" t="s">
        <v>12</v>
      </c>
    </row>
    <row r="1214" spans="1:12" x14ac:dyDescent="0.3">
      <c r="A1214">
        <v>84</v>
      </c>
      <c r="B1214">
        <v>2023</v>
      </c>
      <c r="C1214">
        <v>0.82</v>
      </c>
      <c r="D1214">
        <v>0.66</v>
      </c>
      <c r="E1214">
        <v>0.85</v>
      </c>
      <c r="F1214">
        <v>0.83</v>
      </c>
      <c r="G1214">
        <v>0.97</v>
      </c>
      <c r="H1214">
        <v>0.6</v>
      </c>
      <c r="I1214">
        <v>108</v>
      </c>
      <c r="J1214">
        <v>12</v>
      </c>
      <c r="K1214">
        <v>0.8</v>
      </c>
      <c r="L1214" t="s">
        <v>13</v>
      </c>
    </row>
    <row r="1215" spans="1:12" x14ac:dyDescent="0.3">
      <c r="A1215">
        <v>86</v>
      </c>
      <c r="B1215">
        <v>2021</v>
      </c>
      <c r="C1215">
        <v>0.61</v>
      </c>
      <c r="D1215">
        <v>0.57999999999999996</v>
      </c>
      <c r="E1215">
        <v>0.73</v>
      </c>
      <c r="F1215">
        <v>0.63</v>
      </c>
      <c r="G1215">
        <v>0.86</v>
      </c>
      <c r="H1215">
        <v>0.24</v>
      </c>
      <c r="I1215">
        <v>365</v>
      </c>
      <c r="J1215">
        <v>9</v>
      </c>
      <c r="K1215">
        <v>0.65</v>
      </c>
      <c r="L1215" t="s">
        <v>12</v>
      </c>
    </row>
    <row r="1216" spans="1:12" x14ac:dyDescent="0.3">
      <c r="A1216">
        <v>2</v>
      </c>
      <c r="B1216">
        <v>2022</v>
      </c>
      <c r="C1216">
        <v>0.46</v>
      </c>
      <c r="D1216">
        <v>0.89</v>
      </c>
      <c r="E1216">
        <v>0.94</v>
      </c>
      <c r="F1216">
        <v>0.63</v>
      </c>
      <c r="G1216">
        <v>0.32</v>
      </c>
      <c r="H1216">
        <v>0.74</v>
      </c>
      <c r="I1216">
        <v>415</v>
      </c>
      <c r="J1216">
        <v>3</v>
      </c>
      <c r="K1216">
        <v>0.68</v>
      </c>
      <c r="L1216" t="s">
        <v>12</v>
      </c>
    </row>
    <row r="1217" spans="1:12" x14ac:dyDescent="0.3">
      <c r="A1217">
        <v>90</v>
      </c>
      <c r="B1217">
        <v>2024</v>
      </c>
      <c r="C1217">
        <v>0.61</v>
      </c>
      <c r="D1217">
        <v>0.5</v>
      </c>
      <c r="E1217">
        <v>0.99</v>
      </c>
      <c r="F1217">
        <v>0.64</v>
      </c>
      <c r="G1217">
        <v>0.71</v>
      </c>
      <c r="H1217">
        <v>0.63</v>
      </c>
      <c r="I1217">
        <v>211</v>
      </c>
      <c r="J1217">
        <v>2</v>
      </c>
      <c r="K1217">
        <v>0.67</v>
      </c>
      <c r="L1217" t="s">
        <v>12</v>
      </c>
    </row>
    <row r="1218" spans="1:12" x14ac:dyDescent="0.3">
      <c r="A1218">
        <v>49</v>
      </c>
      <c r="B1218">
        <v>2022</v>
      </c>
      <c r="C1218">
        <v>0.69</v>
      </c>
      <c r="D1218">
        <v>0.56999999999999995</v>
      </c>
      <c r="E1218">
        <v>0.97</v>
      </c>
      <c r="F1218">
        <v>0.9</v>
      </c>
      <c r="G1218">
        <v>0.98</v>
      </c>
      <c r="H1218">
        <v>0.04</v>
      </c>
      <c r="I1218">
        <v>255</v>
      </c>
      <c r="J1218">
        <v>3</v>
      </c>
      <c r="K1218">
        <v>0.78</v>
      </c>
      <c r="L1218" t="s">
        <v>13</v>
      </c>
    </row>
    <row r="1219" spans="1:12" x14ac:dyDescent="0.3">
      <c r="A1219">
        <v>4</v>
      </c>
      <c r="B1219">
        <v>2022</v>
      </c>
      <c r="C1219">
        <v>0.78</v>
      </c>
      <c r="D1219">
        <v>0.54</v>
      </c>
      <c r="E1219">
        <v>0.75</v>
      </c>
      <c r="F1219">
        <v>0.96</v>
      </c>
      <c r="G1219">
        <v>0.79</v>
      </c>
      <c r="H1219">
        <v>0.39</v>
      </c>
      <c r="I1219">
        <v>460</v>
      </c>
      <c r="J1219">
        <v>7</v>
      </c>
      <c r="K1219">
        <v>0.74</v>
      </c>
      <c r="L1219" t="s">
        <v>13</v>
      </c>
    </row>
    <row r="1220" spans="1:12" x14ac:dyDescent="0.3">
      <c r="A1220">
        <v>65</v>
      </c>
      <c r="B1220">
        <v>2021</v>
      </c>
      <c r="C1220">
        <v>0.74</v>
      </c>
      <c r="D1220">
        <v>0.62</v>
      </c>
      <c r="E1220">
        <v>0.93</v>
      </c>
      <c r="F1220">
        <v>0.9</v>
      </c>
      <c r="G1220">
        <v>0.73</v>
      </c>
      <c r="H1220">
        <v>0.36</v>
      </c>
      <c r="I1220">
        <v>484</v>
      </c>
      <c r="J1220">
        <v>12</v>
      </c>
      <c r="K1220">
        <v>0.77</v>
      </c>
      <c r="L1220" t="s">
        <v>13</v>
      </c>
    </row>
    <row r="1221" spans="1:12" x14ac:dyDescent="0.3">
      <c r="A1221">
        <v>24</v>
      </c>
      <c r="B1221">
        <v>2023</v>
      </c>
      <c r="C1221">
        <v>0.4</v>
      </c>
      <c r="D1221">
        <v>0.7</v>
      </c>
      <c r="E1221">
        <v>0.7</v>
      </c>
      <c r="F1221">
        <v>0.84</v>
      </c>
      <c r="G1221">
        <v>0.33</v>
      </c>
      <c r="H1221">
        <v>0.75</v>
      </c>
      <c r="I1221">
        <v>361</v>
      </c>
      <c r="J1221">
        <v>7</v>
      </c>
      <c r="K1221">
        <v>0.59</v>
      </c>
      <c r="L1221" t="s">
        <v>12</v>
      </c>
    </row>
    <row r="1222" spans="1:12" x14ac:dyDescent="0.3">
      <c r="A1222">
        <v>83</v>
      </c>
      <c r="B1222">
        <v>2024</v>
      </c>
      <c r="C1222">
        <v>0.88</v>
      </c>
      <c r="D1222">
        <v>0.5</v>
      </c>
      <c r="E1222">
        <v>0.76</v>
      </c>
      <c r="F1222">
        <v>0.7</v>
      </c>
      <c r="G1222">
        <v>0.81</v>
      </c>
      <c r="H1222">
        <v>0.32</v>
      </c>
      <c r="I1222">
        <v>293</v>
      </c>
      <c r="J1222">
        <v>15</v>
      </c>
      <c r="K1222">
        <v>0.73</v>
      </c>
      <c r="L1222" t="s">
        <v>13</v>
      </c>
    </row>
    <row r="1223" spans="1:12" x14ac:dyDescent="0.3">
      <c r="A1223">
        <v>65</v>
      </c>
      <c r="B1223">
        <v>2021</v>
      </c>
      <c r="C1223">
        <v>0.75</v>
      </c>
      <c r="D1223">
        <v>0.51</v>
      </c>
      <c r="E1223">
        <v>0.88</v>
      </c>
      <c r="F1223">
        <v>0.74</v>
      </c>
      <c r="G1223">
        <v>0.8</v>
      </c>
      <c r="H1223">
        <v>0.05</v>
      </c>
      <c r="I1223">
        <v>486</v>
      </c>
      <c r="J1223">
        <v>8</v>
      </c>
      <c r="K1223">
        <v>0.72</v>
      </c>
      <c r="L1223" t="s">
        <v>13</v>
      </c>
    </row>
    <row r="1224" spans="1:12" x14ac:dyDescent="0.3">
      <c r="A1224">
        <v>64</v>
      </c>
      <c r="B1224">
        <v>2025</v>
      </c>
      <c r="C1224">
        <v>0.48</v>
      </c>
      <c r="D1224">
        <v>0.56000000000000005</v>
      </c>
      <c r="E1224">
        <v>0.82</v>
      </c>
      <c r="F1224">
        <v>0.65</v>
      </c>
      <c r="G1224">
        <v>0.96</v>
      </c>
      <c r="H1224">
        <v>0.22</v>
      </c>
      <c r="I1224">
        <v>273</v>
      </c>
      <c r="J1224">
        <v>15</v>
      </c>
      <c r="K1224">
        <v>0.64</v>
      </c>
      <c r="L1224" t="s">
        <v>12</v>
      </c>
    </row>
    <row r="1225" spans="1:12" x14ac:dyDescent="0.3">
      <c r="A1225">
        <v>5</v>
      </c>
      <c r="B1225">
        <v>2025</v>
      </c>
      <c r="C1225">
        <v>0.3</v>
      </c>
      <c r="D1225">
        <v>0.93</v>
      </c>
      <c r="E1225">
        <v>0.64</v>
      </c>
      <c r="F1225">
        <v>0.87</v>
      </c>
      <c r="G1225">
        <v>0.86</v>
      </c>
      <c r="H1225">
        <v>0.16</v>
      </c>
      <c r="I1225">
        <v>349</v>
      </c>
      <c r="J1225">
        <v>9</v>
      </c>
      <c r="K1225">
        <v>0.67</v>
      </c>
      <c r="L1225" t="s">
        <v>12</v>
      </c>
    </row>
    <row r="1226" spans="1:12" x14ac:dyDescent="0.3">
      <c r="A1226">
        <v>46</v>
      </c>
      <c r="B1226">
        <v>2022</v>
      </c>
      <c r="C1226">
        <v>0.65</v>
      </c>
      <c r="D1226">
        <v>0.95</v>
      </c>
      <c r="E1226">
        <v>0.85</v>
      </c>
      <c r="F1226">
        <v>0.89</v>
      </c>
      <c r="G1226">
        <v>0.36</v>
      </c>
      <c r="H1226">
        <v>0.22</v>
      </c>
      <c r="I1226">
        <v>133</v>
      </c>
      <c r="J1226">
        <v>9</v>
      </c>
      <c r="K1226">
        <v>0.77</v>
      </c>
      <c r="L1226" t="s">
        <v>13</v>
      </c>
    </row>
    <row r="1227" spans="1:12" x14ac:dyDescent="0.3">
      <c r="A1227">
        <v>22</v>
      </c>
      <c r="B1227">
        <v>2025</v>
      </c>
      <c r="C1227">
        <v>0.85</v>
      </c>
      <c r="D1227">
        <v>0.6</v>
      </c>
      <c r="E1227">
        <v>0.91</v>
      </c>
      <c r="F1227">
        <v>0.65</v>
      </c>
      <c r="G1227">
        <v>0.42</v>
      </c>
      <c r="H1227">
        <v>0.34</v>
      </c>
      <c r="I1227">
        <v>367</v>
      </c>
      <c r="J1227">
        <v>6</v>
      </c>
      <c r="K1227">
        <v>0.73</v>
      </c>
      <c r="L1227" t="s">
        <v>13</v>
      </c>
    </row>
    <row r="1228" spans="1:12" x14ac:dyDescent="0.3">
      <c r="A1228">
        <v>60</v>
      </c>
      <c r="B1228">
        <v>2025</v>
      </c>
      <c r="C1228">
        <v>0.37</v>
      </c>
      <c r="D1228">
        <v>0.61</v>
      </c>
      <c r="E1228">
        <v>0.92</v>
      </c>
      <c r="F1228">
        <v>0.63</v>
      </c>
      <c r="G1228">
        <v>0.96</v>
      </c>
      <c r="H1228">
        <v>0.99</v>
      </c>
      <c r="I1228">
        <v>403</v>
      </c>
      <c r="J1228">
        <v>11</v>
      </c>
      <c r="K1228">
        <v>0.64</v>
      </c>
      <c r="L1228" t="s">
        <v>12</v>
      </c>
    </row>
    <row r="1229" spans="1:12" x14ac:dyDescent="0.3">
      <c r="A1229">
        <v>80</v>
      </c>
      <c r="B1229">
        <v>2023</v>
      </c>
      <c r="C1229">
        <v>0.72</v>
      </c>
      <c r="D1229">
        <v>0.79</v>
      </c>
      <c r="E1229">
        <v>0.88</v>
      </c>
      <c r="F1229">
        <v>0.65</v>
      </c>
      <c r="G1229">
        <v>0.88</v>
      </c>
      <c r="H1229">
        <v>0.71</v>
      </c>
      <c r="I1229">
        <v>252</v>
      </c>
      <c r="J1229">
        <v>2</v>
      </c>
      <c r="K1229">
        <v>0.78</v>
      </c>
      <c r="L1229" t="s">
        <v>13</v>
      </c>
    </row>
    <row r="1230" spans="1:12" x14ac:dyDescent="0.3">
      <c r="A1230">
        <v>95</v>
      </c>
      <c r="B1230">
        <v>2025</v>
      </c>
      <c r="C1230">
        <v>0.81</v>
      </c>
      <c r="D1230">
        <v>0.83</v>
      </c>
      <c r="E1230">
        <v>0.83</v>
      </c>
      <c r="F1230">
        <v>0.65</v>
      </c>
      <c r="G1230">
        <v>0.59</v>
      </c>
      <c r="H1230">
        <v>0.11</v>
      </c>
      <c r="I1230">
        <v>186</v>
      </c>
      <c r="J1230">
        <v>15</v>
      </c>
      <c r="K1230">
        <v>0.77</v>
      </c>
      <c r="L1230" t="s">
        <v>13</v>
      </c>
    </row>
    <row r="1231" spans="1:12" x14ac:dyDescent="0.3">
      <c r="A1231">
        <v>26</v>
      </c>
      <c r="B1231">
        <v>2021</v>
      </c>
      <c r="C1231">
        <v>0.32</v>
      </c>
      <c r="D1231">
        <v>0.95</v>
      </c>
      <c r="E1231">
        <v>0.93</v>
      </c>
      <c r="F1231">
        <v>0.81</v>
      </c>
      <c r="G1231">
        <v>0.46</v>
      </c>
      <c r="H1231">
        <v>0.12</v>
      </c>
      <c r="I1231">
        <v>52</v>
      </c>
      <c r="J1231">
        <v>4</v>
      </c>
      <c r="K1231">
        <v>0.69</v>
      </c>
      <c r="L1231" t="s">
        <v>12</v>
      </c>
    </row>
    <row r="1232" spans="1:12" x14ac:dyDescent="0.3">
      <c r="A1232">
        <v>46</v>
      </c>
      <c r="B1232">
        <v>2021</v>
      </c>
      <c r="C1232">
        <v>0.7</v>
      </c>
      <c r="D1232">
        <v>0.93</v>
      </c>
      <c r="E1232">
        <v>0.83</v>
      </c>
      <c r="F1232">
        <v>0.79</v>
      </c>
      <c r="G1232">
        <v>0.9</v>
      </c>
      <c r="H1232">
        <v>0.47</v>
      </c>
      <c r="I1232">
        <v>171</v>
      </c>
      <c r="J1232">
        <v>16</v>
      </c>
      <c r="K1232">
        <v>0.82</v>
      </c>
      <c r="L1232" t="s">
        <v>13</v>
      </c>
    </row>
    <row r="1233" spans="1:12" x14ac:dyDescent="0.3">
      <c r="A1233">
        <v>69</v>
      </c>
      <c r="B1233">
        <v>2024</v>
      </c>
      <c r="C1233">
        <v>0.39</v>
      </c>
      <c r="D1233">
        <v>0.81</v>
      </c>
      <c r="E1233">
        <v>0.84</v>
      </c>
      <c r="F1233">
        <v>0.99</v>
      </c>
      <c r="G1233">
        <v>0.8</v>
      </c>
      <c r="H1233">
        <v>0.49</v>
      </c>
      <c r="I1233">
        <v>63</v>
      </c>
      <c r="J1233">
        <v>4</v>
      </c>
      <c r="K1233">
        <v>0.72</v>
      </c>
      <c r="L1233" t="s">
        <v>13</v>
      </c>
    </row>
    <row r="1234" spans="1:12" x14ac:dyDescent="0.3">
      <c r="A1234">
        <v>75</v>
      </c>
      <c r="B1234">
        <v>2025</v>
      </c>
      <c r="C1234">
        <v>0.5</v>
      </c>
      <c r="D1234">
        <v>0.73</v>
      </c>
      <c r="E1234">
        <v>0.85</v>
      </c>
      <c r="F1234">
        <v>0.65</v>
      </c>
      <c r="G1234">
        <v>0.87</v>
      </c>
      <c r="H1234">
        <v>0.61</v>
      </c>
      <c r="I1234">
        <v>211</v>
      </c>
      <c r="J1234">
        <v>16</v>
      </c>
      <c r="K1234">
        <v>0.69</v>
      </c>
      <c r="L1234" t="s">
        <v>12</v>
      </c>
    </row>
    <row r="1235" spans="1:12" x14ac:dyDescent="0.3">
      <c r="A1235">
        <v>76</v>
      </c>
      <c r="B1235">
        <v>2021</v>
      </c>
      <c r="C1235">
        <v>0.77</v>
      </c>
      <c r="D1235">
        <v>0.66</v>
      </c>
      <c r="E1235">
        <v>0.91</v>
      </c>
      <c r="F1235">
        <v>0.68</v>
      </c>
      <c r="G1235">
        <v>0.44</v>
      </c>
      <c r="H1235">
        <v>0.65</v>
      </c>
      <c r="I1235">
        <v>105</v>
      </c>
      <c r="J1235">
        <v>15</v>
      </c>
      <c r="K1235">
        <v>0.72</v>
      </c>
      <c r="L1235" t="s">
        <v>13</v>
      </c>
    </row>
    <row r="1236" spans="1:12" x14ac:dyDescent="0.3">
      <c r="A1236">
        <v>50</v>
      </c>
      <c r="B1236">
        <v>2022</v>
      </c>
      <c r="C1236">
        <v>0.81</v>
      </c>
      <c r="D1236">
        <v>1</v>
      </c>
      <c r="E1236">
        <v>1</v>
      </c>
      <c r="F1236">
        <v>0.9</v>
      </c>
      <c r="G1236">
        <v>0.82</v>
      </c>
      <c r="H1236">
        <v>0.25</v>
      </c>
      <c r="I1236">
        <v>158</v>
      </c>
      <c r="J1236">
        <v>11</v>
      </c>
      <c r="K1236">
        <v>0.91</v>
      </c>
      <c r="L1236" t="s">
        <v>13</v>
      </c>
    </row>
    <row r="1237" spans="1:12" x14ac:dyDescent="0.3">
      <c r="A1237">
        <v>99</v>
      </c>
      <c r="B1237">
        <v>2024</v>
      </c>
      <c r="C1237">
        <v>0.36</v>
      </c>
      <c r="D1237">
        <v>0.66</v>
      </c>
      <c r="E1237">
        <v>0.78</v>
      </c>
      <c r="F1237">
        <v>0.76</v>
      </c>
      <c r="G1237">
        <v>0.45</v>
      </c>
      <c r="H1237">
        <v>0.59</v>
      </c>
      <c r="I1237">
        <v>100</v>
      </c>
      <c r="J1237">
        <v>18</v>
      </c>
      <c r="K1237">
        <v>0.59</v>
      </c>
      <c r="L1237" t="s">
        <v>12</v>
      </c>
    </row>
    <row r="1238" spans="1:12" x14ac:dyDescent="0.3">
      <c r="A1238">
        <v>68</v>
      </c>
      <c r="B1238">
        <v>2021</v>
      </c>
      <c r="C1238">
        <v>0.87</v>
      </c>
      <c r="D1238">
        <v>0.45</v>
      </c>
      <c r="E1238">
        <v>0.93</v>
      </c>
      <c r="F1238">
        <v>0.64</v>
      </c>
      <c r="G1238">
        <v>0.88</v>
      </c>
      <c r="H1238">
        <v>0.36</v>
      </c>
      <c r="I1238">
        <v>481</v>
      </c>
      <c r="J1238">
        <v>11</v>
      </c>
      <c r="K1238">
        <v>0.74</v>
      </c>
      <c r="L1238" t="s">
        <v>13</v>
      </c>
    </row>
    <row r="1239" spans="1:12" x14ac:dyDescent="0.3">
      <c r="A1239">
        <v>33</v>
      </c>
      <c r="B1239">
        <v>2021</v>
      </c>
      <c r="C1239">
        <v>0.35</v>
      </c>
      <c r="D1239">
        <v>0.53</v>
      </c>
      <c r="E1239">
        <v>0.56000000000000005</v>
      </c>
      <c r="F1239">
        <v>0.72</v>
      </c>
      <c r="G1239">
        <v>0.66</v>
      </c>
      <c r="H1239">
        <v>0.59</v>
      </c>
      <c r="I1239">
        <v>229</v>
      </c>
      <c r="J1239">
        <v>19</v>
      </c>
      <c r="K1239">
        <v>0.52</v>
      </c>
      <c r="L1239" t="s">
        <v>12</v>
      </c>
    </row>
    <row r="1240" spans="1:12" x14ac:dyDescent="0.3">
      <c r="A1240">
        <v>4</v>
      </c>
      <c r="B1240">
        <v>2024</v>
      </c>
      <c r="C1240">
        <v>0.59</v>
      </c>
      <c r="D1240">
        <v>0.68</v>
      </c>
      <c r="E1240">
        <v>0.71</v>
      </c>
      <c r="F1240">
        <v>0.94</v>
      </c>
      <c r="G1240">
        <v>0.46</v>
      </c>
      <c r="H1240">
        <v>0.01</v>
      </c>
      <c r="I1240">
        <v>191</v>
      </c>
      <c r="J1240">
        <v>7</v>
      </c>
      <c r="K1240">
        <v>0.68</v>
      </c>
      <c r="L1240" t="s">
        <v>12</v>
      </c>
    </row>
    <row r="1241" spans="1:12" x14ac:dyDescent="0.3">
      <c r="A1241">
        <v>25</v>
      </c>
      <c r="B1241">
        <v>2022</v>
      </c>
      <c r="C1241">
        <v>0.73</v>
      </c>
      <c r="D1241">
        <v>0.72</v>
      </c>
      <c r="E1241">
        <v>0.53</v>
      </c>
      <c r="F1241">
        <v>0.63</v>
      </c>
      <c r="G1241">
        <v>0.75</v>
      </c>
      <c r="H1241">
        <v>0.47</v>
      </c>
      <c r="I1241">
        <v>51</v>
      </c>
      <c r="J1241">
        <v>17</v>
      </c>
      <c r="K1241">
        <v>0.67</v>
      </c>
      <c r="L1241" t="s">
        <v>12</v>
      </c>
    </row>
    <row r="1242" spans="1:12" x14ac:dyDescent="0.3">
      <c r="A1242">
        <v>31</v>
      </c>
      <c r="B1242">
        <v>2024</v>
      </c>
      <c r="C1242">
        <v>0.64</v>
      </c>
      <c r="D1242">
        <v>0.65</v>
      </c>
      <c r="E1242">
        <v>0.55000000000000004</v>
      </c>
      <c r="F1242">
        <v>0.97</v>
      </c>
      <c r="G1242">
        <v>0.86</v>
      </c>
      <c r="H1242">
        <v>0.23</v>
      </c>
      <c r="I1242">
        <v>149</v>
      </c>
      <c r="J1242">
        <v>19</v>
      </c>
      <c r="K1242">
        <v>0.7</v>
      </c>
      <c r="L1242" t="s">
        <v>12</v>
      </c>
    </row>
    <row r="1243" spans="1:12" x14ac:dyDescent="0.3">
      <c r="A1243">
        <v>55</v>
      </c>
      <c r="B1243">
        <v>2023</v>
      </c>
      <c r="C1243">
        <v>0.45</v>
      </c>
      <c r="D1243">
        <v>0.87</v>
      </c>
      <c r="E1243">
        <v>0.72</v>
      </c>
      <c r="F1243">
        <v>0.68</v>
      </c>
      <c r="G1243">
        <v>0.93</v>
      </c>
      <c r="H1243">
        <v>0.2</v>
      </c>
      <c r="I1243">
        <v>155</v>
      </c>
      <c r="J1243">
        <v>3</v>
      </c>
      <c r="K1243">
        <v>0.69</v>
      </c>
      <c r="L1243" t="s">
        <v>12</v>
      </c>
    </row>
    <row r="1244" spans="1:12" x14ac:dyDescent="0.3">
      <c r="A1244">
        <v>32</v>
      </c>
      <c r="B1244">
        <v>2025</v>
      </c>
      <c r="C1244">
        <v>0.74</v>
      </c>
      <c r="D1244">
        <v>0.8</v>
      </c>
      <c r="E1244">
        <v>0.66</v>
      </c>
      <c r="F1244">
        <v>0.73</v>
      </c>
      <c r="G1244">
        <v>0.54</v>
      </c>
      <c r="H1244">
        <v>0.68</v>
      </c>
      <c r="I1244">
        <v>355</v>
      </c>
      <c r="J1244">
        <v>2</v>
      </c>
      <c r="K1244">
        <v>0.72</v>
      </c>
      <c r="L1244" t="s">
        <v>13</v>
      </c>
    </row>
    <row r="1245" spans="1:12" x14ac:dyDescent="0.3">
      <c r="A1245">
        <v>15</v>
      </c>
      <c r="B1245">
        <v>2023</v>
      </c>
      <c r="C1245">
        <v>1</v>
      </c>
      <c r="D1245">
        <v>0.5</v>
      </c>
      <c r="E1245">
        <v>0.89</v>
      </c>
      <c r="F1245">
        <v>0.69</v>
      </c>
      <c r="G1245">
        <v>0.36</v>
      </c>
      <c r="H1245">
        <v>0.87</v>
      </c>
      <c r="I1245">
        <v>397</v>
      </c>
      <c r="J1245">
        <v>0</v>
      </c>
      <c r="K1245">
        <v>0.74</v>
      </c>
      <c r="L1245" t="s">
        <v>13</v>
      </c>
    </row>
    <row r="1246" spans="1:12" x14ac:dyDescent="0.3">
      <c r="A1246">
        <v>59</v>
      </c>
      <c r="B1246">
        <v>2025</v>
      </c>
      <c r="C1246">
        <v>0.79</v>
      </c>
      <c r="D1246">
        <v>0.73</v>
      </c>
      <c r="E1246">
        <v>0.93</v>
      </c>
      <c r="F1246">
        <v>0.73</v>
      </c>
      <c r="G1246">
        <v>0.67</v>
      </c>
      <c r="H1246">
        <v>0.49</v>
      </c>
      <c r="I1246">
        <v>176</v>
      </c>
      <c r="J1246">
        <v>10</v>
      </c>
      <c r="K1246">
        <v>0.78</v>
      </c>
      <c r="L1246" t="s">
        <v>13</v>
      </c>
    </row>
    <row r="1247" spans="1:12" x14ac:dyDescent="0.3">
      <c r="A1247">
        <v>62</v>
      </c>
      <c r="B1247">
        <v>2022</v>
      </c>
      <c r="C1247">
        <v>0.94</v>
      </c>
      <c r="D1247">
        <v>0.46</v>
      </c>
      <c r="E1247">
        <v>0.86</v>
      </c>
      <c r="F1247">
        <v>0.66</v>
      </c>
      <c r="G1247">
        <v>0.56999999999999995</v>
      </c>
      <c r="H1247">
        <v>0.41</v>
      </c>
      <c r="I1247">
        <v>469</v>
      </c>
      <c r="J1247">
        <v>13</v>
      </c>
      <c r="K1247">
        <v>0.72</v>
      </c>
      <c r="L1247" t="s">
        <v>13</v>
      </c>
    </row>
    <row r="1248" spans="1:12" x14ac:dyDescent="0.3">
      <c r="A1248">
        <v>52</v>
      </c>
      <c r="B1248">
        <v>2024</v>
      </c>
      <c r="C1248">
        <v>0.62</v>
      </c>
      <c r="D1248">
        <v>0.74</v>
      </c>
      <c r="E1248">
        <v>0.85</v>
      </c>
      <c r="F1248">
        <v>0.84</v>
      </c>
      <c r="G1248">
        <v>0.92</v>
      </c>
      <c r="H1248">
        <v>0.36</v>
      </c>
      <c r="I1248">
        <v>144</v>
      </c>
      <c r="J1248">
        <v>7</v>
      </c>
      <c r="K1248">
        <v>0.76</v>
      </c>
      <c r="L1248" t="s">
        <v>13</v>
      </c>
    </row>
    <row r="1249" spans="1:12" x14ac:dyDescent="0.3">
      <c r="A1249">
        <v>56</v>
      </c>
      <c r="B1249">
        <v>2024</v>
      </c>
      <c r="C1249">
        <v>0.39</v>
      </c>
      <c r="D1249">
        <v>0.74</v>
      </c>
      <c r="E1249">
        <v>0.63</v>
      </c>
      <c r="F1249">
        <v>0.92</v>
      </c>
      <c r="G1249">
        <v>0.35</v>
      </c>
      <c r="H1249">
        <v>0.69</v>
      </c>
      <c r="I1249">
        <v>320</v>
      </c>
      <c r="J1249">
        <v>3</v>
      </c>
      <c r="K1249">
        <v>0.6</v>
      </c>
      <c r="L1249" t="s">
        <v>12</v>
      </c>
    </row>
    <row r="1250" spans="1:12" x14ac:dyDescent="0.3">
      <c r="A1250">
        <v>7</v>
      </c>
      <c r="B1250">
        <v>2023</v>
      </c>
      <c r="C1250">
        <v>0.79</v>
      </c>
      <c r="D1250">
        <v>0.55000000000000004</v>
      </c>
      <c r="E1250">
        <v>0.78</v>
      </c>
      <c r="F1250">
        <v>0.81</v>
      </c>
      <c r="G1250">
        <v>0.4</v>
      </c>
      <c r="H1250">
        <v>0.59</v>
      </c>
      <c r="I1250">
        <v>176</v>
      </c>
      <c r="J1250">
        <v>10</v>
      </c>
      <c r="K1250">
        <v>0.69</v>
      </c>
      <c r="L1250" t="s">
        <v>12</v>
      </c>
    </row>
    <row r="1251" spans="1:12" x14ac:dyDescent="0.3">
      <c r="A1251">
        <v>79</v>
      </c>
      <c r="B1251">
        <v>2022</v>
      </c>
      <c r="C1251">
        <v>0.75</v>
      </c>
      <c r="D1251">
        <v>0.93</v>
      </c>
      <c r="E1251">
        <v>0.84</v>
      </c>
      <c r="F1251">
        <v>0.74</v>
      </c>
      <c r="G1251">
        <v>0.66</v>
      </c>
      <c r="H1251">
        <v>0.68</v>
      </c>
      <c r="I1251">
        <v>227</v>
      </c>
      <c r="J1251">
        <v>14</v>
      </c>
      <c r="K1251">
        <v>0.8</v>
      </c>
      <c r="L1251" t="s">
        <v>13</v>
      </c>
    </row>
    <row r="1252" spans="1:12" x14ac:dyDescent="0.3">
      <c r="A1252">
        <v>10</v>
      </c>
      <c r="B1252">
        <v>2025</v>
      </c>
      <c r="C1252">
        <v>0.95</v>
      </c>
      <c r="D1252">
        <v>0.8</v>
      </c>
      <c r="E1252">
        <v>0.97</v>
      </c>
      <c r="F1252">
        <v>0.76</v>
      </c>
      <c r="G1252">
        <v>0.97</v>
      </c>
      <c r="H1252">
        <v>0.7</v>
      </c>
      <c r="I1252">
        <v>181</v>
      </c>
      <c r="J1252">
        <v>19</v>
      </c>
      <c r="K1252">
        <v>0.89</v>
      </c>
      <c r="L1252" t="s">
        <v>13</v>
      </c>
    </row>
    <row r="1253" spans="1:12" x14ac:dyDescent="0.3">
      <c r="A1253">
        <v>67</v>
      </c>
      <c r="B1253">
        <v>2025</v>
      </c>
      <c r="C1253">
        <v>0.32</v>
      </c>
      <c r="D1253">
        <v>0.91</v>
      </c>
      <c r="E1253">
        <v>0.73</v>
      </c>
      <c r="F1253">
        <v>0.64</v>
      </c>
      <c r="G1253">
        <v>0.79</v>
      </c>
      <c r="H1253">
        <v>0.49</v>
      </c>
      <c r="I1253">
        <v>114</v>
      </c>
      <c r="J1253">
        <v>6</v>
      </c>
      <c r="K1253">
        <v>0.64</v>
      </c>
      <c r="L1253" t="s">
        <v>12</v>
      </c>
    </row>
    <row r="1254" spans="1:12" x14ac:dyDescent="0.3">
      <c r="A1254">
        <v>83</v>
      </c>
      <c r="B1254">
        <v>2025</v>
      </c>
      <c r="C1254">
        <v>0.59</v>
      </c>
      <c r="D1254">
        <v>0.45</v>
      </c>
      <c r="E1254">
        <v>0.55000000000000004</v>
      </c>
      <c r="F1254">
        <v>0.71</v>
      </c>
      <c r="G1254">
        <v>0.74</v>
      </c>
      <c r="H1254">
        <v>0.53</v>
      </c>
      <c r="I1254">
        <v>285</v>
      </c>
      <c r="J1254">
        <v>5</v>
      </c>
      <c r="K1254">
        <v>0.57999999999999996</v>
      </c>
      <c r="L1254" t="s">
        <v>12</v>
      </c>
    </row>
    <row r="1255" spans="1:12" x14ac:dyDescent="0.3">
      <c r="A1255">
        <v>59</v>
      </c>
      <c r="B1255">
        <v>2022</v>
      </c>
      <c r="C1255">
        <v>0.79</v>
      </c>
      <c r="D1255">
        <v>0.95</v>
      </c>
      <c r="E1255">
        <v>0.86</v>
      </c>
      <c r="F1255">
        <v>0.75</v>
      </c>
      <c r="G1255">
        <v>0.8</v>
      </c>
      <c r="H1255">
        <v>0.04</v>
      </c>
      <c r="I1255">
        <v>370</v>
      </c>
      <c r="J1255">
        <v>14</v>
      </c>
      <c r="K1255">
        <v>0.84</v>
      </c>
      <c r="L1255" t="s">
        <v>13</v>
      </c>
    </row>
    <row r="1256" spans="1:12" x14ac:dyDescent="0.3">
      <c r="A1256">
        <v>32</v>
      </c>
      <c r="B1256">
        <v>2021</v>
      </c>
      <c r="C1256">
        <v>0.32</v>
      </c>
      <c r="D1256">
        <v>0.48</v>
      </c>
      <c r="E1256">
        <v>0.83</v>
      </c>
      <c r="F1256">
        <v>0.92</v>
      </c>
      <c r="G1256">
        <v>0.99</v>
      </c>
      <c r="H1256">
        <v>0.35</v>
      </c>
      <c r="I1256">
        <v>213</v>
      </c>
      <c r="J1256">
        <v>0</v>
      </c>
      <c r="K1256">
        <v>0.62</v>
      </c>
      <c r="L1256" t="s">
        <v>12</v>
      </c>
    </row>
    <row r="1257" spans="1:12" x14ac:dyDescent="0.3">
      <c r="A1257">
        <v>23</v>
      </c>
      <c r="B1257">
        <v>2025</v>
      </c>
      <c r="C1257">
        <v>0.56000000000000005</v>
      </c>
      <c r="D1257">
        <v>0.46</v>
      </c>
      <c r="E1257">
        <v>0.63</v>
      </c>
      <c r="F1257">
        <v>0.71</v>
      </c>
      <c r="G1257">
        <v>0.8</v>
      </c>
      <c r="H1257">
        <v>0.05</v>
      </c>
      <c r="I1257">
        <v>64</v>
      </c>
      <c r="J1257">
        <v>17</v>
      </c>
      <c r="K1257">
        <v>0.6</v>
      </c>
      <c r="L1257" t="s">
        <v>12</v>
      </c>
    </row>
    <row r="1258" spans="1:12" x14ac:dyDescent="0.3">
      <c r="A1258">
        <v>25</v>
      </c>
      <c r="B1258">
        <v>2025</v>
      </c>
      <c r="C1258">
        <v>0.53</v>
      </c>
      <c r="D1258">
        <v>0.71</v>
      </c>
      <c r="E1258">
        <v>0.77</v>
      </c>
      <c r="F1258">
        <v>0.71</v>
      </c>
      <c r="G1258">
        <v>0.94</v>
      </c>
      <c r="H1258">
        <v>0.37</v>
      </c>
      <c r="I1258">
        <v>267</v>
      </c>
      <c r="J1258">
        <v>1</v>
      </c>
      <c r="K1258">
        <v>0.69</v>
      </c>
      <c r="L1258" t="s">
        <v>12</v>
      </c>
    </row>
    <row r="1259" spans="1:12" x14ac:dyDescent="0.3">
      <c r="A1259">
        <v>14</v>
      </c>
      <c r="B1259">
        <v>2024</v>
      </c>
      <c r="C1259">
        <v>0.31</v>
      </c>
      <c r="D1259">
        <v>0.73</v>
      </c>
      <c r="E1259">
        <v>0.87</v>
      </c>
      <c r="F1259">
        <v>0.69</v>
      </c>
      <c r="G1259">
        <v>0.34</v>
      </c>
      <c r="H1259">
        <v>0.16</v>
      </c>
      <c r="I1259">
        <v>256</v>
      </c>
      <c r="J1259">
        <v>13</v>
      </c>
      <c r="K1259">
        <v>0.59</v>
      </c>
      <c r="L1259" t="s">
        <v>12</v>
      </c>
    </row>
    <row r="1260" spans="1:12" x14ac:dyDescent="0.3">
      <c r="A1260">
        <v>56</v>
      </c>
      <c r="B1260">
        <v>2021</v>
      </c>
      <c r="C1260">
        <v>0.56999999999999995</v>
      </c>
      <c r="D1260">
        <v>0.66</v>
      </c>
      <c r="E1260">
        <v>0.74</v>
      </c>
      <c r="F1260">
        <v>0.91</v>
      </c>
      <c r="G1260">
        <v>0.37</v>
      </c>
      <c r="H1260">
        <v>0.77</v>
      </c>
      <c r="I1260">
        <v>290</v>
      </c>
      <c r="J1260">
        <v>12</v>
      </c>
      <c r="K1260">
        <v>0.66</v>
      </c>
      <c r="L1260" t="s">
        <v>12</v>
      </c>
    </row>
    <row r="1261" spans="1:12" x14ac:dyDescent="0.3">
      <c r="A1261">
        <v>7</v>
      </c>
      <c r="B1261">
        <v>2021</v>
      </c>
      <c r="C1261">
        <v>0.81</v>
      </c>
      <c r="D1261">
        <v>0.68</v>
      </c>
      <c r="E1261">
        <v>0.61</v>
      </c>
      <c r="F1261">
        <v>0.81</v>
      </c>
      <c r="G1261">
        <v>0.97</v>
      </c>
      <c r="H1261">
        <v>0.59</v>
      </c>
      <c r="I1261">
        <v>118</v>
      </c>
      <c r="J1261">
        <v>18</v>
      </c>
      <c r="K1261">
        <v>0.75</v>
      </c>
      <c r="L1261" t="s">
        <v>13</v>
      </c>
    </row>
    <row r="1262" spans="1:12" x14ac:dyDescent="0.3">
      <c r="A1262">
        <v>63</v>
      </c>
      <c r="B1262">
        <v>2024</v>
      </c>
      <c r="C1262">
        <v>0.49</v>
      </c>
      <c r="D1262">
        <v>0.92</v>
      </c>
      <c r="E1262">
        <v>0.88</v>
      </c>
      <c r="F1262">
        <v>0.74</v>
      </c>
      <c r="G1262">
        <v>0.81</v>
      </c>
      <c r="H1262">
        <v>0.1</v>
      </c>
      <c r="I1262">
        <v>116</v>
      </c>
      <c r="J1262">
        <v>10</v>
      </c>
      <c r="K1262">
        <v>0.75</v>
      </c>
      <c r="L1262" t="s">
        <v>13</v>
      </c>
    </row>
    <row r="1263" spans="1:12" x14ac:dyDescent="0.3">
      <c r="A1263">
        <v>3</v>
      </c>
      <c r="B1263">
        <v>2024</v>
      </c>
      <c r="C1263">
        <v>0.5</v>
      </c>
      <c r="D1263">
        <v>0.79</v>
      </c>
      <c r="E1263">
        <v>0.82</v>
      </c>
      <c r="F1263">
        <v>0.68</v>
      </c>
      <c r="G1263">
        <v>0.32</v>
      </c>
      <c r="H1263">
        <v>0.43</v>
      </c>
      <c r="I1263">
        <v>490</v>
      </c>
      <c r="J1263">
        <v>11</v>
      </c>
      <c r="K1263">
        <v>0.65</v>
      </c>
      <c r="L1263" t="s">
        <v>12</v>
      </c>
    </row>
    <row r="1264" spans="1:12" x14ac:dyDescent="0.3">
      <c r="A1264">
        <v>13</v>
      </c>
      <c r="B1264">
        <v>2024</v>
      </c>
      <c r="C1264">
        <v>0.57999999999999996</v>
      </c>
      <c r="D1264">
        <v>0.96</v>
      </c>
      <c r="E1264">
        <v>0.97</v>
      </c>
      <c r="F1264">
        <v>0.65</v>
      </c>
      <c r="G1264">
        <v>0.97</v>
      </c>
      <c r="H1264">
        <v>0.37</v>
      </c>
      <c r="I1264">
        <v>70</v>
      </c>
      <c r="J1264">
        <v>18</v>
      </c>
      <c r="K1264">
        <v>0.8</v>
      </c>
      <c r="L1264" t="s">
        <v>13</v>
      </c>
    </row>
    <row r="1265" spans="1:12" x14ac:dyDescent="0.3">
      <c r="A1265">
        <v>21</v>
      </c>
      <c r="B1265">
        <v>2023</v>
      </c>
      <c r="C1265">
        <v>0.81</v>
      </c>
      <c r="D1265">
        <v>0.9</v>
      </c>
      <c r="E1265">
        <v>0.7</v>
      </c>
      <c r="F1265">
        <v>0.78</v>
      </c>
      <c r="G1265">
        <v>0.9</v>
      </c>
      <c r="H1265">
        <v>0.78</v>
      </c>
      <c r="I1265">
        <v>105</v>
      </c>
      <c r="J1265">
        <v>10</v>
      </c>
      <c r="K1265">
        <v>0.82</v>
      </c>
      <c r="L1265" t="s">
        <v>13</v>
      </c>
    </row>
    <row r="1266" spans="1:12" x14ac:dyDescent="0.3">
      <c r="A1266">
        <v>3</v>
      </c>
      <c r="B1266">
        <v>2022</v>
      </c>
      <c r="C1266">
        <v>0.78</v>
      </c>
      <c r="D1266">
        <v>0.74</v>
      </c>
      <c r="E1266">
        <v>0.57999999999999996</v>
      </c>
      <c r="F1266">
        <v>0.72</v>
      </c>
      <c r="G1266">
        <v>0.93</v>
      </c>
      <c r="H1266">
        <v>0.69</v>
      </c>
      <c r="I1266">
        <v>59</v>
      </c>
      <c r="J1266">
        <v>5</v>
      </c>
      <c r="K1266">
        <v>0.74</v>
      </c>
      <c r="L1266" t="s">
        <v>13</v>
      </c>
    </row>
    <row r="1267" spans="1:12" x14ac:dyDescent="0.3">
      <c r="A1267">
        <v>23</v>
      </c>
      <c r="B1267">
        <v>2024</v>
      </c>
      <c r="C1267">
        <v>0.45</v>
      </c>
      <c r="D1267">
        <v>0.86</v>
      </c>
      <c r="E1267">
        <v>0.51</v>
      </c>
      <c r="F1267">
        <v>0.87</v>
      </c>
      <c r="G1267">
        <v>0.63</v>
      </c>
      <c r="H1267">
        <v>0.35</v>
      </c>
      <c r="I1267">
        <v>71</v>
      </c>
      <c r="J1267">
        <v>6</v>
      </c>
      <c r="K1267">
        <v>0.65</v>
      </c>
      <c r="L1267" t="s">
        <v>12</v>
      </c>
    </row>
    <row r="1268" spans="1:12" x14ac:dyDescent="0.3">
      <c r="A1268">
        <v>21</v>
      </c>
      <c r="B1268">
        <v>2024</v>
      </c>
      <c r="C1268">
        <v>0.82</v>
      </c>
      <c r="D1268">
        <v>0.66</v>
      </c>
      <c r="E1268">
        <v>0.62</v>
      </c>
      <c r="F1268">
        <v>0.85</v>
      </c>
      <c r="G1268">
        <v>0.42</v>
      </c>
      <c r="H1268">
        <v>0.76</v>
      </c>
      <c r="I1268">
        <v>291</v>
      </c>
      <c r="J1268">
        <v>12</v>
      </c>
      <c r="K1268">
        <v>0.7</v>
      </c>
      <c r="L1268" t="s">
        <v>12</v>
      </c>
    </row>
    <row r="1269" spans="1:12" x14ac:dyDescent="0.3">
      <c r="A1269">
        <v>68</v>
      </c>
      <c r="B1269">
        <v>2021</v>
      </c>
      <c r="C1269">
        <v>0.35</v>
      </c>
      <c r="D1269">
        <v>0.75</v>
      </c>
      <c r="E1269">
        <v>0.95</v>
      </c>
      <c r="F1269">
        <v>0.6</v>
      </c>
      <c r="G1269">
        <v>0.65</v>
      </c>
      <c r="H1269">
        <v>0.35</v>
      </c>
      <c r="I1269">
        <v>191</v>
      </c>
      <c r="J1269">
        <v>16</v>
      </c>
      <c r="K1269">
        <v>0.64</v>
      </c>
      <c r="L1269" t="s">
        <v>12</v>
      </c>
    </row>
    <row r="1270" spans="1:12" x14ac:dyDescent="0.3">
      <c r="A1270">
        <v>85</v>
      </c>
      <c r="B1270">
        <v>2023</v>
      </c>
      <c r="C1270">
        <v>0.64</v>
      </c>
      <c r="D1270">
        <v>0.45</v>
      </c>
      <c r="E1270">
        <v>0.92</v>
      </c>
      <c r="F1270">
        <v>0.89</v>
      </c>
      <c r="G1270">
        <v>0.96</v>
      </c>
      <c r="H1270">
        <v>0.69</v>
      </c>
      <c r="I1270">
        <v>283</v>
      </c>
      <c r="J1270">
        <v>9</v>
      </c>
      <c r="K1270">
        <v>0.72</v>
      </c>
      <c r="L1270" t="s">
        <v>13</v>
      </c>
    </row>
    <row r="1271" spans="1:12" x14ac:dyDescent="0.3">
      <c r="A1271">
        <v>95</v>
      </c>
      <c r="B1271">
        <v>2023</v>
      </c>
      <c r="C1271">
        <v>0.98</v>
      </c>
      <c r="D1271">
        <v>0.79</v>
      </c>
      <c r="E1271">
        <v>0.52</v>
      </c>
      <c r="F1271">
        <v>0.89</v>
      </c>
      <c r="G1271">
        <v>0.93</v>
      </c>
      <c r="H1271">
        <v>0.8</v>
      </c>
      <c r="I1271">
        <v>295</v>
      </c>
      <c r="J1271">
        <v>7</v>
      </c>
      <c r="K1271">
        <v>0.82</v>
      </c>
      <c r="L1271" t="s">
        <v>13</v>
      </c>
    </row>
    <row r="1272" spans="1:12" x14ac:dyDescent="0.3">
      <c r="A1272">
        <v>24</v>
      </c>
      <c r="B1272">
        <v>2023</v>
      </c>
      <c r="C1272">
        <v>0.36</v>
      </c>
      <c r="D1272">
        <v>0.8</v>
      </c>
      <c r="E1272">
        <v>0.64</v>
      </c>
      <c r="F1272">
        <v>0.86</v>
      </c>
      <c r="G1272">
        <v>0.73</v>
      </c>
      <c r="H1272">
        <v>0.15</v>
      </c>
      <c r="I1272">
        <v>353</v>
      </c>
      <c r="J1272">
        <v>3</v>
      </c>
      <c r="K1272">
        <v>0.64</v>
      </c>
      <c r="L1272" t="s">
        <v>12</v>
      </c>
    </row>
    <row r="1273" spans="1:12" x14ac:dyDescent="0.3">
      <c r="A1273">
        <v>37</v>
      </c>
      <c r="B1273">
        <v>2021</v>
      </c>
      <c r="C1273">
        <v>0.43</v>
      </c>
      <c r="D1273">
        <v>0.74</v>
      </c>
      <c r="E1273">
        <v>0.87</v>
      </c>
      <c r="F1273">
        <v>0.91</v>
      </c>
      <c r="G1273">
        <v>0.51</v>
      </c>
      <c r="H1273">
        <v>0.51</v>
      </c>
      <c r="I1273">
        <v>461</v>
      </c>
      <c r="J1273">
        <v>12</v>
      </c>
      <c r="K1273">
        <v>0.68</v>
      </c>
      <c r="L1273" t="s">
        <v>12</v>
      </c>
    </row>
    <row r="1274" spans="1:12" x14ac:dyDescent="0.3">
      <c r="A1274">
        <v>5</v>
      </c>
      <c r="B1274">
        <v>2021</v>
      </c>
      <c r="C1274">
        <v>0.83</v>
      </c>
      <c r="D1274">
        <v>0.94</v>
      </c>
      <c r="E1274">
        <v>0.96</v>
      </c>
      <c r="F1274">
        <v>0.91</v>
      </c>
      <c r="G1274">
        <v>0.46</v>
      </c>
      <c r="H1274">
        <v>0.02</v>
      </c>
      <c r="I1274">
        <v>65</v>
      </c>
      <c r="J1274">
        <v>11</v>
      </c>
      <c r="K1274">
        <v>0.86</v>
      </c>
      <c r="L1274" t="s">
        <v>13</v>
      </c>
    </row>
    <row r="1275" spans="1:12" x14ac:dyDescent="0.3">
      <c r="A1275">
        <v>20</v>
      </c>
      <c r="B1275">
        <v>2022</v>
      </c>
      <c r="C1275">
        <v>0.76</v>
      </c>
      <c r="D1275">
        <v>0.43</v>
      </c>
      <c r="E1275">
        <v>0.92</v>
      </c>
      <c r="F1275">
        <v>0.7</v>
      </c>
      <c r="G1275">
        <v>0.6</v>
      </c>
      <c r="H1275">
        <v>0.67</v>
      </c>
      <c r="I1275">
        <v>473</v>
      </c>
      <c r="J1275">
        <v>2</v>
      </c>
      <c r="K1275">
        <v>0.68</v>
      </c>
      <c r="L1275" t="s">
        <v>12</v>
      </c>
    </row>
    <row r="1276" spans="1:12" x14ac:dyDescent="0.3">
      <c r="A1276">
        <v>17</v>
      </c>
      <c r="B1276">
        <v>2025</v>
      </c>
      <c r="C1276">
        <v>0.57999999999999996</v>
      </c>
      <c r="D1276">
        <v>0.86</v>
      </c>
      <c r="E1276">
        <v>0.96</v>
      </c>
      <c r="F1276">
        <v>0.77</v>
      </c>
      <c r="G1276">
        <v>0.6</v>
      </c>
      <c r="H1276">
        <v>0.7</v>
      </c>
      <c r="I1276">
        <v>452</v>
      </c>
      <c r="J1276">
        <v>5</v>
      </c>
      <c r="K1276">
        <v>0.76</v>
      </c>
      <c r="L1276" t="s">
        <v>13</v>
      </c>
    </row>
    <row r="1277" spans="1:12" x14ac:dyDescent="0.3">
      <c r="A1277">
        <v>29</v>
      </c>
      <c r="B1277">
        <v>2022</v>
      </c>
      <c r="C1277">
        <v>0.51</v>
      </c>
      <c r="D1277">
        <v>0.79</v>
      </c>
      <c r="E1277">
        <v>0.92</v>
      </c>
      <c r="F1277">
        <v>0.82</v>
      </c>
      <c r="G1277">
        <v>0.32</v>
      </c>
      <c r="H1277">
        <v>0.46</v>
      </c>
      <c r="I1277">
        <v>433</v>
      </c>
      <c r="J1277">
        <v>10</v>
      </c>
      <c r="K1277">
        <v>0.69</v>
      </c>
      <c r="L1277" t="s">
        <v>12</v>
      </c>
    </row>
    <row r="1278" spans="1:12" x14ac:dyDescent="0.3">
      <c r="A1278">
        <v>86</v>
      </c>
      <c r="B1278">
        <v>2022</v>
      </c>
      <c r="C1278">
        <v>0.77</v>
      </c>
      <c r="D1278">
        <v>0.41</v>
      </c>
      <c r="E1278">
        <v>0.75</v>
      </c>
      <c r="F1278">
        <v>0.84</v>
      </c>
      <c r="G1278">
        <v>0.54</v>
      </c>
      <c r="H1278">
        <v>0.67</v>
      </c>
      <c r="I1278">
        <v>254</v>
      </c>
      <c r="J1278">
        <v>5</v>
      </c>
      <c r="K1278">
        <v>0.66</v>
      </c>
      <c r="L1278" t="s">
        <v>12</v>
      </c>
    </row>
    <row r="1279" spans="1:12" x14ac:dyDescent="0.3">
      <c r="A1279">
        <v>43</v>
      </c>
      <c r="B1279">
        <v>2025</v>
      </c>
      <c r="C1279">
        <v>0.55000000000000004</v>
      </c>
      <c r="D1279">
        <v>0.62</v>
      </c>
      <c r="E1279">
        <v>0.93</v>
      </c>
      <c r="F1279">
        <v>0.82</v>
      </c>
      <c r="G1279">
        <v>0.8</v>
      </c>
      <c r="H1279">
        <v>0.9</v>
      </c>
      <c r="I1279">
        <v>297</v>
      </c>
      <c r="J1279">
        <v>6</v>
      </c>
      <c r="K1279">
        <v>0.71</v>
      </c>
      <c r="L1279" t="s">
        <v>13</v>
      </c>
    </row>
    <row r="1280" spans="1:12" x14ac:dyDescent="0.3">
      <c r="A1280">
        <v>71</v>
      </c>
      <c r="B1280">
        <v>2025</v>
      </c>
      <c r="C1280">
        <v>0.32</v>
      </c>
      <c r="D1280">
        <v>0.63</v>
      </c>
      <c r="E1280">
        <v>0.95</v>
      </c>
      <c r="F1280">
        <v>0.71</v>
      </c>
      <c r="G1280">
        <v>0.49</v>
      </c>
      <c r="H1280">
        <v>0.3</v>
      </c>
      <c r="I1280">
        <v>364</v>
      </c>
      <c r="J1280">
        <v>14</v>
      </c>
      <c r="K1280">
        <v>0.6</v>
      </c>
      <c r="L1280" t="s">
        <v>12</v>
      </c>
    </row>
    <row r="1281" spans="1:12" x14ac:dyDescent="0.3">
      <c r="A1281">
        <v>36</v>
      </c>
      <c r="B1281">
        <v>2024</v>
      </c>
      <c r="C1281">
        <v>0.77</v>
      </c>
      <c r="D1281">
        <v>0.52</v>
      </c>
      <c r="E1281">
        <v>0.97</v>
      </c>
      <c r="F1281">
        <v>0.71</v>
      </c>
      <c r="G1281">
        <v>0.4</v>
      </c>
      <c r="H1281">
        <v>0.09</v>
      </c>
      <c r="I1281">
        <v>221</v>
      </c>
      <c r="J1281">
        <v>6</v>
      </c>
      <c r="K1281">
        <v>0.7</v>
      </c>
      <c r="L1281" t="s">
        <v>12</v>
      </c>
    </row>
    <row r="1282" spans="1:12" x14ac:dyDescent="0.3">
      <c r="A1282">
        <v>27</v>
      </c>
      <c r="B1282">
        <v>2025</v>
      </c>
      <c r="C1282">
        <v>0.61</v>
      </c>
      <c r="D1282">
        <v>0.43</v>
      </c>
      <c r="E1282">
        <v>0.62</v>
      </c>
      <c r="F1282">
        <v>0.91</v>
      </c>
      <c r="G1282">
        <v>0.35</v>
      </c>
      <c r="H1282">
        <v>0.15</v>
      </c>
      <c r="I1282">
        <v>351</v>
      </c>
      <c r="J1282">
        <v>19</v>
      </c>
      <c r="K1282">
        <v>0.59</v>
      </c>
      <c r="L1282" t="s">
        <v>12</v>
      </c>
    </row>
    <row r="1283" spans="1:12" x14ac:dyDescent="0.3">
      <c r="A1283">
        <v>96</v>
      </c>
      <c r="B1283">
        <v>2025</v>
      </c>
      <c r="C1283">
        <v>0.92</v>
      </c>
      <c r="D1283">
        <v>0.52</v>
      </c>
      <c r="E1283">
        <v>0.97</v>
      </c>
      <c r="F1283">
        <v>0.74</v>
      </c>
      <c r="G1283">
        <v>0.61</v>
      </c>
      <c r="H1283">
        <v>0.71</v>
      </c>
      <c r="I1283">
        <v>199</v>
      </c>
      <c r="J1283">
        <v>1</v>
      </c>
      <c r="K1283">
        <v>0.77</v>
      </c>
      <c r="L1283" t="s">
        <v>13</v>
      </c>
    </row>
    <row r="1284" spans="1:12" x14ac:dyDescent="0.3">
      <c r="A1284">
        <v>43</v>
      </c>
      <c r="B1284">
        <v>2022</v>
      </c>
      <c r="C1284">
        <v>0.33</v>
      </c>
      <c r="D1284">
        <v>0.41</v>
      </c>
      <c r="E1284">
        <v>0.73</v>
      </c>
      <c r="F1284">
        <v>0.65</v>
      </c>
      <c r="G1284">
        <v>0.77</v>
      </c>
      <c r="H1284">
        <v>0.21</v>
      </c>
      <c r="I1284">
        <v>181</v>
      </c>
      <c r="J1284">
        <v>13</v>
      </c>
      <c r="K1284">
        <v>0.52</v>
      </c>
      <c r="L1284" t="s">
        <v>12</v>
      </c>
    </row>
    <row r="1285" spans="1:12" x14ac:dyDescent="0.3">
      <c r="A1285">
        <v>32</v>
      </c>
      <c r="B1285">
        <v>2024</v>
      </c>
      <c r="C1285">
        <v>0.68</v>
      </c>
      <c r="D1285">
        <v>0.47</v>
      </c>
      <c r="E1285">
        <v>0.51</v>
      </c>
      <c r="F1285">
        <v>0.62</v>
      </c>
      <c r="G1285">
        <v>0.97</v>
      </c>
      <c r="H1285">
        <v>0.14000000000000001</v>
      </c>
      <c r="I1285">
        <v>240</v>
      </c>
      <c r="J1285">
        <v>13</v>
      </c>
      <c r="K1285">
        <v>0.61</v>
      </c>
      <c r="L1285" t="s">
        <v>12</v>
      </c>
    </row>
    <row r="1286" spans="1:12" x14ac:dyDescent="0.3">
      <c r="A1286">
        <v>21</v>
      </c>
      <c r="B1286">
        <v>2025</v>
      </c>
      <c r="C1286">
        <v>0.63</v>
      </c>
      <c r="D1286">
        <v>0.97</v>
      </c>
      <c r="E1286">
        <v>0.97</v>
      </c>
      <c r="F1286">
        <v>0.91</v>
      </c>
      <c r="G1286">
        <v>0.72</v>
      </c>
      <c r="H1286">
        <v>0.45</v>
      </c>
      <c r="I1286">
        <v>102</v>
      </c>
      <c r="J1286">
        <v>16</v>
      </c>
      <c r="K1286">
        <v>0.83</v>
      </c>
      <c r="L1286" t="s">
        <v>13</v>
      </c>
    </row>
    <row r="1287" spans="1:12" x14ac:dyDescent="0.3">
      <c r="A1287">
        <v>66</v>
      </c>
      <c r="B1287">
        <v>2021</v>
      </c>
      <c r="C1287">
        <v>0.71</v>
      </c>
      <c r="D1287">
        <v>0.54</v>
      </c>
      <c r="E1287">
        <v>0.52</v>
      </c>
      <c r="F1287">
        <v>0.98</v>
      </c>
      <c r="G1287">
        <v>0.52</v>
      </c>
      <c r="H1287">
        <v>0.44</v>
      </c>
      <c r="I1287">
        <v>308</v>
      </c>
      <c r="J1287">
        <v>16</v>
      </c>
      <c r="K1287">
        <v>0.65</v>
      </c>
      <c r="L1287" t="s">
        <v>12</v>
      </c>
    </row>
    <row r="1288" spans="1:12" x14ac:dyDescent="0.3">
      <c r="A1288">
        <v>78</v>
      </c>
      <c r="B1288">
        <v>2023</v>
      </c>
      <c r="C1288">
        <v>0.48</v>
      </c>
      <c r="D1288">
        <v>0.81</v>
      </c>
      <c r="E1288">
        <v>0.96</v>
      </c>
      <c r="F1288">
        <v>0.74</v>
      </c>
      <c r="G1288">
        <v>0.65</v>
      </c>
      <c r="H1288">
        <v>0.46</v>
      </c>
      <c r="I1288">
        <v>467</v>
      </c>
      <c r="J1288">
        <v>17</v>
      </c>
      <c r="K1288">
        <v>0.71</v>
      </c>
      <c r="L1288" t="s">
        <v>13</v>
      </c>
    </row>
    <row r="1289" spans="1:12" x14ac:dyDescent="0.3">
      <c r="A1289">
        <v>95</v>
      </c>
      <c r="B1289">
        <v>2023</v>
      </c>
      <c r="C1289">
        <v>0.57999999999999996</v>
      </c>
      <c r="D1289">
        <v>0.64</v>
      </c>
      <c r="E1289">
        <v>0.57999999999999996</v>
      </c>
      <c r="F1289">
        <v>0.75</v>
      </c>
      <c r="G1289">
        <v>0.91</v>
      </c>
      <c r="H1289">
        <v>0.36</v>
      </c>
      <c r="I1289">
        <v>178</v>
      </c>
      <c r="J1289">
        <v>2</v>
      </c>
      <c r="K1289">
        <v>0.65</v>
      </c>
      <c r="L1289" t="s">
        <v>12</v>
      </c>
    </row>
    <row r="1290" spans="1:12" x14ac:dyDescent="0.3">
      <c r="A1290">
        <v>12</v>
      </c>
      <c r="B1290">
        <v>2021</v>
      </c>
      <c r="C1290">
        <v>0.42</v>
      </c>
      <c r="D1290">
        <v>0.92</v>
      </c>
      <c r="E1290">
        <v>0.7</v>
      </c>
      <c r="F1290">
        <v>0.6</v>
      </c>
      <c r="G1290">
        <v>0.49</v>
      </c>
      <c r="H1290">
        <v>0.6</v>
      </c>
      <c r="I1290">
        <v>493</v>
      </c>
      <c r="J1290">
        <v>14</v>
      </c>
      <c r="K1290">
        <v>0.64</v>
      </c>
      <c r="L1290" t="s">
        <v>12</v>
      </c>
    </row>
    <row r="1291" spans="1:12" x14ac:dyDescent="0.3">
      <c r="A1291">
        <v>91</v>
      </c>
      <c r="B1291">
        <v>2022</v>
      </c>
      <c r="C1291">
        <v>0.84</v>
      </c>
      <c r="D1291">
        <v>0.66</v>
      </c>
      <c r="E1291">
        <v>0.88</v>
      </c>
      <c r="F1291">
        <v>0.75</v>
      </c>
      <c r="G1291">
        <v>0.47</v>
      </c>
      <c r="H1291">
        <v>0.73</v>
      </c>
      <c r="I1291">
        <v>210</v>
      </c>
      <c r="J1291">
        <v>13</v>
      </c>
      <c r="K1291">
        <v>0.75</v>
      </c>
      <c r="L1291" t="s">
        <v>13</v>
      </c>
    </row>
    <row r="1292" spans="1:12" x14ac:dyDescent="0.3">
      <c r="A1292">
        <v>48</v>
      </c>
      <c r="B1292">
        <v>2021</v>
      </c>
      <c r="C1292">
        <v>0.54</v>
      </c>
      <c r="D1292">
        <v>0.95</v>
      </c>
      <c r="E1292">
        <v>0.97</v>
      </c>
      <c r="F1292">
        <v>0.7</v>
      </c>
      <c r="G1292">
        <v>0.86</v>
      </c>
      <c r="H1292">
        <v>0.43</v>
      </c>
      <c r="I1292">
        <v>189</v>
      </c>
      <c r="J1292">
        <v>19</v>
      </c>
      <c r="K1292">
        <v>0.78</v>
      </c>
      <c r="L1292" t="s">
        <v>13</v>
      </c>
    </row>
    <row r="1293" spans="1:12" x14ac:dyDescent="0.3">
      <c r="A1293">
        <v>49</v>
      </c>
      <c r="B1293">
        <v>2023</v>
      </c>
      <c r="C1293">
        <v>0.63</v>
      </c>
      <c r="D1293">
        <v>0.54</v>
      </c>
      <c r="E1293">
        <v>0.6</v>
      </c>
      <c r="F1293">
        <v>0.77</v>
      </c>
      <c r="G1293">
        <v>0.83</v>
      </c>
      <c r="H1293">
        <v>0.61</v>
      </c>
      <c r="I1293">
        <v>132</v>
      </c>
      <c r="J1293">
        <v>0</v>
      </c>
      <c r="K1293">
        <v>0.64</v>
      </c>
      <c r="L1293" t="s">
        <v>12</v>
      </c>
    </row>
    <row r="1294" spans="1:12" x14ac:dyDescent="0.3">
      <c r="A1294">
        <v>88</v>
      </c>
      <c r="B1294">
        <v>2025</v>
      </c>
      <c r="C1294">
        <v>0.33</v>
      </c>
      <c r="D1294">
        <v>0.89</v>
      </c>
      <c r="E1294">
        <v>0.99</v>
      </c>
      <c r="F1294">
        <v>0.76</v>
      </c>
      <c r="G1294">
        <v>0.31</v>
      </c>
      <c r="H1294">
        <v>0.17</v>
      </c>
      <c r="I1294">
        <v>144</v>
      </c>
      <c r="J1294">
        <v>12</v>
      </c>
      <c r="K1294">
        <v>0.66</v>
      </c>
      <c r="L1294" t="s">
        <v>12</v>
      </c>
    </row>
    <row r="1295" spans="1:12" x14ac:dyDescent="0.3">
      <c r="A1295">
        <v>22</v>
      </c>
      <c r="B1295">
        <v>2024</v>
      </c>
      <c r="C1295">
        <v>0.39</v>
      </c>
      <c r="D1295">
        <v>0.84</v>
      </c>
      <c r="E1295">
        <v>0.63</v>
      </c>
      <c r="F1295">
        <v>0.78</v>
      </c>
      <c r="G1295">
        <v>0.92</v>
      </c>
      <c r="H1295">
        <v>0.97</v>
      </c>
      <c r="I1295">
        <v>67</v>
      </c>
      <c r="J1295">
        <v>8</v>
      </c>
      <c r="K1295">
        <v>0.66</v>
      </c>
      <c r="L1295" t="s">
        <v>12</v>
      </c>
    </row>
    <row r="1296" spans="1:12" x14ac:dyDescent="0.3">
      <c r="A1296">
        <v>70</v>
      </c>
      <c r="B1296">
        <v>2023</v>
      </c>
      <c r="C1296">
        <v>0.89</v>
      </c>
      <c r="D1296">
        <v>0.75</v>
      </c>
      <c r="E1296">
        <v>0.6</v>
      </c>
      <c r="F1296">
        <v>0.83</v>
      </c>
      <c r="G1296">
        <v>0.65</v>
      </c>
      <c r="H1296">
        <v>0.4</v>
      </c>
      <c r="I1296">
        <v>495</v>
      </c>
      <c r="J1296">
        <v>3</v>
      </c>
      <c r="K1296">
        <v>0.76</v>
      </c>
      <c r="L1296" t="s">
        <v>13</v>
      </c>
    </row>
    <row r="1297" spans="1:12" x14ac:dyDescent="0.3">
      <c r="A1297">
        <v>24</v>
      </c>
      <c r="B1297">
        <v>2021</v>
      </c>
      <c r="C1297">
        <v>0.77</v>
      </c>
      <c r="D1297">
        <v>0.45</v>
      </c>
      <c r="E1297">
        <v>0.84</v>
      </c>
      <c r="F1297">
        <v>0.83</v>
      </c>
      <c r="G1297">
        <v>0.72</v>
      </c>
      <c r="H1297">
        <v>0.28999999999999998</v>
      </c>
      <c r="I1297">
        <v>308</v>
      </c>
      <c r="J1297">
        <v>14</v>
      </c>
      <c r="K1297">
        <v>0.71</v>
      </c>
      <c r="L1297" t="s">
        <v>13</v>
      </c>
    </row>
    <row r="1298" spans="1:12" x14ac:dyDescent="0.3">
      <c r="A1298">
        <v>85</v>
      </c>
      <c r="B1298">
        <v>2022</v>
      </c>
      <c r="C1298">
        <v>0.48</v>
      </c>
      <c r="D1298">
        <v>0.67</v>
      </c>
      <c r="E1298">
        <v>0.85</v>
      </c>
      <c r="F1298">
        <v>0.63</v>
      </c>
      <c r="G1298">
        <v>0.72</v>
      </c>
      <c r="H1298">
        <v>0.59</v>
      </c>
      <c r="I1298">
        <v>300</v>
      </c>
      <c r="J1298">
        <v>3</v>
      </c>
      <c r="K1298">
        <v>0.65</v>
      </c>
      <c r="L1298" t="s">
        <v>12</v>
      </c>
    </row>
    <row r="1299" spans="1:12" x14ac:dyDescent="0.3">
      <c r="A1299">
        <v>29</v>
      </c>
      <c r="B1299">
        <v>2025</v>
      </c>
      <c r="C1299">
        <v>0.61</v>
      </c>
      <c r="D1299">
        <v>0.6</v>
      </c>
      <c r="E1299">
        <v>0.9</v>
      </c>
      <c r="F1299">
        <v>0.65</v>
      </c>
      <c r="G1299">
        <v>0.97</v>
      </c>
      <c r="H1299">
        <v>0.63</v>
      </c>
      <c r="I1299">
        <v>497</v>
      </c>
      <c r="J1299">
        <v>14</v>
      </c>
      <c r="K1299">
        <v>0.71</v>
      </c>
      <c r="L1299" t="s">
        <v>13</v>
      </c>
    </row>
    <row r="1300" spans="1:12" x14ac:dyDescent="0.3">
      <c r="A1300">
        <v>63</v>
      </c>
      <c r="B1300">
        <v>2022</v>
      </c>
      <c r="C1300">
        <v>0.53</v>
      </c>
      <c r="D1300">
        <v>0.94</v>
      </c>
      <c r="E1300">
        <v>0.55000000000000004</v>
      </c>
      <c r="F1300">
        <v>0.65</v>
      </c>
      <c r="G1300">
        <v>0.51</v>
      </c>
      <c r="H1300">
        <v>0.96</v>
      </c>
      <c r="I1300">
        <v>258</v>
      </c>
      <c r="J1300">
        <v>2</v>
      </c>
      <c r="K1300">
        <v>0.65</v>
      </c>
      <c r="L1300" t="s">
        <v>12</v>
      </c>
    </row>
    <row r="1301" spans="1:12" x14ac:dyDescent="0.3">
      <c r="A1301">
        <v>71</v>
      </c>
      <c r="B1301">
        <v>2021</v>
      </c>
      <c r="C1301">
        <v>0.83</v>
      </c>
      <c r="D1301">
        <v>0.64</v>
      </c>
      <c r="E1301">
        <v>0.91</v>
      </c>
      <c r="F1301">
        <v>0.71</v>
      </c>
      <c r="G1301">
        <v>0.49</v>
      </c>
      <c r="H1301">
        <v>0.52</v>
      </c>
      <c r="I1301">
        <v>293</v>
      </c>
      <c r="J1301">
        <v>7</v>
      </c>
      <c r="K1301">
        <v>0.75</v>
      </c>
      <c r="L1301" t="s">
        <v>13</v>
      </c>
    </row>
    <row r="1302" spans="1:12" x14ac:dyDescent="0.3">
      <c r="A1302">
        <v>14</v>
      </c>
      <c r="B1302">
        <v>2024</v>
      </c>
      <c r="C1302">
        <v>0.56000000000000005</v>
      </c>
      <c r="D1302">
        <v>0.54</v>
      </c>
      <c r="E1302">
        <v>0.73</v>
      </c>
      <c r="F1302">
        <v>0.82</v>
      </c>
      <c r="G1302">
        <v>0.4</v>
      </c>
      <c r="H1302">
        <v>0.56000000000000005</v>
      </c>
      <c r="I1302">
        <v>241</v>
      </c>
      <c r="J1302">
        <v>8</v>
      </c>
      <c r="K1302">
        <v>0.61</v>
      </c>
      <c r="L1302" t="s">
        <v>12</v>
      </c>
    </row>
    <row r="1303" spans="1:12" x14ac:dyDescent="0.3">
      <c r="A1303">
        <v>28</v>
      </c>
      <c r="B1303">
        <v>2022</v>
      </c>
      <c r="C1303">
        <v>0.95</v>
      </c>
      <c r="D1303">
        <v>0.81</v>
      </c>
      <c r="E1303">
        <v>0.63</v>
      </c>
      <c r="F1303">
        <v>0.86</v>
      </c>
      <c r="G1303">
        <v>0.89</v>
      </c>
      <c r="H1303">
        <v>0.4</v>
      </c>
      <c r="I1303">
        <v>165</v>
      </c>
      <c r="J1303">
        <v>2</v>
      </c>
      <c r="K1303">
        <v>0.83</v>
      </c>
      <c r="L1303" t="s">
        <v>13</v>
      </c>
    </row>
    <row r="1304" spans="1:12" x14ac:dyDescent="0.3">
      <c r="A1304">
        <v>92</v>
      </c>
      <c r="B1304">
        <v>2025</v>
      </c>
      <c r="C1304">
        <v>0.88</v>
      </c>
      <c r="D1304">
        <v>0.72</v>
      </c>
      <c r="E1304">
        <v>0.61</v>
      </c>
      <c r="F1304">
        <v>0.76</v>
      </c>
      <c r="G1304">
        <v>0.99</v>
      </c>
      <c r="H1304">
        <v>0.78</v>
      </c>
      <c r="I1304">
        <v>62</v>
      </c>
      <c r="J1304">
        <v>16</v>
      </c>
      <c r="K1304">
        <v>0.78</v>
      </c>
      <c r="L1304" t="s">
        <v>13</v>
      </c>
    </row>
    <row r="1305" spans="1:12" x14ac:dyDescent="0.3">
      <c r="A1305">
        <v>15</v>
      </c>
      <c r="B1305">
        <v>2024</v>
      </c>
      <c r="C1305">
        <v>0.56999999999999995</v>
      </c>
      <c r="D1305">
        <v>0.73</v>
      </c>
      <c r="E1305">
        <v>0.79</v>
      </c>
      <c r="F1305">
        <v>0.67</v>
      </c>
      <c r="G1305">
        <v>0.57999999999999996</v>
      </c>
      <c r="H1305">
        <v>0.34</v>
      </c>
      <c r="I1305">
        <v>443</v>
      </c>
      <c r="J1305">
        <v>12</v>
      </c>
      <c r="K1305">
        <v>0.67</v>
      </c>
      <c r="L1305" t="s">
        <v>12</v>
      </c>
    </row>
    <row r="1306" spans="1:12" x14ac:dyDescent="0.3">
      <c r="A1306">
        <v>84</v>
      </c>
      <c r="B1306">
        <v>2025</v>
      </c>
      <c r="C1306">
        <v>0.81</v>
      </c>
      <c r="D1306">
        <v>0.81</v>
      </c>
      <c r="E1306">
        <v>0.98</v>
      </c>
      <c r="F1306">
        <v>0.92</v>
      </c>
      <c r="G1306">
        <v>0.4</v>
      </c>
      <c r="H1306">
        <v>0.35</v>
      </c>
      <c r="I1306">
        <v>79</v>
      </c>
      <c r="J1306">
        <v>18</v>
      </c>
      <c r="K1306">
        <v>0.82</v>
      </c>
      <c r="L1306" t="s">
        <v>13</v>
      </c>
    </row>
    <row r="1307" spans="1:12" x14ac:dyDescent="0.3">
      <c r="A1307">
        <v>33</v>
      </c>
      <c r="B1307">
        <v>2022</v>
      </c>
      <c r="C1307">
        <v>0.49</v>
      </c>
      <c r="D1307">
        <v>1</v>
      </c>
      <c r="E1307">
        <v>0.65</v>
      </c>
      <c r="F1307">
        <v>0.95</v>
      </c>
      <c r="G1307">
        <v>0.77</v>
      </c>
      <c r="H1307">
        <v>0.34</v>
      </c>
      <c r="I1307">
        <v>487</v>
      </c>
      <c r="J1307">
        <v>13</v>
      </c>
      <c r="K1307">
        <v>0.75</v>
      </c>
      <c r="L1307" t="s">
        <v>13</v>
      </c>
    </row>
    <row r="1308" spans="1:12" x14ac:dyDescent="0.3">
      <c r="A1308">
        <v>54</v>
      </c>
      <c r="B1308">
        <v>2021</v>
      </c>
      <c r="C1308">
        <v>0.64</v>
      </c>
      <c r="D1308">
        <v>0.7</v>
      </c>
      <c r="E1308">
        <v>0.81</v>
      </c>
      <c r="F1308">
        <v>0.6</v>
      </c>
      <c r="G1308">
        <v>0.95</v>
      </c>
      <c r="H1308">
        <v>0.36</v>
      </c>
      <c r="I1308">
        <v>462</v>
      </c>
      <c r="J1308">
        <v>19</v>
      </c>
      <c r="K1308">
        <v>0.71</v>
      </c>
      <c r="L1308" t="s">
        <v>13</v>
      </c>
    </row>
    <row r="1309" spans="1:12" x14ac:dyDescent="0.3">
      <c r="A1309">
        <v>67</v>
      </c>
      <c r="B1309">
        <v>2024</v>
      </c>
      <c r="C1309">
        <v>0.86</v>
      </c>
      <c r="D1309">
        <v>0.96</v>
      </c>
      <c r="E1309">
        <v>0.7</v>
      </c>
      <c r="F1309">
        <v>0.88</v>
      </c>
      <c r="G1309">
        <v>0.66</v>
      </c>
      <c r="H1309">
        <v>0.8</v>
      </c>
      <c r="I1309">
        <v>355</v>
      </c>
      <c r="J1309">
        <v>0</v>
      </c>
      <c r="K1309">
        <v>0.84</v>
      </c>
      <c r="L1309" t="s">
        <v>13</v>
      </c>
    </row>
    <row r="1310" spans="1:12" x14ac:dyDescent="0.3">
      <c r="A1310">
        <v>82</v>
      </c>
      <c r="B1310">
        <v>2022</v>
      </c>
      <c r="C1310">
        <v>0.54</v>
      </c>
      <c r="D1310">
        <v>0.55000000000000004</v>
      </c>
      <c r="E1310">
        <v>0.79</v>
      </c>
      <c r="F1310">
        <v>0.99</v>
      </c>
      <c r="G1310">
        <v>0.44</v>
      </c>
      <c r="H1310">
        <v>0.1</v>
      </c>
      <c r="I1310">
        <v>119</v>
      </c>
      <c r="J1310">
        <v>7</v>
      </c>
      <c r="K1310">
        <v>0.65</v>
      </c>
      <c r="L1310" t="s">
        <v>12</v>
      </c>
    </row>
    <row r="1311" spans="1:12" x14ac:dyDescent="0.3">
      <c r="A1311">
        <v>45</v>
      </c>
      <c r="B1311">
        <v>2022</v>
      </c>
      <c r="C1311">
        <v>0.55000000000000004</v>
      </c>
      <c r="D1311">
        <v>0.53</v>
      </c>
      <c r="E1311">
        <v>0.68</v>
      </c>
      <c r="F1311">
        <v>0.86</v>
      </c>
      <c r="G1311">
        <v>0.68</v>
      </c>
      <c r="H1311">
        <v>0.74</v>
      </c>
      <c r="I1311">
        <v>104</v>
      </c>
      <c r="J1311">
        <v>3</v>
      </c>
      <c r="K1311">
        <v>0.63</v>
      </c>
      <c r="L1311" t="s">
        <v>12</v>
      </c>
    </row>
    <row r="1312" spans="1:12" x14ac:dyDescent="0.3">
      <c r="A1312">
        <v>71</v>
      </c>
      <c r="B1312">
        <v>2022</v>
      </c>
      <c r="C1312">
        <v>0.35</v>
      </c>
      <c r="D1312">
        <v>0.68</v>
      </c>
      <c r="E1312">
        <v>0.65</v>
      </c>
      <c r="F1312">
        <v>0.85</v>
      </c>
      <c r="G1312">
        <v>0.33</v>
      </c>
      <c r="H1312">
        <v>0.12</v>
      </c>
      <c r="I1312">
        <v>331</v>
      </c>
      <c r="J1312">
        <v>16</v>
      </c>
      <c r="K1312">
        <v>0.56999999999999995</v>
      </c>
      <c r="L1312" t="s">
        <v>12</v>
      </c>
    </row>
    <row r="1313" spans="1:12" x14ac:dyDescent="0.3">
      <c r="A1313">
        <v>55</v>
      </c>
      <c r="B1313">
        <v>2021</v>
      </c>
      <c r="C1313">
        <v>0.87</v>
      </c>
      <c r="D1313">
        <v>0.81</v>
      </c>
      <c r="E1313">
        <v>0.8</v>
      </c>
      <c r="F1313">
        <v>0.83</v>
      </c>
      <c r="G1313">
        <v>0.9</v>
      </c>
      <c r="H1313">
        <v>0.82</v>
      </c>
      <c r="I1313">
        <v>121</v>
      </c>
      <c r="J1313">
        <v>14</v>
      </c>
      <c r="K1313">
        <v>0.84</v>
      </c>
      <c r="L1313" t="s">
        <v>13</v>
      </c>
    </row>
    <row r="1314" spans="1:12" x14ac:dyDescent="0.3">
      <c r="A1314">
        <v>21</v>
      </c>
      <c r="B1314">
        <v>2021</v>
      </c>
      <c r="C1314">
        <v>0.54</v>
      </c>
      <c r="D1314">
        <v>0.47</v>
      </c>
      <c r="E1314">
        <v>0.54</v>
      </c>
      <c r="F1314">
        <v>0.62</v>
      </c>
      <c r="G1314">
        <v>0.38</v>
      </c>
      <c r="H1314">
        <v>0.34</v>
      </c>
      <c r="I1314">
        <v>434</v>
      </c>
      <c r="J1314">
        <v>11</v>
      </c>
      <c r="K1314">
        <v>0.52</v>
      </c>
      <c r="L1314" t="s">
        <v>12</v>
      </c>
    </row>
    <row r="1315" spans="1:12" x14ac:dyDescent="0.3">
      <c r="A1315">
        <v>55</v>
      </c>
      <c r="B1315">
        <v>2025</v>
      </c>
      <c r="C1315">
        <v>0.87</v>
      </c>
      <c r="D1315">
        <v>0.71</v>
      </c>
      <c r="E1315">
        <v>0.86</v>
      </c>
      <c r="F1315">
        <v>0.75</v>
      </c>
      <c r="G1315">
        <v>0.33</v>
      </c>
      <c r="H1315">
        <v>0.9</v>
      </c>
      <c r="I1315">
        <v>299</v>
      </c>
      <c r="J1315">
        <v>17</v>
      </c>
      <c r="K1315">
        <v>0.76</v>
      </c>
      <c r="L1315" t="s">
        <v>13</v>
      </c>
    </row>
    <row r="1316" spans="1:12" x14ac:dyDescent="0.3">
      <c r="A1316">
        <v>62</v>
      </c>
      <c r="B1316">
        <v>2024</v>
      </c>
      <c r="C1316">
        <v>0.51</v>
      </c>
      <c r="D1316">
        <v>0.7</v>
      </c>
      <c r="E1316">
        <v>0.75</v>
      </c>
      <c r="F1316">
        <v>0.61</v>
      </c>
      <c r="G1316">
        <v>0.55000000000000004</v>
      </c>
      <c r="H1316">
        <v>0.74</v>
      </c>
      <c r="I1316">
        <v>291</v>
      </c>
      <c r="J1316">
        <v>14</v>
      </c>
      <c r="K1316">
        <v>0.62</v>
      </c>
      <c r="L1316" t="s">
        <v>12</v>
      </c>
    </row>
    <row r="1317" spans="1:12" x14ac:dyDescent="0.3">
      <c r="A1317">
        <v>52</v>
      </c>
      <c r="B1317">
        <v>2025</v>
      </c>
      <c r="C1317">
        <v>0.85</v>
      </c>
      <c r="D1317">
        <v>0.81</v>
      </c>
      <c r="E1317">
        <v>0.74</v>
      </c>
      <c r="F1317">
        <v>0.96</v>
      </c>
      <c r="G1317">
        <v>0.54</v>
      </c>
      <c r="H1317">
        <v>0.28999999999999998</v>
      </c>
      <c r="I1317">
        <v>165</v>
      </c>
      <c r="J1317">
        <v>3</v>
      </c>
      <c r="K1317">
        <v>0.8</v>
      </c>
      <c r="L1317" t="s">
        <v>13</v>
      </c>
    </row>
    <row r="1318" spans="1:12" x14ac:dyDescent="0.3">
      <c r="A1318">
        <v>75</v>
      </c>
      <c r="B1318">
        <v>2022</v>
      </c>
      <c r="C1318">
        <v>0.41</v>
      </c>
      <c r="D1318">
        <v>0.82</v>
      </c>
      <c r="E1318">
        <v>0.63</v>
      </c>
      <c r="F1318">
        <v>0.97</v>
      </c>
      <c r="G1318">
        <v>0.39</v>
      </c>
      <c r="H1318">
        <v>0.32</v>
      </c>
      <c r="I1318">
        <v>428</v>
      </c>
      <c r="J1318">
        <v>1</v>
      </c>
      <c r="K1318">
        <v>0.64</v>
      </c>
      <c r="L1318" t="s">
        <v>12</v>
      </c>
    </row>
    <row r="1319" spans="1:12" x14ac:dyDescent="0.3">
      <c r="A1319">
        <v>27</v>
      </c>
      <c r="B1319">
        <v>2025</v>
      </c>
      <c r="C1319">
        <v>0.92</v>
      </c>
      <c r="D1319">
        <v>0.78</v>
      </c>
      <c r="E1319">
        <v>0.97</v>
      </c>
      <c r="F1319">
        <v>0.65</v>
      </c>
      <c r="G1319">
        <v>0.36</v>
      </c>
      <c r="H1319">
        <v>0.84</v>
      </c>
      <c r="I1319">
        <v>465</v>
      </c>
      <c r="J1319">
        <v>9</v>
      </c>
      <c r="K1319">
        <v>0.8</v>
      </c>
      <c r="L1319" t="s">
        <v>13</v>
      </c>
    </row>
    <row r="1320" spans="1:12" x14ac:dyDescent="0.3">
      <c r="A1320">
        <v>62</v>
      </c>
      <c r="B1320">
        <v>2021</v>
      </c>
      <c r="C1320">
        <v>0.55000000000000004</v>
      </c>
      <c r="D1320">
        <v>0.53</v>
      </c>
      <c r="E1320">
        <v>0.96</v>
      </c>
      <c r="F1320">
        <v>0.72</v>
      </c>
      <c r="G1320">
        <v>0.57999999999999996</v>
      </c>
      <c r="H1320">
        <v>0.7</v>
      </c>
      <c r="I1320">
        <v>136</v>
      </c>
      <c r="J1320">
        <v>7</v>
      </c>
      <c r="K1320">
        <v>0.66</v>
      </c>
      <c r="L1320" t="s">
        <v>12</v>
      </c>
    </row>
    <row r="1321" spans="1:12" x14ac:dyDescent="0.3">
      <c r="A1321">
        <v>33</v>
      </c>
      <c r="B1321">
        <v>2021</v>
      </c>
      <c r="C1321">
        <v>0.35</v>
      </c>
      <c r="D1321">
        <v>0.43</v>
      </c>
      <c r="E1321">
        <v>0.56000000000000005</v>
      </c>
      <c r="F1321">
        <v>0.63</v>
      </c>
      <c r="G1321">
        <v>0.83</v>
      </c>
      <c r="H1321">
        <v>0.49</v>
      </c>
      <c r="I1321">
        <v>213</v>
      </c>
      <c r="J1321">
        <v>15</v>
      </c>
      <c r="K1321">
        <v>0.5</v>
      </c>
      <c r="L1321" t="s">
        <v>12</v>
      </c>
    </row>
    <row r="1322" spans="1:12" x14ac:dyDescent="0.3">
      <c r="A1322">
        <v>16</v>
      </c>
      <c r="B1322">
        <v>2022</v>
      </c>
      <c r="C1322">
        <v>0.5</v>
      </c>
      <c r="D1322">
        <v>0.45</v>
      </c>
      <c r="E1322">
        <v>0.56999999999999995</v>
      </c>
      <c r="F1322">
        <v>0.88</v>
      </c>
      <c r="G1322">
        <v>0.32</v>
      </c>
      <c r="H1322">
        <v>0.86</v>
      </c>
      <c r="I1322">
        <v>343</v>
      </c>
      <c r="J1322">
        <v>12</v>
      </c>
      <c r="K1322">
        <v>0.54</v>
      </c>
      <c r="L1322" t="s">
        <v>12</v>
      </c>
    </row>
    <row r="1323" spans="1:12" x14ac:dyDescent="0.3">
      <c r="A1323">
        <v>58</v>
      </c>
      <c r="B1323">
        <v>2021</v>
      </c>
      <c r="C1323">
        <v>0.39</v>
      </c>
      <c r="D1323">
        <v>0.89</v>
      </c>
      <c r="E1323">
        <v>0.75</v>
      </c>
      <c r="F1323">
        <v>0.95</v>
      </c>
      <c r="G1323">
        <v>0.92</v>
      </c>
      <c r="H1323">
        <v>0.02</v>
      </c>
      <c r="I1323">
        <v>152</v>
      </c>
      <c r="J1323">
        <v>6</v>
      </c>
      <c r="K1323">
        <v>0.72</v>
      </c>
      <c r="L1323" t="s">
        <v>13</v>
      </c>
    </row>
    <row r="1324" spans="1:12" x14ac:dyDescent="0.3">
      <c r="A1324">
        <v>74</v>
      </c>
      <c r="B1324">
        <v>2024</v>
      </c>
      <c r="C1324">
        <v>0.77</v>
      </c>
      <c r="D1324">
        <v>0.56999999999999995</v>
      </c>
      <c r="E1324">
        <v>0.63</v>
      </c>
      <c r="F1324">
        <v>0.75</v>
      </c>
      <c r="G1324">
        <v>0.65</v>
      </c>
      <c r="H1324">
        <v>0.95</v>
      </c>
      <c r="I1324">
        <v>142</v>
      </c>
      <c r="J1324">
        <v>3</v>
      </c>
      <c r="K1324">
        <v>0.68</v>
      </c>
      <c r="L1324" t="s">
        <v>12</v>
      </c>
    </row>
    <row r="1325" spans="1:12" x14ac:dyDescent="0.3">
      <c r="A1325">
        <v>50</v>
      </c>
      <c r="B1325">
        <v>2025</v>
      </c>
      <c r="C1325">
        <v>0.97</v>
      </c>
      <c r="D1325">
        <v>1</v>
      </c>
      <c r="E1325">
        <v>0.69</v>
      </c>
      <c r="F1325">
        <v>0.72</v>
      </c>
      <c r="G1325">
        <v>0.9</v>
      </c>
      <c r="H1325">
        <v>1</v>
      </c>
      <c r="I1325">
        <v>300</v>
      </c>
      <c r="J1325">
        <v>8</v>
      </c>
      <c r="K1325">
        <v>0.88</v>
      </c>
      <c r="L1325" t="s">
        <v>13</v>
      </c>
    </row>
    <row r="1326" spans="1:12" x14ac:dyDescent="0.3">
      <c r="A1326">
        <v>46</v>
      </c>
      <c r="B1326">
        <v>2025</v>
      </c>
      <c r="C1326">
        <v>0.33</v>
      </c>
      <c r="D1326">
        <v>0.57999999999999996</v>
      </c>
      <c r="E1326">
        <v>0.85</v>
      </c>
      <c r="F1326">
        <v>0.98</v>
      </c>
      <c r="G1326">
        <v>0.35</v>
      </c>
      <c r="H1326">
        <v>0.03</v>
      </c>
      <c r="I1326">
        <v>254</v>
      </c>
      <c r="J1326">
        <v>8</v>
      </c>
      <c r="K1326">
        <v>0.6</v>
      </c>
      <c r="L1326" t="s">
        <v>12</v>
      </c>
    </row>
    <row r="1327" spans="1:12" x14ac:dyDescent="0.3">
      <c r="A1327">
        <v>91</v>
      </c>
      <c r="B1327">
        <v>2021</v>
      </c>
      <c r="C1327">
        <v>0.99</v>
      </c>
      <c r="D1327">
        <v>0.64</v>
      </c>
      <c r="E1327">
        <v>0.71</v>
      </c>
      <c r="F1327">
        <v>0.67</v>
      </c>
      <c r="G1327">
        <v>0.38</v>
      </c>
      <c r="H1327">
        <v>0.57999999999999996</v>
      </c>
      <c r="I1327">
        <v>89</v>
      </c>
      <c r="J1327">
        <v>1</v>
      </c>
      <c r="K1327">
        <v>0.74</v>
      </c>
      <c r="L1327" t="s">
        <v>13</v>
      </c>
    </row>
    <row r="1328" spans="1:12" x14ac:dyDescent="0.3">
      <c r="A1328">
        <v>34</v>
      </c>
      <c r="B1328">
        <v>2022</v>
      </c>
      <c r="C1328">
        <v>0.44</v>
      </c>
      <c r="D1328">
        <v>0.85</v>
      </c>
      <c r="E1328">
        <v>0.64</v>
      </c>
      <c r="F1328">
        <v>0.93</v>
      </c>
      <c r="G1328">
        <v>0.38</v>
      </c>
      <c r="H1328">
        <v>0.76</v>
      </c>
      <c r="I1328">
        <v>442</v>
      </c>
      <c r="J1328">
        <v>6</v>
      </c>
      <c r="K1328">
        <v>0.65</v>
      </c>
      <c r="L1328" t="s">
        <v>12</v>
      </c>
    </row>
    <row r="1329" spans="1:12" x14ac:dyDescent="0.3">
      <c r="A1329">
        <v>62</v>
      </c>
      <c r="B1329">
        <v>2024</v>
      </c>
      <c r="C1329">
        <v>0.81</v>
      </c>
      <c r="D1329">
        <v>0.5</v>
      </c>
      <c r="E1329">
        <v>0.64</v>
      </c>
      <c r="F1329">
        <v>0.95</v>
      </c>
      <c r="G1329">
        <v>0.92</v>
      </c>
      <c r="H1329">
        <v>0.04</v>
      </c>
      <c r="I1329">
        <v>78</v>
      </c>
      <c r="J1329">
        <v>18</v>
      </c>
      <c r="K1329">
        <v>0.73</v>
      </c>
      <c r="L1329" t="s">
        <v>13</v>
      </c>
    </row>
    <row r="1330" spans="1:12" x14ac:dyDescent="0.3">
      <c r="A1330">
        <v>20</v>
      </c>
      <c r="B1330">
        <v>2023</v>
      </c>
      <c r="C1330">
        <v>0.98</v>
      </c>
      <c r="D1330">
        <v>0.73</v>
      </c>
      <c r="E1330">
        <v>0.73</v>
      </c>
      <c r="F1330">
        <v>0.99</v>
      </c>
      <c r="G1330">
        <v>0.69</v>
      </c>
      <c r="H1330">
        <v>0.66</v>
      </c>
      <c r="I1330">
        <v>399</v>
      </c>
      <c r="J1330">
        <v>1</v>
      </c>
      <c r="K1330">
        <v>0.84</v>
      </c>
      <c r="L1330" t="s">
        <v>13</v>
      </c>
    </row>
    <row r="1331" spans="1:12" x14ac:dyDescent="0.3">
      <c r="A1331">
        <v>13</v>
      </c>
      <c r="B1331">
        <v>2024</v>
      </c>
      <c r="C1331">
        <v>0.72</v>
      </c>
      <c r="D1331">
        <v>0.44</v>
      </c>
      <c r="E1331">
        <v>0.63</v>
      </c>
      <c r="F1331">
        <v>0.68</v>
      </c>
      <c r="G1331">
        <v>0.31</v>
      </c>
      <c r="H1331">
        <v>0.54</v>
      </c>
      <c r="I1331">
        <v>211</v>
      </c>
      <c r="J1331">
        <v>15</v>
      </c>
      <c r="K1331">
        <v>0.59</v>
      </c>
      <c r="L1331" t="s">
        <v>12</v>
      </c>
    </row>
    <row r="1332" spans="1:12" x14ac:dyDescent="0.3">
      <c r="A1332">
        <v>75</v>
      </c>
      <c r="B1332">
        <v>2021</v>
      </c>
      <c r="C1332">
        <v>0.49</v>
      </c>
      <c r="D1332">
        <v>0.79</v>
      </c>
      <c r="E1332">
        <v>0.56999999999999995</v>
      </c>
      <c r="F1332">
        <v>0.81</v>
      </c>
      <c r="G1332">
        <v>0.84</v>
      </c>
      <c r="H1332">
        <v>0.16</v>
      </c>
      <c r="I1332">
        <v>238</v>
      </c>
      <c r="J1332">
        <v>2</v>
      </c>
      <c r="K1332">
        <v>0.66</v>
      </c>
      <c r="L1332" t="s">
        <v>12</v>
      </c>
    </row>
    <row r="1333" spans="1:12" x14ac:dyDescent="0.3">
      <c r="A1333">
        <v>84</v>
      </c>
      <c r="B1333">
        <v>2022</v>
      </c>
      <c r="C1333">
        <v>0.31</v>
      </c>
      <c r="D1333">
        <v>0.98</v>
      </c>
      <c r="E1333">
        <v>0.6</v>
      </c>
      <c r="F1333">
        <v>0.93</v>
      </c>
      <c r="G1333">
        <v>0.69</v>
      </c>
      <c r="H1333">
        <v>0.26</v>
      </c>
      <c r="I1333">
        <v>60</v>
      </c>
      <c r="J1333">
        <v>1</v>
      </c>
      <c r="K1333">
        <v>0.67</v>
      </c>
      <c r="L1333" t="s">
        <v>12</v>
      </c>
    </row>
    <row r="1334" spans="1:12" x14ac:dyDescent="0.3">
      <c r="A1334">
        <v>84</v>
      </c>
      <c r="B1334">
        <v>2025</v>
      </c>
      <c r="C1334">
        <v>0.79</v>
      </c>
      <c r="D1334">
        <v>0.94</v>
      </c>
      <c r="E1334">
        <v>0.9</v>
      </c>
      <c r="F1334">
        <v>0.71</v>
      </c>
      <c r="G1334">
        <v>0.92</v>
      </c>
      <c r="H1334">
        <v>0.83</v>
      </c>
      <c r="I1334">
        <v>382</v>
      </c>
      <c r="J1334">
        <v>18</v>
      </c>
      <c r="K1334">
        <v>0.85</v>
      </c>
      <c r="L1334" t="s">
        <v>13</v>
      </c>
    </row>
    <row r="1335" spans="1:12" x14ac:dyDescent="0.3">
      <c r="A1335">
        <v>49</v>
      </c>
      <c r="B1335">
        <v>2021</v>
      </c>
      <c r="C1335">
        <v>0.52</v>
      </c>
      <c r="D1335">
        <v>1</v>
      </c>
      <c r="E1335">
        <v>0.52</v>
      </c>
      <c r="F1335">
        <v>0.66</v>
      </c>
      <c r="G1335">
        <v>0.92</v>
      </c>
      <c r="H1335">
        <v>0.06</v>
      </c>
      <c r="I1335">
        <v>465</v>
      </c>
      <c r="J1335">
        <v>16</v>
      </c>
      <c r="K1335">
        <v>0.7</v>
      </c>
      <c r="L1335" t="s">
        <v>12</v>
      </c>
    </row>
    <row r="1336" spans="1:12" x14ac:dyDescent="0.3">
      <c r="A1336">
        <v>68</v>
      </c>
      <c r="B1336">
        <v>2024</v>
      </c>
      <c r="C1336">
        <v>0.9</v>
      </c>
      <c r="D1336">
        <v>0.84</v>
      </c>
      <c r="E1336">
        <v>0.61</v>
      </c>
      <c r="F1336">
        <v>0.76</v>
      </c>
      <c r="G1336">
        <v>0.66</v>
      </c>
      <c r="H1336">
        <v>0.81</v>
      </c>
      <c r="I1336">
        <v>176</v>
      </c>
      <c r="J1336">
        <v>14</v>
      </c>
      <c r="K1336">
        <v>0.78</v>
      </c>
      <c r="L1336" t="s">
        <v>13</v>
      </c>
    </row>
    <row r="1337" spans="1:12" x14ac:dyDescent="0.3">
      <c r="A1337">
        <v>6</v>
      </c>
      <c r="B1337">
        <v>2022</v>
      </c>
      <c r="C1337">
        <v>0.66</v>
      </c>
      <c r="D1337">
        <v>0.82</v>
      </c>
      <c r="E1337">
        <v>0.56000000000000005</v>
      </c>
      <c r="F1337">
        <v>0.83</v>
      </c>
      <c r="G1337">
        <v>0.47</v>
      </c>
      <c r="H1337">
        <v>0.43</v>
      </c>
      <c r="I1337">
        <v>129</v>
      </c>
      <c r="J1337">
        <v>2</v>
      </c>
      <c r="K1337">
        <v>0.69</v>
      </c>
      <c r="L1337" t="s">
        <v>12</v>
      </c>
    </row>
    <row r="1338" spans="1:12" x14ac:dyDescent="0.3">
      <c r="A1338">
        <v>17</v>
      </c>
      <c r="B1338">
        <v>2022</v>
      </c>
      <c r="C1338">
        <v>0.34</v>
      </c>
      <c r="D1338">
        <v>0.41</v>
      </c>
      <c r="E1338">
        <v>0.51</v>
      </c>
      <c r="F1338">
        <v>0.6</v>
      </c>
      <c r="G1338">
        <v>0.38</v>
      </c>
      <c r="H1338">
        <v>0.24</v>
      </c>
      <c r="I1338">
        <v>353</v>
      </c>
      <c r="J1338">
        <v>18</v>
      </c>
      <c r="K1338">
        <v>0.43</v>
      </c>
      <c r="L1338" t="s">
        <v>12</v>
      </c>
    </row>
    <row r="1339" spans="1:12" x14ac:dyDescent="0.3">
      <c r="A1339">
        <v>8</v>
      </c>
      <c r="B1339">
        <v>2022</v>
      </c>
      <c r="C1339">
        <v>0.44</v>
      </c>
      <c r="D1339">
        <v>0.43</v>
      </c>
      <c r="E1339">
        <v>0.57999999999999996</v>
      </c>
      <c r="F1339">
        <v>0.75</v>
      </c>
      <c r="G1339">
        <v>0.45</v>
      </c>
      <c r="H1339">
        <v>0.31</v>
      </c>
      <c r="I1339">
        <v>290</v>
      </c>
      <c r="J1339">
        <v>19</v>
      </c>
      <c r="K1339">
        <v>0.51</v>
      </c>
      <c r="L1339" t="s">
        <v>12</v>
      </c>
    </row>
    <row r="1340" spans="1:12" x14ac:dyDescent="0.3">
      <c r="A1340">
        <v>92</v>
      </c>
      <c r="B1340">
        <v>2024</v>
      </c>
      <c r="C1340">
        <v>0.77</v>
      </c>
      <c r="D1340">
        <v>0.92</v>
      </c>
      <c r="E1340">
        <v>0.94</v>
      </c>
      <c r="F1340">
        <v>0.83</v>
      </c>
      <c r="G1340">
        <v>0.6</v>
      </c>
      <c r="H1340">
        <v>0.64</v>
      </c>
      <c r="I1340">
        <v>414</v>
      </c>
      <c r="J1340">
        <v>16</v>
      </c>
      <c r="K1340">
        <v>0.83</v>
      </c>
      <c r="L1340" t="s">
        <v>13</v>
      </c>
    </row>
    <row r="1341" spans="1:12" x14ac:dyDescent="0.3">
      <c r="A1341">
        <v>17</v>
      </c>
      <c r="B1341">
        <v>2024</v>
      </c>
      <c r="C1341">
        <v>0.99</v>
      </c>
      <c r="D1341">
        <v>0.51</v>
      </c>
      <c r="E1341">
        <v>0.74</v>
      </c>
      <c r="F1341">
        <v>0.95</v>
      </c>
      <c r="G1341">
        <v>0.46</v>
      </c>
      <c r="H1341">
        <v>0.48</v>
      </c>
      <c r="I1341">
        <v>430</v>
      </c>
      <c r="J1341">
        <v>3</v>
      </c>
      <c r="K1341">
        <v>0.76</v>
      </c>
      <c r="L1341" t="s">
        <v>13</v>
      </c>
    </row>
    <row r="1342" spans="1:12" x14ac:dyDescent="0.3">
      <c r="A1342">
        <v>17</v>
      </c>
      <c r="B1342">
        <v>2021</v>
      </c>
      <c r="C1342">
        <v>0.5</v>
      </c>
      <c r="D1342">
        <v>0.56999999999999995</v>
      </c>
      <c r="E1342">
        <v>0.83</v>
      </c>
      <c r="F1342">
        <v>0.96</v>
      </c>
      <c r="G1342">
        <v>0.7</v>
      </c>
      <c r="H1342">
        <v>0.53</v>
      </c>
      <c r="I1342">
        <v>396</v>
      </c>
      <c r="J1342">
        <v>3</v>
      </c>
      <c r="K1342">
        <v>0.67</v>
      </c>
      <c r="L1342" t="s">
        <v>12</v>
      </c>
    </row>
    <row r="1343" spans="1:12" x14ac:dyDescent="0.3">
      <c r="A1343">
        <v>35</v>
      </c>
      <c r="B1343">
        <v>2024</v>
      </c>
      <c r="C1343">
        <v>0.98</v>
      </c>
      <c r="D1343">
        <v>0.57999999999999996</v>
      </c>
      <c r="E1343">
        <v>0.88</v>
      </c>
      <c r="F1343">
        <v>0.77</v>
      </c>
      <c r="G1343">
        <v>0.69</v>
      </c>
      <c r="H1343">
        <v>0.82</v>
      </c>
      <c r="I1343">
        <v>254</v>
      </c>
      <c r="J1343">
        <v>7</v>
      </c>
      <c r="K1343">
        <v>0.8</v>
      </c>
      <c r="L1343" t="s">
        <v>13</v>
      </c>
    </row>
    <row r="1344" spans="1:12" x14ac:dyDescent="0.3">
      <c r="A1344">
        <v>85</v>
      </c>
      <c r="B1344">
        <v>2024</v>
      </c>
      <c r="C1344">
        <v>0.7</v>
      </c>
      <c r="D1344">
        <v>0.46</v>
      </c>
      <c r="E1344">
        <v>0.72</v>
      </c>
      <c r="F1344">
        <v>0.83</v>
      </c>
      <c r="G1344">
        <v>0.94</v>
      </c>
      <c r="H1344">
        <v>0.19</v>
      </c>
      <c r="I1344">
        <v>318</v>
      </c>
      <c r="J1344">
        <v>4</v>
      </c>
      <c r="K1344">
        <v>0.69</v>
      </c>
      <c r="L1344" t="s">
        <v>12</v>
      </c>
    </row>
    <row r="1345" spans="1:12" x14ac:dyDescent="0.3">
      <c r="A1345">
        <v>47</v>
      </c>
      <c r="B1345">
        <v>2022</v>
      </c>
      <c r="C1345">
        <v>0.47</v>
      </c>
      <c r="D1345">
        <v>0.55000000000000004</v>
      </c>
      <c r="E1345">
        <v>0.94</v>
      </c>
      <c r="F1345">
        <v>0.68</v>
      </c>
      <c r="G1345">
        <v>0.85</v>
      </c>
      <c r="H1345">
        <v>0.46</v>
      </c>
      <c r="I1345">
        <v>451</v>
      </c>
      <c r="J1345">
        <v>13</v>
      </c>
      <c r="K1345">
        <v>0.65</v>
      </c>
      <c r="L1345" t="s">
        <v>12</v>
      </c>
    </row>
    <row r="1346" spans="1:12" x14ac:dyDescent="0.3">
      <c r="A1346">
        <v>74</v>
      </c>
      <c r="B1346">
        <v>2022</v>
      </c>
      <c r="C1346">
        <v>0.91</v>
      </c>
      <c r="D1346">
        <v>0.78</v>
      </c>
      <c r="E1346">
        <v>0.92</v>
      </c>
      <c r="F1346">
        <v>0.7</v>
      </c>
      <c r="G1346">
        <v>0.37</v>
      </c>
      <c r="H1346">
        <v>0.62</v>
      </c>
      <c r="I1346">
        <v>194</v>
      </c>
      <c r="J1346">
        <v>5</v>
      </c>
      <c r="K1346">
        <v>0.79</v>
      </c>
      <c r="L1346" t="s">
        <v>13</v>
      </c>
    </row>
    <row r="1347" spans="1:12" x14ac:dyDescent="0.3">
      <c r="A1347">
        <v>79</v>
      </c>
      <c r="B1347">
        <v>2021</v>
      </c>
      <c r="C1347">
        <v>0.99</v>
      </c>
      <c r="D1347">
        <v>0.44</v>
      </c>
      <c r="E1347">
        <v>0.95</v>
      </c>
      <c r="F1347">
        <v>0.93</v>
      </c>
      <c r="G1347">
        <v>0.52</v>
      </c>
      <c r="H1347">
        <v>0.97</v>
      </c>
      <c r="I1347">
        <v>177</v>
      </c>
      <c r="J1347">
        <v>15</v>
      </c>
      <c r="K1347">
        <v>0.79</v>
      </c>
      <c r="L1347" t="s">
        <v>13</v>
      </c>
    </row>
    <row r="1348" spans="1:12" x14ac:dyDescent="0.3">
      <c r="A1348">
        <v>32</v>
      </c>
      <c r="B1348">
        <v>2025</v>
      </c>
      <c r="C1348">
        <v>0.83</v>
      </c>
      <c r="D1348">
        <v>0.74</v>
      </c>
      <c r="E1348">
        <v>0.56000000000000005</v>
      </c>
      <c r="F1348">
        <v>0.81</v>
      </c>
      <c r="G1348">
        <v>0.55000000000000004</v>
      </c>
      <c r="H1348">
        <v>0.79</v>
      </c>
      <c r="I1348">
        <v>425</v>
      </c>
      <c r="J1348">
        <v>0</v>
      </c>
      <c r="K1348">
        <v>0.72</v>
      </c>
      <c r="L1348" t="s">
        <v>13</v>
      </c>
    </row>
    <row r="1349" spans="1:12" x14ac:dyDescent="0.3">
      <c r="A1349">
        <v>89</v>
      </c>
      <c r="B1349">
        <v>2022</v>
      </c>
      <c r="C1349">
        <v>0.87</v>
      </c>
      <c r="D1349">
        <v>0.96</v>
      </c>
      <c r="E1349">
        <v>0.89</v>
      </c>
      <c r="F1349">
        <v>0.65</v>
      </c>
      <c r="G1349">
        <v>0.36</v>
      </c>
      <c r="H1349">
        <v>0.02</v>
      </c>
      <c r="I1349">
        <v>147</v>
      </c>
      <c r="J1349">
        <v>19</v>
      </c>
      <c r="K1349">
        <v>0.81</v>
      </c>
      <c r="L1349" t="s">
        <v>13</v>
      </c>
    </row>
    <row r="1350" spans="1:12" x14ac:dyDescent="0.3">
      <c r="A1350">
        <v>16</v>
      </c>
      <c r="B1350">
        <v>2023</v>
      </c>
      <c r="C1350">
        <v>0.63</v>
      </c>
      <c r="D1350">
        <v>0.68</v>
      </c>
      <c r="E1350">
        <v>0.52</v>
      </c>
      <c r="F1350">
        <v>0.7</v>
      </c>
      <c r="G1350">
        <v>0.41</v>
      </c>
      <c r="H1350">
        <v>0.89</v>
      </c>
      <c r="I1350">
        <v>177</v>
      </c>
      <c r="J1350">
        <v>16</v>
      </c>
      <c r="K1350">
        <v>0.61</v>
      </c>
      <c r="L1350" t="s">
        <v>12</v>
      </c>
    </row>
    <row r="1351" spans="1:12" x14ac:dyDescent="0.3">
      <c r="A1351">
        <v>98</v>
      </c>
      <c r="B1351">
        <v>2021</v>
      </c>
      <c r="C1351">
        <v>0.38</v>
      </c>
      <c r="D1351">
        <v>0.82</v>
      </c>
      <c r="E1351">
        <v>0.5</v>
      </c>
      <c r="F1351">
        <v>0.79</v>
      </c>
      <c r="G1351">
        <v>0.38</v>
      </c>
      <c r="H1351">
        <v>0.85</v>
      </c>
      <c r="I1351">
        <v>210</v>
      </c>
      <c r="J1351">
        <v>0</v>
      </c>
      <c r="K1351">
        <v>0.57999999999999996</v>
      </c>
      <c r="L1351" t="s">
        <v>12</v>
      </c>
    </row>
    <row r="1352" spans="1:12" x14ac:dyDescent="0.3">
      <c r="A1352">
        <v>84</v>
      </c>
      <c r="B1352">
        <v>2024</v>
      </c>
      <c r="C1352">
        <v>0.61</v>
      </c>
      <c r="D1352">
        <v>0.79</v>
      </c>
      <c r="E1352">
        <v>0.8</v>
      </c>
      <c r="F1352">
        <v>0.74</v>
      </c>
      <c r="G1352">
        <v>0.61</v>
      </c>
      <c r="H1352">
        <v>0.06</v>
      </c>
      <c r="I1352">
        <v>186</v>
      </c>
      <c r="J1352">
        <v>16</v>
      </c>
      <c r="K1352">
        <v>0.71</v>
      </c>
      <c r="L1352" t="s">
        <v>13</v>
      </c>
    </row>
    <row r="1353" spans="1:12" x14ac:dyDescent="0.3">
      <c r="A1353">
        <v>21</v>
      </c>
      <c r="B1353">
        <v>2024</v>
      </c>
      <c r="C1353">
        <v>0.62</v>
      </c>
      <c r="D1353">
        <v>0.69</v>
      </c>
      <c r="E1353">
        <v>0.78</v>
      </c>
      <c r="F1353">
        <v>0.93</v>
      </c>
      <c r="G1353">
        <v>0.78</v>
      </c>
      <c r="H1353">
        <v>0.66</v>
      </c>
      <c r="I1353">
        <v>278</v>
      </c>
      <c r="J1353">
        <v>12</v>
      </c>
      <c r="K1353">
        <v>0.73</v>
      </c>
      <c r="L1353" t="s">
        <v>13</v>
      </c>
    </row>
    <row r="1354" spans="1:12" x14ac:dyDescent="0.3">
      <c r="A1354">
        <v>44</v>
      </c>
      <c r="B1354">
        <v>2022</v>
      </c>
      <c r="C1354">
        <v>0.79</v>
      </c>
      <c r="D1354">
        <v>0.85</v>
      </c>
      <c r="E1354">
        <v>0.89</v>
      </c>
      <c r="F1354">
        <v>0.79</v>
      </c>
      <c r="G1354">
        <v>0.6</v>
      </c>
      <c r="H1354">
        <v>0.01</v>
      </c>
      <c r="I1354">
        <v>253</v>
      </c>
      <c r="J1354">
        <v>10</v>
      </c>
      <c r="K1354">
        <v>0.81</v>
      </c>
      <c r="L1354" t="s">
        <v>13</v>
      </c>
    </row>
    <row r="1355" spans="1:12" x14ac:dyDescent="0.3">
      <c r="A1355">
        <v>48</v>
      </c>
      <c r="B1355">
        <v>2022</v>
      </c>
      <c r="C1355">
        <v>0.39</v>
      </c>
      <c r="D1355">
        <v>0.47</v>
      </c>
      <c r="E1355">
        <v>0.52</v>
      </c>
      <c r="F1355">
        <v>0.83</v>
      </c>
      <c r="G1355">
        <v>0.47</v>
      </c>
      <c r="H1355">
        <v>0.73</v>
      </c>
      <c r="I1355">
        <v>407</v>
      </c>
      <c r="J1355">
        <v>3</v>
      </c>
      <c r="K1355">
        <v>0.51</v>
      </c>
      <c r="L1355" t="s">
        <v>12</v>
      </c>
    </row>
    <row r="1356" spans="1:12" x14ac:dyDescent="0.3">
      <c r="A1356">
        <v>94</v>
      </c>
      <c r="B1356">
        <v>2025</v>
      </c>
      <c r="C1356">
        <v>0.91</v>
      </c>
      <c r="D1356">
        <v>0.4</v>
      </c>
      <c r="E1356">
        <v>0.51</v>
      </c>
      <c r="F1356">
        <v>0.79</v>
      </c>
      <c r="G1356">
        <v>0.47</v>
      </c>
      <c r="H1356">
        <v>0.69</v>
      </c>
      <c r="I1356">
        <v>258</v>
      </c>
      <c r="J1356">
        <v>6</v>
      </c>
      <c r="K1356">
        <v>0.64</v>
      </c>
      <c r="L1356" t="s">
        <v>12</v>
      </c>
    </row>
    <row r="1357" spans="1:12" x14ac:dyDescent="0.3">
      <c r="A1357">
        <v>13</v>
      </c>
      <c r="B1357">
        <v>2023</v>
      </c>
      <c r="C1357">
        <v>0.43</v>
      </c>
      <c r="D1357">
        <v>0.88</v>
      </c>
      <c r="E1357">
        <v>0.71</v>
      </c>
      <c r="F1357">
        <v>0.64</v>
      </c>
      <c r="G1357">
        <v>0.64</v>
      </c>
      <c r="H1357">
        <v>0.09</v>
      </c>
      <c r="I1357">
        <v>337</v>
      </c>
      <c r="J1357">
        <v>0</v>
      </c>
      <c r="K1357">
        <v>0.65</v>
      </c>
      <c r="L1357" t="s">
        <v>12</v>
      </c>
    </row>
    <row r="1358" spans="1:12" x14ac:dyDescent="0.3">
      <c r="A1358">
        <v>52</v>
      </c>
      <c r="B1358">
        <v>2024</v>
      </c>
      <c r="C1358">
        <v>0.88</v>
      </c>
      <c r="D1358">
        <v>0.6</v>
      </c>
      <c r="E1358">
        <v>0.64</v>
      </c>
      <c r="F1358">
        <v>0.82</v>
      </c>
      <c r="G1358">
        <v>0.81</v>
      </c>
      <c r="H1358">
        <v>0.99</v>
      </c>
      <c r="I1358">
        <v>142</v>
      </c>
      <c r="J1358">
        <v>10</v>
      </c>
      <c r="K1358">
        <v>0.75</v>
      </c>
      <c r="L1358" t="s">
        <v>13</v>
      </c>
    </row>
    <row r="1359" spans="1:12" x14ac:dyDescent="0.3">
      <c r="A1359">
        <v>16</v>
      </c>
      <c r="B1359">
        <v>2023</v>
      </c>
      <c r="C1359">
        <v>0.89</v>
      </c>
      <c r="D1359">
        <v>0.91</v>
      </c>
      <c r="E1359">
        <v>0.66</v>
      </c>
      <c r="F1359">
        <v>0.64</v>
      </c>
      <c r="G1359">
        <v>0.79</v>
      </c>
      <c r="H1359">
        <v>0.36</v>
      </c>
      <c r="I1359">
        <v>396</v>
      </c>
      <c r="J1359">
        <v>4</v>
      </c>
      <c r="K1359">
        <v>0.8</v>
      </c>
      <c r="L1359" t="s">
        <v>13</v>
      </c>
    </row>
    <row r="1360" spans="1:12" x14ac:dyDescent="0.3">
      <c r="A1360">
        <v>37</v>
      </c>
      <c r="B1360">
        <v>2023</v>
      </c>
      <c r="C1360">
        <v>0.52</v>
      </c>
      <c r="D1360">
        <v>0.52</v>
      </c>
      <c r="E1360">
        <v>0.77</v>
      </c>
      <c r="F1360">
        <v>0.78</v>
      </c>
      <c r="G1360">
        <v>0.91</v>
      </c>
      <c r="H1360">
        <v>0.1</v>
      </c>
      <c r="I1360">
        <v>226</v>
      </c>
      <c r="J1360">
        <v>9</v>
      </c>
      <c r="K1360">
        <v>0.65</v>
      </c>
      <c r="L1360" t="s">
        <v>12</v>
      </c>
    </row>
    <row r="1361" spans="1:12" x14ac:dyDescent="0.3">
      <c r="A1361">
        <v>49</v>
      </c>
      <c r="B1361">
        <v>2021</v>
      </c>
      <c r="C1361">
        <v>0.78</v>
      </c>
      <c r="D1361">
        <v>0.92</v>
      </c>
      <c r="E1361">
        <v>0.69</v>
      </c>
      <c r="F1361">
        <v>0.94</v>
      </c>
      <c r="G1361">
        <v>0.6</v>
      </c>
      <c r="H1361">
        <v>0.4</v>
      </c>
      <c r="I1361">
        <v>374</v>
      </c>
      <c r="J1361">
        <v>19</v>
      </c>
      <c r="K1361">
        <v>0.8</v>
      </c>
      <c r="L1361" t="s">
        <v>13</v>
      </c>
    </row>
    <row r="1362" spans="1:12" x14ac:dyDescent="0.3">
      <c r="A1362">
        <v>29</v>
      </c>
      <c r="B1362">
        <v>2025</v>
      </c>
      <c r="C1362">
        <v>0.49</v>
      </c>
      <c r="D1362">
        <v>0.49</v>
      </c>
      <c r="E1362">
        <v>0.5</v>
      </c>
      <c r="F1362">
        <v>0.81</v>
      </c>
      <c r="G1362">
        <v>0.38</v>
      </c>
      <c r="H1362">
        <v>0.39</v>
      </c>
      <c r="I1362">
        <v>461</v>
      </c>
      <c r="J1362">
        <v>5</v>
      </c>
      <c r="K1362">
        <v>0.53</v>
      </c>
      <c r="L1362" t="s">
        <v>12</v>
      </c>
    </row>
    <row r="1363" spans="1:12" x14ac:dyDescent="0.3">
      <c r="A1363">
        <v>3</v>
      </c>
      <c r="B1363">
        <v>2025</v>
      </c>
      <c r="C1363">
        <v>0.59</v>
      </c>
      <c r="D1363">
        <v>0.41</v>
      </c>
      <c r="E1363">
        <v>0.52</v>
      </c>
      <c r="F1363">
        <v>0.87</v>
      </c>
      <c r="G1363">
        <v>0.89</v>
      </c>
      <c r="H1363">
        <v>0.71</v>
      </c>
      <c r="I1363">
        <v>167</v>
      </c>
      <c r="J1363">
        <v>15</v>
      </c>
      <c r="K1363">
        <v>0.6</v>
      </c>
      <c r="L1363" t="s">
        <v>12</v>
      </c>
    </row>
    <row r="1364" spans="1:12" x14ac:dyDescent="0.3">
      <c r="A1364">
        <v>7</v>
      </c>
      <c r="B1364">
        <v>2022</v>
      </c>
      <c r="C1364">
        <v>0.96</v>
      </c>
      <c r="D1364">
        <v>0.59</v>
      </c>
      <c r="E1364">
        <v>0.83</v>
      </c>
      <c r="F1364">
        <v>0.63</v>
      </c>
      <c r="G1364">
        <v>0.47</v>
      </c>
      <c r="H1364">
        <v>0.77</v>
      </c>
      <c r="I1364">
        <v>244</v>
      </c>
      <c r="J1364">
        <v>7</v>
      </c>
      <c r="K1364">
        <v>0.74</v>
      </c>
      <c r="L1364" t="s">
        <v>13</v>
      </c>
    </row>
    <row r="1365" spans="1:12" x14ac:dyDescent="0.3">
      <c r="A1365">
        <v>98</v>
      </c>
      <c r="B1365">
        <v>2024</v>
      </c>
      <c r="C1365">
        <v>0.61</v>
      </c>
      <c r="D1365">
        <v>0.99</v>
      </c>
      <c r="E1365">
        <v>0.98</v>
      </c>
      <c r="F1365">
        <v>0.73</v>
      </c>
      <c r="G1365">
        <v>0.92</v>
      </c>
      <c r="H1365">
        <v>0.85</v>
      </c>
      <c r="I1365">
        <v>186</v>
      </c>
      <c r="J1365">
        <v>0</v>
      </c>
      <c r="K1365">
        <v>0.83</v>
      </c>
      <c r="L1365" t="s">
        <v>13</v>
      </c>
    </row>
    <row r="1366" spans="1:12" x14ac:dyDescent="0.3">
      <c r="A1366">
        <v>9</v>
      </c>
      <c r="B1366">
        <v>2023</v>
      </c>
      <c r="C1366">
        <v>0.94</v>
      </c>
      <c r="D1366">
        <v>0.95</v>
      </c>
      <c r="E1366">
        <v>0.66</v>
      </c>
      <c r="F1366">
        <v>0.88</v>
      </c>
      <c r="G1366">
        <v>0.77</v>
      </c>
      <c r="H1366">
        <v>0.81</v>
      </c>
      <c r="I1366">
        <v>252</v>
      </c>
      <c r="J1366">
        <v>5</v>
      </c>
      <c r="K1366">
        <v>0.86</v>
      </c>
      <c r="L1366" t="s">
        <v>13</v>
      </c>
    </row>
    <row r="1367" spans="1:12" x14ac:dyDescent="0.3">
      <c r="A1367">
        <v>3</v>
      </c>
      <c r="B1367">
        <v>2024</v>
      </c>
      <c r="C1367">
        <v>0.32</v>
      </c>
      <c r="D1367">
        <v>0.63</v>
      </c>
      <c r="E1367">
        <v>0.85</v>
      </c>
      <c r="F1367">
        <v>0.7</v>
      </c>
      <c r="G1367">
        <v>0.97</v>
      </c>
      <c r="H1367">
        <v>0.03</v>
      </c>
      <c r="I1367">
        <v>477</v>
      </c>
      <c r="J1367">
        <v>14</v>
      </c>
      <c r="K1367">
        <v>0.63</v>
      </c>
      <c r="L1367" t="s">
        <v>12</v>
      </c>
    </row>
    <row r="1368" spans="1:12" x14ac:dyDescent="0.3">
      <c r="A1368">
        <v>37</v>
      </c>
      <c r="B1368">
        <v>2023</v>
      </c>
      <c r="C1368">
        <v>0.33</v>
      </c>
      <c r="D1368">
        <v>0.57999999999999996</v>
      </c>
      <c r="E1368">
        <v>0.89</v>
      </c>
      <c r="F1368">
        <v>0.9</v>
      </c>
      <c r="G1368">
        <v>0.45</v>
      </c>
      <c r="H1368">
        <v>0.2</v>
      </c>
      <c r="I1368">
        <v>81</v>
      </c>
      <c r="J1368">
        <v>6</v>
      </c>
      <c r="K1368">
        <v>0.6</v>
      </c>
      <c r="L1368" t="s">
        <v>12</v>
      </c>
    </row>
    <row r="1369" spans="1:12" x14ac:dyDescent="0.3">
      <c r="A1369">
        <v>96</v>
      </c>
      <c r="B1369">
        <v>2023</v>
      </c>
      <c r="C1369">
        <v>0.62</v>
      </c>
      <c r="D1369">
        <v>0.84</v>
      </c>
      <c r="E1369">
        <v>0.55000000000000004</v>
      </c>
      <c r="F1369">
        <v>0.76</v>
      </c>
      <c r="G1369">
        <v>0.99</v>
      </c>
      <c r="H1369">
        <v>0.81</v>
      </c>
      <c r="I1369">
        <v>422</v>
      </c>
      <c r="J1369">
        <v>14</v>
      </c>
      <c r="K1369">
        <v>0.72</v>
      </c>
      <c r="L1369" t="s">
        <v>13</v>
      </c>
    </row>
    <row r="1370" spans="1:12" x14ac:dyDescent="0.3">
      <c r="A1370">
        <v>40</v>
      </c>
      <c r="B1370">
        <v>2022</v>
      </c>
      <c r="C1370">
        <v>0.67</v>
      </c>
      <c r="D1370">
        <v>0.94</v>
      </c>
      <c r="E1370">
        <v>0.86</v>
      </c>
      <c r="F1370">
        <v>0.8</v>
      </c>
      <c r="G1370">
        <v>0.57999999999999996</v>
      </c>
      <c r="H1370">
        <v>0.4</v>
      </c>
      <c r="I1370">
        <v>331</v>
      </c>
      <c r="J1370">
        <v>5</v>
      </c>
      <c r="K1370">
        <v>0.79</v>
      </c>
      <c r="L1370" t="s">
        <v>13</v>
      </c>
    </row>
    <row r="1371" spans="1:12" x14ac:dyDescent="0.3">
      <c r="A1371">
        <v>22</v>
      </c>
      <c r="B1371">
        <v>2022</v>
      </c>
      <c r="C1371">
        <v>0.45</v>
      </c>
      <c r="D1371">
        <v>0.52</v>
      </c>
      <c r="E1371">
        <v>0.56000000000000005</v>
      </c>
      <c r="F1371">
        <v>0.68</v>
      </c>
      <c r="G1371">
        <v>0.32</v>
      </c>
      <c r="H1371">
        <v>0.67</v>
      </c>
      <c r="I1371">
        <v>52</v>
      </c>
      <c r="J1371">
        <v>17</v>
      </c>
      <c r="K1371">
        <v>0.51</v>
      </c>
      <c r="L1371" t="s">
        <v>12</v>
      </c>
    </row>
    <row r="1372" spans="1:12" x14ac:dyDescent="0.3">
      <c r="A1372">
        <v>7</v>
      </c>
      <c r="B1372">
        <v>2021</v>
      </c>
      <c r="C1372">
        <v>0.98</v>
      </c>
      <c r="D1372">
        <v>0.44</v>
      </c>
      <c r="E1372">
        <v>0.71</v>
      </c>
      <c r="F1372">
        <v>0.7</v>
      </c>
      <c r="G1372">
        <v>0.63</v>
      </c>
      <c r="H1372">
        <v>0.92</v>
      </c>
      <c r="I1372">
        <v>165</v>
      </c>
      <c r="J1372">
        <v>17</v>
      </c>
      <c r="K1372">
        <v>0.71</v>
      </c>
      <c r="L1372" t="s">
        <v>13</v>
      </c>
    </row>
    <row r="1373" spans="1:12" x14ac:dyDescent="0.3">
      <c r="A1373">
        <v>73</v>
      </c>
      <c r="B1373">
        <v>2025</v>
      </c>
      <c r="C1373">
        <v>0.83</v>
      </c>
      <c r="D1373">
        <v>0.75</v>
      </c>
      <c r="E1373">
        <v>0.81</v>
      </c>
      <c r="F1373">
        <v>0.62</v>
      </c>
      <c r="G1373">
        <v>0.45</v>
      </c>
      <c r="H1373">
        <v>7.0000000000000007E-2</v>
      </c>
      <c r="I1373">
        <v>141</v>
      </c>
      <c r="J1373">
        <v>18</v>
      </c>
      <c r="K1373">
        <v>0.74</v>
      </c>
      <c r="L1373" t="s">
        <v>13</v>
      </c>
    </row>
    <row r="1374" spans="1:12" x14ac:dyDescent="0.3">
      <c r="A1374">
        <v>33</v>
      </c>
      <c r="B1374">
        <v>2025</v>
      </c>
      <c r="C1374">
        <v>0.61</v>
      </c>
      <c r="D1374">
        <v>0.55000000000000004</v>
      </c>
      <c r="E1374">
        <v>0.87</v>
      </c>
      <c r="F1374">
        <v>0.85</v>
      </c>
      <c r="G1374">
        <v>0.84</v>
      </c>
      <c r="H1374">
        <v>0.32</v>
      </c>
      <c r="I1374">
        <v>84</v>
      </c>
      <c r="J1374">
        <v>17</v>
      </c>
      <c r="K1374">
        <v>0.71</v>
      </c>
      <c r="L1374" t="s">
        <v>13</v>
      </c>
    </row>
    <row r="1375" spans="1:12" x14ac:dyDescent="0.3">
      <c r="A1375">
        <v>53</v>
      </c>
      <c r="B1375">
        <v>2023</v>
      </c>
      <c r="C1375">
        <v>0.54</v>
      </c>
      <c r="D1375">
        <v>0.6</v>
      </c>
      <c r="E1375">
        <v>0.95</v>
      </c>
      <c r="F1375">
        <v>0.62</v>
      </c>
      <c r="G1375">
        <v>0.55000000000000004</v>
      </c>
      <c r="H1375">
        <v>0.12</v>
      </c>
      <c r="I1375">
        <v>451</v>
      </c>
      <c r="J1375">
        <v>0</v>
      </c>
      <c r="K1375">
        <v>0.65</v>
      </c>
      <c r="L1375" t="s">
        <v>12</v>
      </c>
    </row>
    <row r="1376" spans="1:12" x14ac:dyDescent="0.3">
      <c r="A1376">
        <v>14</v>
      </c>
      <c r="B1376">
        <v>2022</v>
      </c>
      <c r="C1376">
        <v>0.51</v>
      </c>
      <c r="D1376">
        <v>0.91</v>
      </c>
      <c r="E1376">
        <v>0.88</v>
      </c>
      <c r="F1376">
        <v>0.72</v>
      </c>
      <c r="G1376">
        <v>0.6</v>
      </c>
      <c r="H1376">
        <v>0.19</v>
      </c>
      <c r="I1376">
        <v>261</v>
      </c>
      <c r="J1376">
        <v>14</v>
      </c>
      <c r="K1376">
        <v>0.72</v>
      </c>
      <c r="L1376" t="s">
        <v>13</v>
      </c>
    </row>
    <row r="1377" spans="1:12" x14ac:dyDescent="0.3">
      <c r="A1377">
        <v>100</v>
      </c>
      <c r="B1377">
        <v>2021</v>
      </c>
      <c r="C1377">
        <v>0.47</v>
      </c>
      <c r="D1377">
        <v>0.61</v>
      </c>
      <c r="E1377">
        <v>0.88</v>
      </c>
      <c r="F1377">
        <v>0.77</v>
      </c>
      <c r="G1377">
        <v>0.89</v>
      </c>
      <c r="H1377">
        <v>0.88</v>
      </c>
      <c r="I1377">
        <v>124</v>
      </c>
      <c r="J1377">
        <v>5</v>
      </c>
      <c r="K1377">
        <v>0.67</v>
      </c>
      <c r="L1377" t="s">
        <v>12</v>
      </c>
    </row>
    <row r="1378" spans="1:12" x14ac:dyDescent="0.3">
      <c r="A1378">
        <v>21</v>
      </c>
      <c r="B1378">
        <v>2021</v>
      </c>
      <c r="C1378">
        <v>0.98</v>
      </c>
      <c r="D1378">
        <v>0.6</v>
      </c>
      <c r="E1378">
        <v>0.96</v>
      </c>
      <c r="F1378">
        <v>0.71</v>
      </c>
      <c r="G1378">
        <v>0.99</v>
      </c>
      <c r="H1378">
        <v>0.67</v>
      </c>
      <c r="I1378">
        <v>105</v>
      </c>
      <c r="J1378">
        <v>1</v>
      </c>
      <c r="K1378">
        <v>0.84</v>
      </c>
      <c r="L1378" t="s">
        <v>13</v>
      </c>
    </row>
    <row r="1379" spans="1:12" x14ac:dyDescent="0.3">
      <c r="A1379">
        <v>22</v>
      </c>
      <c r="B1379">
        <v>2024</v>
      </c>
      <c r="C1379">
        <v>0.52</v>
      </c>
      <c r="D1379">
        <v>0.54</v>
      </c>
      <c r="E1379">
        <v>0.94</v>
      </c>
      <c r="F1379">
        <v>0.93</v>
      </c>
      <c r="G1379">
        <v>0.46</v>
      </c>
      <c r="H1379">
        <v>0.04</v>
      </c>
      <c r="I1379">
        <v>350</v>
      </c>
      <c r="J1379">
        <v>0</v>
      </c>
      <c r="K1379">
        <v>0.66</v>
      </c>
      <c r="L1379" t="s">
        <v>12</v>
      </c>
    </row>
    <row r="1380" spans="1:12" x14ac:dyDescent="0.3">
      <c r="A1380">
        <v>98</v>
      </c>
      <c r="B1380">
        <v>2023</v>
      </c>
      <c r="C1380">
        <v>0.37</v>
      </c>
      <c r="D1380">
        <v>0.75</v>
      </c>
      <c r="E1380">
        <v>0.73</v>
      </c>
      <c r="F1380">
        <v>0.91</v>
      </c>
      <c r="G1380">
        <v>0.45</v>
      </c>
      <c r="H1380">
        <v>0.45</v>
      </c>
      <c r="I1380">
        <v>394</v>
      </c>
      <c r="J1380">
        <v>16</v>
      </c>
      <c r="K1380">
        <v>0.63</v>
      </c>
      <c r="L1380" t="s">
        <v>12</v>
      </c>
    </row>
    <row r="1381" spans="1:12" x14ac:dyDescent="0.3">
      <c r="A1381">
        <v>72</v>
      </c>
      <c r="B1381">
        <v>2021</v>
      </c>
      <c r="C1381">
        <v>0.82</v>
      </c>
      <c r="D1381">
        <v>0.81</v>
      </c>
      <c r="E1381">
        <v>0.71</v>
      </c>
      <c r="F1381">
        <v>0.97</v>
      </c>
      <c r="G1381">
        <v>0.35</v>
      </c>
      <c r="H1381">
        <v>0.8</v>
      </c>
      <c r="I1381">
        <v>57</v>
      </c>
      <c r="J1381">
        <v>8</v>
      </c>
      <c r="K1381">
        <v>0.77</v>
      </c>
      <c r="L1381" t="s">
        <v>13</v>
      </c>
    </row>
    <row r="1382" spans="1:12" x14ac:dyDescent="0.3">
      <c r="A1382">
        <v>28</v>
      </c>
      <c r="B1382">
        <v>2022</v>
      </c>
      <c r="C1382">
        <v>0.35</v>
      </c>
      <c r="D1382">
        <v>0.64</v>
      </c>
      <c r="E1382">
        <v>0.57999999999999996</v>
      </c>
      <c r="F1382">
        <v>0.75</v>
      </c>
      <c r="G1382">
        <v>0.74</v>
      </c>
      <c r="H1382">
        <v>0.55000000000000004</v>
      </c>
      <c r="I1382">
        <v>477</v>
      </c>
      <c r="J1382">
        <v>13</v>
      </c>
      <c r="K1382">
        <v>0.56999999999999995</v>
      </c>
      <c r="L1382" t="s">
        <v>12</v>
      </c>
    </row>
    <row r="1383" spans="1:12" x14ac:dyDescent="0.3">
      <c r="A1383">
        <v>61</v>
      </c>
      <c r="B1383">
        <v>2024</v>
      </c>
      <c r="C1383">
        <v>0.73</v>
      </c>
      <c r="D1383">
        <v>0.92</v>
      </c>
      <c r="E1383">
        <v>0.88</v>
      </c>
      <c r="F1383">
        <v>0.82</v>
      </c>
      <c r="G1383">
        <v>0.55000000000000004</v>
      </c>
      <c r="H1383">
        <v>0.37</v>
      </c>
      <c r="I1383">
        <v>105</v>
      </c>
      <c r="J1383">
        <v>15</v>
      </c>
      <c r="K1383">
        <v>0.8</v>
      </c>
      <c r="L1383" t="s">
        <v>13</v>
      </c>
    </row>
    <row r="1384" spans="1:12" x14ac:dyDescent="0.3">
      <c r="A1384">
        <v>90</v>
      </c>
      <c r="B1384">
        <v>2023</v>
      </c>
      <c r="C1384">
        <v>0.78</v>
      </c>
      <c r="D1384">
        <v>0.42</v>
      </c>
      <c r="E1384">
        <v>0.8</v>
      </c>
      <c r="F1384">
        <v>0.79</v>
      </c>
      <c r="G1384">
        <v>0.37</v>
      </c>
      <c r="H1384">
        <v>0.28000000000000003</v>
      </c>
      <c r="I1384">
        <v>263</v>
      </c>
      <c r="J1384">
        <v>18</v>
      </c>
      <c r="K1384">
        <v>0.65</v>
      </c>
      <c r="L1384" t="s">
        <v>12</v>
      </c>
    </row>
    <row r="1385" spans="1:12" x14ac:dyDescent="0.3">
      <c r="A1385">
        <v>53</v>
      </c>
      <c r="B1385">
        <v>2022</v>
      </c>
      <c r="C1385">
        <v>0.61</v>
      </c>
      <c r="D1385">
        <v>0.89</v>
      </c>
      <c r="E1385">
        <v>0.96</v>
      </c>
      <c r="F1385">
        <v>0.86</v>
      </c>
      <c r="G1385">
        <v>0.87</v>
      </c>
      <c r="H1385">
        <v>0.06</v>
      </c>
      <c r="I1385">
        <v>182</v>
      </c>
      <c r="J1385">
        <v>6</v>
      </c>
      <c r="K1385">
        <v>0.81</v>
      </c>
      <c r="L1385" t="s">
        <v>13</v>
      </c>
    </row>
    <row r="1386" spans="1:12" x14ac:dyDescent="0.3">
      <c r="A1386">
        <v>57</v>
      </c>
      <c r="B1386">
        <v>2022</v>
      </c>
      <c r="C1386">
        <v>0.48</v>
      </c>
      <c r="D1386">
        <v>0.43</v>
      </c>
      <c r="E1386">
        <v>0.98</v>
      </c>
      <c r="F1386">
        <v>0.94</v>
      </c>
      <c r="G1386">
        <v>0.94</v>
      </c>
      <c r="H1386">
        <v>0.85</v>
      </c>
      <c r="I1386">
        <v>470</v>
      </c>
      <c r="J1386">
        <v>12</v>
      </c>
      <c r="K1386">
        <v>0.68</v>
      </c>
      <c r="L1386" t="s">
        <v>12</v>
      </c>
    </row>
    <row r="1387" spans="1:12" x14ac:dyDescent="0.3">
      <c r="A1387">
        <v>90</v>
      </c>
      <c r="B1387">
        <v>2023</v>
      </c>
      <c r="C1387">
        <v>0.52</v>
      </c>
      <c r="D1387">
        <v>0.88</v>
      </c>
      <c r="E1387">
        <v>0.56999999999999995</v>
      </c>
      <c r="F1387">
        <v>0.91</v>
      </c>
      <c r="G1387">
        <v>0.35</v>
      </c>
      <c r="H1387">
        <v>0.01</v>
      </c>
      <c r="I1387">
        <v>186</v>
      </c>
      <c r="J1387">
        <v>1</v>
      </c>
      <c r="K1387">
        <v>0.66</v>
      </c>
      <c r="L1387" t="s">
        <v>12</v>
      </c>
    </row>
    <row r="1388" spans="1:12" x14ac:dyDescent="0.3">
      <c r="A1388">
        <v>63</v>
      </c>
      <c r="B1388">
        <v>2023</v>
      </c>
      <c r="C1388">
        <v>0.46</v>
      </c>
      <c r="D1388">
        <v>0.77</v>
      </c>
      <c r="E1388">
        <v>0.75</v>
      </c>
      <c r="F1388">
        <v>1</v>
      </c>
      <c r="G1388">
        <v>0.99</v>
      </c>
      <c r="H1388">
        <v>0.64</v>
      </c>
      <c r="I1388">
        <v>110</v>
      </c>
      <c r="J1388">
        <v>13</v>
      </c>
      <c r="K1388">
        <v>0.73</v>
      </c>
      <c r="L1388" t="s">
        <v>13</v>
      </c>
    </row>
    <row r="1389" spans="1:12" x14ac:dyDescent="0.3">
      <c r="A1389">
        <v>50</v>
      </c>
      <c r="B1389">
        <v>2022</v>
      </c>
      <c r="C1389">
        <v>0.78</v>
      </c>
      <c r="D1389">
        <v>0.46</v>
      </c>
      <c r="E1389">
        <v>0.66</v>
      </c>
      <c r="F1389">
        <v>0.63</v>
      </c>
      <c r="G1389">
        <v>0.35</v>
      </c>
      <c r="H1389">
        <v>0.2</v>
      </c>
      <c r="I1389">
        <v>239</v>
      </c>
      <c r="J1389">
        <v>2</v>
      </c>
      <c r="K1389">
        <v>0.61</v>
      </c>
      <c r="L1389" t="s">
        <v>12</v>
      </c>
    </row>
    <row r="1390" spans="1:12" x14ac:dyDescent="0.3">
      <c r="A1390">
        <v>17</v>
      </c>
      <c r="B1390">
        <v>2024</v>
      </c>
      <c r="C1390">
        <v>0.36</v>
      </c>
      <c r="D1390">
        <v>0.73</v>
      </c>
      <c r="E1390">
        <v>0.64</v>
      </c>
      <c r="F1390">
        <v>0.85</v>
      </c>
      <c r="G1390">
        <v>0.98</v>
      </c>
      <c r="H1390">
        <v>0.11</v>
      </c>
      <c r="I1390">
        <v>487</v>
      </c>
      <c r="J1390">
        <v>10</v>
      </c>
      <c r="K1390">
        <v>0.64</v>
      </c>
      <c r="L1390" t="s">
        <v>12</v>
      </c>
    </row>
    <row r="1391" spans="1:12" x14ac:dyDescent="0.3">
      <c r="A1391">
        <v>60</v>
      </c>
      <c r="B1391">
        <v>2024</v>
      </c>
      <c r="C1391">
        <v>0.84</v>
      </c>
      <c r="D1391">
        <v>0.94</v>
      </c>
      <c r="E1391">
        <v>0.67</v>
      </c>
      <c r="F1391">
        <v>1</v>
      </c>
      <c r="G1391">
        <v>0.37</v>
      </c>
      <c r="H1391">
        <v>0.05</v>
      </c>
      <c r="I1391">
        <v>63</v>
      </c>
      <c r="J1391">
        <v>15</v>
      </c>
      <c r="K1391">
        <v>0.81</v>
      </c>
      <c r="L1391" t="s">
        <v>13</v>
      </c>
    </row>
    <row r="1392" spans="1:12" x14ac:dyDescent="0.3">
      <c r="A1392">
        <v>25</v>
      </c>
      <c r="B1392">
        <v>2021</v>
      </c>
      <c r="C1392">
        <v>0.36</v>
      </c>
      <c r="D1392">
        <v>0.47</v>
      </c>
      <c r="E1392">
        <v>0.52</v>
      </c>
      <c r="F1392">
        <v>0.64</v>
      </c>
      <c r="G1392">
        <v>0.45</v>
      </c>
      <c r="H1392">
        <v>0.97</v>
      </c>
      <c r="I1392">
        <v>362</v>
      </c>
      <c r="J1392">
        <v>2</v>
      </c>
      <c r="K1392">
        <v>0.47</v>
      </c>
      <c r="L1392" t="s">
        <v>12</v>
      </c>
    </row>
    <row r="1393" spans="1:12" x14ac:dyDescent="0.3">
      <c r="A1393">
        <v>65</v>
      </c>
      <c r="B1393">
        <v>2021</v>
      </c>
      <c r="C1393">
        <v>0.84</v>
      </c>
      <c r="D1393">
        <v>0.72</v>
      </c>
      <c r="E1393">
        <v>0.9</v>
      </c>
      <c r="F1393">
        <v>0.84</v>
      </c>
      <c r="G1393">
        <v>0.52</v>
      </c>
      <c r="H1393">
        <v>0.56000000000000005</v>
      </c>
      <c r="I1393">
        <v>264</v>
      </c>
      <c r="J1393">
        <v>11</v>
      </c>
      <c r="K1393">
        <v>0.79</v>
      </c>
      <c r="L1393" t="s">
        <v>13</v>
      </c>
    </row>
    <row r="1394" spans="1:12" x14ac:dyDescent="0.3">
      <c r="A1394">
        <v>89</v>
      </c>
      <c r="B1394">
        <v>2024</v>
      </c>
      <c r="C1394">
        <v>0.74</v>
      </c>
      <c r="D1394">
        <v>0.55000000000000004</v>
      </c>
      <c r="E1394">
        <v>0.72</v>
      </c>
      <c r="F1394">
        <v>0.9</v>
      </c>
      <c r="G1394">
        <v>0.61</v>
      </c>
      <c r="H1394">
        <v>7.0000000000000007E-2</v>
      </c>
      <c r="I1394">
        <v>59</v>
      </c>
      <c r="J1394">
        <v>17</v>
      </c>
      <c r="K1394">
        <v>0.7</v>
      </c>
      <c r="L1394" t="s">
        <v>12</v>
      </c>
    </row>
    <row r="1395" spans="1:12" x14ac:dyDescent="0.3">
      <c r="A1395">
        <v>47</v>
      </c>
      <c r="B1395">
        <v>2022</v>
      </c>
      <c r="C1395">
        <v>0.75</v>
      </c>
      <c r="D1395">
        <v>0.74</v>
      </c>
      <c r="E1395">
        <v>0.57999999999999996</v>
      </c>
      <c r="F1395">
        <v>0.94</v>
      </c>
      <c r="G1395">
        <v>0.97</v>
      </c>
      <c r="H1395">
        <v>0.04</v>
      </c>
      <c r="I1395">
        <v>439</v>
      </c>
      <c r="J1395">
        <v>13</v>
      </c>
      <c r="K1395">
        <v>0.76</v>
      </c>
      <c r="L1395" t="s">
        <v>13</v>
      </c>
    </row>
    <row r="1396" spans="1:12" x14ac:dyDescent="0.3">
      <c r="A1396">
        <v>33</v>
      </c>
      <c r="B1396">
        <v>2021</v>
      </c>
      <c r="C1396">
        <v>0.77</v>
      </c>
      <c r="D1396">
        <v>0.63</v>
      </c>
      <c r="E1396">
        <v>0.74</v>
      </c>
      <c r="F1396">
        <v>1</v>
      </c>
      <c r="G1396">
        <v>0.45</v>
      </c>
      <c r="H1396">
        <v>0.42</v>
      </c>
      <c r="I1396">
        <v>216</v>
      </c>
      <c r="J1396">
        <v>11</v>
      </c>
      <c r="K1396">
        <v>0.73</v>
      </c>
      <c r="L1396" t="s">
        <v>13</v>
      </c>
    </row>
    <row r="1397" spans="1:12" x14ac:dyDescent="0.3">
      <c r="A1397">
        <v>4</v>
      </c>
      <c r="B1397">
        <v>2022</v>
      </c>
      <c r="C1397">
        <v>0.85</v>
      </c>
      <c r="D1397">
        <v>0.6</v>
      </c>
      <c r="E1397">
        <v>0.69</v>
      </c>
      <c r="F1397">
        <v>0.96</v>
      </c>
      <c r="G1397">
        <v>0.57999999999999996</v>
      </c>
      <c r="H1397">
        <v>0.62</v>
      </c>
      <c r="I1397">
        <v>145</v>
      </c>
      <c r="J1397">
        <v>9</v>
      </c>
      <c r="K1397">
        <v>0.75</v>
      </c>
      <c r="L1397" t="s">
        <v>13</v>
      </c>
    </row>
    <row r="1398" spans="1:12" x14ac:dyDescent="0.3">
      <c r="A1398">
        <v>67</v>
      </c>
      <c r="B1398">
        <v>2022</v>
      </c>
      <c r="C1398">
        <v>0.79</v>
      </c>
      <c r="D1398">
        <v>0.7</v>
      </c>
      <c r="E1398">
        <v>0.72</v>
      </c>
      <c r="F1398">
        <v>0.98</v>
      </c>
      <c r="G1398">
        <v>0.44</v>
      </c>
      <c r="H1398">
        <v>0.31</v>
      </c>
      <c r="I1398">
        <v>463</v>
      </c>
      <c r="J1398">
        <v>14</v>
      </c>
      <c r="K1398">
        <v>0.75</v>
      </c>
      <c r="L1398" t="s">
        <v>13</v>
      </c>
    </row>
    <row r="1399" spans="1:12" x14ac:dyDescent="0.3">
      <c r="A1399">
        <v>47</v>
      </c>
      <c r="B1399">
        <v>2023</v>
      </c>
      <c r="C1399">
        <v>0.63</v>
      </c>
      <c r="D1399">
        <v>0.99</v>
      </c>
      <c r="E1399">
        <v>0.94</v>
      </c>
      <c r="F1399">
        <v>0.73</v>
      </c>
      <c r="G1399">
        <v>0.6</v>
      </c>
      <c r="H1399">
        <v>0.67</v>
      </c>
      <c r="I1399">
        <v>427</v>
      </c>
      <c r="J1399">
        <v>7</v>
      </c>
      <c r="K1399">
        <v>0.79</v>
      </c>
      <c r="L1399" t="s">
        <v>13</v>
      </c>
    </row>
    <row r="1400" spans="1:12" x14ac:dyDescent="0.3">
      <c r="A1400">
        <v>22</v>
      </c>
      <c r="B1400">
        <v>2022</v>
      </c>
      <c r="C1400">
        <v>0.92</v>
      </c>
      <c r="D1400">
        <v>0.91</v>
      </c>
      <c r="E1400">
        <v>0.69</v>
      </c>
      <c r="F1400">
        <v>0.78</v>
      </c>
      <c r="G1400">
        <v>0.31</v>
      </c>
      <c r="H1400">
        <v>0.4</v>
      </c>
      <c r="I1400">
        <v>123</v>
      </c>
      <c r="J1400">
        <v>4</v>
      </c>
      <c r="K1400">
        <v>0.79</v>
      </c>
      <c r="L1400" t="s">
        <v>13</v>
      </c>
    </row>
    <row r="1401" spans="1:12" x14ac:dyDescent="0.3">
      <c r="A1401">
        <v>23</v>
      </c>
      <c r="B1401">
        <v>2022</v>
      </c>
      <c r="C1401">
        <v>0.6</v>
      </c>
      <c r="D1401">
        <v>0.98</v>
      </c>
      <c r="E1401">
        <v>0.56999999999999995</v>
      </c>
      <c r="F1401">
        <v>0.83</v>
      </c>
      <c r="G1401">
        <v>0.44</v>
      </c>
      <c r="H1401">
        <v>0.79</v>
      </c>
      <c r="I1401">
        <v>143</v>
      </c>
      <c r="J1401">
        <v>18</v>
      </c>
      <c r="K1401">
        <v>0.71</v>
      </c>
      <c r="L1401" t="s">
        <v>13</v>
      </c>
    </row>
    <row r="1402" spans="1:12" x14ac:dyDescent="0.3">
      <c r="A1402">
        <v>87</v>
      </c>
      <c r="B1402">
        <v>2022</v>
      </c>
      <c r="C1402">
        <v>0.76</v>
      </c>
      <c r="D1402">
        <v>0.43</v>
      </c>
      <c r="E1402">
        <v>0.55000000000000004</v>
      </c>
      <c r="F1402">
        <v>0.65</v>
      </c>
      <c r="G1402">
        <v>0.36</v>
      </c>
      <c r="H1402">
        <v>0.18</v>
      </c>
      <c r="I1402">
        <v>164</v>
      </c>
      <c r="J1402">
        <v>0</v>
      </c>
      <c r="K1402">
        <v>0.57999999999999996</v>
      </c>
      <c r="L1402" t="s">
        <v>12</v>
      </c>
    </row>
    <row r="1403" spans="1:12" x14ac:dyDescent="0.3">
      <c r="A1403">
        <v>63</v>
      </c>
      <c r="B1403">
        <v>2022</v>
      </c>
      <c r="C1403">
        <v>0.86</v>
      </c>
      <c r="D1403">
        <v>0.49</v>
      </c>
      <c r="E1403">
        <v>0.83</v>
      </c>
      <c r="F1403">
        <v>0.73</v>
      </c>
      <c r="G1403">
        <v>0.54</v>
      </c>
      <c r="H1403">
        <v>0.66</v>
      </c>
      <c r="I1403">
        <v>108</v>
      </c>
      <c r="J1403">
        <v>17</v>
      </c>
      <c r="K1403">
        <v>0.71</v>
      </c>
      <c r="L1403" t="s">
        <v>13</v>
      </c>
    </row>
    <row r="1404" spans="1:12" x14ac:dyDescent="0.3">
      <c r="A1404">
        <v>33</v>
      </c>
      <c r="B1404">
        <v>2023</v>
      </c>
      <c r="C1404">
        <v>0.85</v>
      </c>
      <c r="D1404">
        <v>0.44</v>
      </c>
      <c r="E1404">
        <v>0.6</v>
      </c>
      <c r="F1404">
        <v>0.86</v>
      </c>
      <c r="G1404">
        <v>0.9</v>
      </c>
      <c r="H1404">
        <v>0.25</v>
      </c>
      <c r="I1404">
        <v>91</v>
      </c>
      <c r="J1404">
        <v>1</v>
      </c>
      <c r="K1404">
        <v>0.7</v>
      </c>
      <c r="L1404" t="s">
        <v>12</v>
      </c>
    </row>
    <row r="1405" spans="1:12" x14ac:dyDescent="0.3">
      <c r="A1405">
        <v>71</v>
      </c>
      <c r="B1405">
        <v>2024</v>
      </c>
      <c r="C1405">
        <v>0.57999999999999996</v>
      </c>
      <c r="D1405">
        <v>0.69</v>
      </c>
      <c r="E1405">
        <v>0.9</v>
      </c>
      <c r="F1405">
        <v>0.79</v>
      </c>
      <c r="G1405">
        <v>0.85</v>
      </c>
      <c r="H1405">
        <v>0.43</v>
      </c>
      <c r="I1405">
        <v>453</v>
      </c>
      <c r="J1405">
        <v>19</v>
      </c>
      <c r="K1405">
        <v>0.73</v>
      </c>
      <c r="L1405" t="s">
        <v>13</v>
      </c>
    </row>
    <row r="1406" spans="1:12" x14ac:dyDescent="0.3">
      <c r="A1406">
        <v>9</v>
      </c>
      <c r="B1406">
        <v>2024</v>
      </c>
      <c r="C1406">
        <v>0.41</v>
      </c>
      <c r="D1406">
        <v>0.9</v>
      </c>
      <c r="E1406">
        <v>0.68</v>
      </c>
      <c r="F1406">
        <v>0.71</v>
      </c>
      <c r="G1406">
        <v>0.89</v>
      </c>
      <c r="H1406">
        <v>0.05</v>
      </c>
      <c r="I1406">
        <v>430</v>
      </c>
      <c r="J1406">
        <v>2</v>
      </c>
      <c r="K1406">
        <v>0.68</v>
      </c>
      <c r="L1406" t="s">
        <v>12</v>
      </c>
    </row>
    <row r="1407" spans="1:12" x14ac:dyDescent="0.3">
      <c r="A1407">
        <v>85</v>
      </c>
      <c r="B1407">
        <v>2024</v>
      </c>
      <c r="C1407">
        <v>0.5</v>
      </c>
      <c r="D1407">
        <v>0.95</v>
      </c>
      <c r="E1407">
        <v>0.88</v>
      </c>
      <c r="F1407">
        <v>0.63</v>
      </c>
      <c r="G1407">
        <v>0.8</v>
      </c>
      <c r="H1407">
        <v>0.53</v>
      </c>
      <c r="I1407">
        <v>385</v>
      </c>
      <c r="J1407">
        <v>14</v>
      </c>
      <c r="K1407">
        <v>0.74</v>
      </c>
      <c r="L1407" t="s">
        <v>13</v>
      </c>
    </row>
    <row r="1408" spans="1:12" x14ac:dyDescent="0.3">
      <c r="A1408">
        <v>39</v>
      </c>
      <c r="B1408">
        <v>2022</v>
      </c>
      <c r="C1408">
        <v>0.7</v>
      </c>
      <c r="D1408">
        <v>0.7</v>
      </c>
      <c r="E1408">
        <v>0.74</v>
      </c>
      <c r="F1408">
        <v>0.78</v>
      </c>
      <c r="G1408">
        <v>0.44</v>
      </c>
      <c r="H1408">
        <v>0.76</v>
      </c>
      <c r="I1408">
        <v>77</v>
      </c>
      <c r="J1408">
        <v>3</v>
      </c>
      <c r="K1408">
        <v>0.69</v>
      </c>
      <c r="L1408" t="s">
        <v>12</v>
      </c>
    </row>
    <row r="1409" spans="1:12" x14ac:dyDescent="0.3">
      <c r="A1409">
        <v>20</v>
      </c>
      <c r="B1409">
        <v>2021</v>
      </c>
      <c r="C1409">
        <v>0.78</v>
      </c>
      <c r="D1409">
        <v>0.96</v>
      </c>
      <c r="E1409">
        <v>0.83</v>
      </c>
      <c r="F1409">
        <v>0.95</v>
      </c>
      <c r="G1409">
        <v>0.88</v>
      </c>
      <c r="H1409">
        <v>0.36</v>
      </c>
      <c r="I1409">
        <v>288</v>
      </c>
      <c r="J1409">
        <v>7</v>
      </c>
      <c r="K1409">
        <v>0.87</v>
      </c>
      <c r="L1409" t="s">
        <v>13</v>
      </c>
    </row>
    <row r="1410" spans="1:12" x14ac:dyDescent="0.3">
      <c r="A1410">
        <v>81</v>
      </c>
      <c r="B1410">
        <v>2025</v>
      </c>
      <c r="C1410">
        <v>0.67</v>
      </c>
      <c r="D1410">
        <v>0.54</v>
      </c>
      <c r="E1410">
        <v>0.87</v>
      </c>
      <c r="F1410">
        <v>0.81</v>
      </c>
      <c r="G1410">
        <v>0.59</v>
      </c>
      <c r="H1410">
        <v>0.27</v>
      </c>
      <c r="I1410">
        <v>85</v>
      </c>
      <c r="J1410">
        <v>14</v>
      </c>
      <c r="K1410">
        <v>0.69</v>
      </c>
      <c r="L1410" t="s">
        <v>12</v>
      </c>
    </row>
    <row r="1411" spans="1:12" x14ac:dyDescent="0.3">
      <c r="A1411">
        <v>19</v>
      </c>
      <c r="B1411">
        <v>2023</v>
      </c>
      <c r="C1411">
        <v>0.7</v>
      </c>
      <c r="D1411">
        <v>0.81</v>
      </c>
      <c r="E1411">
        <v>0.56000000000000005</v>
      </c>
      <c r="F1411">
        <v>0.65</v>
      </c>
      <c r="G1411">
        <v>0.7</v>
      </c>
      <c r="H1411">
        <v>0.27</v>
      </c>
      <c r="I1411">
        <v>175</v>
      </c>
      <c r="J1411">
        <v>11</v>
      </c>
      <c r="K1411">
        <v>0.69</v>
      </c>
      <c r="L1411" t="s">
        <v>12</v>
      </c>
    </row>
    <row r="1412" spans="1:12" x14ac:dyDescent="0.3">
      <c r="A1412">
        <v>82</v>
      </c>
      <c r="B1412">
        <v>2021</v>
      </c>
      <c r="C1412">
        <v>0.37</v>
      </c>
      <c r="D1412">
        <v>0.47</v>
      </c>
      <c r="E1412">
        <v>0.79</v>
      </c>
      <c r="F1412">
        <v>0.91</v>
      </c>
      <c r="G1412">
        <v>0.56000000000000005</v>
      </c>
      <c r="H1412">
        <v>0.98</v>
      </c>
      <c r="I1412">
        <v>158</v>
      </c>
      <c r="J1412">
        <v>4</v>
      </c>
      <c r="K1412">
        <v>0.57999999999999996</v>
      </c>
      <c r="L1412" t="s">
        <v>12</v>
      </c>
    </row>
    <row r="1413" spans="1:12" x14ac:dyDescent="0.3">
      <c r="A1413">
        <v>89</v>
      </c>
      <c r="B1413">
        <v>2025</v>
      </c>
      <c r="C1413">
        <v>0.49</v>
      </c>
      <c r="D1413">
        <v>0.74</v>
      </c>
      <c r="E1413">
        <v>0.72</v>
      </c>
      <c r="F1413">
        <v>0.82</v>
      </c>
      <c r="G1413">
        <v>0.66</v>
      </c>
      <c r="H1413">
        <v>0.86</v>
      </c>
      <c r="I1413">
        <v>329</v>
      </c>
      <c r="J1413">
        <v>6</v>
      </c>
      <c r="K1413">
        <v>0.66</v>
      </c>
      <c r="L1413" t="s">
        <v>12</v>
      </c>
    </row>
    <row r="1414" spans="1:12" x14ac:dyDescent="0.3">
      <c r="A1414">
        <v>21</v>
      </c>
      <c r="B1414">
        <v>2024</v>
      </c>
      <c r="C1414">
        <v>0.6</v>
      </c>
      <c r="D1414">
        <v>0.41</v>
      </c>
      <c r="E1414">
        <v>0.66</v>
      </c>
      <c r="F1414">
        <v>0.75</v>
      </c>
      <c r="G1414">
        <v>0.56000000000000005</v>
      </c>
      <c r="H1414">
        <v>0.98</v>
      </c>
      <c r="I1414">
        <v>239</v>
      </c>
      <c r="J1414">
        <v>5</v>
      </c>
      <c r="K1414">
        <v>0.57999999999999996</v>
      </c>
      <c r="L1414" t="s">
        <v>12</v>
      </c>
    </row>
    <row r="1415" spans="1:12" x14ac:dyDescent="0.3">
      <c r="A1415">
        <v>66</v>
      </c>
      <c r="B1415">
        <v>2024</v>
      </c>
      <c r="C1415">
        <v>0.73</v>
      </c>
      <c r="D1415">
        <v>0.95</v>
      </c>
      <c r="E1415">
        <v>0.62</v>
      </c>
      <c r="F1415">
        <v>0.65</v>
      </c>
      <c r="G1415">
        <v>0.3</v>
      </c>
      <c r="H1415">
        <v>0.51</v>
      </c>
      <c r="I1415">
        <v>317</v>
      </c>
      <c r="J1415">
        <v>4</v>
      </c>
      <c r="K1415">
        <v>0.71</v>
      </c>
      <c r="L1415" t="s">
        <v>13</v>
      </c>
    </row>
    <row r="1416" spans="1:12" x14ac:dyDescent="0.3">
      <c r="A1416">
        <v>56</v>
      </c>
      <c r="B1416">
        <v>2022</v>
      </c>
      <c r="C1416">
        <v>0.62</v>
      </c>
      <c r="D1416">
        <v>0.87</v>
      </c>
      <c r="E1416">
        <v>0.73</v>
      </c>
      <c r="F1416">
        <v>0.83</v>
      </c>
      <c r="G1416">
        <v>0.85</v>
      </c>
      <c r="H1416">
        <v>0.56000000000000005</v>
      </c>
      <c r="I1416">
        <v>213</v>
      </c>
      <c r="J1416">
        <v>0</v>
      </c>
      <c r="K1416">
        <v>0.76</v>
      </c>
      <c r="L1416" t="s">
        <v>13</v>
      </c>
    </row>
    <row r="1417" spans="1:12" x14ac:dyDescent="0.3">
      <c r="A1417">
        <v>15</v>
      </c>
      <c r="B1417">
        <v>2022</v>
      </c>
      <c r="C1417">
        <v>0.91</v>
      </c>
      <c r="D1417">
        <v>0.98</v>
      </c>
      <c r="E1417">
        <v>0.96</v>
      </c>
      <c r="F1417">
        <v>0.92</v>
      </c>
      <c r="G1417">
        <v>0.75</v>
      </c>
      <c r="H1417">
        <v>0.78</v>
      </c>
      <c r="I1417">
        <v>247</v>
      </c>
      <c r="J1417">
        <v>0</v>
      </c>
      <c r="K1417">
        <v>0.92</v>
      </c>
      <c r="L1417" t="s">
        <v>13</v>
      </c>
    </row>
    <row r="1418" spans="1:12" x14ac:dyDescent="0.3">
      <c r="A1418">
        <v>83</v>
      </c>
      <c r="B1418">
        <v>2024</v>
      </c>
      <c r="C1418">
        <v>0.83</v>
      </c>
      <c r="D1418">
        <v>0.67</v>
      </c>
      <c r="E1418">
        <v>0.61</v>
      </c>
      <c r="F1418">
        <v>0.68</v>
      </c>
      <c r="G1418">
        <v>0.9</v>
      </c>
      <c r="H1418">
        <v>0.68</v>
      </c>
      <c r="I1418">
        <v>295</v>
      </c>
      <c r="J1418">
        <v>3</v>
      </c>
      <c r="K1418">
        <v>0.73</v>
      </c>
      <c r="L1418" t="s">
        <v>13</v>
      </c>
    </row>
    <row r="1419" spans="1:12" x14ac:dyDescent="0.3">
      <c r="A1419">
        <v>65</v>
      </c>
      <c r="B1419">
        <v>2021</v>
      </c>
      <c r="C1419">
        <v>0.6</v>
      </c>
      <c r="D1419">
        <v>0.43</v>
      </c>
      <c r="E1419">
        <v>0.73</v>
      </c>
      <c r="F1419">
        <v>0.92</v>
      </c>
      <c r="G1419">
        <v>0.56999999999999995</v>
      </c>
      <c r="H1419">
        <v>0.38</v>
      </c>
      <c r="I1419">
        <v>179</v>
      </c>
      <c r="J1419">
        <v>3</v>
      </c>
      <c r="K1419">
        <v>0.63</v>
      </c>
      <c r="L1419" t="s">
        <v>12</v>
      </c>
    </row>
    <row r="1420" spans="1:12" x14ac:dyDescent="0.3">
      <c r="A1420">
        <v>20</v>
      </c>
      <c r="B1420">
        <v>2023</v>
      </c>
      <c r="C1420">
        <v>0.45</v>
      </c>
      <c r="D1420">
        <v>0.64</v>
      </c>
      <c r="E1420">
        <v>0.53</v>
      </c>
      <c r="F1420">
        <v>0.69</v>
      </c>
      <c r="G1420">
        <v>0.86</v>
      </c>
      <c r="H1420">
        <v>0.8</v>
      </c>
      <c r="I1420">
        <v>261</v>
      </c>
      <c r="J1420">
        <v>1</v>
      </c>
      <c r="K1420">
        <v>0.59</v>
      </c>
      <c r="L1420" t="s">
        <v>12</v>
      </c>
    </row>
    <row r="1421" spans="1:12" x14ac:dyDescent="0.3">
      <c r="A1421">
        <v>98</v>
      </c>
      <c r="B1421">
        <v>2024</v>
      </c>
      <c r="C1421">
        <v>0.99</v>
      </c>
      <c r="D1421">
        <v>0.79</v>
      </c>
      <c r="E1421">
        <v>0.77</v>
      </c>
      <c r="F1421">
        <v>0.91</v>
      </c>
      <c r="G1421">
        <v>0.89</v>
      </c>
      <c r="H1421">
        <v>0.81</v>
      </c>
      <c r="I1421">
        <v>253</v>
      </c>
      <c r="J1421">
        <v>15</v>
      </c>
      <c r="K1421">
        <v>0.87</v>
      </c>
      <c r="L1421" t="s">
        <v>13</v>
      </c>
    </row>
    <row r="1422" spans="1:12" x14ac:dyDescent="0.3">
      <c r="A1422">
        <v>69</v>
      </c>
      <c r="B1422">
        <v>2022</v>
      </c>
      <c r="C1422">
        <v>0.56000000000000005</v>
      </c>
      <c r="D1422">
        <v>0.99</v>
      </c>
      <c r="E1422">
        <v>0.83</v>
      </c>
      <c r="F1422">
        <v>0.98</v>
      </c>
      <c r="G1422">
        <v>0.44</v>
      </c>
      <c r="H1422">
        <v>0.86</v>
      </c>
      <c r="I1422">
        <v>329</v>
      </c>
      <c r="J1422">
        <v>18</v>
      </c>
      <c r="K1422">
        <v>0.77</v>
      </c>
      <c r="L1422" t="s">
        <v>13</v>
      </c>
    </row>
    <row r="1423" spans="1:12" x14ac:dyDescent="0.3">
      <c r="A1423">
        <v>30</v>
      </c>
      <c r="B1423">
        <v>2025</v>
      </c>
      <c r="C1423">
        <v>0.41</v>
      </c>
      <c r="D1423">
        <v>0.71</v>
      </c>
      <c r="E1423">
        <v>0.9</v>
      </c>
      <c r="F1423">
        <v>0.77</v>
      </c>
      <c r="G1423">
        <v>0.63</v>
      </c>
      <c r="H1423">
        <v>0.99</v>
      </c>
      <c r="I1423">
        <v>232</v>
      </c>
      <c r="J1423">
        <v>3</v>
      </c>
      <c r="K1423">
        <v>0.66</v>
      </c>
      <c r="L1423" t="s">
        <v>12</v>
      </c>
    </row>
    <row r="1424" spans="1:12" x14ac:dyDescent="0.3">
      <c r="A1424">
        <v>97</v>
      </c>
      <c r="B1424">
        <v>2025</v>
      </c>
      <c r="C1424">
        <v>0.89</v>
      </c>
      <c r="D1424">
        <v>0.79</v>
      </c>
      <c r="E1424">
        <v>0.7</v>
      </c>
      <c r="F1424">
        <v>0.61</v>
      </c>
      <c r="G1424">
        <v>0.71</v>
      </c>
      <c r="H1424">
        <v>0.01</v>
      </c>
      <c r="I1424">
        <v>399</v>
      </c>
      <c r="J1424">
        <v>14</v>
      </c>
      <c r="K1424">
        <v>0.77</v>
      </c>
      <c r="L1424" t="s">
        <v>13</v>
      </c>
    </row>
    <row r="1425" spans="1:12" x14ac:dyDescent="0.3">
      <c r="A1425">
        <v>30</v>
      </c>
      <c r="B1425">
        <v>2021</v>
      </c>
      <c r="C1425">
        <v>0.43</v>
      </c>
      <c r="D1425">
        <v>0.79</v>
      </c>
      <c r="E1425">
        <v>0.53</v>
      </c>
      <c r="F1425">
        <v>0.73</v>
      </c>
      <c r="G1425">
        <v>0.4</v>
      </c>
      <c r="H1425">
        <v>0.57999999999999996</v>
      </c>
      <c r="I1425">
        <v>294</v>
      </c>
      <c r="J1425">
        <v>7</v>
      </c>
      <c r="K1425">
        <v>0.57999999999999996</v>
      </c>
      <c r="L1425" t="s">
        <v>12</v>
      </c>
    </row>
    <row r="1426" spans="1:12" x14ac:dyDescent="0.3">
      <c r="A1426">
        <v>45</v>
      </c>
      <c r="B1426">
        <v>2024</v>
      </c>
      <c r="C1426">
        <v>0.36</v>
      </c>
      <c r="D1426">
        <v>0.45</v>
      </c>
      <c r="E1426">
        <v>0.71</v>
      </c>
      <c r="F1426">
        <v>0.98</v>
      </c>
      <c r="G1426">
        <v>0.45</v>
      </c>
      <c r="H1426">
        <v>0.26</v>
      </c>
      <c r="I1426">
        <v>342</v>
      </c>
      <c r="J1426">
        <v>12</v>
      </c>
      <c r="K1426">
        <v>0.55000000000000004</v>
      </c>
      <c r="L1426" t="s">
        <v>12</v>
      </c>
    </row>
    <row r="1427" spans="1:12" x14ac:dyDescent="0.3">
      <c r="A1427">
        <v>93</v>
      </c>
      <c r="B1427">
        <v>2025</v>
      </c>
      <c r="C1427">
        <v>0.78</v>
      </c>
      <c r="D1427">
        <v>0.79</v>
      </c>
      <c r="E1427">
        <v>0.93</v>
      </c>
      <c r="F1427">
        <v>0.79</v>
      </c>
      <c r="G1427">
        <v>0.39</v>
      </c>
      <c r="H1427">
        <v>0.28999999999999998</v>
      </c>
      <c r="I1427">
        <v>238</v>
      </c>
      <c r="J1427">
        <v>19</v>
      </c>
      <c r="K1427">
        <v>0.78</v>
      </c>
      <c r="L1427" t="s">
        <v>13</v>
      </c>
    </row>
    <row r="1428" spans="1:12" x14ac:dyDescent="0.3">
      <c r="A1428">
        <v>79</v>
      </c>
      <c r="B1428">
        <v>2022</v>
      </c>
      <c r="C1428">
        <v>0.67</v>
      </c>
      <c r="D1428">
        <v>0.81</v>
      </c>
      <c r="E1428">
        <v>0.82</v>
      </c>
      <c r="F1428">
        <v>0.95</v>
      </c>
      <c r="G1428">
        <v>0.71</v>
      </c>
      <c r="H1428">
        <v>0.78</v>
      </c>
      <c r="I1428">
        <v>494</v>
      </c>
      <c r="J1428">
        <v>0</v>
      </c>
      <c r="K1428">
        <v>0.78</v>
      </c>
      <c r="L1428" t="s">
        <v>13</v>
      </c>
    </row>
    <row r="1429" spans="1:12" x14ac:dyDescent="0.3">
      <c r="A1429">
        <v>3</v>
      </c>
      <c r="B1429">
        <v>2023</v>
      </c>
      <c r="C1429">
        <v>0.56999999999999995</v>
      </c>
      <c r="D1429">
        <v>0.87</v>
      </c>
      <c r="E1429">
        <v>0.86</v>
      </c>
      <c r="F1429">
        <v>0.62</v>
      </c>
      <c r="G1429">
        <v>0.71</v>
      </c>
      <c r="H1429">
        <v>0.13</v>
      </c>
      <c r="I1429">
        <v>234</v>
      </c>
      <c r="J1429">
        <v>16</v>
      </c>
      <c r="K1429">
        <v>0.72</v>
      </c>
      <c r="L1429" t="s">
        <v>13</v>
      </c>
    </row>
    <row r="1430" spans="1:12" x14ac:dyDescent="0.3">
      <c r="A1430">
        <v>8</v>
      </c>
      <c r="B1430">
        <v>2023</v>
      </c>
      <c r="C1430">
        <v>0.65</v>
      </c>
      <c r="D1430">
        <v>0.5</v>
      </c>
      <c r="E1430">
        <v>0.68</v>
      </c>
      <c r="F1430">
        <v>0.64</v>
      </c>
      <c r="G1430">
        <v>0.7</v>
      </c>
      <c r="H1430">
        <v>0.1</v>
      </c>
      <c r="I1430">
        <v>228</v>
      </c>
      <c r="J1430">
        <v>4</v>
      </c>
      <c r="K1430">
        <v>0.62</v>
      </c>
      <c r="L1430" t="s">
        <v>12</v>
      </c>
    </row>
    <row r="1431" spans="1:12" x14ac:dyDescent="0.3">
      <c r="A1431">
        <v>9</v>
      </c>
      <c r="B1431">
        <v>2024</v>
      </c>
      <c r="C1431">
        <v>0.89</v>
      </c>
      <c r="D1431">
        <v>0.94</v>
      </c>
      <c r="E1431">
        <v>0.54</v>
      </c>
      <c r="F1431">
        <v>0.85</v>
      </c>
      <c r="G1431">
        <v>0.78</v>
      </c>
      <c r="H1431">
        <v>0.53</v>
      </c>
      <c r="I1431">
        <v>318</v>
      </c>
      <c r="J1431">
        <v>10</v>
      </c>
      <c r="K1431">
        <v>0.82</v>
      </c>
      <c r="L1431" t="s">
        <v>13</v>
      </c>
    </row>
    <row r="1432" spans="1:12" x14ac:dyDescent="0.3">
      <c r="A1432">
        <v>29</v>
      </c>
      <c r="B1432">
        <v>2023</v>
      </c>
      <c r="C1432">
        <v>0.75</v>
      </c>
      <c r="D1432">
        <v>0.63</v>
      </c>
      <c r="E1432">
        <v>0.71</v>
      </c>
      <c r="F1432">
        <v>0.63</v>
      </c>
      <c r="G1432">
        <v>0.32</v>
      </c>
      <c r="H1432">
        <v>0.7</v>
      </c>
      <c r="I1432">
        <v>97</v>
      </c>
      <c r="J1432">
        <v>15</v>
      </c>
      <c r="K1432">
        <v>0.65</v>
      </c>
      <c r="L1432" t="s">
        <v>12</v>
      </c>
    </row>
    <row r="1433" spans="1:12" x14ac:dyDescent="0.3">
      <c r="A1433">
        <v>60</v>
      </c>
      <c r="B1433">
        <v>2021</v>
      </c>
      <c r="C1433">
        <v>0.49</v>
      </c>
      <c r="D1433">
        <v>0.69</v>
      </c>
      <c r="E1433">
        <v>0.74</v>
      </c>
      <c r="F1433">
        <v>0.76</v>
      </c>
      <c r="G1433">
        <v>0.87</v>
      </c>
      <c r="H1433">
        <v>0.45</v>
      </c>
      <c r="I1433">
        <v>194</v>
      </c>
      <c r="J1433">
        <v>16</v>
      </c>
      <c r="K1433">
        <v>0.67</v>
      </c>
      <c r="L1433" t="s">
        <v>12</v>
      </c>
    </row>
    <row r="1434" spans="1:12" x14ac:dyDescent="0.3">
      <c r="A1434">
        <v>97</v>
      </c>
      <c r="B1434">
        <v>2024</v>
      </c>
      <c r="C1434">
        <v>0.91</v>
      </c>
      <c r="D1434">
        <v>0.93</v>
      </c>
      <c r="E1434">
        <v>0.64</v>
      </c>
      <c r="F1434">
        <v>0.61</v>
      </c>
      <c r="G1434">
        <v>0.48</v>
      </c>
      <c r="H1434">
        <v>0.28000000000000003</v>
      </c>
      <c r="I1434">
        <v>187</v>
      </c>
      <c r="J1434">
        <v>16</v>
      </c>
      <c r="K1434">
        <v>0.77</v>
      </c>
      <c r="L1434" t="s">
        <v>13</v>
      </c>
    </row>
    <row r="1435" spans="1:12" x14ac:dyDescent="0.3">
      <c r="A1435">
        <v>29</v>
      </c>
      <c r="B1435">
        <v>2021</v>
      </c>
      <c r="C1435">
        <v>0.39</v>
      </c>
      <c r="D1435">
        <v>0.49</v>
      </c>
      <c r="E1435">
        <v>0.82</v>
      </c>
      <c r="F1435">
        <v>0.89</v>
      </c>
      <c r="G1435">
        <v>0.9</v>
      </c>
      <c r="H1435">
        <v>0.94</v>
      </c>
      <c r="I1435">
        <v>276</v>
      </c>
      <c r="J1435">
        <v>3</v>
      </c>
      <c r="K1435">
        <v>0.63</v>
      </c>
      <c r="L1435" t="s">
        <v>12</v>
      </c>
    </row>
    <row r="1436" spans="1:12" x14ac:dyDescent="0.3">
      <c r="A1436">
        <v>36</v>
      </c>
      <c r="B1436">
        <v>2021</v>
      </c>
      <c r="C1436">
        <v>0.64</v>
      </c>
      <c r="D1436">
        <v>0.76</v>
      </c>
      <c r="E1436">
        <v>0.54</v>
      </c>
      <c r="F1436">
        <v>0.71</v>
      </c>
      <c r="G1436">
        <v>0.53</v>
      </c>
      <c r="H1436">
        <v>0.56000000000000005</v>
      </c>
      <c r="I1436">
        <v>133</v>
      </c>
      <c r="J1436">
        <v>3</v>
      </c>
      <c r="K1436">
        <v>0.65</v>
      </c>
      <c r="L1436" t="s">
        <v>12</v>
      </c>
    </row>
    <row r="1437" spans="1:12" x14ac:dyDescent="0.3">
      <c r="A1437">
        <v>43</v>
      </c>
      <c r="B1437">
        <v>2024</v>
      </c>
      <c r="C1437">
        <v>0.42</v>
      </c>
      <c r="D1437">
        <v>0.5</v>
      </c>
      <c r="E1437">
        <v>0.92</v>
      </c>
      <c r="F1437">
        <v>0.71</v>
      </c>
      <c r="G1437">
        <v>0.8</v>
      </c>
      <c r="H1437">
        <v>0.56999999999999995</v>
      </c>
      <c r="I1437">
        <v>91</v>
      </c>
      <c r="J1437">
        <v>1</v>
      </c>
      <c r="K1437">
        <v>0.62</v>
      </c>
      <c r="L1437" t="s">
        <v>12</v>
      </c>
    </row>
    <row r="1438" spans="1:12" x14ac:dyDescent="0.3">
      <c r="A1438">
        <v>68</v>
      </c>
      <c r="B1438">
        <v>2025</v>
      </c>
      <c r="C1438">
        <v>0.34</v>
      </c>
      <c r="D1438">
        <v>0.54</v>
      </c>
      <c r="E1438">
        <v>0.84</v>
      </c>
      <c r="F1438">
        <v>0.63</v>
      </c>
      <c r="G1438">
        <v>0.47</v>
      </c>
      <c r="H1438">
        <v>0.86</v>
      </c>
      <c r="I1438">
        <v>459</v>
      </c>
      <c r="J1438">
        <v>11</v>
      </c>
      <c r="K1438">
        <v>0.55000000000000004</v>
      </c>
      <c r="L1438" t="s">
        <v>12</v>
      </c>
    </row>
    <row r="1439" spans="1:12" x14ac:dyDescent="0.3">
      <c r="A1439">
        <v>57</v>
      </c>
      <c r="B1439">
        <v>2025</v>
      </c>
      <c r="C1439">
        <v>0.62</v>
      </c>
      <c r="D1439">
        <v>0.56999999999999995</v>
      </c>
      <c r="E1439">
        <v>0.62</v>
      </c>
      <c r="F1439">
        <v>0.89</v>
      </c>
      <c r="G1439">
        <v>0.31</v>
      </c>
      <c r="H1439">
        <v>0.54</v>
      </c>
      <c r="I1439">
        <v>357</v>
      </c>
      <c r="J1439">
        <v>1</v>
      </c>
      <c r="K1439">
        <v>0.62</v>
      </c>
      <c r="L1439" t="s">
        <v>12</v>
      </c>
    </row>
    <row r="1440" spans="1:12" x14ac:dyDescent="0.3">
      <c r="A1440">
        <v>67</v>
      </c>
      <c r="B1440">
        <v>2025</v>
      </c>
      <c r="C1440">
        <v>0.76</v>
      </c>
      <c r="D1440">
        <v>0.67</v>
      </c>
      <c r="E1440">
        <v>0.67</v>
      </c>
      <c r="F1440">
        <v>0.93</v>
      </c>
      <c r="G1440">
        <v>0.83</v>
      </c>
      <c r="H1440">
        <v>0.32</v>
      </c>
      <c r="I1440">
        <v>386</v>
      </c>
      <c r="J1440">
        <v>1</v>
      </c>
      <c r="K1440">
        <v>0.75</v>
      </c>
      <c r="L1440" t="s">
        <v>13</v>
      </c>
    </row>
    <row r="1441" spans="1:12" x14ac:dyDescent="0.3">
      <c r="A1441">
        <v>38</v>
      </c>
      <c r="B1441">
        <v>2021</v>
      </c>
      <c r="C1441">
        <v>0.34</v>
      </c>
      <c r="D1441">
        <v>0.6</v>
      </c>
      <c r="E1441">
        <v>0.88</v>
      </c>
      <c r="F1441">
        <v>0.72</v>
      </c>
      <c r="G1441">
        <v>0.83</v>
      </c>
      <c r="H1441">
        <v>0.75</v>
      </c>
      <c r="I1441">
        <v>299</v>
      </c>
      <c r="J1441">
        <v>13</v>
      </c>
      <c r="K1441">
        <v>0.62</v>
      </c>
      <c r="L1441" t="s">
        <v>12</v>
      </c>
    </row>
    <row r="1442" spans="1:12" x14ac:dyDescent="0.3">
      <c r="A1442">
        <v>61</v>
      </c>
      <c r="B1442">
        <v>2023</v>
      </c>
      <c r="C1442">
        <v>0.82</v>
      </c>
      <c r="D1442">
        <v>0.64</v>
      </c>
      <c r="E1442">
        <v>0.61</v>
      </c>
      <c r="F1442">
        <v>0.81</v>
      </c>
      <c r="G1442">
        <v>0.94</v>
      </c>
      <c r="H1442">
        <v>0.64</v>
      </c>
      <c r="I1442">
        <v>71</v>
      </c>
      <c r="J1442">
        <v>13</v>
      </c>
      <c r="K1442">
        <v>0.74</v>
      </c>
      <c r="L1442" t="s">
        <v>13</v>
      </c>
    </row>
    <row r="1443" spans="1:12" x14ac:dyDescent="0.3">
      <c r="A1443">
        <v>15</v>
      </c>
      <c r="B1443">
        <v>2024</v>
      </c>
      <c r="C1443">
        <v>0.8</v>
      </c>
      <c r="D1443">
        <v>0.54</v>
      </c>
      <c r="E1443">
        <v>0.99</v>
      </c>
      <c r="F1443">
        <v>0.82</v>
      </c>
      <c r="G1443">
        <v>0.79</v>
      </c>
      <c r="H1443">
        <v>0.12</v>
      </c>
      <c r="I1443">
        <v>448</v>
      </c>
      <c r="J1443">
        <v>12</v>
      </c>
      <c r="K1443">
        <v>0.77</v>
      </c>
      <c r="L1443" t="s">
        <v>13</v>
      </c>
    </row>
    <row r="1444" spans="1:12" x14ac:dyDescent="0.3">
      <c r="A1444">
        <v>84</v>
      </c>
      <c r="B1444">
        <v>2022</v>
      </c>
      <c r="C1444">
        <v>0.5</v>
      </c>
      <c r="D1444">
        <v>0.84</v>
      </c>
      <c r="E1444">
        <v>0.55000000000000004</v>
      </c>
      <c r="F1444">
        <v>0.9</v>
      </c>
      <c r="G1444">
        <v>0.33</v>
      </c>
      <c r="H1444">
        <v>0.2</v>
      </c>
      <c r="I1444">
        <v>468</v>
      </c>
      <c r="J1444">
        <v>10</v>
      </c>
      <c r="K1444">
        <v>0.64</v>
      </c>
      <c r="L1444" t="s">
        <v>12</v>
      </c>
    </row>
    <row r="1445" spans="1:12" x14ac:dyDescent="0.3">
      <c r="A1445">
        <v>50</v>
      </c>
      <c r="B1445">
        <v>2023</v>
      </c>
      <c r="C1445">
        <v>0.86</v>
      </c>
      <c r="D1445">
        <v>0.67</v>
      </c>
      <c r="E1445">
        <v>0.66</v>
      </c>
      <c r="F1445">
        <v>0.66</v>
      </c>
      <c r="G1445">
        <v>0.42</v>
      </c>
      <c r="H1445">
        <v>0.66</v>
      </c>
      <c r="I1445">
        <v>464</v>
      </c>
      <c r="J1445">
        <v>9</v>
      </c>
      <c r="K1445">
        <v>0.7</v>
      </c>
      <c r="L1445" t="s">
        <v>12</v>
      </c>
    </row>
    <row r="1446" spans="1:12" x14ac:dyDescent="0.3">
      <c r="A1446">
        <v>81</v>
      </c>
      <c r="B1446">
        <v>2023</v>
      </c>
      <c r="C1446">
        <v>0.35</v>
      </c>
      <c r="D1446">
        <v>0.85</v>
      </c>
      <c r="E1446">
        <v>0.86</v>
      </c>
      <c r="F1446">
        <v>0.62</v>
      </c>
      <c r="G1446">
        <v>0.69</v>
      </c>
      <c r="H1446">
        <v>0.08</v>
      </c>
      <c r="I1446">
        <v>53</v>
      </c>
      <c r="J1446">
        <v>11</v>
      </c>
      <c r="K1446">
        <v>0.65</v>
      </c>
      <c r="L1446" t="s">
        <v>12</v>
      </c>
    </row>
    <row r="1447" spans="1:12" x14ac:dyDescent="0.3">
      <c r="A1447">
        <v>57</v>
      </c>
      <c r="B1447">
        <v>2023</v>
      </c>
      <c r="C1447">
        <v>0.81</v>
      </c>
      <c r="D1447">
        <v>0.47</v>
      </c>
      <c r="E1447">
        <v>0.61</v>
      </c>
      <c r="F1447">
        <v>0.73</v>
      </c>
      <c r="G1447">
        <v>0.45</v>
      </c>
      <c r="H1447">
        <v>0.39</v>
      </c>
      <c r="I1447">
        <v>465</v>
      </c>
      <c r="J1447">
        <v>1</v>
      </c>
      <c r="K1447">
        <v>0.64</v>
      </c>
      <c r="L1447" t="s">
        <v>12</v>
      </c>
    </row>
    <row r="1448" spans="1:12" x14ac:dyDescent="0.3">
      <c r="A1448">
        <v>19</v>
      </c>
      <c r="B1448">
        <v>2022</v>
      </c>
      <c r="C1448">
        <v>0.63</v>
      </c>
      <c r="D1448">
        <v>0.54</v>
      </c>
      <c r="E1448">
        <v>0.79</v>
      </c>
      <c r="F1448">
        <v>0.97</v>
      </c>
      <c r="G1448">
        <v>0.82</v>
      </c>
      <c r="H1448">
        <v>0.67</v>
      </c>
      <c r="I1448">
        <v>55</v>
      </c>
      <c r="J1448">
        <v>13</v>
      </c>
      <c r="K1448">
        <v>0.71</v>
      </c>
      <c r="L1448" t="s">
        <v>13</v>
      </c>
    </row>
    <row r="1449" spans="1:12" x14ac:dyDescent="0.3">
      <c r="A1449">
        <v>33</v>
      </c>
      <c r="B1449">
        <v>2022</v>
      </c>
      <c r="C1449">
        <v>0.56000000000000005</v>
      </c>
      <c r="D1449">
        <v>0.73</v>
      </c>
      <c r="E1449">
        <v>0.76</v>
      </c>
      <c r="F1449">
        <v>0.64</v>
      </c>
      <c r="G1449">
        <v>0.53</v>
      </c>
      <c r="H1449">
        <v>0.02</v>
      </c>
      <c r="I1449">
        <v>384</v>
      </c>
      <c r="J1449">
        <v>14</v>
      </c>
      <c r="K1449">
        <v>0.65</v>
      </c>
      <c r="L1449" t="s">
        <v>12</v>
      </c>
    </row>
    <row r="1450" spans="1:12" x14ac:dyDescent="0.3">
      <c r="A1450">
        <v>97</v>
      </c>
      <c r="B1450">
        <v>2024</v>
      </c>
      <c r="C1450">
        <v>0.86</v>
      </c>
      <c r="D1450">
        <v>0.84</v>
      </c>
      <c r="E1450">
        <v>0.9</v>
      </c>
      <c r="F1450">
        <v>0.87</v>
      </c>
      <c r="G1450">
        <v>0.77</v>
      </c>
      <c r="H1450">
        <v>0.67</v>
      </c>
      <c r="I1450">
        <v>275</v>
      </c>
      <c r="J1450">
        <v>7</v>
      </c>
      <c r="K1450">
        <v>0.86</v>
      </c>
      <c r="L1450" t="s">
        <v>13</v>
      </c>
    </row>
    <row r="1451" spans="1:12" x14ac:dyDescent="0.3">
      <c r="A1451">
        <v>1</v>
      </c>
      <c r="B1451">
        <v>2025</v>
      </c>
      <c r="C1451">
        <v>0.81</v>
      </c>
      <c r="D1451">
        <v>0.57999999999999996</v>
      </c>
      <c r="E1451">
        <v>0.77</v>
      </c>
      <c r="F1451">
        <v>0.77</v>
      </c>
      <c r="G1451">
        <v>0.49</v>
      </c>
      <c r="H1451">
        <v>0.97</v>
      </c>
      <c r="I1451">
        <v>101</v>
      </c>
      <c r="J1451">
        <v>0</v>
      </c>
      <c r="K1451">
        <v>0.71</v>
      </c>
      <c r="L1451" t="s">
        <v>13</v>
      </c>
    </row>
    <row r="1452" spans="1:12" x14ac:dyDescent="0.3">
      <c r="A1452">
        <v>7</v>
      </c>
      <c r="B1452">
        <v>2021</v>
      </c>
      <c r="C1452">
        <v>0.41</v>
      </c>
      <c r="D1452">
        <v>0.89</v>
      </c>
      <c r="E1452">
        <v>0.79</v>
      </c>
      <c r="F1452">
        <v>0.85</v>
      </c>
      <c r="G1452">
        <v>0.87</v>
      </c>
      <c r="H1452">
        <v>0.34</v>
      </c>
      <c r="I1452">
        <v>483</v>
      </c>
      <c r="J1452">
        <v>9</v>
      </c>
      <c r="K1452">
        <v>0.72</v>
      </c>
      <c r="L1452" t="s">
        <v>13</v>
      </c>
    </row>
    <row r="1453" spans="1:12" x14ac:dyDescent="0.3">
      <c r="A1453">
        <v>69</v>
      </c>
      <c r="B1453">
        <v>2025</v>
      </c>
      <c r="C1453">
        <v>0.4</v>
      </c>
      <c r="D1453">
        <v>0.47</v>
      </c>
      <c r="E1453">
        <v>0.81</v>
      </c>
      <c r="F1453">
        <v>0.6</v>
      </c>
      <c r="G1453">
        <v>0.31</v>
      </c>
      <c r="H1453">
        <v>0.39</v>
      </c>
      <c r="I1453">
        <v>66</v>
      </c>
      <c r="J1453">
        <v>18</v>
      </c>
      <c r="K1453">
        <v>0.52</v>
      </c>
      <c r="L1453" t="s">
        <v>12</v>
      </c>
    </row>
    <row r="1454" spans="1:12" x14ac:dyDescent="0.3">
      <c r="A1454">
        <v>63</v>
      </c>
      <c r="B1454">
        <v>2023</v>
      </c>
      <c r="C1454">
        <v>0.62</v>
      </c>
      <c r="D1454">
        <v>0.62</v>
      </c>
      <c r="E1454">
        <v>0.65</v>
      </c>
      <c r="F1454">
        <v>0.67</v>
      </c>
      <c r="G1454">
        <v>0.85</v>
      </c>
      <c r="H1454">
        <v>0.96</v>
      </c>
      <c r="I1454">
        <v>402</v>
      </c>
      <c r="J1454">
        <v>12</v>
      </c>
      <c r="K1454">
        <v>0.66</v>
      </c>
      <c r="L1454" t="s">
        <v>12</v>
      </c>
    </row>
    <row r="1455" spans="1:12" x14ac:dyDescent="0.3">
      <c r="A1455">
        <v>51</v>
      </c>
      <c r="B1455">
        <v>2021</v>
      </c>
      <c r="C1455">
        <v>0.49</v>
      </c>
      <c r="D1455">
        <v>0.63</v>
      </c>
      <c r="E1455">
        <v>0.69</v>
      </c>
      <c r="F1455">
        <v>0.7</v>
      </c>
      <c r="G1455">
        <v>0.6</v>
      </c>
      <c r="H1455">
        <v>0.47</v>
      </c>
      <c r="I1455">
        <v>150</v>
      </c>
      <c r="J1455">
        <v>5</v>
      </c>
      <c r="K1455">
        <v>0.61</v>
      </c>
      <c r="L1455" t="s">
        <v>12</v>
      </c>
    </row>
    <row r="1456" spans="1:12" x14ac:dyDescent="0.3">
      <c r="A1456">
        <v>54</v>
      </c>
      <c r="B1456">
        <v>2023</v>
      </c>
      <c r="C1456">
        <v>0.72</v>
      </c>
      <c r="D1456">
        <v>0.56999999999999995</v>
      </c>
      <c r="E1456">
        <v>0.8</v>
      </c>
      <c r="F1456">
        <v>0.72</v>
      </c>
      <c r="G1456">
        <v>0.34</v>
      </c>
      <c r="H1456">
        <v>0</v>
      </c>
      <c r="I1456">
        <v>341</v>
      </c>
      <c r="J1456">
        <v>4</v>
      </c>
      <c r="K1456">
        <v>0.66</v>
      </c>
      <c r="L1456" t="s">
        <v>12</v>
      </c>
    </row>
    <row r="1457" spans="1:12" x14ac:dyDescent="0.3">
      <c r="A1457">
        <v>46</v>
      </c>
      <c r="B1457">
        <v>2024</v>
      </c>
      <c r="C1457">
        <v>0.6</v>
      </c>
      <c r="D1457">
        <v>0.71</v>
      </c>
      <c r="E1457">
        <v>0.56999999999999995</v>
      </c>
      <c r="F1457">
        <v>0.82</v>
      </c>
      <c r="G1457">
        <v>0.4</v>
      </c>
      <c r="H1457">
        <v>0.61</v>
      </c>
      <c r="I1457">
        <v>90</v>
      </c>
      <c r="J1457">
        <v>14</v>
      </c>
      <c r="K1457">
        <v>0.63</v>
      </c>
      <c r="L1457" t="s">
        <v>12</v>
      </c>
    </row>
    <row r="1458" spans="1:12" x14ac:dyDescent="0.3">
      <c r="A1458">
        <v>44</v>
      </c>
      <c r="B1458">
        <v>2022</v>
      </c>
      <c r="C1458">
        <v>0.4</v>
      </c>
      <c r="D1458">
        <v>0.88</v>
      </c>
      <c r="E1458">
        <v>0.8</v>
      </c>
      <c r="F1458">
        <v>0.64</v>
      </c>
      <c r="G1458">
        <v>0.96</v>
      </c>
      <c r="H1458">
        <v>0.08</v>
      </c>
      <c r="I1458">
        <v>414</v>
      </c>
      <c r="J1458">
        <v>11</v>
      </c>
      <c r="K1458">
        <v>0.69</v>
      </c>
      <c r="L1458" t="s">
        <v>12</v>
      </c>
    </row>
    <row r="1459" spans="1:12" x14ac:dyDescent="0.3">
      <c r="A1459">
        <v>52</v>
      </c>
      <c r="B1459">
        <v>2023</v>
      </c>
      <c r="C1459">
        <v>0.45</v>
      </c>
      <c r="D1459">
        <v>0.81</v>
      </c>
      <c r="E1459">
        <v>0.98</v>
      </c>
      <c r="F1459">
        <v>0.78</v>
      </c>
      <c r="G1459">
        <v>0.67</v>
      </c>
      <c r="H1459">
        <v>0.24</v>
      </c>
      <c r="I1459">
        <v>122</v>
      </c>
      <c r="J1459">
        <v>3</v>
      </c>
      <c r="K1459">
        <v>0.72</v>
      </c>
      <c r="L1459" t="s">
        <v>13</v>
      </c>
    </row>
    <row r="1460" spans="1:12" x14ac:dyDescent="0.3">
      <c r="A1460">
        <v>15</v>
      </c>
      <c r="B1460">
        <v>2023</v>
      </c>
      <c r="C1460">
        <v>0.61</v>
      </c>
      <c r="D1460">
        <v>0.56999999999999995</v>
      </c>
      <c r="E1460">
        <v>0.97</v>
      </c>
      <c r="F1460">
        <v>0.95</v>
      </c>
      <c r="G1460">
        <v>0.36</v>
      </c>
      <c r="H1460">
        <v>0.52</v>
      </c>
      <c r="I1460">
        <v>146</v>
      </c>
      <c r="J1460">
        <v>14</v>
      </c>
      <c r="K1460">
        <v>0.7</v>
      </c>
      <c r="L1460" t="s">
        <v>12</v>
      </c>
    </row>
    <row r="1461" spans="1:12" x14ac:dyDescent="0.3">
      <c r="A1461">
        <v>7</v>
      </c>
      <c r="B1461">
        <v>2024</v>
      </c>
      <c r="C1461">
        <v>0.39</v>
      </c>
      <c r="D1461">
        <v>0.61</v>
      </c>
      <c r="E1461">
        <v>0.67</v>
      </c>
      <c r="F1461">
        <v>0.83</v>
      </c>
      <c r="G1461">
        <v>0.5</v>
      </c>
      <c r="H1461">
        <v>0.12</v>
      </c>
      <c r="I1461">
        <v>386</v>
      </c>
      <c r="J1461">
        <v>17</v>
      </c>
      <c r="K1461">
        <v>0.57999999999999996</v>
      </c>
      <c r="L1461" t="s">
        <v>12</v>
      </c>
    </row>
    <row r="1462" spans="1:12" x14ac:dyDescent="0.3">
      <c r="A1462">
        <v>22</v>
      </c>
      <c r="B1462">
        <v>2025</v>
      </c>
      <c r="C1462">
        <v>0.97</v>
      </c>
      <c r="D1462">
        <v>0.71</v>
      </c>
      <c r="E1462">
        <v>0.7</v>
      </c>
      <c r="F1462">
        <v>0.81</v>
      </c>
      <c r="G1462">
        <v>0.85</v>
      </c>
      <c r="H1462">
        <v>0.34</v>
      </c>
      <c r="I1462">
        <v>348</v>
      </c>
      <c r="J1462">
        <v>2</v>
      </c>
      <c r="K1462">
        <v>0.82</v>
      </c>
      <c r="L1462" t="s">
        <v>13</v>
      </c>
    </row>
    <row r="1463" spans="1:12" x14ac:dyDescent="0.3">
      <c r="A1463">
        <v>31</v>
      </c>
      <c r="B1463">
        <v>2023</v>
      </c>
      <c r="C1463">
        <v>0.8</v>
      </c>
      <c r="D1463">
        <v>0.93</v>
      </c>
      <c r="E1463">
        <v>0.69</v>
      </c>
      <c r="F1463">
        <v>0.63</v>
      </c>
      <c r="G1463">
        <v>0.97</v>
      </c>
      <c r="H1463">
        <v>0.44</v>
      </c>
      <c r="I1463">
        <v>498</v>
      </c>
      <c r="J1463">
        <v>19</v>
      </c>
      <c r="K1463">
        <v>0.8</v>
      </c>
      <c r="L1463" t="s">
        <v>13</v>
      </c>
    </row>
    <row r="1464" spans="1:12" x14ac:dyDescent="0.3">
      <c r="A1464">
        <v>76</v>
      </c>
      <c r="B1464">
        <v>2021</v>
      </c>
      <c r="C1464">
        <v>0.68</v>
      </c>
      <c r="D1464">
        <v>0.52</v>
      </c>
      <c r="E1464">
        <v>0.88</v>
      </c>
      <c r="F1464">
        <v>0.92</v>
      </c>
      <c r="G1464">
        <v>0.69</v>
      </c>
      <c r="H1464">
        <v>0.49</v>
      </c>
      <c r="I1464">
        <v>435</v>
      </c>
      <c r="J1464">
        <v>16</v>
      </c>
      <c r="K1464">
        <v>0.72</v>
      </c>
      <c r="L1464" t="s">
        <v>13</v>
      </c>
    </row>
    <row r="1465" spans="1:12" x14ac:dyDescent="0.3">
      <c r="A1465">
        <v>58</v>
      </c>
      <c r="B1465">
        <v>2022</v>
      </c>
      <c r="C1465">
        <v>0.36</v>
      </c>
      <c r="D1465">
        <v>0.85</v>
      </c>
      <c r="E1465">
        <v>0.56999999999999995</v>
      </c>
      <c r="F1465">
        <v>0.64</v>
      </c>
      <c r="G1465">
        <v>0.69</v>
      </c>
      <c r="H1465">
        <v>0.41</v>
      </c>
      <c r="I1465">
        <v>461</v>
      </c>
      <c r="J1465">
        <v>5</v>
      </c>
      <c r="K1465">
        <v>0.6</v>
      </c>
      <c r="L1465" t="s">
        <v>12</v>
      </c>
    </row>
    <row r="1466" spans="1:12" x14ac:dyDescent="0.3">
      <c r="A1466">
        <v>92</v>
      </c>
      <c r="B1466">
        <v>2023</v>
      </c>
      <c r="C1466">
        <v>0.37</v>
      </c>
      <c r="D1466">
        <v>0.7</v>
      </c>
      <c r="E1466">
        <v>0.94</v>
      </c>
      <c r="F1466">
        <v>0.95</v>
      </c>
      <c r="G1466">
        <v>0.31</v>
      </c>
      <c r="H1466">
        <v>0.89</v>
      </c>
      <c r="I1466">
        <v>392</v>
      </c>
      <c r="J1466">
        <v>13</v>
      </c>
      <c r="K1466">
        <v>0.65</v>
      </c>
      <c r="L1466" t="s">
        <v>12</v>
      </c>
    </row>
    <row r="1467" spans="1:12" x14ac:dyDescent="0.3">
      <c r="A1467">
        <v>79</v>
      </c>
      <c r="B1467">
        <v>2022</v>
      </c>
      <c r="C1467">
        <v>0.89</v>
      </c>
      <c r="D1467">
        <v>0.92</v>
      </c>
      <c r="E1467">
        <v>0.8</v>
      </c>
      <c r="F1467">
        <v>0.83</v>
      </c>
      <c r="G1467">
        <v>0.87</v>
      </c>
      <c r="H1467">
        <v>0.79</v>
      </c>
      <c r="I1467">
        <v>229</v>
      </c>
      <c r="J1467">
        <v>15</v>
      </c>
      <c r="K1467">
        <v>0.87</v>
      </c>
      <c r="L1467" t="s">
        <v>13</v>
      </c>
    </row>
    <row r="1468" spans="1:12" x14ac:dyDescent="0.3">
      <c r="A1468">
        <v>76</v>
      </c>
      <c r="B1468">
        <v>2021</v>
      </c>
      <c r="C1468">
        <v>1</v>
      </c>
      <c r="D1468">
        <v>0.47</v>
      </c>
      <c r="E1468">
        <v>0.92</v>
      </c>
      <c r="F1468">
        <v>0.8</v>
      </c>
      <c r="G1468">
        <v>0.56999999999999995</v>
      </c>
      <c r="H1468">
        <v>0.61</v>
      </c>
      <c r="I1468">
        <v>87</v>
      </c>
      <c r="J1468">
        <v>5</v>
      </c>
      <c r="K1468">
        <v>0.78</v>
      </c>
      <c r="L1468" t="s">
        <v>13</v>
      </c>
    </row>
    <row r="1469" spans="1:12" x14ac:dyDescent="0.3">
      <c r="A1469">
        <v>15</v>
      </c>
      <c r="B1469">
        <v>2025</v>
      </c>
      <c r="C1469">
        <v>0.91</v>
      </c>
      <c r="D1469">
        <v>0.53</v>
      </c>
      <c r="E1469">
        <v>0.71</v>
      </c>
      <c r="F1469">
        <v>0.98</v>
      </c>
      <c r="G1469">
        <v>0.6</v>
      </c>
      <c r="H1469">
        <v>0.36</v>
      </c>
      <c r="I1469">
        <v>196</v>
      </c>
      <c r="J1469">
        <v>19</v>
      </c>
      <c r="K1469">
        <v>0.75</v>
      </c>
      <c r="L1469" t="s">
        <v>13</v>
      </c>
    </row>
    <row r="1470" spans="1:12" x14ac:dyDescent="0.3">
      <c r="A1470">
        <v>47</v>
      </c>
      <c r="B1470">
        <v>2023</v>
      </c>
      <c r="C1470">
        <v>0.53</v>
      </c>
      <c r="D1470">
        <v>0.74</v>
      </c>
      <c r="E1470">
        <v>0.94</v>
      </c>
      <c r="F1470">
        <v>0.92</v>
      </c>
      <c r="G1470">
        <v>0.69</v>
      </c>
      <c r="H1470">
        <v>7.0000000000000007E-2</v>
      </c>
      <c r="I1470">
        <v>461</v>
      </c>
      <c r="J1470">
        <v>4</v>
      </c>
      <c r="K1470">
        <v>0.74</v>
      </c>
      <c r="L1470" t="s">
        <v>13</v>
      </c>
    </row>
    <row r="1471" spans="1:12" x14ac:dyDescent="0.3">
      <c r="A1471">
        <v>54</v>
      </c>
      <c r="B1471">
        <v>2024</v>
      </c>
      <c r="C1471">
        <v>0.42</v>
      </c>
      <c r="D1471">
        <v>0.56999999999999995</v>
      </c>
      <c r="E1471">
        <v>0.64</v>
      </c>
      <c r="F1471">
        <v>0.87</v>
      </c>
      <c r="G1471">
        <v>0.31</v>
      </c>
      <c r="H1471">
        <v>0.76</v>
      </c>
      <c r="I1471">
        <v>64</v>
      </c>
      <c r="J1471">
        <v>11</v>
      </c>
      <c r="K1471">
        <v>0.56000000000000005</v>
      </c>
      <c r="L1471" t="s">
        <v>12</v>
      </c>
    </row>
    <row r="1472" spans="1:12" x14ac:dyDescent="0.3">
      <c r="A1472">
        <v>51</v>
      </c>
      <c r="B1472">
        <v>2025</v>
      </c>
      <c r="C1472">
        <v>0.79</v>
      </c>
      <c r="D1472">
        <v>0.75</v>
      </c>
      <c r="E1472">
        <v>0.59</v>
      </c>
      <c r="F1472">
        <v>0.84</v>
      </c>
      <c r="G1472">
        <v>0.32</v>
      </c>
      <c r="H1472">
        <v>0.12</v>
      </c>
      <c r="I1472">
        <v>157</v>
      </c>
      <c r="J1472">
        <v>11</v>
      </c>
      <c r="K1472">
        <v>0.7</v>
      </c>
      <c r="L1472" t="s">
        <v>12</v>
      </c>
    </row>
    <row r="1473" spans="1:12" x14ac:dyDescent="0.3">
      <c r="A1473">
        <v>7</v>
      </c>
      <c r="B1473">
        <v>2022</v>
      </c>
      <c r="C1473">
        <v>0.38</v>
      </c>
      <c r="D1473">
        <v>0.84</v>
      </c>
      <c r="E1473">
        <v>0.78</v>
      </c>
      <c r="F1473">
        <v>0.81</v>
      </c>
      <c r="G1473">
        <v>0.62</v>
      </c>
      <c r="H1473">
        <v>0.98</v>
      </c>
      <c r="I1473">
        <v>65</v>
      </c>
      <c r="J1473">
        <v>4</v>
      </c>
      <c r="K1473">
        <v>0.66</v>
      </c>
      <c r="L1473" t="s">
        <v>12</v>
      </c>
    </row>
    <row r="1474" spans="1:12" x14ac:dyDescent="0.3">
      <c r="A1474">
        <v>18</v>
      </c>
      <c r="B1474">
        <v>2024</v>
      </c>
      <c r="C1474">
        <v>0.34</v>
      </c>
      <c r="D1474">
        <v>0.54</v>
      </c>
      <c r="E1474">
        <v>0.71</v>
      </c>
      <c r="F1474">
        <v>0.89</v>
      </c>
      <c r="G1474">
        <v>0.74</v>
      </c>
      <c r="H1474">
        <v>0.24</v>
      </c>
      <c r="I1474">
        <v>306</v>
      </c>
      <c r="J1474">
        <v>8</v>
      </c>
      <c r="K1474">
        <v>0.59</v>
      </c>
      <c r="L1474" t="s">
        <v>12</v>
      </c>
    </row>
    <row r="1475" spans="1:12" x14ac:dyDescent="0.3">
      <c r="A1475">
        <v>22</v>
      </c>
      <c r="B1475">
        <v>2025</v>
      </c>
      <c r="C1475">
        <v>0.87</v>
      </c>
      <c r="D1475">
        <v>0.59</v>
      </c>
      <c r="E1475">
        <v>0.99</v>
      </c>
      <c r="F1475">
        <v>0.88</v>
      </c>
      <c r="G1475">
        <v>0.34</v>
      </c>
      <c r="H1475">
        <v>0.04</v>
      </c>
      <c r="I1475">
        <v>180</v>
      </c>
      <c r="J1475">
        <v>16</v>
      </c>
      <c r="K1475">
        <v>0.77</v>
      </c>
      <c r="L1475" t="s">
        <v>13</v>
      </c>
    </row>
    <row r="1476" spans="1:12" x14ac:dyDescent="0.3">
      <c r="A1476">
        <v>30</v>
      </c>
      <c r="B1476">
        <v>2022</v>
      </c>
      <c r="C1476">
        <v>0.42</v>
      </c>
      <c r="D1476">
        <v>0.44</v>
      </c>
      <c r="E1476">
        <v>0.72</v>
      </c>
      <c r="F1476">
        <v>0.94</v>
      </c>
      <c r="G1476">
        <v>0.35</v>
      </c>
      <c r="H1476">
        <v>0.36</v>
      </c>
      <c r="I1476">
        <v>243</v>
      </c>
      <c r="J1476">
        <v>14</v>
      </c>
      <c r="K1476">
        <v>0.56000000000000005</v>
      </c>
      <c r="L1476" t="s">
        <v>12</v>
      </c>
    </row>
    <row r="1477" spans="1:12" x14ac:dyDescent="0.3">
      <c r="A1477">
        <v>52</v>
      </c>
      <c r="B1477">
        <v>2024</v>
      </c>
      <c r="C1477">
        <v>0.84</v>
      </c>
      <c r="D1477">
        <v>0.73</v>
      </c>
      <c r="E1477">
        <v>0.92</v>
      </c>
      <c r="F1477">
        <v>0.64</v>
      </c>
      <c r="G1477">
        <v>0.94</v>
      </c>
      <c r="H1477">
        <v>0.93</v>
      </c>
      <c r="I1477">
        <v>68</v>
      </c>
      <c r="J1477">
        <v>9</v>
      </c>
      <c r="K1477">
        <v>0.81</v>
      </c>
      <c r="L1477" t="s">
        <v>13</v>
      </c>
    </row>
    <row r="1478" spans="1:12" x14ac:dyDescent="0.3">
      <c r="A1478">
        <v>4</v>
      </c>
      <c r="B1478">
        <v>2024</v>
      </c>
      <c r="C1478">
        <v>0.56000000000000005</v>
      </c>
      <c r="D1478">
        <v>0.43</v>
      </c>
      <c r="E1478">
        <v>0.99</v>
      </c>
      <c r="F1478">
        <v>0.61</v>
      </c>
      <c r="G1478">
        <v>0.96</v>
      </c>
      <c r="H1478">
        <v>0.37</v>
      </c>
      <c r="I1478">
        <v>299</v>
      </c>
      <c r="J1478">
        <v>15</v>
      </c>
      <c r="K1478">
        <v>0.66</v>
      </c>
      <c r="L1478" t="s">
        <v>12</v>
      </c>
    </row>
    <row r="1479" spans="1:12" x14ac:dyDescent="0.3">
      <c r="A1479">
        <v>67</v>
      </c>
      <c r="B1479">
        <v>2023</v>
      </c>
      <c r="C1479">
        <v>0.73</v>
      </c>
      <c r="D1479">
        <v>1</v>
      </c>
      <c r="E1479">
        <v>0.87</v>
      </c>
      <c r="F1479">
        <v>0.69</v>
      </c>
      <c r="G1479">
        <v>0.89</v>
      </c>
      <c r="H1479">
        <v>0.41</v>
      </c>
      <c r="I1479">
        <v>285</v>
      </c>
      <c r="J1479">
        <v>8</v>
      </c>
      <c r="K1479">
        <v>0.84</v>
      </c>
      <c r="L1479" t="s">
        <v>13</v>
      </c>
    </row>
    <row r="1480" spans="1:12" x14ac:dyDescent="0.3">
      <c r="A1480">
        <v>19</v>
      </c>
      <c r="B1480">
        <v>2024</v>
      </c>
      <c r="C1480">
        <v>0.98</v>
      </c>
      <c r="D1480">
        <v>0.75</v>
      </c>
      <c r="E1480">
        <v>0.93</v>
      </c>
      <c r="F1480">
        <v>0.98</v>
      </c>
      <c r="G1480">
        <v>0.77</v>
      </c>
      <c r="H1480">
        <v>0.55000000000000004</v>
      </c>
      <c r="I1480">
        <v>135</v>
      </c>
      <c r="J1480">
        <v>11</v>
      </c>
      <c r="K1480">
        <v>0.89</v>
      </c>
      <c r="L1480" t="s">
        <v>13</v>
      </c>
    </row>
    <row r="1481" spans="1:12" x14ac:dyDescent="0.3">
      <c r="A1481">
        <v>82</v>
      </c>
      <c r="B1481">
        <v>2022</v>
      </c>
      <c r="C1481">
        <v>0.43</v>
      </c>
      <c r="D1481">
        <v>0.55000000000000004</v>
      </c>
      <c r="E1481">
        <v>0.65</v>
      </c>
      <c r="F1481">
        <v>0.74</v>
      </c>
      <c r="G1481">
        <v>0.59</v>
      </c>
      <c r="H1481">
        <v>0.1</v>
      </c>
      <c r="I1481">
        <v>400</v>
      </c>
      <c r="J1481">
        <v>6</v>
      </c>
      <c r="K1481">
        <v>0.56999999999999995</v>
      </c>
      <c r="L1481" t="s">
        <v>12</v>
      </c>
    </row>
    <row r="1482" spans="1:12" x14ac:dyDescent="0.3">
      <c r="A1482">
        <v>17</v>
      </c>
      <c r="B1482">
        <v>2023</v>
      </c>
      <c r="C1482">
        <v>0.68</v>
      </c>
      <c r="D1482">
        <v>0.67</v>
      </c>
      <c r="E1482">
        <v>0.82</v>
      </c>
      <c r="F1482">
        <v>0.93</v>
      </c>
      <c r="G1482">
        <v>0.6</v>
      </c>
      <c r="H1482">
        <v>0.64</v>
      </c>
      <c r="I1482">
        <v>369</v>
      </c>
      <c r="J1482">
        <v>7</v>
      </c>
      <c r="K1482">
        <v>0.74</v>
      </c>
      <c r="L1482" t="s">
        <v>13</v>
      </c>
    </row>
    <row r="1483" spans="1:12" x14ac:dyDescent="0.3">
      <c r="A1483">
        <v>5</v>
      </c>
      <c r="B1483">
        <v>2024</v>
      </c>
      <c r="C1483">
        <v>0.75</v>
      </c>
      <c r="D1483">
        <v>0.51</v>
      </c>
      <c r="E1483">
        <v>0.78</v>
      </c>
      <c r="F1483">
        <v>0.99</v>
      </c>
      <c r="G1483">
        <v>0.66</v>
      </c>
      <c r="H1483">
        <v>0.93</v>
      </c>
      <c r="I1483">
        <v>428</v>
      </c>
      <c r="J1483">
        <v>2</v>
      </c>
      <c r="K1483">
        <v>0.72</v>
      </c>
      <c r="L1483" t="s">
        <v>13</v>
      </c>
    </row>
    <row r="1484" spans="1:12" x14ac:dyDescent="0.3">
      <c r="A1484">
        <v>54</v>
      </c>
      <c r="B1484">
        <v>2022</v>
      </c>
      <c r="C1484">
        <v>0.56000000000000005</v>
      </c>
      <c r="D1484">
        <v>0.82</v>
      </c>
      <c r="E1484">
        <v>0.69</v>
      </c>
      <c r="F1484">
        <v>0.7</v>
      </c>
      <c r="G1484">
        <v>0.7</v>
      </c>
      <c r="H1484">
        <v>0.42</v>
      </c>
      <c r="I1484">
        <v>331</v>
      </c>
      <c r="J1484">
        <v>12</v>
      </c>
      <c r="K1484">
        <v>0.69</v>
      </c>
      <c r="L1484" t="s">
        <v>12</v>
      </c>
    </row>
    <row r="1485" spans="1:12" x14ac:dyDescent="0.3">
      <c r="A1485">
        <v>36</v>
      </c>
      <c r="B1485">
        <v>2021</v>
      </c>
      <c r="C1485">
        <v>0.55000000000000004</v>
      </c>
      <c r="D1485">
        <v>0.76</v>
      </c>
      <c r="E1485">
        <v>0.8</v>
      </c>
      <c r="F1485">
        <v>0.82</v>
      </c>
      <c r="G1485">
        <v>0.94</v>
      </c>
      <c r="H1485">
        <v>0.67</v>
      </c>
      <c r="I1485">
        <v>425</v>
      </c>
      <c r="J1485">
        <v>16</v>
      </c>
      <c r="K1485">
        <v>0.73</v>
      </c>
      <c r="L1485" t="s">
        <v>13</v>
      </c>
    </row>
    <row r="1486" spans="1:12" x14ac:dyDescent="0.3">
      <c r="A1486">
        <v>88</v>
      </c>
      <c r="B1486">
        <v>2022</v>
      </c>
      <c r="C1486">
        <v>0.68</v>
      </c>
      <c r="D1486">
        <v>0.97</v>
      </c>
      <c r="E1486">
        <v>0.81</v>
      </c>
      <c r="F1486">
        <v>0.93</v>
      </c>
      <c r="G1486">
        <v>0.76</v>
      </c>
      <c r="H1486">
        <v>0.84</v>
      </c>
      <c r="I1486">
        <v>357</v>
      </c>
      <c r="J1486">
        <v>6</v>
      </c>
      <c r="K1486">
        <v>0.82</v>
      </c>
      <c r="L1486" t="s">
        <v>13</v>
      </c>
    </row>
    <row r="1487" spans="1:12" x14ac:dyDescent="0.3">
      <c r="A1487">
        <v>76</v>
      </c>
      <c r="B1487">
        <v>2022</v>
      </c>
      <c r="C1487">
        <v>0.42</v>
      </c>
      <c r="D1487">
        <v>0.69</v>
      </c>
      <c r="E1487">
        <v>0.85</v>
      </c>
      <c r="F1487">
        <v>0.69</v>
      </c>
      <c r="G1487">
        <v>0.3</v>
      </c>
      <c r="H1487">
        <v>0.34</v>
      </c>
      <c r="I1487">
        <v>142</v>
      </c>
      <c r="J1487">
        <v>5</v>
      </c>
      <c r="K1487">
        <v>0.6</v>
      </c>
      <c r="L1487" t="s">
        <v>12</v>
      </c>
    </row>
    <row r="1488" spans="1:12" x14ac:dyDescent="0.3">
      <c r="A1488">
        <v>49</v>
      </c>
      <c r="B1488">
        <v>2024</v>
      </c>
      <c r="C1488">
        <v>0.48</v>
      </c>
      <c r="D1488">
        <v>0.99</v>
      </c>
      <c r="E1488">
        <v>0.93</v>
      </c>
      <c r="F1488">
        <v>0.92</v>
      </c>
      <c r="G1488">
        <v>0.39</v>
      </c>
      <c r="H1488">
        <v>0.76</v>
      </c>
      <c r="I1488">
        <v>478</v>
      </c>
      <c r="J1488">
        <v>7</v>
      </c>
      <c r="K1488">
        <v>0.75</v>
      </c>
      <c r="L1488" t="s">
        <v>13</v>
      </c>
    </row>
    <row r="1489" spans="1:12" x14ac:dyDescent="0.3">
      <c r="A1489">
        <v>24</v>
      </c>
      <c r="B1489">
        <v>2025</v>
      </c>
      <c r="C1489">
        <v>0.62</v>
      </c>
      <c r="D1489">
        <v>0.52</v>
      </c>
      <c r="E1489">
        <v>0.65</v>
      </c>
      <c r="F1489">
        <v>0.68</v>
      </c>
      <c r="G1489">
        <v>0.84</v>
      </c>
      <c r="H1489">
        <v>0.71</v>
      </c>
      <c r="I1489">
        <v>219</v>
      </c>
      <c r="J1489">
        <v>0</v>
      </c>
      <c r="K1489">
        <v>0.63</v>
      </c>
      <c r="L1489" t="s">
        <v>12</v>
      </c>
    </row>
    <row r="1490" spans="1:12" x14ac:dyDescent="0.3">
      <c r="A1490">
        <v>63</v>
      </c>
      <c r="B1490">
        <v>2023</v>
      </c>
      <c r="C1490">
        <v>0.86</v>
      </c>
      <c r="D1490">
        <v>0.97</v>
      </c>
      <c r="E1490">
        <v>0.52</v>
      </c>
      <c r="F1490">
        <v>0.62</v>
      </c>
      <c r="G1490">
        <v>0.54</v>
      </c>
      <c r="H1490">
        <v>0.09</v>
      </c>
      <c r="I1490">
        <v>114</v>
      </c>
      <c r="J1490">
        <v>15</v>
      </c>
      <c r="K1490">
        <v>0.75</v>
      </c>
      <c r="L1490" t="s">
        <v>13</v>
      </c>
    </row>
    <row r="1491" spans="1:12" x14ac:dyDescent="0.3">
      <c r="A1491">
        <v>10</v>
      </c>
      <c r="B1491">
        <v>2025</v>
      </c>
      <c r="C1491">
        <v>0.7</v>
      </c>
      <c r="D1491">
        <v>0.52</v>
      </c>
      <c r="E1491">
        <v>0.83</v>
      </c>
      <c r="F1491">
        <v>0.87</v>
      </c>
      <c r="G1491">
        <v>0.95</v>
      </c>
      <c r="H1491">
        <v>0.15</v>
      </c>
      <c r="I1491">
        <v>404</v>
      </c>
      <c r="J1491">
        <v>1</v>
      </c>
      <c r="K1491">
        <v>0.73</v>
      </c>
      <c r="L1491" t="s">
        <v>13</v>
      </c>
    </row>
    <row r="1492" spans="1:12" x14ac:dyDescent="0.3">
      <c r="A1492">
        <v>79</v>
      </c>
      <c r="B1492">
        <v>2021</v>
      </c>
      <c r="C1492">
        <v>0.65</v>
      </c>
      <c r="D1492">
        <v>0.62</v>
      </c>
      <c r="E1492">
        <v>0.59</v>
      </c>
      <c r="F1492">
        <v>0.95</v>
      </c>
      <c r="G1492">
        <v>0.57999999999999996</v>
      </c>
      <c r="H1492">
        <v>0.92</v>
      </c>
      <c r="I1492">
        <v>70</v>
      </c>
      <c r="J1492">
        <v>7</v>
      </c>
      <c r="K1492">
        <v>0.67</v>
      </c>
      <c r="L1492" t="s">
        <v>12</v>
      </c>
    </row>
    <row r="1493" spans="1:12" x14ac:dyDescent="0.3">
      <c r="A1493">
        <v>94</v>
      </c>
      <c r="B1493">
        <v>2022</v>
      </c>
      <c r="C1493">
        <v>0.59</v>
      </c>
      <c r="D1493">
        <v>0.79</v>
      </c>
      <c r="E1493">
        <v>1</v>
      </c>
      <c r="F1493">
        <v>0.98</v>
      </c>
      <c r="G1493">
        <v>0.3</v>
      </c>
      <c r="H1493">
        <v>0.89</v>
      </c>
      <c r="I1493">
        <v>158</v>
      </c>
      <c r="J1493">
        <v>7</v>
      </c>
      <c r="K1493">
        <v>0.75</v>
      </c>
      <c r="L1493" t="s">
        <v>13</v>
      </c>
    </row>
    <row r="1494" spans="1:12" x14ac:dyDescent="0.3">
      <c r="A1494">
        <v>13</v>
      </c>
      <c r="B1494">
        <v>2021</v>
      </c>
      <c r="C1494">
        <v>0.54</v>
      </c>
      <c r="D1494">
        <v>0.97</v>
      </c>
      <c r="E1494">
        <v>0.85</v>
      </c>
      <c r="F1494">
        <v>0.82</v>
      </c>
      <c r="G1494">
        <v>0.66</v>
      </c>
      <c r="H1494">
        <v>0.16</v>
      </c>
      <c r="I1494">
        <v>136</v>
      </c>
      <c r="J1494">
        <v>15</v>
      </c>
      <c r="K1494">
        <v>0.76</v>
      </c>
      <c r="L1494" t="s">
        <v>13</v>
      </c>
    </row>
    <row r="1495" spans="1:12" x14ac:dyDescent="0.3">
      <c r="A1495">
        <v>88</v>
      </c>
      <c r="B1495">
        <v>2023</v>
      </c>
      <c r="C1495">
        <v>0.33</v>
      </c>
      <c r="D1495">
        <v>0.4</v>
      </c>
      <c r="E1495">
        <v>0.68</v>
      </c>
      <c r="F1495">
        <v>0.7</v>
      </c>
      <c r="G1495">
        <v>0.34</v>
      </c>
      <c r="H1495">
        <v>0.18</v>
      </c>
      <c r="I1495">
        <v>297</v>
      </c>
      <c r="J1495">
        <v>5</v>
      </c>
      <c r="K1495">
        <v>0.47</v>
      </c>
      <c r="L1495" t="s">
        <v>12</v>
      </c>
    </row>
    <row r="1496" spans="1:12" x14ac:dyDescent="0.3">
      <c r="A1496">
        <v>52</v>
      </c>
      <c r="B1496">
        <v>2024</v>
      </c>
      <c r="C1496">
        <v>0.79</v>
      </c>
      <c r="D1496">
        <v>0.57999999999999996</v>
      </c>
      <c r="E1496">
        <v>0.88</v>
      </c>
      <c r="F1496">
        <v>0.68</v>
      </c>
      <c r="G1496">
        <v>0.68</v>
      </c>
      <c r="H1496">
        <v>0.8</v>
      </c>
      <c r="I1496">
        <v>416</v>
      </c>
      <c r="J1496">
        <v>1</v>
      </c>
      <c r="K1496">
        <v>0.73</v>
      </c>
      <c r="L1496" t="s">
        <v>13</v>
      </c>
    </row>
    <row r="1497" spans="1:12" x14ac:dyDescent="0.3">
      <c r="A1497">
        <v>92</v>
      </c>
      <c r="B1497">
        <v>2022</v>
      </c>
      <c r="C1497">
        <v>0.78</v>
      </c>
      <c r="D1497">
        <v>0.72</v>
      </c>
      <c r="E1497">
        <v>0.72</v>
      </c>
      <c r="F1497">
        <v>0.75</v>
      </c>
      <c r="G1497">
        <v>0.89</v>
      </c>
      <c r="H1497">
        <v>0.22</v>
      </c>
      <c r="I1497">
        <v>489</v>
      </c>
      <c r="J1497">
        <v>4</v>
      </c>
      <c r="K1497">
        <v>0.76</v>
      </c>
      <c r="L1497" t="s">
        <v>13</v>
      </c>
    </row>
    <row r="1498" spans="1:12" x14ac:dyDescent="0.3">
      <c r="A1498">
        <v>35</v>
      </c>
      <c r="B1498">
        <v>2023</v>
      </c>
      <c r="C1498">
        <v>0.69</v>
      </c>
      <c r="D1498">
        <v>0.98</v>
      </c>
      <c r="E1498">
        <v>0.59</v>
      </c>
      <c r="F1498">
        <v>0.74</v>
      </c>
      <c r="G1498">
        <v>0.7</v>
      </c>
      <c r="H1498">
        <v>0.87</v>
      </c>
      <c r="I1498">
        <v>286</v>
      </c>
      <c r="J1498">
        <v>4</v>
      </c>
      <c r="K1498">
        <v>0.75</v>
      </c>
      <c r="L1498" t="s">
        <v>13</v>
      </c>
    </row>
    <row r="1499" spans="1:12" x14ac:dyDescent="0.3">
      <c r="A1499">
        <v>93</v>
      </c>
      <c r="B1499">
        <v>2021</v>
      </c>
      <c r="C1499">
        <v>0.95</v>
      </c>
      <c r="D1499">
        <v>0.97</v>
      </c>
      <c r="E1499">
        <v>0.98</v>
      </c>
      <c r="F1499">
        <v>0.94</v>
      </c>
      <c r="G1499">
        <v>0.55000000000000004</v>
      </c>
      <c r="H1499">
        <v>7.0000000000000007E-2</v>
      </c>
      <c r="I1499">
        <v>221</v>
      </c>
      <c r="J1499">
        <v>5</v>
      </c>
      <c r="K1499">
        <v>0.92</v>
      </c>
      <c r="L1499" t="s">
        <v>13</v>
      </c>
    </row>
    <row r="1500" spans="1:12" x14ac:dyDescent="0.3">
      <c r="A1500">
        <v>65</v>
      </c>
      <c r="B1500">
        <v>2021</v>
      </c>
      <c r="C1500">
        <v>0.52</v>
      </c>
      <c r="D1500">
        <v>0.98</v>
      </c>
      <c r="E1500">
        <v>0.57999999999999996</v>
      </c>
      <c r="F1500">
        <v>0.9</v>
      </c>
      <c r="G1500">
        <v>0.55000000000000004</v>
      </c>
      <c r="H1500">
        <v>0.57999999999999996</v>
      </c>
      <c r="I1500">
        <v>293</v>
      </c>
      <c r="J1500">
        <v>5</v>
      </c>
      <c r="K1500">
        <v>0.71</v>
      </c>
      <c r="L1500" t="s">
        <v>13</v>
      </c>
    </row>
    <row r="1501" spans="1:12" x14ac:dyDescent="0.3">
      <c r="A1501">
        <v>63</v>
      </c>
      <c r="B1501">
        <v>2021</v>
      </c>
      <c r="C1501">
        <v>0.65</v>
      </c>
      <c r="D1501">
        <v>0.54</v>
      </c>
      <c r="E1501">
        <v>0.77</v>
      </c>
      <c r="F1501">
        <v>0.69</v>
      </c>
      <c r="G1501">
        <v>0.76</v>
      </c>
      <c r="H1501">
        <v>0.9</v>
      </c>
      <c r="I1501">
        <v>389</v>
      </c>
      <c r="J1501">
        <v>8</v>
      </c>
      <c r="K1501">
        <v>0.66</v>
      </c>
      <c r="L1501" t="s">
        <v>12</v>
      </c>
    </row>
    <row r="1502" spans="1:12" x14ac:dyDescent="0.3">
      <c r="A1502">
        <v>41</v>
      </c>
      <c r="B1502">
        <v>2024</v>
      </c>
      <c r="C1502">
        <v>0.36</v>
      </c>
      <c r="D1502">
        <v>0.69</v>
      </c>
      <c r="E1502">
        <v>0.6</v>
      </c>
      <c r="F1502">
        <v>0.68</v>
      </c>
      <c r="G1502">
        <v>0.96</v>
      </c>
      <c r="H1502">
        <v>0.76</v>
      </c>
      <c r="I1502">
        <v>321</v>
      </c>
      <c r="J1502">
        <v>7</v>
      </c>
      <c r="K1502">
        <v>0.6</v>
      </c>
      <c r="L1502" t="s">
        <v>12</v>
      </c>
    </row>
    <row r="1503" spans="1:12" x14ac:dyDescent="0.3">
      <c r="A1503">
        <v>10</v>
      </c>
      <c r="B1503">
        <v>2022</v>
      </c>
      <c r="C1503">
        <v>0.91</v>
      </c>
      <c r="D1503">
        <v>0.4</v>
      </c>
      <c r="E1503">
        <v>0.69</v>
      </c>
      <c r="F1503">
        <v>0.71</v>
      </c>
      <c r="G1503">
        <v>0.7</v>
      </c>
      <c r="H1503">
        <v>0.25</v>
      </c>
      <c r="I1503">
        <v>451</v>
      </c>
      <c r="J1503">
        <v>19</v>
      </c>
      <c r="K1503">
        <v>0.69</v>
      </c>
      <c r="L1503" t="s">
        <v>12</v>
      </c>
    </row>
    <row r="1504" spans="1:12" x14ac:dyDescent="0.3">
      <c r="A1504">
        <v>6</v>
      </c>
      <c r="B1504">
        <v>2025</v>
      </c>
      <c r="C1504">
        <v>0.6</v>
      </c>
      <c r="D1504">
        <v>0.9</v>
      </c>
      <c r="E1504">
        <v>0.51</v>
      </c>
      <c r="F1504">
        <v>0.87</v>
      </c>
      <c r="G1504">
        <v>0.95</v>
      </c>
      <c r="H1504">
        <v>0.24</v>
      </c>
      <c r="I1504">
        <v>462</v>
      </c>
      <c r="J1504">
        <v>3</v>
      </c>
      <c r="K1504">
        <v>0.73</v>
      </c>
      <c r="L1504" t="s">
        <v>13</v>
      </c>
    </row>
    <row r="1505" spans="1:12" x14ac:dyDescent="0.3">
      <c r="A1505">
        <v>50</v>
      </c>
      <c r="B1505">
        <v>2024</v>
      </c>
      <c r="C1505">
        <v>0.97</v>
      </c>
      <c r="D1505">
        <v>0.54</v>
      </c>
      <c r="E1505">
        <v>0.55000000000000004</v>
      </c>
      <c r="F1505">
        <v>0.66</v>
      </c>
      <c r="G1505">
        <v>0.79</v>
      </c>
      <c r="H1505">
        <v>0.73</v>
      </c>
      <c r="I1505">
        <v>172</v>
      </c>
      <c r="J1505">
        <v>6</v>
      </c>
      <c r="K1505">
        <v>0.71</v>
      </c>
      <c r="L1505" t="s">
        <v>13</v>
      </c>
    </row>
    <row r="1506" spans="1:12" x14ac:dyDescent="0.3">
      <c r="A1506">
        <v>54</v>
      </c>
      <c r="B1506">
        <v>2025</v>
      </c>
      <c r="C1506">
        <v>0.42</v>
      </c>
      <c r="D1506">
        <v>0.75</v>
      </c>
      <c r="E1506">
        <v>0.74</v>
      </c>
      <c r="F1506">
        <v>0.89</v>
      </c>
      <c r="G1506">
        <v>0.61</v>
      </c>
      <c r="H1506">
        <v>0.34</v>
      </c>
      <c r="I1506">
        <v>416</v>
      </c>
      <c r="J1506">
        <v>17</v>
      </c>
      <c r="K1506">
        <v>0.66</v>
      </c>
      <c r="L1506" t="s">
        <v>12</v>
      </c>
    </row>
    <row r="1507" spans="1:12" x14ac:dyDescent="0.3">
      <c r="A1507">
        <v>38</v>
      </c>
      <c r="B1507">
        <v>2024</v>
      </c>
      <c r="C1507">
        <v>0.89</v>
      </c>
      <c r="D1507">
        <v>0.43</v>
      </c>
      <c r="E1507">
        <v>0.97</v>
      </c>
      <c r="F1507">
        <v>0.65</v>
      </c>
      <c r="G1507">
        <v>0.32</v>
      </c>
      <c r="H1507">
        <v>0.41</v>
      </c>
      <c r="I1507">
        <v>356</v>
      </c>
      <c r="J1507">
        <v>7</v>
      </c>
      <c r="K1507">
        <v>0.7</v>
      </c>
      <c r="L1507" t="s">
        <v>12</v>
      </c>
    </row>
    <row r="1508" spans="1:12" x14ac:dyDescent="0.3">
      <c r="A1508">
        <v>98</v>
      </c>
      <c r="B1508">
        <v>2021</v>
      </c>
      <c r="C1508">
        <v>0.5</v>
      </c>
      <c r="D1508">
        <v>0.55000000000000004</v>
      </c>
      <c r="E1508">
        <v>0.84</v>
      </c>
      <c r="F1508">
        <v>0.67</v>
      </c>
      <c r="G1508">
        <v>0.68</v>
      </c>
      <c r="H1508">
        <v>0.99</v>
      </c>
      <c r="I1508">
        <v>399</v>
      </c>
      <c r="J1508">
        <v>17</v>
      </c>
      <c r="K1508">
        <v>0.62</v>
      </c>
      <c r="L1508" t="s">
        <v>12</v>
      </c>
    </row>
    <row r="1509" spans="1:12" x14ac:dyDescent="0.3">
      <c r="A1509">
        <v>88</v>
      </c>
      <c r="B1509">
        <v>2021</v>
      </c>
      <c r="C1509">
        <v>0.4</v>
      </c>
      <c r="D1509">
        <v>0.65</v>
      </c>
      <c r="E1509">
        <v>0.93</v>
      </c>
      <c r="F1509">
        <v>0.97</v>
      </c>
      <c r="G1509">
        <v>0.72</v>
      </c>
      <c r="H1509">
        <v>0.14000000000000001</v>
      </c>
      <c r="I1509">
        <v>431</v>
      </c>
      <c r="J1509">
        <v>5</v>
      </c>
      <c r="K1509">
        <v>0.69</v>
      </c>
      <c r="L1509" t="s">
        <v>12</v>
      </c>
    </row>
    <row r="1510" spans="1:12" x14ac:dyDescent="0.3">
      <c r="A1510">
        <v>77</v>
      </c>
      <c r="B1510">
        <v>2021</v>
      </c>
      <c r="C1510">
        <v>0.73</v>
      </c>
      <c r="D1510">
        <v>0.54</v>
      </c>
      <c r="E1510">
        <v>0.78</v>
      </c>
      <c r="F1510">
        <v>0.98</v>
      </c>
      <c r="G1510">
        <v>0.92</v>
      </c>
      <c r="H1510">
        <v>0.4</v>
      </c>
      <c r="I1510">
        <v>292</v>
      </c>
      <c r="J1510">
        <v>0</v>
      </c>
      <c r="K1510">
        <v>0.75</v>
      </c>
      <c r="L1510" t="s">
        <v>13</v>
      </c>
    </row>
    <row r="1511" spans="1:12" x14ac:dyDescent="0.3">
      <c r="A1511">
        <v>86</v>
      </c>
      <c r="B1511">
        <v>2022</v>
      </c>
      <c r="C1511">
        <v>0.67</v>
      </c>
      <c r="D1511">
        <v>0.47</v>
      </c>
      <c r="E1511">
        <v>0.77</v>
      </c>
      <c r="F1511">
        <v>0.6</v>
      </c>
      <c r="G1511">
        <v>0.53</v>
      </c>
      <c r="H1511">
        <v>0.22</v>
      </c>
      <c r="I1511">
        <v>418</v>
      </c>
      <c r="J1511">
        <v>15</v>
      </c>
      <c r="K1511">
        <v>0.62</v>
      </c>
      <c r="L1511" t="s">
        <v>12</v>
      </c>
    </row>
    <row r="1512" spans="1:12" x14ac:dyDescent="0.3">
      <c r="A1512">
        <v>42</v>
      </c>
      <c r="B1512">
        <v>2025</v>
      </c>
      <c r="C1512">
        <v>0.7</v>
      </c>
      <c r="D1512">
        <v>0.79</v>
      </c>
      <c r="E1512">
        <v>0.84</v>
      </c>
      <c r="F1512">
        <v>0.95</v>
      </c>
      <c r="G1512">
        <v>0.46</v>
      </c>
      <c r="H1512">
        <v>0.26</v>
      </c>
      <c r="I1512">
        <v>53</v>
      </c>
      <c r="J1512">
        <v>1</v>
      </c>
      <c r="K1512">
        <v>0.76</v>
      </c>
      <c r="L1512" t="s">
        <v>13</v>
      </c>
    </row>
    <row r="1513" spans="1:12" x14ac:dyDescent="0.3">
      <c r="A1513">
        <v>93</v>
      </c>
      <c r="B1513">
        <v>2023</v>
      </c>
      <c r="C1513">
        <v>0.31</v>
      </c>
      <c r="D1513">
        <v>0.48</v>
      </c>
      <c r="E1513">
        <v>0.84</v>
      </c>
      <c r="F1513">
        <v>0.9</v>
      </c>
      <c r="G1513">
        <v>0.38</v>
      </c>
      <c r="H1513">
        <v>0.23</v>
      </c>
      <c r="I1513">
        <v>395</v>
      </c>
      <c r="J1513">
        <v>18</v>
      </c>
      <c r="K1513">
        <v>0.55000000000000004</v>
      </c>
      <c r="L1513" t="s">
        <v>12</v>
      </c>
    </row>
    <row r="1514" spans="1:12" x14ac:dyDescent="0.3">
      <c r="A1514">
        <v>2</v>
      </c>
      <c r="B1514">
        <v>2021</v>
      </c>
      <c r="C1514">
        <v>0.64</v>
      </c>
      <c r="D1514">
        <v>0.93</v>
      </c>
      <c r="E1514">
        <v>0.78</v>
      </c>
      <c r="F1514">
        <v>0.87</v>
      </c>
      <c r="G1514">
        <v>0.54</v>
      </c>
      <c r="H1514">
        <v>0.56999999999999995</v>
      </c>
      <c r="I1514">
        <v>491</v>
      </c>
      <c r="J1514">
        <v>3</v>
      </c>
      <c r="K1514">
        <v>0.77</v>
      </c>
      <c r="L1514" t="s">
        <v>13</v>
      </c>
    </row>
    <row r="1515" spans="1:12" x14ac:dyDescent="0.3">
      <c r="A1515">
        <v>42</v>
      </c>
      <c r="B1515">
        <v>2023</v>
      </c>
      <c r="C1515">
        <v>0.7</v>
      </c>
      <c r="D1515">
        <v>0.55000000000000004</v>
      </c>
      <c r="E1515">
        <v>0.83</v>
      </c>
      <c r="F1515">
        <v>0.93</v>
      </c>
      <c r="G1515">
        <v>0.62</v>
      </c>
      <c r="H1515">
        <v>0.68</v>
      </c>
      <c r="I1515">
        <v>196</v>
      </c>
      <c r="J1515">
        <v>7</v>
      </c>
      <c r="K1515">
        <v>0.72</v>
      </c>
      <c r="L1515" t="s">
        <v>13</v>
      </c>
    </row>
    <row r="1516" spans="1:12" x14ac:dyDescent="0.3">
      <c r="A1516">
        <v>17</v>
      </c>
      <c r="B1516">
        <v>2021</v>
      </c>
      <c r="C1516">
        <v>0.59</v>
      </c>
      <c r="D1516">
        <v>0.85</v>
      </c>
      <c r="E1516">
        <v>0.93</v>
      </c>
      <c r="F1516">
        <v>0.72</v>
      </c>
      <c r="G1516">
        <v>0.56999999999999995</v>
      </c>
      <c r="H1516">
        <v>0.36</v>
      </c>
      <c r="I1516">
        <v>378</v>
      </c>
      <c r="J1516">
        <v>5</v>
      </c>
      <c r="K1516">
        <v>0.74</v>
      </c>
      <c r="L1516" t="s">
        <v>13</v>
      </c>
    </row>
    <row r="1517" spans="1:12" x14ac:dyDescent="0.3">
      <c r="A1517">
        <v>40</v>
      </c>
      <c r="B1517">
        <v>2021</v>
      </c>
      <c r="C1517">
        <v>0.87</v>
      </c>
      <c r="D1517">
        <v>0.99</v>
      </c>
      <c r="E1517">
        <v>0.91</v>
      </c>
      <c r="F1517">
        <v>0.82</v>
      </c>
      <c r="G1517">
        <v>0.51</v>
      </c>
      <c r="H1517">
        <v>0.2</v>
      </c>
      <c r="I1517">
        <v>405</v>
      </c>
      <c r="J1517">
        <v>17</v>
      </c>
      <c r="K1517">
        <v>0.86</v>
      </c>
      <c r="L1517" t="s">
        <v>13</v>
      </c>
    </row>
    <row r="1518" spans="1:12" x14ac:dyDescent="0.3">
      <c r="A1518">
        <v>78</v>
      </c>
      <c r="B1518">
        <v>2022</v>
      </c>
      <c r="C1518">
        <v>0.48</v>
      </c>
      <c r="D1518">
        <v>0.92</v>
      </c>
      <c r="E1518">
        <v>0.82</v>
      </c>
      <c r="F1518">
        <v>0.61</v>
      </c>
      <c r="G1518">
        <v>0.81</v>
      </c>
      <c r="H1518">
        <v>0.04</v>
      </c>
      <c r="I1518">
        <v>184</v>
      </c>
      <c r="J1518">
        <v>17</v>
      </c>
      <c r="K1518">
        <v>0.71</v>
      </c>
      <c r="L1518" t="s">
        <v>13</v>
      </c>
    </row>
    <row r="1519" spans="1:12" x14ac:dyDescent="0.3">
      <c r="A1519">
        <v>56</v>
      </c>
      <c r="B1519">
        <v>2023</v>
      </c>
      <c r="C1519">
        <v>0.51</v>
      </c>
      <c r="D1519">
        <v>0.55000000000000004</v>
      </c>
      <c r="E1519">
        <v>0.69</v>
      </c>
      <c r="F1519">
        <v>0.74</v>
      </c>
      <c r="G1519">
        <v>0.56000000000000005</v>
      </c>
      <c r="H1519">
        <v>0.32</v>
      </c>
      <c r="I1519">
        <v>382</v>
      </c>
      <c r="J1519">
        <v>15</v>
      </c>
      <c r="K1519">
        <v>0.6</v>
      </c>
      <c r="L1519" t="s">
        <v>12</v>
      </c>
    </row>
    <row r="1520" spans="1:12" x14ac:dyDescent="0.3">
      <c r="A1520">
        <v>48</v>
      </c>
      <c r="B1520">
        <v>2025</v>
      </c>
      <c r="C1520">
        <v>0.71</v>
      </c>
      <c r="D1520">
        <v>0.72</v>
      </c>
      <c r="E1520">
        <v>0.89</v>
      </c>
      <c r="F1520">
        <v>0.82</v>
      </c>
      <c r="G1520">
        <v>0.9</v>
      </c>
      <c r="H1520">
        <v>0.23</v>
      </c>
      <c r="I1520">
        <v>450</v>
      </c>
      <c r="J1520">
        <v>1</v>
      </c>
      <c r="K1520">
        <v>0.78</v>
      </c>
      <c r="L1520" t="s">
        <v>13</v>
      </c>
    </row>
    <row r="1521" spans="1:12" x14ac:dyDescent="0.3">
      <c r="A1521">
        <v>70</v>
      </c>
      <c r="B1521">
        <v>2025</v>
      </c>
      <c r="C1521">
        <v>0.96</v>
      </c>
      <c r="D1521">
        <v>0.6</v>
      </c>
      <c r="E1521">
        <v>0.76</v>
      </c>
      <c r="F1521">
        <v>0.86</v>
      </c>
      <c r="G1521">
        <v>0.36</v>
      </c>
      <c r="H1521">
        <v>0.49</v>
      </c>
      <c r="I1521">
        <v>66</v>
      </c>
      <c r="J1521">
        <v>12</v>
      </c>
      <c r="K1521">
        <v>0.76</v>
      </c>
      <c r="L1521" t="s">
        <v>13</v>
      </c>
    </row>
    <row r="1522" spans="1:12" x14ac:dyDescent="0.3">
      <c r="A1522">
        <v>52</v>
      </c>
      <c r="B1522">
        <v>2024</v>
      </c>
      <c r="C1522">
        <v>0.43</v>
      </c>
      <c r="D1522">
        <v>0.78</v>
      </c>
      <c r="E1522">
        <v>0.59</v>
      </c>
      <c r="F1522">
        <v>0.63</v>
      </c>
      <c r="G1522">
        <v>0.53</v>
      </c>
      <c r="H1522">
        <v>0.23</v>
      </c>
      <c r="I1522">
        <v>210</v>
      </c>
      <c r="J1522">
        <v>11</v>
      </c>
      <c r="K1522">
        <v>0.59</v>
      </c>
      <c r="L1522" t="s">
        <v>12</v>
      </c>
    </row>
    <row r="1523" spans="1:12" x14ac:dyDescent="0.3">
      <c r="A1523">
        <v>76</v>
      </c>
      <c r="B1523">
        <v>2023</v>
      </c>
      <c r="C1523">
        <v>0.69</v>
      </c>
      <c r="D1523">
        <v>0.86</v>
      </c>
      <c r="E1523">
        <v>0.69</v>
      </c>
      <c r="F1523">
        <v>0.89</v>
      </c>
      <c r="G1523">
        <v>0.59</v>
      </c>
      <c r="H1523">
        <v>0.28000000000000003</v>
      </c>
      <c r="I1523">
        <v>77</v>
      </c>
      <c r="J1523">
        <v>3</v>
      </c>
      <c r="K1523">
        <v>0.75</v>
      </c>
      <c r="L1523" t="s">
        <v>13</v>
      </c>
    </row>
    <row r="1524" spans="1:12" x14ac:dyDescent="0.3">
      <c r="A1524">
        <v>36</v>
      </c>
      <c r="B1524">
        <v>2021</v>
      </c>
      <c r="C1524">
        <v>0.49</v>
      </c>
      <c r="D1524">
        <v>0.61</v>
      </c>
      <c r="E1524">
        <v>0.82</v>
      </c>
      <c r="F1524">
        <v>0.95</v>
      </c>
      <c r="G1524">
        <v>0.43</v>
      </c>
      <c r="H1524">
        <v>0.84</v>
      </c>
      <c r="I1524">
        <v>331</v>
      </c>
      <c r="J1524">
        <v>13</v>
      </c>
      <c r="K1524">
        <v>0.65</v>
      </c>
      <c r="L1524" t="s">
        <v>12</v>
      </c>
    </row>
    <row r="1525" spans="1:12" x14ac:dyDescent="0.3">
      <c r="A1525">
        <v>36</v>
      </c>
      <c r="B1525">
        <v>2025</v>
      </c>
      <c r="C1525">
        <v>0.79</v>
      </c>
      <c r="D1525">
        <v>0.52</v>
      </c>
      <c r="E1525">
        <v>0.54</v>
      </c>
      <c r="F1525">
        <v>0.89</v>
      </c>
      <c r="G1525">
        <v>0.66</v>
      </c>
      <c r="H1525">
        <v>0.7</v>
      </c>
      <c r="I1525">
        <v>218</v>
      </c>
      <c r="J1525">
        <v>18</v>
      </c>
      <c r="K1525">
        <v>0.67</v>
      </c>
      <c r="L1525" t="s">
        <v>12</v>
      </c>
    </row>
    <row r="1526" spans="1:12" x14ac:dyDescent="0.3">
      <c r="A1526">
        <v>47</v>
      </c>
      <c r="B1526">
        <v>2025</v>
      </c>
      <c r="C1526">
        <v>0.45</v>
      </c>
      <c r="D1526">
        <v>0.9</v>
      </c>
      <c r="E1526">
        <v>0.84</v>
      </c>
      <c r="F1526">
        <v>0.95</v>
      </c>
      <c r="G1526">
        <v>0.86</v>
      </c>
      <c r="H1526">
        <v>0.35</v>
      </c>
      <c r="I1526">
        <v>435</v>
      </c>
      <c r="J1526">
        <v>14</v>
      </c>
      <c r="K1526">
        <v>0.76</v>
      </c>
      <c r="L1526" t="s">
        <v>13</v>
      </c>
    </row>
    <row r="1527" spans="1:12" x14ac:dyDescent="0.3">
      <c r="A1527">
        <v>46</v>
      </c>
      <c r="B1527">
        <v>2021</v>
      </c>
      <c r="C1527">
        <v>0.69</v>
      </c>
      <c r="D1527">
        <v>0.52</v>
      </c>
      <c r="E1527">
        <v>0.95</v>
      </c>
      <c r="F1527">
        <v>0.71</v>
      </c>
      <c r="G1527">
        <v>0.59</v>
      </c>
      <c r="H1527">
        <v>0.2</v>
      </c>
      <c r="I1527">
        <v>350</v>
      </c>
      <c r="J1527">
        <v>7</v>
      </c>
      <c r="K1527">
        <v>0.69</v>
      </c>
      <c r="L1527" t="s">
        <v>12</v>
      </c>
    </row>
    <row r="1528" spans="1:12" x14ac:dyDescent="0.3">
      <c r="A1528">
        <v>22</v>
      </c>
      <c r="B1528">
        <v>2021</v>
      </c>
      <c r="C1528">
        <v>0.57999999999999996</v>
      </c>
      <c r="D1528">
        <v>0.84</v>
      </c>
      <c r="E1528">
        <v>0.6</v>
      </c>
      <c r="F1528">
        <v>0.75</v>
      </c>
      <c r="G1528">
        <v>0.31</v>
      </c>
      <c r="H1528">
        <v>0.76</v>
      </c>
      <c r="I1528">
        <v>408</v>
      </c>
      <c r="J1528">
        <v>17</v>
      </c>
      <c r="K1528">
        <v>0.65</v>
      </c>
      <c r="L1528" t="s">
        <v>12</v>
      </c>
    </row>
    <row r="1529" spans="1:12" x14ac:dyDescent="0.3">
      <c r="A1529">
        <v>78</v>
      </c>
      <c r="B1529">
        <v>2022</v>
      </c>
      <c r="C1529">
        <v>0.86</v>
      </c>
      <c r="D1529">
        <v>0.79</v>
      </c>
      <c r="E1529">
        <v>0.5</v>
      </c>
      <c r="F1529">
        <v>0.7</v>
      </c>
      <c r="G1529">
        <v>0.65</v>
      </c>
      <c r="H1529">
        <v>0.62</v>
      </c>
      <c r="I1529">
        <v>67</v>
      </c>
      <c r="J1529">
        <v>6</v>
      </c>
      <c r="K1529">
        <v>0.73</v>
      </c>
      <c r="L1529" t="s">
        <v>13</v>
      </c>
    </row>
    <row r="1530" spans="1:12" x14ac:dyDescent="0.3">
      <c r="A1530">
        <v>70</v>
      </c>
      <c r="B1530">
        <v>2023</v>
      </c>
      <c r="C1530">
        <v>0.38</v>
      </c>
      <c r="D1530">
        <v>0.99</v>
      </c>
      <c r="E1530">
        <v>0.64</v>
      </c>
      <c r="F1530">
        <v>0.99</v>
      </c>
      <c r="G1530">
        <v>0.43</v>
      </c>
      <c r="H1530">
        <v>0.36</v>
      </c>
      <c r="I1530">
        <v>383</v>
      </c>
      <c r="J1530">
        <v>14</v>
      </c>
      <c r="K1530">
        <v>0.68</v>
      </c>
      <c r="L1530" t="s">
        <v>12</v>
      </c>
    </row>
    <row r="1531" spans="1:12" x14ac:dyDescent="0.3">
      <c r="A1531">
        <v>24</v>
      </c>
      <c r="B1531">
        <v>2021</v>
      </c>
      <c r="C1531">
        <v>0.45</v>
      </c>
      <c r="D1531">
        <v>0.67</v>
      </c>
      <c r="E1531">
        <v>0.53</v>
      </c>
      <c r="F1531">
        <v>0.72</v>
      </c>
      <c r="G1531">
        <v>0.67</v>
      </c>
      <c r="H1531">
        <v>0.47</v>
      </c>
      <c r="I1531">
        <v>464</v>
      </c>
      <c r="J1531">
        <v>6</v>
      </c>
      <c r="K1531">
        <v>0.57999999999999996</v>
      </c>
      <c r="L1531" t="s">
        <v>12</v>
      </c>
    </row>
    <row r="1532" spans="1:12" x14ac:dyDescent="0.3">
      <c r="A1532">
        <v>74</v>
      </c>
      <c r="B1532">
        <v>2021</v>
      </c>
      <c r="C1532">
        <v>0.32</v>
      </c>
      <c r="D1532">
        <v>0.46</v>
      </c>
      <c r="E1532">
        <v>0.84</v>
      </c>
      <c r="F1532">
        <v>0.77</v>
      </c>
      <c r="G1532">
        <v>0.91</v>
      </c>
      <c r="H1532">
        <v>0.69</v>
      </c>
      <c r="I1532">
        <v>353</v>
      </c>
      <c r="J1532">
        <v>18</v>
      </c>
      <c r="K1532">
        <v>0.59</v>
      </c>
      <c r="L1532" t="s">
        <v>12</v>
      </c>
    </row>
    <row r="1533" spans="1:12" x14ac:dyDescent="0.3">
      <c r="A1533">
        <v>70</v>
      </c>
      <c r="B1533">
        <v>2023</v>
      </c>
      <c r="C1533">
        <v>0.85</v>
      </c>
      <c r="D1533">
        <v>0.99</v>
      </c>
      <c r="E1533">
        <v>0.77</v>
      </c>
      <c r="F1533">
        <v>0.87</v>
      </c>
      <c r="G1533">
        <v>0.47</v>
      </c>
      <c r="H1533">
        <v>0.44</v>
      </c>
      <c r="I1533">
        <v>120</v>
      </c>
      <c r="J1533">
        <v>13</v>
      </c>
      <c r="K1533">
        <v>0.83</v>
      </c>
      <c r="L1533" t="s">
        <v>13</v>
      </c>
    </row>
    <row r="1534" spans="1:12" x14ac:dyDescent="0.3">
      <c r="A1534">
        <v>50</v>
      </c>
      <c r="B1534">
        <v>2021</v>
      </c>
      <c r="C1534">
        <v>0.61</v>
      </c>
      <c r="D1534">
        <v>0.83</v>
      </c>
      <c r="E1534">
        <v>0.69</v>
      </c>
      <c r="F1534">
        <v>0.97</v>
      </c>
      <c r="G1534">
        <v>0.37</v>
      </c>
      <c r="H1534">
        <v>0.37</v>
      </c>
      <c r="I1534">
        <v>177</v>
      </c>
      <c r="J1534">
        <v>2</v>
      </c>
      <c r="K1534">
        <v>0.71</v>
      </c>
      <c r="L1534" t="s">
        <v>13</v>
      </c>
    </row>
    <row r="1535" spans="1:12" x14ac:dyDescent="0.3">
      <c r="A1535">
        <v>66</v>
      </c>
      <c r="B1535">
        <v>2021</v>
      </c>
      <c r="C1535">
        <v>0.41</v>
      </c>
      <c r="D1535">
        <v>0.43</v>
      </c>
      <c r="E1535">
        <v>0.56000000000000005</v>
      </c>
      <c r="F1535">
        <v>0.97</v>
      </c>
      <c r="G1535">
        <v>0.69</v>
      </c>
      <c r="H1535">
        <v>0.8</v>
      </c>
      <c r="I1535">
        <v>167</v>
      </c>
      <c r="J1535">
        <v>6</v>
      </c>
      <c r="K1535">
        <v>0.56000000000000005</v>
      </c>
      <c r="L1535" t="s">
        <v>12</v>
      </c>
    </row>
    <row r="1536" spans="1:12" x14ac:dyDescent="0.3">
      <c r="A1536">
        <v>44</v>
      </c>
      <c r="B1536">
        <v>2022</v>
      </c>
      <c r="C1536">
        <v>0.9</v>
      </c>
      <c r="D1536">
        <v>0.52</v>
      </c>
      <c r="E1536">
        <v>0.57999999999999996</v>
      </c>
      <c r="F1536">
        <v>0.68</v>
      </c>
      <c r="G1536">
        <v>0.66</v>
      </c>
      <c r="H1536">
        <v>0.12</v>
      </c>
      <c r="I1536">
        <v>68</v>
      </c>
      <c r="J1536">
        <v>8</v>
      </c>
      <c r="K1536">
        <v>0.68</v>
      </c>
      <c r="L1536" t="s">
        <v>12</v>
      </c>
    </row>
    <row r="1537" spans="1:12" x14ac:dyDescent="0.3">
      <c r="A1537">
        <v>26</v>
      </c>
      <c r="B1537">
        <v>2024</v>
      </c>
      <c r="C1537">
        <v>0.49</v>
      </c>
      <c r="D1537">
        <v>0.65</v>
      </c>
      <c r="E1537">
        <v>0.62</v>
      </c>
      <c r="F1537">
        <v>0.65</v>
      </c>
      <c r="G1537">
        <v>0.9</v>
      </c>
      <c r="H1537">
        <v>0.56000000000000005</v>
      </c>
      <c r="I1537">
        <v>149</v>
      </c>
      <c r="J1537">
        <v>18</v>
      </c>
      <c r="K1537">
        <v>0.62</v>
      </c>
      <c r="L1537" t="s">
        <v>12</v>
      </c>
    </row>
    <row r="1538" spans="1:12" x14ac:dyDescent="0.3">
      <c r="A1538">
        <v>100</v>
      </c>
      <c r="B1538">
        <v>2023</v>
      </c>
      <c r="C1538">
        <v>0.34</v>
      </c>
      <c r="D1538">
        <v>0.59</v>
      </c>
      <c r="E1538">
        <v>1</v>
      </c>
      <c r="F1538">
        <v>0.77</v>
      </c>
      <c r="G1538">
        <v>0.39</v>
      </c>
      <c r="H1538">
        <v>0.97</v>
      </c>
      <c r="I1538">
        <v>422</v>
      </c>
      <c r="J1538">
        <v>6</v>
      </c>
      <c r="K1538">
        <v>0.6</v>
      </c>
      <c r="L1538" t="s">
        <v>12</v>
      </c>
    </row>
    <row r="1539" spans="1:12" x14ac:dyDescent="0.3">
      <c r="A1539">
        <v>30</v>
      </c>
      <c r="B1539">
        <v>2025</v>
      </c>
      <c r="C1539">
        <v>0.91</v>
      </c>
      <c r="D1539">
        <v>0.63</v>
      </c>
      <c r="E1539">
        <v>0.69</v>
      </c>
      <c r="F1539">
        <v>0.71</v>
      </c>
      <c r="G1539">
        <v>0.33</v>
      </c>
      <c r="H1539">
        <v>0.27</v>
      </c>
      <c r="I1539">
        <v>257</v>
      </c>
      <c r="J1539">
        <v>1</v>
      </c>
      <c r="K1539">
        <v>0.71</v>
      </c>
      <c r="L1539" t="s">
        <v>13</v>
      </c>
    </row>
    <row r="1540" spans="1:12" x14ac:dyDescent="0.3">
      <c r="A1540">
        <v>1</v>
      </c>
      <c r="B1540">
        <v>2021</v>
      </c>
      <c r="C1540">
        <v>0.45</v>
      </c>
      <c r="D1540">
        <v>0.81</v>
      </c>
      <c r="E1540">
        <v>0.79</v>
      </c>
      <c r="F1540">
        <v>0.82</v>
      </c>
      <c r="G1540">
        <v>0.9</v>
      </c>
      <c r="H1540">
        <v>0.1</v>
      </c>
      <c r="I1540">
        <v>105</v>
      </c>
      <c r="J1540">
        <v>4</v>
      </c>
      <c r="K1540">
        <v>0.71</v>
      </c>
      <c r="L1540" t="s">
        <v>13</v>
      </c>
    </row>
    <row r="1541" spans="1:12" x14ac:dyDescent="0.3">
      <c r="A1541">
        <v>17</v>
      </c>
      <c r="B1541">
        <v>2024</v>
      </c>
      <c r="C1541">
        <v>0.87</v>
      </c>
      <c r="D1541">
        <v>0.53</v>
      </c>
      <c r="E1541">
        <v>0.9</v>
      </c>
      <c r="F1541">
        <v>0.76</v>
      </c>
      <c r="G1541">
        <v>0.43</v>
      </c>
      <c r="H1541">
        <v>0.76</v>
      </c>
      <c r="I1541">
        <v>205</v>
      </c>
      <c r="J1541">
        <v>9</v>
      </c>
      <c r="K1541">
        <v>0.73</v>
      </c>
      <c r="L1541" t="s">
        <v>13</v>
      </c>
    </row>
    <row r="1542" spans="1:12" x14ac:dyDescent="0.3">
      <c r="A1542">
        <v>84</v>
      </c>
      <c r="B1542">
        <v>2021</v>
      </c>
      <c r="C1542">
        <v>0.55000000000000004</v>
      </c>
      <c r="D1542">
        <v>0.76</v>
      </c>
      <c r="E1542">
        <v>0.78</v>
      </c>
      <c r="F1542">
        <v>0.76</v>
      </c>
      <c r="G1542">
        <v>0.6</v>
      </c>
      <c r="H1542">
        <v>0.23</v>
      </c>
      <c r="I1542">
        <v>233</v>
      </c>
      <c r="J1542">
        <v>19</v>
      </c>
      <c r="K1542">
        <v>0.68</v>
      </c>
      <c r="L1542" t="s">
        <v>12</v>
      </c>
    </row>
    <row r="1543" spans="1:12" x14ac:dyDescent="0.3">
      <c r="A1543">
        <v>38</v>
      </c>
      <c r="B1543">
        <v>2023</v>
      </c>
      <c r="C1543">
        <v>0.57999999999999996</v>
      </c>
      <c r="D1543">
        <v>0.83</v>
      </c>
      <c r="E1543">
        <v>0.81</v>
      </c>
      <c r="F1543">
        <v>0.71</v>
      </c>
      <c r="G1543">
        <v>0.76</v>
      </c>
      <c r="H1543">
        <v>0.66</v>
      </c>
      <c r="I1543">
        <v>381</v>
      </c>
      <c r="J1543">
        <v>7</v>
      </c>
      <c r="K1543">
        <v>0.73</v>
      </c>
      <c r="L1543" t="s">
        <v>13</v>
      </c>
    </row>
    <row r="1544" spans="1:12" x14ac:dyDescent="0.3">
      <c r="A1544">
        <v>67</v>
      </c>
      <c r="B1544">
        <v>2022</v>
      </c>
      <c r="C1544">
        <v>0.98</v>
      </c>
      <c r="D1544">
        <v>0.8</v>
      </c>
      <c r="E1544">
        <v>0.57999999999999996</v>
      </c>
      <c r="F1544">
        <v>0.65</v>
      </c>
      <c r="G1544">
        <v>0.44</v>
      </c>
      <c r="H1544">
        <v>0.77</v>
      </c>
      <c r="I1544">
        <v>51</v>
      </c>
      <c r="J1544">
        <v>0</v>
      </c>
      <c r="K1544">
        <v>0.75</v>
      </c>
      <c r="L1544" t="s">
        <v>13</v>
      </c>
    </row>
    <row r="1545" spans="1:12" x14ac:dyDescent="0.3">
      <c r="A1545">
        <v>20</v>
      </c>
      <c r="B1545">
        <v>2022</v>
      </c>
      <c r="C1545">
        <v>0.93</v>
      </c>
      <c r="D1545">
        <v>0.5</v>
      </c>
      <c r="E1545">
        <v>0.51</v>
      </c>
      <c r="F1545">
        <v>0.96</v>
      </c>
      <c r="G1545">
        <v>0.88</v>
      </c>
      <c r="H1545">
        <v>0.97</v>
      </c>
      <c r="I1545">
        <v>392</v>
      </c>
      <c r="J1545">
        <v>0</v>
      </c>
      <c r="K1545">
        <v>0.74</v>
      </c>
      <c r="L1545" t="s">
        <v>13</v>
      </c>
    </row>
    <row r="1546" spans="1:12" x14ac:dyDescent="0.3">
      <c r="A1546">
        <v>41</v>
      </c>
      <c r="B1546">
        <v>2024</v>
      </c>
      <c r="C1546">
        <v>0.59</v>
      </c>
      <c r="D1546">
        <v>0.73</v>
      </c>
      <c r="E1546">
        <v>0.62</v>
      </c>
      <c r="F1546">
        <v>0.62</v>
      </c>
      <c r="G1546">
        <v>0.96</v>
      </c>
      <c r="H1546">
        <v>0.19</v>
      </c>
      <c r="I1546">
        <v>441</v>
      </c>
      <c r="J1546">
        <v>5</v>
      </c>
      <c r="K1546">
        <v>0.67</v>
      </c>
      <c r="L1546" t="s">
        <v>12</v>
      </c>
    </row>
    <row r="1547" spans="1:12" x14ac:dyDescent="0.3">
      <c r="A1547">
        <v>81</v>
      </c>
      <c r="B1547">
        <v>2023</v>
      </c>
      <c r="C1547">
        <v>0.31</v>
      </c>
      <c r="D1547">
        <v>0.49</v>
      </c>
      <c r="E1547">
        <v>0.69</v>
      </c>
      <c r="F1547">
        <v>0.87</v>
      </c>
      <c r="G1547">
        <v>0.46</v>
      </c>
      <c r="H1547">
        <v>0.42</v>
      </c>
      <c r="I1547">
        <v>193</v>
      </c>
      <c r="J1547">
        <v>12</v>
      </c>
      <c r="K1547">
        <v>0.53</v>
      </c>
      <c r="L1547" t="s">
        <v>12</v>
      </c>
    </row>
    <row r="1548" spans="1:12" x14ac:dyDescent="0.3">
      <c r="A1548">
        <v>59</v>
      </c>
      <c r="B1548">
        <v>2022</v>
      </c>
      <c r="C1548">
        <v>0.39</v>
      </c>
      <c r="D1548">
        <v>0.69</v>
      </c>
      <c r="E1548">
        <v>0.87</v>
      </c>
      <c r="F1548">
        <v>0.64</v>
      </c>
      <c r="G1548">
        <v>0.6</v>
      </c>
      <c r="H1548">
        <v>0.02</v>
      </c>
      <c r="I1548">
        <v>487</v>
      </c>
      <c r="J1548">
        <v>6</v>
      </c>
      <c r="K1548">
        <v>0.62</v>
      </c>
      <c r="L1548" t="s">
        <v>12</v>
      </c>
    </row>
    <row r="1549" spans="1:12" x14ac:dyDescent="0.3">
      <c r="A1549">
        <v>49</v>
      </c>
      <c r="B1549">
        <v>2023</v>
      </c>
      <c r="C1549">
        <v>0.9</v>
      </c>
      <c r="D1549">
        <v>0.75</v>
      </c>
      <c r="E1549">
        <v>0.94</v>
      </c>
      <c r="F1549">
        <v>0.92</v>
      </c>
      <c r="G1549">
        <v>0.77</v>
      </c>
      <c r="H1549">
        <v>0.61</v>
      </c>
      <c r="I1549">
        <v>89</v>
      </c>
      <c r="J1549">
        <v>15</v>
      </c>
      <c r="K1549">
        <v>0.86</v>
      </c>
      <c r="L1549" t="s">
        <v>13</v>
      </c>
    </row>
    <row r="1550" spans="1:12" x14ac:dyDescent="0.3">
      <c r="A1550">
        <v>76</v>
      </c>
      <c r="B1550">
        <v>2021</v>
      </c>
      <c r="C1550">
        <v>0.38</v>
      </c>
      <c r="D1550">
        <v>0.49</v>
      </c>
      <c r="E1550">
        <v>0.83</v>
      </c>
      <c r="F1550">
        <v>0.86</v>
      </c>
      <c r="G1550">
        <v>0.89</v>
      </c>
      <c r="H1550">
        <v>0.75</v>
      </c>
      <c r="I1550">
        <v>251</v>
      </c>
      <c r="J1550">
        <v>10</v>
      </c>
      <c r="K1550">
        <v>0.62</v>
      </c>
      <c r="L1550" t="s">
        <v>12</v>
      </c>
    </row>
    <row r="1551" spans="1:12" x14ac:dyDescent="0.3">
      <c r="A1551">
        <v>90</v>
      </c>
      <c r="B1551">
        <v>2025</v>
      </c>
      <c r="C1551">
        <v>0.78</v>
      </c>
      <c r="D1551">
        <v>0.71</v>
      </c>
      <c r="E1551">
        <v>0.74</v>
      </c>
      <c r="F1551">
        <v>0.86</v>
      </c>
      <c r="G1551">
        <v>0.69</v>
      </c>
      <c r="H1551">
        <v>0.64</v>
      </c>
      <c r="I1551">
        <v>301</v>
      </c>
      <c r="J1551">
        <v>1</v>
      </c>
      <c r="K1551">
        <v>0.76</v>
      </c>
      <c r="L1551" t="s">
        <v>13</v>
      </c>
    </row>
    <row r="1552" spans="1:12" x14ac:dyDescent="0.3">
      <c r="A1552">
        <v>80</v>
      </c>
      <c r="B1552">
        <v>2023</v>
      </c>
      <c r="C1552">
        <v>0.66</v>
      </c>
      <c r="D1552">
        <v>0.81</v>
      </c>
      <c r="E1552">
        <v>0.72</v>
      </c>
      <c r="F1552">
        <v>0.7</v>
      </c>
      <c r="G1552">
        <v>0.3</v>
      </c>
      <c r="H1552">
        <v>0.56000000000000005</v>
      </c>
      <c r="I1552">
        <v>122</v>
      </c>
      <c r="J1552">
        <v>3</v>
      </c>
      <c r="K1552">
        <v>0.68</v>
      </c>
      <c r="L1552" t="s">
        <v>12</v>
      </c>
    </row>
    <row r="1553" spans="1:12" x14ac:dyDescent="0.3">
      <c r="A1553">
        <v>29</v>
      </c>
      <c r="B1553">
        <v>2024</v>
      </c>
      <c r="C1553">
        <v>0.57999999999999996</v>
      </c>
      <c r="D1553">
        <v>0.52</v>
      </c>
      <c r="E1553">
        <v>0.54</v>
      </c>
      <c r="F1553">
        <v>0.91</v>
      </c>
      <c r="G1553">
        <v>0.47</v>
      </c>
      <c r="H1553">
        <v>0.61</v>
      </c>
      <c r="I1553">
        <v>255</v>
      </c>
      <c r="J1553">
        <v>9</v>
      </c>
      <c r="K1553">
        <v>0.6</v>
      </c>
      <c r="L1553" t="s">
        <v>12</v>
      </c>
    </row>
    <row r="1554" spans="1:12" x14ac:dyDescent="0.3">
      <c r="A1554">
        <v>42</v>
      </c>
      <c r="B1554">
        <v>2022</v>
      </c>
      <c r="C1554">
        <v>0.91</v>
      </c>
      <c r="D1554">
        <v>0.67</v>
      </c>
      <c r="E1554">
        <v>0.64</v>
      </c>
      <c r="F1554">
        <v>0.96</v>
      </c>
      <c r="G1554">
        <v>0.9</v>
      </c>
      <c r="H1554">
        <v>0.16</v>
      </c>
      <c r="I1554">
        <v>440</v>
      </c>
      <c r="J1554">
        <v>8</v>
      </c>
      <c r="K1554">
        <v>0.8</v>
      </c>
      <c r="L1554" t="s">
        <v>13</v>
      </c>
    </row>
    <row r="1555" spans="1:12" x14ac:dyDescent="0.3">
      <c r="A1555">
        <v>3</v>
      </c>
      <c r="B1555">
        <v>2021</v>
      </c>
      <c r="C1555">
        <v>0.86</v>
      </c>
      <c r="D1555">
        <v>0.77</v>
      </c>
      <c r="E1555">
        <v>0.56000000000000005</v>
      </c>
      <c r="F1555">
        <v>0.85</v>
      </c>
      <c r="G1555">
        <v>0.34</v>
      </c>
      <c r="H1555">
        <v>0.89</v>
      </c>
      <c r="I1555">
        <v>179</v>
      </c>
      <c r="J1555">
        <v>10</v>
      </c>
      <c r="K1555">
        <v>0.72</v>
      </c>
      <c r="L1555" t="s">
        <v>13</v>
      </c>
    </row>
    <row r="1556" spans="1:12" x14ac:dyDescent="0.3">
      <c r="A1556">
        <v>81</v>
      </c>
      <c r="B1556">
        <v>2022</v>
      </c>
      <c r="C1556">
        <v>0.89</v>
      </c>
      <c r="D1556">
        <v>0.71</v>
      </c>
      <c r="E1556">
        <v>0.89</v>
      </c>
      <c r="F1556">
        <v>0.67</v>
      </c>
      <c r="G1556">
        <v>0.7</v>
      </c>
      <c r="H1556">
        <v>0.98</v>
      </c>
      <c r="I1556">
        <v>160</v>
      </c>
      <c r="J1556">
        <v>7</v>
      </c>
      <c r="K1556">
        <v>0.79</v>
      </c>
      <c r="L1556" t="s">
        <v>13</v>
      </c>
    </row>
    <row r="1557" spans="1:12" x14ac:dyDescent="0.3">
      <c r="A1557">
        <v>26</v>
      </c>
      <c r="B1557">
        <v>2021</v>
      </c>
      <c r="C1557">
        <v>0.61</v>
      </c>
      <c r="D1557">
        <v>0.62</v>
      </c>
      <c r="E1557">
        <v>1</v>
      </c>
      <c r="F1557">
        <v>0.83</v>
      </c>
      <c r="G1557">
        <v>0.63</v>
      </c>
      <c r="H1557">
        <v>0.5</v>
      </c>
      <c r="I1557">
        <v>431</v>
      </c>
      <c r="J1557">
        <v>16</v>
      </c>
      <c r="K1557">
        <v>0.73</v>
      </c>
      <c r="L1557" t="s">
        <v>13</v>
      </c>
    </row>
    <row r="1558" spans="1:12" x14ac:dyDescent="0.3">
      <c r="A1558">
        <v>5</v>
      </c>
      <c r="B1558">
        <v>2025</v>
      </c>
      <c r="C1558">
        <v>0.39</v>
      </c>
      <c r="D1558">
        <v>0.97</v>
      </c>
      <c r="E1558">
        <v>0.86</v>
      </c>
      <c r="F1558">
        <v>0.9</v>
      </c>
      <c r="G1558">
        <v>0.65</v>
      </c>
      <c r="H1558">
        <v>0.47</v>
      </c>
      <c r="I1558">
        <v>112</v>
      </c>
      <c r="J1558">
        <v>1</v>
      </c>
      <c r="K1558">
        <v>0.73</v>
      </c>
      <c r="L1558" t="s">
        <v>13</v>
      </c>
    </row>
    <row r="1559" spans="1:12" x14ac:dyDescent="0.3">
      <c r="A1559">
        <v>79</v>
      </c>
      <c r="B1559">
        <v>2021</v>
      </c>
      <c r="C1559">
        <v>0.65</v>
      </c>
      <c r="D1559">
        <v>0.96</v>
      </c>
      <c r="E1559">
        <v>0.5</v>
      </c>
      <c r="F1559">
        <v>0.96</v>
      </c>
      <c r="G1559">
        <v>0.52</v>
      </c>
      <c r="H1559">
        <v>0.31</v>
      </c>
      <c r="I1559">
        <v>108</v>
      </c>
      <c r="J1559">
        <v>5</v>
      </c>
      <c r="K1559">
        <v>0.73</v>
      </c>
      <c r="L1559" t="s">
        <v>13</v>
      </c>
    </row>
    <row r="1560" spans="1:12" x14ac:dyDescent="0.3">
      <c r="A1560">
        <v>64</v>
      </c>
      <c r="B1560">
        <v>2023</v>
      </c>
      <c r="C1560">
        <v>0.85</v>
      </c>
      <c r="D1560">
        <v>0.59</v>
      </c>
      <c r="E1560">
        <v>0.54</v>
      </c>
      <c r="F1560">
        <v>0.79</v>
      </c>
      <c r="G1560">
        <v>0.82</v>
      </c>
      <c r="H1560">
        <v>0.22</v>
      </c>
      <c r="I1560">
        <v>487</v>
      </c>
      <c r="J1560">
        <v>3</v>
      </c>
      <c r="K1560">
        <v>0.71</v>
      </c>
      <c r="L1560" t="s">
        <v>13</v>
      </c>
    </row>
    <row r="1561" spans="1:12" x14ac:dyDescent="0.3">
      <c r="A1561">
        <v>100</v>
      </c>
      <c r="B1561">
        <v>2025</v>
      </c>
      <c r="C1561">
        <v>0.97</v>
      </c>
      <c r="D1561">
        <v>0.99</v>
      </c>
      <c r="E1561">
        <v>0.9</v>
      </c>
      <c r="F1561">
        <v>0.68</v>
      </c>
      <c r="G1561">
        <v>0.45</v>
      </c>
      <c r="H1561">
        <v>0.34</v>
      </c>
      <c r="I1561">
        <v>110</v>
      </c>
      <c r="J1561">
        <v>13</v>
      </c>
      <c r="K1561">
        <v>0.87</v>
      </c>
      <c r="L1561" t="s">
        <v>13</v>
      </c>
    </row>
    <row r="1562" spans="1:12" x14ac:dyDescent="0.3">
      <c r="A1562">
        <v>51</v>
      </c>
      <c r="B1562">
        <v>2023</v>
      </c>
      <c r="C1562">
        <v>0.44</v>
      </c>
      <c r="D1562">
        <v>0.48</v>
      </c>
      <c r="E1562">
        <v>0.71</v>
      </c>
      <c r="F1562">
        <v>0.65</v>
      </c>
      <c r="G1562">
        <v>0.59</v>
      </c>
      <c r="H1562">
        <v>0.15</v>
      </c>
      <c r="I1562">
        <v>476</v>
      </c>
      <c r="J1562">
        <v>1</v>
      </c>
      <c r="K1562">
        <v>0.55000000000000004</v>
      </c>
      <c r="L1562" t="s">
        <v>12</v>
      </c>
    </row>
    <row r="1563" spans="1:12" x14ac:dyDescent="0.3">
      <c r="A1563">
        <v>23</v>
      </c>
      <c r="B1563">
        <v>2025</v>
      </c>
      <c r="C1563">
        <v>0.68</v>
      </c>
      <c r="D1563">
        <v>0.81</v>
      </c>
      <c r="E1563">
        <v>0.97</v>
      </c>
      <c r="F1563">
        <v>0.86</v>
      </c>
      <c r="G1563">
        <v>0.55000000000000004</v>
      </c>
      <c r="H1563">
        <v>0.45</v>
      </c>
      <c r="I1563">
        <v>446</v>
      </c>
      <c r="J1563">
        <v>10</v>
      </c>
      <c r="K1563">
        <v>0.78</v>
      </c>
      <c r="L1563" t="s">
        <v>13</v>
      </c>
    </row>
    <row r="1564" spans="1:12" x14ac:dyDescent="0.3">
      <c r="A1564">
        <v>82</v>
      </c>
      <c r="B1564">
        <v>2022</v>
      </c>
      <c r="C1564">
        <v>0.49</v>
      </c>
      <c r="D1564">
        <v>0.55000000000000004</v>
      </c>
      <c r="E1564">
        <v>0.62</v>
      </c>
      <c r="F1564">
        <v>0.68</v>
      </c>
      <c r="G1564">
        <v>0.7</v>
      </c>
      <c r="H1564">
        <v>0.33</v>
      </c>
      <c r="I1564">
        <v>434</v>
      </c>
      <c r="J1564">
        <v>18</v>
      </c>
      <c r="K1564">
        <v>0.57999999999999996</v>
      </c>
      <c r="L1564" t="s">
        <v>12</v>
      </c>
    </row>
    <row r="1565" spans="1:12" x14ac:dyDescent="0.3">
      <c r="A1565">
        <v>16</v>
      </c>
      <c r="B1565">
        <v>2022</v>
      </c>
      <c r="C1565">
        <v>0.63</v>
      </c>
      <c r="D1565">
        <v>0.41</v>
      </c>
      <c r="E1565">
        <v>0.74</v>
      </c>
      <c r="F1565">
        <v>0.62</v>
      </c>
      <c r="G1565">
        <v>0.98</v>
      </c>
      <c r="H1565">
        <v>0.79</v>
      </c>
      <c r="I1565">
        <v>55</v>
      </c>
      <c r="J1565">
        <v>4</v>
      </c>
      <c r="K1565">
        <v>0.63</v>
      </c>
      <c r="L1565" t="s">
        <v>12</v>
      </c>
    </row>
    <row r="1566" spans="1:12" x14ac:dyDescent="0.3">
      <c r="A1566">
        <v>40</v>
      </c>
      <c r="B1566">
        <v>2025</v>
      </c>
      <c r="C1566">
        <v>0.8</v>
      </c>
      <c r="D1566">
        <v>0.63</v>
      </c>
      <c r="E1566">
        <v>0.77</v>
      </c>
      <c r="F1566">
        <v>0.96</v>
      </c>
      <c r="G1566">
        <v>0.48</v>
      </c>
      <c r="H1566">
        <v>0.24</v>
      </c>
      <c r="I1566">
        <v>412</v>
      </c>
      <c r="J1566">
        <v>17</v>
      </c>
      <c r="K1566">
        <v>0.74</v>
      </c>
      <c r="L1566" t="s">
        <v>13</v>
      </c>
    </row>
    <row r="1567" spans="1:12" x14ac:dyDescent="0.3">
      <c r="A1567">
        <v>77</v>
      </c>
      <c r="B1567">
        <v>2021</v>
      </c>
      <c r="C1567">
        <v>0.38</v>
      </c>
      <c r="D1567">
        <v>0.82</v>
      </c>
      <c r="E1567">
        <v>0.6</v>
      </c>
      <c r="F1567">
        <v>0.97</v>
      </c>
      <c r="G1567">
        <v>0.45</v>
      </c>
      <c r="H1567">
        <v>0.26</v>
      </c>
      <c r="I1567">
        <v>195</v>
      </c>
      <c r="J1567">
        <v>17</v>
      </c>
      <c r="K1567">
        <v>0.63</v>
      </c>
      <c r="L1567" t="s">
        <v>12</v>
      </c>
    </row>
    <row r="1568" spans="1:12" x14ac:dyDescent="0.3">
      <c r="A1568">
        <v>46</v>
      </c>
      <c r="B1568">
        <v>2021</v>
      </c>
      <c r="C1568">
        <v>0.87</v>
      </c>
      <c r="D1568">
        <v>0.87</v>
      </c>
      <c r="E1568">
        <v>0.96</v>
      </c>
      <c r="F1568">
        <v>0.9</v>
      </c>
      <c r="G1568">
        <v>0.34</v>
      </c>
      <c r="H1568">
        <v>0.84</v>
      </c>
      <c r="I1568">
        <v>202</v>
      </c>
      <c r="J1568">
        <v>19</v>
      </c>
      <c r="K1568">
        <v>0.84</v>
      </c>
      <c r="L1568" t="s">
        <v>13</v>
      </c>
    </row>
    <row r="1569" spans="1:12" x14ac:dyDescent="0.3">
      <c r="A1569">
        <v>57</v>
      </c>
      <c r="B1569">
        <v>2022</v>
      </c>
      <c r="C1569">
        <v>0.39</v>
      </c>
      <c r="D1569">
        <v>0.77</v>
      </c>
      <c r="E1569">
        <v>0.6</v>
      </c>
      <c r="F1569">
        <v>0.71</v>
      </c>
      <c r="G1569">
        <v>0.82</v>
      </c>
      <c r="H1569">
        <v>0.98</v>
      </c>
      <c r="I1569">
        <v>339</v>
      </c>
      <c r="J1569">
        <v>2</v>
      </c>
      <c r="K1569">
        <v>0.62</v>
      </c>
      <c r="L1569" t="s">
        <v>12</v>
      </c>
    </row>
    <row r="1570" spans="1:12" x14ac:dyDescent="0.3">
      <c r="A1570">
        <v>25</v>
      </c>
      <c r="B1570">
        <v>2024</v>
      </c>
      <c r="C1570">
        <v>0.86</v>
      </c>
      <c r="D1570">
        <v>0.48</v>
      </c>
      <c r="E1570">
        <v>0.7</v>
      </c>
      <c r="F1570">
        <v>0.71</v>
      </c>
      <c r="G1570">
        <v>0.5</v>
      </c>
      <c r="H1570">
        <v>0.12</v>
      </c>
      <c r="I1570">
        <v>225</v>
      </c>
      <c r="J1570">
        <v>2</v>
      </c>
      <c r="K1570">
        <v>0.67</v>
      </c>
      <c r="L1570" t="s">
        <v>12</v>
      </c>
    </row>
    <row r="1571" spans="1:12" x14ac:dyDescent="0.3">
      <c r="A1571">
        <v>66</v>
      </c>
      <c r="B1571">
        <v>2023</v>
      </c>
      <c r="C1571">
        <v>0.42</v>
      </c>
      <c r="D1571">
        <v>0.75</v>
      </c>
      <c r="E1571">
        <v>0.63</v>
      </c>
      <c r="F1571">
        <v>0.7</v>
      </c>
      <c r="G1571">
        <v>0.64</v>
      </c>
      <c r="H1571">
        <v>0.65</v>
      </c>
      <c r="I1571">
        <v>352</v>
      </c>
      <c r="J1571">
        <v>3</v>
      </c>
      <c r="K1571">
        <v>0.61</v>
      </c>
      <c r="L1571" t="s">
        <v>12</v>
      </c>
    </row>
    <row r="1572" spans="1:12" x14ac:dyDescent="0.3">
      <c r="A1572">
        <v>9</v>
      </c>
      <c r="B1572">
        <v>2024</v>
      </c>
      <c r="C1572">
        <v>0.98</v>
      </c>
      <c r="D1572">
        <v>0.64</v>
      </c>
      <c r="E1572">
        <v>0.8</v>
      </c>
      <c r="F1572">
        <v>0.7</v>
      </c>
      <c r="G1572">
        <v>0.64</v>
      </c>
      <c r="H1572">
        <v>7.0000000000000007E-2</v>
      </c>
      <c r="I1572">
        <v>167</v>
      </c>
      <c r="J1572">
        <v>3</v>
      </c>
      <c r="K1572">
        <v>0.78</v>
      </c>
      <c r="L1572" t="s">
        <v>13</v>
      </c>
    </row>
    <row r="1573" spans="1:12" x14ac:dyDescent="0.3">
      <c r="A1573">
        <v>31</v>
      </c>
      <c r="B1573">
        <v>2021</v>
      </c>
      <c r="C1573">
        <v>0.66</v>
      </c>
      <c r="D1573">
        <v>0.74</v>
      </c>
      <c r="E1573">
        <v>0.84</v>
      </c>
      <c r="F1573">
        <v>0.77</v>
      </c>
      <c r="G1573">
        <v>0.38</v>
      </c>
      <c r="H1573">
        <v>0.1</v>
      </c>
      <c r="I1573">
        <v>465</v>
      </c>
      <c r="J1573">
        <v>18</v>
      </c>
      <c r="K1573">
        <v>0.7</v>
      </c>
      <c r="L1573" t="s">
        <v>12</v>
      </c>
    </row>
    <row r="1574" spans="1:12" x14ac:dyDescent="0.3">
      <c r="A1574">
        <v>88</v>
      </c>
      <c r="B1574">
        <v>2021</v>
      </c>
      <c r="C1574">
        <v>0.32</v>
      </c>
      <c r="D1574">
        <v>0.99</v>
      </c>
      <c r="E1574">
        <v>0.99</v>
      </c>
      <c r="F1574">
        <v>0.75</v>
      </c>
      <c r="G1574">
        <v>0.32</v>
      </c>
      <c r="H1574">
        <v>0.73</v>
      </c>
      <c r="I1574">
        <v>246</v>
      </c>
      <c r="J1574">
        <v>7</v>
      </c>
      <c r="K1574">
        <v>0.69</v>
      </c>
      <c r="L1574" t="s">
        <v>12</v>
      </c>
    </row>
    <row r="1575" spans="1:12" x14ac:dyDescent="0.3">
      <c r="A1575">
        <v>85</v>
      </c>
      <c r="B1575">
        <v>2023</v>
      </c>
      <c r="C1575">
        <v>0.4</v>
      </c>
      <c r="D1575">
        <v>0.48</v>
      </c>
      <c r="E1575">
        <v>0.79</v>
      </c>
      <c r="F1575">
        <v>0.99</v>
      </c>
      <c r="G1575">
        <v>0.37</v>
      </c>
      <c r="H1575">
        <v>0.28999999999999998</v>
      </c>
      <c r="I1575">
        <v>402</v>
      </c>
      <c r="J1575">
        <v>19</v>
      </c>
      <c r="K1575">
        <v>0.57999999999999996</v>
      </c>
      <c r="L1575" t="s">
        <v>12</v>
      </c>
    </row>
    <row r="1576" spans="1:12" x14ac:dyDescent="0.3">
      <c r="A1576">
        <v>33</v>
      </c>
      <c r="B1576">
        <v>2023</v>
      </c>
      <c r="C1576">
        <v>0.66</v>
      </c>
      <c r="D1576">
        <v>0.71</v>
      </c>
      <c r="E1576">
        <v>0.91</v>
      </c>
      <c r="F1576">
        <v>0.9</v>
      </c>
      <c r="G1576">
        <v>0.94</v>
      </c>
      <c r="H1576">
        <v>0.83</v>
      </c>
      <c r="I1576">
        <v>172</v>
      </c>
      <c r="J1576">
        <v>7</v>
      </c>
      <c r="K1576">
        <v>0.79</v>
      </c>
      <c r="L1576" t="s">
        <v>13</v>
      </c>
    </row>
    <row r="1577" spans="1:12" x14ac:dyDescent="0.3">
      <c r="A1577">
        <v>13</v>
      </c>
      <c r="B1577">
        <v>2025</v>
      </c>
      <c r="C1577">
        <v>0.86</v>
      </c>
      <c r="D1577">
        <v>0.55000000000000004</v>
      </c>
      <c r="E1577">
        <v>0.81</v>
      </c>
      <c r="F1577">
        <v>0.78</v>
      </c>
      <c r="G1577">
        <v>0.85</v>
      </c>
      <c r="H1577">
        <v>0.31</v>
      </c>
      <c r="I1577">
        <v>178</v>
      </c>
      <c r="J1577">
        <v>5</v>
      </c>
      <c r="K1577">
        <v>0.76</v>
      </c>
      <c r="L1577" t="s">
        <v>13</v>
      </c>
    </row>
    <row r="1578" spans="1:12" x14ac:dyDescent="0.3">
      <c r="A1578">
        <v>53</v>
      </c>
      <c r="B1578">
        <v>2024</v>
      </c>
      <c r="C1578">
        <v>0.66</v>
      </c>
      <c r="D1578">
        <v>0.61</v>
      </c>
      <c r="E1578">
        <v>0.84</v>
      </c>
      <c r="F1578">
        <v>0.98</v>
      </c>
      <c r="G1578">
        <v>0.64</v>
      </c>
      <c r="H1578">
        <v>0.47</v>
      </c>
      <c r="I1578">
        <v>205</v>
      </c>
      <c r="J1578">
        <v>7</v>
      </c>
      <c r="K1578">
        <v>0.73</v>
      </c>
      <c r="L1578" t="s">
        <v>13</v>
      </c>
    </row>
    <row r="1579" spans="1:12" x14ac:dyDescent="0.3">
      <c r="A1579">
        <v>5</v>
      </c>
      <c r="B1579">
        <v>2022</v>
      </c>
      <c r="C1579">
        <v>0.94</v>
      </c>
      <c r="D1579">
        <v>0.8</v>
      </c>
      <c r="E1579">
        <v>0.51</v>
      </c>
      <c r="F1579">
        <v>0.68</v>
      </c>
      <c r="G1579">
        <v>0.78</v>
      </c>
      <c r="H1579">
        <v>0.76</v>
      </c>
      <c r="I1579">
        <v>418</v>
      </c>
      <c r="J1579">
        <v>15</v>
      </c>
      <c r="K1579">
        <v>0.76</v>
      </c>
      <c r="L1579" t="s">
        <v>13</v>
      </c>
    </row>
    <row r="1580" spans="1:12" x14ac:dyDescent="0.3">
      <c r="A1580">
        <v>36</v>
      </c>
      <c r="B1580">
        <v>2022</v>
      </c>
      <c r="C1580">
        <v>0.83</v>
      </c>
      <c r="D1580">
        <v>0.43</v>
      </c>
      <c r="E1580">
        <v>0.69</v>
      </c>
      <c r="F1580">
        <v>0.71</v>
      </c>
      <c r="G1580">
        <v>0.56999999999999995</v>
      </c>
      <c r="H1580">
        <v>0.16</v>
      </c>
      <c r="I1580">
        <v>270</v>
      </c>
      <c r="J1580">
        <v>17</v>
      </c>
      <c r="K1580">
        <v>0.66</v>
      </c>
      <c r="L1580" t="s">
        <v>12</v>
      </c>
    </row>
    <row r="1581" spans="1:12" x14ac:dyDescent="0.3">
      <c r="A1581">
        <v>69</v>
      </c>
      <c r="B1581">
        <v>2025</v>
      </c>
      <c r="C1581">
        <v>0.79</v>
      </c>
      <c r="D1581">
        <v>0.67</v>
      </c>
      <c r="E1581">
        <v>0.76</v>
      </c>
      <c r="F1581">
        <v>0.81</v>
      </c>
      <c r="G1581">
        <v>0.78</v>
      </c>
      <c r="H1581">
        <v>0.05</v>
      </c>
      <c r="I1581">
        <v>114</v>
      </c>
      <c r="J1581">
        <v>12</v>
      </c>
      <c r="K1581">
        <v>0.76</v>
      </c>
      <c r="L1581" t="s">
        <v>13</v>
      </c>
    </row>
    <row r="1582" spans="1:12" x14ac:dyDescent="0.3">
      <c r="A1582">
        <v>49</v>
      </c>
      <c r="B1582">
        <v>2023</v>
      </c>
      <c r="C1582">
        <v>0.67</v>
      </c>
      <c r="D1582">
        <v>0.86</v>
      </c>
      <c r="E1582">
        <v>0.67</v>
      </c>
      <c r="F1582">
        <v>0.75</v>
      </c>
      <c r="G1582">
        <v>0.95</v>
      </c>
      <c r="H1582">
        <v>0.21</v>
      </c>
      <c r="I1582">
        <v>199</v>
      </c>
      <c r="J1582">
        <v>10</v>
      </c>
      <c r="K1582">
        <v>0.76</v>
      </c>
      <c r="L1582" t="s">
        <v>13</v>
      </c>
    </row>
    <row r="1583" spans="1:12" x14ac:dyDescent="0.3">
      <c r="A1583">
        <v>34</v>
      </c>
      <c r="B1583">
        <v>2021</v>
      </c>
      <c r="C1583">
        <v>0.82</v>
      </c>
      <c r="D1583">
        <v>0.78</v>
      </c>
      <c r="E1583">
        <v>0.71</v>
      </c>
      <c r="F1583">
        <v>0.99</v>
      </c>
      <c r="G1583">
        <v>0.81</v>
      </c>
      <c r="H1583">
        <v>0.06</v>
      </c>
      <c r="I1583">
        <v>208</v>
      </c>
      <c r="J1583">
        <v>5</v>
      </c>
      <c r="K1583">
        <v>0.81</v>
      </c>
      <c r="L1583" t="s">
        <v>13</v>
      </c>
    </row>
    <row r="1584" spans="1:12" x14ac:dyDescent="0.3">
      <c r="A1584">
        <v>14</v>
      </c>
      <c r="B1584">
        <v>2022</v>
      </c>
      <c r="C1584">
        <v>0.76</v>
      </c>
      <c r="D1584">
        <v>0.53</v>
      </c>
      <c r="E1584">
        <v>0.85</v>
      </c>
      <c r="F1584">
        <v>0.72</v>
      </c>
      <c r="G1584">
        <v>0.91</v>
      </c>
      <c r="H1584">
        <v>0.34</v>
      </c>
      <c r="I1584">
        <v>369</v>
      </c>
      <c r="J1584">
        <v>3</v>
      </c>
      <c r="K1584">
        <v>0.73</v>
      </c>
      <c r="L1584" t="s">
        <v>13</v>
      </c>
    </row>
    <row r="1585" spans="1:12" x14ac:dyDescent="0.3">
      <c r="A1585">
        <v>16</v>
      </c>
      <c r="B1585">
        <v>2021</v>
      </c>
      <c r="C1585">
        <v>0.9</v>
      </c>
      <c r="D1585">
        <v>0.49</v>
      </c>
      <c r="E1585">
        <v>0.64</v>
      </c>
      <c r="F1585">
        <v>0.64</v>
      </c>
      <c r="G1585">
        <v>0.45</v>
      </c>
      <c r="H1585">
        <v>0.24</v>
      </c>
      <c r="I1585">
        <v>127</v>
      </c>
      <c r="J1585">
        <v>12</v>
      </c>
      <c r="K1585">
        <v>0.66</v>
      </c>
      <c r="L1585" t="s">
        <v>12</v>
      </c>
    </row>
    <row r="1586" spans="1:12" x14ac:dyDescent="0.3">
      <c r="A1586">
        <v>32</v>
      </c>
      <c r="B1586">
        <v>2022</v>
      </c>
      <c r="C1586">
        <v>0.67</v>
      </c>
      <c r="D1586">
        <v>0.94</v>
      </c>
      <c r="E1586">
        <v>1</v>
      </c>
      <c r="F1586">
        <v>0.9</v>
      </c>
      <c r="G1586">
        <v>0.98</v>
      </c>
      <c r="H1586">
        <v>0.79</v>
      </c>
      <c r="I1586">
        <v>270</v>
      </c>
      <c r="J1586">
        <v>7</v>
      </c>
      <c r="K1586">
        <v>0.87</v>
      </c>
      <c r="L1586" t="s">
        <v>13</v>
      </c>
    </row>
    <row r="1587" spans="1:12" x14ac:dyDescent="0.3">
      <c r="A1587">
        <v>33</v>
      </c>
      <c r="B1587">
        <v>2021</v>
      </c>
      <c r="C1587">
        <v>0.82</v>
      </c>
      <c r="D1587">
        <v>0.6</v>
      </c>
      <c r="E1587">
        <v>0.68</v>
      </c>
      <c r="F1587">
        <v>0.8</v>
      </c>
      <c r="G1587">
        <v>0.55000000000000004</v>
      </c>
      <c r="H1587">
        <v>0.78</v>
      </c>
      <c r="I1587">
        <v>139</v>
      </c>
      <c r="J1587">
        <v>7</v>
      </c>
      <c r="K1587">
        <v>0.71</v>
      </c>
      <c r="L1587" t="s">
        <v>13</v>
      </c>
    </row>
    <row r="1588" spans="1:12" x14ac:dyDescent="0.3">
      <c r="A1588">
        <v>52</v>
      </c>
      <c r="B1588">
        <v>2024</v>
      </c>
      <c r="C1588">
        <v>0.61</v>
      </c>
      <c r="D1588">
        <v>0.53</v>
      </c>
      <c r="E1588">
        <v>0.83</v>
      </c>
      <c r="F1588">
        <v>0.87</v>
      </c>
      <c r="G1588">
        <v>0.78</v>
      </c>
      <c r="H1588">
        <v>0.03</v>
      </c>
      <c r="I1588">
        <v>468</v>
      </c>
      <c r="J1588">
        <v>1</v>
      </c>
      <c r="K1588">
        <v>0.69</v>
      </c>
      <c r="L1588" t="s">
        <v>12</v>
      </c>
    </row>
    <row r="1589" spans="1:12" x14ac:dyDescent="0.3">
      <c r="A1589">
        <v>63</v>
      </c>
      <c r="B1589">
        <v>2024</v>
      </c>
      <c r="C1589">
        <v>0.83</v>
      </c>
      <c r="D1589">
        <v>0.79</v>
      </c>
      <c r="E1589">
        <v>0.7</v>
      </c>
      <c r="F1589">
        <v>0.84</v>
      </c>
      <c r="G1589">
        <v>0.33</v>
      </c>
      <c r="H1589">
        <v>0.76</v>
      </c>
      <c r="I1589">
        <v>144</v>
      </c>
      <c r="J1589">
        <v>9</v>
      </c>
      <c r="K1589">
        <v>0.75</v>
      </c>
      <c r="L1589" t="s">
        <v>13</v>
      </c>
    </row>
    <row r="1590" spans="1:12" x14ac:dyDescent="0.3">
      <c r="A1590">
        <v>88</v>
      </c>
      <c r="B1590">
        <v>2025</v>
      </c>
      <c r="C1590">
        <v>0.48</v>
      </c>
      <c r="D1590">
        <v>0.56999999999999995</v>
      </c>
      <c r="E1590">
        <v>0.98</v>
      </c>
      <c r="F1590">
        <v>0.75</v>
      </c>
      <c r="G1590">
        <v>0.31</v>
      </c>
      <c r="H1590">
        <v>0.28000000000000003</v>
      </c>
      <c r="I1590">
        <v>255</v>
      </c>
      <c r="J1590">
        <v>0</v>
      </c>
      <c r="K1590">
        <v>0.63</v>
      </c>
      <c r="L1590" t="s">
        <v>12</v>
      </c>
    </row>
    <row r="1591" spans="1:12" x14ac:dyDescent="0.3">
      <c r="A1591">
        <v>77</v>
      </c>
      <c r="B1591">
        <v>2023</v>
      </c>
      <c r="C1591">
        <v>0.32</v>
      </c>
      <c r="D1591">
        <v>0.52</v>
      </c>
      <c r="E1591">
        <v>0.63</v>
      </c>
      <c r="F1591">
        <v>0.63</v>
      </c>
      <c r="G1591">
        <v>0.55000000000000004</v>
      </c>
      <c r="H1591">
        <v>0.03</v>
      </c>
      <c r="I1591">
        <v>291</v>
      </c>
      <c r="J1591">
        <v>9</v>
      </c>
      <c r="K1591">
        <v>0.5</v>
      </c>
      <c r="L1591" t="s">
        <v>12</v>
      </c>
    </row>
    <row r="1592" spans="1:12" x14ac:dyDescent="0.3">
      <c r="A1592">
        <v>8</v>
      </c>
      <c r="B1592">
        <v>2024</v>
      </c>
      <c r="C1592">
        <v>0.94</v>
      </c>
      <c r="D1592">
        <v>0.7</v>
      </c>
      <c r="E1592">
        <v>0.63</v>
      </c>
      <c r="F1592">
        <v>0.84</v>
      </c>
      <c r="G1592">
        <v>0.44</v>
      </c>
      <c r="H1592">
        <v>7.0000000000000007E-2</v>
      </c>
      <c r="I1592">
        <v>176</v>
      </c>
      <c r="J1592">
        <v>12</v>
      </c>
      <c r="K1592">
        <v>0.75</v>
      </c>
      <c r="L1592" t="s">
        <v>13</v>
      </c>
    </row>
    <row r="1593" spans="1:12" x14ac:dyDescent="0.3">
      <c r="A1593">
        <v>76</v>
      </c>
      <c r="B1593">
        <v>2023</v>
      </c>
      <c r="C1593">
        <v>0.99</v>
      </c>
      <c r="D1593">
        <v>0.96</v>
      </c>
      <c r="E1593">
        <v>0.87</v>
      </c>
      <c r="F1593">
        <v>0.88</v>
      </c>
      <c r="G1593">
        <v>0.54</v>
      </c>
      <c r="H1593">
        <v>0.1</v>
      </c>
      <c r="I1593">
        <v>328</v>
      </c>
      <c r="J1593">
        <v>13</v>
      </c>
      <c r="K1593">
        <v>0.9</v>
      </c>
      <c r="L1593" t="s">
        <v>13</v>
      </c>
    </row>
    <row r="1594" spans="1:12" x14ac:dyDescent="0.3">
      <c r="A1594">
        <v>11</v>
      </c>
      <c r="B1594">
        <v>2022</v>
      </c>
      <c r="C1594">
        <v>0.4</v>
      </c>
      <c r="D1594">
        <v>0.89</v>
      </c>
      <c r="E1594">
        <v>0.64</v>
      </c>
      <c r="F1594">
        <v>0.74</v>
      </c>
      <c r="G1594">
        <v>0.45</v>
      </c>
      <c r="H1594">
        <v>0.59</v>
      </c>
      <c r="I1594">
        <v>110</v>
      </c>
      <c r="J1594">
        <v>9</v>
      </c>
      <c r="K1594">
        <v>0.63</v>
      </c>
      <c r="L1594" t="s">
        <v>12</v>
      </c>
    </row>
    <row r="1595" spans="1:12" x14ac:dyDescent="0.3">
      <c r="A1595">
        <v>23</v>
      </c>
      <c r="B1595">
        <v>2021</v>
      </c>
      <c r="C1595">
        <v>0.62</v>
      </c>
      <c r="D1595">
        <v>0.76</v>
      </c>
      <c r="E1595">
        <v>0.74</v>
      </c>
      <c r="F1595">
        <v>0.8</v>
      </c>
      <c r="G1595">
        <v>0.35</v>
      </c>
      <c r="H1595">
        <v>0.19</v>
      </c>
      <c r="I1595">
        <v>106</v>
      </c>
      <c r="J1595">
        <v>15</v>
      </c>
      <c r="K1595">
        <v>0.68</v>
      </c>
      <c r="L1595" t="s">
        <v>12</v>
      </c>
    </row>
    <row r="1596" spans="1:12" x14ac:dyDescent="0.3">
      <c r="A1596">
        <v>1</v>
      </c>
      <c r="B1596">
        <v>2021</v>
      </c>
      <c r="C1596">
        <v>0.5</v>
      </c>
      <c r="D1596">
        <v>0.65</v>
      </c>
      <c r="E1596">
        <v>0.76</v>
      </c>
      <c r="F1596">
        <v>0.65</v>
      </c>
      <c r="G1596">
        <v>0.32</v>
      </c>
      <c r="H1596">
        <v>0.15</v>
      </c>
      <c r="I1596">
        <v>202</v>
      </c>
      <c r="J1596">
        <v>8</v>
      </c>
      <c r="K1596">
        <v>0.59</v>
      </c>
      <c r="L1596" t="s">
        <v>12</v>
      </c>
    </row>
    <row r="1597" spans="1:12" x14ac:dyDescent="0.3">
      <c r="A1597">
        <v>67</v>
      </c>
      <c r="B1597">
        <v>2024</v>
      </c>
      <c r="C1597">
        <v>0.35</v>
      </c>
      <c r="D1597">
        <v>0.52</v>
      </c>
      <c r="E1597">
        <v>0.96</v>
      </c>
      <c r="F1597">
        <v>0.61</v>
      </c>
      <c r="G1597">
        <v>0.76</v>
      </c>
      <c r="H1597">
        <v>0.38</v>
      </c>
      <c r="I1597">
        <v>350</v>
      </c>
      <c r="J1597">
        <v>0</v>
      </c>
      <c r="K1597">
        <v>0.59</v>
      </c>
      <c r="L1597" t="s">
        <v>12</v>
      </c>
    </row>
    <row r="1598" spans="1:12" x14ac:dyDescent="0.3">
      <c r="A1598">
        <v>33</v>
      </c>
      <c r="B1598">
        <v>2025</v>
      </c>
      <c r="C1598">
        <v>0.69</v>
      </c>
      <c r="D1598">
        <v>0.68</v>
      </c>
      <c r="E1598">
        <v>0.83</v>
      </c>
      <c r="F1598">
        <v>0.66</v>
      </c>
      <c r="G1598">
        <v>0.89</v>
      </c>
      <c r="H1598">
        <v>0.15</v>
      </c>
      <c r="I1598">
        <v>109</v>
      </c>
      <c r="J1598">
        <v>18</v>
      </c>
      <c r="K1598">
        <v>0.73</v>
      </c>
      <c r="L1598" t="s">
        <v>13</v>
      </c>
    </row>
    <row r="1599" spans="1:12" x14ac:dyDescent="0.3">
      <c r="A1599">
        <v>7</v>
      </c>
      <c r="B1599">
        <v>2025</v>
      </c>
      <c r="C1599">
        <v>0.92</v>
      </c>
      <c r="D1599">
        <v>0.98</v>
      </c>
      <c r="E1599">
        <v>0.66</v>
      </c>
      <c r="F1599">
        <v>0.92</v>
      </c>
      <c r="G1599">
        <v>0.45</v>
      </c>
      <c r="H1599">
        <v>0.55000000000000004</v>
      </c>
      <c r="I1599">
        <v>349</v>
      </c>
      <c r="J1599">
        <v>1</v>
      </c>
      <c r="K1599">
        <v>0.84</v>
      </c>
      <c r="L1599" t="s">
        <v>13</v>
      </c>
    </row>
    <row r="1600" spans="1:12" x14ac:dyDescent="0.3">
      <c r="A1600">
        <v>79</v>
      </c>
      <c r="B1600">
        <v>2025</v>
      </c>
      <c r="C1600">
        <v>0.3</v>
      </c>
      <c r="D1600">
        <v>0.88</v>
      </c>
      <c r="E1600">
        <v>0.67</v>
      </c>
      <c r="F1600">
        <v>0.73</v>
      </c>
      <c r="G1600">
        <v>0.56999999999999995</v>
      </c>
      <c r="H1600">
        <v>0.63</v>
      </c>
      <c r="I1600">
        <v>79</v>
      </c>
      <c r="J1600">
        <v>7</v>
      </c>
      <c r="K1600">
        <v>0.61</v>
      </c>
      <c r="L1600" t="s">
        <v>12</v>
      </c>
    </row>
    <row r="1601" spans="1:12" x14ac:dyDescent="0.3">
      <c r="A1601">
        <v>65</v>
      </c>
      <c r="B1601">
        <v>2023</v>
      </c>
      <c r="C1601">
        <v>0.45</v>
      </c>
      <c r="D1601">
        <v>0.51</v>
      </c>
      <c r="E1601">
        <v>0.73</v>
      </c>
      <c r="F1601">
        <v>0.9</v>
      </c>
      <c r="G1601">
        <v>0.5</v>
      </c>
      <c r="H1601">
        <v>0.02</v>
      </c>
      <c r="I1601">
        <v>402</v>
      </c>
      <c r="J1601">
        <v>4</v>
      </c>
      <c r="K1601">
        <v>0.59</v>
      </c>
      <c r="L1601" t="s">
        <v>12</v>
      </c>
    </row>
    <row r="1602" spans="1:12" x14ac:dyDescent="0.3">
      <c r="A1602">
        <v>92</v>
      </c>
      <c r="B1602">
        <v>2021</v>
      </c>
      <c r="C1602">
        <v>0.59</v>
      </c>
      <c r="D1602">
        <v>0.98</v>
      </c>
      <c r="E1602">
        <v>0.85</v>
      </c>
      <c r="F1602">
        <v>0.89</v>
      </c>
      <c r="G1602">
        <v>0.69</v>
      </c>
      <c r="H1602">
        <v>0.97</v>
      </c>
      <c r="I1602">
        <v>498</v>
      </c>
      <c r="J1602">
        <v>8</v>
      </c>
      <c r="K1602">
        <v>0.79</v>
      </c>
      <c r="L1602" t="s">
        <v>13</v>
      </c>
    </row>
    <row r="1603" spans="1:12" x14ac:dyDescent="0.3">
      <c r="A1603">
        <v>92</v>
      </c>
      <c r="B1603">
        <v>2022</v>
      </c>
      <c r="C1603">
        <v>0.79</v>
      </c>
      <c r="D1603">
        <v>0.84</v>
      </c>
      <c r="E1603">
        <v>0.65</v>
      </c>
      <c r="F1603">
        <v>0.72</v>
      </c>
      <c r="G1603">
        <v>0.85</v>
      </c>
      <c r="H1603">
        <v>0.3</v>
      </c>
      <c r="I1603">
        <v>310</v>
      </c>
      <c r="J1603">
        <v>17</v>
      </c>
      <c r="K1603">
        <v>0.77</v>
      </c>
      <c r="L1603" t="s">
        <v>13</v>
      </c>
    </row>
    <row r="1604" spans="1:12" x14ac:dyDescent="0.3">
      <c r="A1604">
        <v>3</v>
      </c>
      <c r="B1604">
        <v>2022</v>
      </c>
      <c r="C1604">
        <v>0.87</v>
      </c>
      <c r="D1604">
        <v>0.47</v>
      </c>
      <c r="E1604">
        <v>0.91</v>
      </c>
      <c r="F1604">
        <v>0.84</v>
      </c>
      <c r="G1604">
        <v>0.43</v>
      </c>
      <c r="H1604">
        <v>0.54</v>
      </c>
      <c r="I1604">
        <v>66</v>
      </c>
      <c r="J1604">
        <v>18</v>
      </c>
      <c r="K1604">
        <v>0.73</v>
      </c>
      <c r="L1604" t="s">
        <v>13</v>
      </c>
    </row>
    <row r="1605" spans="1:12" x14ac:dyDescent="0.3">
      <c r="A1605">
        <v>45</v>
      </c>
      <c r="B1605">
        <v>2022</v>
      </c>
      <c r="C1605">
        <v>0.34</v>
      </c>
      <c r="D1605">
        <v>0.99</v>
      </c>
      <c r="E1605">
        <v>0.52</v>
      </c>
      <c r="F1605">
        <v>0.86</v>
      </c>
      <c r="G1605">
        <v>0.56000000000000005</v>
      </c>
      <c r="H1605">
        <v>0.65</v>
      </c>
      <c r="I1605">
        <v>149</v>
      </c>
      <c r="J1605">
        <v>3</v>
      </c>
      <c r="K1605">
        <v>0.64</v>
      </c>
      <c r="L1605" t="s">
        <v>12</v>
      </c>
    </row>
    <row r="1606" spans="1:12" x14ac:dyDescent="0.3">
      <c r="A1606">
        <v>40</v>
      </c>
      <c r="B1606">
        <v>2022</v>
      </c>
      <c r="C1606">
        <v>0.62</v>
      </c>
      <c r="D1606">
        <v>0.53</v>
      </c>
      <c r="E1606">
        <v>0.75</v>
      </c>
      <c r="F1606">
        <v>0.9</v>
      </c>
      <c r="G1606">
        <v>0.66</v>
      </c>
      <c r="H1606">
        <v>0.28999999999999998</v>
      </c>
      <c r="I1606">
        <v>450</v>
      </c>
      <c r="J1606">
        <v>7</v>
      </c>
      <c r="K1606">
        <v>0.67</v>
      </c>
      <c r="L1606" t="s">
        <v>12</v>
      </c>
    </row>
    <row r="1607" spans="1:12" x14ac:dyDescent="0.3">
      <c r="A1607">
        <v>98</v>
      </c>
      <c r="B1607">
        <v>2022</v>
      </c>
      <c r="C1607">
        <v>0.38</v>
      </c>
      <c r="D1607">
        <v>0.62</v>
      </c>
      <c r="E1607">
        <v>0.57999999999999996</v>
      </c>
      <c r="F1607">
        <v>0.7</v>
      </c>
      <c r="G1607">
        <v>0.41</v>
      </c>
      <c r="H1607">
        <v>0.89</v>
      </c>
      <c r="I1607">
        <v>245</v>
      </c>
      <c r="J1607">
        <v>17</v>
      </c>
      <c r="K1607">
        <v>0.53</v>
      </c>
      <c r="L1607" t="s">
        <v>12</v>
      </c>
    </row>
    <row r="1608" spans="1:12" x14ac:dyDescent="0.3">
      <c r="A1608">
        <v>6</v>
      </c>
      <c r="B1608">
        <v>2022</v>
      </c>
      <c r="C1608">
        <v>0.46</v>
      </c>
      <c r="D1608">
        <v>0.71</v>
      </c>
      <c r="E1608">
        <v>0.76</v>
      </c>
      <c r="F1608">
        <v>0.84</v>
      </c>
      <c r="G1608">
        <v>0.34</v>
      </c>
      <c r="H1608">
        <v>0.97</v>
      </c>
      <c r="I1608">
        <v>105</v>
      </c>
      <c r="J1608">
        <v>8</v>
      </c>
      <c r="K1608">
        <v>0.63</v>
      </c>
      <c r="L1608" t="s">
        <v>12</v>
      </c>
    </row>
    <row r="1609" spans="1:12" x14ac:dyDescent="0.3">
      <c r="A1609">
        <v>56</v>
      </c>
      <c r="B1609">
        <v>2023</v>
      </c>
      <c r="C1609">
        <v>0.91</v>
      </c>
      <c r="D1609">
        <v>0.65</v>
      </c>
      <c r="E1609">
        <v>0.57999999999999996</v>
      </c>
      <c r="F1609">
        <v>0.9</v>
      </c>
      <c r="G1609">
        <v>0.88</v>
      </c>
      <c r="H1609">
        <v>0.88</v>
      </c>
      <c r="I1609">
        <v>403</v>
      </c>
      <c r="J1609">
        <v>9</v>
      </c>
      <c r="K1609">
        <v>0.77</v>
      </c>
      <c r="L1609" t="s">
        <v>13</v>
      </c>
    </row>
    <row r="1610" spans="1:12" x14ac:dyDescent="0.3">
      <c r="A1610">
        <v>63</v>
      </c>
      <c r="B1610">
        <v>2023</v>
      </c>
      <c r="C1610">
        <v>0.79</v>
      </c>
      <c r="D1610">
        <v>0.8</v>
      </c>
      <c r="E1610">
        <v>0.69</v>
      </c>
      <c r="F1610">
        <v>0.87</v>
      </c>
      <c r="G1610">
        <v>0.93</v>
      </c>
      <c r="H1610">
        <v>0.33</v>
      </c>
      <c r="I1610">
        <v>370</v>
      </c>
      <c r="J1610">
        <v>10</v>
      </c>
      <c r="K1610">
        <v>0.8</v>
      </c>
      <c r="L1610" t="s">
        <v>13</v>
      </c>
    </row>
    <row r="1611" spans="1:12" x14ac:dyDescent="0.3">
      <c r="A1611">
        <v>57</v>
      </c>
      <c r="B1611">
        <v>2022</v>
      </c>
      <c r="C1611">
        <v>0.54</v>
      </c>
      <c r="D1611">
        <v>0.48</v>
      </c>
      <c r="E1611">
        <v>0.56000000000000005</v>
      </c>
      <c r="F1611">
        <v>0.93</v>
      </c>
      <c r="G1611">
        <v>0.94</v>
      </c>
      <c r="H1611">
        <v>0.78</v>
      </c>
      <c r="I1611">
        <v>250</v>
      </c>
      <c r="J1611">
        <v>11</v>
      </c>
      <c r="K1611">
        <v>0.63</v>
      </c>
      <c r="L1611" t="s">
        <v>12</v>
      </c>
    </row>
    <row r="1612" spans="1:12" x14ac:dyDescent="0.3">
      <c r="A1612">
        <v>90</v>
      </c>
      <c r="B1612">
        <v>2025</v>
      </c>
      <c r="C1612">
        <v>0.66</v>
      </c>
      <c r="D1612">
        <v>0.9</v>
      </c>
      <c r="E1612">
        <v>0.52</v>
      </c>
      <c r="F1612">
        <v>1</v>
      </c>
      <c r="G1612">
        <v>0.72</v>
      </c>
      <c r="H1612">
        <v>0.98</v>
      </c>
      <c r="I1612">
        <v>426</v>
      </c>
      <c r="J1612">
        <v>9</v>
      </c>
      <c r="K1612">
        <v>0.75</v>
      </c>
      <c r="L1612" t="s">
        <v>13</v>
      </c>
    </row>
    <row r="1613" spans="1:12" x14ac:dyDescent="0.3">
      <c r="A1613">
        <v>94</v>
      </c>
      <c r="B1613">
        <v>2024</v>
      </c>
      <c r="C1613">
        <v>0.62</v>
      </c>
      <c r="D1613">
        <v>0.98</v>
      </c>
      <c r="E1613">
        <v>0.65</v>
      </c>
      <c r="F1613">
        <v>0.85</v>
      </c>
      <c r="G1613">
        <v>0.59</v>
      </c>
      <c r="H1613">
        <v>0.06</v>
      </c>
      <c r="I1613">
        <v>331</v>
      </c>
      <c r="J1613">
        <v>3</v>
      </c>
      <c r="K1613">
        <v>0.75</v>
      </c>
      <c r="L1613" t="s">
        <v>13</v>
      </c>
    </row>
    <row r="1614" spans="1:12" x14ac:dyDescent="0.3">
      <c r="A1614">
        <v>43</v>
      </c>
      <c r="B1614">
        <v>2023</v>
      </c>
      <c r="C1614">
        <v>0.36</v>
      </c>
      <c r="D1614">
        <v>0.79</v>
      </c>
      <c r="E1614">
        <v>0.81</v>
      </c>
      <c r="F1614">
        <v>0.69</v>
      </c>
      <c r="G1614">
        <v>0.68</v>
      </c>
      <c r="H1614">
        <v>0.22</v>
      </c>
      <c r="I1614">
        <v>400</v>
      </c>
      <c r="J1614">
        <v>16</v>
      </c>
      <c r="K1614">
        <v>0.64</v>
      </c>
      <c r="L1614" t="s">
        <v>12</v>
      </c>
    </row>
    <row r="1615" spans="1:12" x14ac:dyDescent="0.3">
      <c r="A1615">
        <v>12</v>
      </c>
      <c r="B1615">
        <v>2022</v>
      </c>
      <c r="C1615">
        <v>0.55000000000000004</v>
      </c>
      <c r="D1615">
        <v>0.55000000000000004</v>
      </c>
      <c r="E1615">
        <v>0.63</v>
      </c>
      <c r="F1615">
        <v>0.76</v>
      </c>
      <c r="G1615">
        <v>0.79</v>
      </c>
      <c r="H1615">
        <v>0.04</v>
      </c>
      <c r="I1615">
        <v>387</v>
      </c>
      <c r="J1615">
        <v>10</v>
      </c>
      <c r="K1615">
        <v>0.62</v>
      </c>
      <c r="L1615" t="s">
        <v>12</v>
      </c>
    </row>
    <row r="1616" spans="1:12" x14ac:dyDescent="0.3">
      <c r="A1616">
        <v>28</v>
      </c>
      <c r="B1616">
        <v>2021</v>
      </c>
      <c r="C1616">
        <v>0.91</v>
      </c>
      <c r="D1616">
        <v>0.63</v>
      </c>
      <c r="E1616">
        <v>0.56000000000000005</v>
      </c>
      <c r="F1616">
        <v>0.63</v>
      </c>
      <c r="G1616">
        <v>0.41</v>
      </c>
      <c r="H1616">
        <v>0.25</v>
      </c>
      <c r="I1616">
        <v>233</v>
      </c>
      <c r="J1616">
        <v>16</v>
      </c>
      <c r="K1616">
        <v>0.68</v>
      </c>
      <c r="L1616" t="s">
        <v>12</v>
      </c>
    </row>
    <row r="1617" spans="1:12" x14ac:dyDescent="0.3">
      <c r="A1617">
        <v>61</v>
      </c>
      <c r="B1617">
        <v>2024</v>
      </c>
      <c r="C1617">
        <v>0.89</v>
      </c>
      <c r="D1617">
        <v>0.99</v>
      </c>
      <c r="E1617">
        <v>0.82</v>
      </c>
      <c r="F1617">
        <v>0.95</v>
      </c>
      <c r="G1617">
        <v>0.72</v>
      </c>
      <c r="H1617">
        <v>0.69</v>
      </c>
      <c r="I1617">
        <v>162</v>
      </c>
      <c r="J1617">
        <v>8</v>
      </c>
      <c r="K1617">
        <v>0.89</v>
      </c>
      <c r="L1617" t="s">
        <v>13</v>
      </c>
    </row>
    <row r="1618" spans="1:12" x14ac:dyDescent="0.3">
      <c r="A1618">
        <v>22</v>
      </c>
      <c r="B1618">
        <v>2023</v>
      </c>
      <c r="C1618">
        <v>0.7</v>
      </c>
      <c r="D1618">
        <v>0.76</v>
      </c>
      <c r="E1618">
        <v>0.66</v>
      </c>
      <c r="F1618">
        <v>0.74</v>
      </c>
      <c r="G1618">
        <v>0.83</v>
      </c>
      <c r="H1618">
        <v>0.57999999999999996</v>
      </c>
      <c r="I1618">
        <v>469</v>
      </c>
      <c r="J1618">
        <v>9</v>
      </c>
      <c r="K1618">
        <v>0.73</v>
      </c>
      <c r="L1618" t="s">
        <v>13</v>
      </c>
    </row>
    <row r="1619" spans="1:12" x14ac:dyDescent="0.3">
      <c r="A1619">
        <v>59</v>
      </c>
      <c r="B1619">
        <v>2025</v>
      </c>
      <c r="C1619">
        <v>0.63</v>
      </c>
      <c r="D1619">
        <v>0.53</v>
      </c>
      <c r="E1619">
        <v>0.97</v>
      </c>
      <c r="F1619">
        <v>0.95</v>
      </c>
      <c r="G1619">
        <v>0.47</v>
      </c>
      <c r="H1619">
        <v>0.1</v>
      </c>
      <c r="I1619">
        <v>245</v>
      </c>
      <c r="J1619">
        <v>12</v>
      </c>
      <c r="K1619">
        <v>0.7</v>
      </c>
      <c r="L1619" t="s">
        <v>12</v>
      </c>
    </row>
    <row r="1620" spans="1:12" x14ac:dyDescent="0.3">
      <c r="A1620">
        <v>19</v>
      </c>
      <c r="B1620">
        <v>2022</v>
      </c>
      <c r="C1620">
        <v>1</v>
      </c>
      <c r="D1620">
        <v>0.46</v>
      </c>
      <c r="E1620">
        <v>0.93</v>
      </c>
      <c r="F1620">
        <v>0.79</v>
      </c>
      <c r="G1620">
        <v>0.88</v>
      </c>
      <c r="H1620">
        <v>0.82</v>
      </c>
      <c r="I1620">
        <v>473</v>
      </c>
      <c r="J1620">
        <v>11</v>
      </c>
      <c r="K1620">
        <v>0.81</v>
      </c>
      <c r="L1620" t="s">
        <v>13</v>
      </c>
    </row>
    <row r="1621" spans="1:12" x14ac:dyDescent="0.3">
      <c r="A1621">
        <v>70</v>
      </c>
      <c r="B1621">
        <v>2024</v>
      </c>
      <c r="C1621">
        <v>0.49</v>
      </c>
      <c r="D1621">
        <v>0.9</v>
      </c>
      <c r="E1621">
        <v>0.55000000000000004</v>
      </c>
      <c r="F1621">
        <v>0.64</v>
      </c>
      <c r="G1621">
        <v>0.93</v>
      </c>
      <c r="H1621">
        <v>0.54</v>
      </c>
      <c r="I1621">
        <v>98</v>
      </c>
      <c r="J1621">
        <v>15</v>
      </c>
      <c r="K1621">
        <v>0.67</v>
      </c>
      <c r="L1621" t="s">
        <v>12</v>
      </c>
    </row>
    <row r="1622" spans="1:12" x14ac:dyDescent="0.3">
      <c r="A1622">
        <v>87</v>
      </c>
      <c r="B1622">
        <v>2023</v>
      </c>
      <c r="C1622">
        <v>0.96</v>
      </c>
      <c r="D1622">
        <v>0.44</v>
      </c>
      <c r="E1622">
        <v>0.95</v>
      </c>
      <c r="F1622">
        <v>0.72</v>
      </c>
      <c r="G1622">
        <v>0.65</v>
      </c>
      <c r="H1622">
        <v>0.42</v>
      </c>
      <c r="I1622">
        <v>430</v>
      </c>
      <c r="J1622">
        <v>11</v>
      </c>
      <c r="K1622">
        <v>0.76</v>
      </c>
      <c r="L1622" t="s">
        <v>13</v>
      </c>
    </row>
    <row r="1623" spans="1:12" x14ac:dyDescent="0.3">
      <c r="A1623">
        <v>71</v>
      </c>
      <c r="B1623">
        <v>2021</v>
      </c>
      <c r="C1623">
        <v>0.44</v>
      </c>
      <c r="D1623">
        <v>0.52</v>
      </c>
      <c r="E1623">
        <v>0.59</v>
      </c>
      <c r="F1623">
        <v>0.8</v>
      </c>
      <c r="G1623">
        <v>0.86</v>
      </c>
      <c r="H1623">
        <v>0.56999999999999995</v>
      </c>
      <c r="I1623">
        <v>164</v>
      </c>
      <c r="J1623">
        <v>6</v>
      </c>
      <c r="K1623">
        <v>0.59</v>
      </c>
      <c r="L1623" t="s">
        <v>12</v>
      </c>
    </row>
    <row r="1624" spans="1:12" x14ac:dyDescent="0.3">
      <c r="A1624">
        <v>1</v>
      </c>
      <c r="B1624">
        <v>2021</v>
      </c>
      <c r="C1624">
        <v>0.77</v>
      </c>
      <c r="D1624">
        <v>0.67</v>
      </c>
      <c r="E1624">
        <v>0.84</v>
      </c>
      <c r="F1624">
        <v>0.63</v>
      </c>
      <c r="G1624">
        <v>0.9</v>
      </c>
      <c r="H1624">
        <v>0.78</v>
      </c>
      <c r="I1624">
        <v>496</v>
      </c>
      <c r="J1624">
        <v>2</v>
      </c>
      <c r="K1624">
        <v>0.75</v>
      </c>
      <c r="L1624" t="s">
        <v>13</v>
      </c>
    </row>
    <row r="1625" spans="1:12" x14ac:dyDescent="0.3">
      <c r="A1625">
        <v>23</v>
      </c>
      <c r="B1625">
        <v>2022</v>
      </c>
      <c r="C1625">
        <v>0.43</v>
      </c>
      <c r="D1625">
        <v>0.44</v>
      </c>
      <c r="E1625">
        <v>0.61</v>
      </c>
      <c r="F1625">
        <v>0.81</v>
      </c>
      <c r="G1625">
        <v>0.79</v>
      </c>
      <c r="H1625">
        <v>0.77</v>
      </c>
      <c r="I1625">
        <v>358</v>
      </c>
      <c r="J1625">
        <v>18</v>
      </c>
      <c r="K1625">
        <v>0.56000000000000005</v>
      </c>
      <c r="L1625" t="s">
        <v>12</v>
      </c>
    </row>
    <row r="1626" spans="1:12" x14ac:dyDescent="0.3">
      <c r="A1626">
        <v>57</v>
      </c>
      <c r="B1626">
        <v>2022</v>
      </c>
      <c r="C1626">
        <v>0.43</v>
      </c>
      <c r="D1626">
        <v>0.69</v>
      </c>
      <c r="E1626">
        <v>0.83</v>
      </c>
      <c r="F1626">
        <v>0.66</v>
      </c>
      <c r="G1626">
        <v>0.43</v>
      </c>
      <c r="H1626">
        <v>0.2</v>
      </c>
      <c r="I1626">
        <v>274</v>
      </c>
      <c r="J1626">
        <v>11</v>
      </c>
      <c r="K1626">
        <v>0.61</v>
      </c>
      <c r="L1626" t="s">
        <v>12</v>
      </c>
    </row>
    <row r="1627" spans="1:12" x14ac:dyDescent="0.3">
      <c r="A1627">
        <v>9</v>
      </c>
      <c r="B1627">
        <v>2025</v>
      </c>
      <c r="C1627">
        <v>0.69</v>
      </c>
      <c r="D1627">
        <v>0.72</v>
      </c>
      <c r="E1627">
        <v>0.86</v>
      </c>
      <c r="F1627">
        <v>0.61</v>
      </c>
      <c r="G1627">
        <v>0.78</v>
      </c>
      <c r="H1627">
        <v>0.93</v>
      </c>
      <c r="I1627">
        <v>165</v>
      </c>
      <c r="J1627">
        <v>9</v>
      </c>
      <c r="K1627">
        <v>0.73</v>
      </c>
      <c r="L1627" t="s">
        <v>13</v>
      </c>
    </row>
    <row r="1628" spans="1:12" x14ac:dyDescent="0.3">
      <c r="A1628">
        <v>24</v>
      </c>
      <c r="B1628">
        <v>2025</v>
      </c>
      <c r="C1628">
        <v>0.4</v>
      </c>
      <c r="D1628">
        <v>0.41</v>
      </c>
      <c r="E1628">
        <v>0.81</v>
      </c>
      <c r="F1628">
        <v>0.83</v>
      </c>
      <c r="G1628">
        <v>0.99</v>
      </c>
      <c r="H1628">
        <v>0.89</v>
      </c>
      <c r="I1628">
        <v>225</v>
      </c>
      <c r="J1628">
        <v>12</v>
      </c>
      <c r="K1628">
        <v>0.61</v>
      </c>
      <c r="L1628" t="s">
        <v>12</v>
      </c>
    </row>
    <row r="1629" spans="1:12" x14ac:dyDescent="0.3">
      <c r="A1629">
        <v>24</v>
      </c>
      <c r="B1629">
        <v>2022</v>
      </c>
      <c r="C1629">
        <v>0.4</v>
      </c>
      <c r="D1629">
        <v>0.48</v>
      </c>
      <c r="E1629">
        <v>0.56000000000000005</v>
      </c>
      <c r="F1629">
        <v>0.7</v>
      </c>
      <c r="G1629">
        <v>0.51</v>
      </c>
      <c r="H1629">
        <v>0.96</v>
      </c>
      <c r="I1629">
        <v>232</v>
      </c>
      <c r="J1629">
        <v>5</v>
      </c>
      <c r="K1629">
        <v>0.51</v>
      </c>
      <c r="L1629" t="s">
        <v>12</v>
      </c>
    </row>
    <row r="1630" spans="1:12" x14ac:dyDescent="0.3">
      <c r="A1630">
        <v>33</v>
      </c>
      <c r="B1630">
        <v>2024</v>
      </c>
      <c r="C1630">
        <v>0.56000000000000005</v>
      </c>
      <c r="D1630">
        <v>0.67</v>
      </c>
      <c r="E1630">
        <v>0.66</v>
      </c>
      <c r="F1630">
        <v>0.67</v>
      </c>
      <c r="G1630">
        <v>0.4</v>
      </c>
      <c r="H1630">
        <v>0.95</v>
      </c>
      <c r="I1630">
        <v>277</v>
      </c>
      <c r="J1630">
        <v>9</v>
      </c>
      <c r="K1630">
        <v>0.61</v>
      </c>
      <c r="L1630" t="s">
        <v>12</v>
      </c>
    </row>
    <row r="1631" spans="1:12" x14ac:dyDescent="0.3">
      <c r="A1631">
        <v>52</v>
      </c>
      <c r="B1631">
        <v>2022</v>
      </c>
      <c r="C1631">
        <v>0.6</v>
      </c>
      <c r="D1631">
        <v>0.51</v>
      </c>
      <c r="E1631">
        <v>0.68</v>
      </c>
      <c r="F1631">
        <v>0.65</v>
      </c>
      <c r="G1631">
        <v>0.62</v>
      </c>
      <c r="H1631">
        <v>0.27</v>
      </c>
      <c r="I1631">
        <v>348</v>
      </c>
      <c r="J1631">
        <v>18</v>
      </c>
      <c r="K1631">
        <v>0.6</v>
      </c>
      <c r="L1631" t="s">
        <v>12</v>
      </c>
    </row>
    <row r="1632" spans="1:12" x14ac:dyDescent="0.3">
      <c r="A1632">
        <v>40</v>
      </c>
      <c r="B1632">
        <v>2021</v>
      </c>
      <c r="C1632">
        <v>0.48</v>
      </c>
      <c r="D1632">
        <v>0.75</v>
      </c>
      <c r="E1632">
        <v>0.72</v>
      </c>
      <c r="F1632">
        <v>0.61</v>
      </c>
      <c r="G1632">
        <v>0.33</v>
      </c>
      <c r="H1632">
        <v>0.83</v>
      </c>
      <c r="I1632">
        <v>482</v>
      </c>
      <c r="J1632">
        <v>15</v>
      </c>
      <c r="K1632">
        <v>0.6</v>
      </c>
      <c r="L1632" t="s">
        <v>12</v>
      </c>
    </row>
    <row r="1633" spans="1:12" x14ac:dyDescent="0.3">
      <c r="A1633">
        <v>36</v>
      </c>
      <c r="B1633">
        <v>2022</v>
      </c>
      <c r="C1633">
        <v>0.35</v>
      </c>
      <c r="D1633">
        <v>0.68</v>
      </c>
      <c r="E1633">
        <v>0.99</v>
      </c>
      <c r="F1633">
        <v>0.91</v>
      </c>
      <c r="G1633">
        <v>0.97</v>
      </c>
      <c r="H1633">
        <v>0.78</v>
      </c>
      <c r="I1633">
        <v>495</v>
      </c>
      <c r="J1633">
        <v>4</v>
      </c>
      <c r="K1633">
        <v>0.71</v>
      </c>
      <c r="L1633" t="s">
        <v>13</v>
      </c>
    </row>
    <row r="1634" spans="1:12" x14ac:dyDescent="0.3">
      <c r="A1634">
        <v>96</v>
      </c>
      <c r="B1634">
        <v>2023</v>
      </c>
      <c r="C1634">
        <v>0.83</v>
      </c>
      <c r="D1634">
        <v>0.71</v>
      </c>
      <c r="E1634">
        <v>0.96</v>
      </c>
      <c r="F1634">
        <v>0.93</v>
      </c>
      <c r="G1634">
        <v>0.89</v>
      </c>
      <c r="H1634">
        <v>0.67</v>
      </c>
      <c r="I1634">
        <v>453</v>
      </c>
      <c r="J1634">
        <v>4</v>
      </c>
      <c r="K1634">
        <v>0.85</v>
      </c>
      <c r="L1634" t="s">
        <v>13</v>
      </c>
    </row>
    <row r="1635" spans="1:12" x14ac:dyDescent="0.3">
      <c r="A1635">
        <v>73</v>
      </c>
      <c r="B1635">
        <v>2021</v>
      </c>
      <c r="C1635">
        <v>0.76</v>
      </c>
      <c r="D1635">
        <v>0.73</v>
      </c>
      <c r="E1635">
        <v>0.6</v>
      </c>
      <c r="F1635">
        <v>0.74</v>
      </c>
      <c r="G1635">
        <v>0.72</v>
      </c>
      <c r="H1635">
        <v>0.92</v>
      </c>
      <c r="I1635">
        <v>250</v>
      </c>
      <c r="J1635">
        <v>16</v>
      </c>
      <c r="K1635">
        <v>0.71</v>
      </c>
      <c r="L1635" t="s">
        <v>13</v>
      </c>
    </row>
    <row r="1636" spans="1:12" x14ac:dyDescent="0.3">
      <c r="A1636">
        <v>30</v>
      </c>
      <c r="B1636">
        <v>2021</v>
      </c>
      <c r="C1636">
        <v>0.81</v>
      </c>
      <c r="D1636">
        <v>0.87</v>
      </c>
      <c r="E1636">
        <v>0.9</v>
      </c>
      <c r="F1636">
        <v>0.83</v>
      </c>
      <c r="G1636">
        <v>0.31</v>
      </c>
      <c r="H1636">
        <v>0.76</v>
      </c>
      <c r="I1636">
        <v>158</v>
      </c>
      <c r="J1636">
        <v>2</v>
      </c>
      <c r="K1636">
        <v>0.8</v>
      </c>
      <c r="L1636" t="s">
        <v>13</v>
      </c>
    </row>
    <row r="1637" spans="1:12" x14ac:dyDescent="0.3">
      <c r="A1637">
        <v>24</v>
      </c>
      <c r="B1637">
        <v>2025</v>
      </c>
      <c r="C1637">
        <v>0.99</v>
      </c>
      <c r="D1637">
        <v>0.55000000000000004</v>
      </c>
      <c r="E1637">
        <v>0.82</v>
      </c>
      <c r="F1637">
        <v>0.72</v>
      </c>
      <c r="G1637">
        <v>0.93</v>
      </c>
      <c r="H1637">
        <v>0.59</v>
      </c>
      <c r="I1637">
        <v>171</v>
      </c>
      <c r="J1637">
        <v>10</v>
      </c>
      <c r="K1637">
        <v>0.8</v>
      </c>
      <c r="L1637" t="s">
        <v>13</v>
      </c>
    </row>
    <row r="1638" spans="1:12" x14ac:dyDescent="0.3">
      <c r="A1638">
        <v>43</v>
      </c>
      <c r="B1638">
        <v>2022</v>
      </c>
      <c r="C1638">
        <v>0.39</v>
      </c>
      <c r="D1638">
        <v>0.45</v>
      </c>
      <c r="E1638">
        <v>0.84</v>
      </c>
      <c r="F1638">
        <v>0.76</v>
      </c>
      <c r="G1638">
        <v>0.81</v>
      </c>
      <c r="H1638">
        <v>0.11</v>
      </c>
      <c r="I1638">
        <v>78</v>
      </c>
      <c r="J1638">
        <v>15</v>
      </c>
      <c r="K1638">
        <v>0.59</v>
      </c>
      <c r="L1638" t="s">
        <v>12</v>
      </c>
    </row>
    <row r="1639" spans="1:12" x14ac:dyDescent="0.3">
      <c r="A1639">
        <v>51</v>
      </c>
      <c r="B1639">
        <v>2021</v>
      </c>
      <c r="C1639">
        <v>0.36</v>
      </c>
      <c r="D1639">
        <v>0.9</v>
      </c>
      <c r="E1639">
        <v>0.82</v>
      </c>
      <c r="F1639">
        <v>0.82</v>
      </c>
      <c r="G1639">
        <v>0.39</v>
      </c>
      <c r="H1639">
        <v>0.28999999999999998</v>
      </c>
      <c r="I1639">
        <v>411</v>
      </c>
      <c r="J1639">
        <v>13</v>
      </c>
      <c r="K1639">
        <v>0.66</v>
      </c>
      <c r="L1639" t="s">
        <v>12</v>
      </c>
    </row>
    <row r="1640" spans="1:12" x14ac:dyDescent="0.3">
      <c r="A1640">
        <v>90</v>
      </c>
      <c r="B1640">
        <v>2025</v>
      </c>
      <c r="C1640">
        <v>0.43</v>
      </c>
      <c r="D1640">
        <v>0.41</v>
      </c>
      <c r="E1640">
        <v>0.67</v>
      </c>
      <c r="F1640">
        <v>0.79</v>
      </c>
      <c r="G1640">
        <v>0.43</v>
      </c>
      <c r="H1640">
        <v>0.49</v>
      </c>
      <c r="I1640">
        <v>115</v>
      </c>
      <c r="J1640">
        <v>6</v>
      </c>
      <c r="K1640">
        <v>0.53</v>
      </c>
      <c r="L1640" t="s">
        <v>12</v>
      </c>
    </row>
    <row r="1641" spans="1:12" x14ac:dyDescent="0.3">
      <c r="A1641">
        <v>76</v>
      </c>
      <c r="B1641">
        <v>2023</v>
      </c>
      <c r="C1641">
        <v>0.74</v>
      </c>
      <c r="D1641">
        <v>0.43</v>
      </c>
      <c r="E1641">
        <v>0.59</v>
      </c>
      <c r="F1641">
        <v>0.77</v>
      </c>
      <c r="G1641">
        <v>0.55000000000000004</v>
      </c>
      <c r="H1641">
        <v>0.39</v>
      </c>
      <c r="I1641">
        <v>245</v>
      </c>
      <c r="J1641">
        <v>17</v>
      </c>
      <c r="K1641">
        <v>0.62</v>
      </c>
      <c r="L1641" t="s">
        <v>12</v>
      </c>
    </row>
    <row r="1642" spans="1:12" x14ac:dyDescent="0.3">
      <c r="A1642">
        <v>51</v>
      </c>
      <c r="B1642">
        <v>2025</v>
      </c>
      <c r="C1642">
        <v>0.47</v>
      </c>
      <c r="D1642">
        <v>0.9</v>
      </c>
      <c r="E1642">
        <v>0.73</v>
      </c>
      <c r="F1642">
        <v>0.71</v>
      </c>
      <c r="G1642">
        <v>0.99</v>
      </c>
      <c r="H1642">
        <v>0.82</v>
      </c>
      <c r="I1642">
        <v>233</v>
      </c>
      <c r="J1642">
        <v>6</v>
      </c>
      <c r="K1642">
        <v>0.72</v>
      </c>
      <c r="L1642" t="s">
        <v>13</v>
      </c>
    </row>
    <row r="1643" spans="1:12" x14ac:dyDescent="0.3">
      <c r="A1643">
        <v>19</v>
      </c>
      <c r="B1643">
        <v>2021</v>
      </c>
      <c r="C1643">
        <v>0.42</v>
      </c>
      <c r="D1643">
        <v>0.68</v>
      </c>
      <c r="E1643">
        <v>0.99</v>
      </c>
      <c r="F1643">
        <v>0.75</v>
      </c>
      <c r="G1643">
        <v>0.56000000000000005</v>
      </c>
      <c r="H1643">
        <v>0.2</v>
      </c>
      <c r="I1643">
        <v>442</v>
      </c>
      <c r="J1643">
        <v>19</v>
      </c>
      <c r="K1643">
        <v>0.66</v>
      </c>
      <c r="L1643" t="s">
        <v>12</v>
      </c>
    </row>
    <row r="1644" spans="1:12" x14ac:dyDescent="0.3">
      <c r="A1644">
        <v>82</v>
      </c>
      <c r="B1644">
        <v>2025</v>
      </c>
      <c r="C1644">
        <v>1</v>
      </c>
      <c r="D1644">
        <v>0.62</v>
      </c>
      <c r="E1644">
        <v>0.53</v>
      </c>
      <c r="F1644">
        <v>0.94</v>
      </c>
      <c r="G1644">
        <v>1</v>
      </c>
      <c r="H1644">
        <v>0.82</v>
      </c>
      <c r="I1644">
        <v>182</v>
      </c>
      <c r="J1644">
        <v>14</v>
      </c>
      <c r="K1644">
        <v>0.8</v>
      </c>
      <c r="L1644" t="s">
        <v>13</v>
      </c>
    </row>
    <row r="1645" spans="1:12" x14ac:dyDescent="0.3">
      <c r="A1645">
        <v>22</v>
      </c>
      <c r="B1645">
        <v>2021</v>
      </c>
      <c r="C1645">
        <v>0.77</v>
      </c>
      <c r="D1645">
        <v>0.43</v>
      </c>
      <c r="E1645">
        <v>0.77</v>
      </c>
      <c r="F1645">
        <v>0.81</v>
      </c>
      <c r="G1645">
        <v>0.78</v>
      </c>
      <c r="H1645">
        <v>0.08</v>
      </c>
      <c r="I1645">
        <v>51</v>
      </c>
      <c r="J1645">
        <v>14</v>
      </c>
      <c r="K1645">
        <v>0.69</v>
      </c>
      <c r="L1645" t="s">
        <v>12</v>
      </c>
    </row>
    <row r="1646" spans="1:12" x14ac:dyDescent="0.3">
      <c r="A1646">
        <v>37</v>
      </c>
      <c r="B1646">
        <v>2024</v>
      </c>
      <c r="C1646">
        <v>0.45</v>
      </c>
      <c r="D1646">
        <v>0.45</v>
      </c>
      <c r="E1646">
        <v>0.78</v>
      </c>
      <c r="F1646">
        <v>0.61</v>
      </c>
      <c r="G1646">
        <v>0.59</v>
      </c>
      <c r="H1646">
        <v>7.0000000000000007E-2</v>
      </c>
      <c r="I1646">
        <v>156</v>
      </c>
      <c r="J1646">
        <v>8</v>
      </c>
      <c r="K1646">
        <v>0.55000000000000004</v>
      </c>
      <c r="L1646" t="s">
        <v>12</v>
      </c>
    </row>
    <row r="1647" spans="1:12" x14ac:dyDescent="0.3">
      <c r="A1647">
        <v>57</v>
      </c>
      <c r="B1647">
        <v>2021</v>
      </c>
      <c r="C1647">
        <v>0.37</v>
      </c>
      <c r="D1647">
        <v>0.54</v>
      </c>
      <c r="E1647">
        <v>0.59</v>
      </c>
      <c r="F1647">
        <v>0.74</v>
      </c>
      <c r="G1647">
        <v>0.46</v>
      </c>
      <c r="H1647">
        <v>0.24</v>
      </c>
      <c r="I1647">
        <v>396</v>
      </c>
      <c r="J1647">
        <v>8</v>
      </c>
      <c r="K1647">
        <v>0.52</v>
      </c>
      <c r="L1647" t="s">
        <v>12</v>
      </c>
    </row>
    <row r="1648" spans="1:12" x14ac:dyDescent="0.3">
      <c r="A1648">
        <v>69</v>
      </c>
      <c r="B1648">
        <v>2025</v>
      </c>
      <c r="C1648">
        <v>0.77</v>
      </c>
      <c r="D1648">
        <v>0.97</v>
      </c>
      <c r="E1648">
        <v>0.82</v>
      </c>
      <c r="F1648">
        <v>0.9</v>
      </c>
      <c r="G1648">
        <v>0.83</v>
      </c>
      <c r="H1648">
        <v>0.33</v>
      </c>
      <c r="I1648">
        <v>454</v>
      </c>
      <c r="J1648">
        <v>0</v>
      </c>
      <c r="K1648">
        <v>0.86</v>
      </c>
      <c r="L1648" t="s">
        <v>13</v>
      </c>
    </row>
    <row r="1649" spans="1:12" x14ac:dyDescent="0.3">
      <c r="A1649">
        <v>3</v>
      </c>
      <c r="B1649">
        <v>2021</v>
      </c>
      <c r="C1649">
        <v>0.78</v>
      </c>
      <c r="D1649">
        <v>0.94</v>
      </c>
      <c r="E1649">
        <v>0.98</v>
      </c>
      <c r="F1649">
        <v>0.61</v>
      </c>
      <c r="G1649">
        <v>0.99</v>
      </c>
      <c r="H1649">
        <v>0.32</v>
      </c>
      <c r="I1649">
        <v>226</v>
      </c>
      <c r="J1649">
        <v>10</v>
      </c>
      <c r="K1649">
        <v>0.86</v>
      </c>
      <c r="L1649" t="s">
        <v>13</v>
      </c>
    </row>
    <row r="1650" spans="1:12" x14ac:dyDescent="0.3">
      <c r="A1650">
        <v>41</v>
      </c>
      <c r="B1650">
        <v>2022</v>
      </c>
      <c r="C1650">
        <v>0.56000000000000005</v>
      </c>
      <c r="D1650">
        <v>0.92</v>
      </c>
      <c r="E1650">
        <v>0.61</v>
      </c>
      <c r="F1650">
        <v>0.66</v>
      </c>
      <c r="G1650">
        <v>0.94</v>
      </c>
      <c r="H1650">
        <v>0.94</v>
      </c>
      <c r="I1650">
        <v>199</v>
      </c>
      <c r="J1650">
        <v>4</v>
      </c>
      <c r="K1650">
        <v>0.71</v>
      </c>
      <c r="L1650" t="s">
        <v>13</v>
      </c>
    </row>
    <row r="1651" spans="1:12" x14ac:dyDescent="0.3">
      <c r="A1651">
        <v>11</v>
      </c>
      <c r="B1651">
        <v>2024</v>
      </c>
      <c r="C1651">
        <v>0.45</v>
      </c>
      <c r="D1651">
        <v>0.7</v>
      </c>
      <c r="E1651">
        <v>0.67</v>
      </c>
      <c r="F1651">
        <v>0.76</v>
      </c>
      <c r="G1651">
        <v>0.55000000000000004</v>
      </c>
      <c r="H1651">
        <v>0.83</v>
      </c>
      <c r="I1651">
        <v>188</v>
      </c>
      <c r="J1651">
        <v>19</v>
      </c>
      <c r="K1651">
        <v>0.61</v>
      </c>
      <c r="L1651" t="s">
        <v>12</v>
      </c>
    </row>
    <row r="1652" spans="1:12" x14ac:dyDescent="0.3">
      <c r="A1652">
        <v>85</v>
      </c>
      <c r="B1652">
        <v>2021</v>
      </c>
      <c r="C1652">
        <v>0.34</v>
      </c>
      <c r="D1652">
        <v>0.69</v>
      </c>
      <c r="E1652">
        <v>0.89</v>
      </c>
      <c r="F1652">
        <v>0.66</v>
      </c>
      <c r="G1652">
        <v>0.73</v>
      </c>
      <c r="H1652">
        <v>0.24</v>
      </c>
      <c r="I1652">
        <v>86</v>
      </c>
      <c r="J1652">
        <v>8</v>
      </c>
      <c r="K1652">
        <v>0.62</v>
      </c>
      <c r="L1652" t="s">
        <v>12</v>
      </c>
    </row>
    <row r="1653" spans="1:12" x14ac:dyDescent="0.3">
      <c r="A1653">
        <v>45</v>
      </c>
      <c r="B1653">
        <v>2025</v>
      </c>
      <c r="C1653">
        <v>0.76</v>
      </c>
      <c r="D1653">
        <v>0.56999999999999995</v>
      </c>
      <c r="E1653">
        <v>0.74</v>
      </c>
      <c r="F1653">
        <v>0.94</v>
      </c>
      <c r="G1653">
        <v>0.53</v>
      </c>
      <c r="H1653">
        <v>0.53</v>
      </c>
      <c r="I1653">
        <v>95</v>
      </c>
      <c r="J1653">
        <v>5</v>
      </c>
      <c r="K1653">
        <v>0.71</v>
      </c>
      <c r="L1653" t="s">
        <v>13</v>
      </c>
    </row>
    <row r="1654" spans="1:12" x14ac:dyDescent="0.3">
      <c r="A1654">
        <v>8</v>
      </c>
      <c r="B1654">
        <v>2023</v>
      </c>
      <c r="C1654">
        <v>0.52</v>
      </c>
      <c r="D1654">
        <v>0.48</v>
      </c>
      <c r="E1654">
        <v>0.88</v>
      </c>
      <c r="F1654">
        <v>0.94</v>
      </c>
      <c r="G1654">
        <v>0.48</v>
      </c>
      <c r="H1654">
        <v>0.41</v>
      </c>
      <c r="I1654">
        <v>423</v>
      </c>
      <c r="J1654">
        <v>15</v>
      </c>
      <c r="K1654">
        <v>0.64</v>
      </c>
      <c r="L1654" t="s">
        <v>12</v>
      </c>
    </row>
    <row r="1655" spans="1:12" x14ac:dyDescent="0.3">
      <c r="A1655">
        <v>87</v>
      </c>
      <c r="B1655">
        <v>2021</v>
      </c>
      <c r="C1655">
        <v>0.62</v>
      </c>
      <c r="D1655">
        <v>0.91</v>
      </c>
      <c r="E1655">
        <v>0.88</v>
      </c>
      <c r="F1655">
        <v>0.84</v>
      </c>
      <c r="G1655">
        <v>0.54</v>
      </c>
      <c r="H1655">
        <v>0.19</v>
      </c>
      <c r="I1655">
        <v>259</v>
      </c>
      <c r="J1655">
        <v>11</v>
      </c>
      <c r="K1655">
        <v>0.77</v>
      </c>
      <c r="L1655" t="s">
        <v>13</v>
      </c>
    </row>
    <row r="1656" spans="1:12" x14ac:dyDescent="0.3">
      <c r="A1656">
        <v>35</v>
      </c>
      <c r="B1656">
        <v>2021</v>
      </c>
      <c r="C1656">
        <v>0.84</v>
      </c>
      <c r="D1656">
        <v>0.65</v>
      </c>
      <c r="E1656">
        <v>0.59</v>
      </c>
      <c r="F1656">
        <v>0.98</v>
      </c>
      <c r="G1656">
        <v>0.67</v>
      </c>
      <c r="H1656">
        <v>0.85</v>
      </c>
      <c r="I1656">
        <v>305</v>
      </c>
      <c r="J1656">
        <v>7</v>
      </c>
      <c r="K1656">
        <v>0.75</v>
      </c>
      <c r="L1656" t="s">
        <v>13</v>
      </c>
    </row>
    <row r="1657" spans="1:12" x14ac:dyDescent="0.3">
      <c r="A1657">
        <v>63</v>
      </c>
      <c r="B1657">
        <v>2021</v>
      </c>
      <c r="C1657">
        <v>0.4</v>
      </c>
      <c r="D1657">
        <v>0.53</v>
      </c>
      <c r="E1657">
        <v>0.74</v>
      </c>
      <c r="F1657">
        <v>0.62</v>
      </c>
      <c r="G1657">
        <v>0.62</v>
      </c>
      <c r="H1657">
        <v>0.42</v>
      </c>
      <c r="I1657">
        <v>263</v>
      </c>
      <c r="J1657">
        <v>3</v>
      </c>
      <c r="K1657">
        <v>0.56000000000000005</v>
      </c>
      <c r="L1657" t="s">
        <v>12</v>
      </c>
    </row>
    <row r="1658" spans="1:12" x14ac:dyDescent="0.3">
      <c r="A1658">
        <v>17</v>
      </c>
      <c r="B1658">
        <v>2023</v>
      </c>
      <c r="C1658">
        <v>0.99</v>
      </c>
      <c r="D1658">
        <v>0.51</v>
      </c>
      <c r="E1658">
        <v>0.8</v>
      </c>
      <c r="F1658">
        <v>0.64</v>
      </c>
      <c r="G1658">
        <v>0.81</v>
      </c>
      <c r="H1658">
        <v>0.99</v>
      </c>
      <c r="I1658">
        <v>424</v>
      </c>
      <c r="J1658">
        <v>10</v>
      </c>
      <c r="K1658">
        <v>0.76</v>
      </c>
      <c r="L1658" t="s">
        <v>13</v>
      </c>
    </row>
    <row r="1659" spans="1:12" x14ac:dyDescent="0.3">
      <c r="A1659">
        <v>99</v>
      </c>
      <c r="B1659">
        <v>2024</v>
      </c>
      <c r="C1659">
        <v>0.96</v>
      </c>
      <c r="D1659">
        <v>0.99</v>
      </c>
      <c r="E1659">
        <v>0.7</v>
      </c>
      <c r="F1659">
        <v>1</v>
      </c>
      <c r="G1659">
        <v>0.41</v>
      </c>
      <c r="H1659">
        <v>0.25</v>
      </c>
      <c r="I1659">
        <v>257</v>
      </c>
      <c r="J1659">
        <v>8</v>
      </c>
      <c r="K1659">
        <v>0.87</v>
      </c>
      <c r="L1659" t="s">
        <v>13</v>
      </c>
    </row>
    <row r="1660" spans="1:12" x14ac:dyDescent="0.3">
      <c r="A1660">
        <v>95</v>
      </c>
      <c r="B1660">
        <v>2021</v>
      </c>
      <c r="C1660">
        <v>0.84</v>
      </c>
      <c r="D1660">
        <v>0.91</v>
      </c>
      <c r="E1660">
        <v>0.89</v>
      </c>
      <c r="F1660">
        <v>0.85</v>
      </c>
      <c r="G1660">
        <v>0.66</v>
      </c>
      <c r="H1660">
        <v>0.71</v>
      </c>
      <c r="I1660">
        <v>281</v>
      </c>
      <c r="J1660">
        <v>9</v>
      </c>
      <c r="K1660">
        <v>0.85</v>
      </c>
      <c r="L1660" t="s">
        <v>13</v>
      </c>
    </row>
    <row r="1661" spans="1:12" x14ac:dyDescent="0.3">
      <c r="A1661">
        <v>75</v>
      </c>
      <c r="B1661">
        <v>2022</v>
      </c>
      <c r="C1661">
        <v>0.89</v>
      </c>
      <c r="D1661">
        <v>0.53</v>
      </c>
      <c r="E1661">
        <v>0.68</v>
      </c>
      <c r="F1661">
        <v>0.61</v>
      </c>
      <c r="G1661">
        <v>0.98</v>
      </c>
      <c r="H1661">
        <v>7.0000000000000007E-2</v>
      </c>
      <c r="I1661">
        <v>239</v>
      </c>
      <c r="J1661">
        <v>2</v>
      </c>
      <c r="K1661">
        <v>0.73</v>
      </c>
      <c r="L1661" t="s">
        <v>13</v>
      </c>
    </row>
    <row r="1662" spans="1:12" x14ac:dyDescent="0.3">
      <c r="A1662">
        <v>60</v>
      </c>
      <c r="B1662">
        <v>2025</v>
      </c>
      <c r="C1662">
        <v>0.56000000000000005</v>
      </c>
      <c r="D1662">
        <v>0.93</v>
      </c>
      <c r="E1662">
        <v>0.73</v>
      </c>
      <c r="F1662">
        <v>0.81</v>
      </c>
      <c r="G1662">
        <v>0.53</v>
      </c>
      <c r="H1662">
        <v>0.28000000000000003</v>
      </c>
      <c r="I1662">
        <v>345</v>
      </c>
      <c r="J1662">
        <v>16</v>
      </c>
      <c r="K1662">
        <v>0.72</v>
      </c>
      <c r="L1662" t="s">
        <v>13</v>
      </c>
    </row>
    <row r="1663" spans="1:12" x14ac:dyDescent="0.3">
      <c r="A1663">
        <v>32</v>
      </c>
      <c r="B1663">
        <v>2024</v>
      </c>
      <c r="C1663">
        <v>0.77</v>
      </c>
      <c r="D1663">
        <v>0.74</v>
      </c>
      <c r="E1663">
        <v>0.66</v>
      </c>
      <c r="F1663">
        <v>0.81</v>
      </c>
      <c r="G1663">
        <v>0.47</v>
      </c>
      <c r="H1663">
        <v>0.86</v>
      </c>
      <c r="I1663">
        <v>415</v>
      </c>
      <c r="J1663">
        <v>10</v>
      </c>
      <c r="K1663">
        <v>0.72</v>
      </c>
      <c r="L1663" t="s">
        <v>13</v>
      </c>
    </row>
    <row r="1664" spans="1:12" x14ac:dyDescent="0.3">
      <c r="A1664">
        <v>92</v>
      </c>
      <c r="B1664">
        <v>2021</v>
      </c>
      <c r="C1664">
        <v>0.67</v>
      </c>
      <c r="D1664">
        <v>0.86</v>
      </c>
      <c r="E1664">
        <v>0.88</v>
      </c>
      <c r="F1664">
        <v>0.85</v>
      </c>
      <c r="G1664">
        <v>0.85</v>
      </c>
      <c r="H1664">
        <v>0.33</v>
      </c>
      <c r="I1664">
        <v>470</v>
      </c>
      <c r="J1664">
        <v>6</v>
      </c>
      <c r="K1664">
        <v>0.8</v>
      </c>
      <c r="L1664" t="s">
        <v>13</v>
      </c>
    </row>
    <row r="1665" spans="1:12" x14ac:dyDescent="0.3">
      <c r="A1665">
        <v>90</v>
      </c>
      <c r="B1665">
        <v>2025</v>
      </c>
      <c r="C1665">
        <v>0.88</v>
      </c>
      <c r="D1665">
        <v>0.73</v>
      </c>
      <c r="E1665">
        <v>0.61</v>
      </c>
      <c r="F1665">
        <v>0.82</v>
      </c>
      <c r="G1665">
        <v>0.56000000000000005</v>
      </c>
      <c r="H1665">
        <v>0.7</v>
      </c>
      <c r="I1665">
        <v>345</v>
      </c>
      <c r="J1665">
        <v>12</v>
      </c>
      <c r="K1665">
        <v>0.75</v>
      </c>
      <c r="L1665" t="s">
        <v>13</v>
      </c>
    </row>
    <row r="1666" spans="1:12" x14ac:dyDescent="0.3">
      <c r="A1666">
        <v>37</v>
      </c>
      <c r="B1666">
        <v>2023</v>
      </c>
      <c r="C1666">
        <v>0.78</v>
      </c>
      <c r="D1666">
        <v>0.53</v>
      </c>
      <c r="E1666">
        <v>0.99</v>
      </c>
      <c r="F1666">
        <v>0.94</v>
      </c>
      <c r="G1666">
        <v>0.85</v>
      </c>
      <c r="H1666">
        <v>0.33</v>
      </c>
      <c r="I1666">
        <v>168</v>
      </c>
      <c r="J1666">
        <v>5</v>
      </c>
      <c r="K1666">
        <v>0.79</v>
      </c>
      <c r="L1666" t="s">
        <v>13</v>
      </c>
    </row>
    <row r="1667" spans="1:12" x14ac:dyDescent="0.3">
      <c r="A1667">
        <v>74</v>
      </c>
      <c r="B1667">
        <v>2023</v>
      </c>
      <c r="C1667">
        <v>0.44</v>
      </c>
      <c r="D1667">
        <v>0.95</v>
      </c>
      <c r="E1667">
        <v>0.93</v>
      </c>
      <c r="F1667">
        <v>0.68</v>
      </c>
      <c r="G1667">
        <v>0.91</v>
      </c>
      <c r="H1667">
        <v>0.21</v>
      </c>
      <c r="I1667">
        <v>302</v>
      </c>
      <c r="J1667">
        <v>0</v>
      </c>
      <c r="K1667">
        <v>0.75</v>
      </c>
      <c r="L1667" t="s">
        <v>13</v>
      </c>
    </row>
    <row r="1668" spans="1:12" x14ac:dyDescent="0.3">
      <c r="A1668">
        <v>80</v>
      </c>
      <c r="B1668">
        <v>2025</v>
      </c>
      <c r="C1668">
        <v>0.43</v>
      </c>
      <c r="D1668">
        <v>0.86</v>
      </c>
      <c r="E1668">
        <v>0.7</v>
      </c>
      <c r="F1668">
        <v>0.95</v>
      </c>
      <c r="G1668">
        <v>0.67</v>
      </c>
      <c r="H1668">
        <v>0.02</v>
      </c>
      <c r="I1668">
        <v>306</v>
      </c>
      <c r="J1668">
        <v>10</v>
      </c>
      <c r="K1668">
        <v>0.69</v>
      </c>
      <c r="L1668" t="s">
        <v>12</v>
      </c>
    </row>
    <row r="1669" spans="1:12" x14ac:dyDescent="0.3">
      <c r="A1669">
        <v>88</v>
      </c>
      <c r="B1669">
        <v>2022</v>
      </c>
      <c r="C1669">
        <v>0.85</v>
      </c>
      <c r="D1669">
        <v>0.5</v>
      </c>
      <c r="E1669">
        <v>0.67</v>
      </c>
      <c r="F1669">
        <v>0.9</v>
      </c>
      <c r="G1669">
        <v>0.97</v>
      </c>
      <c r="H1669">
        <v>0.37</v>
      </c>
      <c r="I1669">
        <v>228</v>
      </c>
      <c r="J1669">
        <v>13</v>
      </c>
      <c r="K1669">
        <v>0.75</v>
      </c>
      <c r="L1669" t="s">
        <v>13</v>
      </c>
    </row>
    <row r="1670" spans="1:12" x14ac:dyDescent="0.3">
      <c r="A1670">
        <v>19</v>
      </c>
      <c r="B1670">
        <v>2024</v>
      </c>
      <c r="C1670">
        <v>0.76</v>
      </c>
      <c r="D1670">
        <v>0.52</v>
      </c>
      <c r="E1670">
        <v>0.65</v>
      </c>
      <c r="F1670">
        <v>0.65</v>
      </c>
      <c r="G1670">
        <v>0.56999999999999995</v>
      </c>
      <c r="H1670">
        <v>0.2</v>
      </c>
      <c r="I1670">
        <v>273</v>
      </c>
      <c r="J1670">
        <v>7</v>
      </c>
      <c r="K1670">
        <v>0.64</v>
      </c>
      <c r="L1670" t="s">
        <v>12</v>
      </c>
    </row>
    <row r="1671" spans="1:12" x14ac:dyDescent="0.3">
      <c r="A1671">
        <v>76</v>
      </c>
      <c r="B1671">
        <v>2022</v>
      </c>
      <c r="C1671">
        <v>0.71</v>
      </c>
      <c r="D1671">
        <v>0.62</v>
      </c>
      <c r="E1671">
        <v>0.68</v>
      </c>
      <c r="F1671">
        <v>0.87</v>
      </c>
      <c r="G1671">
        <v>0.56999999999999995</v>
      </c>
      <c r="H1671">
        <v>0.26</v>
      </c>
      <c r="I1671">
        <v>252</v>
      </c>
      <c r="J1671">
        <v>11</v>
      </c>
      <c r="K1671">
        <v>0.69</v>
      </c>
      <c r="L1671" t="s">
        <v>12</v>
      </c>
    </row>
    <row r="1672" spans="1:12" x14ac:dyDescent="0.3">
      <c r="A1672">
        <v>67</v>
      </c>
      <c r="B1672">
        <v>2023</v>
      </c>
      <c r="C1672">
        <v>0.34</v>
      </c>
      <c r="D1672">
        <v>0.73</v>
      </c>
      <c r="E1672">
        <v>0.65</v>
      </c>
      <c r="F1672">
        <v>0.81</v>
      </c>
      <c r="G1672">
        <v>0.39</v>
      </c>
      <c r="H1672">
        <v>0.93</v>
      </c>
      <c r="I1672">
        <v>81</v>
      </c>
      <c r="J1672">
        <v>10</v>
      </c>
      <c r="K1672">
        <v>0.57999999999999996</v>
      </c>
      <c r="L1672" t="s">
        <v>12</v>
      </c>
    </row>
    <row r="1673" spans="1:12" x14ac:dyDescent="0.3">
      <c r="A1673">
        <v>98</v>
      </c>
      <c r="B1673">
        <v>2025</v>
      </c>
      <c r="C1673">
        <v>0.73</v>
      </c>
      <c r="D1673">
        <v>0.46</v>
      </c>
      <c r="E1673">
        <v>0.68</v>
      </c>
      <c r="F1673">
        <v>0.7</v>
      </c>
      <c r="G1673">
        <v>0.94</v>
      </c>
      <c r="H1673">
        <v>0.85</v>
      </c>
      <c r="I1673">
        <v>351</v>
      </c>
      <c r="J1673">
        <v>9</v>
      </c>
      <c r="K1673">
        <v>0.67</v>
      </c>
      <c r="L1673" t="s">
        <v>12</v>
      </c>
    </row>
    <row r="1674" spans="1:12" x14ac:dyDescent="0.3">
      <c r="A1674">
        <v>23</v>
      </c>
      <c r="B1674">
        <v>2022</v>
      </c>
      <c r="C1674">
        <v>0.67</v>
      </c>
      <c r="D1674">
        <v>0.73</v>
      </c>
      <c r="E1674">
        <v>0.55000000000000004</v>
      </c>
      <c r="F1674">
        <v>0.99</v>
      </c>
      <c r="G1674">
        <v>0.7</v>
      </c>
      <c r="H1674">
        <v>0.15</v>
      </c>
      <c r="I1674">
        <v>184</v>
      </c>
      <c r="J1674">
        <v>13</v>
      </c>
      <c r="K1674">
        <v>0.71</v>
      </c>
      <c r="L1674" t="s">
        <v>13</v>
      </c>
    </row>
    <row r="1675" spans="1:12" x14ac:dyDescent="0.3">
      <c r="A1675">
        <v>69</v>
      </c>
      <c r="B1675">
        <v>2022</v>
      </c>
      <c r="C1675">
        <v>0.37</v>
      </c>
      <c r="D1675">
        <v>0.66</v>
      </c>
      <c r="E1675">
        <v>0.67</v>
      </c>
      <c r="F1675">
        <v>0.86</v>
      </c>
      <c r="G1675">
        <v>0.95</v>
      </c>
      <c r="H1675">
        <v>0.25</v>
      </c>
      <c r="I1675">
        <v>172</v>
      </c>
      <c r="J1675">
        <v>7</v>
      </c>
      <c r="K1675">
        <v>0.63</v>
      </c>
      <c r="L1675" t="s">
        <v>12</v>
      </c>
    </row>
    <row r="1676" spans="1:12" x14ac:dyDescent="0.3">
      <c r="A1676">
        <v>55</v>
      </c>
      <c r="B1676">
        <v>2023</v>
      </c>
      <c r="C1676">
        <v>0.37</v>
      </c>
      <c r="D1676">
        <v>0.99</v>
      </c>
      <c r="E1676">
        <v>0.62</v>
      </c>
      <c r="F1676">
        <v>0.68</v>
      </c>
      <c r="G1676">
        <v>0.67</v>
      </c>
      <c r="H1676">
        <v>0.54</v>
      </c>
      <c r="I1676">
        <v>448</v>
      </c>
      <c r="J1676">
        <v>3</v>
      </c>
      <c r="K1676">
        <v>0.65</v>
      </c>
      <c r="L1676" t="s">
        <v>12</v>
      </c>
    </row>
    <row r="1677" spans="1:12" x14ac:dyDescent="0.3">
      <c r="A1677">
        <v>70</v>
      </c>
      <c r="B1677">
        <v>2025</v>
      </c>
      <c r="C1677">
        <v>0.73</v>
      </c>
      <c r="D1677">
        <v>0.83</v>
      </c>
      <c r="E1677">
        <v>0.51</v>
      </c>
      <c r="F1677">
        <v>0.83</v>
      </c>
      <c r="G1677">
        <v>0.92</v>
      </c>
      <c r="H1677">
        <v>0.02</v>
      </c>
      <c r="I1677">
        <v>485</v>
      </c>
      <c r="J1677">
        <v>4</v>
      </c>
      <c r="K1677">
        <v>0.74</v>
      </c>
      <c r="L1677" t="s">
        <v>13</v>
      </c>
    </row>
    <row r="1678" spans="1:12" x14ac:dyDescent="0.3">
      <c r="A1678">
        <v>83</v>
      </c>
      <c r="B1678">
        <v>2023</v>
      </c>
      <c r="C1678">
        <v>0.62</v>
      </c>
      <c r="D1678">
        <v>0.99</v>
      </c>
      <c r="E1678">
        <v>0.6</v>
      </c>
      <c r="F1678">
        <v>0.63</v>
      </c>
      <c r="G1678">
        <v>0.9</v>
      </c>
      <c r="H1678">
        <v>0.87</v>
      </c>
      <c r="I1678">
        <v>368</v>
      </c>
      <c r="J1678">
        <v>6</v>
      </c>
      <c r="K1678">
        <v>0.74</v>
      </c>
      <c r="L1678" t="s">
        <v>13</v>
      </c>
    </row>
    <row r="1679" spans="1:12" x14ac:dyDescent="0.3">
      <c r="A1679">
        <v>28</v>
      </c>
      <c r="B1679">
        <v>2021</v>
      </c>
      <c r="C1679">
        <v>0.82</v>
      </c>
      <c r="D1679">
        <v>0.56000000000000005</v>
      </c>
      <c r="E1679">
        <v>0.51</v>
      </c>
      <c r="F1679">
        <v>0.79</v>
      </c>
      <c r="G1679">
        <v>0.9</v>
      </c>
      <c r="H1679">
        <v>0.9</v>
      </c>
      <c r="I1679">
        <v>420</v>
      </c>
      <c r="J1679">
        <v>4</v>
      </c>
      <c r="K1679">
        <v>0.7</v>
      </c>
      <c r="L1679" t="s">
        <v>12</v>
      </c>
    </row>
    <row r="1680" spans="1:12" x14ac:dyDescent="0.3">
      <c r="A1680">
        <v>97</v>
      </c>
      <c r="B1680">
        <v>2021</v>
      </c>
      <c r="C1680">
        <v>0.71</v>
      </c>
      <c r="D1680">
        <v>0.67</v>
      </c>
      <c r="E1680">
        <v>0.89</v>
      </c>
      <c r="F1680">
        <v>0.9</v>
      </c>
      <c r="G1680">
        <v>0.68</v>
      </c>
      <c r="H1680">
        <v>0.09</v>
      </c>
      <c r="I1680">
        <v>246</v>
      </c>
      <c r="J1680">
        <v>8</v>
      </c>
      <c r="K1680">
        <v>0.76</v>
      </c>
      <c r="L1680" t="s">
        <v>13</v>
      </c>
    </row>
    <row r="1681" spans="1:12" x14ac:dyDescent="0.3">
      <c r="A1681">
        <v>77</v>
      </c>
      <c r="B1681">
        <v>2024</v>
      </c>
      <c r="C1681">
        <v>0.74</v>
      </c>
      <c r="D1681">
        <v>0.8</v>
      </c>
      <c r="E1681">
        <v>0.61</v>
      </c>
      <c r="F1681">
        <v>0.93</v>
      </c>
      <c r="G1681">
        <v>0.5</v>
      </c>
      <c r="H1681">
        <v>0.19</v>
      </c>
      <c r="I1681">
        <v>72</v>
      </c>
      <c r="J1681">
        <v>4</v>
      </c>
      <c r="K1681">
        <v>0.73</v>
      </c>
      <c r="L1681" t="s">
        <v>13</v>
      </c>
    </row>
    <row r="1682" spans="1:12" x14ac:dyDescent="0.3">
      <c r="A1682">
        <v>6</v>
      </c>
      <c r="B1682">
        <v>2023</v>
      </c>
      <c r="C1682">
        <v>0.96</v>
      </c>
      <c r="D1682">
        <v>0.48</v>
      </c>
      <c r="E1682">
        <v>0.54</v>
      </c>
      <c r="F1682">
        <v>0.82</v>
      </c>
      <c r="G1682">
        <v>0.5</v>
      </c>
      <c r="H1682">
        <v>0.83</v>
      </c>
      <c r="I1682">
        <v>478</v>
      </c>
      <c r="J1682">
        <v>15</v>
      </c>
      <c r="K1682">
        <v>0.69</v>
      </c>
      <c r="L1682" t="s">
        <v>12</v>
      </c>
    </row>
    <row r="1683" spans="1:12" x14ac:dyDescent="0.3">
      <c r="A1683">
        <v>88</v>
      </c>
      <c r="B1683">
        <v>2024</v>
      </c>
      <c r="C1683">
        <v>0.37</v>
      </c>
      <c r="D1683">
        <v>0.48</v>
      </c>
      <c r="E1683">
        <v>0.53</v>
      </c>
      <c r="F1683">
        <v>1</v>
      </c>
      <c r="G1683">
        <v>0.56999999999999995</v>
      </c>
      <c r="H1683">
        <v>0.91</v>
      </c>
      <c r="I1683">
        <v>473</v>
      </c>
      <c r="J1683">
        <v>15</v>
      </c>
      <c r="K1683">
        <v>0.54</v>
      </c>
      <c r="L1683" t="s">
        <v>12</v>
      </c>
    </row>
    <row r="1684" spans="1:12" x14ac:dyDescent="0.3">
      <c r="A1684">
        <v>50</v>
      </c>
      <c r="B1684">
        <v>2023</v>
      </c>
      <c r="C1684">
        <v>0.45</v>
      </c>
      <c r="D1684">
        <v>0.7</v>
      </c>
      <c r="E1684">
        <v>0.91</v>
      </c>
      <c r="F1684">
        <v>0.93</v>
      </c>
      <c r="G1684">
        <v>0.86</v>
      </c>
      <c r="H1684">
        <v>0.82</v>
      </c>
      <c r="I1684">
        <v>111</v>
      </c>
      <c r="J1684">
        <v>19</v>
      </c>
      <c r="K1684">
        <v>0.72</v>
      </c>
      <c r="L1684" t="s">
        <v>13</v>
      </c>
    </row>
    <row r="1685" spans="1:12" x14ac:dyDescent="0.3">
      <c r="A1685">
        <v>26</v>
      </c>
      <c r="B1685">
        <v>2022</v>
      </c>
      <c r="C1685">
        <v>0.92</v>
      </c>
      <c r="D1685">
        <v>0.57999999999999996</v>
      </c>
      <c r="E1685">
        <v>0.97</v>
      </c>
      <c r="F1685">
        <v>0.78</v>
      </c>
      <c r="G1685">
        <v>0.77</v>
      </c>
      <c r="H1685">
        <v>0.27</v>
      </c>
      <c r="I1685">
        <v>453</v>
      </c>
      <c r="J1685">
        <v>10</v>
      </c>
      <c r="K1685">
        <v>0.81</v>
      </c>
      <c r="L1685" t="s">
        <v>13</v>
      </c>
    </row>
    <row r="1686" spans="1:12" x14ac:dyDescent="0.3">
      <c r="A1686">
        <v>95</v>
      </c>
      <c r="B1686">
        <v>2022</v>
      </c>
      <c r="C1686">
        <v>0.82</v>
      </c>
      <c r="D1686">
        <v>0.74</v>
      </c>
      <c r="E1686">
        <v>0.94</v>
      </c>
      <c r="F1686">
        <v>0.87</v>
      </c>
      <c r="G1686">
        <v>0.75</v>
      </c>
      <c r="H1686">
        <v>0.25</v>
      </c>
      <c r="I1686">
        <v>182</v>
      </c>
      <c r="J1686">
        <v>1</v>
      </c>
      <c r="K1686">
        <v>0.82</v>
      </c>
      <c r="L1686" t="s">
        <v>13</v>
      </c>
    </row>
    <row r="1687" spans="1:12" x14ac:dyDescent="0.3">
      <c r="A1687">
        <v>97</v>
      </c>
      <c r="B1687">
        <v>2025</v>
      </c>
      <c r="C1687">
        <v>0.56000000000000005</v>
      </c>
      <c r="D1687">
        <v>0.99</v>
      </c>
      <c r="E1687">
        <v>0.8</v>
      </c>
      <c r="F1687">
        <v>0.76</v>
      </c>
      <c r="G1687">
        <v>0.88</v>
      </c>
      <c r="H1687">
        <v>0.73</v>
      </c>
      <c r="I1687">
        <v>99</v>
      </c>
      <c r="J1687">
        <v>8</v>
      </c>
      <c r="K1687">
        <v>0.78</v>
      </c>
      <c r="L1687" t="s">
        <v>13</v>
      </c>
    </row>
    <row r="1688" spans="1:12" x14ac:dyDescent="0.3">
      <c r="A1688">
        <v>72</v>
      </c>
      <c r="B1688">
        <v>2023</v>
      </c>
      <c r="C1688">
        <v>0.9</v>
      </c>
      <c r="D1688">
        <v>0.7</v>
      </c>
      <c r="E1688">
        <v>0.84</v>
      </c>
      <c r="F1688">
        <v>0.84</v>
      </c>
      <c r="G1688">
        <v>0.89</v>
      </c>
      <c r="H1688">
        <v>0.28000000000000003</v>
      </c>
      <c r="I1688">
        <v>327</v>
      </c>
      <c r="J1688">
        <v>12</v>
      </c>
      <c r="K1688">
        <v>0.83</v>
      </c>
      <c r="L1688" t="s">
        <v>13</v>
      </c>
    </row>
    <row r="1689" spans="1:12" x14ac:dyDescent="0.3">
      <c r="A1689">
        <v>48</v>
      </c>
      <c r="B1689">
        <v>2025</v>
      </c>
      <c r="C1689">
        <v>0.78</v>
      </c>
      <c r="D1689">
        <v>0.84</v>
      </c>
      <c r="E1689">
        <v>0.52</v>
      </c>
      <c r="F1689">
        <v>0.87</v>
      </c>
      <c r="G1689">
        <v>0.59</v>
      </c>
      <c r="H1689">
        <v>0.12</v>
      </c>
      <c r="I1689">
        <v>493</v>
      </c>
      <c r="J1689">
        <v>7</v>
      </c>
      <c r="K1689">
        <v>0.74</v>
      </c>
      <c r="L1689" t="s">
        <v>13</v>
      </c>
    </row>
    <row r="1690" spans="1:12" x14ac:dyDescent="0.3">
      <c r="A1690">
        <v>81</v>
      </c>
      <c r="B1690">
        <v>2025</v>
      </c>
      <c r="C1690">
        <v>0.48</v>
      </c>
      <c r="D1690">
        <v>0.47</v>
      </c>
      <c r="E1690">
        <v>0.94</v>
      </c>
      <c r="F1690">
        <v>0.68</v>
      </c>
      <c r="G1690">
        <v>0.88</v>
      </c>
      <c r="H1690">
        <v>0.41</v>
      </c>
      <c r="I1690">
        <v>379</v>
      </c>
      <c r="J1690">
        <v>11</v>
      </c>
      <c r="K1690">
        <v>0.64</v>
      </c>
      <c r="L1690" t="s">
        <v>12</v>
      </c>
    </row>
    <row r="1691" spans="1:12" x14ac:dyDescent="0.3">
      <c r="A1691">
        <v>97</v>
      </c>
      <c r="B1691">
        <v>2021</v>
      </c>
      <c r="C1691">
        <v>0.44</v>
      </c>
      <c r="D1691">
        <v>0.75</v>
      </c>
      <c r="E1691">
        <v>0.73</v>
      </c>
      <c r="F1691">
        <v>0.77</v>
      </c>
      <c r="G1691">
        <v>0.92</v>
      </c>
      <c r="H1691">
        <v>0.44</v>
      </c>
      <c r="I1691">
        <v>209</v>
      </c>
      <c r="J1691">
        <v>11</v>
      </c>
      <c r="K1691">
        <v>0.67</v>
      </c>
      <c r="L1691" t="s">
        <v>12</v>
      </c>
    </row>
    <row r="1692" spans="1:12" x14ac:dyDescent="0.3">
      <c r="A1692">
        <v>99</v>
      </c>
      <c r="B1692">
        <v>2024</v>
      </c>
      <c r="C1692">
        <v>0.94</v>
      </c>
      <c r="D1692">
        <v>0.81</v>
      </c>
      <c r="E1692">
        <v>0.73</v>
      </c>
      <c r="F1692">
        <v>0.64</v>
      </c>
      <c r="G1692">
        <v>0.85</v>
      </c>
      <c r="H1692">
        <v>0.08</v>
      </c>
      <c r="I1692">
        <v>449</v>
      </c>
      <c r="J1692">
        <v>11</v>
      </c>
      <c r="K1692">
        <v>0.81</v>
      </c>
      <c r="L1692" t="s">
        <v>13</v>
      </c>
    </row>
    <row r="1693" spans="1:12" x14ac:dyDescent="0.3">
      <c r="A1693">
        <v>74</v>
      </c>
      <c r="B1693">
        <v>2022</v>
      </c>
      <c r="C1693">
        <v>0.41</v>
      </c>
      <c r="D1693">
        <v>0.4</v>
      </c>
      <c r="E1693">
        <v>0.71</v>
      </c>
      <c r="F1693">
        <v>0.65</v>
      </c>
      <c r="G1693">
        <v>0.41</v>
      </c>
      <c r="H1693">
        <v>0.08</v>
      </c>
      <c r="I1693">
        <v>92</v>
      </c>
      <c r="J1693">
        <v>7</v>
      </c>
      <c r="K1693">
        <v>0.5</v>
      </c>
      <c r="L1693" t="s">
        <v>12</v>
      </c>
    </row>
    <row r="1694" spans="1:12" x14ac:dyDescent="0.3">
      <c r="A1694">
        <v>64</v>
      </c>
      <c r="B1694">
        <v>2022</v>
      </c>
      <c r="C1694">
        <v>0.5</v>
      </c>
      <c r="D1694">
        <v>0.73</v>
      </c>
      <c r="E1694">
        <v>0.64</v>
      </c>
      <c r="F1694">
        <v>0.82</v>
      </c>
      <c r="G1694">
        <v>0.38</v>
      </c>
      <c r="H1694">
        <v>0.94</v>
      </c>
      <c r="I1694">
        <v>120</v>
      </c>
      <c r="J1694">
        <v>6</v>
      </c>
      <c r="K1694">
        <v>0.62</v>
      </c>
      <c r="L1694" t="s">
        <v>12</v>
      </c>
    </row>
    <row r="1695" spans="1:12" x14ac:dyDescent="0.3">
      <c r="A1695">
        <v>29</v>
      </c>
      <c r="B1695">
        <v>2022</v>
      </c>
      <c r="C1695">
        <v>0.85</v>
      </c>
      <c r="D1695">
        <v>0.55000000000000004</v>
      </c>
      <c r="E1695">
        <v>0.83</v>
      </c>
      <c r="F1695">
        <v>0.73</v>
      </c>
      <c r="G1695">
        <v>0.66</v>
      </c>
      <c r="H1695">
        <v>0.67</v>
      </c>
      <c r="I1695">
        <v>295</v>
      </c>
      <c r="J1695">
        <v>14</v>
      </c>
      <c r="K1695">
        <v>0.73</v>
      </c>
      <c r="L1695" t="s">
        <v>13</v>
      </c>
    </row>
    <row r="1696" spans="1:12" x14ac:dyDescent="0.3">
      <c r="A1696">
        <v>37</v>
      </c>
      <c r="B1696">
        <v>2024</v>
      </c>
      <c r="C1696">
        <v>0.49</v>
      </c>
      <c r="D1696">
        <v>0.96</v>
      </c>
      <c r="E1696">
        <v>0.73</v>
      </c>
      <c r="F1696">
        <v>0.65</v>
      </c>
      <c r="G1696">
        <v>0.6</v>
      </c>
      <c r="H1696">
        <v>0.13</v>
      </c>
      <c r="I1696">
        <v>202</v>
      </c>
      <c r="J1696">
        <v>13</v>
      </c>
      <c r="K1696">
        <v>0.69</v>
      </c>
      <c r="L1696" t="s">
        <v>12</v>
      </c>
    </row>
    <row r="1697" spans="1:12" x14ac:dyDescent="0.3">
      <c r="A1697">
        <v>78</v>
      </c>
      <c r="B1697">
        <v>2022</v>
      </c>
      <c r="C1697">
        <v>0.95</v>
      </c>
      <c r="D1697">
        <v>0.79</v>
      </c>
      <c r="E1697">
        <v>0.96</v>
      </c>
      <c r="F1697">
        <v>0.93</v>
      </c>
      <c r="G1697">
        <v>0.78</v>
      </c>
      <c r="H1697">
        <v>0.36</v>
      </c>
      <c r="I1697">
        <v>53</v>
      </c>
      <c r="J1697">
        <v>18</v>
      </c>
      <c r="K1697">
        <v>0.89</v>
      </c>
      <c r="L1697" t="s">
        <v>13</v>
      </c>
    </row>
    <row r="1698" spans="1:12" x14ac:dyDescent="0.3">
      <c r="A1698">
        <v>55</v>
      </c>
      <c r="B1698">
        <v>2021</v>
      </c>
      <c r="C1698">
        <v>0.97</v>
      </c>
      <c r="D1698">
        <v>0.83</v>
      </c>
      <c r="E1698">
        <v>0.94</v>
      </c>
      <c r="F1698">
        <v>0.97</v>
      </c>
      <c r="G1698">
        <v>0.66</v>
      </c>
      <c r="H1698">
        <v>0.63</v>
      </c>
      <c r="I1698">
        <v>216</v>
      </c>
      <c r="J1698">
        <v>12</v>
      </c>
      <c r="K1698">
        <v>0.9</v>
      </c>
      <c r="L1698" t="s">
        <v>13</v>
      </c>
    </row>
    <row r="1699" spans="1:12" x14ac:dyDescent="0.3">
      <c r="A1699">
        <v>36</v>
      </c>
      <c r="B1699">
        <v>2021</v>
      </c>
      <c r="C1699">
        <v>0.6</v>
      </c>
      <c r="D1699">
        <v>0.8</v>
      </c>
      <c r="E1699">
        <v>0.71</v>
      </c>
      <c r="F1699">
        <v>0.95</v>
      </c>
      <c r="G1699">
        <v>0.53</v>
      </c>
      <c r="H1699">
        <v>0.13</v>
      </c>
      <c r="I1699">
        <v>407</v>
      </c>
      <c r="J1699">
        <v>11</v>
      </c>
      <c r="K1699">
        <v>0.72</v>
      </c>
      <c r="L1699" t="s">
        <v>13</v>
      </c>
    </row>
    <row r="1700" spans="1:12" x14ac:dyDescent="0.3">
      <c r="A1700">
        <v>78</v>
      </c>
      <c r="B1700">
        <v>2022</v>
      </c>
      <c r="C1700">
        <v>0.65</v>
      </c>
      <c r="D1700">
        <v>0.86</v>
      </c>
      <c r="E1700">
        <v>0.94</v>
      </c>
      <c r="F1700">
        <v>0.64</v>
      </c>
      <c r="G1700">
        <v>0.56999999999999995</v>
      </c>
      <c r="H1700">
        <v>0.78</v>
      </c>
      <c r="I1700">
        <v>264</v>
      </c>
      <c r="J1700">
        <v>2</v>
      </c>
      <c r="K1700">
        <v>0.75</v>
      </c>
      <c r="L1700" t="s">
        <v>13</v>
      </c>
    </row>
    <row r="1701" spans="1:12" x14ac:dyDescent="0.3">
      <c r="A1701">
        <v>33</v>
      </c>
      <c r="B1701">
        <v>2023</v>
      </c>
      <c r="C1701">
        <v>0.89</v>
      </c>
      <c r="D1701">
        <v>0.55000000000000004</v>
      </c>
      <c r="E1701">
        <v>0.94</v>
      </c>
      <c r="F1701">
        <v>0.9</v>
      </c>
      <c r="G1701">
        <v>0.81</v>
      </c>
      <c r="H1701">
        <v>0.35</v>
      </c>
      <c r="I1701">
        <v>333</v>
      </c>
      <c r="J1701">
        <v>1</v>
      </c>
      <c r="K1701">
        <v>0.81</v>
      </c>
      <c r="L1701" t="s">
        <v>13</v>
      </c>
    </row>
    <row r="1702" spans="1:12" x14ac:dyDescent="0.3">
      <c r="A1702">
        <v>90</v>
      </c>
      <c r="B1702">
        <v>2025</v>
      </c>
      <c r="C1702">
        <v>0.9</v>
      </c>
      <c r="D1702">
        <v>0.62</v>
      </c>
      <c r="E1702">
        <v>0.56999999999999995</v>
      </c>
      <c r="F1702">
        <v>0.73</v>
      </c>
      <c r="G1702">
        <v>0.62</v>
      </c>
      <c r="H1702">
        <v>0.53</v>
      </c>
      <c r="I1702">
        <v>207</v>
      </c>
      <c r="J1702">
        <v>10</v>
      </c>
      <c r="K1702">
        <v>0.71</v>
      </c>
      <c r="L1702" t="s">
        <v>13</v>
      </c>
    </row>
    <row r="1703" spans="1:12" x14ac:dyDescent="0.3">
      <c r="A1703">
        <v>68</v>
      </c>
      <c r="B1703">
        <v>2021</v>
      </c>
      <c r="C1703">
        <v>0.89</v>
      </c>
      <c r="D1703">
        <v>0.5</v>
      </c>
      <c r="E1703">
        <v>0.66</v>
      </c>
      <c r="F1703">
        <v>0.96</v>
      </c>
      <c r="G1703">
        <v>0.69</v>
      </c>
      <c r="H1703">
        <v>0.57999999999999996</v>
      </c>
      <c r="I1703">
        <v>180</v>
      </c>
      <c r="J1703">
        <v>7</v>
      </c>
      <c r="K1703">
        <v>0.74</v>
      </c>
      <c r="L1703" t="s">
        <v>13</v>
      </c>
    </row>
    <row r="1704" spans="1:12" x14ac:dyDescent="0.3">
      <c r="A1704">
        <v>28</v>
      </c>
      <c r="B1704">
        <v>2023</v>
      </c>
      <c r="C1704">
        <v>0.44</v>
      </c>
      <c r="D1704">
        <v>0.73</v>
      </c>
      <c r="E1704">
        <v>1</v>
      </c>
      <c r="F1704">
        <v>0.83</v>
      </c>
      <c r="G1704">
        <v>0.33</v>
      </c>
      <c r="H1704">
        <v>0.8</v>
      </c>
      <c r="I1704">
        <v>329</v>
      </c>
      <c r="J1704">
        <v>12</v>
      </c>
      <c r="K1704">
        <v>0.67</v>
      </c>
      <c r="L1704" t="s">
        <v>12</v>
      </c>
    </row>
    <row r="1705" spans="1:12" x14ac:dyDescent="0.3">
      <c r="A1705">
        <v>16</v>
      </c>
      <c r="B1705">
        <v>2025</v>
      </c>
      <c r="C1705">
        <v>0.94</v>
      </c>
      <c r="D1705">
        <v>0.67</v>
      </c>
      <c r="E1705">
        <v>0.87</v>
      </c>
      <c r="F1705">
        <v>0.82</v>
      </c>
      <c r="G1705">
        <v>0.48</v>
      </c>
      <c r="H1705">
        <v>0.67</v>
      </c>
      <c r="I1705">
        <v>498</v>
      </c>
      <c r="J1705">
        <v>4</v>
      </c>
      <c r="K1705">
        <v>0.79</v>
      </c>
      <c r="L1705" t="s">
        <v>13</v>
      </c>
    </row>
    <row r="1706" spans="1:12" x14ac:dyDescent="0.3">
      <c r="A1706">
        <v>49</v>
      </c>
      <c r="B1706">
        <v>2021</v>
      </c>
      <c r="C1706">
        <v>0.72</v>
      </c>
      <c r="D1706">
        <v>0.99</v>
      </c>
      <c r="E1706">
        <v>0.63</v>
      </c>
      <c r="F1706">
        <v>0.62</v>
      </c>
      <c r="G1706">
        <v>0.32</v>
      </c>
      <c r="H1706">
        <v>0.71</v>
      </c>
      <c r="I1706">
        <v>482</v>
      </c>
      <c r="J1706">
        <v>10</v>
      </c>
      <c r="K1706">
        <v>0.71</v>
      </c>
      <c r="L1706" t="s">
        <v>13</v>
      </c>
    </row>
    <row r="1707" spans="1:12" x14ac:dyDescent="0.3">
      <c r="A1707">
        <v>23</v>
      </c>
      <c r="B1707">
        <v>2021</v>
      </c>
      <c r="C1707">
        <v>0.78</v>
      </c>
      <c r="D1707">
        <v>0.56000000000000005</v>
      </c>
      <c r="E1707">
        <v>0.92</v>
      </c>
      <c r="F1707">
        <v>0.63</v>
      </c>
      <c r="G1707">
        <v>0.84</v>
      </c>
      <c r="H1707">
        <v>0.1</v>
      </c>
      <c r="I1707">
        <v>89</v>
      </c>
      <c r="J1707">
        <v>0</v>
      </c>
      <c r="K1707">
        <v>0.74</v>
      </c>
      <c r="L1707" t="s">
        <v>13</v>
      </c>
    </row>
    <row r="1708" spans="1:12" x14ac:dyDescent="0.3">
      <c r="A1708">
        <v>42</v>
      </c>
      <c r="B1708">
        <v>2024</v>
      </c>
      <c r="C1708">
        <v>0.64</v>
      </c>
      <c r="D1708">
        <v>0.62</v>
      </c>
      <c r="E1708">
        <v>0.82</v>
      </c>
      <c r="F1708">
        <v>0.98</v>
      </c>
      <c r="G1708">
        <v>0.33</v>
      </c>
      <c r="H1708">
        <v>0.92</v>
      </c>
      <c r="I1708">
        <v>152</v>
      </c>
      <c r="J1708">
        <v>0</v>
      </c>
      <c r="K1708">
        <v>0.69</v>
      </c>
      <c r="L1708" t="s">
        <v>12</v>
      </c>
    </row>
    <row r="1709" spans="1:12" x14ac:dyDescent="0.3">
      <c r="A1709">
        <v>8</v>
      </c>
      <c r="B1709">
        <v>2021</v>
      </c>
      <c r="C1709">
        <v>0.63</v>
      </c>
      <c r="D1709">
        <v>0.92</v>
      </c>
      <c r="E1709">
        <v>0.71</v>
      </c>
      <c r="F1709">
        <v>0.81</v>
      </c>
      <c r="G1709">
        <v>0.31</v>
      </c>
      <c r="H1709">
        <v>0.16</v>
      </c>
      <c r="I1709">
        <v>366</v>
      </c>
      <c r="J1709">
        <v>2</v>
      </c>
      <c r="K1709">
        <v>0.71</v>
      </c>
      <c r="L1709" t="s">
        <v>13</v>
      </c>
    </row>
    <row r="1710" spans="1:12" x14ac:dyDescent="0.3">
      <c r="A1710">
        <v>86</v>
      </c>
      <c r="B1710">
        <v>2023</v>
      </c>
      <c r="C1710">
        <v>0.71</v>
      </c>
      <c r="D1710">
        <v>0.49</v>
      </c>
      <c r="E1710">
        <v>0.72</v>
      </c>
      <c r="F1710">
        <v>0.74</v>
      </c>
      <c r="G1710">
        <v>0.65</v>
      </c>
      <c r="H1710">
        <v>0.87</v>
      </c>
      <c r="I1710">
        <v>292</v>
      </c>
      <c r="J1710">
        <v>18</v>
      </c>
      <c r="K1710">
        <v>0.66</v>
      </c>
      <c r="L1710" t="s">
        <v>12</v>
      </c>
    </row>
    <row r="1711" spans="1:12" x14ac:dyDescent="0.3">
      <c r="A1711">
        <v>46</v>
      </c>
      <c r="B1711">
        <v>2023</v>
      </c>
      <c r="C1711">
        <v>0.63</v>
      </c>
      <c r="D1711">
        <v>0.85</v>
      </c>
      <c r="E1711">
        <v>0.56999999999999995</v>
      </c>
      <c r="F1711">
        <v>0.87</v>
      </c>
      <c r="G1711">
        <v>0.47</v>
      </c>
      <c r="H1711">
        <v>0.44</v>
      </c>
      <c r="I1711">
        <v>50</v>
      </c>
      <c r="J1711">
        <v>5</v>
      </c>
      <c r="K1711">
        <v>0.69</v>
      </c>
      <c r="L1711" t="s">
        <v>12</v>
      </c>
    </row>
    <row r="1712" spans="1:12" x14ac:dyDescent="0.3">
      <c r="A1712">
        <v>7</v>
      </c>
      <c r="B1712">
        <v>2025</v>
      </c>
      <c r="C1712">
        <v>0.47</v>
      </c>
      <c r="D1712">
        <v>0.46</v>
      </c>
      <c r="E1712">
        <v>0.85</v>
      </c>
      <c r="F1712">
        <v>0.61</v>
      </c>
      <c r="G1712">
        <v>0.73</v>
      </c>
      <c r="H1712">
        <v>0.14000000000000001</v>
      </c>
      <c r="I1712">
        <v>245</v>
      </c>
      <c r="J1712">
        <v>11</v>
      </c>
      <c r="K1712">
        <v>0.59</v>
      </c>
      <c r="L1712" t="s">
        <v>12</v>
      </c>
    </row>
    <row r="1713" spans="1:12" x14ac:dyDescent="0.3">
      <c r="A1713">
        <v>80</v>
      </c>
      <c r="B1713">
        <v>2022</v>
      </c>
      <c r="C1713">
        <v>0.67</v>
      </c>
      <c r="D1713">
        <v>0.43</v>
      </c>
      <c r="E1713">
        <v>0.67</v>
      </c>
      <c r="F1713">
        <v>0.63</v>
      </c>
      <c r="G1713">
        <v>0.57999999999999996</v>
      </c>
      <c r="H1713">
        <v>0.67</v>
      </c>
      <c r="I1713">
        <v>175</v>
      </c>
      <c r="J1713">
        <v>7</v>
      </c>
      <c r="K1713">
        <v>0.6</v>
      </c>
      <c r="L1713" t="s">
        <v>12</v>
      </c>
    </row>
    <row r="1714" spans="1:12" x14ac:dyDescent="0.3">
      <c r="A1714">
        <v>88</v>
      </c>
      <c r="B1714">
        <v>2024</v>
      </c>
      <c r="C1714">
        <v>0.38</v>
      </c>
      <c r="D1714">
        <v>0.55000000000000004</v>
      </c>
      <c r="E1714">
        <v>0.55000000000000004</v>
      </c>
      <c r="F1714">
        <v>0.92</v>
      </c>
      <c r="G1714">
        <v>0.39</v>
      </c>
      <c r="H1714">
        <v>0.6</v>
      </c>
      <c r="I1714">
        <v>67</v>
      </c>
      <c r="J1714">
        <v>2</v>
      </c>
      <c r="K1714">
        <v>0.54</v>
      </c>
      <c r="L1714" t="s">
        <v>12</v>
      </c>
    </row>
    <row r="1715" spans="1:12" x14ac:dyDescent="0.3">
      <c r="A1715">
        <v>6</v>
      </c>
      <c r="B1715">
        <v>2022</v>
      </c>
      <c r="C1715">
        <v>0.57999999999999996</v>
      </c>
      <c r="D1715">
        <v>0.76</v>
      </c>
      <c r="E1715">
        <v>0.75</v>
      </c>
      <c r="F1715">
        <v>0.72</v>
      </c>
      <c r="G1715">
        <v>0.69</v>
      </c>
      <c r="H1715">
        <v>0.67</v>
      </c>
      <c r="I1715">
        <v>305</v>
      </c>
      <c r="J1715">
        <v>14</v>
      </c>
      <c r="K1715">
        <v>0.69</v>
      </c>
      <c r="L1715" t="s">
        <v>12</v>
      </c>
    </row>
    <row r="1716" spans="1:12" x14ac:dyDescent="0.3">
      <c r="A1716">
        <v>45</v>
      </c>
      <c r="B1716">
        <v>2021</v>
      </c>
      <c r="C1716">
        <v>0.41</v>
      </c>
      <c r="D1716">
        <v>0.89</v>
      </c>
      <c r="E1716">
        <v>0.61</v>
      </c>
      <c r="F1716">
        <v>0.81</v>
      </c>
      <c r="G1716">
        <v>0.39</v>
      </c>
      <c r="H1716">
        <v>0.47</v>
      </c>
      <c r="I1716">
        <v>162</v>
      </c>
      <c r="J1716">
        <v>5</v>
      </c>
      <c r="K1716">
        <v>0.63</v>
      </c>
      <c r="L1716" t="s">
        <v>12</v>
      </c>
    </row>
    <row r="1717" spans="1:12" x14ac:dyDescent="0.3">
      <c r="A1717">
        <v>11</v>
      </c>
      <c r="B1717">
        <v>2022</v>
      </c>
      <c r="C1717">
        <v>0.64</v>
      </c>
      <c r="D1717">
        <v>0.68</v>
      </c>
      <c r="E1717">
        <v>0.63</v>
      </c>
      <c r="F1717">
        <v>0.97</v>
      </c>
      <c r="G1717">
        <v>0.59</v>
      </c>
      <c r="H1717">
        <v>0.86</v>
      </c>
      <c r="I1717">
        <v>422</v>
      </c>
      <c r="J1717">
        <v>8</v>
      </c>
      <c r="K1717">
        <v>0.69</v>
      </c>
      <c r="L1717" t="s">
        <v>12</v>
      </c>
    </row>
    <row r="1718" spans="1:12" x14ac:dyDescent="0.3">
      <c r="A1718">
        <v>85</v>
      </c>
      <c r="B1718">
        <v>2025</v>
      </c>
      <c r="C1718">
        <v>0.59</v>
      </c>
      <c r="D1718">
        <v>0.47</v>
      </c>
      <c r="E1718">
        <v>0.72</v>
      </c>
      <c r="F1718">
        <v>0.74</v>
      </c>
      <c r="G1718">
        <v>0.46</v>
      </c>
      <c r="H1718">
        <v>0.64</v>
      </c>
      <c r="I1718">
        <v>411</v>
      </c>
      <c r="J1718">
        <v>2</v>
      </c>
      <c r="K1718">
        <v>0.6</v>
      </c>
      <c r="L1718" t="s">
        <v>12</v>
      </c>
    </row>
    <row r="1719" spans="1:12" x14ac:dyDescent="0.3">
      <c r="A1719">
        <v>33</v>
      </c>
      <c r="B1719">
        <v>2021</v>
      </c>
      <c r="C1719">
        <v>0.99</v>
      </c>
      <c r="D1719">
        <v>0.95</v>
      </c>
      <c r="E1719">
        <v>0.51</v>
      </c>
      <c r="F1719">
        <v>0.91</v>
      </c>
      <c r="G1719">
        <v>0.38</v>
      </c>
      <c r="H1719">
        <v>0.03</v>
      </c>
      <c r="I1719">
        <v>273</v>
      </c>
      <c r="J1719">
        <v>10</v>
      </c>
      <c r="K1719">
        <v>0.81</v>
      </c>
      <c r="L1719" t="s">
        <v>13</v>
      </c>
    </row>
    <row r="1720" spans="1:12" x14ac:dyDescent="0.3">
      <c r="A1720">
        <v>14</v>
      </c>
      <c r="B1720">
        <v>2023</v>
      </c>
      <c r="C1720">
        <v>0.85</v>
      </c>
      <c r="D1720">
        <v>0.47</v>
      </c>
      <c r="E1720">
        <v>0.56000000000000005</v>
      </c>
      <c r="F1720">
        <v>0.97</v>
      </c>
      <c r="G1720">
        <v>0.36</v>
      </c>
      <c r="H1720">
        <v>0.69</v>
      </c>
      <c r="I1720">
        <v>66</v>
      </c>
      <c r="J1720">
        <v>4</v>
      </c>
      <c r="K1720">
        <v>0.67</v>
      </c>
      <c r="L1720" t="s">
        <v>12</v>
      </c>
    </row>
    <row r="1721" spans="1:12" x14ac:dyDescent="0.3">
      <c r="A1721">
        <v>12</v>
      </c>
      <c r="B1721">
        <v>2022</v>
      </c>
      <c r="C1721">
        <v>0.56000000000000005</v>
      </c>
      <c r="D1721">
        <v>0.45</v>
      </c>
      <c r="E1721">
        <v>0.8</v>
      </c>
      <c r="F1721">
        <v>0.86</v>
      </c>
      <c r="G1721">
        <v>0.56000000000000005</v>
      </c>
      <c r="H1721">
        <v>0.74</v>
      </c>
      <c r="I1721">
        <v>346</v>
      </c>
      <c r="J1721">
        <v>14</v>
      </c>
      <c r="K1721">
        <v>0.63</v>
      </c>
      <c r="L1721" t="s">
        <v>12</v>
      </c>
    </row>
    <row r="1722" spans="1:12" x14ac:dyDescent="0.3">
      <c r="A1722">
        <v>14</v>
      </c>
      <c r="B1722">
        <v>2021</v>
      </c>
      <c r="C1722">
        <v>0.57999999999999996</v>
      </c>
      <c r="D1722">
        <v>0.66</v>
      </c>
      <c r="E1722">
        <v>0.98</v>
      </c>
      <c r="F1722">
        <v>0.87</v>
      </c>
      <c r="G1722">
        <v>0.52</v>
      </c>
      <c r="H1722">
        <v>0.73</v>
      </c>
      <c r="I1722">
        <v>385</v>
      </c>
      <c r="J1722">
        <v>1</v>
      </c>
      <c r="K1722">
        <v>0.72</v>
      </c>
      <c r="L1722" t="s">
        <v>13</v>
      </c>
    </row>
    <row r="1723" spans="1:12" x14ac:dyDescent="0.3">
      <c r="A1723">
        <v>45</v>
      </c>
      <c r="B1723">
        <v>2022</v>
      </c>
      <c r="C1723">
        <v>0.63</v>
      </c>
      <c r="D1723">
        <v>0.85</v>
      </c>
      <c r="E1723">
        <v>0.69</v>
      </c>
      <c r="F1723">
        <v>0.95</v>
      </c>
      <c r="G1723">
        <v>0.56999999999999995</v>
      </c>
      <c r="H1723">
        <v>0.35</v>
      </c>
      <c r="I1723">
        <v>213</v>
      </c>
      <c r="J1723">
        <v>3</v>
      </c>
      <c r="K1723">
        <v>0.74</v>
      </c>
      <c r="L1723" t="s">
        <v>13</v>
      </c>
    </row>
    <row r="1724" spans="1:12" x14ac:dyDescent="0.3">
      <c r="A1724">
        <v>56</v>
      </c>
      <c r="B1724">
        <v>2022</v>
      </c>
      <c r="C1724">
        <v>0.8</v>
      </c>
      <c r="D1724">
        <v>0.6</v>
      </c>
      <c r="E1724">
        <v>0.64</v>
      </c>
      <c r="F1724">
        <v>0.81</v>
      </c>
      <c r="G1724">
        <v>0.36</v>
      </c>
      <c r="H1724">
        <v>0.12</v>
      </c>
      <c r="I1724">
        <v>478</v>
      </c>
      <c r="J1724">
        <v>18</v>
      </c>
      <c r="K1724">
        <v>0.68</v>
      </c>
      <c r="L1724" t="s">
        <v>12</v>
      </c>
    </row>
    <row r="1725" spans="1:12" x14ac:dyDescent="0.3">
      <c r="A1725">
        <v>7</v>
      </c>
      <c r="B1725">
        <v>2024</v>
      </c>
      <c r="C1725">
        <v>0.49</v>
      </c>
      <c r="D1725">
        <v>0.53</v>
      </c>
      <c r="E1725">
        <v>0.54</v>
      </c>
      <c r="F1725">
        <v>0.66</v>
      </c>
      <c r="G1725">
        <v>0.84</v>
      </c>
      <c r="H1725">
        <v>0.72</v>
      </c>
      <c r="I1725">
        <v>436</v>
      </c>
      <c r="J1725">
        <v>10</v>
      </c>
      <c r="K1725">
        <v>0.56999999999999995</v>
      </c>
      <c r="L1725" t="s">
        <v>12</v>
      </c>
    </row>
    <row r="1726" spans="1:12" x14ac:dyDescent="0.3">
      <c r="A1726">
        <v>22</v>
      </c>
      <c r="B1726">
        <v>2025</v>
      </c>
      <c r="C1726">
        <v>0.85</v>
      </c>
      <c r="D1726">
        <v>0.93</v>
      </c>
      <c r="E1726">
        <v>0.78</v>
      </c>
      <c r="F1726">
        <v>0.74</v>
      </c>
      <c r="G1726">
        <v>0.72</v>
      </c>
      <c r="H1726">
        <v>0.09</v>
      </c>
      <c r="I1726">
        <v>231</v>
      </c>
      <c r="J1726">
        <v>3</v>
      </c>
      <c r="K1726">
        <v>0.83</v>
      </c>
      <c r="L1726" t="s">
        <v>13</v>
      </c>
    </row>
    <row r="1727" spans="1:12" x14ac:dyDescent="0.3">
      <c r="A1727">
        <v>50</v>
      </c>
      <c r="B1727">
        <v>2023</v>
      </c>
      <c r="C1727">
        <v>0.43</v>
      </c>
      <c r="D1727">
        <v>0.69</v>
      </c>
      <c r="E1727">
        <v>0.7</v>
      </c>
      <c r="F1727">
        <v>0.92</v>
      </c>
      <c r="G1727">
        <v>0.83</v>
      </c>
      <c r="H1727">
        <v>0.13</v>
      </c>
      <c r="I1727">
        <v>394</v>
      </c>
      <c r="J1727">
        <v>11</v>
      </c>
      <c r="K1727">
        <v>0.66</v>
      </c>
      <c r="L1727" t="s">
        <v>12</v>
      </c>
    </row>
    <row r="1728" spans="1:12" x14ac:dyDescent="0.3">
      <c r="A1728">
        <v>93</v>
      </c>
      <c r="B1728">
        <v>2023</v>
      </c>
      <c r="C1728">
        <v>0.67</v>
      </c>
      <c r="D1728">
        <v>0.91</v>
      </c>
      <c r="E1728">
        <v>0.53</v>
      </c>
      <c r="F1728">
        <v>0.81</v>
      </c>
      <c r="G1728">
        <v>0.68</v>
      </c>
      <c r="H1728">
        <v>0.86</v>
      </c>
      <c r="I1728">
        <v>80</v>
      </c>
      <c r="J1728">
        <v>3</v>
      </c>
      <c r="K1728">
        <v>0.72</v>
      </c>
      <c r="L1728" t="s">
        <v>13</v>
      </c>
    </row>
    <row r="1729" spans="1:12" x14ac:dyDescent="0.3">
      <c r="A1729">
        <v>10</v>
      </c>
      <c r="B1729">
        <v>2022</v>
      </c>
      <c r="C1729">
        <v>0.88</v>
      </c>
      <c r="D1729">
        <v>0.78</v>
      </c>
      <c r="E1729">
        <v>0.7</v>
      </c>
      <c r="F1729">
        <v>0.99</v>
      </c>
      <c r="G1729">
        <v>0.63</v>
      </c>
      <c r="H1729">
        <v>0.97</v>
      </c>
      <c r="I1729">
        <v>389</v>
      </c>
      <c r="J1729">
        <v>13</v>
      </c>
      <c r="K1729">
        <v>0.81</v>
      </c>
      <c r="L1729" t="s">
        <v>13</v>
      </c>
    </row>
    <row r="1730" spans="1:12" x14ac:dyDescent="0.3">
      <c r="A1730">
        <v>86</v>
      </c>
      <c r="B1730">
        <v>2025</v>
      </c>
      <c r="C1730">
        <v>0.68</v>
      </c>
      <c r="D1730">
        <v>0.65</v>
      </c>
      <c r="E1730">
        <v>0.76</v>
      </c>
      <c r="F1730">
        <v>0.82</v>
      </c>
      <c r="G1730">
        <v>0.56999999999999995</v>
      </c>
      <c r="H1730">
        <v>1</v>
      </c>
      <c r="I1730">
        <v>57</v>
      </c>
      <c r="J1730">
        <v>2</v>
      </c>
      <c r="K1730">
        <v>0.7</v>
      </c>
      <c r="L1730" t="s">
        <v>12</v>
      </c>
    </row>
    <row r="1731" spans="1:12" x14ac:dyDescent="0.3">
      <c r="A1731">
        <v>42</v>
      </c>
      <c r="B1731">
        <v>2025</v>
      </c>
      <c r="C1731">
        <v>0.7</v>
      </c>
      <c r="D1731">
        <v>0.66</v>
      </c>
      <c r="E1731">
        <v>0.51</v>
      </c>
      <c r="F1731">
        <v>1</v>
      </c>
      <c r="G1731">
        <v>0.68</v>
      </c>
      <c r="H1731">
        <v>0.47</v>
      </c>
      <c r="I1731">
        <v>64</v>
      </c>
      <c r="J1731">
        <v>13</v>
      </c>
      <c r="K1731">
        <v>0.7</v>
      </c>
      <c r="L1731" t="s">
        <v>12</v>
      </c>
    </row>
    <row r="1732" spans="1:12" x14ac:dyDescent="0.3">
      <c r="A1732">
        <v>39</v>
      </c>
      <c r="B1732">
        <v>2025</v>
      </c>
      <c r="C1732">
        <v>0.87</v>
      </c>
      <c r="D1732">
        <v>0.56000000000000005</v>
      </c>
      <c r="E1732">
        <v>0.9</v>
      </c>
      <c r="F1732">
        <v>0.71</v>
      </c>
      <c r="G1732">
        <v>0.32</v>
      </c>
      <c r="H1732">
        <v>0.52</v>
      </c>
      <c r="I1732">
        <v>264</v>
      </c>
      <c r="J1732">
        <v>12</v>
      </c>
      <c r="K1732">
        <v>0.72</v>
      </c>
      <c r="L1732" t="s">
        <v>13</v>
      </c>
    </row>
    <row r="1733" spans="1:12" x14ac:dyDescent="0.3">
      <c r="A1733">
        <v>97</v>
      </c>
      <c r="B1733">
        <v>2025</v>
      </c>
      <c r="C1733">
        <v>0.75</v>
      </c>
      <c r="D1733">
        <v>0.95</v>
      </c>
      <c r="E1733">
        <v>0.89</v>
      </c>
      <c r="F1733">
        <v>0.67</v>
      </c>
      <c r="G1733">
        <v>0.86</v>
      </c>
      <c r="H1733">
        <v>0.64</v>
      </c>
      <c r="I1733">
        <v>96</v>
      </c>
      <c r="J1733">
        <v>4</v>
      </c>
      <c r="K1733">
        <v>0.83</v>
      </c>
      <c r="L1733" t="s">
        <v>13</v>
      </c>
    </row>
    <row r="1734" spans="1:12" x14ac:dyDescent="0.3">
      <c r="A1734">
        <v>62</v>
      </c>
      <c r="B1734">
        <v>2024</v>
      </c>
      <c r="C1734">
        <v>0.7</v>
      </c>
      <c r="D1734">
        <v>0.68</v>
      </c>
      <c r="E1734">
        <v>0.82</v>
      </c>
      <c r="F1734">
        <v>0.72</v>
      </c>
      <c r="G1734">
        <v>0.43</v>
      </c>
      <c r="H1734">
        <v>0.62</v>
      </c>
      <c r="I1734">
        <v>205</v>
      </c>
      <c r="J1734">
        <v>18</v>
      </c>
      <c r="K1734">
        <v>0.7</v>
      </c>
      <c r="L1734" t="s">
        <v>12</v>
      </c>
    </row>
    <row r="1735" spans="1:12" x14ac:dyDescent="0.3">
      <c r="A1735">
        <v>42</v>
      </c>
      <c r="B1735">
        <v>2024</v>
      </c>
      <c r="C1735">
        <v>0.73</v>
      </c>
      <c r="D1735">
        <v>0.62</v>
      </c>
      <c r="E1735">
        <v>0.88</v>
      </c>
      <c r="F1735">
        <v>0.75</v>
      </c>
      <c r="G1735">
        <v>0.64</v>
      </c>
      <c r="H1735">
        <v>0.41</v>
      </c>
      <c r="I1735">
        <v>277</v>
      </c>
      <c r="J1735">
        <v>8</v>
      </c>
      <c r="K1735">
        <v>0.73</v>
      </c>
      <c r="L1735" t="s">
        <v>13</v>
      </c>
    </row>
    <row r="1736" spans="1:12" x14ac:dyDescent="0.3">
      <c r="A1736">
        <v>10</v>
      </c>
      <c r="B1736">
        <v>2025</v>
      </c>
      <c r="C1736">
        <v>0.96</v>
      </c>
      <c r="D1736">
        <v>0.91</v>
      </c>
      <c r="E1736">
        <v>0.96</v>
      </c>
      <c r="F1736">
        <v>0.78</v>
      </c>
      <c r="G1736">
        <v>0.68</v>
      </c>
      <c r="H1736">
        <v>0.74</v>
      </c>
      <c r="I1736">
        <v>178</v>
      </c>
      <c r="J1736">
        <v>8</v>
      </c>
      <c r="K1736">
        <v>0.89</v>
      </c>
      <c r="L1736" t="s">
        <v>13</v>
      </c>
    </row>
    <row r="1737" spans="1:12" x14ac:dyDescent="0.3">
      <c r="A1737">
        <v>56</v>
      </c>
      <c r="B1737">
        <v>2021</v>
      </c>
      <c r="C1737">
        <v>0.75</v>
      </c>
      <c r="D1737">
        <v>0.64</v>
      </c>
      <c r="E1737">
        <v>0.95</v>
      </c>
      <c r="F1737">
        <v>0.94</v>
      </c>
      <c r="G1737">
        <v>0.47</v>
      </c>
      <c r="H1737">
        <v>0.69</v>
      </c>
      <c r="I1737">
        <v>229</v>
      </c>
      <c r="J1737">
        <v>13</v>
      </c>
      <c r="K1737">
        <v>0.76</v>
      </c>
      <c r="L1737" t="s">
        <v>13</v>
      </c>
    </row>
    <row r="1738" spans="1:12" x14ac:dyDescent="0.3">
      <c r="A1738">
        <v>69</v>
      </c>
      <c r="B1738">
        <v>2025</v>
      </c>
      <c r="C1738">
        <v>0.54</v>
      </c>
      <c r="D1738">
        <v>0.9</v>
      </c>
      <c r="E1738">
        <v>0.66</v>
      </c>
      <c r="F1738">
        <v>0.85</v>
      </c>
      <c r="G1738">
        <v>0.99</v>
      </c>
      <c r="H1738">
        <v>0.88</v>
      </c>
      <c r="I1738">
        <v>453</v>
      </c>
      <c r="J1738">
        <v>4</v>
      </c>
      <c r="K1738">
        <v>0.75</v>
      </c>
      <c r="L1738" t="s">
        <v>13</v>
      </c>
    </row>
    <row r="1739" spans="1:12" x14ac:dyDescent="0.3">
      <c r="A1739">
        <v>36</v>
      </c>
      <c r="B1739">
        <v>2025</v>
      </c>
      <c r="C1739">
        <v>0.54</v>
      </c>
      <c r="D1739">
        <v>0.66</v>
      </c>
      <c r="E1739">
        <v>0.67</v>
      </c>
      <c r="F1739">
        <v>0.73</v>
      </c>
      <c r="G1739">
        <v>0.68</v>
      </c>
      <c r="H1739">
        <v>0.19</v>
      </c>
      <c r="I1739">
        <v>367</v>
      </c>
      <c r="J1739">
        <v>10</v>
      </c>
      <c r="K1739">
        <v>0.64</v>
      </c>
      <c r="L1739" t="s">
        <v>12</v>
      </c>
    </row>
    <row r="1740" spans="1:12" x14ac:dyDescent="0.3">
      <c r="A1740">
        <v>81</v>
      </c>
      <c r="B1740">
        <v>2024</v>
      </c>
      <c r="C1740">
        <v>0.89</v>
      </c>
      <c r="D1740">
        <v>0.41</v>
      </c>
      <c r="E1740">
        <v>0.62</v>
      </c>
      <c r="F1740">
        <v>0.9</v>
      </c>
      <c r="G1740">
        <v>0.71</v>
      </c>
      <c r="H1740">
        <v>0.78</v>
      </c>
      <c r="I1740">
        <v>85</v>
      </c>
      <c r="J1740">
        <v>9</v>
      </c>
      <c r="K1740">
        <v>0.7</v>
      </c>
      <c r="L1740" t="s">
        <v>12</v>
      </c>
    </row>
    <row r="1741" spans="1:12" x14ac:dyDescent="0.3">
      <c r="A1741">
        <v>36</v>
      </c>
      <c r="B1741">
        <v>2023</v>
      </c>
      <c r="C1741">
        <v>0.46</v>
      </c>
      <c r="D1741">
        <v>0.73</v>
      </c>
      <c r="E1741">
        <v>0.82</v>
      </c>
      <c r="F1741">
        <v>0.67</v>
      </c>
      <c r="G1741">
        <v>0.98</v>
      </c>
      <c r="H1741">
        <v>0.49</v>
      </c>
      <c r="I1741">
        <v>74</v>
      </c>
      <c r="J1741">
        <v>16</v>
      </c>
      <c r="K1741">
        <v>0.68</v>
      </c>
      <c r="L1741" t="s">
        <v>12</v>
      </c>
    </row>
    <row r="1742" spans="1:12" x14ac:dyDescent="0.3">
      <c r="A1742">
        <v>53</v>
      </c>
      <c r="B1742">
        <v>2021</v>
      </c>
      <c r="C1742">
        <v>0.94</v>
      </c>
      <c r="D1742">
        <v>0.68</v>
      </c>
      <c r="E1742">
        <v>0.66</v>
      </c>
      <c r="F1742">
        <v>0.91</v>
      </c>
      <c r="G1742">
        <v>0.31</v>
      </c>
      <c r="H1742">
        <v>0.43</v>
      </c>
      <c r="I1742">
        <v>398</v>
      </c>
      <c r="J1742">
        <v>11</v>
      </c>
      <c r="K1742">
        <v>0.75</v>
      </c>
      <c r="L1742" t="s">
        <v>13</v>
      </c>
    </row>
    <row r="1743" spans="1:12" x14ac:dyDescent="0.3">
      <c r="A1743">
        <v>55</v>
      </c>
      <c r="B1743">
        <v>2022</v>
      </c>
      <c r="C1743">
        <v>0.57999999999999996</v>
      </c>
      <c r="D1743">
        <v>0.56000000000000005</v>
      </c>
      <c r="E1743">
        <v>0.5</v>
      </c>
      <c r="F1743">
        <v>0.89</v>
      </c>
      <c r="G1743">
        <v>0.88</v>
      </c>
      <c r="H1743">
        <v>0.4</v>
      </c>
      <c r="I1743">
        <v>249</v>
      </c>
      <c r="J1743">
        <v>9</v>
      </c>
      <c r="K1743">
        <v>0.64</v>
      </c>
      <c r="L1743" t="s">
        <v>12</v>
      </c>
    </row>
    <row r="1744" spans="1:12" x14ac:dyDescent="0.3">
      <c r="A1744">
        <v>51</v>
      </c>
      <c r="B1744">
        <v>2023</v>
      </c>
      <c r="C1744">
        <v>0.74</v>
      </c>
      <c r="D1744">
        <v>0.41</v>
      </c>
      <c r="E1744">
        <v>0.74</v>
      </c>
      <c r="F1744">
        <v>0.86</v>
      </c>
      <c r="G1744">
        <v>0.94</v>
      </c>
      <c r="H1744">
        <v>0.38</v>
      </c>
      <c r="I1744">
        <v>375</v>
      </c>
      <c r="J1744">
        <v>5</v>
      </c>
      <c r="K1744">
        <v>0.7</v>
      </c>
      <c r="L1744" t="s">
        <v>12</v>
      </c>
    </row>
    <row r="1745" spans="1:12" x14ac:dyDescent="0.3">
      <c r="A1745">
        <v>97</v>
      </c>
      <c r="B1745">
        <v>2024</v>
      </c>
      <c r="C1745">
        <v>0.95</v>
      </c>
      <c r="D1745">
        <v>0.64</v>
      </c>
      <c r="E1745">
        <v>0.66</v>
      </c>
      <c r="F1745">
        <v>0.95</v>
      </c>
      <c r="G1745">
        <v>0.33</v>
      </c>
      <c r="H1745">
        <v>0.14000000000000001</v>
      </c>
      <c r="I1745">
        <v>303</v>
      </c>
      <c r="J1745">
        <v>0</v>
      </c>
      <c r="K1745">
        <v>0.75</v>
      </c>
      <c r="L1745" t="s">
        <v>13</v>
      </c>
    </row>
    <row r="1746" spans="1:12" x14ac:dyDescent="0.3">
      <c r="A1746">
        <v>72</v>
      </c>
      <c r="B1746">
        <v>2023</v>
      </c>
      <c r="C1746">
        <v>0.31</v>
      </c>
      <c r="D1746">
        <v>0.92</v>
      </c>
      <c r="E1746">
        <v>0.73</v>
      </c>
      <c r="F1746">
        <v>0.6</v>
      </c>
      <c r="G1746">
        <v>0.57999999999999996</v>
      </c>
      <c r="H1746">
        <v>0.19</v>
      </c>
      <c r="I1746">
        <v>281</v>
      </c>
      <c r="J1746">
        <v>15</v>
      </c>
      <c r="K1746">
        <v>0.62</v>
      </c>
      <c r="L1746" t="s">
        <v>12</v>
      </c>
    </row>
    <row r="1747" spans="1:12" x14ac:dyDescent="0.3">
      <c r="A1747">
        <v>94</v>
      </c>
      <c r="B1747">
        <v>2025</v>
      </c>
      <c r="C1747">
        <v>0.33</v>
      </c>
      <c r="D1747">
        <v>0.79</v>
      </c>
      <c r="E1747">
        <v>0.92</v>
      </c>
      <c r="F1747">
        <v>0.89</v>
      </c>
      <c r="G1747">
        <v>0.88</v>
      </c>
      <c r="H1747">
        <v>0.2</v>
      </c>
      <c r="I1747">
        <v>282</v>
      </c>
      <c r="J1747">
        <v>0</v>
      </c>
      <c r="K1747">
        <v>0.7</v>
      </c>
      <c r="L1747" t="s">
        <v>12</v>
      </c>
    </row>
    <row r="1748" spans="1:12" x14ac:dyDescent="0.3">
      <c r="A1748">
        <v>28</v>
      </c>
      <c r="B1748">
        <v>2021</v>
      </c>
      <c r="C1748">
        <v>0.8</v>
      </c>
      <c r="D1748">
        <v>0.75</v>
      </c>
      <c r="E1748">
        <v>0.95</v>
      </c>
      <c r="F1748">
        <v>0.93</v>
      </c>
      <c r="G1748">
        <v>0.8</v>
      </c>
      <c r="H1748">
        <v>0.03</v>
      </c>
      <c r="I1748">
        <v>225</v>
      </c>
      <c r="J1748">
        <v>4</v>
      </c>
      <c r="K1748">
        <v>0.84</v>
      </c>
      <c r="L1748" t="s">
        <v>13</v>
      </c>
    </row>
    <row r="1749" spans="1:12" x14ac:dyDescent="0.3">
      <c r="A1749">
        <v>21</v>
      </c>
      <c r="B1749">
        <v>2021</v>
      </c>
      <c r="C1749">
        <v>0.67</v>
      </c>
      <c r="D1749">
        <v>0.59</v>
      </c>
      <c r="E1749">
        <v>0.56999999999999995</v>
      </c>
      <c r="F1749">
        <v>0.82</v>
      </c>
      <c r="G1749">
        <v>0.5</v>
      </c>
      <c r="H1749">
        <v>0.23</v>
      </c>
      <c r="I1749">
        <v>123</v>
      </c>
      <c r="J1749">
        <v>8</v>
      </c>
      <c r="K1749">
        <v>0.64</v>
      </c>
      <c r="L1749" t="s">
        <v>12</v>
      </c>
    </row>
    <row r="1750" spans="1:12" x14ac:dyDescent="0.3">
      <c r="A1750">
        <v>45</v>
      </c>
      <c r="B1750">
        <v>2023</v>
      </c>
      <c r="C1750">
        <v>0.78</v>
      </c>
      <c r="D1750">
        <v>0.77</v>
      </c>
      <c r="E1750">
        <v>0.57999999999999996</v>
      </c>
      <c r="F1750">
        <v>0.94</v>
      </c>
      <c r="G1750">
        <v>0.44</v>
      </c>
      <c r="H1750">
        <v>0.93</v>
      </c>
      <c r="I1750">
        <v>210</v>
      </c>
      <c r="J1750">
        <v>6</v>
      </c>
      <c r="K1750">
        <v>0.73</v>
      </c>
      <c r="L1750" t="s">
        <v>13</v>
      </c>
    </row>
    <row r="1751" spans="1:12" x14ac:dyDescent="0.3">
      <c r="A1751">
        <v>15</v>
      </c>
      <c r="B1751">
        <v>2022</v>
      </c>
      <c r="C1751">
        <v>0.42</v>
      </c>
      <c r="D1751">
        <v>0.72</v>
      </c>
      <c r="E1751">
        <v>0.68</v>
      </c>
      <c r="F1751">
        <v>0.65</v>
      </c>
      <c r="G1751">
        <v>0.33</v>
      </c>
      <c r="H1751">
        <v>0.56000000000000005</v>
      </c>
      <c r="I1751">
        <v>143</v>
      </c>
      <c r="J1751">
        <v>7</v>
      </c>
      <c r="K1751">
        <v>0.56999999999999995</v>
      </c>
      <c r="L1751" t="s">
        <v>12</v>
      </c>
    </row>
    <row r="1752" spans="1:12" x14ac:dyDescent="0.3">
      <c r="A1752">
        <v>88</v>
      </c>
      <c r="B1752">
        <v>2023</v>
      </c>
      <c r="C1752">
        <v>0.54</v>
      </c>
      <c r="D1752">
        <v>0.43</v>
      </c>
      <c r="E1752">
        <v>0.7</v>
      </c>
      <c r="F1752">
        <v>0.65</v>
      </c>
      <c r="G1752">
        <v>0.54</v>
      </c>
      <c r="H1752">
        <v>0.79</v>
      </c>
      <c r="I1752">
        <v>355</v>
      </c>
      <c r="J1752">
        <v>12</v>
      </c>
      <c r="K1752">
        <v>0.56000000000000005</v>
      </c>
      <c r="L1752" t="s">
        <v>12</v>
      </c>
    </row>
    <row r="1753" spans="1:12" x14ac:dyDescent="0.3">
      <c r="A1753">
        <v>39</v>
      </c>
      <c r="B1753">
        <v>2024</v>
      </c>
      <c r="C1753">
        <v>0.73</v>
      </c>
      <c r="D1753">
        <v>0.5</v>
      </c>
      <c r="E1753">
        <v>0.54</v>
      </c>
      <c r="F1753">
        <v>0.87</v>
      </c>
      <c r="G1753">
        <v>0.94</v>
      </c>
      <c r="H1753">
        <v>0.46</v>
      </c>
      <c r="I1753">
        <v>354</v>
      </c>
      <c r="J1753">
        <v>2</v>
      </c>
      <c r="K1753">
        <v>0.68</v>
      </c>
      <c r="L1753" t="s">
        <v>12</v>
      </c>
    </row>
    <row r="1754" spans="1:12" x14ac:dyDescent="0.3">
      <c r="A1754">
        <v>87</v>
      </c>
      <c r="B1754">
        <v>2025</v>
      </c>
      <c r="C1754">
        <v>0.81</v>
      </c>
      <c r="D1754">
        <v>0.67</v>
      </c>
      <c r="E1754">
        <v>0.53</v>
      </c>
      <c r="F1754">
        <v>0.92</v>
      </c>
      <c r="G1754">
        <v>0.32</v>
      </c>
      <c r="H1754">
        <v>0.7</v>
      </c>
      <c r="I1754">
        <v>106</v>
      </c>
      <c r="J1754">
        <v>13</v>
      </c>
      <c r="K1754">
        <v>0.69</v>
      </c>
      <c r="L1754" t="s">
        <v>12</v>
      </c>
    </row>
    <row r="1755" spans="1:12" x14ac:dyDescent="0.3">
      <c r="A1755">
        <v>52</v>
      </c>
      <c r="B1755">
        <v>2024</v>
      </c>
      <c r="C1755">
        <v>0.79</v>
      </c>
      <c r="D1755">
        <v>0.9</v>
      </c>
      <c r="E1755">
        <v>0.52</v>
      </c>
      <c r="F1755">
        <v>0.73</v>
      </c>
      <c r="G1755">
        <v>0.97</v>
      </c>
      <c r="H1755">
        <v>0.95</v>
      </c>
      <c r="I1755">
        <v>389</v>
      </c>
      <c r="J1755">
        <v>1</v>
      </c>
      <c r="K1755">
        <v>0.77</v>
      </c>
      <c r="L1755" t="s">
        <v>13</v>
      </c>
    </row>
    <row r="1756" spans="1:12" x14ac:dyDescent="0.3">
      <c r="A1756">
        <v>27</v>
      </c>
      <c r="B1756">
        <v>2022</v>
      </c>
      <c r="C1756">
        <v>0.64</v>
      </c>
      <c r="D1756">
        <v>0.74</v>
      </c>
      <c r="E1756">
        <v>0.57999999999999996</v>
      </c>
      <c r="F1756">
        <v>0.96</v>
      </c>
      <c r="G1756">
        <v>0.46</v>
      </c>
      <c r="H1756">
        <v>0.19</v>
      </c>
      <c r="I1756">
        <v>272</v>
      </c>
      <c r="J1756">
        <v>9</v>
      </c>
      <c r="K1756">
        <v>0.68</v>
      </c>
      <c r="L1756" t="s">
        <v>12</v>
      </c>
    </row>
    <row r="1757" spans="1:12" x14ac:dyDescent="0.3">
      <c r="A1757">
        <v>4</v>
      </c>
      <c r="B1757">
        <v>2024</v>
      </c>
      <c r="C1757">
        <v>0.42</v>
      </c>
      <c r="D1757">
        <v>0.89</v>
      </c>
      <c r="E1757">
        <v>0.68</v>
      </c>
      <c r="F1757">
        <v>0.72</v>
      </c>
      <c r="G1757">
        <v>0.88</v>
      </c>
      <c r="H1757">
        <v>0.64</v>
      </c>
      <c r="I1757">
        <v>232</v>
      </c>
      <c r="J1757">
        <v>17</v>
      </c>
      <c r="K1757">
        <v>0.68</v>
      </c>
      <c r="L1757" t="s">
        <v>12</v>
      </c>
    </row>
    <row r="1758" spans="1:12" x14ac:dyDescent="0.3">
      <c r="A1758">
        <v>65</v>
      </c>
      <c r="B1758">
        <v>2021</v>
      </c>
      <c r="C1758">
        <v>0.94</v>
      </c>
      <c r="D1758">
        <v>0.87</v>
      </c>
      <c r="E1758">
        <v>0.78</v>
      </c>
      <c r="F1758">
        <v>0.63</v>
      </c>
      <c r="G1758">
        <v>0.76</v>
      </c>
      <c r="H1758">
        <v>0.53</v>
      </c>
      <c r="I1758">
        <v>418</v>
      </c>
      <c r="J1758">
        <v>1</v>
      </c>
      <c r="K1758">
        <v>0.83</v>
      </c>
      <c r="L1758" t="s">
        <v>13</v>
      </c>
    </row>
    <row r="1759" spans="1:12" x14ac:dyDescent="0.3">
      <c r="A1759">
        <v>51</v>
      </c>
      <c r="B1759">
        <v>2024</v>
      </c>
      <c r="C1759">
        <v>0.54</v>
      </c>
      <c r="D1759">
        <v>0.63</v>
      </c>
      <c r="E1759">
        <v>0.84</v>
      </c>
      <c r="F1759">
        <v>0.8</v>
      </c>
      <c r="G1759">
        <v>0.36</v>
      </c>
      <c r="H1759">
        <v>0.39</v>
      </c>
      <c r="I1759">
        <v>168</v>
      </c>
      <c r="J1759">
        <v>1</v>
      </c>
      <c r="K1759">
        <v>0.64</v>
      </c>
      <c r="L1759" t="s">
        <v>12</v>
      </c>
    </row>
    <row r="1760" spans="1:12" x14ac:dyDescent="0.3">
      <c r="A1760">
        <v>8</v>
      </c>
      <c r="B1760">
        <v>2022</v>
      </c>
      <c r="C1760">
        <v>0.43</v>
      </c>
      <c r="D1760">
        <v>0.6</v>
      </c>
      <c r="E1760">
        <v>0.77</v>
      </c>
      <c r="F1760">
        <v>0.97</v>
      </c>
      <c r="G1760">
        <v>0.68</v>
      </c>
      <c r="H1760">
        <v>0.71</v>
      </c>
      <c r="I1760">
        <v>101</v>
      </c>
      <c r="J1760">
        <v>11</v>
      </c>
      <c r="K1760">
        <v>0.65</v>
      </c>
      <c r="L1760" t="s">
        <v>12</v>
      </c>
    </row>
    <row r="1761" spans="1:12" x14ac:dyDescent="0.3">
      <c r="A1761">
        <v>62</v>
      </c>
      <c r="B1761">
        <v>2025</v>
      </c>
      <c r="C1761">
        <v>0.87</v>
      </c>
      <c r="D1761">
        <v>0.64</v>
      </c>
      <c r="E1761">
        <v>0.51</v>
      </c>
      <c r="F1761">
        <v>0.62</v>
      </c>
      <c r="G1761">
        <v>0.9</v>
      </c>
      <c r="H1761">
        <v>0.96</v>
      </c>
      <c r="I1761">
        <v>106</v>
      </c>
      <c r="J1761">
        <v>18</v>
      </c>
      <c r="K1761">
        <v>0.71</v>
      </c>
      <c r="L1761" t="s">
        <v>13</v>
      </c>
    </row>
    <row r="1762" spans="1:12" x14ac:dyDescent="0.3">
      <c r="A1762">
        <v>67</v>
      </c>
      <c r="B1762">
        <v>2022</v>
      </c>
      <c r="C1762">
        <v>0.56000000000000005</v>
      </c>
      <c r="D1762">
        <v>0.79</v>
      </c>
      <c r="E1762">
        <v>0.62</v>
      </c>
      <c r="F1762">
        <v>0.82</v>
      </c>
      <c r="G1762">
        <v>0.85</v>
      </c>
      <c r="H1762">
        <v>0.87</v>
      </c>
      <c r="I1762">
        <v>137</v>
      </c>
      <c r="J1762">
        <v>14</v>
      </c>
      <c r="K1762">
        <v>0.7</v>
      </c>
      <c r="L1762" t="s">
        <v>12</v>
      </c>
    </row>
    <row r="1763" spans="1:12" x14ac:dyDescent="0.3">
      <c r="A1763">
        <v>9</v>
      </c>
      <c r="B1763">
        <v>2024</v>
      </c>
      <c r="C1763">
        <v>0.63</v>
      </c>
      <c r="D1763">
        <v>0.45</v>
      </c>
      <c r="E1763">
        <v>0.53</v>
      </c>
      <c r="F1763">
        <v>0.75</v>
      </c>
      <c r="G1763">
        <v>0.62</v>
      </c>
      <c r="H1763">
        <v>0.61</v>
      </c>
      <c r="I1763">
        <v>58</v>
      </c>
      <c r="J1763">
        <v>8</v>
      </c>
      <c r="K1763">
        <v>0.57999999999999996</v>
      </c>
      <c r="L1763" t="s">
        <v>12</v>
      </c>
    </row>
    <row r="1764" spans="1:12" x14ac:dyDescent="0.3">
      <c r="A1764">
        <v>60</v>
      </c>
      <c r="B1764">
        <v>2023</v>
      </c>
      <c r="C1764">
        <v>0.34</v>
      </c>
      <c r="D1764">
        <v>0.94</v>
      </c>
      <c r="E1764">
        <v>0.9</v>
      </c>
      <c r="F1764">
        <v>0.69</v>
      </c>
      <c r="G1764">
        <v>0.56999999999999995</v>
      </c>
      <c r="H1764">
        <v>0.27</v>
      </c>
      <c r="I1764">
        <v>173</v>
      </c>
      <c r="J1764">
        <v>5</v>
      </c>
      <c r="K1764">
        <v>0.68</v>
      </c>
      <c r="L1764" t="s">
        <v>12</v>
      </c>
    </row>
    <row r="1765" spans="1:12" x14ac:dyDescent="0.3">
      <c r="A1765">
        <v>47</v>
      </c>
      <c r="B1765">
        <v>2024</v>
      </c>
      <c r="C1765">
        <v>0.85</v>
      </c>
      <c r="D1765">
        <v>0.67</v>
      </c>
      <c r="E1765">
        <v>0.6</v>
      </c>
      <c r="F1765">
        <v>0.68</v>
      </c>
      <c r="G1765">
        <v>0.41</v>
      </c>
      <c r="H1765">
        <v>0.55000000000000004</v>
      </c>
      <c r="I1765">
        <v>312</v>
      </c>
      <c r="J1765">
        <v>5</v>
      </c>
      <c r="K1765">
        <v>0.69</v>
      </c>
      <c r="L1765" t="s">
        <v>12</v>
      </c>
    </row>
    <row r="1766" spans="1:12" x14ac:dyDescent="0.3">
      <c r="A1766">
        <v>22</v>
      </c>
      <c r="B1766">
        <v>2022</v>
      </c>
      <c r="C1766">
        <v>0.59</v>
      </c>
      <c r="D1766">
        <v>0.57999999999999996</v>
      </c>
      <c r="E1766">
        <v>0.52</v>
      </c>
      <c r="F1766">
        <v>0.9</v>
      </c>
      <c r="G1766">
        <v>0.82</v>
      </c>
      <c r="H1766">
        <v>0.67</v>
      </c>
      <c r="I1766">
        <v>314</v>
      </c>
      <c r="J1766">
        <v>1</v>
      </c>
      <c r="K1766">
        <v>0.64</v>
      </c>
      <c r="L1766" t="s">
        <v>12</v>
      </c>
    </row>
    <row r="1767" spans="1:12" x14ac:dyDescent="0.3">
      <c r="A1767">
        <v>80</v>
      </c>
      <c r="B1767">
        <v>2022</v>
      </c>
      <c r="C1767">
        <v>0.64</v>
      </c>
      <c r="D1767">
        <v>0.57999999999999996</v>
      </c>
      <c r="E1767">
        <v>0.55000000000000004</v>
      </c>
      <c r="F1767">
        <v>0.63</v>
      </c>
      <c r="G1767">
        <v>0.54</v>
      </c>
      <c r="H1767">
        <v>0.8</v>
      </c>
      <c r="I1767">
        <v>270</v>
      </c>
      <c r="J1767">
        <v>16</v>
      </c>
      <c r="K1767">
        <v>0.6</v>
      </c>
      <c r="L1767" t="s">
        <v>12</v>
      </c>
    </row>
    <row r="1768" spans="1:12" x14ac:dyDescent="0.3">
      <c r="A1768">
        <v>68</v>
      </c>
      <c r="B1768">
        <v>2025</v>
      </c>
      <c r="C1768">
        <v>0.94</v>
      </c>
      <c r="D1768">
        <v>0.94</v>
      </c>
      <c r="E1768">
        <v>0.76</v>
      </c>
      <c r="F1768">
        <v>0.69</v>
      </c>
      <c r="G1768">
        <v>0.86</v>
      </c>
      <c r="H1768">
        <v>0.21</v>
      </c>
      <c r="I1768">
        <v>103</v>
      </c>
      <c r="J1768">
        <v>13</v>
      </c>
      <c r="K1768">
        <v>0.86</v>
      </c>
      <c r="L1768" t="s">
        <v>13</v>
      </c>
    </row>
    <row r="1769" spans="1:12" x14ac:dyDescent="0.3">
      <c r="A1769">
        <v>10</v>
      </c>
      <c r="B1769">
        <v>2024</v>
      </c>
      <c r="C1769">
        <v>0.43</v>
      </c>
      <c r="D1769">
        <v>0.97</v>
      </c>
      <c r="E1769">
        <v>0.87</v>
      </c>
      <c r="F1769">
        <v>0.89</v>
      </c>
      <c r="G1769">
        <v>0.35</v>
      </c>
      <c r="H1769">
        <v>0.9</v>
      </c>
      <c r="I1769">
        <v>52</v>
      </c>
      <c r="J1769">
        <v>2</v>
      </c>
      <c r="K1769">
        <v>0.71</v>
      </c>
      <c r="L1769" t="s">
        <v>13</v>
      </c>
    </row>
    <row r="1770" spans="1:12" x14ac:dyDescent="0.3">
      <c r="A1770">
        <v>13</v>
      </c>
      <c r="B1770">
        <v>2022</v>
      </c>
      <c r="C1770">
        <v>0.97</v>
      </c>
      <c r="D1770">
        <v>0.46</v>
      </c>
      <c r="E1770">
        <v>0.74</v>
      </c>
      <c r="F1770">
        <v>0.62</v>
      </c>
      <c r="G1770">
        <v>0.65</v>
      </c>
      <c r="H1770">
        <v>0.25</v>
      </c>
      <c r="I1770">
        <v>346</v>
      </c>
      <c r="J1770">
        <v>5</v>
      </c>
      <c r="K1770">
        <v>0.71</v>
      </c>
      <c r="L1770" t="s">
        <v>13</v>
      </c>
    </row>
    <row r="1771" spans="1:12" x14ac:dyDescent="0.3">
      <c r="A1771">
        <v>33</v>
      </c>
      <c r="B1771">
        <v>2025</v>
      </c>
      <c r="C1771">
        <v>0.74</v>
      </c>
      <c r="D1771">
        <v>0.92</v>
      </c>
      <c r="E1771">
        <v>0.99</v>
      </c>
      <c r="F1771">
        <v>0.8</v>
      </c>
      <c r="G1771">
        <v>0.62</v>
      </c>
      <c r="H1771">
        <v>0.08</v>
      </c>
      <c r="I1771">
        <v>59</v>
      </c>
      <c r="J1771">
        <v>11</v>
      </c>
      <c r="K1771">
        <v>0.83</v>
      </c>
      <c r="L1771" t="s">
        <v>13</v>
      </c>
    </row>
    <row r="1772" spans="1:12" x14ac:dyDescent="0.3">
      <c r="A1772">
        <v>2</v>
      </c>
      <c r="B1772">
        <v>2023</v>
      </c>
      <c r="C1772">
        <v>0.56999999999999995</v>
      </c>
      <c r="D1772">
        <v>0.4</v>
      </c>
      <c r="E1772">
        <v>0.81</v>
      </c>
      <c r="F1772">
        <v>0.77</v>
      </c>
      <c r="G1772">
        <v>0.39</v>
      </c>
      <c r="H1772">
        <v>0.3</v>
      </c>
      <c r="I1772">
        <v>179</v>
      </c>
      <c r="J1772">
        <v>15</v>
      </c>
      <c r="K1772">
        <v>0.59</v>
      </c>
      <c r="L1772" t="s">
        <v>12</v>
      </c>
    </row>
    <row r="1773" spans="1:12" x14ac:dyDescent="0.3">
      <c r="A1773">
        <v>27</v>
      </c>
      <c r="B1773">
        <v>2022</v>
      </c>
      <c r="C1773">
        <v>0.62</v>
      </c>
      <c r="D1773">
        <v>0.88</v>
      </c>
      <c r="E1773">
        <v>0.56000000000000005</v>
      </c>
      <c r="F1773">
        <v>0.63</v>
      </c>
      <c r="G1773">
        <v>0.33</v>
      </c>
      <c r="H1773">
        <v>0.54</v>
      </c>
      <c r="I1773">
        <v>489</v>
      </c>
      <c r="J1773">
        <v>17</v>
      </c>
      <c r="K1773">
        <v>0.65</v>
      </c>
      <c r="L1773" t="s">
        <v>12</v>
      </c>
    </row>
    <row r="1774" spans="1:12" x14ac:dyDescent="0.3">
      <c r="A1774">
        <v>95</v>
      </c>
      <c r="B1774">
        <v>2025</v>
      </c>
      <c r="C1774">
        <v>0.78</v>
      </c>
      <c r="D1774">
        <v>0.73</v>
      </c>
      <c r="E1774">
        <v>0.78</v>
      </c>
      <c r="F1774">
        <v>0.89</v>
      </c>
      <c r="G1774">
        <v>0.49</v>
      </c>
      <c r="H1774">
        <v>0.35</v>
      </c>
      <c r="I1774">
        <v>119</v>
      </c>
      <c r="J1774">
        <v>17</v>
      </c>
      <c r="K1774">
        <v>0.76</v>
      </c>
      <c r="L1774" t="s">
        <v>13</v>
      </c>
    </row>
    <row r="1775" spans="1:12" x14ac:dyDescent="0.3">
      <c r="A1775">
        <v>49</v>
      </c>
      <c r="B1775">
        <v>2024</v>
      </c>
      <c r="C1775">
        <v>0.68</v>
      </c>
      <c r="D1775">
        <v>0.82</v>
      </c>
      <c r="E1775">
        <v>1</v>
      </c>
      <c r="F1775">
        <v>0.77</v>
      </c>
      <c r="G1775">
        <v>0.6</v>
      </c>
      <c r="H1775">
        <v>0.84</v>
      </c>
      <c r="I1775">
        <v>483</v>
      </c>
      <c r="J1775">
        <v>2</v>
      </c>
      <c r="K1775">
        <v>0.78</v>
      </c>
      <c r="L1775" t="s">
        <v>13</v>
      </c>
    </row>
    <row r="1776" spans="1:12" x14ac:dyDescent="0.3">
      <c r="A1776">
        <v>99</v>
      </c>
      <c r="B1776">
        <v>2025</v>
      </c>
      <c r="C1776">
        <v>0.63</v>
      </c>
      <c r="D1776">
        <v>0.83</v>
      </c>
      <c r="E1776">
        <v>0.67</v>
      </c>
      <c r="F1776">
        <v>0.85</v>
      </c>
      <c r="G1776">
        <v>0.65</v>
      </c>
      <c r="H1776">
        <v>0.37</v>
      </c>
      <c r="I1776">
        <v>234</v>
      </c>
      <c r="J1776">
        <v>4</v>
      </c>
      <c r="K1776">
        <v>0.72</v>
      </c>
      <c r="L1776" t="s">
        <v>13</v>
      </c>
    </row>
    <row r="1777" spans="1:12" x14ac:dyDescent="0.3">
      <c r="A1777">
        <v>83</v>
      </c>
      <c r="B1777">
        <v>2025</v>
      </c>
      <c r="C1777">
        <v>0.44</v>
      </c>
      <c r="D1777">
        <v>0.92</v>
      </c>
      <c r="E1777">
        <v>0.63</v>
      </c>
      <c r="F1777">
        <v>0.85</v>
      </c>
      <c r="G1777">
        <v>0.42</v>
      </c>
      <c r="H1777">
        <v>0.4</v>
      </c>
      <c r="I1777">
        <v>497</v>
      </c>
      <c r="J1777">
        <v>15</v>
      </c>
      <c r="K1777">
        <v>0.66</v>
      </c>
      <c r="L1777" t="s">
        <v>12</v>
      </c>
    </row>
    <row r="1778" spans="1:12" x14ac:dyDescent="0.3">
      <c r="A1778">
        <v>4</v>
      </c>
      <c r="B1778">
        <v>2021</v>
      </c>
      <c r="C1778">
        <v>0.44</v>
      </c>
      <c r="D1778">
        <v>0.65</v>
      </c>
      <c r="E1778">
        <v>0.77</v>
      </c>
      <c r="F1778">
        <v>0.83</v>
      </c>
      <c r="G1778">
        <v>0.72</v>
      </c>
      <c r="H1778">
        <v>0.64</v>
      </c>
      <c r="I1778">
        <v>102</v>
      </c>
      <c r="J1778">
        <v>11</v>
      </c>
      <c r="K1778">
        <v>0.64</v>
      </c>
      <c r="L1778" t="s">
        <v>12</v>
      </c>
    </row>
    <row r="1779" spans="1:12" x14ac:dyDescent="0.3">
      <c r="A1779">
        <v>25</v>
      </c>
      <c r="B1779">
        <v>2023</v>
      </c>
      <c r="C1779">
        <v>0.33</v>
      </c>
      <c r="D1779">
        <v>0.86</v>
      </c>
      <c r="E1779">
        <v>0.92</v>
      </c>
      <c r="F1779">
        <v>0.68</v>
      </c>
      <c r="G1779">
        <v>0.44</v>
      </c>
      <c r="H1779">
        <v>0.04</v>
      </c>
      <c r="I1779">
        <v>296</v>
      </c>
      <c r="J1779">
        <v>3</v>
      </c>
      <c r="K1779">
        <v>0.64</v>
      </c>
      <c r="L1779" t="s">
        <v>12</v>
      </c>
    </row>
    <row r="1780" spans="1:12" x14ac:dyDescent="0.3">
      <c r="A1780">
        <v>93</v>
      </c>
      <c r="B1780">
        <v>2021</v>
      </c>
      <c r="C1780">
        <v>0.56000000000000005</v>
      </c>
      <c r="D1780">
        <v>0.57999999999999996</v>
      </c>
      <c r="E1780">
        <v>0.55000000000000004</v>
      </c>
      <c r="F1780">
        <v>0.8</v>
      </c>
      <c r="G1780">
        <v>0.56999999999999995</v>
      </c>
      <c r="H1780">
        <v>0.69</v>
      </c>
      <c r="I1780">
        <v>133</v>
      </c>
      <c r="J1780">
        <v>15</v>
      </c>
      <c r="K1780">
        <v>0.6</v>
      </c>
      <c r="L1780" t="s">
        <v>12</v>
      </c>
    </row>
    <row r="1781" spans="1:12" x14ac:dyDescent="0.3">
      <c r="A1781">
        <v>66</v>
      </c>
      <c r="B1781">
        <v>2021</v>
      </c>
      <c r="C1781">
        <v>0.73</v>
      </c>
      <c r="D1781">
        <v>0.43</v>
      </c>
      <c r="E1781">
        <v>0.81</v>
      </c>
      <c r="F1781">
        <v>0.87</v>
      </c>
      <c r="G1781">
        <v>0.44</v>
      </c>
      <c r="H1781">
        <v>0.82</v>
      </c>
      <c r="I1781">
        <v>58</v>
      </c>
      <c r="J1781">
        <v>4</v>
      </c>
      <c r="K1781">
        <v>0.66</v>
      </c>
      <c r="L1781" t="s">
        <v>12</v>
      </c>
    </row>
    <row r="1782" spans="1:12" x14ac:dyDescent="0.3">
      <c r="A1782">
        <v>24</v>
      </c>
      <c r="B1782">
        <v>2023</v>
      </c>
      <c r="C1782">
        <v>0.51</v>
      </c>
      <c r="D1782">
        <v>0.56999999999999995</v>
      </c>
      <c r="E1782">
        <v>0.93</v>
      </c>
      <c r="F1782">
        <v>0.6</v>
      </c>
      <c r="G1782">
        <v>0.44</v>
      </c>
      <c r="H1782">
        <v>0.59</v>
      </c>
      <c r="I1782">
        <v>444</v>
      </c>
      <c r="J1782">
        <v>5</v>
      </c>
      <c r="K1782">
        <v>0.62</v>
      </c>
      <c r="L1782" t="s">
        <v>12</v>
      </c>
    </row>
    <row r="1783" spans="1:12" x14ac:dyDescent="0.3">
      <c r="A1783">
        <v>70</v>
      </c>
      <c r="B1783">
        <v>2025</v>
      </c>
      <c r="C1783">
        <v>0.95</v>
      </c>
      <c r="D1783">
        <v>0.47</v>
      </c>
      <c r="E1783">
        <v>0.62</v>
      </c>
      <c r="F1783">
        <v>0.96</v>
      </c>
      <c r="G1783">
        <v>0.42</v>
      </c>
      <c r="H1783">
        <v>0.68</v>
      </c>
      <c r="I1783">
        <v>125</v>
      </c>
      <c r="J1783">
        <v>5</v>
      </c>
      <c r="K1783">
        <v>0.71</v>
      </c>
      <c r="L1783" t="s">
        <v>13</v>
      </c>
    </row>
    <row r="1784" spans="1:12" x14ac:dyDescent="0.3">
      <c r="A1784">
        <v>11</v>
      </c>
      <c r="B1784">
        <v>2023</v>
      </c>
      <c r="C1784">
        <v>0.72</v>
      </c>
      <c r="D1784">
        <v>0.47</v>
      </c>
      <c r="E1784">
        <v>0.77</v>
      </c>
      <c r="F1784">
        <v>0.6</v>
      </c>
      <c r="G1784">
        <v>0.65</v>
      </c>
      <c r="H1784">
        <v>0.7</v>
      </c>
      <c r="I1784">
        <v>169</v>
      </c>
      <c r="J1784">
        <v>0</v>
      </c>
      <c r="K1784">
        <v>0.64</v>
      </c>
      <c r="L1784" t="s">
        <v>12</v>
      </c>
    </row>
    <row r="1785" spans="1:12" x14ac:dyDescent="0.3">
      <c r="A1785">
        <v>58</v>
      </c>
      <c r="B1785">
        <v>2022</v>
      </c>
      <c r="C1785">
        <v>0.6</v>
      </c>
      <c r="D1785">
        <v>0.65</v>
      </c>
      <c r="E1785">
        <v>0.52</v>
      </c>
      <c r="F1785">
        <v>0.84</v>
      </c>
      <c r="G1785">
        <v>0.68</v>
      </c>
      <c r="H1785">
        <v>0.08</v>
      </c>
      <c r="I1785">
        <v>122</v>
      </c>
      <c r="J1785">
        <v>14</v>
      </c>
      <c r="K1785">
        <v>0.64</v>
      </c>
      <c r="L1785" t="s">
        <v>12</v>
      </c>
    </row>
    <row r="1786" spans="1:12" x14ac:dyDescent="0.3">
      <c r="A1786">
        <v>85</v>
      </c>
      <c r="B1786">
        <v>2024</v>
      </c>
      <c r="C1786">
        <v>0.9</v>
      </c>
      <c r="D1786">
        <v>0.4</v>
      </c>
      <c r="E1786">
        <v>0.94</v>
      </c>
      <c r="F1786">
        <v>0.61</v>
      </c>
      <c r="G1786">
        <v>0.83</v>
      </c>
      <c r="H1786">
        <v>0.36</v>
      </c>
      <c r="I1786">
        <v>211</v>
      </c>
      <c r="J1786">
        <v>10</v>
      </c>
      <c r="K1786">
        <v>0.73</v>
      </c>
      <c r="L1786" t="s">
        <v>13</v>
      </c>
    </row>
    <row r="1787" spans="1:12" x14ac:dyDescent="0.3">
      <c r="A1787">
        <v>10</v>
      </c>
      <c r="B1787">
        <v>2023</v>
      </c>
      <c r="C1787">
        <v>0.84</v>
      </c>
      <c r="D1787">
        <v>0.44</v>
      </c>
      <c r="E1787">
        <v>0.96</v>
      </c>
      <c r="F1787">
        <v>0.62</v>
      </c>
      <c r="G1787">
        <v>0.64</v>
      </c>
      <c r="H1787">
        <v>0.72</v>
      </c>
      <c r="I1787">
        <v>288</v>
      </c>
      <c r="J1787">
        <v>13</v>
      </c>
      <c r="K1787">
        <v>0.71</v>
      </c>
      <c r="L1787" t="s">
        <v>13</v>
      </c>
    </row>
    <row r="1788" spans="1:12" x14ac:dyDescent="0.3">
      <c r="A1788">
        <v>36</v>
      </c>
      <c r="B1788">
        <v>2022</v>
      </c>
      <c r="C1788">
        <v>0.43</v>
      </c>
      <c r="D1788">
        <v>0.62</v>
      </c>
      <c r="E1788">
        <v>0.69</v>
      </c>
      <c r="F1788">
        <v>0.79</v>
      </c>
      <c r="G1788">
        <v>0.72</v>
      </c>
      <c r="H1788">
        <v>0.56999999999999995</v>
      </c>
      <c r="I1788">
        <v>350</v>
      </c>
      <c r="J1788">
        <v>17</v>
      </c>
      <c r="K1788">
        <v>0.61</v>
      </c>
      <c r="L1788" t="s">
        <v>12</v>
      </c>
    </row>
    <row r="1789" spans="1:12" x14ac:dyDescent="0.3">
      <c r="A1789">
        <v>64</v>
      </c>
      <c r="B1789">
        <v>2022</v>
      </c>
      <c r="C1789">
        <v>0.6</v>
      </c>
      <c r="D1789">
        <v>0.64</v>
      </c>
      <c r="E1789">
        <v>0.86</v>
      </c>
      <c r="F1789">
        <v>0.97</v>
      </c>
      <c r="G1789">
        <v>0.77</v>
      </c>
      <c r="H1789">
        <v>0.47</v>
      </c>
      <c r="I1789">
        <v>206</v>
      </c>
      <c r="J1789">
        <v>8</v>
      </c>
      <c r="K1789">
        <v>0.73</v>
      </c>
      <c r="L1789" t="s">
        <v>13</v>
      </c>
    </row>
    <row r="1790" spans="1:12" x14ac:dyDescent="0.3">
      <c r="A1790">
        <v>20</v>
      </c>
      <c r="B1790">
        <v>2023</v>
      </c>
      <c r="C1790">
        <v>0.37</v>
      </c>
      <c r="D1790">
        <v>0.42</v>
      </c>
      <c r="E1790">
        <v>0.73</v>
      </c>
      <c r="F1790">
        <v>0.93</v>
      </c>
      <c r="G1790">
        <v>0.52</v>
      </c>
      <c r="H1790">
        <v>0.38</v>
      </c>
      <c r="I1790">
        <v>154</v>
      </c>
      <c r="J1790">
        <v>2</v>
      </c>
      <c r="K1790">
        <v>0.55000000000000004</v>
      </c>
      <c r="L1790" t="s">
        <v>12</v>
      </c>
    </row>
    <row r="1791" spans="1:12" x14ac:dyDescent="0.3">
      <c r="A1791">
        <v>36</v>
      </c>
      <c r="B1791">
        <v>2021</v>
      </c>
      <c r="C1791">
        <v>0.76</v>
      </c>
      <c r="D1791">
        <v>0.67</v>
      </c>
      <c r="E1791">
        <v>0.94</v>
      </c>
      <c r="F1791">
        <v>0.88</v>
      </c>
      <c r="G1791">
        <v>0.54</v>
      </c>
      <c r="H1791">
        <v>0.88</v>
      </c>
      <c r="I1791">
        <v>450</v>
      </c>
      <c r="J1791">
        <v>15</v>
      </c>
      <c r="K1791">
        <v>0.77</v>
      </c>
      <c r="L1791" t="s">
        <v>13</v>
      </c>
    </row>
    <row r="1792" spans="1:12" x14ac:dyDescent="0.3">
      <c r="A1792">
        <v>84</v>
      </c>
      <c r="B1792">
        <v>2023</v>
      </c>
      <c r="C1792">
        <v>0.76</v>
      </c>
      <c r="D1792">
        <v>0.85</v>
      </c>
      <c r="E1792">
        <v>0.73</v>
      </c>
      <c r="F1792">
        <v>0.63</v>
      </c>
      <c r="G1792">
        <v>0.84</v>
      </c>
      <c r="H1792">
        <v>0.05</v>
      </c>
      <c r="I1792">
        <v>298</v>
      </c>
      <c r="J1792">
        <v>8</v>
      </c>
      <c r="K1792">
        <v>0.76</v>
      </c>
      <c r="L1792" t="s">
        <v>13</v>
      </c>
    </row>
    <row r="1793" spans="1:12" x14ac:dyDescent="0.3">
      <c r="A1793">
        <v>3</v>
      </c>
      <c r="B1793">
        <v>2022</v>
      </c>
      <c r="C1793">
        <v>0.46</v>
      </c>
      <c r="D1793">
        <v>0.74</v>
      </c>
      <c r="E1793">
        <v>0.97</v>
      </c>
      <c r="F1793">
        <v>0.8</v>
      </c>
      <c r="G1793">
        <v>0.38</v>
      </c>
      <c r="H1793">
        <v>0.63</v>
      </c>
      <c r="I1793">
        <v>332</v>
      </c>
      <c r="J1793">
        <v>14</v>
      </c>
      <c r="K1793">
        <v>0.68</v>
      </c>
      <c r="L1793" t="s">
        <v>12</v>
      </c>
    </row>
    <row r="1794" spans="1:12" x14ac:dyDescent="0.3">
      <c r="A1794">
        <v>96</v>
      </c>
      <c r="B1794">
        <v>2024</v>
      </c>
      <c r="C1794">
        <v>0.53</v>
      </c>
      <c r="D1794">
        <v>0.87</v>
      </c>
      <c r="E1794">
        <v>0.67</v>
      </c>
      <c r="F1794">
        <v>0.7</v>
      </c>
      <c r="G1794">
        <v>0.92</v>
      </c>
      <c r="H1794">
        <v>0.55000000000000004</v>
      </c>
      <c r="I1794">
        <v>234</v>
      </c>
      <c r="J1794">
        <v>19</v>
      </c>
      <c r="K1794">
        <v>0.71</v>
      </c>
      <c r="L1794" t="s">
        <v>13</v>
      </c>
    </row>
    <row r="1795" spans="1:12" x14ac:dyDescent="0.3">
      <c r="A1795">
        <v>58</v>
      </c>
      <c r="B1795">
        <v>2023</v>
      </c>
      <c r="C1795">
        <v>0.78</v>
      </c>
      <c r="D1795">
        <v>0.53</v>
      </c>
      <c r="E1795">
        <v>0.81</v>
      </c>
      <c r="F1795">
        <v>0.95</v>
      </c>
      <c r="G1795">
        <v>0.79</v>
      </c>
      <c r="H1795">
        <v>0.24</v>
      </c>
      <c r="I1795">
        <v>197</v>
      </c>
      <c r="J1795">
        <v>16</v>
      </c>
      <c r="K1795">
        <v>0.75</v>
      </c>
      <c r="L1795" t="s">
        <v>13</v>
      </c>
    </row>
    <row r="1796" spans="1:12" x14ac:dyDescent="0.3">
      <c r="A1796">
        <v>74</v>
      </c>
      <c r="B1796">
        <v>2021</v>
      </c>
      <c r="C1796">
        <v>0.7</v>
      </c>
      <c r="D1796">
        <v>0.67</v>
      </c>
      <c r="E1796">
        <v>0.72</v>
      </c>
      <c r="F1796">
        <v>0.64</v>
      </c>
      <c r="G1796">
        <v>0.4</v>
      </c>
      <c r="H1796">
        <v>0.82</v>
      </c>
      <c r="I1796">
        <v>74</v>
      </c>
      <c r="J1796">
        <v>11</v>
      </c>
      <c r="K1796">
        <v>0.66</v>
      </c>
      <c r="L1796" t="s">
        <v>12</v>
      </c>
    </row>
    <row r="1797" spans="1:12" x14ac:dyDescent="0.3">
      <c r="A1797">
        <v>18</v>
      </c>
      <c r="B1797">
        <v>2025</v>
      </c>
      <c r="C1797">
        <v>0.73</v>
      </c>
      <c r="D1797">
        <v>0.83</v>
      </c>
      <c r="E1797">
        <v>0.69</v>
      </c>
      <c r="F1797">
        <v>0.87</v>
      </c>
      <c r="G1797">
        <v>0.8</v>
      </c>
      <c r="H1797">
        <v>0.94</v>
      </c>
      <c r="I1797">
        <v>332</v>
      </c>
      <c r="J1797">
        <v>9</v>
      </c>
      <c r="K1797">
        <v>0.78</v>
      </c>
      <c r="L1797" t="s">
        <v>13</v>
      </c>
    </row>
    <row r="1798" spans="1:12" x14ac:dyDescent="0.3">
      <c r="A1798">
        <v>83</v>
      </c>
      <c r="B1798">
        <v>2021</v>
      </c>
      <c r="C1798">
        <v>0.91</v>
      </c>
      <c r="D1798">
        <v>0.88</v>
      </c>
      <c r="E1798">
        <v>0.79</v>
      </c>
      <c r="F1798">
        <v>0.63</v>
      </c>
      <c r="G1798">
        <v>0.49</v>
      </c>
      <c r="H1798">
        <v>0.3</v>
      </c>
      <c r="I1798">
        <v>469</v>
      </c>
      <c r="J1798">
        <v>4</v>
      </c>
      <c r="K1798">
        <v>0.79</v>
      </c>
      <c r="L1798" t="s">
        <v>13</v>
      </c>
    </row>
    <row r="1799" spans="1:12" x14ac:dyDescent="0.3">
      <c r="A1799">
        <v>39</v>
      </c>
      <c r="B1799">
        <v>2025</v>
      </c>
      <c r="C1799">
        <v>0.42</v>
      </c>
      <c r="D1799">
        <v>0.92</v>
      </c>
      <c r="E1799">
        <v>0.75</v>
      </c>
      <c r="F1799">
        <v>0.7</v>
      </c>
      <c r="G1799">
        <v>0.78</v>
      </c>
      <c r="H1799">
        <v>0.89</v>
      </c>
      <c r="I1799">
        <v>464</v>
      </c>
      <c r="J1799">
        <v>16</v>
      </c>
      <c r="K1799">
        <v>0.69</v>
      </c>
      <c r="L1799" t="s">
        <v>12</v>
      </c>
    </row>
    <row r="1800" spans="1:12" x14ac:dyDescent="0.3">
      <c r="A1800">
        <v>87</v>
      </c>
      <c r="B1800">
        <v>2025</v>
      </c>
      <c r="C1800">
        <v>0.83</v>
      </c>
      <c r="D1800">
        <v>0.44</v>
      </c>
      <c r="E1800">
        <v>0.61</v>
      </c>
      <c r="F1800">
        <v>0.79</v>
      </c>
      <c r="G1800">
        <v>0.72</v>
      </c>
      <c r="H1800">
        <v>0.34</v>
      </c>
      <c r="I1800">
        <v>282</v>
      </c>
      <c r="J1800">
        <v>2</v>
      </c>
      <c r="K1800">
        <v>0.67</v>
      </c>
      <c r="L1800" t="s">
        <v>12</v>
      </c>
    </row>
    <row r="1801" spans="1:12" x14ac:dyDescent="0.3">
      <c r="A1801">
        <v>10</v>
      </c>
      <c r="B1801">
        <v>2021</v>
      </c>
      <c r="C1801">
        <v>0.4</v>
      </c>
      <c r="D1801">
        <v>0.67</v>
      </c>
      <c r="E1801">
        <v>0.59</v>
      </c>
      <c r="F1801">
        <v>0.86</v>
      </c>
      <c r="G1801">
        <v>0.41</v>
      </c>
      <c r="H1801">
        <v>0.9</v>
      </c>
      <c r="I1801">
        <v>373</v>
      </c>
      <c r="J1801">
        <v>1</v>
      </c>
      <c r="K1801">
        <v>0.57999999999999996</v>
      </c>
      <c r="L1801" t="s">
        <v>12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7F699-151A-4622-818A-CA621E9D5DCE}">
  <dimension ref="A1:AK480"/>
  <sheetViews>
    <sheetView zoomScale="86" workbookViewId="0"/>
  </sheetViews>
  <sheetFormatPr defaultRowHeight="14.4" x14ac:dyDescent="0.3"/>
  <cols>
    <col min="1" max="1" width="10.5546875" bestFit="1" customWidth="1"/>
    <col min="2" max="2" width="13.33203125" bestFit="1" customWidth="1"/>
    <col min="3" max="3" width="14" bestFit="1" customWidth="1"/>
    <col min="4" max="4" width="17.6640625" bestFit="1" customWidth="1"/>
    <col min="5" max="5" width="18" bestFit="1" customWidth="1"/>
    <col min="6" max="6" width="17.33203125" bestFit="1" customWidth="1"/>
    <col min="7" max="7" width="14.109375" bestFit="1" customWidth="1"/>
    <col min="8" max="8" width="20.77734375" bestFit="1" customWidth="1"/>
    <col min="9" max="9" width="24.109375" bestFit="1" customWidth="1"/>
    <col min="10" max="10" width="25.109375" bestFit="1" customWidth="1"/>
    <col min="11" max="11" width="23.109375" bestFit="1" customWidth="1"/>
    <col min="12" max="12" width="12.33203125" bestFit="1" customWidth="1"/>
    <col min="13" max="13" width="21.33203125" bestFit="1" customWidth="1"/>
    <col min="14" max="14" width="17.88671875" bestFit="1" customWidth="1"/>
    <col min="15" max="15" width="19.44140625" bestFit="1" customWidth="1"/>
    <col min="16" max="16" width="26.33203125" bestFit="1" customWidth="1"/>
    <col min="17" max="17" width="17.33203125" customWidth="1"/>
    <col min="18" max="18" width="14.33203125" customWidth="1"/>
    <col min="19" max="19" width="13.109375" bestFit="1" customWidth="1"/>
    <col min="20" max="20" width="18" bestFit="1" customWidth="1"/>
    <col min="21" max="21" width="18.21875" bestFit="1" customWidth="1"/>
    <col min="22" max="22" width="17" bestFit="1" customWidth="1"/>
    <col min="23" max="23" width="22.88671875" bestFit="1" customWidth="1"/>
    <col min="24" max="24" width="29.6640625" bestFit="1" customWidth="1"/>
    <col min="25" max="25" width="25.77734375" bestFit="1" customWidth="1"/>
    <col min="26" max="26" width="27.88671875" bestFit="1" customWidth="1"/>
    <col min="27" max="27" width="28" bestFit="1" customWidth="1"/>
    <col min="28" max="28" width="31.88671875" bestFit="1" customWidth="1"/>
    <col min="29" max="29" width="21.6640625" bestFit="1" customWidth="1"/>
    <col min="30" max="30" width="16.88671875" bestFit="1" customWidth="1"/>
    <col min="31" max="31" width="18.109375" bestFit="1" customWidth="1"/>
    <col min="32" max="32" width="22.6640625" bestFit="1" customWidth="1"/>
    <col min="33" max="33" width="23.109375" bestFit="1" customWidth="1"/>
    <col min="34" max="34" width="20.5546875" bestFit="1" customWidth="1"/>
    <col min="35" max="35" width="32.44140625" bestFit="1" customWidth="1"/>
    <col min="36" max="36" width="19.33203125" bestFit="1" customWidth="1"/>
    <col min="37" max="37" width="17.33203125" bestFit="1" customWidth="1"/>
  </cols>
  <sheetData>
    <row r="1" spans="1:37" x14ac:dyDescent="0.3">
      <c r="A1" t="s">
        <v>14</v>
      </c>
      <c r="B1" t="s">
        <v>1957</v>
      </c>
      <c r="C1" t="s">
        <v>161</v>
      </c>
      <c r="D1" t="s">
        <v>162</v>
      </c>
      <c r="E1" t="s">
        <v>163</v>
      </c>
      <c r="F1" t="s">
        <v>164</v>
      </c>
      <c r="G1" t="s">
        <v>165</v>
      </c>
      <c r="H1" t="s">
        <v>166</v>
      </c>
      <c r="I1" t="s">
        <v>167</v>
      </c>
      <c r="J1" t="s">
        <v>168</v>
      </c>
      <c r="K1" t="s">
        <v>169</v>
      </c>
      <c r="L1" t="s">
        <v>170</v>
      </c>
      <c r="M1" t="s">
        <v>171</v>
      </c>
      <c r="N1" t="s">
        <v>172</v>
      </c>
      <c r="O1" t="s">
        <v>173</v>
      </c>
      <c r="P1" t="s">
        <v>174</v>
      </c>
      <c r="Q1" t="s">
        <v>15</v>
      </c>
      <c r="R1" t="s">
        <v>17</v>
      </c>
      <c r="S1" t="s">
        <v>18</v>
      </c>
      <c r="T1" t="s">
        <v>21</v>
      </c>
      <c r="U1" t="s">
        <v>20</v>
      </c>
      <c r="V1" t="s">
        <v>1958</v>
      </c>
      <c r="W1" t="s">
        <v>1959</v>
      </c>
      <c r="X1" t="s">
        <v>1960</v>
      </c>
      <c r="Y1" t="s">
        <v>1961</v>
      </c>
      <c r="Z1" t="s">
        <v>1962</v>
      </c>
      <c r="AA1" t="s">
        <v>1963</v>
      </c>
      <c r="AB1" t="s">
        <v>1964</v>
      </c>
      <c r="AC1" t="s">
        <v>1965</v>
      </c>
      <c r="AD1" t="s">
        <v>1966</v>
      </c>
      <c r="AE1" t="s">
        <v>1967</v>
      </c>
      <c r="AF1" t="s">
        <v>1968</v>
      </c>
      <c r="AG1" t="s">
        <v>1969</v>
      </c>
      <c r="AH1" t="s">
        <v>1970</v>
      </c>
      <c r="AI1" t="s">
        <v>1971</v>
      </c>
      <c r="AJ1" t="s">
        <v>1972</v>
      </c>
      <c r="AK1" t="s">
        <v>1973</v>
      </c>
    </row>
    <row r="2" spans="1:37" x14ac:dyDescent="0.3">
      <c r="A2">
        <v>1</v>
      </c>
      <c r="B2">
        <v>2021</v>
      </c>
      <c r="C2">
        <v>1639</v>
      </c>
      <c r="D2">
        <v>93</v>
      </c>
      <c r="E2">
        <v>72</v>
      </c>
      <c r="F2">
        <v>4476.59</v>
      </c>
      <c r="G2">
        <v>4.3929000000000003E-2</v>
      </c>
      <c r="H2">
        <v>12</v>
      </c>
      <c r="I2">
        <v>33</v>
      </c>
      <c r="J2">
        <v>11</v>
      </c>
      <c r="K2">
        <v>7</v>
      </c>
      <c r="L2">
        <v>1</v>
      </c>
      <c r="M2">
        <v>4</v>
      </c>
      <c r="N2">
        <v>4</v>
      </c>
      <c r="O2">
        <v>3</v>
      </c>
      <c r="P2" t="s">
        <v>85</v>
      </c>
      <c r="Q2" t="str">
        <f>VLOOKUP(A2,Cleaned_Seller_Master!$A:$H,2,FALSE)</f>
        <v>Swift Goods 001</v>
      </c>
      <c r="R2" t="str">
        <f>VLOOKUP(A2,Cleaned_Seller_Master!$A:$H,4,FALSE)</f>
        <v>Electronics</v>
      </c>
      <c r="S2" t="str">
        <f>VLOOKUP(A2,Cleaned_Seller_Master!$A:$H,5,FALSE)</f>
        <v>Southeast Asia</v>
      </c>
      <c r="T2" t="str">
        <f>VLOOKUP(A2,Cleaned_Seller_Master!$A:$H,8,FALSE)</f>
        <v>Standard</v>
      </c>
      <c r="U2" t="str">
        <f>VLOOKUP(A2,Cleaned_Seller_Master!$A:$H,7,FALSE)</f>
        <v>01-01-2023</v>
      </c>
      <c r="V2">
        <f>IFERROR(INDEX(Violation_Summary_Seller_Year!$C:$C,MATCH(AD2,Violation_Summary_Seller_Year!$K:$K,0)),0)</f>
        <v>2</v>
      </c>
      <c r="W2">
        <f>IFERROR(INDEX(Violation_Summary_Seller_Year!$D:$D,MATCH(AD2,Violation_Summary_Seller_Year!$K:$K,0)),0)</f>
        <v>3866.18</v>
      </c>
      <c r="X2">
        <f>IFERROR(INDEX(Violation_Summary_Seller_Year!$E:$E,MATCH(AD2,Violation_Summary_Seller_Year!$K:$K,0)),0)</f>
        <v>1</v>
      </c>
      <c r="Y2">
        <f>IFERROR(INDEX(Violation_Summary_Seller_Year!$F:$F,MATCH(AD2,Violation_Summary_Seller_Year!$K:$K,0)),0)</f>
        <v>0</v>
      </c>
      <c r="Z2">
        <f>IFERROR(INDEX(Violation_Summary_Seller_Year!$G:$G,MATCH(AD2,Violation_Summary_Seller_Year!$K:$K,0)),0)</f>
        <v>2</v>
      </c>
      <c r="AA2">
        <f>IFERROR(INDEX(Violation_Summary_Seller_Year!$H:$H,MATCH(AD2,Violation_Summary_Seller_Year!$K:$K,0)),0)</f>
        <v>2</v>
      </c>
      <c r="AB2">
        <f>IFERROR(INDEX(Violation_Summary_Seller_Year!$I:$I,MATCH(AD2,Violation_Summary_Seller_Year!$K:$K,0)),0)</f>
        <v>2</v>
      </c>
      <c r="AC2">
        <f>IFERROR(INDEX(Violation_Summary_Seller_Year!$J:$J,MATCH(AD2,Violation_Summary_Seller_Year!$K:$K,0)),0)</f>
        <v>21</v>
      </c>
      <c r="AD2" t="str">
        <f t="shared" ref="AD2:AD65" si="0">A2&amp;"_"&amp;B2</f>
        <v>1_2021</v>
      </c>
      <c r="AE2">
        <f t="shared" ref="AE2:AE65" si="1">IF(G2&gt;=0.1,2,IF(G2&gt;=0.05,1,0))</f>
        <v>0</v>
      </c>
      <c r="AF2">
        <f t="shared" ref="AF2:AF65" si="2">IF(H2&gt;=8,2,IF(H2&gt;=4,1,0))</f>
        <v>2</v>
      </c>
      <c r="AG2">
        <f t="shared" ref="AG2:AG65" si="3">IF(OR(AA2&gt;=2,V2&gt;=5),2,IF(OR(AA2&gt;=1,V2&gt;=2),1,0))</f>
        <v>2</v>
      </c>
      <c r="AH2">
        <f t="shared" ref="AH2:AH65" si="4">IF(OR(L2=1,X2&gt;=2),2,IF(X2&gt;=1,1,0))</f>
        <v>2</v>
      </c>
      <c r="AI2">
        <f t="shared" ref="AI2:AI65" si="5">IF(OR(P2="Suspended",P2="Blocked"),2,IF(OR(P2="Under Review",P2="Warning",P2="Review Required",P2="Restricted",P2="Watchlist"),1,0))</f>
        <v>2</v>
      </c>
      <c r="AJ2">
        <f t="shared" ref="AJ2:AJ65" si="6">(AE2*25)+(AF2*25)+(AG2*20)+(AH2*20)+(AI2*10)</f>
        <v>150</v>
      </c>
      <c r="AK2" t="str">
        <f t="shared" ref="AK2:AK65" si="7">IF(AJ2&gt;=120,"High",IF(AJ2&gt;=60,"Medium","Low"))</f>
        <v>High</v>
      </c>
    </row>
    <row r="3" spans="1:37" x14ac:dyDescent="0.3">
      <c r="A3">
        <v>2</v>
      </c>
      <c r="B3">
        <v>2021</v>
      </c>
      <c r="C3">
        <v>2638</v>
      </c>
      <c r="D3">
        <v>254</v>
      </c>
      <c r="E3">
        <v>224</v>
      </c>
      <c r="F3">
        <v>9826.34</v>
      </c>
      <c r="G3">
        <v>8.4913000000000002E-2</v>
      </c>
      <c r="H3">
        <v>26</v>
      </c>
      <c r="I3">
        <v>83</v>
      </c>
      <c r="J3">
        <v>21</v>
      </c>
      <c r="K3">
        <v>11</v>
      </c>
      <c r="L3">
        <v>1</v>
      </c>
      <c r="M3">
        <v>4</v>
      </c>
      <c r="N3">
        <v>5</v>
      </c>
      <c r="O3">
        <v>8</v>
      </c>
      <c r="P3" t="s">
        <v>85</v>
      </c>
      <c r="Q3" t="str">
        <f>VLOOKUP(A3,Cleaned_Seller_Master!$A:$H,2,FALSE)</f>
        <v>Blue Source 002</v>
      </c>
      <c r="R3" t="str">
        <f>VLOOKUP(A3,Cleaned_Seller_Master!$A:$H,4,FALSE)</f>
        <v>Home</v>
      </c>
      <c r="S3" t="str">
        <f>VLOOKUP(A3,Cleaned_Seller_Master!$A:$H,5,FALSE)</f>
        <v>South</v>
      </c>
      <c r="T3" t="str">
        <f>VLOOKUP(A3,Cleaned_Seller_Master!$A:$H,8,FALSE)</f>
        <v>Verified</v>
      </c>
      <c r="U3" t="str">
        <f>VLOOKUP(A3,Cleaned_Seller_Master!$A:$H,7,FALSE)</f>
        <v>25-01-2022</v>
      </c>
      <c r="V3">
        <f>IFERROR(INDEX(Violation_Summary_Seller_Year!$C:$C,MATCH(AD3,Violation_Summary_Seller_Year!$K:$K,0)),0)</f>
        <v>6</v>
      </c>
      <c r="W3">
        <f>IFERROR(INDEX(Violation_Summary_Seller_Year!$D:$D,MATCH(AD3,Violation_Summary_Seller_Year!$K:$K,0)),0)</f>
        <v>9238.5500000000011</v>
      </c>
      <c r="X3">
        <f>IFERROR(INDEX(Violation_Summary_Seller_Year!$E:$E,MATCH(AD3,Violation_Summary_Seller_Year!$K:$K,0)),0)</f>
        <v>5</v>
      </c>
      <c r="Y3">
        <f>IFERROR(INDEX(Violation_Summary_Seller_Year!$F:$F,MATCH(AD3,Violation_Summary_Seller_Year!$K:$K,0)),0)</f>
        <v>5</v>
      </c>
      <c r="Z3">
        <f>IFERROR(INDEX(Violation_Summary_Seller_Year!$G:$G,MATCH(AD3,Violation_Summary_Seller_Year!$K:$K,0)),0)</f>
        <v>1</v>
      </c>
      <c r="AA3">
        <f>IFERROR(INDEX(Violation_Summary_Seller_Year!$H:$H,MATCH(AD3,Violation_Summary_Seller_Year!$K:$K,0)),0)</f>
        <v>3</v>
      </c>
      <c r="AB3">
        <f>IFERROR(INDEX(Violation_Summary_Seller_Year!$I:$I,MATCH(AD3,Violation_Summary_Seller_Year!$K:$K,0)),0)</f>
        <v>2</v>
      </c>
      <c r="AC3">
        <f>IFERROR(INDEX(Violation_Summary_Seller_Year!$J:$J,MATCH(AD3,Violation_Summary_Seller_Year!$K:$K,0)),0)</f>
        <v>80</v>
      </c>
      <c r="AD3" t="str">
        <f t="shared" si="0"/>
        <v>2_2021</v>
      </c>
      <c r="AE3">
        <f t="shared" si="1"/>
        <v>1</v>
      </c>
      <c r="AF3">
        <f t="shared" si="2"/>
        <v>2</v>
      </c>
      <c r="AG3">
        <f t="shared" si="3"/>
        <v>2</v>
      </c>
      <c r="AH3">
        <f t="shared" si="4"/>
        <v>2</v>
      </c>
      <c r="AI3">
        <f t="shared" si="5"/>
        <v>2</v>
      </c>
      <c r="AJ3">
        <f t="shared" si="6"/>
        <v>175</v>
      </c>
      <c r="AK3" t="str">
        <f t="shared" si="7"/>
        <v>High</v>
      </c>
    </row>
    <row r="4" spans="1:37" x14ac:dyDescent="0.3">
      <c r="A4">
        <v>3</v>
      </c>
      <c r="B4">
        <v>2021</v>
      </c>
      <c r="C4">
        <v>747</v>
      </c>
      <c r="D4">
        <v>70</v>
      </c>
      <c r="E4">
        <v>61</v>
      </c>
      <c r="F4">
        <v>4657.6000000000004</v>
      </c>
      <c r="G4">
        <v>8.1659999999999996E-2</v>
      </c>
      <c r="H4">
        <v>20</v>
      </c>
      <c r="I4">
        <v>25</v>
      </c>
      <c r="J4">
        <v>14</v>
      </c>
      <c r="K4">
        <v>12</v>
      </c>
      <c r="L4">
        <v>1</v>
      </c>
      <c r="M4">
        <v>7</v>
      </c>
      <c r="N4">
        <v>6</v>
      </c>
      <c r="O4">
        <v>2</v>
      </c>
      <c r="P4" t="s">
        <v>85</v>
      </c>
      <c r="Q4" t="str">
        <f>VLOOKUP(A4,Cleaned_Seller_Master!$A:$H,2,FALSE)</f>
        <v>Vertex Supply 003</v>
      </c>
      <c r="R4" t="str">
        <f>VLOOKUP(A4,Cleaned_Seller_Master!$A:$H,4,FALSE)</f>
        <v>Electronics</v>
      </c>
      <c r="S4" t="str">
        <f>VLOOKUP(A4,Cleaned_Seller_Master!$A:$H,5,FALSE)</f>
        <v>West</v>
      </c>
      <c r="T4" t="str">
        <f>VLOOKUP(A4,Cleaned_Seller_Master!$A:$H,8,FALSE)</f>
        <v>Standard</v>
      </c>
      <c r="U4" t="str">
        <f>VLOOKUP(A4,Cleaned_Seller_Master!$A:$H,7,FALSE)</f>
        <v>20-06-2023</v>
      </c>
      <c r="V4">
        <f>IFERROR(INDEX(Violation_Summary_Seller_Year!$C:$C,MATCH(AD4,Violation_Summary_Seller_Year!$K:$K,0)),0)</f>
        <v>6</v>
      </c>
      <c r="W4">
        <f>IFERROR(INDEX(Violation_Summary_Seller_Year!$D:$D,MATCH(AD4,Violation_Summary_Seller_Year!$K:$K,0)),0)</f>
        <v>17324.54</v>
      </c>
      <c r="X4">
        <f>IFERROR(INDEX(Violation_Summary_Seller_Year!$E:$E,MATCH(AD4,Violation_Summary_Seller_Year!$K:$K,0)),0)</f>
        <v>4</v>
      </c>
      <c r="Y4">
        <f>IFERROR(INDEX(Violation_Summary_Seller_Year!$F:$F,MATCH(AD4,Violation_Summary_Seller_Year!$K:$K,0)),0)</f>
        <v>3</v>
      </c>
      <c r="Z4">
        <f>IFERROR(INDEX(Violation_Summary_Seller_Year!$G:$G,MATCH(AD4,Violation_Summary_Seller_Year!$K:$K,0)),0)</f>
        <v>3</v>
      </c>
      <c r="AA4">
        <f>IFERROR(INDEX(Violation_Summary_Seller_Year!$H:$H,MATCH(AD4,Violation_Summary_Seller_Year!$K:$K,0)),0)</f>
        <v>6</v>
      </c>
      <c r="AB4">
        <f>IFERROR(INDEX(Violation_Summary_Seller_Year!$I:$I,MATCH(AD4,Violation_Summary_Seller_Year!$K:$K,0)),0)</f>
        <v>5</v>
      </c>
      <c r="AC4">
        <f>IFERROR(INDEX(Violation_Summary_Seller_Year!$J:$J,MATCH(AD4,Violation_Summary_Seller_Year!$K:$K,0)),0)</f>
        <v>47</v>
      </c>
      <c r="AD4" t="str">
        <f t="shared" si="0"/>
        <v>3_2021</v>
      </c>
      <c r="AE4">
        <f t="shared" si="1"/>
        <v>1</v>
      </c>
      <c r="AF4">
        <f t="shared" si="2"/>
        <v>2</v>
      </c>
      <c r="AG4">
        <f t="shared" si="3"/>
        <v>2</v>
      </c>
      <c r="AH4">
        <f t="shared" si="4"/>
        <v>2</v>
      </c>
      <c r="AI4">
        <f t="shared" si="5"/>
        <v>2</v>
      </c>
      <c r="AJ4">
        <f t="shared" si="6"/>
        <v>175</v>
      </c>
      <c r="AK4" t="str">
        <f t="shared" si="7"/>
        <v>High</v>
      </c>
    </row>
    <row r="5" spans="1:37" x14ac:dyDescent="0.3">
      <c r="A5">
        <v>4</v>
      </c>
      <c r="B5">
        <v>2021</v>
      </c>
      <c r="C5">
        <v>480</v>
      </c>
      <c r="D5">
        <v>41</v>
      </c>
      <c r="E5">
        <v>36</v>
      </c>
      <c r="F5">
        <v>2011.28</v>
      </c>
      <c r="G5">
        <v>7.4999999999999997E-2</v>
      </c>
      <c r="H5">
        <v>19</v>
      </c>
      <c r="I5">
        <v>19</v>
      </c>
      <c r="J5">
        <v>9</v>
      </c>
      <c r="K5">
        <v>8</v>
      </c>
      <c r="L5">
        <v>1</v>
      </c>
      <c r="M5">
        <v>6</v>
      </c>
      <c r="N5">
        <v>6</v>
      </c>
      <c r="O5">
        <v>5</v>
      </c>
      <c r="P5" t="s">
        <v>85</v>
      </c>
      <c r="Q5" t="str">
        <f>VLOOKUP(A5,Cleaned_Seller_Master!$A:$H,2,FALSE)</f>
        <v>Zen Mart 004</v>
      </c>
      <c r="R5" t="str">
        <f>VLOOKUP(A5,Cleaned_Seller_Master!$A:$H,4,FALSE)</f>
        <v>Fashion</v>
      </c>
      <c r="S5" t="str">
        <f>VLOOKUP(A5,Cleaned_Seller_Master!$A:$H,5,FALSE)</f>
        <v>Southeast Asia</v>
      </c>
      <c r="T5" t="str">
        <f>VLOOKUP(A5,Cleaned_Seller_Master!$A:$H,8,FALSE)</f>
        <v>Standard</v>
      </c>
      <c r="U5" t="str">
        <f>VLOOKUP(A5,Cleaned_Seller_Master!$A:$H,7,FALSE)</f>
        <v>03-12-2021</v>
      </c>
      <c r="V5">
        <f>IFERROR(INDEX(Violation_Summary_Seller_Year!$C:$C,MATCH(AD5,Violation_Summary_Seller_Year!$K:$K,0)),0)</f>
        <v>5</v>
      </c>
      <c r="W5">
        <f>IFERROR(INDEX(Violation_Summary_Seller_Year!$D:$D,MATCH(AD5,Violation_Summary_Seller_Year!$K:$K,0)),0)</f>
        <v>17378.91</v>
      </c>
      <c r="X5">
        <f>IFERROR(INDEX(Violation_Summary_Seller_Year!$E:$E,MATCH(AD5,Violation_Summary_Seller_Year!$K:$K,0)),0)</f>
        <v>3</v>
      </c>
      <c r="Y5">
        <f>IFERROR(INDEX(Violation_Summary_Seller_Year!$F:$F,MATCH(AD5,Violation_Summary_Seller_Year!$K:$K,0)),0)</f>
        <v>2</v>
      </c>
      <c r="Z5">
        <f>IFERROR(INDEX(Violation_Summary_Seller_Year!$G:$G,MATCH(AD5,Violation_Summary_Seller_Year!$K:$K,0)),0)</f>
        <v>3</v>
      </c>
      <c r="AA5">
        <f>IFERROR(INDEX(Violation_Summary_Seller_Year!$H:$H,MATCH(AD5,Violation_Summary_Seller_Year!$K:$K,0)),0)</f>
        <v>5</v>
      </c>
      <c r="AB5">
        <f>IFERROR(INDEX(Violation_Summary_Seller_Year!$I:$I,MATCH(AD5,Violation_Summary_Seller_Year!$K:$K,0)),0)</f>
        <v>3</v>
      </c>
      <c r="AC5">
        <f>IFERROR(INDEX(Violation_Summary_Seller_Year!$J:$J,MATCH(AD5,Violation_Summary_Seller_Year!$K:$K,0)),0)</f>
        <v>48</v>
      </c>
      <c r="AD5" t="str">
        <f t="shared" si="0"/>
        <v>4_2021</v>
      </c>
      <c r="AE5">
        <f t="shared" si="1"/>
        <v>1</v>
      </c>
      <c r="AF5">
        <f t="shared" si="2"/>
        <v>2</v>
      </c>
      <c r="AG5">
        <f t="shared" si="3"/>
        <v>2</v>
      </c>
      <c r="AH5">
        <f t="shared" si="4"/>
        <v>2</v>
      </c>
      <c r="AI5">
        <f t="shared" si="5"/>
        <v>2</v>
      </c>
      <c r="AJ5">
        <f t="shared" si="6"/>
        <v>175</v>
      </c>
      <c r="AK5" t="str">
        <f t="shared" si="7"/>
        <v>High</v>
      </c>
    </row>
    <row r="6" spans="1:37" x14ac:dyDescent="0.3">
      <c r="A6">
        <v>5</v>
      </c>
      <c r="B6">
        <v>2021</v>
      </c>
      <c r="C6">
        <v>80</v>
      </c>
      <c r="D6">
        <v>9</v>
      </c>
      <c r="E6">
        <v>7</v>
      </c>
      <c r="F6">
        <v>570.73</v>
      </c>
      <c r="G6">
        <v>8.7499999999999994E-2</v>
      </c>
      <c r="H6">
        <v>13</v>
      </c>
      <c r="I6">
        <v>13</v>
      </c>
      <c r="J6">
        <v>4</v>
      </c>
      <c r="K6">
        <v>5</v>
      </c>
      <c r="L6">
        <v>1</v>
      </c>
      <c r="M6">
        <v>4</v>
      </c>
      <c r="N6">
        <v>3</v>
      </c>
      <c r="O6">
        <v>2</v>
      </c>
      <c r="P6" t="s">
        <v>85</v>
      </c>
      <c r="Q6" t="str">
        <f>VLOOKUP(A6,Cleaned_Seller_Master!$A:$H,2,FALSE)</f>
        <v>True House 005</v>
      </c>
      <c r="R6" t="str">
        <f>VLOOKUP(A6,Cleaned_Seller_Master!$A:$H,4,FALSE)</f>
        <v>Fashion</v>
      </c>
      <c r="S6" t="str">
        <f>VLOOKUP(A6,Cleaned_Seller_Master!$A:$H,5,FALSE)</f>
        <v>West</v>
      </c>
      <c r="T6" t="str">
        <f>VLOOKUP(A6,Cleaned_Seller_Master!$A:$H,8,FALSE)</f>
        <v>Standard</v>
      </c>
      <c r="U6" t="str">
        <f>VLOOKUP(A6,Cleaned_Seller_Master!$A:$H,7,FALSE)</f>
        <v>12-06-2020</v>
      </c>
      <c r="V6">
        <f>IFERROR(INDEX(Violation_Summary_Seller_Year!$C:$C,MATCH(AD6,Violation_Summary_Seller_Year!$K:$K,0)),0)</f>
        <v>4</v>
      </c>
      <c r="W6">
        <f>IFERROR(INDEX(Violation_Summary_Seller_Year!$D:$D,MATCH(AD6,Violation_Summary_Seller_Year!$K:$K,0)),0)</f>
        <v>11543.59</v>
      </c>
      <c r="X6">
        <f>IFERROR(INDEX(Violation_Summary_Seller_Year!$E:$E,MATCH(AD6,Violation_Summary_Seller_Year!$K:$K,0)),0)</f>
        <v>2</v>
      </c>
      <c r="Y6">
        <f>IFERROR(INDEX(Violation_Summary_Seller_Year!$F:$F,MATCH(AD6,Violation_Summary_Seller_Year!$K:$K,0)),0)</f>
        <v>3</v>
      </c>
      <c r="Z6">
        <f>IFERROR(INDEX(Violation_Summary_Seller_Year!$G:$G,MATCH(AD6,Violation_Summary_Seller_Year!$K:$K,0)),0)</f>
        <v>1</v>
      </c>
      <c r="AA6">
        <f>IFERROR(INDEX(Violation_Summary_Seller_Year!$H:$H,MATCH(AD6,Violation_Summary_Seller_Year!$K:$K,0)),0)</f>
        <v>3</v>
      </c>
      <c r="AB6">
        <f>IFERROR(INDEX(Violation_Summary_Seller_Year!$I:$I,MATCH(AD6,Violation_Summary_Seller_Year!$K:$K,0)),0)</f>
        <v>0</v>
      </c>
      <c r="AC6">
        <f>IFERROR(INDEX(Violation_Summary_Seller_Year!$J:$J,MATCH(AD6,Violation_Summary_Seller_Year!$K:$K,0)),0)</f>
        <v>43</v>
      </c>
      <c r="AD6" t="str">
        <f t="shared" si="0"/>
        <v>5_2021</v>
      </c>
      <c r="AE6">
        <f t="shared" si="1"/>
        <v>1</v>
      </c>
      <c r="AF6">
        <f t="shared" si="2"/>
        <v>2</v>
      </c>
      <c r="AG6">
        <f t="shared" si="3"/>
        <v>2</v>
      </c>
      <c r="AH6">
        <f t="shared" si="4"/>
        <v>2</v>
      </c>
      <c r="AI6">
        <f t="shared" si="5"/>
        <v>2</v>
      </c>
      <c r="AJ6">
        <f t="shared" si="6"/>
        <v>175</v>
      </c>
      <c r="AK6" t="str">
        <f t="shared" si="7"/>
        <v>High</v>
      </c>
    </row>
    <row r="7" spans="1:37" x14ac:dyDescent="0.3">
      <c r="A7">
        <v>6</v>
      </c>
      <c r="B7">
        <v>2021</v>
      </c>
      <c r="C7">
        <v>881</v>
      </c>
      <c r="D7">
        <v>51</v>
      </c>
      <c r="E7">
        <v>46</v>
      </c>
      <c r="F7">
        <v>1423.51</v>
      </c>
      <c r="G7">
        <v>5.2213000000000002E-2</v>
      </c>
      <c r="H7">
        <v>14</v>
      </c>
      <c r="I7">
        <v>24</v>
      </c>
      <c r="J7">
        <v>7</v>
      </c>
      <c r="K7">
        <v>9</v>
      </c>
      <c r="L7">
        <v>0</v>
      </c>
      <c r="M7">
        <v>3</v>
      </c>
      <c r="N7">
        <v>4</v>
      </c>
      <c r="O7">
        <v>3</v>
      </c>
      <c r="P7" t="s">
        <v>175</v>
      </c>
      <c r="Q7" t="str">
        <f>VLOOKUP(A7,Cleaned_Seller_Master!$A:$H,2,FALSE)</f>
        <v>Core Traders 006</v>
      </c>
      <c r="R7" t="str">
        <f>VLOOKUP(A7,Cleaned_Seller_Master!$A:$H,4,FALSE)</f>
        <v>Beauty</v>
      </c>
      <c r="S7" t="str">
        <f>VLOOKUP(A7,Cleaned_Seller_Master!$A:$H,5,FALSE)</f>
        <v>South</v>
      </c>
      <c r="T7" t="str">
        <f>VLOOKUP(A7,Cleaned_Seller_Master!$A:$H,8,FALSE)</f>
        <v>Premium</v>
      </c>
      <c r="U7" t="str">
        <f>VLOOKUP(A7,Cleaned_Seller_Master!$A:$H,7,FALSE)</f>
        <v>21-05-2023</v>
      </c>
      <c r="V7">
        <f>IFERROR(INDEX(Violation_Summary_Seller_Year!$C:$C,MATCH(AD7,Violation_Summary_Seller_Year!$K:$K,0)),0)</f>
        <v>2</v>
      </c>
      <c r="W7">
        <f>IFERROR(INDEX(Violation_Summary_Seller_Year!$D:$D,MATCH(AD7,Violation_Summary_Seller_Year!$K:$K,0)),0)</f>
        <v>1782.84</v>
      </c>
      <c r="X7">
        <f>IFERROR(INDEX(Violation_Summary_Seller_Year!$E:$E,MATCH(AD7,Violation_Summary_Seller_Year!$K:$K,0)),0)</f>
        <v>0</v>
      </c>
      <c r="Y7">
        <f>IFERROR(INDEX(Violation_Summary_Seller_Year!$F:$F,MATCH(AD7,Violation_Summary_Seller_Year!$K:$K,0)),0)</f>
        <v>1</v>
      </c>
      <c r="Z7">
        <f>IFERROR(INDEX(Violation_Summary_Seller_Year!$G:$G,MATCH(AD7,Violation_Summary_Seller_Year!$K:$K,0)),0)</f>
        <v>1</v>
      </c>
      <c r="AA7">
        <f>IFERROR(INDEX(Violation_Summary_Seller_Year!$H:$H,MATCH(AD7,Violation_Summary_Seller_Year!$K:$K,0)),0)</f>
        <v>0</v>
      </c>
      <c r="AB7">
        <f>IFERROR(INDEX(Violation_Summary_Seller_Year!$I:$I,MATCH(AD7,Violation_Summary_Seller_Year!$K:$K,0)),0)</f>
        <v>1</v>
      </c>
      <c r="AC7">
        <f>IFERROR(INDEX(Violation_Summary_Seller_Year!$J:$J,MATCH(AD7,Violation_Summary_Seller_Year!$K:$K,0)),0)</f>
        <v>7</v>
      </c>
      <c r="AD7" t="str">
        <f t="shared" si="0"/>
        <v>6_2021</v>
      </c>
      <c r="AE7">
        <f t="shared" si="1"/>
        <v>1</v>
      </c>
      <c r="AF7">
        <f t="shared" si="2"/>
        <v>2</v>
      </c>
      <c r="AG7">
        <f t="shared" si="3"/>
        <v>1</v>
      </c>
      <c r="AH7">
        <f t="shared" si="4"/>
        <v>0</v>
      </c>
      <c r="AI7">
        <f t="shared" si="5"/>
        <v>1</v>
      </c>
      <c r="AJ7">
        <f t="shared" si="6"/>
        <v>105</v>
      </c>
      <c r="AK7" t="str">
        <f t="shared" si="7"/>
        <v>Medium</v>
      </c>
    </row>
    <row r="8" spans="1:37" x14ac:dyDescent="0.3">
      <c r="A8">
        <v>7</v>
      </c>
      <c r="B8">
        <v>2021</v>
      </c>
      <c r="C8">
        <v>792</v>
      </c>
      <c r="D8">
        <v>69</v>
      </c>
      <c r="E8">
        <v>65</v>
      </c>
      <c r="F8">
        <v>6991.26</v>
      </c>
      <c r="G8">
        <v>8.2071000000000005E-2</v>
      </c>
      <c r="H8">
        <v>30</v>
      </c>
      <c r="I8">
        <v>30</v>
      </c>
      <c r="J8">
        <v>13</v>
      </c>
      <c r="K8">
        <v>12</v>
      </c>
      <c r="L8">
        <v>1</v>
      </c>
      <c r="M8">
        <v>5</v>
      </c>
      <c r="N8">
        <v>7</v>
      </c>
      <c r="O8">
        <v>3</v>
      </c>
      <c r="P8" t="s">
        <v>85</v>
      </c>
      <c r="Q8" t="str">
        <f>VLOOKUP(A8,Cleaned_Seller_Master!$A:$H,2,FALSE)</f>
        <v>Urban Works 007</v>
      </c>
      <c r="R8" t="str">
        <f>VLOOKUP(A8,Cleaned_Seller_Master!$A:$H,4,FALSE)</f>
        <v>Fashion</v>
      </c>
      <c r="S8" t="str">
        <f>VLOOKUP(A8,Cleaned_Seller_Master!$A:$H,5,FALSE)</f>
        <v>West</v>
      </c>
      <c r="T8" t="str">
        <f>VLOOKUP(A8,Cleaned_Seller_Master!$A:$H,8,FALSE)</f>
        <v>Premium</v>
      </c>
      <c r="U8" t="str">
        <f>VLOOKUP(A8,Cleaned_Seller_Master!$A:$H,7,FALSE)</f>
        <v>19-04-2018</v>
      </c>
      <c r="V8">
        <f>IFERROR(INDEX(Violation_Summary_Seller_Year!$C:$C,MATCH(AD8,Violation_Summary_Seller_Year!$K:$K,0)),0)</f>
        <v>4</v>
      </c>
      <c r="W8">
        <f>IFERROR(INDEX(Violation_Summary_Seller_Year!$D:$D,MATCH(AD8,Violation_Summary_Seller_Year!$K:$K,0)),0)</f>
        <v>16370.74</v>
      </c>
      <c r="X8">
        <f>IFERROR(INDEX(Violation_Summary_Seller_Year!$E:$E,MATCH(AD8,Violation_Summary_Seller_Year!$K:$K,0)),0)</f>
        <v>1</v>
      </c>
      <c r="Y8">
        <f>IFERROR(INDEX(Violation_Summary_Seller_Year!$F:$F,MATCH(AD8,Violation_Summary_Seller_Year!$K:$K,0)),0)</f>
        <v>2</v>
      </c>
      <c r="Z8">
        <f>IFERROR(INDEX(Violation_Summary_Seller_Year!$G:$G,MATCH(AD8,Violation_Summary_Seller_Year!$K:$K,0)),0)</f>
        <v>2</v>
      </c>
      <c r="AA8">
        <f>IFERROR(INDEX(Violation_Summary_Seller_Year!$H:$H,MATCH(AD8,Violation_Summary_Seller_Year!$K:$K,0)),0)</f>
        <v>4</v>
      </c>
      <c r="AB8">
        <f>IFERROR(INDEX(Violation_Summary_Seller_Year!$I:$I,MATCH(AD8,Violation_Summary_Seller_Year!$K:$K,0)),0)</f>
        <v>2</v>
      </c>
      <c r="AC8">
        <f>IFERROR(INDEX(Violation_Summary_Seller_Year!$J:$J,MATCH(AD8,Violation_Summary_Seller_Year!$K:$K,0)),0)</f>
        <v>35</v>
      </c>
      <c r="AD8" t="str">
        <f t="shared" si="0"/>
        <v>7_2021</v>
      </c>
      <c r="AE8">
        <f t="shared" si="1"/>
        <v>1</v>
      </c>
      <c r="AF8">
        <f t="shared" si="2"/>
        <v>2</v>
      </c>
      <c r="AG8">
        <f t="shared" si="3"/>
        <v>2</v>
      </c>
      <c r="AH8">
        <f t="shared" si="4"/>
        <v>2</v>
      </c>
      <c r="AI8">
        <f t="shared" si="5"/>
        <v>2</v>
      </c>
      <c r="AJ8">
        <f t="shared" si="6"/>
        <v>175</v>
      </c>
      <c r="AK8" t="str">
        <f t="shared" si="7"/>
        <v>High</v>
      </c>
    </row>
    <row r="9" spans="1:37" x14ac:dyDescent="0.3">
      <c r="A9">
        <v>8</v>
      </c>
      <c r="B9">
        <v>2021</v>
      </c>
      <c r="C9">
        <v>575</v>
      </c>
      <c r="D9">
        <v>47</v>
      </c>
      <c r="E9">
        <v>38</v>
      </c>
      <c r="F9">
        <v>2474.85</v>
      </c>
      <c r="G9">
        <v>6.6087000000000007E-2</v>
      </c>
      <c r="H9">
        <v>8</v>
      </c>
      <c r="I9">
        <v>16</v>
      </c>
      <c r="J9">
        <v>8</v>
      </c>
      <c r="K9">
        <v>5</v>
      </c>
      <c r="L9">
        <v>1</v>
      </c>
      <c r="M9">
        <v>5</v>
      </c>
      <c r="N9">
        <v>3</v>
      </c>
      <c r="O9">
        <v>4</v>
      </c>
      <c r="P9" t="s">
        <v>85</v>
      </c>
      <c r="Q9" t="str">
        <f>VLOOKUP(A9,Cleaned_Seller_Master!$A:$H,2,FALSE)</f>
        <v>Bright Nest 008</v>
      </c>
      <c r="R9" t="str">
        <f>VLOOKUP(A9,Cleaned_Seller_Master!$A:$H,4,FALSE)</f>
        <v>Fashion</v>
      </c>
      <c r="S9" t="str">
        <f>VLOOKUP(A9,Cleaned_Seller_Master!$A:$H,5,FALSE)</f>
        <v>South</v>
      </c>
      <c r="T9" t="str">
        <f>VLOOKUP(A9,Cleaned_Seller_Master!$A:$H,8,FALSE)</f>
        <v>Verified</v>
      </c>
      <c r="U9" t="str">
        <f>VLOOKUP(A9,Cleaned_Seller_Master!$A:$H,7,FALSE)</f>
        <v>19-12-2021</v>
      </c>
      <c r="V9">
        <f>IFERROR(INDEX(Violation_Summary_Seller_Year!$C:$C,MATCH(AD9,Violation_Summary_Seller_Year!$K:$K,0)),0)</f>
        <v>5</v>
      </c>
      <c r="W9">
        <f>IFERROR(INDEX(Violation_Summary_Seller_Year!$D:$D,MATCH(AD9,Violation_Summary_Seller_Year!$K:$K,0)),0)</f>
        <v>11161.78</v>
      </c>
      <c r="X9">
        <f>IFERROR(INDEX(Violation_Summary_Seller_Year!$E:$E,MATCH(AD9,Violation_Summary_Seller_Year!$K:$K,0)),0)</f>
        <v>3</v>
      </c>
      <c r="Y9">
        <f>IFERROR(INDEX(Violation_Summary_Seller_Year!$F:$F,MATCH(AD9,Violation_Summary_Seller_Year!$K:$K,0)),0)</f>
        <v>1</v>
      </c>
      <c r="Z9">
        <f>IFERROR(INDEX(Violation_Summary_Seller_Year!$G:$G,MATCH(AD9,Violation_Summary_Seller_Year!$K:$K,0)),0)</f>
        <v>4</v>
      </c>
      <c r="AA9">
        <f>IFERROR(INDEX(Violation_Summary_Seller_Year!$H:$H,MATCH(AD9,Violation_Summary_Seller_Year!$K:$K,0)),0)</f>
        <v>4</v>
      </c>
      <c r="AB9">
        <f>IFERROR(INDEX(Violation_Summary_Seller_Year!$I:$I,MATCH(AD9,Violation_Summary_Seller_Year!$K:$K,0)),0)</f>
        <v>4</v>
      </c>
      <c r="AC9">
        <f>IFERROR(INDEX(Violation_Summary_Seller_Year!$J:$J,MATCH(AD9,Violation_Summary_Seller_Year!$K:$K,0)),0)</f>
        <v>37</v>
      </c>
      <c r="AD9" t="str">
        <f t="shared" si="0"/>
        <v>8_2021</v>
      </c>
      <c r="AE9">
        <f t="shared" si="1"/>
        <v>1</v>
      </c>
      <c r="AF9">
        <f t="shared" si="2"/>
        <v>2</v>
      </c>
      <c r="AG9">
        <f t="shared" si="3"/>
        <v>2</v>
      </c>
      <c r="AH9">
        <f t="shared" si="4"/>
        <v>2</v>
      </c>
      <c r="AI9">
        <f t="shared" si="5"/>
        <v>2</v>
      </c>
      <c r="AJ9">
        <f t="shared" si="6"/>
        <v>175</v>
      </c>
      <c r="AK9" t="str">
        <f t="shared" si="7"/>
        <v>High</v>
      </c>
    </row>
    <row r="10" spans="1:37" x14ac:dyDescent="0.3">
      <c r="A10">
        <v>9</v>
      </c>
      <c r="B10">
        <v>2021</v>
      </c>
      <c r="C10">
        <v>892</v>
      </c>
      <c r="D10">
        <v>47</v>
      </c>
      <c r="E10">
        <v>38</v>
      </c>
      <c r="F10">
        <v>3271.85</v>
      </c>
      <c r="G10">
        <v>4.2601E-2</v>
      </c>
      <c r="H10">
        <v>13</v>
      </c>
      <c r="I10">
        <v>24</v>
      </c>
      <c r="J10">
        <v>8</v>
      </c>
      <c r="K10">
        <v>3</v>
      </c>
      <c r="L10">
        <v>1</v>
      </c>
      <c r="M10">
        <v>2</v>
      </c>
      <c r="N10">
        <v>3</v>
      </c>
      <c r="O10">
        <v>3</v>
      </c>
      <c r="P10" t="s">
        <v>68</v>
      </c>
      <c r="Q10" t="str">
        <f>VLOOKUP(A10,Cleaned_Seller_Master!$A:$H,2,FALSE)</f>
        <v>Golden Hub 009</v>
      </c>
      <c r="R10" t="str">
        <f>VLOOKUP(A10,Cleaned_Seller_Master!$A:$H,4,FALSE)</f>
        <v>Electronics</v>
      </c>
      <c r="S10" t="str">
        <f>VLOOKUP(A10,Cleaned_Seller_Master!$A:$H,5,FALSE)</f>
        <v>North</v>
      </c>
      <c r="T10" t="str">
        <f>VLOOKUP(A10,Cleaned_Seller_Master!$A:$H,8,FALSE)</f>
        <v>Strategic</v>
      </c>
      <c r="U10" t="str">
        <f>VLOOKUP(A10,Cleaned_Seller_Master!$A:$H,7,FALSE)</f>
        <v>14-11-2020</v>
      </c>
      <c r="V10">
        <f>IFERROR(INDEX(Violation_Summary_Seller_Year!$C:$C,MATCH(AD10,Violation_Summary_Seller_Year!$K:$K,0)),0)</f>
        <v>1</v>
      </c>
      <c r="W10">
        <f>IFERROR(INDEX(Violation_Summary_Seller_Year!$D:$D,MATCH(AD10,Violation_Summary_Seller_Year!$K:$K,0)),0)</f>
        <v>1102.52</v>
      </c>
      <c r="X10">
        <f>IFERROR(INDEX(Violation_Summary_Seller_Year!$E:$E,MATCH(AD10,Violation_Summary_Seller_Year!$K:$K,0)),0)</f>
        <v>0</v>
      </c>
      <c r="Y10">
        <f>IFERROR(INDEX(Violation_Summary_Seller_Year!$F:$F,MATCH(AD10,Violation_Summary_Seller_Year!$K:$K,0)),0)</f>
        <v>1</v>
      </c>
      <c r="Z10">
        <f>IFERROR(INDEX(Violation_Summary_Seller_Year!$G:$G,MATCH(AD10,Violation_Summary_Seller_Year!$K:$K,0)),0)</f>
        <v>0</v>
      </c>
      <c r="AA10">
        <f>IFERROR(INDEX(Violation_Summary_Seller_Year!$H:$H,MATCH(AD10,Violation_Summary_Seller_Year!$K:$K,0)),0)</f>
        <v>0</v>
      </c>
      <c r="AB10">
        <f>IFERROR(INDEX(Violation_Summary_Seller_Year!$I:$I,MATCH(AD10,Violation_Summary_Seller_Year!$K:$K,0)),0)</f>
        <v>0</v>
      </c>
      <c r="AC10">
        <f>IFERROR(INDEX(Violation_Summary_Seller_Year!$J:$J,MATCH(AD10,Violation_Summary_Seller_Year!$K:$K,0)),0)</f>
        <v>5</v>
      </c>
      <c r="AD10" t="str">
        <f t="shared" si="0"/>
        <v>9_2021</v>
      </c>
      <c r="AE10">
        <f t="shared" si="1"/>
        <v>0</v>
      </c>
      <c r="AF10">
        <f t="shared" si="2"/>
        <v>2</v>
      </c>
      <c r="AG10">
        <f t="shared" si="3"/>
        <v>0</v>
      </c>
      <c r="AH10">
        <f t="shared" si="4"/>
        <v>2</v>
      </c>
      <c r="AI10">
        <f t="shared" si="5"/>
        <v>1</v>
      </c>
      <c r="AJ10">
        <f t="shared" si="6"/>
        <v>100</v>
      </c>
      <c r="AK10" t="str">
        <f t="shared" si="7"/>
        <v>Medium</v>
      </c>
    </row>
    <row r="11" spans="1:37" x14ac:dyDescent="0.3">
      <c r="A11">
        <v>10</v>
      </c>
      <c r="B11">
        <v>2021</v>
      </c>
      <c r="C11">
        <v>1054</v>
      </c>
      <c r="D11">
        <v>64</v>
      </c>
      <c r="E11">
        <v>49</v>
      </c>
      <c r="F11">
        <v>4827.25</v>
      </c>
      <c r="G11">
        <v>4.6489999999999997E-2</v>
      </c>
      <c r="H11">
        <v>19</v>
      </c>
      <c r="I11">
        <v>23</v>
      </c>
      <c r="J11">
        <v>8</v>
      </c>
      <c r="K11">
        <v>9</v>
      </c>
      <c r="L11">
        <v>0</v>
      </c>
      <c r="M11">
        <v>3</v>
      </c>
      <c r="N11">
        <v>3</v>
      </c>
      <c r="O11">
        <v>4</v>
      </c>
      <c r="P11" t="s">
        <v>175</v>
      </c>
      <c r="Q11" t="str">
        <f>VLOOKUP(A11,Cleaned_Seller_Master!$A:$H,2,FALSE)</f>
        <v>Ever Merchants 010</v>
      </c>
      <c r="R11" t="str">
        <f>VLOOKUP(A11,Cleaned_Seller_Master!$A:$H,4,FALSE)</f>
        <v>Electronics</v>
      </c>
      <c r="S11" t="str">
        <f>VLOOKUP(A11,Cleaned_Seller_Master!$A:$H,5,FALSE)</f>
        <v>North</v>
      </c>
      <c r="T11" t="str">
        <f>VLOOKUP(A11,Cleaned_Seller_Master!$A:$H,8,FALSE)</f>
        <v>Standard</v>
      </c>
      <c r="U11" t="str">
        <f>VLOOKUP(A11,Cleaned_Seller_Master!$A:$H,7,FALSE)</f>
        <v>11-11-2022</v>
      </c>
      <c r="V11">
        <f>IFERROR(INDEX(Violation_Summary_Seller_Year!$C:$C,MATCH(AD11,Violation_Summary_Seller_Year!$K:$K,0)),0)</f>
        <v>2</v>
      </c>
      <c r="W11">
        <f>IFERROR(INDEX(Violation_Summary_Seller_Year!$D:$D,MATCH(AD11,Violation_Summary_Seller_Year!$K:$K,0)),0)</f>
        <v>719.28</v>
      </c>
      <c r="X11">
        <f>IFERROR(INDEX(Violation_Summary_Seller_Year!$E:$E,MATCH(AD11,Violation_Summary_Seller_Year!$K:$K,0)),0)</f>
        <v>0</v>
      </c>
      <c r="Y11">
        <f>IFERROR(INDEX(Violation_Summary_Seller_Year!$F:$F,MATCH(AD11,Violation_Summary_Seller_Year!$K:$K,0)),0)</f>
        <v>2</v>
      </c>
      <c r="Z11">
        <f>IFERROR(INDEX(Violation_Summary_Seller_Year!$G:$G,MATCH(AD11,Violation_Summary_Seller_Year!$K:$K,0)),0)</f>
        <v>0</v>
      </c>
      <c r="AA11">
        <f>IFERROR(INDEX(Violation_Summary_Seller_Year!$H:$H,MATCH(AD11,Violation_Summary_Seller_Year!$K:$K,0)),0)</f>
        <v>0</v>
      </c>
      <c r="AB11">
        <f>IFERROR(INDEX(Violation_Summary_Seller_Year!$I:$I,MATCH(AD11,Violation_Summary_Seller_Year!$K:$K,0)),0)</f>
        <v>0</v>
      </c>
      <c r="AC11">
        <f>IFERROR(INDEX(Violation_Summary_Seller_Year!$J:$J,MATCH(AD11,Violation_Summary_Seller_Year!$K:$K,0)),0)</f>
        <v>8</v>
      </c>
      <c r="AD11" t="str">
        <f t="shared" si="0"/>
        <v>10_2021</v>
      </c>
      <c r="AE11">
        <f t="shared" si="1"/>
        <v>0</v>
      </c>
      <c r="AF11">
        <f t="shared" si="2"/>
        <v>2</v>
      </c>
      <c r="AG11">
        <f t="shared" si="3"/>
        <v>1</v>
      </c>
      <c r="AH11">
        <f t="shared" si="4"/>
        <v>0</v>
      </c>
      <c r="AI11">
        <f t="shared" si="5"/>
        <v>1</v>
      </c>
      <c r="AJ11">
        <f t="shared" si="6"/>
        <v>80</v>
      </c>
      <c r="AK11" t="str">
        <f t="shared" si="7"/>
        <v>Medium</v>
      </c>
    </row>
    <row r="12" spans="1:37" x14ac:dyDescent="0.3">
      <c r="A12">
        <v>12</v>
      </c>
      <c r="B12">
        <v>2021</v>
      </c>
      <c r="C12">
        <v>1863</v>
      </c>
      <c r="D12">
        <v>169</v>
      </c>
      <c r="E12">
        <v>126</v>
      </c>
      <c r="F12">
        <v>5399.95</v>
      </c>
      <c r="G12">
        <v>6.7632999999999999E-2</v>
      </c>
      <c r="H12">
        <v>41</v>
      </c>
      <c r="I12">
        <v>61</v>
      </c>
      <c r="J12">
        <v>13</v>
      </c>
      <c r="K12">
        <v>21</v>
      </c>
      <c r="L12">
        <v>1</v>
      </c>
      <c r="M12">
        <v>6</v>
      </c>
      <c r="N12">
        <v>9</v>
      </c>
      <c r="O12">
        <v>6</v>
      </c>
      <c r="P12" t="s">
        <v>85</v>
      </c>
      <c r="Q12" t="str">
        <f>VLOOKUP(A12,Cleaned_Seller_Master!$A:$H,2,FALSE)</f>
        <v>Pulse Commerce 012</v>
      </c>
      <c r="R12" t="str">
        <f>VLOOKUP(A12,Cleaned_Seller_Master!$A:$H,4,FALSE)</f>
        <v>Groceries</v>
      </c>
      <c r="S12" t="str">
        <f>VLOOKUP(A12,Cleaned_Seller_Master!$A:$H,5,FALSE)</f>
        <v>North</v>
      </c>
      <c r="T12" t="str">
        <f>VLOOKUP(A12,Cleaned_Seller_Master!$A:$H,8,FALSE)</f>
        <v>Verified</v>
      </c>
      <c r="U12" t="str">
        <f>VLOOKUP(A12,Cleaned_Seller_Master!$A:$H,7,FALSE)</f>
        <v>01-08-2023</v>
      </c>
      <c r="V12">
        <f>IFERROR(INDEX(Violation_Summary_Seller_Year!$C:$C,MATCH(AD12,Violation_Summary_Seller_Year!$K:$K,0)),0)</f>
        <v>5</v>
      </c>
      <c r="W12">
        <f>IFERROR(INDEX(Violation_Summary_Seller_Year!$D:$D,MATCH(AD12,Violation_Summary_Seller_Year!$K:$K,0)),0)</f>
        <v>16001.04</v>
      </c>
      <c r="X12">
        <f>IFERROR(INDEX(Violation_Summary_Seller_Year!$E:$E,MATCH(AD12,Violation_Summary_Seller_Year!$K:$K,0)),0)</f>
        <v>3</v>
      </c>
      <c r="Y12">
        <f>IFERROR(INDEX(Violation_Summary_Seller_Year!$F:$F,MATCH(AD12,Violation_Summary_Seller_Year!$K:$K,0)),0)</f>
        <v>2</v>
      </c>
      <c r="Z12">
        <f>IFERROR(INDEX(Violation_Summary_Seller_Year!$G:$G,MATCH(AD12,Violation_Summary_Seller_Year!$K:$K,0)),0)</f>
        <v>3</v>
      </c>
      <c r="AA12">
        <f>IFERROR(INDEX(Violation_Summary_Seller_Year!$H:$H,MATCH(AD12,Violation_Summary_Seller_Year!$K:$K,0)),0)</f>
        <v>5</v>
      </c>
      <c r="AB12">
        <f>IFERROR(INDEX(Violation_Summary_Seller_Year!$I:$I,MATCH(AD12,Violation_Summary_Seller_Year!$K:$K,0)),0)</f>
        <v>2</v>
      </c>
      <c r="AC12">
        <f>IFERROR(INDEX(Violation_Summary_Seller_Year!$J:$J,MATCH(AD12,Violation_Summary_Seller_Year!$K:$K,0)),0)</f>
        <v>50</v>
      </c>
      <c r="AD12" t="str">
        <f t="shared" si="0"/>
        <v>12_2021</v>
      </c>
      <c r="AE12">
        <f t="shared" si="1"/>
        <v>1</v>
      </c>
      <c r="AF12">
        <f t="shared" si="2"/>
        <v>2</v>
      </c>
      <c r="AG12">
        <f t="shared" si="3"/>
        <v>2</v>
      </c>
      <c r="AH12">
        <f t="shared" si="4"/>
        <v>2</v>
      </c>
      <c r="AI12">
        <f t="shared" si="5"/>
        <v>2</v>
      </c>
      <c r="AJ12">
        <f t="shared" si="6"/>
        <v>175</v>
      </c>
      <c r="AK12" t="str">
        <f t="shared" si="7"/>
        <v>High</v>
      </c>
    </row>
    <row r="13" spans="1:37" x14ac:dyDescent="0.3">
      <c r="A13">
        <v>13</v>
      </c>
      <c r="B13">
        <v>2021</v>
      </c>
      <c r="C13">
        <v>241</v>
      </c>
      <c r="D13">
        <v>24</v>
      </c>
      <c r="E13">
        <v>19</v>
      </c>
      <c r="F13">
        <v>2150.92</v>
      </c>
      <c r="G13">
        <v>7.8838000000000005E-2</v>
      </c>
      <c r="H13">
        <v>15</v>
      </c>
      <c r="I13">
        <v>16</v>
      </c>
      <c r="J13">
        <v>7</v>
      </c>
      <c r="K13">
        <v>6</v>
      </c>
      <c r="L13">
        <v>0</v>
      </c>
      <c r="M13">
        <v>1</v>
      </c>
      <c r="N13">
        <v>4</v>
      </c>
      <c r="O13">
        <v>1</v>
      </c>
      <c r="P13" t="s">
        <v>85</v>
      </c>
      <c r="Q13" t="str">
        <f>VLOOKUP(A13,Cleaned_Seller_Master!$A:$H,2,FALSE)</f>
        <v>Summit Bazaar 013</v>
      </c>
      <c r="R13" t="str">
        <f>VLOOKUP(A13,Cleaned_Seller_Master!$A:$H,4,FALSE)</f>
        <v>Groceries</v>
      </c>
      <c r="S13" t="str">
        <f>VLOOKUP(A13,Cleaned_Seller_Master!$A:$H,5,FALSE)</f>
        <v>North</v>
      </c>
      <c r="T13" t="str">
        <f>VLOOKUP(A13,Cleaned_Seller_Master!$A:$H,8,FALSE)</f>
        <v>Premium</v>
      </c>
      <c r="U13" t="str">
        <f>VLOOKUP(A13,Cleaned_Seller_Master!$A:$H,7,FALSE)</f>
        <v>25-02-2025</v>
      </c>
      <c r="V13">
        <f>IFERROR(INDEX(Violation_Summary_Seller_Year!$C:$C,MATCH(AD13,Violation_Summary_Seller_Year!$K:$K,0)),0)</f>
        <v>6</v>
      </c>
      <c r="W13">
        <f>IFERROR(INDEX(Violation_Summary_Seller_Year!$D:$D,MATCH(AD13,Violation_Summary_Seller_Year!$K:$K,0)),0)</f>
        <v>21731.769999999997</v>
      </c>
      <c r="X13">
        <f>IFERROR(INDEX(Violation_Summary_Seller_Year!$E:$E,MATCH(AD13,Violation_Summary_Seller_Year!$K:$K,0)),0)</f>
        <v>0</v>
      </c>
      <c r="Y13">
        <f>IFERROR(INDEX(Violation_Summary_Seller_Year!$F:$F,MATCH(AD13,Violation_Summary_Seller_Year!$K:$K,0)),0)</f>
        <v>2</v>
      </c>
      <c r="Z13">
        <f>IFERROR(INDEX(Violation_Summary_Seller_Year!$G:$G,MATCH(AD13,Violation_Summary_Seller_Year!$K:$K,0)),0)</f>
        <v>4</v>
      </c>
      <c r="AA13">
        <f>IFERROR(INDEX(Violation_Summary_Seller_Year!$H:$H,MATCH(AD13,Violation_Summary_Seller_Year!$K:$K,0)),0)</f>
        <v>5</v>
      </c>
      <c r="AB13">
        <f>IFERROR(INDEX(Violation_Summary_Seller_Year!$I:$I,MATCH(AD13,Violation_Summary_Seller_Year!$K:$K,0)),0)</f>
        <v>2</v>
      </c>
      <c r="AC13">
        <f>IFERROR(INDEX(Violation_Summary_Seller_Year!$J:$J,MATCH(AD13,Violation_Summary_Seller_Year!$K:$K,0)),0)</f>
        <v>65</v>
      </c>
      <c r="AD13" t="str">
        <f t="shared" si="0"/>
        <v>13_2021</v>
      </c>
      <c r="AE13">
        <f t="shared" si="1"/>
        <v>1</v>
      </c>
      <c r="AF13">
        <f t="shared" si="2"/>
        <v>2</v>
      </c>
      <c r="AG13">
        <f t="shared" si="3"/>
        <v>2</v>
      </c>
      <c r="AH13">
        <f t="shared" si="4"/>
        <v>0</v>
      </c>
      <c r="AI13">
        <f t="shared" si="5"/>
        <v>2</v>
      </c>
      <c r="AJ13">
        <f t="shared" si="6"/>
        <v>135</v>
      </c>
      <c r="AK13" t="str">
        <f t="shared" si="7"/>
        <v>High</v>
      </c>
    </row>
    <row r="14" spans="1:37" x14ac:dyDescent="0.3">
      <c r="A14">
        <v>14</v>
      </c>
      <c r="B14">
        <v>2021</v>
      </c>
      <c r="C14">
        <v>551</v>
      </c>
      <c r="D14">
        <v>35</v>
      </c>
      <c r="E14">
        <v>26</v>
      </c>
      <c r="F14">
        <v>1241.72</v>
      </c>
      <c r="G14">
        <v>4.7187E-2</v>
      </c>
      <c r="H14">
        <v>7</v>
      </c>
      <c r="I14">
        <v>21</v>
      </c>
      <c r="J14">
        <v>5</v>
      </c>
      <c r="K14">
        <v>6</v>
      </c>
      <c r="L14">
        <v>1</v>
      </c>
      <c r="M14">
        <v>6</v>
      </c>
      <c r="N14">
        <v>3</v>
      </c>
      <c r="O14">
        <v>3</v>
      </c>
      <c r="P14" t="s">
        <v>85</v>
      </c>
      <c r="Q14" t="str">
        <f>VLOOKUP(A14,Cleaned_Seller_Master!$A:$H,2,FALSE)</f>
        <v>Prime Bridge 014</v>
      </c>
      <c r="R14" t="str">
        <f>VLOOKUP(A14,Cleaned_Seller_Master!$A:$H,4,FALSE)</f>
        <v>Groceries</v>
      </c>
      <c r="S14" t="str">
        <f>VLOOKUP(A14,Cleaned_Seller_Master!$A:$H,5,FALSE)</f>
        <v>West</v>
      </c>
      <c r="T14" t="str">
        <f>VLOOKUP(A14,Cleaned_Seller_Master!$A:$H,8,FALSE)</f>
        <v>Strategic</v>
      </c>
      <c r="U14" t="str">
        <f>VLOOKUP(A14,Cleaned_Seller_Master!$A:$H,7,FALSE)</f>
        <v>10-12-2020</v>
      </c>
      <c r="V14">
        <f>IFERROR(INDEX(Violation_Summary_Seller_Year!$C:$C,MATCH(AD14,Violation_Summary_Seller_Year!$K:$K,0)),0)</f>
        <v>6</v>
      </c>
      <c r="W14">
        <f>IFERROR(INDEX(Violation_Summary_Seller_Year!$D:$D,MATCH(AD14,Violation_Summary_Seller_Year!$K:$K,0)),0)</f>
        <v>14699.390000000001</v>
      </c>
      <c r="X14">
        <f>IFERROR(INDEX(Violation_Summary_Seller_Year!$E:$E,MATCH(AD14,Violation_Summary_Seller_Year!$K:$K,0)),0)</f>
        <v>4</v>
      </c>
      <c r="Y14">
        <f>IFERROR(INDEX(Violation_Summary_Seller_Year!$F:$F,MATCH(AD14,Violation_Summary_Seller_Year!$K:$K,0)),0)</f>
        <v>3</v>
      </c>
      <c r="Z14">
        <f>IFERROR(INDEX(Violation_Summary_Seller_Year!$G:$G,MATCH(AD14,Violation_Summary_Seller_Year!$K:$K,0)),0)</f>
        <v>3</v>
      </c>
      <c r="AA14">
        <f>IFERROR(INDEX(Violation_Summary_Seller_Year!$H:$H,MATCH(AD14,Violation_Summary_Seller_Year!$K:$K,0)),0)</f>
        <v>5</v>
      </c>
      <c r="AB14">
        <f>IFERROR(INDEX(Violation_Summary_Seller_Year!$I:$I,MATCH(AD14,Violation_Summary_Seller_Year!$K:$K,0)),0)</f>
        <v>3</v>
      </c>
      <c r="AC14">
        <f>IFERROR(INDEX(Violation_Summary_Seller_Year!$J:$J,MATCH(AD14,Violation_Summary_Seller_Year!$K:$K,0)),0)</f>
        <v>51</v>
      </c>
      <c r="AD14" t="str">
        <f t="shared" si="0"/>
        <v>14_2021</v>
      </c>
      <c r="AE14">
        <f t="shared" si="1"/>
        <v>0</v>
      </c>
      <c r="AF14">
        <f t="shared" si="2"/>
        <v>1</v>
      </c>
      <c r="AG14">
        <f t="shared" si="3"/>
        <v>2</v>
      </c>
      <c r="AH14">
        <f t="shared" si="4"/>
        <v>2</v>
      </c>
      <c r="AI14">
        <f t="shared" si="5"/>
        <v>2</v>
      </c>
      <c r="AJ14">
        <f t="shared" si="6"/>
        <v>125</v>
      </c>
      <c r="AK14" t="str">
        <f t="shared" si="7"/>
        <v>High</v>
      </c>
    </row>
    <row r="15" spans="1:37" x14ac:dyDescent="0.3">
      <c r="A15">
        <v>15</v>
      </c>
      <c r="B15">
        <v>2021</v>
      </c>
      <c r="C15">
        <v>623</v>
      </c>
      <c r="D15">
        <v>36</v>
      </c>
      <c r="E15">
        <v>32</v>
      </c>
      <c r="F15">
        <v>1677.46</v>
      </c>
      <c r="G15">
        <v>5.1364E-2</v>
      </c>
      <c r="H15">
        <v>10</v>
      </c>
      <c r="I15">
        <v>12</v>
      </c>
      <c r="J15">
        <v>5</v>
      </c>
      <c r="K15">
        <v>6</v>
      </c>
      <c r="L15">
        <v>0</v>
      </c>
      <c r="M15">
        <v>1</v>
      </c>
      <c r="N15">
        <v>3</v>
      </c>
      <c r="O15">
        <v>1</v>
      </c>
      <c r="P15" t="s">
        <v>175</v>
      </c>
      <c r="Q15" t="str">
        <f>VLOOKUP(A15,Cleaned_Seller_Master!$A:$H,2,FALSE)</f>
        <v>Apex Retail 015</v>
      </c>
      <c r="R15" t="str">
        <f>VLOOKUP(A15,Cleaned_Seller_Master!$A:$H,4,FALSE)</f>
        <v>Electronics</v>
      </c>
      <c r="S15" t="str">
        <f>VLOOKUP(A15,Cleaned_Seller_Master!$A:$H,5,FALSE)</f>
        <v>East</v>
      </c>
      <c r="T15" t="str">
        <f>VLOOKUP(A15,Cleaned_Seller_Master!$A:$H,8,FALSE)</f>
        <v>Premium</v>
      </c>
      <c r="U15" t="str">
        <f>VLOOKUP(A15,Cleaned_Seller_Master!$A:$H,7,FALSE)</f>
        <v>08-10-2021</v>
      </c>
      <c r="V15">
        <f>IFERROR(INDEX(Violation_Summary_Seller_Year!$C:$C,MATCH(AD15,Violation_Summary_Seller_Year!$K:$K,0)),0)</f>
        <v>2</v>
      </c>
      <c r="W15">
        <f>IFERROR(INDEX(Violation_Summary_Seller_Year!$D:$D,MATCH(AD15,Violation_Summary_Seller_Year!$K:$K,0)),0)</f>
        <v>1200.48</v>
      </c>
      <c r="X15">
        <f>IFERROR(INDEX(Violation_Summary_Seller_Year!$E:$E,MATCH(AD15,Violation_Summary_Seller_Year!$K:$K,0)),0)</f>
        <v>0</v>
      </c>
      <c r="Y15">
        <f>IFERROR(INDEX(Violation_Summary_Seller_Year!$F:$F,MATCH(AD15,Violation_Summary_Seller_Year!$K:$K,0)),0)</f>
        <v>1</v>
      </c>
      <c r="Z15">
        <f>IFERROR(INDEX(Violation_Summary_Seller_Year!$G:$G,MATCH(AD15,Violation_Summary_Seller_Year!$K:$K,0)),0)</f>
        <v>1</v>
      </c>
      <c r="AA15">
        <f>IFERROR(INDEX(Violation_Summary_Seller_Year!$H:$H,MATCH(AD15,Violation_Summary_Seller_Year!$K:$K,0)),0)</f>
        <v>0</v>
      </c>
      <c r="AB15">
        <f>IFERROR(INDEX(Violation_Summary_Seller_Year!$I:$I,MATCH(AD15,Violation_Summary_Seller_Year!$K:$K,0)),0)</f>
        <v>1</v>
      </c>
      <c r="AC15">
        <f>IFERROR(INDEX(Violation_Summary_Seller_Year!$J:$J,MATCH(AD15,Violation_Summary_Seller_Year!$K:$K,0)),0)</f>
        <v>13</v>
      </c>
      <c r="AD15" t="str">
        <f t="shared" si="0"/>
        <v>15_2021</v>
      </c>
      <c r="AE15">
        <f t="shared" si="1"/>
        <v>1</v>
      </c>
      <c r="AF15">
        <f t="shared" si="2"/>
        <v>2</v>
      </c>
      <c r="AG15">
        <f t="shared" si="3"/>
        <v>1</v>
      </c>
      <c r="AH15">
        <f t="shared" si="4"/>
        <v>0</v>
      </c>
      <c r="AI15">
        <f t="shared" si="5"/>
        <v>1</v>
      </c>
      <c r="AJ15">
        <f t="shared" si="6"/>
        <v>105</v>
      </c>
      <c r="AK15" t="str">
        <f t="shared" si="7"/>
        <v>Medium</v>
      </c>
    </row>
    <row r="16" spans="1:37" x14ac:dyDescent="0.3">
      <c r="A16">
        <v>16</v>
      </c>
      <c r="B16">
        <v>2021</v>
      </c>
      <c r="C16">
        <v>1028</v>
      </c>
      <c r="D16">
        <v>94</v>
      </c>
      <c r="E16">
        <v>84</v>
      </c>
      <c r="F16">
        <v>8282.14</v>
      </c>
      <c r="G16">
        <v>8.1712000000000007E-2</v>
      </c>
      <c r="H16">
        <v>17</v>
      </c>
      <c r="I16">
        <v>38</v>
      </c>
      <c r="J16">
        <v>15</v>
      </c>
      <c r="K16">
        <v>9</v>
      </c>
      <c r="L16">
        <v>1</v>
      </c>
      <c r="M16">
        <v>6</v>
      </c>
      <c r="N16">
        <v>6</v>
      </c>
      <c r="O16">
        <v>7</v>
      </c>
      <c r="P16" t="s">
        <v>85</v>
      </c>
      <c r="Q16" t="str">
        <f>VLOOKUP(A16,Cleaned_Seller_Master!$A:$H,2,FALSE)</f>
        <v>Nimbus Market 016</v>
      </c>
      <c r="R16" t="str">
        <f>VLOOKUP(A16,Cleaned_Seller_Master!$A:$H,4,FALSE)</f>
        <v>Groceries</v>
      </c>
      <c r="S16" t="str">
        <f>VLOOKUP(A16,Cleaned_Seller_Master!$A:$H,5,FALSE)</f>
        <v>South</v>
      </c>
      <c r="T16" t="str">
        <f>VLOOKUP(A16,Cleaned_Seller_Master!$A:$H,8,FALSE)</f>
        <v>Standard</v>
      </c>
      <c r="U16" t="str">
        <f>VLOOKUP(A16,Cleaned_Seller_Master!$A:$H,7,FALSE)</f>
        <v>18-04-2025</v>
      </c>
      <c r="V16">
        <f>IFERROR(INDEX(Violation_Summary_Seller_Year!$C:$C,MATCH(AD16,Violation_Summary_Seller_Year!$K:$K,0)),0)</f>
        <v>4</v>
      </c>
      <c r="W16">
        <f>IFERROR(INDEX(Violation_Summary_Seller_Year!$D:$D,MATCH(AD16,Violation_Summary_Seller_Year!$K:$K,0)),0)</f>
        <v>14110.26</v>
      </c>
      <c r="X16">
        <f>IFERROR(INDEX(Violation_Summary_Seller_Year!$E:$E,MATCH(AD16,Violation_Summary_Seller_Year!$K:$K,0)),0)</f>
        <v>0</v>
      </c>
      <c r="Y16">
        <f>IFERROR(INDEX(Violation_Summary_Seller_Year!$F:$F,MATCH(AD16,Violation_Summary_Seller_Year!$K:$K,0)),0)</f>
        <v>1</v>
      </c>
      <c r="Z16">
        <f>IFERROR(INDEX(Violation_Summary_Seller_Year!$G:$G,MATCH(AD16,Violation_Summary_Seller_Year!$K:$K,0)),0)</f>
        <v>3</v>
      </c>
      <c r="AA16">
        <f>IFERROR(INDEX(Violation_Summary_Seller_Year!$H:$H,MATCH(AD16,Violation_Summary_Seller_Year!$K:$K,0)),0)</f>
        <v>4</v>
      </c>
      <c r="AB16">
        <f>IFERROR(INDEX(Violation_Summary_Seller_Year!$I:$I,MATCH(AD16,Violation_Summary_Seller_Year!$K:$K,0)),0)</f>
        <v>3</v>
      </c>
      <c r="AC16">
        <f>IFERROR(INDEX(Violation_Summary_Seller_Year!$J:$J,MATCH(AD16,Violation_Summary_Seller_Year!$K:$K,0)),0)</f>
        <v>40</v>
      </c>
      <c r="AD16" t="str">
        <f t="shared" si="0"/>
        <v>16_2021</v>
      </c>
      <c r="AE16">
        <f t="shared" si="1"/>
        <v>1</v>
      </c>
      <c r="AF16">
        <f t="shared" si="2"/>
        <v>2</v>
      </c>
      <c r="AG16">
        <f t="shared" si="3"/>
        <v>2</v>
      </c>
      <c r="AH16">
        <f t="shared" si="4"/>
        <v>2</v>
      </c>
      <c r="AI16">
        <f t="shared" si="5"/>
        <v>2</v>
      </c>
      <c r="AJ16">
        <f t="shared" si="6"/>
        <v>175</v>
      </c>
      <c r="AK16" t="str">
        <f t="shared" si="7"/>
        <v>High</v>
      </c>
    </row>
    <row r="17" spans="1:37" x14ac:dyDescent="0.3">
      <c r="A17">
        <v>17</v>
      </c>
      <c r="B17">
        <v>2021</v>
      </c>
      <c r="C17">
        <v>1452</v>
      </c>
      <c r="D17">
        <v>117</v>
      </c>
      <c r="E17">
        <v>93</v>
      </c>
      <c r="F17">
        <v>6754.89</v>
      </c>
      <c r="G17">
        <v>6.4049999999999996E-2</v>
      </c>
      <c r="H17">
        <v>13</v>
      </c>
      <c r="I17">
        <v>47</v>
      </c>
      <c r="J17">
        <v>17</v>
      </c>
      <c r="K17">
        <v>7</v>
      </c>
      <c r="L17">
        <v>1</v>
      </c>
      <c r="M17">
        <v>4</v>
      </c>
      <c r="N17">
        <v>5</v>
      </c>
      <c r="O17">
        <v>8</v>
      </c>
      <c r="P17" t="s">
        <v>85</v>
      </c>
      <c r="Q17" t="str">
        <f>VLOOKUP(A17,Cleaned_Seller_Master!$A:$H,2,FALSE)</f>
        <v>Metro Point 017</v>
      </c>
      <c r="R17" t="str">
        <f>VLOOKUP(A17,Cleaned_Seller_Master!$A:$H,4,FALSE)</f>
        <v>Beauty</v>
      </c>
      <c r="S17" t="str">
        <f>VLOOKUP(A17,Cleaned_Seller_Master!$A:$H,5,FALSE)</f>
        <v>North</v>
      </c>
      <c r="T17" t="str">
        <f>VLOOKUP(A17,Cleaned_Seller_Master!$A:$H,8,FALSE)</f>
        <v>Premium</v>
      </c>
      <c r="U17" t="str">
        <f>VLOOKUP(A17,Cleaned_Seller_Master!$A:$H,7,FALSE)</f>
        <v>14-06-2023</v>
      </c>
      <c r="V17">
        <f>IFERROR(INDEX(Violation_Summary_Seller_Year!$C:$C,MATCH(AD17,Violation_Summary_Seller_Year!$K:$K,0)),0)</f>
        <v>3</v>
      </c>
      <c r="W17">
        <f>IFERROR(INDEX(Violation_Summary_Seller_Year!$D:$D,MATCH(AD17,Violation_Summary_Seller_Year!$K:$K,0)),0)</f>
        <v>10971.82</v>
      </c>
      <c r="X17">
        <f>IFERROR(INDEX(Violation_Summary_Seller_Year!$E:$E,MATCH(AD17,Violation_Summary_Seller_Year!$K:$K,0)),0)</f>
        <v>3</v>
      </c>
      <c r="Y17">
        <f>IFERROR(INDEX(Violation_Summary_Seller_Year!$F:$F,MATCH(AD17,Violation_Summary_Seller_Year!$K:$K,0)),0)</f>
        <v>1</v>
      </c>
      <c r="Z17">
        <f>IFERROR(INDEX(Violation_Summary_Seller_Year!$G:$G,MATCH(AD17,Violation_Summary_Seller_Year!$K:$K,0)),0)</f>
        <v>2</v>
      </c>
      <c r="AA17">
        <f>IFERROR(INDEX(Violation_Summary_Seller_Year!$H:$H,MATCH(AD17,Violation_Summary_Seller_Year!$K:$K,0)),0)</f>
        <v>3</v>
      </c>
      <c r="AB17">
        <f>IFERROR(INDEX(Violation_Summary_Seller_Year!$I:$I,MATCH(AD17,Violation_Summary_Seller_Year!$K:$K,0)),0)</f>
        <v>2</v>
      </c>
      <c r="AC17">
        <f>IFERROR(INDEX(Violation_Summary_Seller_Year!$J:$J,MATCH(AD17,Violation_Summary_Seller_Year!$K:$K,0)),0)</f>
        <v>32</v>
      </c>
      <c r="AD17" t="str">
        <f t="shared" si="0"/>
        <v>17_2021</v>
      </c>
      <c r="AE17">
        <f t="shared" si="1"/>
        <v>1</v>
      </c>
      <c r="AF17">
        <f t="shared" si="2"/>
        <v>2</v>
      </c>
      <c r="AG17">
        <f t="shared" si="3"/>
        <v>2</v>
      </c>
      <c r="AH17">
        <f t="shared" si="4"/>
        <v>2</v>
      </c>
      <c r="AI17">
        <f t="shared" si="5"/>
        <v>2</v>
      </c>
      <c r="AJ17">
        <f t="shared" si="6"/>
        <v>175</v>
      </c>
      <c r="AK17" t="str">
        <f t="shared" si="7"/>
        <v>High</v>
      </c>
    </row>
    <row r="18" spans="1:37" x14ac:dyDescent="0.3">
      <c r="A18">
        <v>18</v>
      </c>
      <c r="B18">
        <v>2021</v>
      </c>
      <c r="C18">
        <v>371</v>
      </c>
      <c r="D18">
        <v>31</v>
      </c>
      <c r="E18">
        <v>27</v>
      </c>
      <c r="F18">
        <v>1292.32</v>
      </c>
      <c r="G18">
        <v>7.2775999999999993E-2</v>
      </c>
      <c r="H18">
        <v>12</v>
      </c>
      <c r="I18">
        <v>12</v>
      </c>
      <c r="J18">
        <v>5</v>
      </c>
      <c r="K18">
        <v>5</v>
      </c>
      <c r="L18">
        <v>1</v>
      </c>
      <c r="M18">
        <v>4</v>
      </c>
      <c r="N18">
        <v>4</v>
      </c>
      <c r="O18">
        <v>3</v>
      </c>
      <c r="P18" t="s">
        <v>85</v>
      </c>
      <c r="Q18" t="str">
        <f>VLOOKUP(A18,Cleaned_Seller_Master!$A:$H,2,FALSE)</f>
        <v>Luna Stores 018</v>
      </c>
      <c r="R18" t="str">
        <f>VLOOKUP(A18,Cleaned_Seller_Master!$A:$H,4,FALSE)</f>
        <v>Fashion</v>
      </c>
      <c r="S18" t="str">
        <f>VLOOKUP(A18,Cleaned_Seller_Master!$A:$H,5,FALSE)</f>
        <v>North</v>
      </c>
      <c r="T18" t="str">
        <f>VLOOKUP(A18,Cleaned_Seller_Master!$A:$H,8,FALSE)</f>
        <v>Premium</v>
      </c>
      <c r="U18" t="str">
        <f>VLOOKUP(A18,Cleaned_Seller_Master!$A:$H,7,FALSE)</f>
        <v>18-04-2020</v>
      </c>
      <c r="V18">
        <f>IFERROR(INDEX(Violation_Summary_Seller_Year!$C:$C,MATCH(AD18,Violation_Summary_Seller_Year!$K:$K,0)),0)</f>
        <v>4</v>
      </c>
      <c r="W18">
        <f>IFERROR(INDEX(Violation_Summary_Seller_Year!$D:$D,MATCH(AD18,Violation_Summary_Seller_Year!$K:$K,0)),0)</f>
        <v>15926.249999999998</v>
      </c>
      <c r="X18">
        <f>IFERROR(INDEX(Violation_Summary_Seller_Year!$E:$E,MATCH(AD18,Violation_Summary_Seller_Year!$K:$K,0)),0)</f>
        <v>2</v>
      </c>
      <c r="Y18">
        <f>IFERROR(INDEX(Violation_Summary_Seller_Year!$F:$F,MATCH(AD18,Violation_Summary_Seller_Year!$K:$K,0)),0)</f>
        <v>0</v>
      </c>
      <c r="Z18">
        <f>IFERROR(INDEX(Violation_Summary_Seller_Year!$G:$G,MATCH(AD18,Violation_Summary_Seller_Year!$K:$K,0)),0)</f>
        <v>4</v>
      </c>
      <c r="AA18">
        <f>IFERROR(INDEX(Violation_Summary_Seller_Year!$H:$H,MATCH(AD18,Violation_Summary_Seller_Year!$K:$K,0)),0)</f>
        <v>3</v>
      </c>
      <c r="AB18">
        <f>IFERROR(INDEX(Violation_Summary_Seller_Year!$I:$I,MATCH(AD18,Violation_Summary_Seller_Year!$K:$K,0)),0)</f>
        <v>2</v>
      </c>
      <c r="AC18">
        <f>IFERROR(INDEX(Violation_Summary_Seller_Year!$J:$J,MATCH(AD18,Violation_Summary_Seller_Year!$K:$K,0)),0)</f>
        <v>37</v>
      </c>
      <c r="AD18" t="str">
        <f t="shared" si="0"/>
        <v>18_2021</v>
      </c>
      <c r="AE18">
        <f t="shared" si="1"/>
        <v>1</v>
      </c>
      <c r="AF18">
        <f t="shared" si="2"/>
        <v>2</v>
      </c>
      <c r="AG18">
        <f t="shared" si="3"/>
        <v>2</v>
      </c>
      <c r="AH18">
        <f t="shared" si="4"/>
        <v>2</v>
      </c>
      <c r="AI18">
        <f t="shared" si="5"/>
        <v>2</v>
      </c>
      <c r="AJ18">
        <f t="shared" si="6"/>
        <v>175</v>
      </c>
      <c r="AK18" t="str">
        <f t="shared" si="7"/>
        <v>High</v>
      </c>
    </row>
    <row r="19" spans="1:37" x14ac:dyDescent="0.3">
      <c r="A19">
        <v>19</v>
      </c>
      <c r="B19">
        <v>2021</v>
      </c>
      <c r="C19">
        <v>1266</v>
      </c>
      <c r="D19">
        <v>68</v>
      </c>
      <c r="E19">
        <v>63</v>
      </c>
      <c r="F19">
        <v>4030.82</v>
      </c>
      <c r="G19">
        <v>4.9763000000000002E-2</v>
      </c>
      <c r="H19">
        <v>14</v>
      </c>
      <c r="I19">
        <v>35</v>
      </c>
      <c r="J19">
        <v>8</v>
      </c>
      <c r="K19">
        <v>13</v>
      </c>
      <c r="L19">
        <v>1</v>
      </c>
      <c r="M19">
        <v>5</v>
      </c>
      <c r="N19">
        <v>6</v>
      </c>
      <c r="O19">
        <v>3</v>
      </c>
      <c r="P19" t="s">
        <v>85</v>
      </c>
      <c r="Q19" t="str">
        <f>VLOOKUP(A19,Cleaned_Seller_Master!$A:$H,2,FALSE)</f>
        <v>Elite Link 019</v>
      </c>
      <c r="R19" t="str">
        <f>VLOOKUP(A19,Cleaned_Seller_Master!$A:$H,4,FALSE)</f>
        <v>Groceries</v>
      </c>
      <c r="S19" t="str">
        <f>VLOOKUP(A19,Cleaned_Seller_Master!$A:$H,5,FALSE)</f>
        <v>North</v>
      </c>
      <c r="T19" t="str">
        <f>VLOOKUP(A19,Cleaned_Seller_Master!$A:$H,8,FALSE)</f>
        <v>Standard</v>
      </c>
      <c r="U19" t="str">
        <f>VLOOKUP(A19,Cleaned_Seller_Master!$A:$H,7,FALSE)</f>
        <v>25-02-2018</v>
      </c>
      <c r="V19">
        <f>IFERROR(INDEX(Violation_Summary_Seller_Year!$C:$C,MATCH(AD19,Violation_Summary_Seller_Year!$K:$K,0)),0)</f>
        <v>1</v>
      </c>
      <c r="W19">
        <f>IFERROR(INDEX(Violation_Summary_Seller_Year!$D:$D,MATCH(AD19,Violation_Summary_Seller_Year!$K:$K,0)),0)</f>
        <v>565.89</v>
      </c>
      <c r="X19">
        <f>IFERROR(INDEX(Violation_Summary_Seller_Year!$E:$E,MATCH(AD19,Violation_Summary_Seller_Year!$K:$K,0)),0)</f>
        <v>0</v>
      </c>
      <c r="Y19">
        <f>IFERROR(INDEX(Violation_Summary_Seller_Year!$F:$F,MATCH(AD19,Violation_Summary_Seller_Year!$K:$K,0)),0)</f>
        <v>1</v>
      </c>
      <c r="Z19">
        <f>IFERROR(INDEX(Violation_Summary_Seller_Year!$G:$G,MATCH(AD19,Violation_Summary_Seller_Year!$K:$K,0)),0)</f>
        <v>0</v>
      </c>
      <c r="AA19">
        <f>IFERROR(INDEX(Violation_Summary_Seller_Year!$H:$H,MATCH(AD19,Violation_Summary_Seller_Year!$K:$K,0)),0)</f>
        <v>0</v>
      </c>
      <c r="AB19">
        <f>IFERROR(INDEX(Violation_Summary_Seller_Year!$I:$I,MATCH(AD19,Violation_Summary_Seller_Year!$K:$K,0)),0)</f>
        <v>1</v>
      </c>
      <c r="AC19">
        <f>IFERROR(INDEX(Violation_Summary_Seller_Year!$J:$J,MATCH(AD19,Violation_Summary_Seller_Year!$K:$K,0)),0)</f>
        <v>14</v>
      </c>
      <c r="AD19" t="str">
        <f t="shared" si="0"/>
        <v>19_2021</v>
      </c>
      <c r="AE19">
        <f t="shared" si="1"/>
        <v>0</v>
      </c>
      <c r="AF19">
        <f t="shared" si="2"/>
        <v>2</v>
      </c>
      <c r="AG19">
        <f t="shared" si="3"/>
        <v>0</v>
      </c>
      <c r="AH19">
        <f t="shared" si="4"/>
        <v>2</v>
      </c>
      <c r="AI19">
        <f t="shared" si="5"/>
        <v>2</v>
      </c>
      <c r="AJ19">
        <f t="shared" si="6"/>
        <v>110</v>
      </c>
      <c r="AK19" t="str">
        <f t="shared" si="7"/>
        <v>Medium</v>
      </c>
    </row>
    <row r="20" spans="1:37" x14ac:dyDescent="0.3">
      <c r="A20">
        <v>20</v>
      </c>
      <c r="B20">
        <v>2021</v>
      </c>
      <c r="C20">
        <v>1085</v>
      </c>
      <c r="D20">
        <v>62</v>
      </c>
      <c r="E20">
        <v>59</v>
      </c>
      <c r="F20">
        <v>6174.17</v>
      </c>
      <c r="G20">
        <v>5.4378000000000003E-2</v>
      </c>
      <c r="H20">
        <v>14</v>
      </c>
      <c r="I20">
        <v>22</v>
      </c>
      <c r="J20">
        <v>13</v>
      </c>
      <c r="K20">
        <v>5</v>
      </c>
      <c r="L20">
        <v>0</v>
      </c>
      <c r="M20">
        <v>2</v>
      </c>
      <c r="N20">
        <v>4</v>
      </c>
      <c r="O20">
        <v>1</v>
      </c>
      <c r="P20" t="s">
        <v>175</v>
      </c>
      <c r="Q20" t="str">
        <f>VLOOKUP(A20,Cleaned_Seller_Master!$A:$H,2,FALSE)</f>
        <v>Nova Cart 020</v>
      </c>
      <c r="R20" t="str">
        <f>VLOOKUP(A20,Cleaned_Seller_Master!$A:$H,4,FALSE)</f>
        <v>Home</v>
      </c>
      <c r="S20" t="str">
        <f>VLOOKUP(A20,Cleaned_Seller_Master!$A:$H,5,FALSE)</f>
        <v>North</v>
      </c>
      <c r="T20" t="str">
        <f>VLOOKUP(A20,Cleaned_Seller_Master!$A:$H,8,FALSE)</f>
        <v>Verified</v>
      </c>
      <c r="U20" t="str">
        <f>VLOOKUP(A20,Cleaned_Seller_Master!$A:$H,7,FALSE)</f>
        <v>10-08-2021</v>
      </c>
      <c r="V20">
        <f>IFERROR(INDEX(Violation_Summary_Seller_Year!$C:$C,MATCH(AD20,Violation_Summary_Seller_Year!$K:$K,0)),0)</f>
        <v>2</v>
      </c>
      <c r="W20">
        <f>IFERROR(INDEX(Violation_Summary_Seller_Year!$D:$D,MATCH(AD20,Violation_Summary_Seller_Year!$K:$K,0)),0)</f>
        <v>2226.71</v>
      </c>
      <c r="X20">
        <f>IFERROR(INDEX(Violation_Summary_Seller_Year!$E:$E,MATCH(AD20,Violation_Summary_Seller_Year!$K:$K,0)),0)</f>
        <v>0</v>
      </c>
      <c r="Y20">
        <f>IFERROR(INDEX(Violation_Summary_Seller_Year!$F:$F,MATCH(AD20,Violation_Summary_Seller_Year!$K:$K,0)),0)</f>
        <v>2</v>
      </c>
      <c r="Z20">
        <f>IFERROR(INDEX(Violation_Summary_Seller_Year!$G:$G,MATCH(AD20,Violation_Summary_Seller_Year!$K:$K,0)),0)</f>
        <v>0</v>
      </c>
      <c r="AA20">
        <f>IFERROR(INDEX(Violation_Summary_Seller_Year!$H:$H,MATCH(AD20,Violation_Summary_Seller_Year!$K:$K,0)),0)</f>
        <v>1</v>
      </c>
      <c r="AB20">
        <f>IFERROR(INDEX(Violation_Summary_Seller_Year!$I:$I,MATCH(AD20,Violation_Summary_Seller_Year!$K:$K,0)),0)</f>
        <v>0</v>
      </c>
      <c r="AC20">
        <f>IFERROR(INDEX(Violation_Summary_Seller_Year!$J:$J,MATCH(AD20,Violation_Summary_Seller_Year!$K:$K,0)),0)</f>
        <v>22</v>
      </c>
      <c r="AD20" t="str">
        <f t="shared" si="0"/>
        <v>20_2021</v>
      </c>
      <c r="AE20">
        <f t="shared" si="1"/>
        <v>1</v>
      </c>
      <c r="AF20">
        <f t="shared" si="2"/>
        <v>2</v>
      </c>
      <c r="AG20">
        <f t="shared" si="3"/>
        <v>1</v>
      </c>
      <c r="AH20">
        <f t="shared" si="4"/>
        <v>0</v>
      </c>
      <c r="AI20">
        <f t="shared" si="5"/>
        <v>1</v>
      </c>
      <c r="AJ20">
        <f t="shared" si="6"/>
        <v>105</v>
      </c>
      <c r="AK20" t="str">
        <f t="shared" si="7"/>
        <v>Medium</v>
      </c>
    </row>
    <row r="21" spans="1:37" x14ac:dyDescent="0.3">
      <c r="A21">
        <v>21</v>
      </c>
      <c r="B21">
        <v>2021</v>
      </c>
      <c r="C21">
        <v>1079</v>
      </c>
      <c r="D21">
        <v>84</v>
      </c>
      <c r="E21">
        <v>70</v>
      </c>
      <c r="F21">
        <v>4551.34</v>
      </c>
      <c r="G21">
        <v>6.4875000000000002E-2</v>
      </c>
      <c r="H21">
        <v>24</v>
      </c>
      <c r="I21">
        <v>34</v>
      </c>
      <c r="J21">
        <v>11</v>
      </c>
      <c r="K21">
        <v>9</v>
      </c>
      <c r="L21">
        <v>1</v>
      </c>
      <c r="M21">
        <v>5</v>
      </c>
      <c r="N21">
        <v>5</v>
      </c>
      <c r="O21">
        <v>6</v>
      </c>
      <c r="P21" t="s">
        <v>85</v>
      </c>
      <c r="Q21" t="str">
        <f>VLOOKUP(A21,Cleaned_Seller_Master!$A:$H,2,FALSE)</f>
        <v>Swift Goods 021</v>
      </c>
      <c r="R21" t="str">
        <f>VLOOKUP(A21,Cleaned_Seller_Master!$A:$H,4,FALSE)</f>
        <v>Fashion</v>
      </c>
      <c r="S21" t="str">
        <f>VLOOKUP(A21,Cleaned_Seller_Master!$A:$H,5,FALSE)</f>
        <v>South</v>
      </c>
      <c r="T21" t="str">
        <f>VLOOKUP(A21,Cleaned_Seller_Master!$A:$H,8,FALSE)</f>
        <v>Verified</v>
      </c>
      <c r="U21" t="str">
        <f>VLOOKUP(A21,Cleaned_Seller_Master!$A:$H,7,FALSE)</f>
        <v>11-12-2018</v>
      </c>
      <c r="V21">
        <f>IFERROR(INDEX(Violation_Summary_Seller_Year!$C:$C,MATCH(AD21,Violation_Summary_Seller_Year!$K:$K,0)),0)</f>
        <v>3</v>
      </c>
      <c r="W21">
        <f>IFERROR(INDEX(Violation_Summary_Seller_Year!$D:$D,MATCH(AD21,Violation_Summary_Seller_Year!$K:$K,0)),0)</f>
        <v>2731.09</v>
      </c>
      <c r="X21">
        <f>IFERROR(INDEX(Violation_Summary_Seller_Year!$E:$E,MATCH(AD21,Violation_Summary_Seller_Year!$K:$K,0)),0)</f>
        <v>2</v>
      </c>
      <c r="Y21">
        <f>IFERROR(INDEX(Violation_Summary_Seller_Year!$F:$F,MATCH(AD21,Violation_Summary_Seller_Year!$K:$K,0)),0)</f>
        <v>2</v>
      </c>
      <c r="Z21">
        <f>IFERROR(INDEX(Violation_Summary_Seller_Year!$G:$G,MATCH(AD21,Violation_Summary_Seller_Year!$K:$K,0)),0)</f>
        <v>1</v>
      </c>
      <c r="AA21">
        <f>IFERROR(INDEX(Violation_Summary_Seller_Year!$H:$H,MATCH(AD21,Violation_Summary_Seller_Year!$K:$K,0)),0)</f>
        <v>1</v>
      </c>
      <c r="AB21">
        <f>IFERROR(INDEX(Violation_Summary_Seller_Year!$I:$I,MATCH(AD21,Violation_Summary_Seller_Year!$K:$K,0)),0)</f>
        <v>1</v>
      </c>
      <c r="AC21">
        <f>IFERROR(INDEX(Violation_Summary_Seller_Year!$J:$J,MATCH(AD21,Violation_Summary_Seller_Year!$K:$K,0)),0)</f>
        <v>14</v>
      </c>
      <c r="AD21" t="str">
        <f t="shared" si="0"/>
        <v>21_2021</v>
      </c>
      <c r="AE21">
        <f t="shared" si="1"/>
        <v>1</v>
      </c>
      <c r="AF21">
        <f t="shared" si="2"/>
        <v>2</v>
      </c>
      <c r="AG21">
        <f t="shared" si="3"/>
        <v>1</v>
      </c>
      <c r="AH21">
        <f t="shared" si="4"/>
        <v>2</v>
      </c>
      <c r="AI21">
        <f t="shared" si="5"/>
        <v>2</v>
      </c>
      <c r="AJ21">
        <f t="shared" si="6"/>
        <v>155</v>
      </c>
      <c r="AK21" t="str">
        <f t="shared" si="7"/>
        <v>High</v>
      </c>
    </row>
    <row r="22" spans="1:37" x14ac:dyDescent="0.3">
      <c r="A22">
        <v>22</v>
      </c>
      <c r="B22">
        <v>2021</v>
      </c>
      <c r="C22">
        <v>583</v>
      </c>
      <c r="D22">
        <v>34</v>
      </c>
      <c r="E22">
        <v>28</v>
      </c>
      <c r="F22">
        <v>2889.84</v>
      </c>
      <c r="G22">
        <v>4.8027E-2</v>
      </c>
      <c r="H22">
        <v>17</v>
      </c>
      <c r="I22">
        <v>17</v>
      </c>
      <c r="J22">
        <v>5</v>
      </c>
      <c r="K22">
        <v>13</v>
      </c>
      <c r="L22">
        <v>0</v>
      </c>
      <c r="M22">
        <v>4</v>
      </c>
      <c r="N22">
        <v>3</v>
      </c>
      <c r="O22">
        <v>2</v>
      </c>
      <c r="P22" t="s">
        <v>175</v>
      </c>
      <c r="Q22" t="str">
        <f>VLOOKUP(A22,Cleaned_Seller_Master!$A:$H,2,FALSE)</f>
        <v>Blue Source 022</v>
      </c>
      <c r="R22" t="str">
        <f>VLOOKUP(A22,Cleaned_Seller_Master!$A:$H,4,FALSE)</f>
        <v>Electronics</v>
      </c>
      <c r="S22" t="str">
        <f>VLOOKUP(A22,Cleaned_Seller_Master!$A:$H,5,FALSE)</f>
        <v>South</v>
      </c>
      <c r="T22" t="str">
        <f>VLOOKUP(A22,Cleaned_Seller_Master!$A:$H,8,FALSE)</f>
        <v>Strategic</v>
      </c>
      <c r="U22" t="str">
        <f>VLOOKUP(A22,Cleaned_Seller_Master!$A:$H,7,FALSE)</f>
        <v>28-11-2018</v>
      </c>
      <c r="V22">
        <f>IFERROR(INDEX(Violation_Summary_Seller_Year!$C:$C,MATCH(AD22,Violation_Summary_Seller_Year!$K:$K,0)),0)</f>
        <v>1</v>
      </c>
      <c r="W22">
        <f>IFERROR(INDEX(Violation_Summary_Seller_Year!$D:$D,MATCH(AD22,Violation_Summary_Seller_Year!$K:$K,0)),0)</f>
        <v>1371.76</v>
      </c>
      <c r="X22">
        <f>IFERROR(INDEX(Violation_Summary_Seller_Year!$E:$E,MATCH(AD22,Violation_Summary_Seller_Year!$K:$K,0)),0)</f>
        <v>0</v>
      </c>
      <c r="Y22">
        <f>IFERROR(INDEX(Violation_Summary_Seller_Year!$F:$F,MATCH(AD22,Violation_Summary_Seller_Year!$K:$K,0)),0)</f>
        <v>1</v>
      </c>
      <c r="Z22">
        <f>IFERROR(INDEX(Violation_Summary_Seller_Year!$G:$G,MATCH(AD22,Violation_Summary_Seller_Year!$K:$K,0)),0)</f>
        <v>0</v>
      </c>
      <c r="AA22">
        <f>IFERROR(INDEX(Violation_Summary_Seller_Year!$H:$H,MATCH(AD22,Violation_Summary_Seller_Year!$K:$K,0)),0)</f>
        <v>0</v>
      </c>
      <c r="AB22">
        <f>IFERROR(INDEX(Violation_Summary_Seller_Year!$I:$I,MATCH(AD22,Violation_Summary_Seller_Year!$K:$K,0)),0)</f>
        <v>0</v>
      </c>
      <c r="AC22">
        <f>IFERROR(INDEX(Violation_Summary_Seller_Year!$J:$J,MATCH(AD22,Violation_Summary_Seller_Year!$K:$K,0)),0)</f>
        <v>13</v>
      </c>
      <c r="AD22" t="str">
        <f t="shared" si="0"/>
        <v>22_2021</v>
      </c>
      <c r="AE22">
        <f t="shared" si="1"/>
        <v>0</v>
      </c>
      <c r="AF22">
        <f t="shared" si="2"/>
        <v>2</v>
      </c>
      <c r="AG22">
        <f t="shared" si="3"/>
        <v>0</v>
      </c>
      <c r="AH22">
        <f t="shared" si="4"/>
        <v>0</v>
      </c>
      <c r="AI22">
        <f t="shared" si="5"/>
        <v>1</v>
      </c>
      <c r="AJ22">
        <f t="shared" si="6"/>
        <v>60</v>
      </c>
      <c r="AK22" t="str">
        <f t="shared" si="7"/>
        <v>Medium</v>
      </c>
    </row>
    <row r="23" spans="1:37" x14ac:dyDescent="0.3">
      <c r="A23">
        <v>23</v>
      </c>
      <c r="B23">
        <v>2021</v>
      </c>
      <c r="C23">
        <v>1409</v>
      </c>
      <c r="D23">
        <v>93</v>
      </c>
      <c r="E23">
        <v>73</v>
      </c>
      <c r="F23">
        <v>3251.12</v>
      </c>
      <c r="G23">
        <v>5.1810000000000002E-2</v>
      </c>
      <c r="H23">
        <v>26</v>
      </c>
      <c r="I23">
        <v>42</v>
      </c>
      <c r="J23">
        <v>13</v>
      </c>
      <c r="K23">
        <v>18</v>
      </c>
      <c r="L23">
        <v>0</v>
      </c>
      <c r="M23">
        <v>6</v>
      </c>
      <c r="N23">
        <v>7</v>
      </c>
      <c r="O23">
        <v>4</v>
      </c>
      <c r="P23" t="s">
        <v>175</v>
      </c>
      <c r="Q23" t="str">
        <f>VLOOKUP(A23,Cleaned_Seller_Master!$A:$H,2,FALSE)</f>
        <v>Vertex Supply 023</v>
      </c>
      <c r="R23" t="str">
        <f>VLOOKUP(A23,Cleaned_Seller_Master!$A:$H,4,FALSE)</f>
        <v>Home</v>
      </c>
      <c r="S23" t="str">
        <f>VLOOKUP(A23,Cleaned_Seller_Master!$A:$H,5,FALSE)</f>
        <v>Southeast Asia</v>
      </c>
      <c r="T23" t="str">
        <f>VLOOKUP(A23,Cleaned_Seller_Master!$A:$H,8,FALSE)</f>
        <v>Standard</v>
      </c>
      <c r="U23" t="str">
        <f>VLOOKUP(A23,Cleaned_Seller_Master!$A:$H,7,FALSE)</f>
        <v>07-05-2023</v>
      </c>
      <c r="V23">
        <f>IFERROR(INDEX(Violation_Summary_Seller_Year!$C:$C,MATCH(AD23,Violation_Summary_Seller_Year!$K:$K,0)),0)</f>
        <v>2</v>
      </c>
      <c r="W23">
        <f>IFERROR(INDEX(Violation_Summary_Seller_Year!$D:$D,MATCH(AD23,Violation_Summary_Seller_Year!$K:$K,0)),0)</f>
        <v>1652.56</v>
      </c>
      <c r="X23">
        <f>IFERROR(INDEX(Violation_Summary_Seller_Year!$E:$E,MATCH(AD23,Violation_Summary_Seller_Year!$K:$K,0)),0)</f>
        <v>0</v>
      </c>
      <c r="Y23">
        <f>IFERROR(INDEX(Violation_Summary_Seller_Year!$F:$F,MATCH(AD23,Violation_Summary_Seller_Year!$K:$K,0)),0)</f>
        <v>0</v>
      </c>
      <c r="Z23">
        <f>IFERROR(INDEX(Violation_Summary_Seller_Year!$G:$G,MATCH(AD23,Violation_Summary_Seller_Year!$K:$K,0)),0)</f>
        <v>2</v>
      </c>
      <c r="AA23">
        <f>IFERROR(INDEX(Violation_Summary_Seller_Year!$H:$H,MATCH(AD23,Violation_Summary_Seller_Year!$K:$K,0)),0)</f>
        <v>1</v>
      </c>
      <c r="AB23">
        <f>IFERROR(INDEX(Violation_Summary_Seller_Year!$I:$I,MATCH(AD23,Violation_Summary_Seller_Year!$K:$K,0)),0)</f>
        <v>1</v>
      </c>
      <c r="AC23">
        <f>IFERROR(INDEX(Violation_Summary_Seller_Year!$J:$J,MATCH(AD23,Violation_Summary_Seller_Year!$K:$K,0)),0)</f>
        <v>12</v>
      </c>
      <c r="AD23" t="str">
        <f t="shared" si="0"/>
        <v>23_2021</v>
      </c>
      <c r="AE23">
        <f t="shared" si="1"/>
        <v>1</v>
      </c>
      <c r="AF23">
        <f t="shared" si="2"/>
        <v>2</v>
      </c>
      <c r="AG23">
        <f t="shared" si="3"/>
        <v>1</v>
      </c>
      <c r="AH23">
        <f t="shared" si="4"/>
        <v>0</v>
      </c>
      <c r="AI23">
        <f t="shared" si="5"/>
        <v>1</v>
      </c>
      <c r="AJ23">
        <f t="shared" si="6"/>
        <v>105</v>
      </c>
      <c r="AK23" t="str">
        <f t="shared" si="7"/>
        <v>Medium</v>
      </c>
    </row>
    <row r="24" spans="1:37" x14ac:dyDescent="0.3">
      <c r="A24">
        <v>24</v>
      </c>
      <c r="B24">
        <v>2021</v>
      </c>
      <c r="C24">
        <v>1008</v>
      </c>
      <c r="D24">
        <v>92</v>
      </c>
      <c r="E24">
        <v>81</v>
      </c>
      <c r="F24">
        <v>4003.8</v>
      </c>
      <c r="G24">
        <v>8.0356999999999998E-2</v>
      </c>
      <c r="H24">
        <v>23</v>
      </c>
      <c r="I24">
        <v>33</v>
      </c>
      <c r="J24">
        <v>19</v>
      </c>
      <c r="K24">
        <v>10</v>
      </c>
      <c r="L24">
        <v>1</v>
      </c>
      <c r="M24">
        <v>5</v>
      </c>
      <c r="N24">
        <v>6</v>
      </c>
      <c r="O24">
        <v>7</v>
      </c>
      <c r="P24" t="s">
        <v>85</v>
      </c>
      <c r="Q24" t="str">
        <f>VLOOKUP(A24,Cleaned_Seller_Master!$A:$H,2,FALSE)</f>
        <v>Zen Mart 024</v>
      </c>
      <c r="R24" t="str">
        <f>VLOOKUP(A24,Cleaned_Seller_Master!$A:$H,4,FALSE)</f>
        <v>Electronics</v>
      </c>
      <c r="S24" t="str">
        <f>VLOOKUP(A24,Cleaned_Seller_Master!$A:$H,5,FALSE)</f>
        <v>North</v>
      </c>
      <c r="T24" t="str">
        <f>VLOOKUP(A24,Cleaned_Seller_Master!$A:$H,8,FALSE)</f>
        <v>Verified</v>
      </c>
      <c r="U24" t="str">
        <f>VLOOKUP(A24,Cleaned_Seller_Master!$A:$H,7,FALSE)</f>
        <v>18-02-2018</v>
      </c>
      <c r="V24">
        <f>IFERROR(INDEX(Violation_Summary_Seller_Year!$C:$C,MATCH(AD24,Violation_Summary_Seller_Year!$K:$K,0)),0)</f>
        <v>6</v>
      </c>
      <c r="W24">
        <f>IFERROR(INDEX(Violation_Summary_Seller_Year!$D:$D,MATCH(AD24,Violation_Summary_Seller_Year!$K:$K,0)),0)</f>
        <v>17028.939999999999</v>
      </c>
      <c r="X24">
        <f>IFERROR(INDEX(Violation_Summary_Seller_Year!$E:$E,MATCH(AD24,Violation_Summary_Seller_Year!$K:$K,0)),0)</f>
        <v>2</v>
      </c>
      <c r="Y24">
        <f>IFERROR(INDEX(Violation_Summary_Seller_Year!$F:$F,MATCH(AD24,Violation_Summary_Seller_Year!$K:$K,0)),0)</f>
        <v>0</v>
      </c>
      <c r="Z24">
        <f>IFERROR(INDEX(Violation_Summary_Seller_Year!$G:$G,MATCH(AD24,Violation_Summary_Seller_Year!$K:$K,0)),0)</f>
        <v>6</v>
      </c>
      <c r="AA24">
        <f>IFERROR(INDEX(Violation_Summary_Seller_Year!$H:$H,MATCH(AD24,Violation_Summary_Seller_Year!$K:$K,0)),0)</f>
        <v>4</v>
      </c>
      <c r="AB24">
        <f>IFERROR(INDEX(Violation_Summary_Seller_Year!$I:$I,MATCH(AD24,Violation_Summary_Seller_Year!$K:$K,0)),0)</f>
        <v>2</v>
      </c>
      <c r="AC24">
        <f>IFERROR(INDEX(Violation_Summary_Seller_Year!$J:$J,MATCH(AD24,Violation_Summary_Seller_Year!$K:$K,0)),0)</f>
        <v>57</v>
      </c>
      <c r="AD24" t="str">
        <f t="shared" si="0"/>
        <v>24_2021</v>
      </c>
      <c r="AE24">
        <f t="shared" si="1"/>
        <v>1</v>
      </c>
      <c r="AF24">
        <f t="shared" si="2"/>
        <v>2</v>
      </c>
      <c r="AG24">
        <f t="shared" si="3"/>
        <v>2</v>
      </c>
      <c r="AH24">
        <f t="shared" si="4"/>
        <v>2</v>
      </c>
      <c r="AI24">
        <f t="shared" si="5"/>
        <v>2</v>
      </c>
      <c r="AJ24">
        <f t="shared" si="6"/>
        <v>175</v>
      </c>
      <c r="AK24" t="str">
        <f t="shared" si="7"/>
        <v>High</v>
      </c>
    </row>
    <row r="25" spans="1:37" x14ac:dyDescent="0.3">
      <c r="A25">
        <v>25</v>
      </c>
      <c r="B25">
        <v>2021</v>
      </c>
      <c r="C25">
        <v>719</v>
      </c>
      <c r="D25">
        <v>17</v>
      </c>
      <c r="E25">
        <v>15</v>
      </c>
      <c r="F25">
        <v>1297.83</v>
      </c>
      <c r="G25">
        <v>2.0861999999999999E-2</v>
      </c>
      <c r="H25">
        <v>6</v>
      </c>
      <c r="I25">
        <v>13</v>
      </c>
      <c r="J25">
        <v>3</v>
      </c>
      <c r="K25">
        <v>3</v>
      </c>
      <c r="L25">
        <v>0</v>
      </c>
      <c r="M25">
        <v>1</v>
      </c>
      <c r="N25">
        <v>2</v>
      </c>
      <c r="O25">
        <v>0</v>
      </c>
      <c r="P25" t="s">
        <v>68</v>
      </c>
      <c r="Q25" t="str">
        <f>VLOOKUP(A25,Cleaned_Seller_Master!$A:$H,2,FALSE)</f>
        <v>True House 025</v>
      </c>
      <c r="R25" t="str">
        <f>VLOOKUP(A25,Cleaned_Seller_Master!$A:$H,4,FALSE)</f>
        <v>Beauty</v>
      </c>
      <c r="S25" t="str">
        <f>VLOOKUP(A25,Cleaned_Seller_Master!$A:$H,5,FALSE)</f>
        <v>West</v>
      </c>
      <c r="T25" t="str">
        <f>VLOOKUP(A25,Cleaned_Seller_Master!$A:$H,8,FALSE)</f>
        <v>Strategic</v>
      </c>
      <c r="U25" t="str">
        <f>VLOOKUP(A25,Cleaned_Seller_Master!$A:$H,7,FALSE)</f>
        <v>26-10-2021</v>
      </c>
      <c r="V25">
        <f>IFERROR(INDEX(Violation_Summary_Seller_Year!$C:$C,MATCH(AD25,Violation_Summary_Seller_Year!$K:$K,0)),0)</f>
        <v>3</v>
      </c>
      <c r="W25">
        <f>IFERROR(INDEX(Violation_Summary_Seller_Year!$D:$D,MATCH(AD25,Violation_Summary_Seller_Year!$K:$K,0)),0)</f>
        <v>6246.25</v>
      </c>
      <c r="X25">
        <f>IFERROR(INDEX(Violation_Summary_Seller_Year!$E:$E,MATCH(AD25,Violation_Summary_Seller_Year!$K:$K,0)),0)</f>
        <v>0</v>
      </c>
      <c r="Y25">
        <f>IFERROR(INDEX(Violation_Summary_Seller_Year!$F:$F,MATCH(AD25,Violation_Summary_Seller_Year!$K:$K,0)),0)</f>
        <v>2</v>
      </c>
      <c r="Z25">
        <f>IFERROR(INDEX(Violation_Summary_Seller_Year!$G:$G,MATCH(AD25,Violation_Summary_Seller_Year!$K:$K,0)),0)</f>
        <v>1</v>
      </c>
      <c r="AA25">
        <f>IFERROR(INDEX(Violation_Summary_Seller_Year!$H:$H,MATCH(AD25,Violation_Summary_Seller_Year!$K:$K,0)),0)</f>
        <v>1</v>
      </c>
      <c r="AB25">
        <f>IFERROR(INDEX(Violation_Summary_Seller_Year!$I:$I,MATCH(AD25,Violation_Summary_Seller_Year!$K:$K,0)),0)</f>
        <v>1</v>
      </c>
      <c r="AC25">
        <f>IFERROR(INDEX(Violation_Summary_Seller_Year!$J:$J,MATCH(AD25,Violation_Summary_Seller_Year!$K:$K,0)),0)</f>
        <v>10</v>
      </c>
      <c r="AD25" t="str">
        <f t="shared" si="0"/>
        <v>25_2021</v>
      </c>
      <c r="AE25">
        <f t="shared" si="1"/>
        <v>0</v>
      </c>
      <c r="AF25">
        <f t="shared" si="2"/>
        <v>1</v>
      </c>
      <c r="AG25">
        <f t="shared" si="3"/>
        <v>1</v>
      </c>
      <c r="AH25">
        <f t="shared" si="4"/>
        <v>0</v>
      </c>
      <c r="AI25">
        <f t="shared" si="5"/>
        <v>1</v>
      </c>
      <c r="AJ25">
        <f t="shared" si="6"/>
        <v>55</v>
      </c>
      <c r="AK25" t="str">
        <f t="shared" si="7"/>
        <v>Low</v>
      </c>
    </row>
    <row r="26" spans="1:37" x14ac:dyDescent="0.3">
      <c r="A26">
        <v>26</v>
      </c>
      <c r="B26">
        <v>2021</v>
      </c>
      <c r="C26">
        <v>1932</v>
      </c>
      <c r="D26">
        <v>197</v>
      </c>
      <c r="E26">
        <v>186</v>
      </c>
      <c r="F26">
        <v>15383.7</v>
      </c>
      <c r="G26">
        <v>9.6272999999999997E-2</v>
      </c>
      <c r="H26">
        <v>21</v>
      </c>
      <c r="I26">
        <v>58</v>
      </c>
      <c r="J26">
        <v>31</v>
      </c>
      <c r="K26">
        <v>11</v>
      </c>
      <c r="L26">
        <v>1</v>
      </c>
      <c r="M26">
        <v>5</v>
      </c>
      <c r="N26">
        <v>5</v>
      </c>
      <c r="O26">
        <v>7</v>
      </c>
      <c r="P26" t="s">
        <v>85</v>
      </c>
      <c r="Q26" t="str">
        <f>VLOOKUP(A26,Cleaned_Seller_Master!$A:$H,2,FALSE)</f>
        <v>Core Traders 026</v>
      </c>
      <c r="R26" t="str">
        <f>VLOOKUP(A26,Cleaned_Seller_Master!$A:$H,4,FALSE)</f>
        <v>Beauty</v>
      </c>
      <c r="S26" t="str">
        <f>VLOOKUP(A26,Cleaned_Seller_Master!$A:$H,5,FALSE)</f>
        <v>East</v>
      </c>
      <c r="T26" t="str">
        <f>VLOOKUP(A26,Cleaned_Seller_Master!$A:$H,8,FALSE)</f>
        <v>Standard</v>
      </c>
      <c r="U26" t="str">
        <f>VLOOKUP(A26,Cleaned_Seller_Master!$A:$H,7,FALSE)</f>
        <v>18-12-2019</v>
      </c>
      <c r="V26">
        <f>IFERROR(INDEX(Violation_Summary_Seller_Year!$C:$C,MATCH(AD26,Violation_Summary_Seller_Year!$K:$K,0)),0)</f>
        <v>6</v>
      </c>
      <c r="W26">
        <f>IFERROR(INDEX(Violation_Summary_Seller_Year!$D:$D,MATCH(AD26,Violation_Summary_Seller_Year!$K:$K,0)),0)</f>
        <v>14648.359999999999</v>
      </c>
      <c r="X26">
        <f>IFERROR(INDEX(Violation_Summary_Seller_Year!$E:$E,MATCH(AD26,Violation_Summary_Seller_Year!$K:$K,0)),0)</f>
        <v>4</v>
      </c>
      <c r="Y26">
        <f>IFERROR(INDEX(Violation_Summary_Seller_Year!$F:$F,MATCH(AD26,Violation_Summary_Seller_Year!$K:$K,0)),0)</f>
        <v>1</v>
      </c>
      <c r="Z26">
        <f>IFERROR(INDEX(Violation_Summary_Seller_Year!$G:$G,MATCH(AD26,Violation_Summary_Seller_Year!$K:$K,0)),0)</f>
        <v>5</v>
      </c>
      <c r="AA26">
        <f>IFERROR(INDEX(Violation_Summary_Seller_Year!$H:$H,MATCH(AD26,Violation_Summary_Seller_Year!$K:$K,0)),0)</f>
        <v>4</v>
      </c>
      <c r="AB26">
        <f>IFERROR(INDEX(Violation_Summary_Seller_Year!$I:$I,MATCH(AD26,Violation_Summary_Seller_Year!$K:$K,0)),0)</f>
        <v>2</v>
      </c>
      <c r="AC26">
        <f>IFERROR(INDEX(Violation_Summary_Seller_Year!$J:$J,MATCH(AD26,Violation_Summary_Seller_Year!$K:$K,0)),0)</f>
        <v>55</v>
      </c>
      <c r="AD26" t="str">
        <f t="shared" si="0"/>
        <v>26_2021</v>
      </c>
      <c r="AE26">
        <f t="shared" si="1"/>
        <v>1</v>
      </c>
      <c r="AF26">
        <f t="shared" si="2"/>
        <v>2</v>
      </c>
      <c r="AG26">
        <f t="shared" si="3"/>
        <v>2</v>
      </c>
      <c r="AH26">
        <f t="shared" si="4"/>
        <v>2</v>
      </c>
      <c r="AI26">
        <f t="shared" si="5"/>
        <v>2</v>
      </c>
      <c r="AJ26">
        <f t="shared" si="6"/>
        <v>175</v>
      </c>
      <c r="AK26" t="str">
        <f t="shared" si="7"/>
        <v>High</v>
      </c>
    </row>
    <row r="27" spans="1:37" x14ac:dyDescent="0.3">
      <c r="A27">
        <v>27</v>
      </c>
      <c r="B27">
        <v>2021</v>
      </c>
      <c r="C27">
        <v>124</v>
      </c>
      <c r="D27">
        <v>6</v>
      </c>
      <c r="E27">
        <v>4</v>
      </c>
      <c r="F27">
        <v>345.09</v>
      </c>
      <c r="G27">
        <v>3.2258000000000002E-2</v>
      </c>
      <c r="H27">
        <v>3</v>
      </c>
      <c r="I27">
        <v>3</v>
      </c>
      <c r="J27">
        <v>2</v>
      </c>
      <c r="K27">
        <v>2</v>
      </c>
      <c r="L27">
        <v>0</v>
      </c>
      <c r="M27">
        <v>0</v>
      </c>
      <c r="N27">
        <v>1</v>
      </c>
      <c r="O27">
        <v>0</v>
      </c>
      <c r="P27" t="s">
        <v>176</v>
      </c>
      <c r="Q27" t="str">
        <f>VLOOKUP(A27,Cleaned_Seller_Master!$A:$H,2,FALSE)</f>
        <v>Urban Works 027</v>
      </c>
      <c r="R27" t="str">
        <f>VLOOKUP(A27,Cleaned_Seller_Master!$A:$H,4,FALSE)</f>
        <v>Groceries</v>
      </c>
      <c r="S27" t="str">
        <f>VLOOKUP(A27,Cleaned_Seller_Master!$A:$H,5,FALSE)</f>
        <v>West</v>
      </c>
      <c r="T27" t="str">
        <f>VLOOKUP(A27,Cleaned_Seller_Master!$A:$H,8,FALSE)</f>
        <v>Standard</v>
      </c>
      <c r="U27" t="str">
        <f>VLOOKUP(A27,Cleaned_Seller_Master!$A:$H,7,FALSE)</f>
        <v>21-02-2018</v>
      </c>
      <c r="V27">
        <f>IFERROR(INDEX(Violation_Summary_Seller_Year!$C:$C,MATCH(AD27,Violation_Summary_Seller_Year!$K:$K,0)),0)</f>
        <v>2</v>
      </c>
      <c r="W27">
        <f>IFERROR(INDEX(Violation_Summary_Seller_Year!$D:$D,MATCH(AD27,Violation_Summary_Seller_Year!$K:$K,0)),0)</f>
        <v>1279.3499999999999</v>
      </c>
      <c r="X27">
        <f>IFERROR(INDEX(Violation_Summary_Seller_Year!$E:$E,MATCH(AD27,Violation_Summary_Seller_Year!$K:$K,0)),0)</f>
        <v>0</v>
      </c>
      <c r="Y27">
        <f>IFERROR(INDEX(Violation_Summary_Seller_Year!$F:$F,MATCH(AD27,Violation_Summary_Seller_Year!$K:$K,0)),0)</f>
        <v>2</v>
      </c>
      <c r="Z27">
        <f>IFERROR(INDEX(Violation_Summary_Seller_Year!$G:$G,MATCH(AD27,Violation_Summary_Seller_Year!$K:$K,0)),0)</f>
        <v>0</v>
      </c>
      <c r="AA27">
        <f>IFERROR(INDEX(Violation_Summary_Seller_Year!$H:$H,MATCH(AD27,Violation_Summary_Seller_Year!$K:$K,0)),0)</f>
        <v>0</v>
      </c>
      <c r="AB27">
        <f>IFERROR(INDEX(Violation_Summary_Seller_Year!$I:$I,MATCH(AD27,Violation_Summary_Seller_Year!$K:$K,0)),0)</f>
        <v>0</v>
      </c>
      <c r="AC27">
        <f>IFERROR(INDEX(Violation_Summary_Seller_Year!$J:$J,MATCH(AD27,Violation_Summary_Seller_Year!$K:$K,0)),0)</f>
        <v>10</v>
      </c>
      <c r="AD27" t="str">
        <f t="shared" si="0"/>
        <v>27_2021</v>
      </c>
      <c r="AE27">
        <f t="shared" si="1"/>
        <v>0</v>
      </c>
      <c r="AF27">
        <f t="shared" si="2"/>
        <v>0</v>
      </c>
      <c r="AG27">
        <f t="shared" si="3"/>
        <v>1</v>
      </c>
      <c r="AH27">
        <f t="shared" si="4"/>
        <v>0</v>
      </c>
      <c r="AI27">
        <f t="shared" si="5"/>
        <v>1</v>
      </c>
      <c r="AJ27">
        <f t="shared" si="6"/>
        <v>30</v>
      </c>
      <c r="AK27" t="str">
        <f t="shared" si="7"/>
        <v>Low</v>
      </c>
    </row>
    <row r="28" spans="1:37" x14ac:dyDescent="0.3">
      <c r="A28">
        <v>28</v>
      </c>
      <c r="B28">
        <v>2021</v>
      </c>
      <c r="C28">
        <v>1522</v>
      </c>
      <c r="D28">
        <v>89</v>
      </c>
      <c r="E28">
        <v>83</v>
      </c>
      <c r="F28">
        <v>6172.72</v>
      </c>
      <c r="G28">
        <v>5.4533999999999999E-2</v>
      </c>
      <c r="H28">
        <v>21</v>
      </c>
      <c r="I28">
        <v>31</v>
      </c>
      <c r="J28">
        <v>18</v>
      </c>
      <c r="K28">
        <v>7</v>
      </c>
      <c r="L28">
        <v>0</v>
      </c>
      <c r="M28">
        <v>2</v>
      </c>
      <c r="N28">
        <v>4</v>
      </c>
      <c r="O28">
        <v>3</v>
      </c>
      <c r="P28" t="s">
        <v>68</v>
      </c>
      <c r="Q28" t="str">
        <f>VLOOKUP(A28,Cleaned_Seller_Master!$A:$H,2,FALSE)</f>
        <v>Bright Nest 028</v>
      </c>
      <c r="R28" t="str">
        <f>VLOOKUP(A28,Cleaned_Seller_Master!$A:$H,4,FALSE)</f>
        <v>Home</v>
      </c>
      <c r="S28" t="str">
        <f>VLOOKUP(A28,Cleaned_Seller_Master!$A:$H,5,FALSE)</f>
        <v>Southeast Asia</v>
      </c>
      <c r="T28" t="str">
        <f>VLOOKUP(A28,Cleaned_Seller_Master!$A:$H,8,FALSE)</f>
        <v>Premium</v>
      </c>
      <c r="U28" t="str">
        <f>VLOOKUP(A28,Cleaned_Seller_Master!$A:$H,7,FALSE)</f>
        <v>03-02-2017</v>
      </c>
      <c r="V28">
        <f>IFERROR(INDEX(Violation_Summary_Seller_Year!$C:$C,MATCH(AD28,Violation_Summary_Seller_Year!$K:$K,0)),0)</f>
        <v>3</v>
      </c>
      <c r="W28">
        <f>IFERROR(INDEX(Violation_Summary_Seller_Year!$D:$D,MATCH(AD28,Violation_Summary_Seller_Year!$K:$K,0)),0)</f>
        <v>9031.7199999999993</v>
      </c>
      <c r="X28">
        <f>IFERROR(INDEX(Violation_Summary_Seller_Year!$E:$E,MATCH(AD28,Violation_Summary_Seller_Year!$K:$K,0)),0)</f>
        <v>0</v>
      </c>
      <c r="Y28">
        <f>IFERROR(INDEX(Violation_Summary_Seller_Year!$F:$F,MATCH(AD28,Violation_Summary_Seller_Year!$K:$K,0)),0)</f>
        <v>0</v>
      </c>
      <c r="Z28">
        <f>IFERROR(INDEX(Violation_Summary_Seller_Year!$G:$G,MATCH(AD28,Violation_Summary_Seller_Year!$K:$K,0)),0)</f>
        <v>3</v>
      </c>
      <c r="AA28">
        <f>IFERROR(INDEX(Violation_Summary_Seller_Year!$H:$H,MATCH(AD28,Violation_Summary_Seller_Year!$K:$K,0)),0)</f>
        <v>2</v>
      </c>
      <c r="AB28">
        <f>IFERROR(INDEX(Violation_Summary_Seller_Year!$I:$I,MATCH(AD28,Violation_Summary_Seller_Year!$K:$K,0)),0)</f>
        <v>0</v>
      </c>
      <c r="AC28">
        <f>IFERROR(INDEX(Violation_Summary_Seller_Year!$J:$J,MATCH(AD28,Violation_Summary_Seller_Year!$K:$K,0)),0)</f>
        <v>23</v>
      </c>
      <c r="AD28" t="str">
        <f t="shared" si="0"/>
        <v>28_2021</v>
      </c>
      <c r="AE28">
        <f t="shared" si="1"/>
        <v>1</v>
      </c>
      <c r="AF28">
        <f t="shared" si="2"/>
        <v>2</v>
      </c>
      <c r="AG28">
        <f t="shared" si="3"/>
        <v>2</v>
      </c>
      <c r="AH28">
        <f t="shared" si="4"/>
        <v>0</v>
      </c>
      <c r="AI28">
        <f t="shared" si="5"/>
        <v>1</v>
      </c>
      <c r="AJ28">
        <f t="shared" si="6"/>
        <v>125</v>
      </c>
      <c r="AK28" t="str">
        <f t="shared" si="7"/>
        <v>High</v>
      </c>
    </row>
    <row r="29" spans="1:37" x14ac:dyDescent="0.3">
      <c r="A29">
        <v>29</v>
      </c>
      <c r="B29">
        <v>2021</v>
      </c>
      <c r="C29">
        <v>749</v>
      </c>
      <c r="D29">
        <v>38</v>
      </c>
      <c r="E29">
        <v>29</v>
      </c>
      <c r="F29">
        <v>2425.2199999999998</v>
      </c>
      <c r="G29">
        <v>3.8718000000000002E-2</v>
      </c>
      <c r="H29">
        <v>8</v>
      </c>
      <c r="I29">
        <v>21</v>
      </c>
      <c r="J29">
        <v>6</v>
      </c>
      <c r="K29">
        <v>4</v>
      </c>
      <c r="L29">
        <v>0</v>
      </c>
      <c r="M29">
        <v>1</v>
      </c>
      <c r="N29">
        <v>2</v>
      </c>
      <c r="O29">
        <v>1</v>
      </c>
      <c r="P29" t="s">
        <v>175</v>
      </c>
      <c r="Q29" t="str">
        <f>VLOOKUP(A29,Cleaned_Seller_Master!$A:$H,2,FALSE)</f>
        <v>Golden Hub 029</v>
      </c>
      <c r="R29" t="str">
        <f>VLOOKUP(A29,Cleaned_Seller_Master!$A:$H,4,FALSE)</f>
        <v>Home</v>
      </c>
      <c r="S29" t="str">
        <f>VLOOKUP(A29,Cleaned_Seller_Master!$A:$H,5,FALSE)</f>
        <v>South</v>
      </c>
      <c r="T29" t="str">
        <f>VLOOKUP(A29,Cleaned_Seller_Master!$A:$H,8,FALSE)</f>
        <v>Standard</v>
      </c>
      <c r="U29" t="str">
        <f>VLOOKUP(A29,Cleaned_Seller_Master!$A:$H,7,FALSE)</f>
        <v>26-06-2021</v>
      </c>
      <c r="V29">
        <f>IFERROR(INDEX(Violation_Summary_Seller_Year!$C:$C,MATCH(AD29,Violation_Summary_Seller_Year!$K:$K,0)),0)</f>
        <v>2</v>
      </c>
      <c r="W29">
        <f>IFERROR(INDEX(Violation_Summary_Seller_Year!$D:$D,MATCH(AD29,Violation_Summary_Seller_Year!$K:$K,0)),0)</f>
        <v>2811.06</v>
      </c>
      <c r="X29">
        <f>IFERROR(INDEX(Violation_Summary_Seller_Year!$E:$E,MATCH(AD29,Violation_Summary_Seller_Year!$K:$K,0)),0)</f>
        <v>0</v>
      </c>
      <c r="Y29">
        <f>IFERROR(INDEX(Violation_Summary_Seller_Year!$F:$F,MATCH(AD29,Violation_Summary_Seller_Year!$K:$K,0)),0)</f>
        <v>0</v>
      </c>
      <c r="Z29">
        <f>IFERROR(INDEX(Violation_Summary_Seller_Year!$G:$G,MATCH(AD29,Violation_Summary_Seller_Year!$K:$K,0)),0)</f>
        <v>2</v>
      </c>
      <c r="AA29">
        <f>IFERROR(INDEX(Violation_Summary_Seller_Year!$H:$H,MATCH(AD29,Violation_Summary_Seller_Year!$K:$K,0)),0)</f>
        <v>1</v>
      </c>
      <c r="AB29">
        <f>IFERROR(INDEX(Violation_Summary_Seller_Year!$I:$I,MATCH(AD29,Violation_Summary_Seller_Year!$K:$K,0)),0)</f>
        <v>2</v>
      </c>
      <c r="AC29">
        <f>IFERROR(INDEX(Violation_Summary_Seller_Year!$J:$J,MATCH(AD29,Violation_Summary_Seller_Year!$K:$K,0)),0)</f>
        <v>19</v>
      </c>
      <c r="AD29" t="str">
        <f t="shared" si="0"/>
        <v>29_2021</v>
      </c>
      <c r="AE29">
        <f t="shared" si="1"/>
        <v>0</v>
      </c>
      <c r="AF29">
        <f t="shared" si="2"/>
        <v>2</v>
      </c>
      <c r="AG29">
        <f t="shared" si="3"/>
        <v>1</v>
      </c>
      <c r="AH29">
        <f t="shared" si="4"/>
        <v>0</v>
      </c>
      <c r="AI29">
        <f t="shared" si="5"/>
        <v>1</v>
      </c>
      <c r="AJ29">
        <f t="shared" si="6"/>
        <v>80</v>
      </c>
      <c r="AK29" t="str">
        <f t="shared" si="7"/>
        <v>Medium</v>
      </c>
    </row>
    <row r="30" spans="1:37" x14ac:dyDescent="0.3">
      <c r="A30">
        <v>30</v>
      </c>
      <c r="B30">
        <v>2021</v>
      </c>
      <c r="C30">
        <v>1092</v>
      </c>
      <c r="D30">
        <v>82</v>
      </c>
      <c r="E30">
        <v>78</v>
      </c>
      <c r="F30">
        <v>4335.71</v>
      </c>
      <c r="G30">
        <v>7.1429000000000006E-2</v>
      </c>
      <c r="H30">
        <v>13</v>
      </c>
      <c r="I30">
        <v>35</v>
      </c>
      <c r="J30">
        <v>17</v>
      </c>
      <c r="K30">
        <v>6</v>
      </c>
      <c r="L30">
        <v>1</v>
      </c>
      <c r="M30">
        <v>4</v>
      </c>
      <c r="N30">
        <v>3</v>
      </c>
      <c r="O30">
        <v>4</v>
      </c>
      <c r="P30" t="s">
        <v>85</v>
      </c>
      <c r="Q30" t="str">
        <f>VLOOKUP(A30,Cleaned_Seller_Master!$A:$H,2,FALSE)</f>
        <v>Ever Merchants 030</v>
      </c>
      <c r="R30" t="str">
        <f>VLOOKUP(A30,Cleaned_Seller_Master!$A:$H,4,FALSE)</f>
        <v>Groceries</v>
      </c>
      <c r="S30" t="str">
        <f>VLOOKUP(A30,Cleaned_Seller_Master!$A:$H,5,FALSE)</f>
        <v>West</v>
      </c>
      <c r="T30" t="str">
        <f>VLOOKUP(A30,Cleaned_Seller_Master!$A:$H,8,FALSE)</f>
        <v>Premium</v>
      </c>
      <c r="U30" t="str">
        <f>VLOOKUP(A30,Cleaned_Seller_Master!$A:$H,7,FALSE)</f>
        <v>28-04-2019</v>
      </c>
      <c r="V30">
        <f>IFERROR(INDEX(Violation_Summary_Seller_Year!$C:$C,MATCH(AD30,Violation_Summary_Seller_Year!$K:$K,0)),0)</f>
        <v>3</v>
      </c>
      <c r="W30">
        <f>IFERROR(INDEX(Violation_Summary_Seller_Year!$D:$D,MATCH(AD30,Violation_Summary_Seller_Year!$K:$K,0)),0)</f>
        <v>8478.61</v>
      </c>
      <c r="X30">
        <f>IFERROR(INDEX(Violation_Summary_Seller_Year!$E:$E,MATCH(AD30,Violation_Summary_Seller_Year!$K:$K,0)),0)</f>
        <v>1</v>
      </c>
      <c r="Y30">
        <f>IFERROR(INDEX(Violation_Summary_Seller_Year!$F:$F,MATCH(AD30,Violation_Summary_Seller_Year!$K:$K,0)),0)</f>
        <v>3</v>
      </c>
      <c r="Z30">
        <f>IFERROR(INDEX(Violation_Summary_Seller_Year!$G:$G,MATCH(AD30,Violation_Summary_Seller_Year!$K:$K,0)),0)</f>
        <v>0</v>
      </c>
      <c r="AA30">
        <f>IFERROR(INDEX(Violation_Summary_Seller_Year!$H:$H,MATCH(AD30,Violation_Summary_Seller_Year!$K:$K,0)),0)</f>
        <v>3</v>
      </c>
      <c r="AB30">
        <f>IFERROR(INDEX(Violation_Summary_Seller_Year!$I:$I,MATCH(AD30,Violation_Summary_Seller_Year!$K:$K,0)),0)</f>
        <v>2</v>
      </c>
      <c r="AC30">
        <f>IFERROR(INDEX(Violation_Summary_Seller_Year!$J:$J,MATCH(AD30,Violation_Summary_Seller_Year!$K:$K,0)),0)</f>
        <v>17</v>
      </c>
      <c r="AD30" t="str">
        <f t="shared" si="0"/>
        <v>30_2021</v>
      </c>
      <c r="AE30">
        <f t="shared" si="1"/>
        <v>1</v>
      </c>
      <c r="AF30">
        <f t="shared" si="2"/>
        <v>2</v>
      </c>
      <c r="AG30">
        <f t="shared" si="3"/>
        <v>2</v>
      </c>
      <c r="AH30">
        <f t="shared" si="4"/>
        <v>2</v>
      </c>
      <c r="AI30">
        <f t="shared" si="5"/>
        <v>2</v>
      </c>
      <c r="AJ30">
        <f t="shared" si="6"/>
        <v>175</v>
      </c>
      <c r="AK30" t="str">
        <f t="shared" si="7"/>
        <v>High</v>
      </c>
    </row>
    <row r="31" spans="1:37" x14ac:dyDescent="0.3">
      <c r="A31">
        <v>31</v>
      </c>
      <c r="B31">
        <v>2021</v>
      </c>
      <c r="C31">
        <v>1296</v>
      </c>
      <c r="D31">
        <v>81</v>
      </c>
      <c r="E31">
        <v>59</v>
      </c>
      <c r="F31">
        <v>2856.59</v>
      </c>
      <c r="G31">
        <v>4.5525000000000003E-2</v>
      </c>
      <c r="H31">
        <v>19</v>
      </c>
      <c r="I31">
        <v>33</v>
      </c>
      <c r="J31">
        <v>11</v>
      </c>
      <c r="K31">
        <v>9</v>
      </c>
      <c r="L31">
        <v>0</v>
      </c>
      <c r="M31">
        <v>3</v>
      </c>
      <c r="N31">
        <v>4</v>
      </c>
      <c r="O31">
        <v>4</v>
      </c>
      <c r="P31" t="s">
        <v>68</v>
      </c>
      <c r="Q31" t="str">
        <f>VLOOKUP(A31,Cleaned_Seller_Master!$A:$H,2,FALSE)</f>
        <v>Orbit Square 031</v>
      </c>
      <c r="R31" t="str">
        <f>VLOOKUP(A31,Cleaned_Seller_Master!$A:$H,4,FALSE)</f>
        <v>Home</v>
      </c>
      <c r="S31" t="str">
        <f>VLOOKUP(A31,Cleaned_Seller_Master!$A:$H,5,FALSE)</f>
        <v>South</v>
      </c>
      <c r="T31" t="str">
        <f>VLOOKUP(A31,Cleaned_Seller_Master!$A:$H,8,FALSE)</f>
        <v>Verified</v>
      </c>
      <c r="U31" t="str">
        <f>VLOOKUP(A31,Cleaned_Seller_Master!$A:$H,7,FALSE)</f>
        <v>04-12-2020</v>
      </c>
      <c r="V31">
        <f>IFERROR(INDEX(Violation_Summary_Seller_Year!$C:$C,MATCH(AD31,Violation_Summary_Seller_Year!$K:$K,0)),0)</f>
        <v>3</v>
      </c>
      <c r="W31">
        <f>IFERROR(INDEX(Violation_Summary_Seller_Year!$D:$D,MATCH(AD31,Violation_Summary_Seller_Year!$K:$K,0)),0)</f>
        <v>4579.55</v>
      </c>
      <c r="X31">
        <f>IFERROR(INDEX(Violation_Summary_Seller_Year!$E:$E,MATCH(AD31,Violation_Summary_Seller_Year!$K:$K,0)),0)</f>
        <v>0</v>
      </c>
      <c r="Y31">
        <f>IFERROR(INDEX(Violation_Summary_Seller_Year!$F:$F,MATCH(AD31,Violation_Summary_Seller_Year!$K:$K,0)),0)</f>
        <v>3</v>
      </c>
      <c r="Z31">
        <f>IFERROR(INDEX(Violation_Summary_Seller_Year!$G:$G,MATCH(AD31,Violation_Summary_Seller_Year!$K:$K,0)),0)</f>
        <v>0</v>
      </c>
      <c r="AA31">
        <f>IFERROR(INDEX(Violation_Summary_Seller_Year!$H:$H,MATCH(AD31,Violation_Summary_Seller_Year!$K:$K,0)),0)</f>
        <v>1</v>
      </c>
      <c r="AB31">
        <f>IFERROR(INDEX(Violation_Summary_Seller_Year!$I:$I,MATCH(AD31,Violation_Summary_Seller_Year!$K:$K,0)),0)</f>
        <v>0</v>
      </c>
      <c r="AC31">
        <f>IFERROR(INDEX(Violation_Summary_Seller_Year!$J:$J,MATCH(AD31,Violation_Summary_Seller_Year!$K:$K,0)),0)</f>
        <v>24</v>
      </c>
      <c r="AD31" t="str">
        <f t="shared" si="0"/>
        <v>31_2021</v>
      </c>
      <c r="AE31">
        <f t="shared" si="1"/>
        <v>0</v>
      </c>
      <c r="AF31">
        <f t="shared" si="2"/>
        <v>2</v>
      </c>
      <c r="AG31">
        <f t="shared" si="3"/>
        <v>1</v>
      </c>
      <c r="AH31">
        <f t="shared" si="4"/>
        <v>0</v>
      </c>
      <c r="AI31">
        <f t="shared" si="5"/>
        <v>1</v>
      </c>
      <c r="AJ31">
        <f t="shared" si="6"/>
        <v>80</v>
      </c>
      <c r="AK31" t="str">
        <f t="shared" si="7"/>
        <v>Medium</v>
      </c>
    </row>
    <row r="32" spans="1:37" x14ac:dyDescent="0.3">
      <c r="A32">
        <v>32</v>
      </c>
      <c r="B32">
        <v>2021</v>
      </c>
      <c r="C32">
        <v>632</v>
      </c>
      <c r="D32">
        <v>34</v>
      </c>
      <c r="E32">
        <v>27</v>
      </c>
      <c r="F32">
        <v>2169.0500000000002</v>
      </c>
      <c r="G32">
        <v>4.2722000000000003E-2</v>
      </c>
      <c r="H32">
        <v>9</v>
      </c>
      <c r="I32">
        <v>18</v>
      </c>
      <c r="J32">
        <v>7</v>
      </c>
      <c r="K32">
        <v>4</v>
      </c>
      <c r="L32">
        <v>0</v>
      </c>
      <c r="M32">
        <v>1</v>
      </c>
      <c r="N32">
        <v>2</v>
      </c>
      <c r="O32">
        <v>2</v>
      </c>
      <c r="P32" t="s">
        <v>68</v>
      </c>
      <c r="Q32" t="str">
        <f>VLOOKUP(A32,Cleaned_Seller_Master!$A:$H,2,FALSE)</f>
        <v>Pulse Commerce 032</v>
      </c>
      <c r="R32" t="str">
        <f>VLOOKUP(A32,Cleaned_Seller_Master!$A:$H,4,FALSE)</f>
        <v>Beauty</v>
      </c>
      <c r="S32" t="str">
        <f>VLOOKUP(A32,Cleaned_Seller_Master!$A:$H,5,FALSE)</f>
        <v>South</v>
      </c>
      <c r="T32" t="str">
        <f>VLOOKUP(A32,Cleaned_Seller_Master!$A:$H,8,FALSE)</f>
        <v>Verified</v>
      </c>
      <c r="U32" t="str">
        <f>VLOOKUP(A32,Cleaned_Seller_Master!$A:$H,7,FALSE)</f>
        <v>11-07-2020</v>
      </c>
      <c r="V32">
        <f>IFERROR(INDEX(Violation_Summary_Seller_Year!$C:$C,MATCH(AD32,Violation_Summary_Seller_Year!$K:$K,0)),0)</f>
        <v>3</v>
      </c>
      <c r="W32">
        <f>IFERROR(INDEX(Violation_Summary_Seller_Year!$D:$D,MATCH(AD32,Violation_Summary_Seller_Year!$K:$K,0)),0)</f>
        <v>9967.31</v>
      </c>
      <c r="X32">
        <f>IFERROR(INDEX(Violation_Summary_Seller_Year!$E:$E,MATCH(AD32,Violation_Summary_Seller_Year!$K:$K,0)),0)</f>
        <v>0</v>
      </c>
      <c r="Y32">
        <f>IFERROR(INDEX(Violation_Summary_Seller_Year!$F:$F,MATCH(AD32,Violation_Summary_Seller_Year!$K:$K,0)),0)</f>
        <v>2</v>
      </c>
      <c r="Z32">
        <f>IFERROR(INDEX(Violation_Summary_Seller_Year!$G:$G,MATCH(AD32,Violation_Summary_Seller_Year!$K:$K,0)),0)</f>
        <v>1</v>
      </c>
      <c r="AA32">
        <f>IFERROR(INDEX(Violation_Summary_Seller_Year!$H:$H,MATCH(AD32,Violation_Summary_Seller_Year!$K:$K,0)),0)</f>
        <v>2</v>
      </c>
      <c r="AB32">
        <f>IFERROR(INDEX(Violation_Summary_Seller_Year!$I:$I,MATCH(AD32,Violation_Summary_Seller_Year!$K:$K,0)),0)</f>
        <v>0</v>
      </c>
      <c r="AC32">
        <f>IFERROR(INDEX(Violation_Summary_Seller_Year!$J:$J,MATCH(AD32,Violation_Summary_Seller_Year!$K:$K,0)),0)</f>
        <v>15</v>
      </c>
      <c r="AD32" t="str">
        <f t="shared" si="0"/>
        <v>32_2021</v>
      </c>
      <c r="AE32">
        <f t="shared" si="1"/>
        <v>0</v>
      </c>
      <c r="AF32">
        <f t="shared" si="2"/>
        <v>2</v>
      </c>
      <c r="AG32">
        <f t="shared" si="3"/>
        <v>2</v>
      </c>
      <c r="AH32">
        <f t="shared" si="4"/>
        <v>0</v>
      </c>
      <c r="AI32">
        <f t="shared" si="5"/>
        <v>1</v>
      </c>
      <c r="AJ32">
        <f t="shared" si="6"/>
        <v>100</v>
      </c>
      <c r="AK32" t="str">
        <f t="shared" si="7"/>
        <v>Medium</v>
      </c>
    </row>
    <row r="33" spans="1:37" x14ac:dyDescent="0.3">
      <c r="A33">
        <v>33</v>
      </c>
      <c r="B33">
        <v>2021</v>
      </c>
      <c r="C33">
        <v>1252</v>
      </c>
      <c r="D33">
        <v>130</v>
      </c>
      <c r="E33">
        <v>102</v>
      </c>
      <c r="F33">
        <v>6870.32</v>
      </c>
      <c r="G33">
        <v>8.1470000000000001E-2</v>
      </c>
      <c r="H33">
        <v>50</v>
      </c>
      <c r="I33">
        <v>50</v>
      </c>
      <c r="J33">
        <v>13</v>
      </c>
      <c r="K33">
        <v>17</v>
      </c>
      <c r="L33">
        <v>1</v>
      </c>
      <c r="M33">
        <v>9</v>
      </c>
      <c r="N33">
        <v>11</v>
      </c>
      <c r="O33">
        <v>6</v>
      </c>
      <c r="P33" t="s">
        <v>85</v>
      </c>
      <c r="Q33" t="str">
        <f>VLOOKUP(A33,Cleaned_Seller_Master!$A:$H,2,FALSE)</f>
        <v>Summit Bazaar 033</v>
      </c>
      <c r="R33" t="str">
        <f>VLOOKUP(A33,Cleaned_Seller_Master!$A:$H,4,FALSE)</f>
        <v>Groceries</v>
      </c>
      <c r="S33" t="str">
        <f>VLOOKUP(A33,Cleaned_Seller_Master!$A:$H,5,FALSE)</f>
        <v>East</v>
      </c>
      <c r="T33" t="str">
        <f>VLOOKUP(A33,Cleaned_Seller_Master!$A:$H,8,FALSE)</f>
        <v>Standard</v>
      </c>
      <c r="U33" t="str">
        <f>VLOOKUP(A33,Cleaned_Seller_Master!$A:$H,7,FALSE)</f>
        <v>06-05-2019</v>
      </c>
      <c r="V33">
        <f>IFERROR(INDEX(Violation_Summary_Seller_Year!$C:$C,MATCH(AD33,Violation_Summary_Seller_Year!$K:$K,0)),0)</f>
        <v>4</v>
      </c>
      <c r="W33">
        <f>IFERROR(INDEX(Violation_Summary_Seller_Year!$D:$D,MATCH(AD33,Violation_Summary_Seller_Year!$K:$K,0)),0)</f>
        <v>3349.9</v>
      </c>
      <c r="X33">
        <f>IFERROR(INDEX(Violation_Summary_Seller_Year!$E:$E,MATCH(AD33,Violation_Summary_Seller_Year!$K:$K,0)),0)</f>
        <v>1</v>
      </c>
      <c r="Y33">
        <f>IFERROR(INDEX(Violation_Summary_Seller_Year!$F:$F,MATCH(AD33,Violation_Summary_Seller_Year!$K:$K,0)),0)</f>
        <v>3</v>
      </c>
      <c r="Z33">
        <f>IFERROR(INDEX(Violation_Summary_Seller_Year!$G:$G,MATCH(AD33,Violation_Summary_Seller_Year!$K:$K,0)),0)</f>
        <v>1</v>
      </c>
      <c r="AA33">
        <f>IFERROR(INDEX(Violation_Summary_Seller_Year!$H:$H,MATCH(AD33,Violation_Summary_Seller_Year!$K:$K,0)),0)</f>
        <v>0</v>
      </c>
      <c r="AB33">
        <f>IFERROR(INDEX(Violation_Summary_Seller_Year!$I:$I,MATCH(AD33,Violation_Summary_Seller_Year!$K:$K,0)),0)</f>
        <v>3</v>
      </c>
      <c r="AC33">
        <f>IFERROR(INDEX(Violation_Summary_Seller_Year!$J:$J,MATCH(AD33,Violation_Summary_Seller_Year!$K:$K,0)),0)</f>
        <v>50</v>
      </c>
      <c r="AD33" t="str">
        <f t="shared" si="0"/>
        <v>33_2021</v>
      </c>
      <c r="AE33">
        <f t="shared" si="1"/>
        <v>1</v>
      </c>
      <c r="AF33">
        <f t="shared" si="2"/>
        <v>2</v>
      </c>
      <c r="AG33">
        <f t="shared" si="3"/>
        <v>1</v>
      </c>
      <c r="AH33">
        <f t="shared" si="4"/>
        <v>2</v>
      </c>
      <c r="AI33">
        <f t="shared" si="5"/>
        <v>2</v>
      </c>
      <c r="AJ33">
        <f t="shared" si="6"/>
        <v>155</v>
      </c>
      <c r="AK33" t="str">
        <f t="shared" si="7"/>
        <v>High</v>
      </c>
    </row>
    <row r="34" spans="1:37" x14ac:dyDescent="0.3">
      <c r="A34">
        <v>34</v>
      </c>
      <c r="B34">
        <v>2021</v>
      </c>
      <c r="C34">
        <v>766</v>
      </c>
      <c r="D34">
        <v>69</v>
      </c>
      <c r="E34">
        <v>57</v>
      </c>
      <c r="F34">
        <v>2230.79</v>
      </c>
      <c r="G34">
        <v>7.4413000000000007E-2</v>
      </c>
      <c r="H34">
        <v>14</v>
      </c>
      <c r="I34">
        <v>26</v>
      </c>
      <c r="J34">
        <v>12</v>
      </c>
      <c r="K34">
        <v>6</v>
      </c>
      <c r="L34">
        <v>1</v>
      </c>
      <c r="M34">
        <v>4</v>
      </c>
      <c r="N34">
        <v>4</v>
      </c>
      <c r="O34">
        <v>4</v>
      </c>
      <c r="P34" t="s">
        <v>85</v>
      </c>
      <c r="Q34" t="str">
        <f>VLOOKUP(A34,Cleaned_Seller_Master!$A:$H,2,FALSE)</f>
        <v>Prime Bridge 034</v>
      </c>
      <c r="R34" t="str">
        <f>VLOOKUP(A34,Cleaned_Seller_Master!$A:$H,4,FALSE)</f>
        <v>Home</v>
      </c>
      <c r="S34" t="str">
        <f>VLOOKUP(A34,Cleaned_Seller_Master!$A:$H,5,FALSE)</f>
        <v>Southeast Asia</v>
      </c>
      <c r="T34" t="str">
        <f>VLOOKUP(A34,Cleaned_Seller_Master!$A:$H,8,FALSE)</f>
        <v>Verified</v>
      </c>
      <c r="U34" t="str">
        <f>VLOOKUP(A34,Cleaned_Seller_Master!$A:$H,7,FALSE)</f>
        <v>19-07-2019</v>
      </c>
      <c r="V34">
        <f>IFERROR(INDEX(Violation_Summary_Seller_Year!$C:$C,MATCH(AD34,Violation_Summary_Seller_Year!$K:$K,0)),0)</f>
        <v>3</v>
      </c>
      <c r="W34">
        <f>IFERROR(INDEX(Violation_Summary_Seller_Year!$D:$D,MATCH(AD34,Violation_Summary_Seller_Year!$K:$K,0)),0)</f>
        <v>17549.5</v>
      </c>
      <c r="X34">
        <f>IFERROR(INDEX(Violation_Summary_Seller_Year!$E:$E,MATCH(AD34,Violation_Summary_Seller_Year!$K:$K,0)),0)</f>
        <v>1</v>
      </c>
      <c r="Y34">
        <f>IFERROR(INDEX(Violation_Summary_Seller_Year!$F:$F,MATCH(AD34,Violation_Summary_Seller_Year!$K:$K,0)),0)</f>
        <v>1</v>
      </c>
      <c r="Z34">
        <f>IFERROR(INDEX(Violation_Summary_Seller_Year!$G:$G,MATCH(AD34,Violation_Summary_Seller_Year!$K:$K,0)),0)</f>
        <v>2</v>
      </c>
      <c r="AA34">
        <f>IFERROR(INDEX(Violation_Summary_Seller_Year!$H:$H,MATCH(AD34,Violation_Summary_Seller_Year!$K:$K,0)),0)</f>
        <v>3</v>
      </c>
      <c r="AB34">
        <f>IFERROR(INDEX(Violation_Summary_Seller_Year!$I:$I,MATCH(AD34,Violation_Summary_Seller_Year!$K:$K,0)),0)</f>
        <v>2</v>
      </c>
      <c r="AC34">
        <f>IFERROR(INDEX(Violation_Summary_Seller_Year!$J:$J,MATCH(AD34,Violation_Summary_Seller_Year!$K:$K,0)),0)</f>
        <v>32</v>
      </c>
      <c r="AD34" t="str">
        <f t="shared" si="0"/>
        <v>34_2021</v>
      </c>
      <c r="AE34">
        <f t="shared" si="1"/>
        <v>1</v>
      </c>
      <c r="AF34">
        <f t="shared" si="2"/>
        <v>2</v>
      </c>
      <c r="AG34">
        <f t="shared" si="3"/>
        <v>2</v>
      </c>
      <c r="AH34">
        <f t="shared" si="4"/>
        <v>2</v>
      </c>
      <c r="AI34">
        <f t="shared" si="5"/>
        <v>2</v>
      </c>
      <c r="AJ34">
        <f t="shared" si="6"/>
        <v>175</v>
      </c>
      <c r="AK34" t="str">
        <f t="shared" si="7"/>
        <v>High</v>
      </c>
    </row>
    <row r="35" spans="1:37" x14ac:dyDescent="0.3">
      <c r="A35">
        <v>35</v>
      </c>
      <c r="B35">
        <v>2021</v>
      </c>
      <c r="C35">
        <v>2654</v>
      </c>
      <c r="D35">
        <v>262</v>
      </c>
      <c r="E35">
        <v>228</v>
      </c>
      <c r="F35">
        <v>25669.82</v>
      </c>
      <c r="G35">
        <v>8.5907999999999998E-2</v>
      </c>
      <c r="H35">
        <v>38</v>
      </c>
      <c r="I35">
        <v>89</v>
      </c>
      <c r="J35">
        <v>41</v>
      </c>
      <c r="K35">
        <v>17</v>
      </c>
      <c r="L35">
        <v>1</v>
      </c>
      <c r="M35">
        <v>6</v>
      </c>
      <c r="N35">
        <v>8</v>
      </c>
      <c r="O35">
        <v>8</v>
      </c>
      <c r="P35" t="s">
        <v>85</v>
      </c>
      <c r="Q35" t="str">
        <f>VLOOKUP(A35,Cleaned_Seller_Master!$A:$H,2,FALSE)</f>
        <v>Apex Retail 035</v>
      </c>
      <c r="R35" t="str">
        <f>VLOOKUP(A35,Cleaned_Seller_Master!$A:$H,4,FALSE)</f>
        <v>Beauty</v>
      </c>
      <c r="S35" t="str">
        <f>VLOOKUP(A35,Cleaned_Seller_Master!$A:$H,5,FALSE)</f>
        <v>East</v>
      </c>
      <c r="T35" t="str">
        <f>VLOOKUP(A35,Cleaned_Seller_Master!$A:$H,8,FALSE)</f>
        <v>Verified</v>
      </c>
      <c r="U35" t="str">
        <f>VLOOKUP(A35,Cleaned_Seller_Master!$A:$H,7,FALSE)</f>
        <v>11-11-2019</v>
      </c>
      <c r="V35">
        <f>IFERROR(INDEX(Violation_Summary_Seller_Year!$C:$C,MATCH(AD35,Violation_Summary_Seller_Year!$K:$K,0)),0)</f>
        <v>6</v>
      </c>
      <c r="W35">
        <f>IFERROR(INDEX(Violation_Summary_Seller_Year!$D:$D,MATCH(AD35,Violation_Summary_Seller_Year!$K:$K,0)),0)</f>
        <v>22416.3</v>
      </c>
      <c r="X35">
        <f>IFERROR(INDEX(Violation_Summary_Seller_Year!$E:$E,MATCH(AD35,Violation_Summary_Seller_Year!$K:$K,0)),0)</f>
        <v>4</v>
      </c>
      <c r="Y35">
        <f>IFERROR(INDEX(Violation_Summary_Seller_Year!$F:$F,MATCH(AD35,Violation_Summary_Seller_Year!$K:$K,0)),0)</f>
        <v>1</v>
      </c>
      <c r="Z35">
        <f>IFERROR(INDEX(Violation_Summary_Seller_Year!$G:$G,MATCH(AD35,Violation_Summary_Seller_Year!$K:$K,0)),0)</f>
        <v>5</v>
      </c>
      <c r="AA35">
        <f>IFERROR(INDEX(Violation_Summary_Seller_Year!$H:$H,MATCH(AD35,Violation_Summary_Seller_Year!$K:$K,0)),0)</f>
        <v>5</v>
      </c>
      <c r="AB35">
        <f>IFERROR(INDEX(Violation_Summary_Seller_Year!$I:$I,MATCH(AD35,Violation_Summary_Seller_Year!$K:$K,0)),0)</f>
        <v>4</v>
      </c>
      <c r="AC35">
        <f>IFERROR(INDEX(Violation_Summary_Seller_Year!$J:$J,MATCH(AD35,Violation_Summary_Seller_Year!$K:$K,0)),0)</f>
        <v>76</v>
      </c>
      <c r="AD35" t="str">
        <f t="shared" si="0"/>
        <v>35_2021</v>
      </c>
      <c r="AE35">
        <f t="shared" si="1"/>
        <v>1</v>
      </c>
      <c r="AF35">
        <f t="shared" si="2"/>
        <v>2</v>
      </c>
      <c r="AG35">
        <f t="shared" si="3"/>
        <v>2</v>
      </c>
      <c r="AH35">
        <f t="shared" si="4"/>
        <v>2</v>
      </c>
      <c r="AI35">
        <f t="shared" si="5"/>
        <v>2</v>
      </c>
      <c r="AJ35">
        <f t="shared" si="6"/>
        <v>175</v>
      </c>
      <c r="AK35" t="str">
        <f t="shared" si="7"/>
        <v>High</v>
      </c>
    </row>
    <row r="36" spans="1:37" x14ac:dyDescent="0.3">
      <c r="A36">
        <v>36</v>
      </c>
      <c r="B36">
        <v>2021</v>
      </c>
      <c r="C36">
        <v>2383</v>
      </c>
      <c r="D36">
        <v>235</v>
      </c>
      <c r="E36">
        <v>189</v>
      </c>
      <c r="F36">
        <v>10928.63</v>
      </c>
      <c r="G36">
        <v>7.9311999999999994E-2</v>
      </c>
      <c r="H36">
        <v>35</v>
      </c>
      <c r="I36">
        <v>71</v>
      </c>
      <c r="J36">
        <v>28</v>
      </c>
      <c r="K36">
        <v>10</v>
      </c>
      <c r="L36">
        <v>1</v>
      </c>
      <c r="M36">
        <v>5</v>
      </c>
      <c r="N36">
        <v>6</v>
      </c>
      <c r="O36">
        <v>16</v>
      </c>
      <c r="P36" t="s">
        <v>85</v>
      </c>
      <c r="Q36" t="str">
        <f>VLOOKUP(A36,Cleaned_Seller_Master!$A:$H,2,FALSE)</f>
        <v>Nimbus Market 036</v>
      </c>
      <c r="R36" t="str">
        <f>VLOOKUP(A36,Cleaned_Seller_Master!$A:$H,4,FALSE)</f>
        <v>Fashion</v>
      </c>
      <c r="S36" t="str">
        <f>VLOOKUP(A36,Cleaned_Seller_Master!$A:$H,5,FALSE)</f>
        <v>West</v>
      </c>
      <c r="T36" t="str">
        <f>VLOOKUP(A36,Cleaned_Seller_Master!$A:$H,8,FALSE)</f>
        <v>Strategic</v>
      </c>
      <c r="U36" t="str">
        <f>VLOOKUP(A36,Cleaned_Seller_Master!$A:$H,7,FALSE)</f>
        <v>14-04-2020</v>
      </c>
      <c r="V36">
        <f>IFERROR(INDEX(Violation_Summary_Seller_Year!$C:$C,MATCH(AD36,Violation_Summary_Seller_Year!$K:$K,0)),0)</f>
        <v>6</v>
      </c>
      <c r="W36">
        <f>IFERROR(INDEX(Violation_Summary_Seller_Year!$D:$D,MATCH(AD36,Violation_Summary_Seller_Year!$K:$K,0)),0)</f>
        <v>11872.11</v>
      </c>
      <c r="X36">
        <f>IFERROR(INDEX(Violation_Summary_Seller_Year!$E:$E,MATCH(AD36,Violation_Summary_Seller_Year!$K:$K,0)),0)</f>
        <v>3</v>
      </c>
      <c r="Y36">
        <f>IFERROR(INDEX(Violation_Summary_Seller_Year!$F:$F,MATCH(AD36,Violation_Summary_Seller_Year!$K:$K,0)),0)</f>
        <v>4</v>
      </c>
      <c r="Z36">
        <f>IFERROR(INDEX(Violation_Summary_Seller_Year!$G:$G,MATCH(AD36,Violation_Summary_Seller_Year!$K:$K,0)),0)</f>
        <v>2</v>
      </c>
      <c r="AA36">
        <f>IFERROR(INDEX(Violation_Summary_Seller_Year!$H:$H,MATCH(AD36,Violation_Summary_Seller_Year!$K:$K,0)),0)</f>
        <v>3</v>
      </c>
      <c r="AB36">
        <f>IFERROR(INDEX(Violation_Summary_Seller_Year!$I:$I,MATCH(AD36,Violation_Summary_Seller_Year!$K:$K,0)),0)</f>
        <v>2</v>
      </c>
      <c r="AC36">
        <f>IFERROR(INDEX(Violation_Summary_Seller_Year!$J:$J,MATCH(AD36,Violation_Summary_Seller_Year!$K:$K,0)),0)</f>
        <v>75</v>
      </c>
      <c r="AD36" t="str">
        <f t="shared" si="0"/>
        <v>36_2021</v>
      </c>
      <c r="AE36">
        <f t="shared" si="1"/>
        <v>1</v>
      </c>
      <c r="AF36">
        <f t="shared" si="2"/>
        <v>2</v>
      </c>
      <c r="AG36">
        <f t="shared" si="3"/>
        <v>2</v>
      </c>
      <c r="AH36">
        <f t="shared" si="4"/>
        <v>2</v>
      </c>
      <c r="AI36">
        <f t="shared" si="5"/>
        <v>2</v>
      </c>
      <c r="AJ36">
        <f t="shared" si="6"/>
        <v>175</v>
      </c>
      <c r="AK36" t="str">
        <f t="shared" si="7"/>
        <v>High</v>
      </c>
    </row>
    <row r="37" spans="1:37" x14ac:dyDescent="0.3">
      <c r="A37">
        <v>37</v>
      </c>
      <c r="B37">
        <v>2021</v>
      </c>
      <c r="C37">
        <v>874</v>
      </c>
      <c r="D37">
        <v>48</v>
      </c>
      <c r="E37">
        <v>37</v>
      </c>
      <c r="F37">
        <v>2119.1999999999998</v>
      </c>
      <c r="G37">
        <v>4.2333999999999997E-2</v>
      </c>
      <c r="H37">
        <v>8</v>
      </c>
      <c r="I37">
        <v>18</v>
      </c>
      <c r="J37">
        <v>9</v>
      </c>
      <c r="K37">
        <v>5</v>
      </c>
      <c r="L37">
        <v>0</v>
      </c>
      <c r="M37">
        <v>1</v>
      </c>
      <c r="N37">
        <v>2</v>
      </c>
      <c r="O37">
        <v>2</v>
      </c>
      <c r="P37" t="s">
        <v>175</v>
      </c>
      <c r="Q37" t="str">
        <f>VLOOKUP(A37,Cleaned_Seller_Master!$A:$H,2,FALSE)</f>
        <v>Metro Point 037</v>
      </c>
      <c r="R37" t="str">
        <f>VLOOKUP(A37,Cleaned_Seller_Master!$A:$H,4,FALSE)</f>
        <v>Electronics</v>
      </c>
      <c r="S37" t="str">
        <f>VLOOKUP(A37,Cleaned_Seller_Master!$A:$H,5,FALSE)</f>
        <v>East</v>
      </c>
      <c r="T37" t="str">
        <f>VLOOKUP(A37,Cleaned_Seller_Master!$A:$H,8,FALSE)</f>
        <v>Standard</v>
      </c>
      <c r="U37" t="str">
        <f>VLOOKUP(A37,Cleaned_Seller_Master!$A:$H,7,FALSE)</f>
        <v>26-07-2021</v>
      </c>
      <c r="V37">
        <f>IFERROR(INDEX(Violation_Summary_Seller_Year!$C:$C,MATCH(AD37,Violation_Summary_Seller_Year!$K:$K,0)),0)</f>
        <v>2</v>
      </c>
      <c r="W37">
        <f>IFERROR(INDEX(Violation_Summary_Seller_Year!$D:$D,MATCH(AD37,Violation_Summary_Seller_Year!$K:$K,0)),0)</f>
        <v>140.42000000000002</v>
      </c>
      <c r="X37">
        <f>IFERROR(INDEX(Violation_Summary_Seller_Year!$E:$E,MATCH(AD37,Violation_Summary_Seller_Year!$K:$K,0)),0)</f>
        <v>0</v>
      </c>
      <c r="Y37">
        <f>IFERROR(INDEX(Violation_Summary_Seller_Year!$F:$F,MATCH(AD37,Violation_Summary_Seller_Year!$K:$K,0)),0)</f>
        <v>1</v>
      </c>
      <c r="Z37">
        <f>IFERROR(INDEX(Violation_Summary_Seller_Year!$G:$G,MATCH(AD37,Violation_Summary_Seller_Year!$K:$K,0)),0)</f>
        <v>1</v>
      </c>
      <c r="AA37">
        <f>IFERROR(INDEX(Violation_Summary_Seller_Year!$H:$H,MATCH(AD37,Violation_Summary_Seller_Year!$K:$K,0)),0)</f>
        <v>0</v>
      </c>
      <c r="AB37">
        <f>IFERROR(INDEX(Violation_Summary_Seller_Year!$I:$I,MATCH(AD37,Violation_Summary_Seller_Year!$K:$K,0)),0)</f>
        <v>1</v>
      </c>
      <c r="AC37">
        <f>IFERROR(INDEX(Violation_Summary_Seller_Year!$J:$J,MATCH(AD37,Violation_Summary_Seller_Year!$K:$K,0)),0)</f>
        <v>21</v>
      </c>
      <c r="AD37" t="str">
        <f t="shared" si="0"/>
        <v>37_2021</v>
      </c>
      <c r="AE37">
        <f t="shared" si="1"/>
        <v>0</v>
      </c>
      <c r="AF37">
        <f t="shared" si="2"/>
        <v>2</v>
      </c>
      <c r="AG37">
        <f t="shared" si="3"/>
        <v>1</v>
      </c>
      <c r="AH37">
        <f t="shared" si="4"/>
        <v>0</v>
      </c>
      <c r="AI37">
        <f t="shared" si="5"/>
        <v>1</v>
      </c>
      <c r="AJ37">
        <f t="shared" si="6"/>
        <v>80</v>
      </c>
      <c r="AK37" t="str">
        <f t="shared" si="7"/>
        <v>Medium</v>
      </c>
    </row>
    <row r="38" spans="1:37" x14ac:dyDescent="0.3">
      <c r="A38">
        <v>38</v>
      </c>
      <c r="B38">
        <v>2021</v>
      </c>
      <c r="C38">
        <v>856</v>
      </c>
      <c r="D38">
        <v>88</v>
      </c>
      <c r="E38">
        <v>63</v>
      </c>
      <c r="F38">
        <v>2918.6</v>
      </c>
      <c r="G38">
        <v>7.3597999999999997E-2</v>
      </c>
      <c r="H38">
        <v>21</v>
      </c>
      <c r="I38">
        <v>33</v>
      </c>
      <c r="J38">
        <v>11</v>
      </c>
      <c r="K38">
        <v>8</v>
      </c>
      <c r="L38">
        <v>1</v>
      </c>
      <c r="M38">
        <v>5</v>
      </c>
      <c r="N38">
        <v>7</v>
      </c>
      <c r="O38">
        <v>5</v>
      </c>
      <c r="P38" t="s">
        <v>85</v>
      </c>
      <c r="Q38" t="str">
        <f>VLOOKUP(A38,Cleaned_Seller_Master!$A:$H,2,FALSE)</f>
        <v>Luna Stores 038</v>
      </c>
      <c r="R38" t="str">
        <f>VLOOKUP(A38,Cleaned_Seller_Master!$A:$H,4,FALSE)</f>
        <v>Beauty</v>
      </c>
      <c r="S38" t="str">
        <f>VLOOKUP(A38,Cleaned_Seller_Master!$A:$H,5,FALSE)</f>
        <v>North</v>
      </c>
      <c r="T38" t="str">
        <f>VLOOKUP(A38,Cleaned_Seller_Master!$A:$H,8,FALSE)</f>
        <v>Verified</v>
      </c>
      <c r="U38" t="str">
        <f>VLOOKUP(A38,Cleaned_Seller_Master!$A:$H,7,FALSE)</f>
        <v>27-02-2022</v>
      </c>
      <c r="V38">
        <f>IFERROR(INDEX(Violation_Summary_Seller_Year!$C:$C,MATCH(AD38,Violation_Summary_Seller_Year!$K:$K,0)),0)</f>
        <v>6</v>
      </c>
      <c r="W38">
        <f>IFERROR(INDEX(Violation_Summary_Seller_Year!$D:$D,MATCH(AD38,Violation_Summary_Seller_Year!$K:$K,0)),0)</f>
        <v>16209.75</v>
      </c>
      <c r="X38">
        <f>IFERROR(INDEX(Violation_Summary_Seller_Year!$E:$E,MATCH(AD38,Violation_Summary_Seller_Year!$K:$K,0)),0)</f>
        <v>3</v>
      </c>
      <c r="Y38">
        <f>IFERROR(INDEX(Violation_Summary_Seller_Year!$F:$F,MATCH(AD38,Violation_Summary_Seller_Year!$K:$K,0)),0)</f>
        <v>4</v>
      </c>
      <c r="Z38">
        <f>IFERROR(INDEX(Violation_Summary_Seller_Year!$G:$G,MATCH(AD38,Violation_Summary_Seller_Year!$K:$K,0)),0)</f>
        <v>2</v>
      </c>
      <c r="AA38">
        <f>IFERROR(INDEX(Violation_Summary_Seller_Year!$H:$H,MATCH(AD38,Violation_Summary_Seller_Year!$K:$K,0)),0)</f>
        <v>4</v>
      </c>
      <c r="AB38">
        <f>IFERROR(INDEX(Violation_Summary_Seller_Year!$I:$I,MATCH(AD38,Violation_Summary_Seller_Year!$K:$K,0)),0)</f>
        <v>2</v>
      </c>
      <c r="AC38">
        <f>IFERROR(INDEX(Violation_Summary_Seller_Year!$J:$J,MATCH(AD38,Violation_Summary_Seller_Year!$K:$K,0)),0)</f>
        <v>63</v>
      </c>
      <c r="AD38" t="str">
        <f t="shared" si="0"/>
        <v>38_2021</v>
      </c>
      <c r="AE38">
        <f t="shared" si="1"/>
        <v>1</v>
      </c>
      <c r="AF38">
        <f t="shared" si="2"/>
        <v>2</v>
      </c>
      <c r="AG38">
        <f t="shared" si="3"/>
        <v>2</v>
      </c>
      <c r="AH38">
        <f t="shared" si="4"/>
        <v>2</v>
      </c>
      <c r="AI38">
        <f t="shared" si="5"/>
        <v>2</v>
      </c>
      <c r="AJ38">
        <f t="shared" si="6"/>
        <v>175</v>
      </c>
      <c r="AK38" t="str">
        <f t="shared" si="7"/>
        <v>High</v>
      </c>
    </row>
    <row r="39" spans="1:37" x14ac:dyDescent="0.3">
      <c r="A39">
        <v>39</v>
      </c>
      <c r="B39">
        <v>2021</v>
      </c>
      <c r="C39">
        <v>901</v>
      </c>
      <c r="D39">
        <v>72</v>
      </c>
      <c r="E39">
        <v>63</v>
      </c>
      <c r="F39">
        <v>6358.76</v>
      </c>
      <c r="G39">
        <v>6.9921999999999998E-2</v>
      </c>
      <c r="H39">
        <v>18</v>
      </c>
      <c r="I39">
        <v>34</v>
      </c>
      <c r="J39">
        <v>11</v>
      </c>
      <c r="K39">
        <v>10</v>
      </c>
      <c r="L39">
        <v>0</v>
      </c>
      <c r="M39">
        <v>2</v>
      </c>
      <c r="N39">
        <v>6</v>
      </c>
      <c r="O39">
        <v>2</v>
      </c>
      <c r="P39" t="s">
        <v>175</v>
      </c>
      <c r="Q39" t="str">
        <f>VLOOKUP(A39,Cleaned_Seller_Master!$A:$H,2,FALSE)</f>
        <v>Elite Link 039</v>
      </c>
      <c r="R39" t="str">
        <f>VLOOKUP(A39,Cleaned_Seller_Master!$A:$H,4,FALSE)</f>
        <v>Home</v>
      </c>
      <c r="S39" t="str">
        <f>VLOOKUP(A39,Cleaned_Seller_Master!$A:$H,5,FALSE)</f>
        <v>Southeast Asia</v>
      </c>
      <c r="T39" t="str">
        <f>VLOOKUP(A39,Cleaned_Seller_Master!$A:$H,8,FALSE)</f>
        <v>Premium</v>
      </c>
      <c r="U39" t="str">
        <f>VLOOKUP(A39,Cleaned_Seller_Master!$A:$H,7,FALSE)</f>
        <v>21-07-2025</v>
      </c>
      <c r="V39">
        <f>IFERROR(INDEX(Violation_Summary_Seller_Year!$C:$C,MATCH(AD39,Violation_Summary_Seller_Year!$K:$K,0)),0)</f>
        <v>3</v>
      </c>
      <c r="W39">
        <f>IFERROR(INDEX(Violation_Summary_Seller_Year!$D:$D,MATCH(AD39,Violation_Summary_Seller_Year!$K:$K,0)),0)</f>
        <v>5331.12</v>
      </c>
      <c r="X39">
        <f>IFERROR(INDEX(Violation_Summary_Seller_Year!$E:$E,MATCH(AD39,Violation_Summary_Seller_Year!$K:$K,0)),0)</f>
        <v>0</v>
      </c>
      <c r="Y39">
        <f>IFERROR(INDEX(Violation_Summary_Seller_Year!$F:$F,MATCH(AD39,Violation_Summary_Seller_Year!$K:$K,0)),0)</f>
        <v>2</v>
      </c>
      <c r="Z39">
        <f>IFERROR(INDEX(Violation_Summary_Seller_Year!$G:$G,MATCH(AD39,Violation_Summary_Seller_Year!$K:$K,0)),0)</f>
        <v>1</v>
      </c>
      <c r="AA39">
        <f>IFERROR(INDEX(Violation_Summary_Seller_Year!$H:$H,MATCH(AD39,Violation_Summary_Seller_Year!$K:$K,0)),0)</f>
        <v>1</v>
      </c>
      <c r="AB39">
        <f>IFERROR(INDEX(Violation_Summary_Seller_Year!$I:$I,MATCH(AD39,Violation_Summary_Seller_Year!$K:$K,0)),0)</f>
        <v>1</v>
      </c>
      <c r="AC39">
        <f>IFERROR(INDEX(Violation_Summary_Seller_Year!$J:$J,MATCH(AD39,Violation_Summary_Seller_Year!$K:$K,0)),0)</f>
        <v>34</v>
      </c>
      <c r="AD39" t="str">
        <f t="shared" si="0"/>
        <v>39_2021</v>
      </c>
      <c r="AE39">
        <f t="shared" si="1"/>
        <v>1</v>
      </c>
      <c r="AF39">
        <f t="shared" si="2"/>
        <v>2</v>
      </c>
      <c r="AG39">
        <f t="shared" si="3"/>
        <v>1</v>
      </c>
      <c r="AH39">
        <f t="shared" si="4"/>
        <v>0</v>
      </c>
      <c r="AI39">
        <f t="shared" si="5"/>
        <v>1</v>
      </c>
      <c r="AJ39">
        <f t="shared" si="6"/>
        <v>105</v>
      </c>
      <c r="AK39" t="str">
        <f t="shared" si="7"/>
        <v>Medium</v>
      </c>
    </row>
    <row r="40" spans="1:37" x14ac:dyDescent="0.3">
      <c r="A40">
        <v>40</v>
      </c>
      <c r="B40">
        <v>2021</v>
      </c>
      <c r="C40">
        <v>1231</v>
      </c>
      <c r="D40">
        <v>138</v>
      </c>
      <c r="E40">
        <v>109</v>
      </c>
      <c r="F40">
        <v>6176.14</v>
      </c>
      <c r="G40">
        <v>8.8546E-2</v>
      </c>
      <c r="H40">
        <v>28</v>
      </c>
      <c r="I40">
        <v>44</v>
      </c>
      <c r="J40">
        <v>15</v>
      </c>
      <c r="K40">
        <v>12</v>
      </c>
      <c r="L40">
        <v>1</v>
      </c>
      <c r="M40">
        <v>4</v>
      </c>
      <c r="N40">
        <v>6</v>
      </c>
      <c r="O40">
        <v>5</v>
      </c>
      <c r="P40" t="s">
        <v>85</v>
      </c>
      <c r="Q40" t="str">
        <f>VLOOKUP(A40,Cleaned_Seller_Master!$A:$H,2,FALSE)</f>
        <v>Nova Cart 040</v>
      </c>
      <c r="R40" t="str">
        <f>VLOOKUP(A40,Cleaned_Seller_Master!$A:$H,4,FALSE)</f>
        <v>Electronics</v>
      </c>
      <c r="S40" t="str">
        <f>VLOOKUP(A40,Cleaned_Seller_Master!$A:$H,5,FALSE)</f>
        <v>West</v>
      </c>
      <c r="T40" t="str">
        <f>VLOOKUP(A40,Cleaned_Seller_Master!$A:$H,8,FALSE)</f>
        <v>Standard</v>
      </c>
      <c r="U40" t="str">
        <f>VLOOKUP(A40,Cleaned_Seller_Master!$A:$H,7,FALSE)</f>
        <v>17-12-2020</v>
      </c>
      <c r="V40">
        <f>IFERROR(INDEX(Violation_Summary_Seller_Year!$C:$C,MATCH(AD40,Violation_Summary_Seller_Year!$K:$K,0)),0)</f>
        <v>6</v>
      </c>
      <c r="W40">
        <f>IFERROR(INDEX(Violation_Summary_Seller_Year!$D:$D,MATCH(AD40,Violation_Summary_Seller_Year!$K:$K,0)),0)</f>
        <v>9278.02</v>
      </c>
      <c r="X40">
        <f>IFERROR(INDEX(Violation_Summary_Seller_Year!$E:$E,MATCH(AD40,Violation_Summary_Seller_Year!$K:$K,0)),0)</f>
        <v>5</v>
      </c>
      <c r="Y40">
        <f>IFERROR(INDEX(Violation_Summary_Seller_Year!$F:$F,MATCH(AD40,Violation_Summary_Seller_Year!$K:$K,0)),0)</f>
        <v>5</v>
      </c>
      <c r="Z40">
        <f>IFERROR(INDEX(Violation_Summary_Seller_Year!$G:$G,MATCH(AD40,Violation_Summary_Seller_Year!$K:$K,0)),0)</f>
        <v>1</v>
      </c>
      <c r="AA40">
        <f>IFERROR(INDEX(Violation_Summary_Seller_Year!$H:$H,MATCH(AD40,Violation_Summary_Seller_Year!$K:$K,0)),0)</f>
        <v>2</v>
      </c>
      <c r="AB40">
        <f>IFERROR(INDEX(Violation_Summary_Seller_Year!$I:$I,MATCH(AD40,Violation_Summary_Seller_Year!$K:$K,0)),0)</f>
        <v>1</v>
      </c>
      <c r="AC40">
        <f>IFERROR(INDEX(Violation_Summary_Seller_Year!$J:$J,MATCH(AD40,Violation_Summary_Seller_Year!$K:$K,0)),0)</f>
        <v>78</v>
      </c>
      <c r="AD40" t="str">
        <f t="shared" si="0"/>
        <v>40_2021</v>
      </c>
      <c r="AE40">
        <f t="shared" si="1"/>
        <v>1</v>
      </c>
      <c r="AF40">
        <f t="shared" si="2"/>
        <v>2</v>
      </c>
      <c r="AG40">
        <f t="shared" si="3"/>
        <v>2</v>
      </c>
      <c r="AH40">
        <f t="shared" si="4"/>
        <v>2</v>
      </c>
      <c r="AI40">
        <f t="shared" si="5"/>
        <v>2</v>
      </c>
      <c r="AJ40">
        <f t="shared" si="6"/>
        <v>175</v>
      </c>
      <c r="AK40" t="str">
        <f t="shared" si="7"/>
        <v>High</v>
      </c>
    </row>
    <row r="41" spans="1:37" x14ac:dyDescent="0.3">
      <c r="A41">
        <v>41</v>
      </c>
      <c r="B41">
        <v>2021</v>
      </c>
      <c r="C41">
        <v>483</v>
      </c>
      <c r="D41">
        <v>44</v>
      </c>
      <c r="E41">
        <v>37</v>
      </c>
      <c r="F41">
        <v>1427.6</v>
      </c>
      <c r="G41">
        <v>7.6605000000000006E-2</v>
      </c>
      <c r="H41">
        <v>18</v>
      </c>
      <c r="I41">
        <v>20</v>
      </c>
      <c r="J41">
        <v>6</v>
      </c>
      <c r="K41">
        <v>7</v>
      </c>
      <c r="L41">
        <v>1</v>
      </c>
      <c r="M41">
        <v>5</v>
      </c>
      <c r="N41">
        <v>4</v>
      </c>
      <c r="O41">
        <v>2</v>
      </c>
      <c r="P41" t="s">
        <v>85</v>
      </c>
      <c r="Q41" t="str">
        <f>VLOOKUP(A41,Cleaned_Seller_Master!$A:$H,2,FALSE)</f>
        <v>Swift Goods 041</v>
      </c>
      <c r="R41" t="str">
        <f>VLOOKUP(A41,Cleaned_Seller_Master!$A:$H,4,FALSE)</f>
        <v>Groceries</v>
      </c>
      <c r="S41" t="str">
        <f>VLOOKUP(A41,Cleaned_Seller_Master!$A:$H,5,FALSE)</f>
        <v>Southeast Asia</v>
      </c>
      <c r="T41" t="str">
        <f>VLOOKUP(A41,Cleaned_Seller_Master!$A:$H,8,FALSE)</f>
        <v>Standard</v>
      </c>
      <c r="U41" t="str">
        <f>VLOOKUP(A41,Cleaned_Seller_Master!$A:$H,7,FALSE)</f>
        <v>20-08-2023</v>
      </c>
      <c r="V41">
        <f>IFERROR(INDEX(Violation_Summary_Seller_Year!$C:$C,MATCH(AD41,Violation_Summary_Seller_Year!$K:$K,0)),0)</f>
        <v>5</v>
      </c>
      <c r="W41">
        <f>IFERROR(INDEX(Violation_Summary_Seller_Year!$D:$D,MATCH(AD41,Violation_Summary_Seller_Year!$K:$K,0)),0)</f>
        <v>16530.7</v>
      </c>
      <c r="X41">
        <f>IFERROR(INDEX(Violation_Summary_Seller_Year!$E:$E,MATCH(AD41,Violation_Summary_Seller_Year!$K:$K,0)),0)</f>
        <v>3</v>
      </c>
      <c r="Y41">
        <f>IFERROR(INDEX(Violation_Summary_Seller_Year!$F:$F,MATCH(AD41,Violation_Summary_Seller_Year!$K:$K,0)),0)</f>
        <v>4</v>
      </c>
      <c r="Z41">
        <f>IFERROR(INDEX(Violation_Summary_Seller_Year!$G:$G,MATCH(AD41,Violation_Summary_Seller_Year!$K:$K,0)),0)</f>
        <v>1</v>
      </c>
      <c r="AA41">
        <f>IFERROR(INDEX(Violation_Summary_Seller_Year!$H:$H,MATCH(AD41,Violation_Summary_Seller_Year!$K:$K,0)),0)</f>
        <v>4</v>
      </c>
      <c r="AB41">
        <f>IFERROR(INDEX(Violation_Summary_Seller_Year!$I:$I,MATCH(AD41,Violation_Summary_Seller_Year!$K:$K,0)),0)</f>
        <v>3</v>
      </c>
      <c r="AC41">
        <f>IFERROR(INDEX(Violation_Summary_Seller_Year!$J:$J,MATCH(AD41,Violation_Summary_Seller_Year!$K:$K,0)),0)</f>
        <v>33</v>
      </c>
      <c r="AD41" t="str">
        <f t="shared" si="0"/>
        <v>41_2021</v>
      </c>
      <c r="AE41">
        <f t="shared" si="1"/>
        <v>1</v>
      </c>
      <c r="AF41">
        <f t="shared" si="2"/>
        <v>2</v>
      </c>
      <c r="AG41">
        <f t="shared" si="3"/>
        <v>2</v>
      </c>
      <c r="AH41">
        <f t="shared" si="4"/>
        <v>2</v>
      </c>
      <c r="AI41">
        <f t="shared" si="5"/>
        <v>2</v>
      </c>
      <c r="AJ41">
        <f t="shared" si="6"/>
        <v>175</v>
      </c>
      <c r="AK41" t="str">
        <f t="shared" si="7"/>
        <v>High</v>
      </c>
    </row>
    <row r="42" spans="1:37" x14ac:dyDescent="0.3">
      <c r="A42">
        <v>42</v>
      </c>
      <c r="B42">
        <v>2021</v>
      </c>
      <c r="C42">
        <v>296</v>
      </c>
      <c r="D42">
        <v>25</v>
      </c>
      <c r="E42">
        <v>19</v>
      </c>
      <c r="F42">
        <v>837.73</v>
      </c>
      <c r="G42">
        <v>6.4188999999999996E-2</v>
      </c>
      <c r="H42">
        <v>18</v>
      </c>
      <c r="I42">
        <v>18</v>
      </c>
      <c r="J42">
        <v>6</v>
      </c>
      <c r="K42">
        <v>7</v>
      </c>
      <c r="L42">
        <v>1</v>
      </c>
      <c r="M42">
        <v>3</v>
      </c>
      <c r="N42">
        <v>6</v>
      </c>
      <c r="O42">
        <v>2</v>
      </c>
      <c r="P42" t="s">
        <v>85</v>
      </c>
      <c r="Q42" t="str">
        <f>VLOOKUP(A42,Cleaned_Seller_Master!$A:$H,2,FALSE)</f>
        <v>Blue Source 042</v>
      </c>
      <c r="R42" t="str">
        <f>VLOOKUP(A42,Cleaned_Seller_Master!$A:$H,4,FALSE)</f>
        <v>Home</v>
      </c>
      <c r="S42" t="str">
        <f>VLOOKUP(A42,Cleaned_Seller_Master!$A:$H,5,FALSE)</f>
        <v>West</v>
      </c>
      <c r="T42" t="str">
        <f>VLOOKUP(A42,Cleaned_Seller_Master!$A:$H,8,FALSE)</f>
        <v>Strategic</v>
      </c>
      <c r="U42" t="str">
        <f>VLOOKUP(A42,Cleaned_Seller_Master!$A:$H,7,FALSE)</f>
        <v>09-11-2020</v>
      </c>
      <c r="V42">
        <f>IFERROR(INDEX(Violation_Summary_Seller_Year!$C:$C,MATCH(AD42,Violation_Summary_Seller_Year!$K:$K,0)),0)</f>
        <v>3</v>
      </c>
      <c r="W42">
        <f>IFERROR(INDEX(Violation_Summary_Seller_Year!$D:$D,MATCH(AD42,Violation_Summary_Seller_Year!$K:$K,0)),0)</f>
        <v>7632.69</v>
      </c>
      <c r="X42">
        <f>IFERROR(INDEX(Violation_Summary_Seller_Year!$E:$E,MATCH(AD42,Violation_Summary_Seller_Year!$K:$K,0)),0)</f>
        <v>0</v>
      </c>
      <c r="Y42">
        <f>IFERROR(INDEX(Violation_Summary_Seller_Year!$F:$F,MATCH(AD42,Violation_Summary_Seller_Year!$K:$K,0)),0)</f>
        <v>2</v>
      </c>
      <c r="Z42">
        <f>IFERROR(INDEX(Violation_Summary_Seller_Year!$G:$G,MATCH(AD42,Violation_Summary_Seller_Year!$K:$K,0)),0)</f>
        <v>1</v>
      </c>
      <c r="AA42">
        <f>IFERROR(INDEX(Violation_Summary_Seller_Year!$H:$H,MATCH(AD42,Violation_Summary_Seller_Year!$K:$K,0)),0)</f>
        <v>2</v>
      </c>
      <c r="AB42">
        <f>IFERROR(INDEX(Violation_Summary_Seller_Year!$I:$I,MATCH(AD42,Violation_Summary_Seller_Year!$K:$K,0)),0)</f>
        <v>1</v>
      </c>
      <c r="AC42">
        <f>IFERROR(INDEX(Violation_Summary_Seller_Year!$J:$J,MATCH(AD42,Violation_Summary_Seller_Year!$K:$K,0)),0)</f>
        <v>24</v>
      </c>
      <c r="AD42" t="str">
        <f t="shared" si="0"/>
        <v>42_2021</v>
      </c>
      <c r="AE42">
        <f t="shared" si="1"/>
        <v>1</v>
      </c>
      <c r="AF42">
        <f t="shared" si="2"/>
        <v>2</v>
      </c>
      <c r="AG42">
        <f t="shared" si="3"/>
        <v>2</v>
      </c>
      <c r="AH42">
        <f t="shared" si="4"/>
        <v>2</v>
      </c>
      <c r="AI42">
        <f t="shared" si="5"/>
        <v>2</v>
      </c>
      <c r="AJ42">
        <f t="shared" si="6"/>
        <v>175</v>
      </c>
      <c r="AK42" t="str">
        <f t="shared" si="7"/>
        <v>High</v>
      </c>
    </row>
    <row r="43" spans="1:37" x14ac:dyDescent="0.3">
      <c r="A43">
        <v>43</v>
      </c>
      <c r="B43">
        <v>2021</v>
      </c>
      <c r="C43">
        <v>857</v>
      </c>
      <c r="D43">
        <v>44</v>
      </c>
      <c r="E43">
        <v>41</v>
      </c>
      <c r="F43">
        <v>2727.47</v>
      </c>
      <c r="G43">
        <v>4.7841000000000002E-2</v>
      </c>
      <c r="H43">
        <v>20</v>
      </c>
      <c r="I43">
        <v>20</v>
      </c>
      <c r="J43">
        <v>9</v>
      </c>
      <c r="K43">
        <v>7</v>
      </c>
      <c r="L43">
        <v>0</v>
      </c>
      <c r="M43">
        <v>1</v>
      </c>
      <c r="N43">
        <v>4</v>
      </c>
      <c r="O43">
        <v>2</v>
      </c>
      <c r="P43" t="s">
        <v>175</v>
      </c>
      <c r="Q43" t="str">
        <f>VLOOKUP(A43,Cleaned_Seller_Master!$A:$H,2,FALSE)</f>
        <v>Vertex Supply 043</v>
      </c>
      <c r="R43" t="str">
        <f>VLOOKUP(A43,Cleaned_Seller_Master!$A:$H,4,FALSE)</f>
        <v>Fashion</v>
      </c>
      <c r="S43" t="str">
        <f>VLOOKUP(A43,Cleaned_Seller_Master!$A:$H,5,FALSE)</f>
        <v>East</v>
      </c>
      <c r="T43" t="str">
        <f>VLOOKUP(A43,Cleaned_Seller_Master!$A:$H,8,FALSE)</f>
        <v>Verified</v>
      </c>
      <c r="U43" t="str">
        <f>VLOOKUP(A43,Cleaned_Seller_Master!$A:$H,7,FALSE)</f>
        <v>05-03-2018</v>
      </c>
      <c r="V43">
        <f>IFERROR(INDEX(Violation_Summary_Seller_Year!$C:$C,MATCH(AD43,Violation_Summary_Seller_Year!$K:$K,0)),0)</f>
        <v>2</v>
      </c>
      <c r="W43">
        <f>IFERROR(INDEX(Violation_Summary_Seller_Year!$D:$D,MATCH(AD43,Violation_Summary_Seller_Year!$K:$K,0)),0)</f>
        <v>2196.12</v>
      </c>
      <c r="X43">
        <f>IFERROR(INDEX(Violation_Summary_Seller_Year!$E:$E,MATCH(AD43,Violation_Summary_Seller_Year!$K:$K,0)),0)</f>
        <v>0</v>
      </c>
      <c r="Y43">
        <f>IFERROR(INDEX(Violation_Summary_Seller_Year!$F:$F,MATCH(AD43,Violation_Summary_Seller_Year!$K:$K,0)),0)</f>
        <v>2</v>
      </c>
      <c r="Z43">
        <f>IFERROR(INDEX(Violation_Summary_Seller_Year!$G:$G,MATCH(AD43,Violation_Summary_Seller_Year!$K:$K,0)),0)</f>
        <v>0</v>
      </c>
      <c r="AA43">
        <f>IFERROR(INDEX(Violation_Summary_Seller_Year!$H:$H,MATCH(AD43,Violation_Summary_Seller_Year!$K:$K,0)),0)</f>
        <v>0</v>
      </c>
      <c r="AB43">
        <f>IFERROR(INDEX(Violation_Summary_Seller_Year!$I:$I,MATCH(AD43,Violation_Summary_Seller_Year!$K:$K,0)),0)</f>
        <v>0</v>
      </c>
      <c r="AC43">
        <f>IFERROR(INDEX(Violation_Summary_Seller_Year!$J:$J,MATCH(AD43,Violation_Summary_Seller_Year!$K:$K,0)),0)</f>
        <v>19</v>
      </c>
      <c r="AD43" t="str">
        <f t="shared" si="0"/>
        <v>43_2021</v>
      </c>
      <c r="AE43">
        <f t="shared" si="1"/>
        <v>0</v>
      </c>
      <c r="AF43">
        <f t="shared" si="2"/>
        <v>2</v>
      </c>
      <c r="AG43">
        <f t="shared" si="3"/>
        <v>1</v>
      </c>
      <c r="AH43">
        <f t="shared" si="4"/>
        <v>0</v>
      </c>
      <c r="AI43">
        <f t="shared" si="5"/>
        <v>1</v>
      </c>
      <c r="AJ43">
        <f t="shared" si="6"/>
        <v>80</v>
      </c>
      <c r="AK43" t="str">
        <f t="shared" si="7"/>
        <v>Medium</v>
      </c>
    </row>
    <row r="44" spans="1:37" x14ac:dyDescent="0.3">
      <c r="A44">
        <v>44</v>
      </c>
      <c r="B44">
        <v>2021</v>
      </c>
      <c r="C44">
        <v>553</v>
      </c>
      <c r="D44">
        <v>27</v>
      </c>
      <c r="E44">
        <v>22</v>
      </c>
      <c r="F44">
        <v>1342.54</v>
      </c>
      <c r="G44">
        <v>3.9782999999999999E-2</v>
      </c>
      <c r="H44">
        <v>15</v>
      </c>
      <c r="I44">
        <v>18</v>
      </c>
      <c r="J44">
        <v>3</v>
      </c>
      <c r="K44">
        <v>5</v>
      </c>
      <c r="L44">
        <v>0</v>
      </c>
      <c r="M44">
        <v>1</v>
      </c>
      <c r="N44">
        <v>3</v>
      </c>
      <c r="O44">
        <v>1</v>
      </c>
      <c r="P44" t="s">
        <v>175</v>
      </c>
      <c r="Q44" t="str">
        <f>VLOOKUP(A44,Cleaned_Seller_Master!$A:$H,2,FALSE)</f>
        <v>Zen Mart 044</v>
      </c>
      <c r="R44" t="str">
        <f>VLOOKUP(A44,Cleaned_Seller_Master!$A:$H,4,FALSE)</f>
        <v>Home</v>
      </c>
      <c r="S44" t="str">
        <f>VLOOKUP(A44,Cleaned_Seller_Master!$A:$H,5,FALSE)</f>
        <v>North</v>
      </c>
      <c r="T44" t="str">
        <f>VLOOKUP(A44,Cleaned_Seller_Master!$A:$H,8,FALSE)</f>
        <v>Standard</v>
      </c>
      <c r="U44" t="str">
        <f>VLOOKUP(A44,Cleaned_Seller_Master!$A:$H,7,FALSE)</f>
        <v>25-07-2023</v>
      </c>
      <c r="V44">
        <f>IFERROR(INDEX(Violation_Summary_Seller_Year!$C:$C,MATCH(AD44,Violation_Summary_Seller_Year!$K:$K,0)),0)</f>
        <v>3</v>
      </c>
      <c r="W44">
        <f>IFERROR(INDEX(Violation_Summary_Seller_Year!$D:$D,MATCH(AD44,Violation_Summary_Seller_Year!$K:$K,0)),0)</f>
        <v>2442.42</v>
      </c>
      <c r="X44">
        <f>IFERROR(INDEX(Violation_Summary_Seller_Year!$E:$E,MATCH(AD44,Violation_Summary_Seller_Year!$K:$K,0)),0)</f>
        <v>0</v>
      </c>
      <c r="Y44">
        <f>IFERROR(INDEX(Violation_Summary_Seller_Year!$F:$F,MATCH(AD44,Violation_Summary_Seller_Year!$K:$K,0)),0)</f>
        <v>3</v>
      </c>
      <c r="Z44">
        <f>IFERROR(INDEX(Violation_Summary_Seller_Year!$G:$G,MATCH(AD44,Violation_Summary_Seller_Year!$K:$K,0)),0)</f>
        <v>0</v>
      </c>
      <c r="AA44">
        <f>IFERROR(INDEX(Violation_Summary_Seller_Year!$H:$H,MATCH(AD44,Violation_Summary_Seller_Year!$K:$K,0)),0)</f>
        <v>1</v>
      </c>
      <c r="AB44">
        <f>IFERROR(INDEX(Violation_Summary_Seller_Year!$I:$I,MATCH(AD44,Violation_Summary_Seller_Year!$K:$K,0)),0)</f>
        <v>1</v>
      </c>
      <c r="AC44">
        <f>IFERROR(INDEX(Violation_Summary_Seller_Year!$J:$J,MATCH(AD44,Violation_Summary_Seller_Year!$K:$K,0)),0)</f>
        <v>24</v>
      </c>
      <c r="AD44" t="str">
        <f t="shared" si="0"/>
        <v>44_2021</v>
      </c>
      <c r="AE44">
        <f t="shared" si="1"/>
        <v>0</v>
      </c>
      <c r="AF44">
        <f t="shared" si="2"/>
        <v>2</v>
      </c>
      <c r="AG44">
        <f t="shared" si="3"/>
        <v>1</v>
      </c>
      <c r="AH44">
        <f t="shared" si="4"/>
        <v>0</v>
      </c>
      <c r="AI44">
        <f t="shared" si="5"/>
        <v>1</v>
      </c>
      <c r="AJ44">
        <f t="shared" si="6"/>
        <v>80</v>
      </c>
      <c r="AK44" t="str">
        <f t="shared" si="7"/>
        <v>Medium</v>
      </c>
    </row>
    <row r="45" spans="1:37" x14ac:dyDescent="0.3">
      <c r="A45">
        <v>45</v>
      </c>
      <c r="B45">
        <v>2021</v>
      </c>
      <c r="C45">
        <v>903</v>
      </c>
      <c r="D45">
        <v>43</v>
      </c>
      <c r="E45">
        <v>36</v>
      </c>
      <c r="F45">
        <v>1625.13</v>
      </c>
      <c r="G45">
        <v>3.9867E-2</v>
      </c>
      <c r="H45">
        <v>9</v>
      </c>
      <c r="I45">
        <v>24</v>
      </c>
      <c r="J45">
        <v>6</v>
      </c>
      <c r="K45">
        <v>6</v>
      </c>
      <c r="L45">
        <v>0</v>
      </c>
      <c r="M45">
        <v>2</v>
      </c>
      <c r="N45">
        <v>2</v>
      </c>
      <c r="O45">
        <v>1</v>
      </c>
      <c r="P45" t="s">
        <v>175</v>
      </c>
      <c r="Q45" t="str">
        <f>VLOOKUP(A45,Cleaned_Seller_Master!$A:$H,2,FALSE)</f>
        <v>True House 045</v>
      </c>
      <c r="R45" t="str">
        <f>VLOOKUP(A45,Cleaned_Seller_Master!$A:$H,4,FALSE)</f>
        <v>Fashion</v>
      </c>
      <c r="S45" t="str">
        <f>VLOOKUP(A45,Cleaned_Seller_Master!$A:$H,5,FALSE)</f>
        <v>East</v>
      </c>
      <c r="T45" t="str">
        <f>VLOOKUP(A45,Cleaned_Seller_Master!$A:$H,8,FALSE)</f>
        <v>Premium</v>
      </c>
      <c r="U45" t="str">
        <f>VLOOKUP(A45,Cleaned_Seller_Master!$A:$H,7,FALSE)</f>
        <v>24-09-2023</v>
      </c>
      <c r="V45">
        <f>IFERROR(INDEX(Violation_Summary_Seller_Year!$C:$C,MATCH(AD45,Violation_Summary_Seller_Year!$K:$K,0)),0)</f>
        <v>1</v>
      </c>
      <c r="W45">
        <f>IFERROR(INDEX(Violation_Summary_Seller_Year!$D:$D,MATCH(AD45,Violation_Summary_Seller_Year!$K:$K,0)),0)</f>
        <v>528.94000000000005</v>
      </c>
      <c r="X45">
        <f>IFERROR(INDEX(Violation_Summary_Seller_Year!$E:$E,MATCH(AD45,Violation_Summary_Seller_Year!$K:$K,0)),0)</f>
        <v>0</v>
      </c>
      <c r="Y45">
        <f>IFERROR(INDEX(Violation_Summary_Seller_Year!$F:$F,MATCH(AD45,Violation_Summary_Seller_Year!$K:$K,0)),0)</f>
        <v>1</v>
      </c>
      <c r="Z45">
        <f>IFERROR(INDEX(Violation_Summary_Seller_Year!$G:$G,MATCH(AD45,Violation_Summary_Seller_Year!$K:$K,0)),0)</f>
        <v>0</v>
      </c>
      <c r="AA45">
        <f>IFERROR(INDEX(Violation_Summary_Seller_Year!$H:$H,MATCH(AD45,Violation_Summary_Seller_Year!$K:$K,0)),0)</f>
        <v>0</v>
      </c>
      <c r="AB45">
        <f>IFERROR(INDEX(Violation_Summary_Seller_Year!$I:$I,MATCH(AD45,Violation_Summary_Seller_Year!$K:$K,0)),0)</f>
        <v>1</v>
      </c>
      <c r="AC45">
        <f>IFERROR(INDEX(Violation_Summary_Seller_Year!$J:$J,MATCH(AD45,Violation_Summary_Seller_Year!$K:$K,0)),0)</f>
        <v>3</v>
      </c>
      <c r="AD45" t="str">
        <f t="shared" si="0"/>
        <v>45_2021</v>
      </c>
      <c r="AE45">
        <f t="shared" si="1"/>
        <v>0</v>
      </c>
      <c r="AF45">
        <f t="shared" si="2"/>
        <v>2</v>
      </c>
      <c r="AG45">
        <f t="shared" si="3"/>
        <v>0</v>
      </c>
      <c r="AH45">
        <f t="shared" si="4"/>
        <v>0</v>
      </c>
      <c r="AI45">
        <f t="shared" si="5"/>
        <v>1</v>
      </c>
      <c r="AJ45">
        <f t="shared" si="6"/>
        <v>60</v>
      </c>
      <c r="AK45" t="str">
        <f t="shared" si="7"/>
        <v>Medium</v>
      </c>
    </row>
    <row r="46" spans="1:37" x14ac:dyDescent="0.3">
      <c r="A46">
        <v>46</v>
      </c>
      <c r="B46">
        <v>2021</v>
      </c>
      <c r="C46">
        <v>1026</v>
      </c>
      <c r="D46">
        <v>112</v>
      </c>
      <c r="E46">
        <v>98</v>
      </c>
      <c r="F46">
        <v>10643.63</v>
      </c>
      <c r="G46">
        <v>9.5517000000000005E-2</v>
      </c>
      <c r="H46">
        <v>25</v>
      </c>
      <c r="I46">
        <v>40</v>
      </c>
      <c r="J46">
        <v>19</v>
      </c>
      <c r="K46">
        <v>13</v>
      </c>
      <c r="L46">
        <v>1</v>
      </c>
      <c r="M46">
        <v>6</v>
      </c>
      <c r="N46">
        <v>8</v>
      </c>
      <c r="O46">
        <v>4</v>
      </c>
      <c r="P46" t="s">
        <v>85</v>
      </c>
      <c r="Q46" t="str">
        <f>VLOOKUP(A46,Cleaned_Seller_Master!$A:$H,2,FALSE)</f>
        <v>Core Traders 046</v>
      </c>
      <c r="R46" t="str">
        <f>VLOOKUP(A46,Cleaned_Seller_Master!$A:$H,4,FALSE)</f>
        <v>Home</v>
      </c>
      <c r="S46" t="str">
        <f>VLOOKUP(A46,Cleaned_Seller_Master!$A:$H,5,FALSE)</f>
        <v>East</v>
      </c>
      <c r="T46" t="str">
        <f>VLOOKUP(A46,Cleaned_Seller_Master!$A:$H,8,FALSE)</f>
        <v>Verified</v>
      </c>
      <c r="U46" t="str">
        <f>VLOOKUP(A46,Cleaned_Seller_Master!$A:$H,7,FALSE)</f>
        <v>05-08-2020</v>
      </c>
      <c r="V46">
        <f>IFERROR(INDEX(Violation_Summary_Seller_Year!$C:$C,MATCH(AD46,Violation_Summary_Seller_Year!$K:$K,0)),0)</f>
        <v>6</v>
      </c>
      <c r="W46">
        <f>IFERROR(INDEX(Violation_Summary_Seller_Year!$D:$D,MATCH(AD46,Violation_Summary_Seller_Year!$K:$K,0)),0)</f>
        <v>19989.150000000001</v>
      </c>
      <c r="X46">
        <f>IFERROR(INDEX(Violation_Summary_Seller_Year!$E:$E,MATCH(AD46,Violation_Summary_Seller_Year!$K:$K,0)),0)</f>
        <v>3</v>
      </c>
      <c r="Y46">
        <f>IFERROR(INDEX(Violation_Summary_Seller_Year!$F:$F,MATCH(AD46,Violation_Summary_Seller_Year!$K:$K,0)),0)</f>
        <v>3</v>
      </c>
      <c r="Z46">
        <f>IFERROR(INDEX(Violation_Summary_Seller_Year!$G:$G,MATCH(AD46,Violation_Summary_Seller_Year!$K:$K,0)),0)</f>
        <v>3</v>
      </c>
      <c r="AA46">
        <f>IFERROR(INDEX(Violation_Summary_Seller_Year!$H:$H,MATCH(AD46,Violation_Summary_Seller_Year!$K:$K,0)),0)</f>
        <v>5</v>
      </c>
      <c r="AB46">
        <f>IFERROR(INDEX(Violation_Summary_Seller_Year!$I:$I,MATCH(AD46,Violation_Summary_Seller_Year!$K:$K,0)),0)</f>
        <v>3</v>
      </c>
      <c r="AC46">
        <f>IFERROR(INDEX(Violation_Summary_Seller_Year!$J:$J,MATCH(AD46,Violation_Summary_Seller_Year!$K:$K,0)),0)</f>
        <v>44</v>
      </c>
      <c r="AD46" t="str">
        <f t="shared" si="0"/>
        <v>46_2021</v>
      </c>
      <c r="AE46">
        <f t="shared" si="1"/>
        <v>1</v>
      </c>
      <c r="AF46">
        <f t="shared" si="2"/>
        <v>2</v>
      </c>
      <c r="AG46">
        <f t="shared" si="3"/>
        <v>2</v>
      </c>
      <c r="AH46">
        <f t="shared" si="4"/>
        <v>2</v>
      </c>
      <c r="AI46">
        <f t="shared" si="5"/>
        <v>2</v>
      </c>
      <c r="AJ46">
        <f t="shared" si="6"/>
        <v>175</v>
      </c>
      <c r="AK46" t="str">
        <f t="shared" si="7"/>
        <v>High</v>
      </c>
    </row>
    <row r="47" spans="1:37" x14ac:dyDescent="0.3">
      <c r="A47">
        <v>47</v>
      </c>
      <c r="B47">
        <v>2021</v>
      </c>
      <c r="C47">
        <v>1287</v>
      </c>
      <c r="D47">
        <v>89</v>
      </c>
      <c r="E47">
        <v>77</v>
      </c>
      <c r="F47">
        <v>3960.48</v>
      </c>
      <c r="G47">
        <v>5.9829E-2</v>
      </c>
      <c r="H47">
        <v>18</v>
      </c>
      <c r="I47">
        <v>29</v>
      </c>
      <c r="J47">
        <v>10</v>
      </c>
      <c r="K47">
        <v>9</v>
      </c>
      <c r="L47">
        <v>0</v>
      </c>
      <c r="M47">
        <v>3</v>
      </c>
      <c r="N47">
        <v>4</v>
      </c>
      <c r="O47">
        <v>3</v>
      </c>
      <c r="P47" t="s">
        <v>175</v>
      </c>
      <c r="Q47" t="str">
        <f>VLOOKUP(A47,Cleaned_Seller_Master!$A:$H,2,FALSE)</f>
        <v>Urban Works 047</v>
      </c>
      <c r="R47" t="str">
        <f>VLOOKUP(A47,Cleaned_Seller_Master!$A:$H,4,FALSE)</f>
        <v>Home</v>
      </c>
      <c r="S47" t="str">
        <f>VLOOKUP(A47,Cleaned_Seller_Master!$A:$H,5,FALSE)</f>
        <v>South</v>
      </c>
      <c r="T47" t="str">
        <f>VLOOKUP(A47,Cleaned_Seller_Master!$A:$H,8,FALSE)</f>
        <v>Verified</v>
      </c>
      <c r="U47" t="str">
        <f>VLOOKUP(A47,Cleaned_Seller_Master!$A:$H,7,FALSE)</f>
        <v>09-01-2020</v>
      </c>
      <c r="V47">
        <f>IFERROR(INDEX(Violation_Summary_Seller_Year!$C:$C,MATCH(AD47,Violation_Summary_Seller_Year!$K:$K,0)),0)</f>
        <v>3</v>
      </c>
      <c r="W47">
        <f>IFERROR(INDEX(Violation_Summary_Seller_Year!$D:$D,MATCH(AD47,Violation_Summary_Seller_Year!$K:$K,0)),0)</f>
        <v>2780.96</v>
      </c>
      <c r="X47">
        <f>IFERROR(INDEX(Violation_Summary_Seller_Year!$E:$E,MATCH(AD47,Violation_Summary_Seller_Year!$K:$K,0)),0)</f>
        <v>0</v>
      </c>
      <c r="Y47">
        <f>IFERROR(INDEX(Violation_Summary_Seller_Year!$F:$F,MATCH(AD47,Violation_Summary_Seller_Year!$K:$K,0)),0)</f>
        <v>3</v>
      </c>
      <c r="Z47">
        <f>IFERROR(INDEX(Violation_Summary_Seller_Year!$G:$G,MATCH(AD47,Violation_Summary_Seller_Year!$K:$K,0)),0)</f>
        <v>0</v>
      </c>
      <c r="AA47">
        <f>IFERROR(INDEX(Violation_Summary_Seller_Year!$H:$H,MATCH(AD47,Violation_Summary_Seller_Year!$K:$K,0)),0)</f>
        <v>1</v>
      </c>
      <c r="AB47">
        <f>IFERROR(INDEX(Violation_Summary_Seller_Year!$I:$I,MATCH(AD47,Violation_Summary_Seller_Year!$K:$K,0)),0)</f>
        <v>2</v>
      </c>
      <c r="AC47">
        <f>IFERROR(INDEX(Violation_Summary_Seller_Year!$J:$J,MATCH(AD47,Violation_Summary_Seller_Year!$K:$K,0)),0)</f>
        <v>35</v>
      </c>
      <c r="AD47" t="str">
        <f t="shared" si="0"/>
        <v>47_2021</v>
      </c>
      <c r="AE47">
        <f t="shared" si="1"/>
        <v>1</v>
      </c>
      <c r="AF47">
        <f t="shared" si="2"/>
        <v>2</v>
      </c>
      <c r="AG47">
        <f t="shared" si="3"/>
        <v>1</v>
      </c>
      <c r="AH47">
        <f t="shared" si="4"/>
        <v>0</v>
      </c>
      <c r="AI47">
        <f t="shared" si="5"/>
        <v>1</v>
      </c>
      <c r="AJ47">
        <f t="shared" si="6"/>
        <v>105</v>
      </c>
      <c r="AK47" t="str">
        <f t="shared" si="7"/>
        <v>Medium</v>
      </c>
    </row>
    <row r="48" spans="1:37" x14ac:dyDescent="0.3">
      <c r="A48">
        <v>48</v>
      </c>
      <c r="B48">
        <v>2021</v>
      </c>
      <c r="C48">
        <v>702</v>
      </c>
      <c r="D48">
        <v>74</v>
      </c>
      <c r="E48">
        <v>66</v>
      </c>
      <c r="F48">
        <v>3357.7</v>
      </c>
      <c r="G48">
        <v>9.4017000000000003E-2</v>
      </c>
      <c r="H48">
        <v>17</v>
      </c>
      <c r="I48">
        <v>26</v>
      </c>
      <c r="J48">
        <v>11</v>
      </c>
      <c r="K48">
        <v>9</v>
      </c>
      <c r="L48">
        <v>1</v>
      </c>
      <c r="M48">
        <v>5</v>
      </c>
      <c r="N48">
        <v>6</v>
      </c>
      <c r="O48">
        <v>6</v>
      </c>
      <c r="P48" t="s">
        <v>85</v>
      </c>
      <c r="Q48" t="str">
        <f>VLOOKUP(A48,Cleaned_Seller_Master!$A:$H,2,FALSE)</f>
        <v>Bright Nest 048</v>
      </c>
      <c r="R48" t="str">
        <f>VLOOKUP(A48,Cleaned_Seller_Master!$A:$H,4,FALSE)</f>
        <v>Home</v>
      </c>
      <c r="S48" t="str">
        <f>VLOOKUP(A48,Cleaned_Seller_Master!$A:$H,5,FALSE)</f>
        <v>East</v>
      </c>
      <c r="T48" t="str">
        <f>VLOOKUP(A48,Cleaned_Seller_Master!$A:$H,8,FALSE)</f>
        <v>Premium</v>
      </c>
      <c r="U48" t="str">
        <f>VLOOKUP(A48,Cleaned_Seller_Master!$A:$H,7,FALSE)</f>
        <v>24-01-2025</v>
      </c>
      <c r="V48">
        <f>IFERROR(INDEX(Violation_Summary_Seller_Year!$C:$C,MATCH(AD48,Violation_Summary_Seller_Year!$K:$K,0)),0)</f>
        <v>3</v>
      </c>
      <c r="W48">
        <f>IFERROR(INDEX(Violation_Summary_Seller_Year!$D:$D,MATCH(AD48,Violation_Summary_Seller_Year!$K:$K,0)),0)</f>
        <v>10020.859999999999</v>
      </c>
      <c r="X48">
        <f>IFERROR(INDEX(Violation_Summary_Seller_Year!$E:$E,MATCH(AD48,Violation_Summary_Seller_Year!$K:$K,0)),0)</f>
        <v>2</v>
      </c>
      <c r="Y48">
        <f>IFERROR(INDEX(Violation_Summary_Seller_Year!$F:$F,MATCH(AD48,Violation_Summary_Seller_Year!$K:$K,0)),0)</f>
        <v>2</v>
      </c>
      <c r="Z48">
        <f>IFERROR(INDEX(Violation_Summary_Seller_Year!$G:$G,MATCH(AD48,Violation_Summary_Seller_Year!$K:$K,0)),0)</f>
        <v>1</v>
      </c>
      <c r="AA48">
        <f>IFERROR(INDEX(Violation_Summary_Seller_Year!$H:$H,MATCH(AD48,Violation_Summary_Seller_Year!$K:$K,0)),0)</f>
        <v>2</v>
      </c>
      <c r="AB48">
        <f>IFERROR(INDEX(Violation_Summary_Seller_Year!$I:$I,MATCH(AD48,Violation_Summary_Seller_Year!$K:$K,0)),0)</f>
        <v>1</v>
      </c>
      <c r="AC48">
        <f>IFERROR(INDEX(Violation_Summary_Seller_Year!$J:$J,MATCH(AD48,Violation_Summary_Seller_Year!$K:$K,0)),0)</f>
        <v>12</v>
      </c>
      <c r="AD48" t="str">
        <f t="shared" si="0"/>
        <v>48_2021</v>
      </c>
      <c r="AE48">
        <f t="shared" si="1"/>
        <v>1</v>
      </c>
      <c r="AF48">
        <f t="shared" si="2"/>
        <v>2</v>
      </c>
      <c r="AG48">
        <f t="shared" si="3"/>
        <v>2</v>
      </c>
      <c r="AH48">
        <f t="shared" si="4"/>
        <v>2</v>
      </c>
      <c r="AI48">
        <f t="shared" si="5"/>
        <v>2</v>
      </c>
      <c r="AJ48">
        <f t="shared" si="6"/>
        <v>175</v>
      </c>
      <c r="AK48" t="str">
        <f t="shared" si="7"/>
        <v>High</v>
      </c>
    </row>
    <row r="49" spans="1:37" x14ac:dyDescent="0.3">
      <c r="A49">
        <v>49</v>
      </c>
      <c r="B49">
        <v>2021</v>
      </c>
      <c r="C49">
        <v>2373</v>
      </c>
      <c r="D49">
        <v>254</v>
      </c>
      <c r="E49">
        <v>243</v>
      </c>
      <c r="F49">
        <v>19407.95</v>
      </c>
      <c r="G49">
        <v>0.10240200000000001</v>
      </c>
      <c r="H49">
        <v>44</v>
      </c>
      <c r="I49">
        <v>83</v>
      </c>
      <c r="J49">
        <v>56</v>
      </c>
      <c r="K49">
        <v>15</v>
      </c>
      <c r="L49">
        <v>1</v>
      </c>
      <c r="M49">
        <v>5</v>
      </c>
      <c r="N49">
        <v>10</v>
      </c>
      <c r="O49">
        <v>14</v>
      </c>
      <c r="P49" t="s">
        <v>85</v>
      </c>
      <c r="Q49" t="str">
        <f>VLOOKUP(A49,Cleaned_Seller_Master!$A:$H,2,FALSE)</f>
        <v>Golden Hub 049</v>
      </c>
      <c r="R49" t="str">
        <f>VLOOKUP(A49,Cleaned_Seller_Master!$A:$H,4,FALSE)</f>
        <v>Electronics</v>
      </c>
      <c r="S49" t="str">
        <f>VLOOKUP(A49,Cleaned_Seller_Master!$A:$H,5,FALSE)</f>
        <v>South</v>
      </c>
      <c r="T49" t="str">
        <f>VLOOKUP(A49,Cleaned_Seller_Master!$A:$H,8,FALSE)</f>
        <v>Verified</v>
      </c>
      <c r="U49" t="str">
        <f>VLOOKUP(A49,Cleaned_Seller_Master!$A:$H,7,FALSE)</f>
        <v>05-10-2018</v>
      </c>
      <c r="V49">
        <f>IFERROR(INDEX(Violation_Summary_Seller_Year!$C:$C,MATCH(AD49,Violation_Summary_Seller_Year!$K:$K,0)),0)</f>
        <v>4</v>
      </c>
      <c r="W49">
        <f>IFERROR(INDEX(Violation_Summary_Seller_Year!$D:$D,MATCH(AD49,Violation_Summary_Seller_Year!$K:$K,0)),0)</f>
        <v>10766.820000000002</v>
      </c>
      <c r="X49">
        <f>IFERROR(INDEX(Violation_Summary_Seller_Year!$E:$E,MATCH(AD49,Violation_Summary_Seller_Year!$K:$K,0)),0)</f>
        <v>3</v>
      </c>
      <c r="Y49">
        <f>IFERROR(INDEX(Violation_Summary_Seller_Year!$F:$F,MATCH(AD49,Violation_Summary_Seller_Year!$K:$K,0)),0)</f>
        <v>3</v>
      </c>
      <c r="Z49">
        <f>IFERROR(INDEX(Violation_Summary_Seller_Year!$G:$G,MATCH(AD49,Violation_Summary_Seller_Year!$K:$K,0)),0)</f>
        <v>1</v>
      </c>
      <c r="AA49">
        <f>IFERROR(INDEX(Violation_Summary_Seller_Year!$H:$H,MATCH(AD49,Violation_Summary_Seller_Year!$K:$K,0)),0)</f>
        <v>4</v>
      </c>
      <c r="AB49">
        <f>IFERROR(INDEX(Violation_Summary_Seller_Year!$I:$I,MATCH(AD49,Violation_Summary_Seller_Year!$K:$K,0)),0)</f>
        <v>4</v>
      </c>
      <c r="AC49">
        <f>IFERROR(INDEX(Violation_Summary_Seller_Year!$J:$J,MATCH(AD49,Violation_Summary_Seller_Year!$K:$K,0)),0)</f>
        <v>47</v>
      </c>
      <c r="AD49" t="str">
        <f t="shared" si="0"/>
        <v>49_2021</v>
      </c>
      <c r="AE49">
        <f t="shared" si="1"/>
        <v>2</v>
      </c>
      <c r="AF49">
        <f t="shared" si="2"/>
        <v>2</v>
      </c>
      <c r="AG49">
        <f t="shared" si="3"/>
        <v>2</v>
      </c>
      <c r="AH49">
        <f t="shared" si="4"/>
        <v>2</v>
      </c>
      <c r="AI49">
        <f t="shared" si="5"/>
        <v>2</v>
      </c>
      <c r="AJ49">
        <f t="shared" si="6"/>
        <v>200</v>
      </c>
      <c r="AK49" t="str">
        <f t="shared" si="7"/>
        <v>High</v>
      </c>
    </row>
    <row r="50" spans="1:37" x14ac:dyDescent="0.3">
      <c r="A50">
        <v>50</v>
      </c>
      <c r="B50">
        <v>2021</v>
      </c>
      <c r="C50">
        <v>995</v>
      </c>
      <c r="D50">
        <v>86</v>
      </c>
      <c r="E50">
        <v>67</v>
      </c>
      <c r="F50">
        <v>4841.6000000000004</v>
      </c>
      <c r="G50">
        <v>6.7336999999999994E-2</v>
      </c>
      <c r="H50">
        <v>20</v>
      </c>
      <c r="I50">
        <v>29</v>
      </c>
      <c r="J50">
        <v>10</v>
      </c>
      <c r="K50">
        <v>6</v>
      </c>
      <c r="L50">
        <v>0</v>
      </c>
      <c r="M50">
        <v>2</v>
      </c>
      <c r="N50">
        <v>2</v>
      </c>
      <c r="O50">
        <v>3</v>
      </c>
      <c r="P50" t="s">
        <v>175</v>
      </c>
      <c r="Q50" t="str">
        <f>VLOOKUP(A50,Cleaned_Seller_Master!$A:$H,2,FALSE)</f>
        <v>Ever Merchants 050</v>
      </c>
      <c r="R50" t="str">
        <f>VLOOKUP(A50,Cleaned_Seller_Master!$A:$H,4,FALSE)</f>
        <v>Fashion</v>
      </c>
      <c r="S50" t="str">
        <f>VLOOKUP(A50,Cleaned_Seller_Master!$A:$H,5,FALSE)</f>
        <v>South</v>
      </c>
      <c r="T50" t="str">
        <f>VLOOKUP(A50,Cleaned_Seller_Master!$A:$H,8,FALSE)</f>
        <v>Strategic</v>
      </c>
      <c r="U50" t="str">
        <f>VLOOKUP(A50,Cleaned_Seller_Master!$A:$H,7,FALSE)</f>
        <v>10-03-2019</v>
      </c>
      <c r="V50">
        <f>IFERROR(INDEX(Violation_Summary_Seller_Year!$C:$C,MATCH(AD50,Violation_Summary_Seller_Year!$K:$K,0)),0)</f>
        <v>3</v>
      </c>
      <c r="W50">
        <f>IFERROR(INDEX(Violation_Summary_Seller_Year!$D:$D,MATCH(AD50,Violation_Summary_Seller_Year!$K:$K,0)),0)</f>
        <v>2260.2200000000003</v>
      </c>
      <c r="X50">
        <f>IFERROR(INDEX(Violation_Summary_Seller_Year!$E:$E,MATCH(AD50,Violation_Summary_Seller_Year!$K:$K,0)),0)</f>
        <v>0</v>
      </c>
      <c r="Y50">
        <f>IFERROR(INDEX(Violation_Summary_Seller_Year!$F:$F,MATCH(AD50,Violation_Summary_Seller_Year!$K:$K,0)),0)</f>
        <v>3</v>
      </c>
      <c r="Z50">
        <f>IFERROR(INDEX(Violation_Summary_Seller_Year!$G:$G,MATCH(AD50,Violation_Summary_Seller_Year!$K:$K,0)),0)</f>
        <v>0</v>
      </c>
      <c r="AA50">
        <f>IFERROR(INDEX(Violation_Summary_Seller_Year!$H:$H,MATCH(AD50,Violation_Summary_Seller_Year!$K:$K,0)),0)</f>
        <v>0</v>
      </c>
      <c r="AB50">
        <f>IFERROR(INDEX(Violation_Summary_Seller_Year!$I:$I,MATCH(AD50,Violation_Summary_Seller_Year!$K:$K,0)),0)</f>
        <v>0</v>
      </c>
      <c r="AC50">
        <f>IFERROR(INDEX(Violation_Summary_Seller_Year!$J:$J,MATCH(AD50,Violation_Summary_Seller_Year!$K:$K,0)),0)</f>
        <v>25</v>
      </c>
      <c r="AD50" t="str">
        <f t="shared" si="0"/>
        <v>50_2021</v>
      </c>
      <c r="AE50">
        <f t="shared" si="1"/>
        <v>1</v>
      </c>
      <c r="AF50">
        <f t="shared" si="2"/>
        <v>2</v>
      </c>
      <c r="AG50">
        <f t="shared" si="3"/>
        <v>1</v>
      </c>
      <c r="AH50">
        <f t="shared" si="4"/>
        <v>0</v>
      </c>
      <c r="AI50">
        <f t="shared" si="5"/>
        <v>1</v>
      </c>
      <c r="AJ50">
        <f t="shared" si="6"/>
        <v>105</v>
      </c>
      <c r="AK50" t="str">
        <f t="shared" si="7"/>
        <v>Medium</v>
      </c>
    </row>
    <row r="51" spans="1:37" x14ac:dyDescent="0.3">
      <c r="A51">
        <v>51</v>
      </c>
      <c r="B51">
        <v>2021</v>
      </c>
      <c r="C51">
        <v>450</v>
      </c>
      <c r="D51">
        <v>22</v>
      </c>
      <c r="E51">
        <v>21</v>
      </c>
      <c r="F51">
        <v>1280.44</v>
      </c>
      <c r="G51">
        <v>4.6667E-2</v>
      </c>
      <c r="H51">
        <v>8</v>
      </c>
      <c r="I51">
        <v>14</v>
      </c>
      <c r="J51">
        <v>5</v>
      </c>
      <c r="K51">
        <v>4</v>
      </c>
      <c r="L51">
        <v>1</v>
      </c>
      <c r="M51">
        <v>1</v>
      </c>
      <c r="N51">
        <v>2</v>
      </c>
      <c r="O51">
        <v>1</v>
      </c>
      <c r="P51" t="s">
        <v>68</v>
      </c>
      <c r="Q51" t="str">
        <f>VLOOKUP(A51,Cleaned_Seller_Master!$A:$H,2,FALSE)</f>
        <v>Orbit Square 051</v>
      </c>
      <c r="R51" t="str">
        <f>VLOOKUP(A51,Cleaned_Seller_Master!$A:$H,4,FALSE)</f>
        <v>Beauty</v>
      </c>
      <c r="S51" t="str">
        <f>VLOOKUP(A51,Cleaned_Seller_Master!$A:$H,5,FALSE)</f>
        <v>North</v>
      </c>
      <c r="T51" t="str">
        <f>VLOOKUP(A51,Cleaned_Seller_Master!$A:$H,8,FALSE)</f>
        <v>Premium</v>
      </c>
      <c r="U51" t="str">
        <f>VLOOKUP(A51,Cleaned_Seller_Master!$A:$H,7,FALSE)</f>
        <v>23-02-2020</v>
      </c>
      <c r="V51">
        <f>IFERROR(INDEX(Violation_Summary_Seller_Year!$C:$C,MATCH(AD51,Violation_Summary_Seller_Year!$K:$K,0)),0)</f>
        <v>2</v>
      </c>
      <c r="W51">
        <f>IFERROR(INDEX(Violation_Summary_Seller_Year!$D:$D,MATCH(AD51,Violation_Summary_Seller_Year!$K:$K,0)),0)</f>
        <v>579.59</v>
      </c>
      <c r="X51">
        <f>IFERROR(INDEX(Violation_Summary_Seller_Year!$E:$E,MATCH(AD51,Violation_Summary_Seller_Year!$K:$K,0)),0)</f>
        <v>1</v>
      </c>
      <c r="Y51">
        <f>IFERROR(INDEX(Violation_Summary_Seller_Year!$F:$F,MATCH(AD51,Violation_Summary_Seller_Year!$K:$K,0)),0)</f>
        <v>2</v>
      </c>
      <c r="Z51">
        <f>IFERROR(INDEX(Violation_Summary_Seller_Year!$G:$G,MATCH(AD51,Violation_Summary_Seller_Year!$K:$K,0)),0)</f>
        <v>0</v>
      </c>
      <c r="AA51">
        <f>IFERROR(INDEX(Violation_Summary_Seller_Year!$H:$H,MATCH(AD51,Violation_Summary_Seller_Year!$K:$K,0)),0)</f>
        <v>0</v>
      </c>
      <c r="AB51">
        <f>IFERROR(INDEX(Violation_Summary_Seller_Year!$I:$I,MATCH(AD51,Violation_Summary_Seller_Year!$K:$K,0)),0)</f>
        <v>0</v>
      </c>
      <c r="AC51">
        <f>IFERROR(INDEX(Violation_Summary_Seller_Year!$J:$J,MATCH(AD51,Violation_Summary_Seller_Year!$K:$K,0)),0)</f>
        <v>11</v>
      </c>
      <c r="AD51" t="str">
        <f t="shared" si="0"/>
        <v>51_2021</v>
      </c>
      <c r="AE51">
        <f t="shared" si="1"/>
        <v>0</v>
      </c>
      <c r="AF51">
        <f t="shared" si="2"/>
        <v>2</v>
      </c>
      <c r="AG51">
        <f t="shared" si="3"/>
        <v>1</v>
      </c>
      <c r="AH51">
        <f t="shared" si="4"/>
        <v>2</v>
      </c>
      <c r="AI51">
        <f t="shared" si="5"/>
        <v>1</v>
      </c>
      <c r="AJ51">
        <f t="shared" si="6"/>
        <v>120</v>
      </c>
      <c r="AK51" t="str">
        <f t="shared" si="7"/>
        <v>High</v>
      </c>
    </row>
    <row r="52" spans="1:37" x14ac:dyDescent="0.3">
      <c r="A52">
        <v>52</v>
      </c>
      <c r="B52">
        <v>2021</v>
      </c>
      <c r="C52">
        <v>1114</v>
      </c>
      <c r="D52">
        <v>54</v>
      </c>
      <c r="E52">
        <v>40</v>
      </c>
      <c r="F52">
        <v>1113.03</v>
      </c>
      <c r="G52">
        <v>3.5907000000000001E-2</v>
      </c>
      <c r="H52">
        <v>26</v>
      </c>
      <c r="I52">
        <v>26</v>
      </c>
      <c r="J52">
        <v>5</v>
      </c>
      <c r="K52">
        <v>8</v>
      </c>
      <c r="L52">
        <v>0</v>
      </c>
      <c r="M52">
        <v>2</v>
      </c>
      <c r="N52">
        <v>6</v>
      </c>
      <c r="O52">
        <v>3</v>
      </c>
      <c r="P52" t="s">
        <v>175</v>
      </c>
      <c r="Q52" t="str">
        <f>VLOOKUP(A52,Cleaned_Seller_Master!$A:$H,2,FALSE)</f>
        <v>Pulse Commerce 052</v>
      </c>
      <c r="R52" t="str">
        <f>VLOOKUP(A52,Cleaned_Seller_Master!$A:$H,4,FALSE)</f>
        <v>Fashion</v>
      </c>
      <c r="S52" t="str">
        <f>VLOOKUP(A52,Cleaned_Seller_Master!$A:$H,5,FALSE)</f>
        <v>Southeast Asia</v>
      </c>
      <c r="T52" t="str">
        <f>VLOOKUP(A52,Cleaned_Seller_Master!$A:$H,8,FALSE)</f>
        <v>Standard</v>
      </c>
      <c r="U52" t="str">
        <f>VLOOKUP(A52,Cleaned_Seller_Master!$A:$H,7,FALSE)</f>
        <v>17-02-2023</v>
      </c>
      <c r="V52">
        <f>IFERROR(INDEX(Violation_Summary_Seller_Year!$C:$C,MATCH(AD52,Violation_Summary_Seller_Year!$K:$K,0)),0)</f>
        <v>3</v>
      </c>
      <c r="W52">
        <f>IFERROR(INDEX(Violation_Summary_Seller_Year!$D:$D,MATCH(AD52,Violation_Summary_Seller_Year!$K:$K,0)),0)</f>
        <v>2441.9</v>
      </c>
      <c r="X52">
        <f>IFERROR(INDEX(Violation_Summary_Seller_Year!$E:$E,MATCH(AD52,Violation_Summary_Seller_Year!$K:$K,0)),0)</f>
        <v>0</v>
      </c>
      <c r="Y52">
        <f>IFERROR(INDEX(Violation_Summary_Seller_Year!$F:$F,MATCH(AD52,Violation_Summary_Seller_Year!$K:$K,0)),0)</f>
        <v>3</v>
      </c>
      <c r="Z52">
        <f>IFERROR(INDEX(Violation_Summary_Seller_Year!$G:$G,MATCH(AD52,Violation_Summary_Seller_Year!$K:$K,0)),0)</f>
        <v>0</v>
      </c>
      <c r="AA52">
        <f>IFERROR(INDEX(Violation_Summary_Seller_Year!$H:$H,MATCH(AD52,Violation_Summary_Seller_Year!$K:$K,0)),0)</f>
        <v>0</v>
      </c>
      <c r="AB52">
        <f>IFERROR(INDEX(Violation_Summary_Seller_Year!$I:$I,MATCH(AD52,Violation_Summary_Seller_Year!$K:$K,0)),0)</f>
        <v>0</v>
      </c>
      <c r="AC52">
        <f>IFERROR(INDEX(Violation_Summary_Seller_Year!$J:$J,MATCH(AD52,Violation_Summary_Seller_Year!$K:$K,0)),0)</f>
        <v>17</v>
      </c>
      <c r="AD52" t="str">
        <f t="shared" si="0"/>
        <v>52_2021</v>
      </c>
      <c r="AE52">
        <f t="shared" si="1"/>
        <v>0</v>
      </c>
      <c r="AF52">
        <f t="shared" si="2"/>
        <v>2</v>
      </c>
      <c r="AG52">
        <f t="shared" si="3"/>
        <v>1</v>
      </c>
      <c r="AH52">
        <f t="shared" si="4"/>
        <v>0</v>
      </c>
      <c r="AI52">
        <f t="shared" si="5"/>
        <v>1</v>
      </c>
      <c r="AJ52">
        <f t="shared" si="6"/>
        <v>80</v>
      </c>
      <c r="AK52" t="str">
        <f t="shared" si="7"/>
        <v>Medium</v>
      </c>
    </row>
    <row r="53" spans="1:37" x14ac:dyDescent="0.3">
      <c r="A53">
        <v>53</v>
      </c>
      <c r="B53">
        <v>2021</v>
      </c>
      <c r="C53">
        <v>558</v>
      </c>
      <c r="D53">
        <v>49</v>
      </c>
      <c r="E53">
        <v>41</v>
      </c>
      <c r="F53">
        <v>3864.45</v>
      </c>
      <c r="G53">
        <v>7.3477000000000001E-2</v>
      </c>
      <c r="H53">
        <v>22</v>
      </c>
      <c r="I53">
        <v>25</v>
      </c>
      <c r="J53">
        <v>10</v>
      </c>
      <c r="K53">
        <v>9</v>
      </c>
      <c r="L53">
        <v>1</v>
      </c>
      <c r="M53">
        <v>6</v>
      </c>
      <c r="N53">
        <v>6</v>
      </c>
      <c r="O53">
        <v>2</v>
      </c>
      <c r="P53" t="s">
        <v>85</v>
      </c>
      <c r="Q53" t="str">
        <f>VLOOKUP(A53,Cleaned_Seller_Master!$A:$H,2,FALSE)</f>
        <v>Summit Bazaar 053</v>
      </c>
      <c r="R53" t="str">
        <f>VLOOKUP(A53,Cleaned_Seller_Master!$A:$H,4,FALSE)</f>
        <v>Home</v>
      </c>
      <c r="S53" t="str">
        <f>VLOOKUP(A53,Cleaned_Seller_Master!$A:$H,5,FALSE)</f>
        <v>South</v>
      </c>
      <c r="T53" t="str">
        <f>VLOOKUP(A53,Cleaned_Seller_Master!$A:$H,8,FALSE)</f>
        <v>Premium</v>
      </c>
      <c r="U53" t="str">
        <f>VLOOKUP(A53,Cleaned_Seller_Master!$A:$H,7,FALSE)</f>
        <v>17-12-2019</v>
      </c>
      <c r="V53">
        <f>IFERROR(INDEX(Violation_Summary_Seller_Year!$C:$C,MATCH(AD53,Violation_Summary_Seller_Year!$K:$K,0)),0)</f>
        <v>6</v>
      </c>
      <c r="W53">
        <f>IFERROR(INDEX(Violation_Summary_Seller_Year!$D:$D,MATCH(AD53,Violation_Summary_Seller_Year!$K:$K,0)),0)</f>
        <v>15861.58</v>
      </c>
      <c r="X53">
        <f>IFERROR(INDEX(Violation_Summary_Seller_Year!$E:$E,MATCH(AD53,Violation_Summary_Seller_Year!$K:$K,0)),0)</f>
        <v>2</v>
      </c>
      <c r="Y53">
        <f>IFERROR(INDEX(Violation_Summary_Seller_Year!$F:$F,MATCH(AD53,Violation_Summary_Seller_Year!$K:$K,0)),0)</f>
        <v>2</v>
      </c>
      <c r="Z53">
        <f>IFERROR(INDEX(Violation_Summary_Seller_Year!$G:$G,MATCH(AD53,Violation_Summary_Seller_Year!$K:$K,0)),0)</f>
        <v>4</v>
      </c>
      <c r="AA53">
        <f>IFERROR(INDEX(Violation_Summary_Seller_Year!$H:$H,MATCH(AD53,Violation_Summary_Seller_Year!$K:$K,0)),0)</f>
        <v>4</v>
      </c>
      <c r="AB53">
        <f>IFERROR(INDEX(Violation_Summary_Seller_Year!$I:$I,MATCH(AD53,Violation_Summary_Seller_Year!$K:$K,0)),0)</f>
        <v>4</v>
      </c>
      <c r="AC53">
        <f>IFERROR(INDEX(Violation_Summary_Seller_Year!$J:$J,MATCH(AD53,Violation_Summary_Seller_Year!$K:$K,0)),0)</f>
        <v>61</v>
      </c>
      <c r="AD53" t="str">
        <f t="shared" si="0"/>
        <v>53_2021</v>
      </c>
      <c r="AE53">
        <f t="shared" si="1"/>
        <v>1</v>
      </c>
      <c r="AF53">
        <f t="shared" si="2"/>
        <v>2</v>
      </c>
      <c r="AG53">
        <f t="shared" si="3"/>
        <v>2</v>
      </c>
      <c r="AH53">
        <f t="shared" si="4"/>
        <v>2</v>
      </c>
      <c r="AI53">
        <f t="shared" si="5"/>
        <v>2</v>
      </c>
      <c r="AJ53">
        <f t="shared" si="6"/>
        <v>175</v>
      </c>
      <c r="AK53" t="str">
        <f t="shared" si="7"/>
        <v>High</v>
      </c>
    </row>
    <row r="54" spans="1:37" x14ac:dyDescent="0.3">
      <c r="A54">
        <v>54</v>
      </c>
      <c r="B54">
        <v>2021</v>
      </c>
      <c r="C54">
        <v>1177</v>
      </c>
      <c r="D54">
        <v>115</v>
      </c>
      <c r="E54">
        <v>103</v>
      </c>
      <c r="F54">
        <v>9836.89</v>
      </c>
      <c r="G54">
        <v>8.7511000000000005E-2</v>
      </c>
      <c r="H54">
        <v>31</v>
      </c>
      <c r="I54">
        <v>35</v>
      </c>
      <c r="J54">
        <v>16</v>
      </c>
      <c r="K54">
        <v>15</v>
      </c>
      <c r="L54">
        <v>1</v>
      </c>
      <c r="M54">
        <v>6</v>
      </c>
      <c r="N54">
        <v>7</v>
      </c>
      <c r="O54">
        <v>4</v>
      </c>
      <c r="P54" t="s">
        <v>85</v>
      </c>
      <c r="Q54" t="str">
        <f>VLOOKUP(A54,Cleaned_Seller_Master!$A:$H,2,FALSE)</f>
        <v>Prime Bridge 054</v>
      </c>
      <c r="R54" t="str">
        <f>VLOOKUP(A54,Cleaned_Seller_Master!$A:$H,4,FALSE)</f>
        <v>Groceries</v>
      </c>
      <c r="S54" t="str">
        <f>VLOOKUP(A54,Cleaned_Seller_Master!$A:$H,5,FALSE)</f>
        <v>East</v>
      </c>
      <c r="T54" t="str">
        <f>VLOOKUP(A54,Cleaned_Seller_Master!$A:$H,8,FALSE)</f>
        <v>Verified</v>
      </c>
      <c r="U54" t="str">
        <f>VLOOKUP(A54,Cleaned_Seller_Master!$A:$H,7,FALSE)</f>
        <v>09-02-2021</v>
      </c>
      <c r="V54">
        <f>IFERROR(INDEX(Violation_Summary_Seller_Year!$C:$C,MATCH(AD54,Violation_Summary_Seller_Year!$K:$K,0)),0)</f>
        <v>5</v>
      </c>
      <c r="W54">
        <f>IFERROR(INDEX(Violation_Summary_Seller_Year!$D:$D,MATCH(AD54,Violation_Summary_Seller_Year!$K:$K,0)),0)</f>
        <v>10622.169999999998</v>
      </c>
      <c r="X54">
        <f>IFERROR(INDEX(Violation_Summary_Seller_Year!$E:$E,MATCH(AD54,Violation_Summary_Seller_Year!$K:$K,0)),0)</f>
        <v>2</v>
      </c>
      <c r="Y54">
        <f>IFERROR(INDEX(Violation_Summary_Seller_Year!$F:$F,MATCH(AD54,Violation_Summary_Seller_Year!$K:$K,0)),0)</f>
        <v>2</v>
      </c>
      <c r="Z54">
        <f>IFERROR(INDEX(Violation_Summary_Seller_Year!$G:$G,MATCH(AD54,Violation_Summary_Seller_Year!$K:$K,0)),0)</f>
        <v>3</v>
      </c>
      <c r="AA54">
        <f>IFERROR(INDEX(Violation_Summary_Seller_Year!$H:$H,MATCH(AD54,Violation_Summary_Seller_Year!$K:$K,0)),0)</f>
        <v>3</v>
      </c>
      <c r="AB54">
        <f>IFERROR(INDEX(Violation_Summary_Seller_Year!$I:$I,MATCH(AD54,Violation_Summary_Seller_Year!$K:$K,0)),0)</f>
        <v>3</v>
      </c>
      <c r="AC54">
        <f>IFERROR(INDEX(Violation_Summary_Seller_Year!$J:$J,MATCH(AD54,Violation_Summary_Seller_Year!$K:$K,0)),0)</f>
        <v>59</v>
      </c>
      <c r="AD54" t="str">
        <f t="shared" si="0"/>
        <v>54_2021</v>
      </c>
      <c r="AE54">
        <f t="shared" si="1"/>
        <v>1</v>
      </c>
      <c r="AF54">
        <f t="shared" si="2"/>
        <v>2</v>
      </c>
      <c r="AG54">
        <f t="shared" si="3"/>
        <v>2</v>
      </c>
      <c r="AH54">
        <f t="shared" si="4"/>
        <v>2</v>
      </c>
      <c r="AI54">
        <f t="shared" si="5"/>
        <v>2</v>
      </c>
      <c r="AJ54">
        <f t="shared" si="6"/>
        <v>175</v>
      </c>
      <c r="AK54" t="str">
        <f t="shared" si="7"/>
        <v>High</v>
      </c>
    </row>
    <row r="55" spans="1:37" x14ac:dyDescent="0.3">
      <c r="A55">
        <v>55</v>
      </c>
      <c r="B55">
        <v>2021</v>
      </c>
      <c r="C55">
        <v>2177</v>
      </c>
      <c r="D55">
        <v>210</v>
      </c>
      <c r="E55">
        <v>178</v>
      </c>
      <c r="F55">
        <v>6917.92</v>
      </c>
      <c r="G55">
        <v>8.1764000000000003E-2</v>
      </c>
      <c r="H55">
        <v>34</v>
      </c>
      <c r="I55">
        <v>68</v>
      </c>
      <c r="J55">
        <v>29</v>
      </c>
      <c r="K55">
        <v>13</v>
      </c>
      <c r="L55">
        <v>1</v>
      </c>
      <c r="M55">
        <v>4</v>
      </c>
      <c r="N55">
        <v>7</v>
      </c>
      <c r="O55">
        <v>5</v>
      </c>
      <c r="P55" t="s">
        <v>85</v>
      </c>
      <c r="Q55" t="str">
        <f>VLOOKUP(A55,Cleaned_Seller_Master!$A:$H,2,FALSE)</f>
        <v>Apex Retail 055</v>
      </c>
      <c r="R55" t="str">
        <f>VLOOKUP(A55,Cleaned_Seller_Master!$A:$H,4,FALSE)</f>
        <v>Fashion</v>
      </c>
      <c r="S55" t="str">
        <f>VLOOKUP(A55,Cleaned_Seller_Master!$A:$H,5,FALSE)</f>
        <v>South</v>
      </c>
      <c r="T55" t="str">
        <f>VLOOKUP(A55,Cleaned_Seller_Master!$A:$H,8,FALSE)</f>
        <v>Verified</v>
      </c>
      <c r="U55" t="str">
        <f>VLOOKUP(A55,Cleaned_Seller_Master!$A:$H,7,FALSE)</f>
        <v>26-06-2021</v>
      </c>
      <c r="V55">
        <f>IFERROR(INDEX(Violation_Summary_Seller_Year!$C:$C,MATCH(AD55,Violation_Summary_Seller_Year!$K:$K,0)),0)</f>
        <v>6</v>
      </c>
      <c r="W55">
        <f>IFERROR(INDEX(Violation_Summary_Seller_Year!$D:$D,MATCH(AD55,Violation_Summary_Seller_Year!$K:$K,0)),0)</f>
        <v>10388.450000000001</v>
      </c>
      <c r="X55">
        <f>IFERROR(INDEX(Violation_Summary_Seller_Year!$E:$E,MATCH(AD55,Violation_Summary_Seller_Year!$K:$K,0)),0)</f>
        <v>1</v>
      </c>
      <c r="Y55">
        <f>IFERROR(INDEX(Violation_Summary_Seller_Year!$F:$F,MATCH(AD55,Violation_Summary_Seller_Year!$K:$K,0)),0)</f>
        <v>2</v>
      </c>
      <c r="Z55">
        <f>IFERROR(INDEX(Violation_Summary_Seller_Year!$G:$G,MATCH(AD55,Violation_Summary_Seller_Year!$K:$K,0)),0)</f>
        <v>4</v>
      </c>
      <c r="AA55">
        <f>IFERROR(INDEX(Violation_Summary_Seller_Year!$H:$H,MATCH(AD55,Violation_Summary_Seller_Year!$K:$K,0)),0)</f>
        <v>3</v>
      </c>
      <c r="AB55">
        <f>IFERROR(INDEX(Violation_Summary_Seller_Year!$I:$I,MATCH(AD55,Violation_Summary_Seller_Year!$K:$K,0)),0)</f>
        <v>3</v>
      </c>
      <c r="AC55">
        <f>IFERROR(INDEX(Violation_Summary_Seller_Year!$J:$J,MATCH(AD55,Violation_Summary_Seller_Year!$K:$K,0)),0)</f>
        <v>53</v>
      </c>
      <c r="AD55" t="str">
        <f t="shared" si="0"/>
        <v>55_2021</v>
      </c>
      <c r="AE55">
        <f t="shared" si="1"/>
        <v>1</v>
      </c>
      <c r="AF55">
        <f t="shared" si="2"/>
        <v>2</v>
      </c>
      <c r="AG55">
        <f t="shared" si="3"/>
        <v>2</v>
      </c>
      <c r="AH55">
        <f t="shared" si="4"/>
        <v>2</v>
      </c>
      <c r="AI55">
        <f t="shared" si="5"/>
        <v>2</v>
      </c>
      <c r="AJ55">
        <f t="shared" si="6"/>
        <v>175</v>
      </c>
      <c r="AK55" t="str">
        <f t="shared" si="7"/>
        <v>High</v>
      </c>
    </row>
    <row r="56" spans="1:37" x14ac:dyDescent="0.3">
      <c r="A56">
        <v>56</v>
      </c>
      <c r="B56">
        <v>2021</v>
      </c>
      <c r="C56">
        <v>1136</v>
      </c>
      <c r="D56">
        <v>89</v>
      </c>
      <c r="E56">
        <v>81</v>
      </c>
      <c r="F56">
        <v>7437.66</v>
      </c>
      <c r="G56">
        <v>7.1303000000000005E-2</v>
      </c>
      <c r="H56">
        <v>31</v>
      </c>
      <c r="I56">
        <v>31</v>
      </c>
      <c r="J56">
        <v>10</v>
      </c>
      <c r="K56">
        <v>10</v>
      </c>
      <c r="L56">
        <v>0</v>
      </c>
      <c r="M56">
        <v>3</v>
      </c>
      <c r="N56">
        <v>6</v>
      </c>
      <c r="O56">
        <v>2</v>
      </c>
      <c r="P56" t="s">
        <v>175</v>
      </c>
      <c r="Q56" t="str">
        <f>VLOOKUP(A56,Cleaned_Seller_Master!$A:$H,2,FALSE)</f>
        <v>Nimbus Market 056</v>
      </c>
      <c r="R56" t="str">
        <f>VLOOKUP(A56,Cleaned_Seller_Master!$A:$H,4,FALSE)</f>
        <v>Beauty</v>
      </c>
      <c r="S56" t="str">
        <f>VLOOKUP(A56,Cleaned_Seller_Master!$A:$H,5,FALSE)</f>
        <v>North</v>
      </c>
      <c r="T56" t="str">
        <f>VLOOKUP(A56,Cleaned_Seller_Master!$A:$H,8,FALSE)</f>
        <v>Strategic</v>
      </c>
      <c r="U56" t="str">
        <f>VLOOKUP(A56,Cleaned_Seller_Master!$A:$H,7,FALSE)</f>
        <v>18-08-2023</v>
      </c>
      <c r="V56">
        <f>IFERROR(INDEX(Violation_Summary_Seller_Year!$C:$C,MATCH(AD56,Violation_Summary_Seller_Year!$K:$K,0)),0)</f>
        <v>3</v>
      </c>
      <c r="W56">
        <f>IFERROR(INDEX(Violation_Summary_Seller_Year!$D:$D,MATCH(AD56,Violation_Summary_Seller_Year!$K:$K,0)),0)</f>
        <v>4758.1399999999994</v>
      </c>
      <c r="X56">
        <f>IFERROR(INDEX(Violation_Summary_Seller_Year!$E:$E,MATCH(AD56,Violation_Summary_Seller_Year!$K:$K,0)),0)</f>
        <v>0</v>
      </c>
      <c r="Y56">
        <f>IFERROR(INDEX(Violation_Summary_Seller_Year!$F:$F,MATCH(AD56,Violation_Summary_Seller_Year!$K:$K,0)),0)</f>
        <v>2</v>
      </c>
      <c r="Z56">
        <f>IFERROR(INDEX(Violation_Summary_Seller_Year!$G:$G,MATCH(AD56,Violation_Summary_Seller_Year!$K:$K,0)),0)</f>
        <v>1</v>
      </c>
      <c r="AA56">
        <f>IFERROR(INDEX(Violation_Summary_Seller_Year!$H:$H,MATCH(AD56,Violation_Summary_Seller_Year!$K:$K,0)),0)</f>
        <v>1</v>
      </c>
      <c r="AB56">
        <f>IFERROR(INDEX(Violation_Summary_Seller_Year!$I:$I,MATCH(AD56,Violation_Summary_Seller_Year!$K:$K,0)),0)</f>
        <v>1</v>
      </c>
      <c r="AC56">
        <f>IFERROR(INDEX(Violation_Summary_Seller_Year!$J:$J,MATCH(AD56,Violation_Summary_Seller_Year!$K:$K,0)),0)</f>
        <v>25</v>
      </c>
      <c r="AD56" t="str">
        <f t="shared" si="0"/>
        <v>56_2021</v>
      </c>
      <c r="AE56">
        <f t="shared" si="1"/>
        <v>1</v>
      </c>
      <c r="AF56">
        <f t="shared" si="2"/>
        <v>2</v>
      </c>
      <c r="AG56">
        <f t="shared" si="3"/>
        <v>1</v>
      </c>
      <c r="AH56">
        <f t="shared" si="4"/>
        <v>0</v>
      </c>
      <c r="AI56">
        <f t="shared" si="5"/>
        <v>1</v>
      </c>
      <c r="AJ56">
        <f t="shared" si="6"/>
        <v>105</v>
      </c>
      <c r="AK56" t="str">
        <f t="shared" si="7"/>
        <v>Medium</v>
      </c>
    </row>
    <row r="57" spans="1:37" x14ac:dyDescent="0.3">
      <c r="A57">
        <v>57</v>
      </c>
      <c r="B57">
        <v>2021</v>
      </c>
      <c r="C57">
        <v>304</v>
      </c>
      <c r="D57">
        <v>8</v>
      </c>
      <c r="E57">
        <v>8</v>
      </c>
      <c r="F57">
        <v>259.05</v>
      </c>
      <c r="G57">
        <v>2.6315999999999999E-2</v>
      </c>
      <c r="H57">
        <v>4</v>
      </c>
      <c r="I57">
        <v>8</v>
      </c>
      <c r="J57">
        <v>1</v>
      </c>
      <c r="K57">
        <v>2</v>
      </c>
      <c r="L57">
        <v>0</v>
      </c>
      <c r="M57">
        <v>1</v>
      </c>
      <c r="N57">
        <v>1</v>
      </c>
      <c r="O57">
        <v>1</v>
      </c>
      <c r="P57" t="s">
        <v>176</v>
      </c>
      <c r="Q57" t="str">
        <f>VLOOKUP(A57,Cleaned_Seller_Master!$A:$H,2,FALSE)</f>
        <v>Metro Point 057</v>
      </c>
      <c r="R57" t="str">
        <f>VLOOKUP(A57,Cleaned_Seller_Master!$A:$H,4,FALSE)</f>
        <v>Beauty</v>
      </c>
      <c r="S57" t="str">
        <f>VLOOKUP(A57,Cleaned_Seller_Master!$A:$H,5,FALSE)</f>
        <v>West</v>
      </c>
      <c r="T57" t="str">
        <f>VLOOKUP(A57,Cleaned_Seller_Master!$A:$H,8,FALSE)</f>
        <v>Premium</v>
      </c>
      <c r="U57" t="str">
        <f>VLOOKUP(A57,Cleaned_Seller_Master!$A:$H,7,FALSE)</f>
        <v>19-11-2021</v>
      </c>
      <c r="V57">
        <f>IFERROR(INDEX(Violation_Summary_Seller_Year!$C:$C,MATCH(AD57,Violation_Summary_Seller_Year!$K:$K,0)),0)</f>
        <v>1</v>
      </c>
      <c r="W57">
        <f>IFERROR(INDEX(Violation_Summary_Seller_Year!$D:$D,MATCH(AD57,Violation_Summary_Seller_Year!$K:$K,0)),0)</f>
        <v>943.56</v>
      </c>
      <c r="X57">
        <f>IFERROR(INDEX(Violation_Summary_Seller_Year!$E:$E,MATCH(AD57,Violation_Summary_Seller_Year!$K:$K,0)),0)</f>
        <v>0</v>
      </c>
      <c r="Y57">
        <f>IFERROR(INDEX(Violation_Summary_Seller_Year!$F:$F,MATCH(AD57,Violation_Summary_Seller_Year!$K:$K,0)),0)</f>
        <v>0</v>
      </c>
      <c r="Z57">
        <f>IFERROR(INDEX(Violation_Summary_Seller_Year!$G:$G,MATCH(AD57,Violation_Summary_Seller_Year!$K:$K,0)),0)</f>
        <v>1</v>
      </c>
      <c r="AA57">
        <f>IFERROR(INDEX(Violation_Summary_Seller_Year!$H:$H,MATCH(AD57,Violation_Summary_Seller_Year!$K:$K,0)),0)</f>
        <v>0</v>
      </c>
      <c r="AB57">
        <f>IFERROR(INDEX(Violation_Summary_Seller_Year!$I:$I,MATCH(AD57,Violation_Summary_Seller_Year!$K:$K,0)),0)</f>
        <v>0</v>
      </c>
      <c r="AC57">
        <f>IFERROR(INDEX(Violation_Summary_Seller_Year!$J:$J,MATCH(AD57,Violation_Summary_Seller_Year!$K:$K,0)),0)</f>
        <v>6</v>
      </c>
      <c r="AD57" t="str">
        <f t="shared" si="0"/>
        <v>57_2021</v>
      </c>
      <c r="AE57">
        <f t="shared" si="1"/>
        <v>0</v>
      </c>
      <c r="AF57">
        <f t="shared" si="2"/>
        <v>1</v>
      </c>
      <c r="AG57">
        <f t="shared" si="3"/>
        <v>0</v>
      </c>
      <c r="AH57">
        <f t="shared" si="4"/>
        <v>0</v>
      </c>
      <c r="AI57">
        <f t="shared" si="5"/>
        <v>1</v>
      </c>
      <c r="AJ57">
        <f t="shared" si="6"/>
        <v>35</v>
      </c>
      <c r="AK57" t="str">
        <f t="shared" si="7"/>
        <v>Low</v>
      </c>
    </row>
    <row r="58" spans="1:37" x14ac:dyDescent="0.3">
      <c r="A58">
        <v>58</v>
      </c>
      <c r="B58">
        <v>2021</v>
      </c>
      <c r="C58">
        <v>777</v>
      </c>
      <c r="D58">
        <v>67</v>
      </c>
      <c r="E58">
        <v>60</v>
      </c>
      <c r="F58">
        <v>6268.1</v>
      </c>
      <c r="G58">
        <v>7.7219999999999997E-2</v>
      </c>
      <c r="H58">
        <v>23</v>
      </c>
      <c r="I58">
        <v>23</v>
      </c>
      <c r="J58">
        <v>11</v>
      </c>
      <c r="K58">
        <v>11</v>
      </c>
      <c r="L58">
        <v>0</v>
      </c>
      <c r="M58">
        <v>2</v>
      </c>
      <c r="N58">
        <v>5</v>
      </c>
      <c r="O58">
        <v>4</v>
      </c>
      <c r="P58" t="s">
        <v>68</v>
      </c>
      <c r="Q58" t="str">
        <f>VLOOKUP(A58,Cleaned_Seller_Master!$A:$H,2,FALSE)</f>
        <v>Luna Stores 058</v>
      </c>
      <c r="R58" t="str">
        <f>VLOOKUP(A58,Cleaned_Seller_Master!$A:$H,4,FALSE)</f>
        <v>Home</v>
      </c>
      <c r="S58" t="str">
        <f>VLOOKUP(A58,Cleaned_Seller_Master!$A:$H,5,FALSE)</f>
        <v>East</v>
      </c>
      <c r="T58" t="str">
        <f>VLOOKUP(A58,Cleaned_Seller_Master!$A:$H,8,FALSE)</f>
        <v>Strategic</v>
      </c>
      <c r="U58" t="str">
        <f>VLOOKUP(A58,Cleaned_Seller_Master!$A:$H,7,FALSE)</f>
        <v>04-04-2021</v>
      </c>
      <c r="V58">
        <f>IFERROR(INDEX(Violation_Summary_Seller_Year!$C:$C,MATCH(AD58,Violation_Summary_Seller_Year!$K:$K,0)),0)</f>
        <v>5</v>
      </c>
      <c r="W58">
        <f>IFERROR(INDEX(Violation_Summary_Seller_Year!$D:$D,MATCH(AD58,Violation_Summary_Seller_Year!$K:$K,0)),0)</f>
        <v>11941.97</v>
      </c>
      <c r="X58">
        <f>IFERROR(INDEX(Violation_Summary_Seller_Year!$E:$E,MATCH(AD58,Violation_Summary_Seller_Year!$K:$K,0)),0)</f>
        <v>0</v>
      </c>
      <c r="Y58">
        <f>IFERROR(INDEX(Violation_Summary_Seller_Year!$F:$F,MATCH(AD58,Violation_Summary_Seller_Year!$K:$K,0)),0)</f>
        <v>2</v>
      </c>
      <c r="Z58">
        <f>IFERROR(INDEX(Violation_Summary_Seller_Year!$G:$G,MATCH(AD58,Violation_Summary_Seller_Year!$K:$K,0)),0)</f>
        <v>3</v>
      </c>
      <c r="AA58">
        <f>IFERROR(INDEX(Violation_Summary_Seller_Year!$H:$H,MATCH(AD58,Violation_Summary_Seller_Year!$K:$K,0)),0)</f>
        <v>4</v>
      </c>
      <c r="AB58">
        <f>IFERROR(INDEX(Violation_Summary_Seller_Year!$I:$I,MATCH(AD58,Violation_Summary_Seller_Year!$K:$K,0)),0)</f>
        <v>4</v>
      </c>
      <c r="AC58">
        <f>IFERROR(INDEX(Violation_Summary_Seller_Year!$J:$J,MATCH(AD58,Violation_Summary_Seller_Year!$K:$K,0)),0)</f>
        <v>43</v>
      </c>
      <c r="AD58" t="str">
        <f t="shared" si="0"/>
        <v>58_2021</v>
      </c>
      <c r="AE58">
        <f t="shared" si="1"/>
        <v>1</v>
      </c>
      <c r="AF58">
        <f t="shared" si="2"/>
        <v>2</v>
      </c>
      <c r="AG58">
        <f t="shared" si="3"/>
        <v>2</v>
      </c>
      <c r="AH58">
        <f t="shared" si="4"/>
        <v>0</v>
      </c>
      <c r="AI58">
        <f t="shared" si="5"/>
        <v>1</v>
      </c>
      <c r="AJ58">
        <f t="shared" si="6"/>
        <v>125</v>
      </c>
      <c r="AK58" t="str">
        <f t="shared" si="7"/>
        <v>High</v>
      </c>
    </row>
    <row r="59" spans="1:37" x14ac:dyDescent="0.3">
      <c r="A59">
        <v>59</v>
      </c>
      <c r="B59">
        <v>2021</v>
      </c>
      <c r="C59">
        <v>824</v>
      </c>
      <c r="D59">
        <v>66</v>
      </c>
      <c r="E59">
        <v>53</v>
      </c>
      <c r="F59">
        <v>3803.38</v>
      </c>
      <c r="G59">
        <v>6.4320000000000002E-2</v>
      </c>
      <c r="H59">
        <v>17</v>
      </c>
      <c r="I59">
        <v>25</v>
      </c>
      <c r="J59">
        <v>7</v>
      </c>
      <c r="K59">
        <v>8</v>
      </c>
      <c r="L59">
        <v>1</v>
      </c>
      <c r="M59">
        <v>5</v>
      </c>
      <c r="N59">
        <v>5</v>
      </c>
      <c r="O59">
        <v>3</v>
      </c>
      <c r="P59" t="s">
        <v>85</v>
      </c>
      <c r="Q59" t="str">
        <f>VLOOKUP(A59,Cleaned_Seller_Master!$A:$H,2,FALSE)</f>
        <v>Elite Link 059</v>
      </c>
      <c r="R59" t="str">
        <f>VLOOKUP(A59,Cleaned_Seller_Master!$A:$H,4,FALSE)</f>
        <v>Home</v>
      </c>
      <c r="S59" t="str">
        <f>VLOOKUP(A59,Cleaned_Seller_Master!$A:$H,5,FALSE)</f>
        <v>East</v>
      </c>
      <c r="T59" t="str">
        <f>VLOOKUP(A59,Cleaned_Seller_Master!$A:$H,8,FALSE)</f>
        <v>Strategic</v>
      </c>
      <c r="U59" t="str">
        <f>VLOOKUP(A59,Cleaned_Seller_Master!$A:$H,7,FALSE)</f>
        <v>27-02-2021</v>
      </c>
      <c r="V59">
        <f>IFERROR(INDEX(Violation_Summary_Seller_Year!$C:$C,MATCH(AD59,Violation_Summary_Seller_Year!$K:$K,0)),0)</f>
        <v>3</v>
      </c>
      <c r="W59">
        <f>IFERROR(INDEX(Violation_Summary_Seller_Year!$D:$D,MATCH(AD59,Violation_Summary_Seller_Year!$K:$K,0)),0)</f>
        <v>6368.09</v>
      </c>
      <c r="X59">
        <f>IFERROR(INDEX(Violation_Summary_Seller_Year!$E:$E,MATCH(AD59,Violation_Summary_Seller_Year!$K:$K,0)),0)</f>
        <v>1</v>
      </c>
      <c r="Y59">
        <f>IFERROR(INDEX(Violation_Summary_Seller_Year!$F:$F,MATCH(AD59,Violation_Summary_Seller_Year!$K:$K,0)),0)</f>
        <v>2</v>
      </c>
      <c r="Z59">
        <f>IFERROR(INDEX(Violation_Summary_Seller_Year!$G:$G,MATCH(AD59,Violation_Summary_Seller_Year!$K:$K,0)),0)</f>
        <v>1</v>
      </c>
      <c r="AA59">
        <f>IFERROR(INDEX(Violation_Summary_Seller_Year!$H:$H,MATCH(AD59,Violation_Summary_Seller_Year!$K:$K,0)),0)</f>
        <v>2</v>
      </c>
      <c r="AB59">
        <f>IFERROR(INDEX(Violation_Summary_Seller_Year!$I:$I,MATCH(AD59,Violation_Summary_Seller_Year!$K:$K,0)),0)</f>
        <v>2</v>
      </c>
      <c r="AC59">
        <f>IFERROR(INDEX(Violation_Summary_Seller_Year!$J:$J,MATCH(AD59,Violation_Summary_Seller_Year!$K:$K,0)),0)</f>
        <v>13</v>
      </c>
      <c r="AD59" t="str">
        <f t="shared" si="0"/>
        <v>59_2021</v>
      </c>
      <c r="AE59">
        <f t="shared" si="1"/>
        <v>1</v>
      </c>
      <c r="AF59">
        <f t="shared" si="2"/>
        <v>2</v>
      </c>
      <c r="AG59">
        <f t="shared" si="3"/>
        <v>2</v>
      </c>
      <c r="AH59">
        <f t="shared" si="4"/>
        <v>2</v>
      </c>
      <c r="AI59">
        <f t="shared" si="5"/>
        <v>2</v>
      </c>
      <c r="AJ59">
        <f t="shared" si="6"/>
        <v>175</v>
      </c>
      <c r="AK59" t="str">
        <f t="shared" si="7"/>
        <v>High</v>
      </c>
    </row>
    <row r="60" spans="1:37" x14ac:dyDescent="0.3">
      <c r="A60">
        <v>60</v>
      </c>
      <c r="B60">
        <v>2021</v>
      </c>
      <c r="C60">
        <v>1133</v>
      </c>
      <c r="D60">
        <v>98</v>
      </c>
      <c r="E60">
        <v>93</v>
      </c>
      <c r="F60">
        <v>5615.41</v>
      </c>
      <c r="G60">
        <v>8.2083000000000003E-2</v>
      </c>
      <c r="H60">
        <v>19</v>
      </c>
      <c r="I60">
        <v>37</v>
      </c>
      <c r="J60">
        <v>16</v>
      </c>
      <c r="K60">
        <v>14</v>
      </c>
      <c r="L60">
        <v>1</v>
      </c>
      <c r="M60">
        <v>5</v>
      </c>
      <c r="N60">
        <v>8</v>
      </c>
      <c r="O60">
        <v>8</v>
      </c>
      <c r="P60" t="s">
        <v>85</v>
      </c>
      <c r="Q60" t="str">
        <f>VLOOKUP(A60,Cleaned_Seller_Master!$A:$H,2,FALSE)</f>
        <v>Nova Cart 060</v>
      </c>
      <c r="R60" t="str">
        <f>VLOOKUP(A60,Cleaned_Seller_Master!$A:$H,4,FALSE)</f>
        <v>Electronics</v>
      </c>
      <c r="S60" t="str">
        <f>VLOOKUP(A60,Cleaned_Seller_Master!$A:$H,5,FALSE)</f>
        <v>Southeast Asia</v>
      </c>
      <c r="T60" t="str">
        <f>VLOOKUP(A60,Cleaned_Seller_Master!$A:$H,8,FALSE)</f>
        <v>Standard</v>
      </c>
      <c r="U60" t="str">
        <f>VLOOKUP(A60,Cleaned_Seller_Master!$A:$H,7,FALSE)</f>
        <v>28-11-2019</v>
      </c>
      <c r="V60">
        <f>IFERROR(INDEX(Violation_Summary_Seller_Year!$C:$C,MATCH(AD60,Violation_Summary_Seller_Year!$K:$K,0)),0)</f>
        <v>4</v>
      </c>
      <c r="W60">
        <f>IFERROR(INDEX(Violation_Summary_Seller_Year!$D:$D,MATCH(AD60,Violation_Summary_Seller_Year!$K:$K,0)),0)</f>
        <v>7638.07</v>
      </c>
      <c r="X60">
        <f>IFERROR(INDEX(Violation_Summary_Seller_Year!$E:$E,MATCH(AD60,Violation_Summary_Seller_Year!$K:$K,0)),0)</f>
        <v>2</v>
      </c>
      <c r="Y60">
        <f>IFERROR(INDEX(Violation_Summary_Seller_Year!$F:$F,MATCH(AD60,Violation_Summary_Seller_Year!$K:$K,0)),0)</f>
        <v>2</v>
      </c>
      <c r="Z60">
        <f>IFERROR(INDEX(Violation_Summary_Seller_Year!$G:$G,MATCH(AD60,Violation_Summary_Seller_Year!$K:$K,0)),0)</f>
        <v>2</v>
      </c>
      <c r="AA60">
        <f>IFERROR(INDEX(Violation_Summary_Seller_Year!$H:$H,MATCH(AD60,Violation_Summary_Seller_Year!$K:$K,0)),0)</f>
        <v>3</v>
      </c>
      <c r="AB60">
        <f>IFERROR(INDEX(Violation_Summary_Seller_Year!$I:$I,MATCH(AD60,Violation_Summary_Seller_Year!$K:$K,0)),0)</f>
        <v>2</v>
      </c>
      <c r="AC60">
        <f>IFERROR(INDEX(Violation_Summary_Seller_Year!$J:$J,MATCH(AD60,Violation_Summary_Seller_Year!$K:$K,0)),0)</f>
        <v>47</v>
      </c>
      <c r="AD60" t="str">
        <f t="shared" si="0"/>
        <v>60_2021</v>
      </c>
      <c r="AE60">
        <f t="shared" si="1"/>
        <v>1</v>
      </c>
      <c r="AF60">
        <f t="shared" si="2"/>
        <v>2</v>
      </c>
      <c r="AG60">
        <f t="shared" si="3"/>
        <v>2</v>
      </c>
      <c r="AH60">
        <f t="shared" si="4"/>
        <v>2</v>
      </c>
      <c r="AI60">
        <f t="shared" si="5"/>
        <v>2</v>
      </c>
      <c r="AJ60">
        <f t="shared" si="6"/>
        <v>175</v>
      </c>
      <c r="AK60" t="str">
        <f t="shared" si="7"/>
        <v>High</v>
      </c>
    </row>
    <row r="61" spans="1:37" x14ac:dyDescent="0.3">
      <c r="A61">
        <v>61</v>
      </c>
      <c r="B61">
        <v>2021</v>
      </c>
      <c r="C61">
        <v>1986</v>
      </c>
      <c r="D61">
        <v>137</v>
      </c>
      <c r="E61">
        <v>126</v>
      </c>
      <c r="F61">
        <v>5589.6</v>
      </c>
      <c r="G61">
        <v>6.3444E-2</v>
      </c>
      <c r="H61">
        <v>17</v>
      </c>
      <c r="I61">
        <v>47</v>
      </c>
      <c r="J61">
        <v>27</v>
      </c>
      <c r="K61">
        <v>8</v>
      </c>
      <c r="L61">
        <v>1</v>
      </c>
      <c r="M61">
        <v>3</v>
      </c>
      <c r="N61">
        <v>5</v>
      </c>
      <c r="O61">
        <v>8</v>
      </c>
      <c r="P61" t="s">
        <v>85</v>
      </c>
      <c r="Q61" t="str">
        <f>VLOOKUP(A61,Cleaned_Seller_Master!$A:$H,2,FALSE)</f>
        <v>Swift Goods 061</v>
      </c>
      <c r="R61" t="str">
        <f>VLOOKUP(A61,Cleaned_Seller_Master!$A:$H,4,FALSE)</f>
        <v>Electronics</v>
      </c>
      <c r="S61" t="str">
        <f>VLOOKUP(A61,Cleaned_Seller_Master!$A:$H,5,FALSE)</f>
        <v>East</v>
      </c>
      <c r="T61" t="str">
        <f>VLOOKUP(A61,Cleaned_Seller_Master!$A:$H,8,FALSE)</f>
        <v>Verified</v>
      </c>
      <c r="U61" t="str">
        <f>VLOOKUP(A61,Cleaned_Seller_Master!$A:$H,7,FALSE)</f>
        <v>13-02-2018</v>
      </c>
      <c r="V61">
        <f>IFERROR(INDEX(Violation_Summary_Seller_Year!$C:$C,MATCH(AD61,Violation_Summary_Seller_Year!$K:$K,0)),0)</f>
        <v>3</v>
      </c>
      <c r="W61">
        <f>IFERROR(INDEX(Violation_Summary_Seller_Year!$D:$D,MATCH(AD61,Violation_Summary_Seller_Year!$K:$K,0)),0)</f>
        <v>3545.28</v>
      </c>
      <c r="X61">
        <f>IFERROR(INDEX(Violation_Summary_Seller_Year!$E:$E,MATCH(AD61,Violation_Summary_Seller_Year!$K:$K,0)),0)</f>
        <v>1</v>
      </c>
      <c r="Y61">
        <f>IFERROR(INDEX(Violation_Summary_Seller_Year!$F:$F,MATCH(AD61,Violation_Summary_Seller_Year!$K:$K,0)),0)</f>
        <v>2</v>
      </c>
      <c r="Z61">
        <f>IFERROR(INDEX(Violation_Summary_Seller_Year!$G:$G,MATCH(AD61,Violation_Summary_Seller_Year!$K:$K,0)),0)</f>
        <v>1</v>
      </c>
      <c r="AA61">
        <f>IFERROR(INDEX(Violation_Summary_Seller_Year!$H:$H,MATCH(AD61,Violation_Summary_Seller_Year!$K:$K,0)),0)</f>
        <v>1</v>
      </c>
      <c r="AB61">
        <f>IFERROR(INDEX(Violation_Summary_Seller_Year!$I:$I,MATCH(AD61,Violation_Summary_Seller_Year!$K:$K,0)),0)</f>
        <v>2</v>
      </c>
      <c r="AC61">
        <f>IFERROR(INDEX(Violation_Summary_Seller_Year!$J:$J,MATCH(AD61,Violation_Summary_Seller_Year!$K:$K,0)),0)</f>
        <v>29</v>
      </c>
      <c r="AD61" t="str">
        <f t="shared" si="0"/>
        <v>61_2021</v>
      </c>
      <c r="AE61">
        <f t="shared" si="1"/>
        <v>1</v>
      </c>
      <c r="AF61">
        <f t="shared" si="2"/>
        <v>2</v>
      </c>
      <c r="AG61">
        <f t="shared" si="3"/>
        <v>1</v>
      </c>
      <c r="AH61">
        <f t="shared" si="4"/>
        <v>2</v>
      </c>
      <c r="AI61">
        <f t="shared" si="5"/>
        <v>2</v>
      </c>
      <c r="AJ61">
        <f t="shared" si="6"/>
        <v>155</v>
      </c>
      <c r="AK61" t="str">
        <f t="shared" si="7"/>
        <v>High</v>
      </c>
    </row>
    <row r="62" spans="1:37" x14ac:dyDescent="0.3">
      <c r="A62">
        <v>62</v>
      </c>
      <c r="B62">
        <v>2021</v>
      </c>
      <c r="C62">
        <v>2824</v>
      </c>
      <c r="D62">
        <v>227</v>
      </c>
      <c r="E62">
        <v>214</v>
      </c>
      <c r="F62">
        <v>10655.51</v>
      </c>
      <c r="G62">
        <v>7.5778999999999999E-2</v>
      </c>
      <c r="H62">
        <v>51</v>
      </c>
      <c r="I62">
        <v>69</v>
      </c>
      <c r="J62">
        <v>29</v>
      </c>
      <c r="K62">
        <v>12</v>
      </c>
      <c r="L62">
        <v>0</v>
      </c>
      <c r="M62">
        <v>5</v>
      </c>
      <c r="N62">
        <v>6</v>
      </c>
      <c r="O62">
        <v>14</v>
      </c>
      <c r="P62" t="s">
        <v>175</v>
      </c>
      <c r="Q62" t="str">
        <f>VLOOKUP(A62,Cleaned_Seller_Master!$A:$H,2,FALSE)</f>
        <v>Blue Source 062</v>
      </c>
      <c r="R62" t="str">
        <f>VLOOKUP(A62,Cleaned_Seller_Master!$A:$H,4,FALSE)</f>
        <v>Electronics</v>
      </c>
      <c r="S62" t="str">
        <f>VLOOKUP(A62,Cleaned_Seller_Master!$A:$H,5,FALSE)</f>
        <v>South</v>
      </c>
      <c r="T62" t="str">
        <f>VLOOKUP(A62,Cleaned_Seller_Master!$A:$H,8,FALSE)</f>
        <v>Standard</v>
      </c>
      <c r="U62" t="str">
        <f>VLOOKUP(A62,Cleaned_Seller_Master!$A:$H,7,FALSE)</f>
        <v>20-10-2024</v>
      </c>
      <c r="V62">
        <f>IFERROR(INDEX(Violation_Summary_Seller_Year!$C:$C,MATCH(AD62,Violation_Summary_Seller_Year!$K:$K,0)),0)</f>
        <v>2</v>
      </c>
      <c r="W62">
        <f>IFERROR(INDEX(Violation_Summary_Seller_Year!$D:$D,MATCH(AD62,Violation_Summary_Seller_Year!$K:$K,0)),0)</f>
        <v>1176.4000000000001</v>
      </c>
      <c r="X62">
        <f>IFERROR(INDEX(Violation_Summary_Seller_Year!$E:$E,MATCH(AD62,Violation_Summary_Seller_Year!$K:$K,0)),0)</f>
        <v>0</v>
      </c>
      <c r="Y62">
        <f>IFERROR(INDEX(Violation_Summary_Seller_Year!$F:$F,MATCH(AD62,Violation_Summary_Seller_Year!$K:$K,0)),0)</f>
        <v>1</v>
      </c>
      <c r="Z62">
        <f>IFERROR(INDEX(Violation_Summary_Seller_Year!$G:$G,MATCH(AD62,Violation_Summary_Seller_Year!$K:$K,0)),0)</f>
        <v>1</v>
      </c>
      <c r="AA62">
        <f>IFERROR(INDEX(Violation_Summary_Seller_Year!$H:$H,MATCH(AD62,Violation_Summary_Seller_Year!$K:$K,0)),0)</f>
        <v>0</v>
      </c>
      <c r="AB62">
        <f>IFERROR(INDEX(Violation_Summary_Seller_Year!$I:$I,MATCH(AD62,Violation_Summary_Seller_Year!$K:$K,0)),0)</f>
        <v>1</v>
      </c>
      <c r="AC62">
        <f>IFERROR(INDEX(Violation_Summary_Seller_Year!$J:$J,MATCH(AD62,Violation_Summary_Seller_Year!$K:$K,0)),0)</f>
        <v>8</v>
      </c>
      <c r="AD62" t="str">
        <f t="shared" si="0"/>
        <v>62_2021</v>
      </c>
      <c r="AE62">
        <f t="shared" si="1"/>
        <v>1</v>
      </c>
      <c r="AF62">
        <f t="shared" si="2"/>
        <v>2</v>
      </c>
      <c r="AG62">
        <f t="shared" si="3"/>
        <v>1</v>
      </c>
      <c r="AH62">
        <f t="shared" si="4"/>
        <v>0</v>
      </c>
      <c r="AI62">
        <f t="shared" si="5"/>
        <v>1</v>
      </c>
      <c r="AJ62">
        <f t="shared" si="6"/>
        <v>105</v>
      </c>
      <c r="AK62" t="str">
        <f t="shared" si="7"/>
        <v>Medium</v>
      </c>
    </row>
    <row r="63" spans="1:37" x14ac:dyDescent="0.3">
      <c r="A63">
        <v>63</v>
      </c>
      <c r="B63">
        <v>2021</v>
      </c>
      <c r="C63">
        <v>909</v>
      </c>
      <c r="D63">
        <v>46</v>
      </c>
      <c r="E63">
        <v>36</v>
      </c>
      <c r="F63">
        <v>3138.55</v>
      </c>
      <c r="G63">
        <v>3.9604E-2</v>
      </c>
      <c r="H63">
        <v>15</v>
      </c>
      <c r="I63">
        <v>20</v>
      </c>
      <c r="J63">
        <v>6</v>
      </c>
      <c r="K63">
        <v>7</v>
      </c>
      <c r="L63">
        <v>0</v>
      </c>
      <c r="M63">
        <v>2</v>
      </c>
      <c r="N63">
        <v>3</v>
      </c>
      <c r="O63">
        <v>2</v>
      </c>
      <c r="P63" t="s">
        <v>68</v>
      </c>
      <c r="Q63" t="str">
        <f>VLOOKUP(A63,Cleaned_Seller_Master!$A:$H,2,FALSE)</f>
        <v>Vertex Supply 063</v>
      </c>
      <c r="R63" t="str">
        <f>VLOOKUP(A63,Cleaned_Seller_Master!$A:$H,4,FALSE)</f>
        <v>Home</v>
      </c>
      <c r="S63" t="str">
        <f>VLOOKUP(A63,Cleaned_Seller_Master!$A:$H,5,FALSE)</f>
        <v>East</v>
      </c>
      <c r="T63" t="str">
        <f>VLOOKUP(A63,Cleaned_Seller_Master!$A:$H,8,FALSE)</f>
        <v>Standard</v>
      </c>
      <c r="U63" t="str">
        <f>VLOOKUP(A63,Cleaned_Seller_Master!$A:$H,7,FALSE)</f>
        <v>24-10-2018</v>
      </c>
      <c r="V63">
        <f>IFERROR(INDEX(Violation_Summary_Seller_Year!$C:$C,MATCH(AD63,Violation_Summary_Seller_Year!$K:$K,0)),0)</f>
        <v>3</v>
      </c>
      <c r="W63">
        <f>IFERROR(INDEX(Violation_Summary_Seller_Year!$D:$D,MATCH(AD63,Violation_Summary_Seller_Year!$K:$K,0)),0)</f>
        <v>6136.96</v>
      </c>
      <c r="X63">
        <f>IFERROR(INDEX(Violation_Summary_Seller_Year!$E:$E,MATCH(AD63,Violation_Summary_Seller_Year!$K:$K,0)),0)</f>
        <v>0</v>
      </c>
      <c r="Y63">
        <f>IFERROR(INDEX(Violation_Summary_Seller_Year!$F:$F,MATCH(AD63,Violation_Summary_Seller_Year!$K:$K,0)),0)</f>
        <v>2</v>
      </c>
      <c r="Z63">
        <f>IFERROR(INDEX(Violation_Summary_Seller_Year!$G:$G,MATCH(AD63,Violation_Summary_Seller_Year!$K:$K,0)),0)</f>
        <v>1</v>
      </c>
      <c r="AA63">
        <f>IFERROR(INDEX(Violation_Summary_Seller_Year!$H:$H,MATCH(AD63,Violation_Summary_Seller_Year!$K:$K,0)),0)</f>
        <v>2</v>
      </c>
      <c r="AB63">
        <f>IFERROR(INDEX(Violation_Summary_Seller_Year!$I:$I,MATCH(AD63,Violation_Summary_Seller_Year!$K:$K,0)),0)</f>
        <v>0</v>
      </c>
      <c r="AC63">
        <f>IFERROR(INDEX(Violation_Summary_Seller_Year!$J:$J,MATCH(AD63,Violation_Summary_Seller_Year!$K:$K,0)),0)</f>
        <v>14</v>
      </c>
      <c r="AD63" t="str">
        <f t="shared" si="0"/>
        <v>63_2021</v>
      </c>
      <c r="AE63">
        <f t="shared" si="1"/>
        <v>0</v>
      </c>
      <c r="AF63">
        <f t="shared" si="2"/>
        <v>2</v>
      </c>
      <c r="AG63">
        <f t="shared" si="3"/>
        <v>2</v>
      </c>
      <c r="AH63">
        <f t="shared" si="4"/>
        <v>0</v>
      </c>
      <c r="AI63">
        <f t="shared" si="5"/>
        <v>1</v>
      </c>
      <c r="AJ63">
        <f t="shared" si="6"/>
        <v>100</v>
      </c>
      <c r="AK63" t="str">
        <f t="shared" si="7"/>
        <v>Medium</v>
      </c>
    </row>
    <row r="64" spans="1:37" x14ac:dyDescent="0.3">
      <c r="A64">
        <v>64</v>
      </c>
      <c r="B64">
        <v>2021</v>
      </c>
      <c r="C64">
        <v>589</v>
      </c>
      <c r="D64">
        <v>58</v>
      </c>
      <c r="E64">
        <v>43</v>
      </c>
      <c r="F64">
        <v>2662.53</v>
      </c>
      <c r="G64">
        <v>7.3005E-2</v>
      </c>
      <c r="H64">
        <v>16</v>
      </c>
      <c r="I64">
        <v>16</v>
      </c>
      <c r="J64">
        <v>8</v>
      </c>
      <c r="K64">
        <v>8</v>
      </c>
      <c r="L64">
        <v>1</v>
      </c>
      <c r="M64">
        <v>4</v>
      </c>
      <c r="N64">
        <v>4</v>
      </c>
      <c r="O64">
        <v>3</v>
      </c>
      <c r="P64" t="s">
        <v>85</v>
      </c>
      <c r="Q64" t="str">
        <f>VLOOKUP(A64,Cleaned_Seller_Master!$A:$H,2,FALSE)</f>
        <v>Zen Mart 064</v>
      </c>
      <c r="R64" t="str">
        <f>VLOOKUP(A64,Cleaned_Seller_Master!$A:$H,4,FALSE)</f>
        <v>Groceries</v>
      </c>
      <c r="S64" t="str">
        <f>VLOOKUP(A64,Cleaned_Seller_Master!$A:$H,5,FALSE)</f>
        <v>North</v>
      </c>
      <c r="T64" t="str">
        <f>VLOOKUP(A64,Cleaned_Seller_Master!$A:$H,8,FALSE)</f>
        <v>Verified</v>
      </c>
      <c r="U64" t="str">
        <f>VLOOKUP(A64,Cleaned_Seller_Master!$A:$H,7,FALSE)</f>
        <v>15-07-2017</v>
      </c>
      <c r="V64">
        <f>IFERROR(INDEX(Violation_Summary_Seller_Year!$C:$C,MATCH(AD64,Violation_Summary_Seller_Year!$K:$K,0)),0)</f>
        <v>5</v>
      </c>
      <c r="W64">
        <f>IFERROR(INDEX(Violation_Summary_Seller_Year!$D:$D,MATCH(AD64,Violation_Summary_Seller_Year!$K:$K,0)),0)</f>
        <v>9269.1</v>
      </c>
      <c r="X64">
        <f>IFERROR(INDEX(Violation_Summary_Seller_Year!$E:$E,MATCH(AD64,Violation_Summary_Seller_Year!$K:$K,0)),0)</f>
        <v>1</v>
      </c>
      <c r="Y64">
        <f>IFERROR(INDEX(Violation_Summary_Seller_Year!$F:$F,MATCH(AD64,Violation_Summary_Seller_Year!$K:$K,0)),0)</f>
        <v>1</v>
      </c>
      <c r="Z64">
        <f>IFERROR(INDEX(Violation_Summary_Seller_Year!$G:$G,MATCH(AD64,Violation_Summary_Seller_Year!$K:$K,0)),0)</f>
        <v>4</v>
      </c>
      <c r="AA64">
        <f>IFERROR(INDEX(Violation_Summary_Seller_Year!$H:$H,MATCH(AD64,Violation_Summary_Seller_Year!$K:$K,0)),0)</f>
        <v>3</v>
      </c>
      <c r="AB64">
        <f>IFERROR(INDEX(Violation_Summary_Seller_Year!$I:$I,MATCH(AD64,Violation_Summary_Seller_Year!$K:$K,0)),0)</f>
        <v>2</v>
      </c>
      <c r="AC64">
        <f>IFERROR(INDEX(Violation_Summary_Seller_Year!$J:$J,MATCH(AD64,Violation_Summary_Seller_Year!$K:$K,0)),0)</f>
        <v>54</v>
      </c>
      <c r="AD64" t="str">
        <f t="shared" si="0"/>
        <v>64_2021</v>
      </c>
      <c r="AE64">
        <f t="shared" si="1"/>
        <v>1</v>
      </c>
      <c r="AF64">
        <f t="shared" si="2"/>
        <v>2</v>
      </c>
      <c r="AG64">
        <f t="shared" si="3"/>
        <v>2</v>
      </c>
      <c r="AH64">
        <f t="shared" si="4"/>
        <v>2</v>
      </c>
      <c r="AI64">
        <f t="shared" si="5"/>
        <v>2</v>
      </c>
      <c r="AJ64">
        <f t="shared" si="6"/>
        <v>175</v>
      </c>
      <c r="AK64" t="str">
        <f t="shared" si="7"/>
        <v>High</v>
      </c>
    </row>
    <row r="65" spans="1:37" x14ac:dyDescent="0.3">
      <c r="A65">
        <v>65</v>
      </c>
      <c r="B65">
        <v>2021</v>
      </c>
      <c r="C65">
        <v>2790</v>
      </c>
      <c r="D65">
        <v>259</v>
      </c>
      <c r="E65">
        <v>227</v>
      </c>
      <c r="F65">
        <v>12955.7</v>
      </c>
      <c r="G65">
        <v>8.1362000000000004E-2</v>
      </c>
      <c r="H65">
        <v>50</v>
      </c>
      <c r="I65">
        <v>78</v>
      </c>
      <c r="J65">
        <v>24</v>
      </c>
      <c r="K65">
        <v>16</v>
      </c>
      <c r="L65">
        <v>0</v>
      </c>
      <c r="M65">
        <v>6</v>
      </c>
      <c r="N65">
        <v>9</v>
      </c>
      <c r="O65">
        <v>5</v>
      </c>
      <c r="P65" t="s">
        <v>175</v>
      </c>
      <c r="Q65" t="str">
        <f>VLOOKUP(A65,Cleaned_Seller_Master!$A:$H,2,FALSE)</f>
        <v>True House 065</v>
      </c>
      <c r="R65" t="str">
        <f>VLOOKUP(A65,Cleaned_Seller_Master!$A:$H,4,FALSE)</f>
        <v>Electronics</v>
      </c>
      <c r="S65" t="str">
        <f>VLOOKUP(A65,Cleaned_Seller_Master!$A:$H,5,FALSE)</f>
        <v>South</v>
      </c>
      <c r="T65" t="str">
        <f>VLOOKUP(A65,Cleaned_Seller_Master!$A:$H,8,FALSE)</f>
        <v>Verified</v>
      </c>
      <c r="U65" t="str">
        <f>VLOOKUP(A65,Cleaned_Seller_Master!$A:$H,7,FALSE)</f>
        <v>04-07-2021</v>
      </c>
      <c r="V65">
        <f>IFERROR(INDEX(Violation_Summary_Seller_Year!$C:$C,MATCH(AD65,Violation_Summary_Seller_Year!$K:$K,0)),0)</f>
        <v>2</v>
      </c>
      <c r="W65">
        <f>IFERROR(INDEX(Violation_Summary_Seller_Year!$D:$D,MATCH(AD65,Violation_Summary_Seller_Year!$K:$K,0)),0)</f>
        <v>1582.46</v>
      </c>
      <c r="X65">
        <f>IFERROR(INDEX(Violation_Summary_Seller_Year!$E:$E,MATCH(AD65,Violation_Summary_Seller_Year!$K:$K,0)),0)</f>
        <v>0</v>
      </c>
      <c r="Y65">
        <f>IFERROR(INDEX(Violation_Summary_Seller_Year!$F:$F,MATCH(AD65,Violation_Summary_Seller_Year!$K:$K,0)),0)</f>
        <v>1</v>
      </c>
      <c r="Z65">
        <f>IFERROR(INDEX(Violation_Summary_Seller_Year!$G:$G,MATCH(AD65,Violation_Summary_Seller_Year!$K:$K,0)),0)</f>
        <v>1</v>
      </c>
      <c r="AA65">
        <f>IFERROR(INDEX(Violation_Summary_Seller_Year!$H:$H,MATCH(AD65,Violation_Summary_Seller_Year!$K:$K,0)),0)</f>
        <v>0</v>
      </c>
      <c r="AB65">
        <f>IFERROR(INDEX(Violation_Summary_Seller_Year!$I:$I,MATCH(AD65,Violation_Summary_Seller_Year!$K:$K,0)),0)</f>
        <v>1</v>
      </c>
      <c r="AC65">
        <f>IFERROR(INDEX(Violation_Summary_Seller_Year!$J:$J,MATCH(AD65,Violation_Summary_Seller_Year!$K:$K,0)),0)</f>
        <v>21</v>
      </c>
      <c r="AD65" t="str">
        <f t="shared" si="0"/>
        <v>65_2021</v>
      </c>
      <c r="AE65">
        <f t="shared" si="1"/>
        <v>1</v>
      </c>
      <c r="AF65">
        <f t="shared" si="2"/>
        <v>2</v>
      </c>
      <c r="AG65">
        <f t="shared" si="3"/>
        <v>1</v>
      </c>
      <c r="AH65">
        <f t="shared" si="4"/>
        <v>0</v>
      </c>
      <c r="AI65">
        <f t="shared" si="5"/>
        <v>1</v>
      </c>
      <c r="AJ65">
        <f t="shared" si="6"/>
        <v>105</v>
      </c>
      <c r="AK65" t="str">
        <f t="shared" si="7"/>
        <v>Medium</v>
      </c>
    </row>
    <row r="66" spans="1:37" x14ac:dyDescent="0.3">
      <c r="A66">
        <v>66</v>
      </c>
      <c r="B66">
        <v>2021</v>
      </c>
      <c r="C66">
        <v>526</v>
      </c>
      <c r="D66">
        <v>30</v>
      </c>
      <c r="E66">
        <v>22</v>
      </c>
      <c r="F66">
        <v>2061.15</v>
      </c>
      <c r="G66">
        <v>4.1825000000000001E-2</v>
      </c>
      <c r="H66">
        <v>18</v>
      </c>
      <c r="I66">
        <v>18</v>
      </c>
      <c r="J66">
        <v>6</v>
      </c>
      <c r="K66">
        <v>6</v>
      </c>
      <c r="L66">
        <v>0</v>
      </c>
      <c r="M66">
        <v>1</v>
      </c>
      <c r="N66">
        <v>3</v>
      </c>
      <c r="O66">
        <v>2</v>
      </c>
      <c r="P66" t="s">
        <v>175</v>
      </c>
      <c r="Q66" t="str">
        <f>VLOOKUP(A66,Cleaned_Seller_Master!$A:$H,2,FALSE)</f>
        <v>Core Traders 066</v>
      </c>
      <c r="R66" t="str">
        <f>VLOOKUP(A66,Cleaned_Seller_Master!$A:$H,4,FALSE)</f>
        <v>Fashion</v>
      </c>
      <c r="S66" t="str">
        <f>VLOOKUP(A66,Cleaned_Seller_Master!$A:$H,5,FALSE)</f>
        <v>Southeast Asia</v>
      </c>
      <c r="T66" t="str">
        <f>VLOOKUP(A66,Cleaned_Seller_Master!$A:$H,8,FALSE)</f>
        <v>Strategic</v>
      </c>
      <c r="U66" t="str">
        <f>VLOOKUP(A66,Cleaned_Seller_Master!$A:$H,7,FALSE)</f>
        <v>04-08-2021</v>
      </c>
      <c r="V66">
        <f>IFERROR(INDEX(Violation_Summary_Seller_Year!$C:$C,MATCH(AD66,Violation_Summary_Seller_Year!$K:$K,0)),0)</f>
        <v>2</v>
      </c>
      <c r="W66">
        <f>IFERROR(INDEX(Violation_Summary_Seller_Year!$D:$D,MATCH(AD66,Violation_Summary_Seller_Year!$K:$K,0)),0)</f>
        <v>3604.58</v>
      </c>
      <c r="X66">
        <f>IFERROR(INDEX(Violation_Summary_Seller_Year!$E:$E,MATCH(AD66,Violation_Summary_Seller_Year!$K:$K,0)),0)</f>
        <v>0</v>
      </c>
      <c r="Y66">
        <f>IFERROR(INDEX(Violation_Summary_Seller_Year!$F:$F,MATCH(AD66,Violation_Summary_Seller_Year!$K:$K,0)),0)</f>
        <v>1</v>
      </c>
      <c r="Z66">
        <f>IFERROR(INDEX(Violation_Summary_Seller_Year!$G:$G,MATCH(AD66,Violation_Summary_Seller_Year!$K:$K,0)),0)</f>
        <v>1</v>
      </c>
      <c r="AA66">
        <f>IFERROR(INDEX(Violation_Summary_Seller_Year!$H:$H,MATCH(AD66,Violation_Summary_Seller_Year!$K:$K,0)),0)</f>
        <v>1</v>
      </c>
      <c r="AB66">
        <f>IFERROR(INDEX(Violation_Summary_Seller_Year!$I:$I,MATCH(AD66,Violation_Summary_Seller_Year!$K:$K,0)),0)</f>
        <v>0</v>
      </c>
      <c r="AC66">
        <f>IFERROR(INDEX(Violation_Summary_Seller_Year!$J:$J,MATCH(AD66,Violation_Summary_Seller_Year!$K:$K,0)),0)</f>
        <v>12</v>
      </c>
      <c r="AD66" t="str">
        <f t="shared" ref="AD66:AD129" si="8">A66&amp;"_"&amp;B66</f>
        <v>66_2021</v>
      </c>
      <c r="AE66">
        <f t="shared" ref="AE66:AE129" si="9">IF(G66&gt;=0.1,2,IF(G66&gt;=0.05,1,0))</f>
        <v>0</v>
      </c>
      <c r="AF66">
        <f t="shared" ref="AF66:AF129" si="10">IF(H66&gt;=8,2,IF(H66&gt;=4,1,0))</f>
        <v>2</v>
      </c>
      <c r="AG66">
        <f t="shared" ref="AG66:AG129" si="11">IF(OR(AA66&gt;=2,V66&gt;=5),2,IF(OR(AA66&gt;=1,V66&gt;=2),1,0))</f>
        <v>1</v>
      </c>
      <c r="AH66">
        <f t="shared" ref="AH66:AH129" si="12">IF(OR(L66=1,X66&gt;=2),2,IF(X66&gt;=1,1,0))</f>
        <v>0</v>
      </c>
      <c r="AI66">
        <f t="shared" ref="AI66:AI129" si="13">IF(OR(P66="Suspended",P66="Blocked"),2,IF(OR(P66="Under Review",P66="Warning",P66="Review Required",P66="Restricted",P66="Watchlist"),1,0))</f>
        <v>1</v>
      </c>
      <c r="AJ66">
        <f t="shared" ref="AJ66:AJ129" si="14">(AE66*25)+(AF66*25)+(AG66*20)+(AH66*20)+(AI66*10)</f>
        <v>80</v>
      </c>
      <c r="AK66" t="str">
        <f t="shared" ref="AK66:AK129" si="15">IF(AJ66&gt;=120,"High",IF(AJ66&gt;=60,"Medium","Low"))</f>
        <v>Medium</v>
      </c>
    </row>
    <row r="67" spans="1:37" x14ac:dyDescent="0.3">
      <c r="A67">
        <v>68</v>
      </c>
      <c r="B67">
        <v>2021</v>
      </c>
      <c r="C67">
        <v>2018</v>
      </c>
      <c r="D67">
        <v>204</v>
      </c>
      <c r="E67">
        <v>183</v>
      </c>
      <c r="F67">
        <v>11022.22</v>
      </c>
      <c r="G67">
        <v>9.0684000000000001E-2</v>
      </c>
      <c r="H67">
        <v>23</v>
      </c>
      <c r="I67">
        <v>60</v>
      </c>
      <c r="J67">
        <v>26</v>
      </c>
      <c r="K67">
        <v>12</v>
      </c>
      <c r="L67">
        <v>0</v>
      </c>
      <c r="M67">
        <v>5</v>
      </c>
      <c r="N67">
        <v>7</v>
      </c>
      <c r="O67">
        <v>4</v>
      </c>
      <c r="P67" t="s">
        <v>68</v>
      </c>
      <c r="Q67" t="str">
        <f>VLOOKUP(A67,Cleaned_Seller_Master!$A:$H,2,FALSE)</f>
        <v>Bright Nest 068</v>
      </c>
      <c r="R67" t="str">
        <f>VLOOKUP(A67,Cleaned_Seller_Master!$A:$H,4,FALSE)</f>
        <v>Fashion</v>
      </c>
      <c r="S67" t="str">
        <f>VLOOKUP(A67,Cleaned_Seller_Master!$A:$H,5,FALSE)</f>
        <v>Southeast Asia</v>
      </c>
      <c r="T67" t="str">
        <f>VLOOKUP(A67,Cleaned_Seller_Master!$A:$H,8,FALSE)</f>
        <v>Premium</v>
      </c>
      <c r="U67" t="str">
        <f>VLOOKUP(A67,Cleaned_Seller_Master!$A:$H,7,FALSE)</f>
        <v>17-08-2020</v>
      </c>
      <c r="V67">
        <f>IFERROR(INDEX(Violation_Summary_Seller_Year!$C:$C,MATCH(AD67,Violation_Summary_Seller_Year!$K:$K,0)),0)</f>
        <v>6</v>
      </c>
      <c r="W67">
        <f>IFERROR(INDEX(Violation_Summary_Seller_Year!$D:$D,MATCH(AD67,Violation_Summary_Seller_Year!$K:$K,0)),0)</f>
        <v>11904.369999999999</v>
      </c>
      <c r="X67">
        <f>IFERROR(INDEX(Violation_Summary_Seller_Year!$E:$E,MATCH(AD67,Violation_Summary_Seller_Year!$K:$K,0)),0)</f>
        <v>0</v>
      </c>
      <c r="Y67">
        <f>IFERROR(INDEX(Violation_Summary_Seller_Year!$F:$F,MATCH(AD67,Violation_Summary_Seller_Year!$K:$K,0)),0)</f>
        <v>2</v>
      </c>
      <c r="Z67">
        <f>IFERROR(INDEX(Violation_Summary_Seller_Year!$G:$G,MATCH(AD67,Violation_Summary_Seller_Year!$K:$K,0)),0)</f>
        <v>4</v>
      </c>
      <c r="AA67">
        <f>IFERROR(INDEX(Violation_Summary_Seller_Year!$H:$H,MATCH(AD67,Violation_Summary_Seller_Year!$K:$K,0)),0)</f>
        <v>3</v>
      </c>
      <c r="AB67">
        <f>IFERROR(INDEX(Violation_Summary_Seller_Year!$I:$I,MATCH(AD67,Violation_Summary_Seller_Year!$K:$K,0)),0)</f>
        <v>5</v>
      </c>
      <c r="AC67">
        <f>IFERROR(INDEX(Violation_Summary_Seller_Year!$J:$J,MATCH(AD67,Violation_Summary_Seller_Year!$K:$K,0)),0)</f>
        <v>79</v>
      </c>
      <c r="AD67" t="str">
        <f t="shared" si="8"/>
        <v>68_2021</v>
      </c>
      <c r="AE67">
        <f t="shared" si="9"/>
        <v>1</v>
      </c>
      <c r="AF67">
        <f t="shared" si="10"/>
        <v>2</v>
      </c>
      <c r="AG67">
        <f t="shared" si="11"/>
        <v>2</v>
      </c>
      <c r="AH67">
        <f t="shared" si="12"/>
        <v>0</v>
      </c>
      <c r="AI67">
        <f t="shared" si="13"/>
        <v>1</v>
      </c>
      <c r="AJ67">
        <f t="shared" si="14"/>
        <v>125</v>
      </c>
      <c r="AK67" t="str">
        <f t="shared" si="15"/>
        <v>High</v>
      </c>
    </row>
    <row r="68" spans="1:37" x14ac:dyDescent="0.3">
      <c r="A68">
        <v>69</v>
      </c>
      <c r="B68">
        <v>2021</v>
      </c>
      <c r="C68">
        <v>1368</v>
      </c>
      <c r="D68">
        <v>117</v>
      </c>
      <c r="E68">
        <v>103</v>
      </c>
      <c r="F68">
        <v>9506.14</v>
      </c>
      <c r="G68">
        <v>7.5291999999999998E-2</v>
      </c>
      <c r="H68">
        <v>24</v>
      </c>
      <c r="I68">
        <v>45</v>
      </c>
      <c r="J68">
        <v>24</v>
      </c>
      <c r="K68">
        <v>14</v>
      </c>
      <c r="L68">
        <v>1</v>
      </c>
      <c r="M68">
        <v>6</v>
      </c>
      <c r="N68">
        <v>8</v>
      </c>
      <c r="O68">
        <v>6</v>
      </c>
      <c r="P68" t="s">
        <v>85</v>
      </c>
      <c r="Q68" t="str">
        <f>VLOOKUP(A68,Cleaned_Seller_Master!$A:$H,2,FALSE)</f>
        <v>Golden Hub 069</v>
      </c>
      <c r="R68" t="str">
        <f>VLOOKUP(A68,Cleaned_Seller_Master!$A:$H,4,FALSE)</f>
        <v>Electronics</v>
      </c>
      <c r="S68" t="str">
        <f>VLOOKUP(A68,Cleaned_Seller_Master!$A:$H,5,FALSE)</f>
        <v>West</v>
      </c>
      <c r="T68" t="str">
        <f>VLOOKUP(A68,Cleaned_Seller_Master!$A:$H,8,FALSE)</f>
        <v>Verified</v>
      </c>
      <c r="U68" t="str">
        <f>VLOOKUP(A68,Cleaned_Seller_Master!$A:$H,7,FALSE)</f>
        <v>11-06-2024</v>
      </c>
      <c r="V68">
        <f>IFERROR(INDEX(Violation_Summary_Seller_Year!$C:$C,MATCH(AD68,Violation_Summary_Seller_Year!$K:$K,0)),0)</f>
        <v>5</v>
      </c>
      <c r="W68">
        <f>IFERROR(INDEX(Violation_Summary_Seller_Year!$D:$D,MATCH(AD68,Violation_Summary_Seller_Year!$K:$K,0)),0)</f>
        <v>26097.019999999997</v>
      </c>
      <c r="X68">
        <f>IFERROR(INDEX(Violation_Summary_Seller_Year!$E:$E,MATCH(AD68,Violation_Summary_Seller_Year!$K:$K,0)),0)</f>
        <v>5</v>
      </c>
      <c r="Y68">
        <f>IFERROR(INDEX(Violation_Summary_Seller_Year!$F:$F,MATCH(AD68,Violation_Summary_Seller_Year!$K:$K,0)),0)</f>
        <v>2</v>
      </c>
      <c r="Z68">
        <f>IFERROR(INDEX(Violation_Summary_Seller_Year!$G:$G,MATCH(AD68,Violation_Summary_Seller_Year!$K:$K,0)),0)</f>
        <v>3</v>
      </c>
      <c r="AA68">
        <f>IFERROR(INDEX(Violation_Summary_Seller_Year!$H:$H,MATCH(AD68,Violation_Summary_Seller_Year!$K:$K,0)),0)</f>
        <v>5</v>
      </c>
      <c r="AB68">
        <f>IFERROR(INDEX(Violation_Summary_Seller_Year!$I:$I,MATCH(AD68,Violation_Summary_Seller_Year!$K:$K,0)),0)</f>
        <v>2</v>
      </c>
      <c r="AC68">
        <f>IFERROR(INDEX(Violation_Summary_Seller_Year!$J:$J,MATCH(AD68,Violation_Summary_Seller_Year!$K:$K,0)),0)</f>
        <v>52</v>
      </c>
      <c r="AD68" t="str">
        <f t="shared" si="8"/>
        <v>69_2021</v>
      </c>
      <c r="AE68">
        <f t="shared" si="9"/>
        <v>1</v>
      </c>
      <c r="AF68">
        <f t="shared" si="10"/>
        <v>2</v>
      </c>
      <c r="AG68">
        <f t="shared" si="11"/>
        <v>2</v>
      </c>
      <c r="AH68">
        <f t="shared" si="12"/>
        <v>2</v>
      </c>
      <c r="AI68">
        <f t="shared" si="13"/>
        <v>2</v>
      </c>
      <c r="AJ68">
        <f t="shared" si="14"/>
        <v>175</v>
      </c>
      <c r="AK68" t="str">
        <f t="shared" si="15"/>
        <v>High</v>
      </c>
    </row>
    <row r="69" spans="1:37" x14ac:dyDescent="0.3">
      <c r="A69">
        <v>71</v>
      </c>
      <c r="B69">
        <v>2021</v>
      </c>
      <c r="C69">
        <v>766</v>
      </c>
      <c r="D69">
        <v>40</v>
      </c>
      <c r="E69">
        <v>34</v>
      </c>
      <c r="F69">
        <v>1393.63</v>
      </c>
      <c r="G69">
        <v>4.4386000000000002E-2</v>
      </c>
      <c r="H69">
        <v>7</v>
      </c>
      <c r="I69">
        <v>21</v>
      </c>
      <c r="J69">
        <v>4</v>
      </c>
      <c r="K69">
        <v>2</v>
      </c>
      <c r="L69">
        <v>0</v>
      </c>
      <c r="M69">
        <v>1</v>
      </c>
      <c r="N69">
        <v>2</v>
      </c>
      <c r="O69">
        <v>2</v>
      </c>
      <c r="P69" t="s">
        <v>68</v>
      </c>
      <c r="Q69" t="str">
        <f>VLOOKUP(A69,Cleaned_Seller_Master!$A:$H,2,FALSE)</f>
        <v>Orbit Square 071</v>
      </c>
      <c r="R69" t="str">
        <f>VLOOKUP(A69,Cleaned_Seller_Master!$A:$H,4,FALSE)</f>
        <v>Groceries</v>
      </c>
      <c r="S69" t="str">
        <f>VLOOKUP(A69,Cleaned_Seller_Master!$A:$H,5,FALSE)</f>
        <v>West</v>
      </c>
      <c r="T69" t="str">
        <f>VLOOKUP(A69,Cleaned_Seller_Master!$A:$H,8,FALSE)</f>
        <v>Premium</v>
      </c>
      <c r="U69" t="str">
        <f>VLOOKUP(A69,Cleaned_Seller_Master!$A:$H,7,FALSE)</f>
        <v>17-04-2017</v>
      </c>
      <c r="V69">
        <f>IFERROR(INDEX(Violation_Summary_Seller_Year!$C:$C,MATCH(AD69,Violation_Summary_Seller_Year!$K:$K,0)),0)</f>
        <v>2</v>
      </c>
      <c r="W69">
        <f>IFERROR(INDEX(Violation_Summary_Seller_Year!$D:$D,MATCH(AD69,Violation_Summary_Seller_Year!$K:$K,0)),0)</f>
        <v>7708.67</v>
      </c>
      <c r="X69">
        <f>IFERROR(INDEX(Violation_Summary_Seller_Year!$E:$E,MATCH(AD69,Violation_Summary_Seller_Year!$K:$K,0)),0)</f>
        <v>0</v>
      </c>
      <c r="Y69">
        <f>IFERROR(INDEX(Violation_Summary_Seller_Year!$F:$F,MATCH(AD69,Violation_Summary_Seller_Year!$K:$K,0)),0)</f>
        <v>1</v>
      </c>
      <c r="Z69">
        <f>IFERROR(INDEX(Violation_Summary_Seller_Year!$G:$G,MATCH(AD69,Violation_Summary_Seller_Year!$K:$K,0)),0)</f>
        <v>1</v>
      </c>
      <c r="AA69">
        <f>IFERROR(INDEX(Violation_Summary_Seller_Year!$H:$H,MATCH(AD69,Violation_Summary_Seller_Year!$K:$K,0)),0)</f>
        <v>1</v>
      </c>
      <c r="AB69">
        <f>IFERROR(INDEX(Violation_Summary_Seller_Year!$I:$I,MATCH(AD69,Violation_Summary_Seller_Year!$K:$K,0)),0)</f>
        <v>1</v>
      </c>
      <c r="AC69">
        <f>IFERROR(INDEX(Violation_Summary_Seller_Year!$J:$J,MATCH(AD69,Violation_Summary_Seller_Year!$K:$K,0)),0)</f>
        <v>19</v>
      </c>
      <c r="AD69" t="str">
        <f t="shared" si="8"/>
        <v>71_2021</v>
      </c>
      <c r="AE69">
        <f t="shared" si="9"/>
        <v>0</v>
      </c>
      <c r="AF69">
        <f t="shared" si="10"/>
        <v>1</v>
      </c>
      <c r="AG69">
        <f t="shared" si="11"/>
        <v>1</v>
      </c>
      <c r="AH69">
        <f t="shared" si="12"/>
        <v>0</v>
      </c>
      <c r="AI69">
        <f t="shared" si="13"/>
        <v>1</v>
      </c>
      <c r="AJ69">
        <f t="shared" si="14"/>
        <v>55</v>
      </c>
      <c r="AK69" t="str">
        <f t="shared" si="15"/>
        <v>Low</v>
      </c>
    </row>
    <row r="70" spans="1:37" x14ac:dyDescent="0.3">
      <c r="A70">
        <v>72</v>
      </c>
      <c r="B70">
        <v>2021</v>
      </c>
      <c r="C70">
        <v>395</v>
      </c>
      <c r="D70">
        <v>33</v>
      </c>
      <c r="E70">
        <v>31</v>
      </c>
      <c r="F70">
        <v>2065.5500000000002</v>
      </c>
      <c r="G70">
        <v>7.8480999999999995E-2</v>
      </c>
      <c r="H70">
        <v>15</v>
      </c>
      <c r="I70">
        <v>19</v>
      </c>
      <c r="J70">
        <v>9</v>
      </c>
      <c r="K70">
        <v>5</v>
      </c>
      <c r="L70">
        <v>1</v>
      </c>
      <c r="M70">
        <v>4</v>
      </c>
      <c r="N70">
        <v>3</v>
      </c>
      <c r="O70">
        <v>2</v>
      </c>
      <c r="P70" t="s">
        <v>85</v>
      </c>
      <c r="Q70" t="str">
        <f>VLOOKUP(A70,Cleaned_Seller_Master!$A:$H,2,FALSE)</f>
        <v>Pulse Commerce 072</v>
      </c>
      <c r="R70" t="str">
        <f>VLOOKUP(A70,Cleaned_Seller_Master!$A:$H,4,FALSE)</f>
        <v>Fashion</v>
      </c>
      <c r="S70" t="str">
        <f>VLOOKUP(A70,Cleaned_Seller_Master!$A:$H,5,FALSE)</f>
        <v>West</v>
      </c>
      <c r="T70" t="str">
        <f>VLOOKUP(A70,Cleaned_Seller_Master!$A:$H,8,FALSE)</f>
        <v>Premium</v>
      </c>
      <c r="U70" t="str">
        <f>VLOOKUP(A70,Cleaned_Seller_Master!$A:$H,7,FALSE)</f>
        <v>21-01-2018</v>
      </c>
      <c r="V70">
        <f>IFERROR(INDEX(Violation_Summary_Seller_Year!$C:$C,MATCH(AD70,Violation_Summary_Seller_Year!$K:$K,0)),0)</f>
        <v>3</v>
      </c>
      <c r="W70">
        <f>IFERROR(INDEX(Violation_Summary_Seller_Year!$D:$D,MATCH(AD70,Violation_Summary_Seller_Year!$K:$K,0)),0)</f>
        <v>8838.98</v>
      </c>
      <c r="X70">
        <f>IFERROR(INDEX(Violation_Summary_Seller_Year!$E:$E,MATCH(AD70,Violation_Summary_Seller_Year!$K:$K,0)),0)</f>
        <v>1</v>
      </c>
      <c r="Y70">
        <f>IFERROR(INDEX(Violation_Summary_Seller_Year!$F:$F,MATCH(AD70,Violation_Summary_Seller_Year!$K:$K,0)),0)</f>
        <v>3</v>
      </c>
      <c r="Z70">
        <f>IFERROR(INDEX(Violation_Summary_Seller_Year!$G:$G,MATCH(AD70,Violation_Summary_Seller_Year!$K:$K,0)),0)</f>
        <v>0</v>
      </c>
      <c r="AA70">
        <f>IFERROR(INDEX(Violation_Summary_Seller_Year!$H:$H,MATCH(AD70,Violation_Summary_Seller_Year!$K:$K,0)),0)</f>
        <v>3</v>
      </c>
      <c r="AB70">
        <f>IFERROR(INDEX(Violation_Summary_Seller_Year!$I:$I,MATCH(AD70,Violation_Summary_Seller_Year!$K:$K,0)),0)</f>
        <v>1</v>
      </c>
      <c r="AC70">
        <f>IFERROR(INDEX(Violation_Summary_Seller_Year!$J:$J,MATCH(AD70,Violation_Summary_Seller_Year!$K:$K,0)),0)</f>
        <v>46</v>
      </c>
      <c r="AD70" t="str">
        <f t="shared" si="8"/>
        <v>72_2021</v>
      </c>
      <c r="AE70">
        <f t="shared" si="9"/>
        <v>1</v>
      </c>
      <c r="AF70">
        <f t="shared" si="10"/>
        <v>2</v>
      </c>
      <c r="AG70">
        <f t="shared" si="11"/>
        <v>2</v>
      </c>
      <c r="AH70">
        <f t="shared" si="12"/>
        <v>2</v>
      </c>
      <c r="AI70">
        <f t="shared" si="13"/>
        <v>2</v>
      </c>
      <c r="AJ70">
        <f t="shared" si="14"/>
        <v>175</v>
      </c>
      <c r="AK70" t="str">
        <f t="shared" si="15"/>
        <v>High</v>
      </c>
    </row>
    <row r="71" spans="1:37" x14ac:dyDescent="0.3">
      <c r="A71">
        <v>73</v>
      </c>
      <c r="B71">
        <v>2021</v>
      </c>
      <c r="C71">
        <v>655</v>
      </c>
      <c r="D71">
        <v>50</v>
      </c>
      <c r="E71">
        <v>44</v>
      </c>
      <c r="F71">
        <v>4049.31</v>
      </c>
      <c r="G71">
        <v>6.7176E-2</v>
      </c>
      <c r="H71">
        <v>21</v>
      </c>
      <c r="I71">
        <v>22</v>
      </c>
      <c r="J71">
        <v>8</v>
      </c>
      <c r="K71">
        <v>8</v>
      </c>
      <c r="L71">
        <v>1</v>
      </c>
      <c r="M71">
        <v>4</v>
      </c>
      <c r="N71">
        <v>6</v>
      </c>
      <c r="O71">
        <v>3</v>
      </c>
      <c r="P71" t="s">
        <v>85</v>
      </c>
      <c r="Q71" t="str">
        <f>VLOOKUP(A71,Cleaned_Seller_Master!$A:$H,2,FALSE)</f>
        <v>Summit Bazaar 073</v>
      </c>
      <c r="R71" t="str">
        <f>VLOOKUP(A71,Cleaned_Seller_Master!$A:$H,4,FALSE)</f>
        <v>Electronics</v>
      </c>
      <c r="S71" t="str">
        <f>VLOOKUP(A71,Cleaned_Seller_Master!$A:$H,5,FALSE)</f>
        <v>West</v>
      </c>
      <c r="T71" t="str">
        <f>VLOOKUP(A71,Cleaned_Seller_Master!$A:$H,8,FALSE)</f>
        <v>Verified</v>
      </c>
      <c r="U71" t="str">
        <f>VLOOKUP(A71,Cleaned_Seller_Master!$A:$H,7,FALSE)</f>
        <v>23-08-2020</v>
      </c>
      <c r="V71">
        <f>IFERROR(INDEX(Violation_Summary_Seller_Year!$C:$C,MATCH(AD71,Violation_Summary_Seller_Year!$K:$K,0)),0)</f>
        <v>5</v>
      </c>
      <c r="W71">
        <f>IFERROR(INDEX(Violation_Summary_Seller_Year!$D:$D,MATCH(AD71,Violation_Summary_Seller_Year!$K:$K,0)),0)</f>
        <v>5697.9</v>
      </c>
      <c r="X71">
        <f>IFERROR(INDEX(Violation_Summary_Seller_Year!$E:$E,MATCH(AD71,Violation_Summary_Seller_Year!$K:$K,0)),0)</f>
        <v>2</v>
      </c>
      <c r="Y71">
        <f>IFERROR(INDEX(Violation_Summary_Seller_Year!$F:$F,MATCH(AD71,Violation_Summary_Seller_Year!$K:$K,0)),0)</f>
        <v>4</v>
      </c>
      <c r="Z71">
        <f>IFERROR(INDEX(Violation_Summary_Seller_Year!$G:$G,MATCH(AD71,Violation_Summary_Seller_Year!$K:$K,0)),0)</f>
        <v>1</v>
      </c>
      <c r="AA71">
        <f>IFERROR(INDEX(Violation_Summary_Seller_Year!$H:$H,MATCH(AD71,Violation_Summary_Seller_Year!$K:$K,0)),0)</f>
        <v>1</v>
      </c>
      <c r="AB71">
        <f>IFERROR(INDEX(Violation_Summary_Seller_Year!$I:$I,MATCH(AD71,Violation_Summary_Seller_Year!$K:$K,0)),0)</f>
        <v>1</v>
      </c>
      <c r="AC71">
        <f>IFERROR(INDEX(Violation_Summary_Seller_Year!$J:$J,MATCH(AD71,Violation_Summary_Seller_Year!$K:$K,0)),0)</f>
        <v>49</v>
      </c>
      <c r="AD71" t="str">
        <f t="shared" si="8"/>
        <v>73_2021</v>
      </c>
      <c r="AE71">
        <f t="shared" si="9"/>
        <v>1</v>
      </c>
      <c r="AF71">
        <f t="shared" si="10"/>
        <v>2</v>
      </c>
      <c r="AG71">
        <f t="shared" si="11"/>
        <v>2</v>
      </c>
      <c r="AH71">
        <f t="shared" si="12"/>
        <v>2</v>
      </c>
      <c r="AI71">
        <f t="shared" si="13"/>
        <v>2</v>
      </c>
      <c r="AJ71">
        <f t="shared" si="14"/>
        <v>175</v>
      </c>
      <c r="AK71" t="str">
        <f t="shared" si="15"/>
        <v>High</v>
      </c>
    </row>
    <row r="72" spans="1:37" x14ac:dyDescent="0.3">
      <c r="A72">
        <v>74</v>
      </c>
      <c r="B72">
        <v>2021</v>
      </c>
      <c r="C72">
        <v>369</v>
      </c>
      <c r="D72">
        <v>19</v>
      </c>
      <c r="E72">
        <v>17</v>
      </c>
      <c r="F72">
        <v>1315.93</v>
      </c>
      <c r="G72">
        <v>4.607E-2</v>
      </c>
      <c r="H72">
        <v>15</v>
      </c>
      <c r="I72">
        <v>15</v>
      </c>
      <c r="J72">
        <v>3</v>
      </c>
      <c r="K72">
        <v>5</v>
      </c>
      <c r="L72">
        <v>0</v>
      </c>
      <c r="M72">
        <v>2</v>
      </c>
      <c r="N72">
        <v>2</v>
      </c>
      <c r="O72">
        <v>0</v>
      </c>
      <c r="P72" t="s">
        <v>175</v>
      </c>
      <c r="Q72" t="str">
        <f>VLOOKUP(A72,Cleaned_Seller_Master!$A:$H,2,FALSE)</f>
        <v>Prime Bridge 074</v>
      </c>
      <c r="R72" t="str">
        <f>VLOOKUP(A72,Cleaned_Seller_Master!$A:$H,4,FALSE)</f>
        <v>Beauty</v>
      </c>
      <c r="S72" t="str">
        <f>VLOOKUP(A72,Cleaned_Seller_Master!$A:$H,5,FALSE)</f>
        <v>West</v>
      </c>
      <c r="T72" t="str">
        <f>VLOOKUP(A72,Cleaned_Seller_Master!$A:$H,8,FALSE)</f>
        <v>Premium</v>
      </c>
      <c r="U72" t="str">
        <f>VLOOKUP(A72,Cleaned_Seller_Master!$A:$H,7,FALSE)</f>
        <v>09-02-2019</v>
      </c>
      <c r="V72">
        <f>IFERROR(INDEX(Violation_Summary_Seller_Year!$C:$C,MATCH(AD72,Violation_Summary_Seller_Year!$K:$K,0)),0)</f>
        <v>1</v>
      </c>
      <c r="W72">
        <f>IFERROR(INDEX(Violation_Summary_Seller_Year!$D:$D,MATCH(AD72,Violation_Summary_Seller_Year!$K:$K,0)),0)</f>
        <v>1414.9</v>
      </c>
      <c r="X72">
        <f>IFERROR(INDEX(Violation_Summary_Seller_Year!$E:$E,MATCH(AD72,Violation_Summary_Seller_Year!$K:$K,0)),0)</f>
        <v>0</v>
      </c>
      <c r="Y72">
        <f>IFERROR(INDEX(Violation_Summary_Seller_Year!$F:$F,MATCH(AD72,Violation_Summary_Seller_Year!$K:$K,0)),0)</f>
        <v>0</v>
      </c>
      <c r="Z72">
        <f>IFERROR(INDEX(Violation_Summary_Seller_Year!$G:$G,MATCH(AD72,Violation_Summary_Seller_Year!$K:$K,0)),0)</f>
        <v>1</v>
      </c>
      <c r="AA72">
        <f>IFERROR(INDEX(Violation_Summary_Seller_Year!$H:$H,MATCH(AD72,Violation_Summary_Seller_Year!$K:$K,0)),0)</f>
        <v>1</v>
      </c>
      <c r="AB72">
        <f>IFERROR(INDEX(Violation_Summary_Seller_Year!$I:$I,MATCH(AD72,Violation_Summary_Seller_Year!$K:$K,0)),0)</f>
        <v>1</v>
      </c>
      <c r="AC72">
        <f>IFERROR(INDEX(Violation_Summary_Seller_Year!$J:$J,MATCH(AD72,Violation_Summary_Seller_Year!$K:$K,0)),0)</f>
        <v>6</v>
      </c>
      <c r="AD72" t="str">
        <f t="shared" si="8"/>
        <v>74_2021</v>
      </c>
      <c r="AE72">
        <f t="shared" si="9"/>
        <v>0</v>
      </c>
      <c r="AF72">
        <f t="shared" si="10"/>
        <v>2</v>
      </c>
      <c r="AG72">
        <f t="shared" si="11"/>
        <v>1</v>
      </c>
      <c r="AH72">
        <f t="shared" si="12"/>
        <v>0</v>
      </c>
      <c r="AI72">
        <f t="shared" si="13"/>
        <v>1</v>
      </c>
      <c r="AJ72">
        <f t="shared" si="14"/>
        <v>80</v>
      </c>
      <c r="AK72" t="str">
        <f t="shared" si="15"/>
        <v>Medium</v>
      </c>
    </row>
    <row r="73" spans="1:37" x14ac:dyDescent="0.3">
      <c r="A73">
        <v>75</v>
      </c>
      <c r="B73">
        <v>2021</v>
      </c>
      <c r="C73">
        <v>562</v>
      </c>
      <c r="D73">
        <v>28</v>
      </c>
      <c r="E73">
        <v>24</v>
      </c>
      <c r="F73">
        <v>2428.86</v>
      </c>
      <c r="G73">
        <v>4.2705E-2</v>
      </c>
      <c r="H73">
        <v>16</v>
      </c>
      <c r="I73">
        <v>18</v>
      </c>
      <c r="J73">
        <v>5</v>
      </c>
      <c r="K73">
        <v>7</v>
      </c>
      <c r="L73">
        <v>0</v>
      </c>
      <c r="M73">
        <v>2</v>
      </c>
      <c r="N73">
        <v>4</v>
      </c>
      <c r="O73">
        <v>1</v>
      </c>
      <c r="P73" t="s">
        <v>68</v>
      </c>
      <c r="Q73" t="str">
        <f>VLOOKUP(A73,Cleaned_Seller_Master!$A:$H,2,FALSE)</f>
        <v>Apex Retail 075</v>
      </c>
      <c r="R73" t="str">
        <f>VLOOKUP(A73,Cleaned_Seller_Master!$A:$H,4,FALSE)</f>
        <v>Fashion</v>
      </c>
      <c r="S73" t="str">
        <f>VLOOKUP(A73,Cleaned_Seller_Master!$A:$H,5,FALSE)</f>
        <v>Southeast Asia</v>
      </c>
      <c r="T73" t="str">
        <f>VLOOKUP(A73,Cleaned_Seller_Master!$A:$H,8,FALSE)</f>
        <v>Verified</v>
      </c>
      <c r="U73" t="str">
        <f>VLOOKUP(A73,Cleaned_Seller_Master!$A:$H,7,FALSE)</f>
        <v>15-03-2025</v>
      </c>
      <c r="V73">
        <f>IFERROR(INDEX(Violation_Summary_Seller_Year!$C:$C,MATCH(AD73,Violation_Summary_Seller_Year!$K:$K,0)),0)</f>
        <v>2</v>
      </c>
      <c r="W73">
        <f>IFERROR(INDEX(Violation_Summary_Seller_Year!$D:$D,MATCH(AD73,Violation_Summary_Seller_Year!$K:$K,0)),0)</f>
        <v>7886.49</v>
      </c>
      <c r="X73">
        <f>IFERROR(INDEX(Violation_Summary_Seller_Year!$E:$E,MATCH(AD73,Violation_Summary_Seller_Year!$K:$K,0)),0)</f>
        <v>0</v>
      </c>
      <c r="Y73">
        <f>IFERROR(INDEX(Violation_Summary_Seller_Year!$F:$F,MATCH(AD73,Violation_Summary_Seller_Year!$K:$K,0)),0)</f>
        <v>1</v>
      </c>
      <c r="Z73">
        <f>IFERROR(INDEX(Violation_Summary_Seller_Year!$G:$G,MATCH(AD73,Violation_Summary_Seller_Year!$K:$K,0)),0)</f>
        <v>1</v>
      </c>
      <c r="AA73">
        <f>IFERROR(INDEX(Violation_Summary_Seller_Year!$H:$H,MATCH(AD73,Violation_Summary_Seller_Year!$K:$K,0)),0)</f>
        <v>2</v>
      </c>
      <c r="AB73">
        <f>IFERROR(INDEX(Violation_Summary_Seller_Year!$I:$I,MATCH(AD73,Violation_Summary_Seller_Year!$K:$K,0)),0)</f>
        <v>1</v>
      </c>
      <c r="AC73">
        <f>IFERROR(INDEX(Violation_Summary_Seller_Year!$J:$J,MATCH(AD73,Violation_Summary_Seller_Year!$K:$K,0)),0)</f>
        <v>12</v>
      </c>
      <c r="AD73" t="str">
        <f t="shared" si="8"/>
        <v>75_2021</v>
      </c>
      <c r="AE73">
        <f t="shared" si="9"/>
        <v>0</v>
      </c>
      <c r="AF73">
        <f t="shared" si="10"/>
        <v>2</v>
      </c>
      <c r="AG73">
        <f t="shared" si="11"/>
        <v>2</v>
      </c>
      <c r="AH73">
        <f t="shared" si="12"/>
        <v>0</v>
      </c>
      <c r="AI73">
        <f t="shared" si="13"/>
        <v>1</v>
      </c>
      <c r="AJ73">
        <f t="shared" si="14"/>
        <v>100</v>
      </c>
      <c r="AK73" t="str">
        <f t="shared" si="15"/>
        <v>Medium</v>
      </c>
    </row>
    <row r="74" spans="1:37" x14ac:dyDescent="0.3">
      <c r="A74">
        <v>76</v>
      </c>
      <c r="B74">
        <v>2021</v>
      </c>
      <c r="C74">
        <v>2339</v>
      </c>
      <c r="D74">
        <v>171</v>
      </c>
      <c r="E74">
        <v>126</v>
      </c>
      <c r="F74">
        <v>9015.7900000000009</v>
      </c>
      <c r="G74">
        <v>5.3869E-2</v>
      </c>
      <c r="H74">
        <v>46</v>
      </c>
      <c r="I74">
        <v>64</v>
      </c>
      <c r="J74">
        <v>19</v>
      </c>
      <c r="K74">
        <v>18</v>
      </c>
      <c r="L74">
        <v>0</v>
      </c>
      <c r="M74">
        <v>3</v>
      </c>
      <c r="N74">
        <v>8</v>
      </c>
      <c r="O74">
        <v>8</v>
      </c>
      <c r="P74" t="s">
        <v>175</v>
      </c>
      <c r="Q74" t="str">
        <f>VLOOKUP(A74,Cleaned_Seller_Master!$A:$H,2,FALSE)</f>
        <v>Nimbus Market 076</v>
      </c>
      <c r="R74" t="str">
        <f>VLOOKUP(A74,Cleaned_Seller_Master!$A:$H,4,FALSE)</f>
        <v>Beauty</v>
      </c>
      <c r="S74" t="str">
        <f>VLOOKUP(A74,Cleaned_Seller_Master!$A:$H,5,FALSE)</f>
        <v>South</v>
      </c>
      <c r="T74" t="str">
        <f>VLOOKUP(A74,Cleaned_Seller_Master!$A:$H,8,FALSE)</f>
        <v>Premium</v>
      </c>
      <c r="U74" t="str">
        <f>VLOOKUP(A74,Cleaned_Seller_Master!$A:$H,7,FALSE)</f>
        <v>28-04-2023</v>
      </c>
      <c r="V74">
        <f>IFERROR(INDEX(Violation_Summary_Seller_Year!$C:$C,MATCH(AD74,Violation_Summary_Seller_Year!$K:$K,0)),0)</f>
        <v>3</v>
      </c>
      <c r="W74">
        <f>IFERROR(INDEX(Violation_Summary_Seller_Year!$D:$D,MATCH(AD74,Violation_Summary_Seller_Year!$K:$K,0)),0)</f>
        <v>2837.48</v>
      </c>
      <c r="X74">
        <f>IFERROR(INDEX(Violation_Summary_Seller_Year!$E:$E,MATCH(AD74,Violation_Summary_Seller_Year!$K:$K,0)),0)</f>
        <v>0</v>
      </c>
      <c r="Y74">
        <f>IFERROR(INDEX(Violation_Summary_Seller_Year!$F:$F,MATCH(AD74,Violation_Summary_Seller_Year!$K:$K,0)),0)</f>
        <v>3</v>
      </c>
      <c r="Z74">
        <f>IFERROR(INDEX(Violation_Summary_Seller_Year!$G:$G,MATCH(AD74,Violation_Summary_Seller_Year!$K:$K,0)),0)</f>
        <v>0</v>
      </c>
      <c r="AA74">
        <f>IFERROR(INDEX(Violation_Summary_Seller_Year!$H:$H,MATCH(AD74,Violation_Summary_Seller_Year!$K:$K,0)),0)</f>
        <v>1</v>
      </c>
      <c r="AB74">
        <f>IFERROR(INDEX(Violation_Summary_Seller_Year!$I:$I,MATCH(AD74,Violation_Summary_Seller_Year!$K:$K,0)),0)</f>
        <v>1</v>
      </c>
      <c r="AC74">
        <f>IFERROR(INDEX(Violation_Summary_Seller_Year!$J:$J,MATCH(AD74,Violation_Summary_Seller_Year!$K:$K,0)),0)</f>
        <v>30</v>
      </c>
      <c r="AD74" t="str">
        <f t="shared" si="8"/>
        <v>76_2021</v>
      </c>
      <c r="AE74">
        <f t="shared" si="9"/>
        <v>1</v>
      </c>
      <c r="AF74">
        <f t="shared" si="10"/>
        <v>2</v>
      </c>
      <c r="AG74">
        <f t="shared" si="11"/>
        <v>1</v>
      </c>
      <c r="AH74">
        <f t="shared" si="12"/>
        <v>0</v>
      </c>
      <c r="AI74">
        <f t="shared" si="13"/>
        <v>1</v>
      </c>
      <c r="AJ74">
        <f t="shared" si="14"/>
        <v>105</v>
      </c>
      <c r="AK74" t="str">
        <f t="shared" si="15"/>
        <v>Medium</v>
      </c>
    </row>
    <row r="75" spans="1:37" x14ac:dyDescent="0.3">
      <c r="A75">
        <v>77</v>
      </c>
      <c r="B75">
        <v>2021</v>
      </c>
      <c r="C75">
        <v>1321</v>
      </c>
      <c r="D75">
        <v>86</v>
      </c>
      <c r="E75">
        <v>79</v>
      </c>
      <c r="F75">
        <v>4487.67</v>
      </c>
      <c r="G75">
        <v>5.9803000000000002E-2</v>
      </c>
      <c r="H75">
        <v>12</v>
      </c>
      <c r="I75">
        <v>34</v>
      </c>
      <c r="J75">
        <v>15</v>
      </c>
      <c r="K75">
        <v>4</v>
      </c>
      <c r="L75">
        <v>0</v>
      </c>
      <c r="M75">
        <v>2</v>
      </c>
      <c r="N75">
        <v>1</v>
      </c>
      <c r="O75">
        <v>6</v>
      </c>
      <c r="P75" t="s">
        <v>175</v>
      </c>
      <c r="Q75" t="str">
        <f>VLOOKUP(A75,Cleaned_Seller_Master!$A:$H,2,FALSE)</f>
        <v>Metro Point 077</v>
      </c>
      <c r="R75" t="str">
        <f>VLOOKUP(A75,Cleaned_Seller_Master!$A:$H,4,FALSE)</f>
        <v>Beauty</v>
      </c>
      <c r="S75" t="str">
        <f>VLOOKUP(A75,Cleaned_Seller_Master!$A:$H,5,FALSE)</f>
        <v>West</v>
      </c>
      <c r="T75" t="str">
        <f>VLOOKUP(A75,Cleaned_Seller_Master!$A:$H,8,FALSE)</f>
        <v>Premium</v>
      </c>
      <c r="U75" t="str">
        <f>VLOOKUP(A75,Cleaned_Seller_Master!$A:$H,7,FALSE)</f>
        <v>19-09-2019</v>
      </c>
      <c r="V75">
        <f>IFERROR(INDEX(Violation_Summary_Seller_Year!$C:$C,MATCH(AD75,Violation_Summary_Seller_Year!$K:$K,0)),0)</f>
        <v>1</v>
      </c>
      <c r="W75">
        <f>IFERROR(INDEX(Violation_Summary_Seller_Year!$D:$D,MATCH(AD75,Violation_Summary_Seller_Year!$K:$K,0)),0)</f>
        <v>767.21</v>
      </c>
      <c r="X75">
        <f>IFERROR(INDEX(Violation_Summary_Seller_Year!$E:$E,MATCH(AD75,Violation_Summary_Seller_Year!$K:$K,0)),0)</f>
        <v>0</v>
      </c>
      <c r="Y75">
        <f>IFERROR(INDEX(Violation_Summary_Seller_Year!$F:$F,MATCH(AD75,Violation_Summary_Seller_Year!$K:$K,0)),0)</f>
        <v>0</v>
      </c>
      <c r="Z75">
        <f>IFERROR(INDEX(Violation_Summary_Seller_Year!$G:$G,MATCH(AD75,Violation_Summary_Seller_Year!$K:$K,0)),0)</f>
        <v>1</v>
      </c>
      <c r="AA75">
        <f>IFERROR(INDEX(Violation_Summary_Seller_Year!$H:$H,MATCH(AD75,Violation_Summary_Seller_Year!$K:$K,0)),0)</f>
        <v>0</v>
      </c>
      <c r="AB75">
        <f>IFERROR(INDEX(Violation_Summary_Seller_Year!$I:$I,MATCH(AD75,Violation_Summary_Seller_Year!$K:$K,0)),0)</f>
        <v>0</v>
      </c>
      <c r="AC75">
        <f>IFERROR(INDEX(Violation_Summary_Seller_Year!$J:$J,MATCH(AD75,Violation_Summary_Seller_Year!$K:$K,0)),0)</f>
        <v>10</v>
      </c>
      <c r="AD75" t="str">
        <f t="shared" si="8"/>
        <v>77_2021</v>
      </c>
      <c r="AE75">
        <f t="shared" si="9"/>
        <v>1</v>
      </c>
      <c r="AF75">
        <f t="shared" si="10"/>
        <v>2</v>
      </c>
      <c r="AG75">
        <f t="shared" si="11"/>
        <v>0</v>
      </c>
      <c r="AH75">
        <f t="shared" si="12"/>
        <v>0</v>
      </c>
      <c r="AI75">
        <f t="shared" si="13"/>
        <v>1</v>
      </c>
      <c r="AJ75">
        <f t="shared" si="14"/>
        <v>85</v>
      </c>
      <c r="AK75" t="str">
        <f t="shared" si="15"/>
        <v>Medium</v>
      </c>
    </row>
    <row r="76" spans="1:37" x14ac:dyDescent="0.3">
      <c r="A76">
        <v>78</v>
      </c>
      <c r="B76">
        <v>2021</v>
      </c>
      <c r="C76">
        <v>1530</v>
      </c>
      <c r="D76">
        <v>102</v>
      </c>
      <c r="E76">
        <v>84</v>
      </c>
      <c r="F76">
        <v>2728.15</v>
      </c>
      <c r="G76">
        <v>5.4901999999999999E-2</v>
      </c>
      <c r="H76">
        <v>24</v>
      </c>
      <c r="I76">
        <v>35</v>
      </c>
      <c r="J76">
        <v>15</v>
      </c>
      <c r="K76">
        <v>9</v>
      </c>
      <c r="L76">
        <v>0</v>
      </c>
      <c r="M76">
        <v>4</v>
      </c>
      <c r="N76">
        <v>3</v>
      </c>
      <c r="O76">
        <v>3</v>
      </c>
      <c r="P76" t="s">
        <v>175</v>
      </c>
      <c r="Q76" t="str">
        <f>VLOOKUP(A76,Cleaned_Seller_Master!$A:$H,2,FALSE)</f>
        <v>Luna Stores 078</v>
      </c>
      <c r="R76" t="str">
        <f>VLOOKUP(A76,Cleaned_Seller_Master!$A:$H,4,FALSE)</f>
        <v>Beauty</v>
      </c>
      <c r="S76" t="str">
        <f>VLOOKUP(A76,Cleaned_Seller_Master!$A:$H,5,FALSE)</f>
        <v>West</v>
      </c>
      <c r="T76" t="str">
        <f>VLOOKUP(A76,Cleaned_Seller_Master!$A:$H,8,FALSE)</f>
        <v>Standard</v>
      </c>
      <c r="U76" t="str">
        <f>VLOOKUP(A76,Cleaned_Seller_Master!$A:$H,7,FALSE)</f>
        <v>26-08-2019</v>
      </c>
      <c r="V76">
        <f>IFERROR(INDEX(Violation_Summary_Seller_Year!$C:$C,MATCH(AD76,Violation_Summary_Seller_Year!$K:$K,0)),0)</f>
        <v>1</v>
      </c>
      <c r="W76">
        <f>IFERROR(INDEX(Violation_Summary_Seller_Year!$D:$D,MATCH(AD76,Violation_Summary_Seller_Year!$K:$K,0)),0)</f>
        <v>1387.52</v>
      </c>
      <c r="X76">
        <f>IFERROR(INDEX(Violation_Summary_Seller_Year!$E:$E,MATCH(AD76,Violation_Summary_Seller_Year!$K:$K,0)),0)</f>
        <v>0</v>
      </c>
      <c r="Y76">
        <f>IFERROR(INDEX(Violation_Summary_Seller_Year!$F:$F,MATCH(AD76,Violation_Summary_Seller_Year!$K:$K,0)),0)</f>
        <v>1</v>
      </c>
      <c r="Z76">
        <f>IFERROR(INDEX(Violation_Summary_Seller_Year!$G:$G,MATCH(AD76,Violation_Summary_Seller_Year!$K:$K,0)),0)</f>
        <v>0</v>
      </c>
      <c r="AA76">
        <f>IFERROR(INDEX(Violation_Summary_Seller_Year!$H:$H,MATCH(AD76,Violation_Summary_Seller_Year!$K:$K,0)),0)</f>
        <v>0</v>
      </c>
      <c r="AB76">
        <f>IFERROR(INDEX(Violation_Summary_Seller_Year!$I:$I,MATCH(AD76,Violation_Summary_Seller_Year!$K:$K,0)),0)</f>
        <v>0</v>
      </c>
      <c r="AC76">
        <f>IFERROR(INDEX(Violation_Summary_Seller_Year!$J:$J,MATCH(AD76,Violation_Summary_Seller_Year!$K:$K,0)),0)</f>
        <v>10</v>
      </c>
      <c r="AD76" t="str">
        <f t="shared" si="8"/>
        <v>78_2021</v>
      </c>
      <c r="AE76">
        <f t="shared" si="9"/>
        <v>1</v>
      </c>
      <c r="AF76">
        <f t="shared" si="10"/>
        <v>2</v>
      </c>
      <c r="AG76">
        <f t="shared" si="11"/>
        <v>0</v>
      </c>
      <c r="AH76">
        <f t="shared" si="12"/>
        <v>0</v>
      </c>
      <c r="AI76">
        <f t="shared" si="13"/>
        <v>1</v>
      </c>
      <c r="AJ76">
        <f t="shared" si="14"/>
        <v>85</v>
      </c>
      <c r="AK76" t="str">
        <f t="shared" si="15"/>
        <v>Medium</v>
      </c>
    </row>
    <row r="77" spans="1:37" x14ac:dyDescent="0.3">
      <c r="A77">
        <v>79</v>
      </c>
      <c r="B77">
        <v>2021</v>
      </c>
      <c r="C77">
        <v>1072</v>
      </c>
      <c r="D77">
        <v>76</v>
      </c>
      <c r="E77">
        <v>69</v>
      </c>
      <c r="F77">
        <v>2897.01</v>
      </c>
      <c r="G77">
        <v>6.4366000000000007E-2</v>
      </c>
      <c r="H77">
        <v>22</v>
      </c>
      <c r="I77">
        <v>26</v>
      </c>
      <c r="J77">
        <v>11</v>
      </c>
      <c r="K77">
        <v>7</v>
      </c>
      <c r="L77">
        <v>0</v>
      </c>
      <c r="M77">
        <v>2</v>
      </c>
      <c r="N77">
        <v>4</v>
      </c>
      <c r="O77">
        <v>3</v>
      </c>
      <c r="P77" t="s">
        <v>68</v>
      </c>
      <c r="Q77" t="str">
        <f>VLOOKUP(A77,Cleaned_Seller_Master!$A:$H,2,FALSE)</f>
        <v>Elite Link 079</v>
      </c>
      <c r="R77" t="str">
        <f>VLOOKUP(A77,Cleaned_Seller_Master!$A:$H,4,FALSE)</f>
        <v>Groceries</v>
      </c>
      <c r="S77" t="str">
        <f>VLOOKUP(A77,Cleaned_Seller_Master!$A:$H,5,FALSE)</f>
        <v>West</v>
      </c>
      <c r="T77" t="str">
        <f>VLOOKUP(A77,Cleaned_Seller_Master!$A:$H,8,FALSE)</f>
        <v>Verified</v>
      </c>
      <c r="U77" t="str">
        <f>VLOOKUP(A77,Cleaned_Seller_Master!$A:$H,7,FALSE)</f>
        <v>02-09-2025</v>
      </c>
      <c r="V77">
        <f>IFERROR(INDEX(Violation_Summary_Seller_Year!$C:$C,MATCH(AD77,Violation_Summary_Seller_Year!$K:$K,0)),0)</f>
        <v>2</v>
      </c>
      <c r="W77">
        <f>IFERROR(INDEX(Violation_Summary_Seller_Year!$D:$D,MATCH(AD77,Violation_Summary_Seller_Year!$K:$K,0)),0)</f>
        <v>4616.83</v>
      </c>
      <c r="X77">
        <f>IFERROR(INDEX(Violation_Summary_Seller_Year!$E:$E,MATCH(AD77,Violation_Summary_Seller_Year!$K:$K,0)),0)</f>
        <v>0</v>
      </c>
      <c r="Y77">
        <f>IFERROR(INDEX(Violation_Summary_Seller_Year!$F:$F,MATCH(AD77,Violation_Summary_Seller_Year!$K:$K,0)),0)</f>
        <v>2</v>
      </c>
      <c r="Z77">
        <f>IFERROR(INDEX(Violation_Summary_Seller_Year!$G:$G,MATCH(AD77,Violation_Summary_Seller_Year!$K:$K,0)),0)</f>
        <v>0</v>
      </c>
      <c r="AA77">
        <f>IFERROR(INDEX(Violation_Summary_Seller_Year!$H:$H,MATCH(AD77,Violation_Summary_Seller_Year!$K:$K,0)),0)</f>
        <v>1</v>
      </c>
      <c r="AB77">
        <f>IFERROR(INDEX(Violation_Summary_Seller_Year!$I:$I,MATCH(AD77,Violation_Summary_Seller_Year!$K:$K,0)),0)</f>
        <v>1</v>
      </c>
      <c r="AC77">
        <f>IFERROR(INDEX(Violation_Summary_Seller_Year!$J:$J,MATCH(AD77,Violation_Summary_Seller_Year!$K:$K,0)),0)</f>
        <v>24</v>
      </c>
      <c r="AD77" t="str">
        <f t="shared" si="8"/>
        <v>79_2021</v>
      </c>
      <c r="AE77">
        <f t="shared" si="9"/>
        <v>1</v>
      </c>
      <c r="AF77">
        <f t="shared" si="10"/>
        <v>2</v>
      </c>
      <c r="AG77">
        <f t="shared" si="11"/>
        <v>1</v>
      </c>
      <c r="AH77">
        <f t="shared" si="12"/>
        <v>0</v>
      </c>
      <c r="AI77">
        <f t="shared" si="13"/>
        <v>1</v>
      </c>
      <c r="AJ77">
        <f t="shared" si="14"/>
        <v>105</v>
      </c>
      <c r="AK77" t="str">
        <f t="shared" si="15"/>
        <v>Medium</v>
      </c>
    </row>
    <row r="78" spans="1:37" x14ac:dyDescent="0.3">
      <c r="A78">
        <v>80</v>
      </c>
      <c r="B78">
        <v>2021</v>
      </c>
      <c r="C78">
        <v>440</v>
      </c>
      <c r="D78">
        <v>20</v>
      </c>
      <c r="E78">
        <v>15</v>
      </c>
      <c r="F78">
        <v>1437.25</v>
      </c>
      <c r="G78">
        <v>3.4091000000000003E-2</v>
      </c>
      <c r="H78">
        <v>5</v>
      </c>
      <c r="I78">
        <v>9</v>
      </c>
      <c r="J78">
        <v>4</v>
      </c>
      <c r="K78">
        <v>3</v>
      </c>
      <c r="L78">
        <v>0</v>
      </c>
      <c r="M78">
        <v>1</v>
      </c>
      <c r="N78">
        <v>2</v>
      </c>
      <c r="O78">
        <v>0</v>
      </c>
      <c r="P78" t="s">
        <v>175</v>
      </c>
      <c r="Q78" t="str">
        <f>VLOOKUP(A78,Cleaned_Seller_Master!$A:$H,2,FALSE)</f>
        <v>Nova Cart 080</v>
      </c>
      <c r="R78" t="str">
        <f>VLOOKUP(A78,Cleaned_Seller_Master!$A:$H,4,FALSE)</f>
        <v>Electronics</v>
      </c>
      <c r="S78" t="str">
        <f>VLOOKUP(A78,Cleaned_Seller_Master!$A:$H,5,FALSE)</f>
        <v>North</v>
      </c>
      <c r="T78" t="str">
        <f>VLOOKUP(A78,Cleaned_Seller_Master!$A:$H,8,FALSE)</f>
        <v>Verified</v>
      </c>
      <c r="U78" t="str">
        <f>VLOOKUP(A78,Cleaned_Seller_Master!$A:$H,7,FALSE)</f>
        <v>10-12-2019</v>
      </c>
      <c r="V78">
        <f>IFERROR(INDEX(Violation_Summary_Seller_Year!$C:$C,MATCH(AD78,Violation_Summary_Seller_Year!$K:$K,0)),0)</f>
        <v>1</v>
      </c>
      <c r="W78">
        <f>IFERROR(INDEX(Violation_Summary_Seller_Year!$D:$D,MATCH(AD78,Violation_Summary_Seller_Year!$K:$K,0)),0)</f>
        <v>189.02</v>
      </c>
      <c r="X78">
        <f>IFERROR(INDEX(Violation_Summary_Seller_Year!$E:$E,MATCH(AD78,Violation_Summary_Seller_Year!$K:$K,0)),0)</f>
        <v>0</v>
      </c>
      <c r="Y78">
        <f>IFERROR(INDEX(Violation_Summary_Seller_Year!$F:$F,MATCH(AD78,Violation_Summary_Seller_Year!$K:$K,0)),0)</f>
        <v>1</v>
      </c>
      <c r="Z78">
        <f>IFERROR(INDEX(Violation_Summary_Seller_Year!$G:$G,MATCH(AD78,Violation_Summary_Seller_Year!$K:$K,0)),0)</f>
        <v>0</v>
      </c>
      <c r="AA78">
        <f>IFERROR(INDEX(Violation_Summary_Seller_Year!$H:$H,MATCH(AD78,Violation_Summary_Seller_Year!$K:$K,0)),0)</f>
        <v>0</v>
      </c>
      <c r="AB78">
        <f>IFERROR(INDEX(Violation_Summary_Seller_Year!$I:$I,MATCH(AD78,Violation_Summary_Seller_Year!$K:$K,0)),0)</f>
        <v>0</v>
      </c>
      <c r="AC78">
        <f>IFERROR(INDEX(Violation_Summary_Seller_Year!$J:$J,MATCH(AD78,Violation_Summary_Seller_Year!$K:$K,0)),0)</f>
        <v>8</v>
      </c>
      <c r="AD78" t="str">
        <f t="shared" si="8"/>
        <v>80_2021</v>
      </c>
      <c r="AE78">
        <f t="shared" si="9"/>
        <v>0</v>
      </c>
      <c r="AF78">
        <f t="shared" si="10"/>
        <v>1</v>
      </c>
      <c r="AG78">
        <f t="shared" si="11"/>
        <v>0</v>
      </c>
      <c r="AH78">
        <f t="shared" si="12"/>
        <v>0</v>
      </c>
      <c r="AI78">
        <f t="shared" si="13"/>
        <v>1</v>
      </c>
      <c r="AJ78">
        <f t="shared" si="14"/>
        <v>35</v>
      </c>
      <c r="AK78" t="str">
        <f t="shared" si="15"/>
        <v>Low</v>
      </c>
    </row>
    <row r="79" spans="1:37" x14ac:dyDescent="0.3">
      <c r="A79">
        <v>81</v>
      </c>
      <c r="B79">
        <v>2021</v>
      </c>
      <c r="C79">
        <v>222</v>
      </c>
      <c r="D79">
        <v>19</v>
      </c>
      <c r="E79">
        <v>17</v>
      </c>
      <c r="F79">
        <v>1839.25</v>
      </c>
      <c r="G79">
        <v>7.6577000000000006E-2</v>
      </c>
      <c r="H79">
        <v>12</v>
      </c>
      <c r="I79">
        <v>12</v>
      </c>
      <c r="J79">
        <v>4</v>
      </c>
      <c r="K79">
        <v>5</v>
      </c>
      <c r="L79">
        <v>1</v>
      </c>
      <c r="M79">
        <v>5</v>
      </c>
      <c r="N79">
        <v>4</v>
      </c>
      <c r="O79">
        <v>3</v>
      </c>
      <c r="P79" t="s">
        <v>85</v>
      </c>
      <c r="Q79" t="str">
        <f>VLOOKUP(A79,Cleaned_Seller_Master!$A:$H,2,FALSE)</f>
        <v>Swift Goods 081</v>
      </c>
      <c r="R79" t="str">
        <f>VLOOKUP(A79,Cleaned_Seller_Master!$A:$H,4,FALSE)</f>
        <v>Groceries</v>
      </c>
      <c r="S79" t="str">
        <f>VLOOKUP(A79,Cleaned_Seller_Master!$A:$H,5,FALSE)</f>
        <v>West</v>
      </c>
      <c r="T79" t="str">
        <f>VLOOKUP(A79,Cleaned_Seller_Master!$A:$H,8,FALSE)</f>
        <v>Verified</v>
      </c>
      <c r="U79" t="str">
        <f>VLOOKUP(A79,Cleaned_Seller_Master!$A:$H,7,FALSE)</f>
        <v>06-03-2019</v>
      </c>
      <c r="V79">
        <f>IFERROR(INDEX(Violation_Summary_Seller_Year!$C:$C,MATCH(AD79,Violation_Summary_Seller_Year!$K:$K,0)),0)</f>
        <v>5</v>
      </c>
      <c r="W79">
        <f>IFERROR(INDEX(Violation_Summary_Seller_Year!$D:$D,MATCH(AD79,Violation_Summary_Seller_Year!$K:$K,0)),0)</f>
        <v>17354.829999999998</v>
      </c>
      <c r="X79">
        <f>IFERROR(INDEX(Violation_Summary_Seller_Year!$E:$E,MATCH(AD79,Violation_Summary_Seller_Year!$K:$K,0)),0)</f>
        <v>2</v>
      </c>
      <c r="Y79">
        <f>IFERROR(INDEX(Violation_Summary_Seller_Year!$F:$F,MATCH(AD79,Violation_Summary_Seller_Year!$K:$K,0)),0)</f>
        <v>3</v>
      </c>
      <c r="Z79">
        <f>IFERROR(INDEX(Violation_Summary_Seller_Year!$G:$G,MATCH(AD79,Violation_Summary_Seller_Year!$K:$K,0)),0)</f>
        <v>2</v>
      </c>
      <c r="AA79">
        <f>IFERROR(INDEX(Violation_Summary_Seller_Year!$H:$H,MATCH(AD79,Violation_Summary_Seller_Year!$K:$K,0)),0)</f>
        <v>4</v>
      </c>
      <c r="AB79">
        <f>IFERROR(INDEX(Violation_Summary_Seller_Year!$I:$I,MATCH(AD79,Violation_Summary_Seller_Year!$K:$K,0)),0)</f>
        <v>1</v>
      </c>
      <c r="AC79">
        <f>IFERROR(INDEX(Violation_Summary_Seller_Year!$J:$J,MATCH(AD79,Violation_Summary_Seller_Year!$K:$K,0)),0)</f>
        <v>51</v>
      </c>
      <c r="AD79" t="str">
        <f t="shared" si="8"/>
        <v>81_2021</v>
      </c>
      <c r="AE79">
        <f t="shared" si="9"/>
        <v>1</v>
      </c>
      <c r="AF79">
        <f t="shared" si="10"/>
        <v>2</v>
      </c>
      <c r="AG79">
        <f t="shared" si="11"/>
        <v>2</v>
      </c>
      <c r="AH79">
        <f t="shared" si="12"/>
        <v>2</v>
      </c>
      <c r="AI79">
        <f t="shared" si="13"/>
        <v>2</v>
      </c>
      <c r="AJ79">
        <f t="shared" si="14"/>
        <v>175</v>
      </c>
      <c r="AK79" t="str">
        <f t="shared" si="15"/>
        <v>High</v>
      </c>
    </row>
    <row r="80" spans="1:37" x14ac:dyDescent="0.3">
      <c r="A80">
        <v>82</v>
      </c>
      <c r="B80">
        <v>2021</v>
      </c>
      <c r="C80">
        <v>1079</v>
      </c>
      <c r="D80">
        <v>60</v>
      </c>
      <c r="E80">
        <v>50</v>
      </c>
      <c r="F80">
        <v>2082.5300000000002</v>
      </c>
      <c r="G80">
        <v>4.6338999999999998E-2</v>
      </c>
      <c r="H80">
        <v>9</v>
      </c>
      <c r="I80">
        <v>29</v>
      </c>
      <c r="J80">
        <v>7</v>
      </c>
      <c r="K80">
        <v>5</v>
      </c>
      <c r="L80">
        <v>1</v>
      </c>
      <c r="M80">
        <v>1</v>
      </c>
      <c r="N80">
        <v>2</v>
      </c>
      <c r="O80">
        <v>2</v>
      </c>
      <c r="P80" t="s">
        <v>85</v>
      </c>
      <c r="Q80" t="str">
        <f>VLOOKUP(A80,Cleaned_Seller_Master!$A:$H,2,FALSE)</f>
        <v>Blue Source 082</v>
      </c>
      <c r="R80" t="str">
        <f>VLOOKUP(A80,Cleaned_Seller_Master!$A:$H,4,FALSE)</f>
        <v>Home</v>
      </c>
      <c r="S80" t="str">
        <f>VLOOKUP(A80,Cleaned_Seller_Master!$A:$H,5,FALSE)</f>
        <v>East</v>
      </c>
      <c r="T80" t="str">
        <f>VLOOKUP(A80,Cleaned_Seller_Master!$A:$H,8,FALSE)</f>
        <v>Verified</v>
      </c>
      <c r="U80" t="str">
        <f>VLOOKUP(A80,Cleaned_Seller_Master!$A:$H,7,FALSE)</f>
        <v>01-11-2021</v>
      </c>
      <c r="V80">
        <f>IFERROR(INDEX(Violation_Summary_Seller_Year!$C:$C,MATCH(AD80,Violation_Summary_Seller_Year!$K:$K,0)),0)</f>
        <v>3</v>
      </c>
      <c r="W80">
        <f>IFERROR(INDEX(Violation_Summary_Seller_Year!$D:$D,MATCH(AD80,Violation_Summary_Seller_Year!$K:$K,0)),0)</f>
        <v>1037.3499999999999</v>
      </c>
      <c r="X80">
        <f>IFERROR(INDEX(Violation_Summary_Seller_Year!$E:$E,MATCH(AD80,Violation_Summary_Seller_Year!$K:$K,0)),0)</f>
        <v>1</v>
      </c>
      <c r="Y80">
        <f>IFERROR(INDEX(Violation_Summary_Seller_Year!$F:$F,MATCH(AD80,Violation_Summary_Seller_Year!$K:$K,0)),0)</f>
        <v>2</v>
      </c>
      <c r="Z80">
        <f>IFERROR(INDEX(Violation_Summary_Seller_Year!$G:$G,MATCH(AD80,Violation_Summary_Seller_Year!$K:$K,0)),0)</f>
        <v>1</v>
      </c>
      <c r="AA80">
        <f>IFERROR(INDEX(Violation_Summary_Seller_Year!$H:$H,MATCH(AD80,Violation_Summary_Seller_Year!$K:$K,0)),0)</f>
        <v>0</v>
      </c>
      <c r="AB80">
        <f>IFERROR(INDEX(Violation_Summary_Seller_Year!$I:$I,MATCH(AD80,Violation_Summary_Seller_Year!$K:$K,0)),0)</f>
        <v>1</v>
      </c>
      <c r="AC80">
        <f>IFERROR(INDEX(Violation_Summary_Seller_Year!$J:$J,MATCH(AD80,Violation_Summary_Seller_Year!$K:$K,0)),0)</f>
        <v>18</v>
      </c>
      <c r="AD80" t="str">
        <f t="shared" si="8"/>
        <v>82_2021</v>
      </c>
      <c r="AE80">
        <f t="shared" si="9"/>
        <v>0</v>
      </c>
      <c r="AF80">
        <f t="shared" si="10"/>
        <v>2</v>
      </c>
      <c r="AG80">
        <f t="shared" si="11"/>
        <v>1</v>
      </c>
      <c r="AH80">
        <f t="shared" si="12"/>
        <v>2</v>
      </c>
      <c r="AI80">
        <f t="shared" si="13"/>
        <v>2</v>
      </c>
      <c r="AJ80">
        <f t="shared" si="14"/>
        <v>130</v>
      </c>
      <c r="AK80" t="str">
        <f t="shared" si="15"/>
        <v>High</v>
      </c>
    </row>
    <row r="81" spans="1:37" x14ac:dyDescent="0.3">
      <c r="A81">
        <v>83</v>
      </c>
      <c r="B81">
        <v>2021</v>
      </c>
      <c r="C81">
        <v>492</v>
      </c>
      <c r="D81">
        <v>41</v>
      </c>
      <c r="E81">
        <v>37</v>
      </c>
      <c r="F81">
        <v>3815.66</v>
      </c>
      <c r="G81">
        <v>7.5203000000000006E-2</v>
      </c>
      <c r="H81">
        <v>9</v>
      </c>
      <c r="I81">
        <v>13</v>
      </c>
      <c r="J81">
        <v>6</v>
      </c>
      <c r="K81">
        <v>6</v>
      </c>
      <c r="L81">
        <v>1</v>
      </c>
      <c r="M81">
        <v>5</v>
      </c>
      <c r="N81">
        <v>4</v>
      </c>
      <c r="O81">
        <v>3</v>
      </c>
      <c r="P81" t="s">
        <v>85</v>
      </c>
      <c r="Q81" t="str">
        <f>VLOOKUP(A81,Cleaned_Seller_Master!$A:$H,2,FALSE)</f>
        <v>Vertex Supply 083</v>
      </c>
      <c r="R81" t="str">
        <f>VLOOKUP(A81,Cleaned_Seller_Master!$A:$H,4,FALSE)</f>
        <v>Groceries</v>
      </c>
      <c r="S81" t="str">
        <f>VLOOKUP(A81,Cleaned_Seller_Master!$A:$H,5,FALSE)</f>
        <v>East</v>
      </c>
      <c r="T81" t="str">
        <f>VLOOKUP(A81,Cleaned_Seller_Master!$A:$H,8,FALSE)</f>
        <v>Verified</v>
      </c>
      <c r="U81" t="str">
        <f>VLOOKUP(A81,Cleaned_Seller_Master!$A:$H,7,FALSE)</f>
        <v>28-08-2022</v>
      </c>
      <c r="V81">
        <f>IFERROR(INDEX(Violation_Summary_Seller_Year!$C:$C,MATCH(AD81,Violation_Summary_Seller_Year!$K:$K,0)),0)</f>
        <v>6</v>
      </c>
      <c r="W81">
        <f>IFERROR(INDEX(Violation_Summary_Seller_Year!$D:$D,MATCH(AD81,Violation_Summary_Seller_Year!$K:$K,0)),0)</f>
        <v>18947.88</v>
      </c>
      <c r="X81">
        <f>IFERROR(INDEX(Violation_Summary_Seller_Year!$E:$E,MATCH(AD81,Violation_Summary_Seller_Year!$K:$K,0)),0)</f>
        <v>4</v>
      </c>
      <c r="Y81">
        <f>IFERROR(INDEX(Violation_Summary_Seller_Year!$F:$F,MATCH(AD81,Violation_Summary_Seller_Year!$K:$K,0)),0)</f>
        <v>3</v>
      </c>
      <c r="Z81">
        <f>IFERROR(INDEX(Violation_Summary_Seller_Year!$G:$G,MATCH(AD81,Violation_Summary_Seller_Year!$K:$K,0)),0)</f>
        <v>3</v>
      </c>
      <c r="AA81">
        <f>IFERROR(INDEX(Violation_Summary_Seller_Year!$H:$H,MATCH(AD81,Violation_Summary_Seller_Year!$K:$K,0)),0)</f>
        <v>4</v>
      </c>
      <c r="AB81">
        <f>IFERROR(INDEX(Violation_Summary_Seller_Year!$I:$I,MATCH(AD81,Violation_Summary_Seller_Year!$K:$K,0)),0)</f>
        <v>3</v>
      </c>
      <c r="AC81">
        <f>IFERROR(INDEX(Violation_Summary_Seller_Year!$J:$J,MATCH(AD81,Violation_Summary_Seller_Year!$K:$K,0)),0)</f>
        <v>53</v>
      </c>
      <c r="AD81" t="str">
        <f t="shared" si="8"/>
        <v>83_2021</v>
      </c>
      <c r="AE81">
        <f t="shared" si="9"/>
        <v>1</v>
      </c>
      <c r="AF81">
        <f t="shared" si="10"/>
        <v>2</v>
      </c>
      <c r="AG81">
        <f t="shared" si="11"/>
        <v>2</v>
      </c>
      <c r="AH81">
        <f t="shared" si="12"/>
        <v>2</v>
      </c>
      <c r="AI81">
        <f t="shared" si="13"/>
        <v>2</v>
      </c>
      <c r="AJ81">
        <f t="shared" si="14"/>
        <v>175</v>
      </c>
      <c r="AK81" t="str">
        <f t="shared" si="15"/>
        <v>High</v>
      </c>
    </row>
    <row r="82" spans="1:37" x14ac:dyDescent="0.3">
      <c r="A82">
        <v>84</v>
      </c>
      <c r="B82">
        <v>2021</v>
      </c>
      <c r="C82">
        <v>579</v>
      </c>
      <c r="D82">
        <v>29</v>
      </c>
      <c r="E82">
        <v>28</v>
      </c>
      <c r="F82">
        <v>2580.8200000000002</v>
      </c>
      <c r="G82">
        <v>4.8358999999999999E-2</v>
      </c>
      <c r="H82">
        <v>12</v>
      </c>
      <c r="I82">
        <v>20</v>
      </c>
      <c r="J82">
        <v>6</v>
      </c>
      <c r="K82">
        <v>11</v>
      </c>
      <c r="L82">
        <v>0</v>
      </c>
      <c r="M82">
        <v>3</v>
      </c>
      <c r="N82">
        <v>4</v>
      </c>
      <c r="O82">
        <v>2</v>
      </c>
      <c r="P82" t="s">
        <v>175</v>
      </c>
      <c r="Q82" t="str">
        <f>VLOOKUP(A82,Cleaned_Seller_Master!$A:$H,2,FALSE)</f>
        <v>Zen Mart 084</v>
      </c>
      <c r="R82" t="str">
        <f>VLOOKUP(A82,Cleaned_Seller_Master!$A:$H,4,FALSE)</f>
        <v>Fashion</v>
      </c>
      <c r="S82" t="str">
        <f>VLOOKUP(A82,Cleaned_Seller_Master!$A:$H,5,FALSE)</f>
        <v>East</v>
      </c>
      <c r="T82" t="str">
        <f>VLOOKUP(A82,Cleaned_Seller_Master!$A:$H,8,FALSE)</f>
        <v>Verified</v>
      </c>
      <c r="U82" t="str">
        <f>VLOOKUP(A82,Cleaned_Seller_Master!$A:$H,7,FALSE)</f>
        <v>01-05-2023</v>
      </c>
      <c r="V82">
        <f>IFERROR(INDEX(Violation_Summary_Seller_Year!$C:$C,MATCH(AD82,Violation_Summary_Seller_Year!$K:$K,0)),0)</f>
        <v>2</v>
      </c>
      <c r="W82">
        <f>IFERROR(INDEX(Violation_Summary_Seller_Year!$D:$D,MATCH(AD82,Violation_Summary_Seller_Year!$K:$K,0)),0)</f>
        <v>599.70000000000005</v>
      </c>
      <c r="X82">
        <f>IFERROR(INDEX(Violation_Summary_Seller_Year!$E:$E,MATCH(AD82,Violation_Summary_Seller_Year!$K:$K,0)),0)</f>
        <v>0</v>
      </c>
      <c r="Y82">
        <f>IFERROR(INDEX(Violation_Summary_Seller_Year!$F:$F,MATCH(AD82,Violation_Summary_Seller_Year!$K:$K,0)),0)</f>
        <v>2</v>
      </c>
      <c r="Z82">
        <f>IFERROR(INDEX(Violation_Summary_Seller_Year!$G:$G,MATCH(AD82,Violation_Summary_Seller_Year!$K:$K,0)),0)</f>
        <v>0</v>
      </c>
      <c r="AA82">
        <f>IFERROR(INDEX(Violation_Summary_Seller_Year!$H:$H,MATCH(AD82,Violation_Summary_Seller_Year!$K:$K,0)),0)</f>
        <v>0</v>
      </c>
      <c r="AB82">
        <f>IFERROR(INDEX(Violation_Summary_Seller_Year!$I:$I,MATCH(AD82,Violation_Summary_Seller_Year!$K:$K,0)),0)</f>
        <v>0</v>
      </c>
      <c r="AC82">
        <f>IFERROR(INDEX(Violation_Summary_Seller_Year!$J:$J,MATCH(AD82,Violation_Summary_Seller_Year!$K:$K,0)),0)</f>
        <v>5</v>
      </c>
      <c r="AD82" t="str">
        <f t="shared" si="8"/>
        <v>84_2021</v>
      </c>
      <c r="AE82">
        <f t="shared" si="9"/>
        <v>0</v>
      </c>
      <c r="AF82">
        <f t="shared" si="10"/>
        <v>2</v>
      </c>
      <c r="AG82">
        <f t="shared" si="11"/>
        <v>1</v>
      </c>
      <c r="AH82">
        <f t="shared" si="12"/>
        <v>0</v>
      </c>
      <c r="AI82">
        <f t="shared" si="13"/>
        <v>1</v>
      </c>
      <c r="AJ82">
        <f t="shared" si="14"/>
        <v>80</v>
      </c>
      <c r="AK82" t="str">
        <f t="shared" si="15"/>
        <v>Medium</v>
      </c>
    </row>
    <row r="83" spans="1:37" x14ac:dyDescent="0.3">
      <c r="A83">
        <v>85</v>
      </c>
      <c r="B83">
        <v>2021</v>
      </c>
      <c r="C83">
        <v>379</v>
      </c>
      <c r="D83">
        <v>17</v>
      </c>
      <c r="E83">
        <v>13</v>
      </c>
      <c r="F83">
        <v>1100.29</v>
      </c>
      <c r="G83">
        <v>3.4300999999999998E-2</v>
      </c>
      <c r="H83">
        <v>6</v>
      </c>
      <c r="I83">
        <v>16</v>
      </c>
      <c r="J83">
        <v>3</v>
      </c>
      <c r="K83">
        <v>3</v>
      </c>
      <c r="L83">
        <v>0</v>
      </c>
      <c r="M83">
        <v>1</v>
      </c>
      <c r="N83">
        <v>2</v>
      </c>
      <c r="O83">
        <v>0</v>
      </c>
      <c r="P83" t="s">
        <v>175</v>
      </c>
      <c r="Q83" t="str">
        <f>VLOOKUP(A83,Cleaned_Seller_Master!$A:$H,2,FALSE)</f>
        <v>True House 085</v>
      </c>
      <c r="R83" t="str">
        <f>VLOOKUP(A83,Cleaned_Seller_Master!$A:$H,4,FALSE)</f>
        <v>Fashion</v>
      </c>
      <c r="S83" t="str">
        <f>VLOOKUP(A83,Cleaned_Seller_Master!$A:$H,5,FALSE)</f>
        <v>South</v>
      </c>
      <c r="T83" t="str">
        <f>VLOOKUP(A83,Cleaned_Seller_Master!$A:$H,8,FALSE)</f>
        <v>Standard</v>
      </c>
      <c r="U83" t="str">
        <f>VLOOKUP(A83,Cleaned_Seller_Master!$A:$H,7,FALSE)</f>
        <v>21-04-2022</v>
      </c>
      <c r="V83">
        <f>IFERROR(INDEX(Violation_Summary_Seller_Year!$C:$C,MATCH(AD83,Violation_Summary_Seller_Year!$K:$K,0)),0)</f>
        <v>2</v>
      </c>
      <c r="W83">
        <f>IFERROR(INDEX(Violation_Summary_Seller_Year!$D:$D,MATCH(AD83,Violation_Summary_Seller_Year!$K:$K,0)),0)</f>
        <v>2430.81</v>
      </c>
      <c r="X83">
        <f>IFERROR(INDEX(Violation_Summary_Seller_Year!$E:$E,MATCH(AD83,Violation_Summary_Seller_Year!$K:$K,0)),0)</f>
        <v>0</v>
      </c>
      <c r="Y83">
        <f>IFERROR(INDEX(Violation_Summary_Seller_Year!$F:$F,MATCH(AD83,Violation_Summary_Seller_Year!$K:$K,0)),0)</f>
        <v>0</v>
      </c>
      <c r="Z83">
        <f>IFERROR(INDEX(Violation_Summary_Seller_Year!$G:$G,MATCH(AD83,Violation_Summary_Seller_Year!$K:$K,0)),0)</f>
        <v>2</v>
      </c>
      <c r="AA83">
        <f>IFERROR(INDEX(Violation_Summary_Seller_Year!$H:$H,MATCH(AD83,Violation_Summary_Seller_Year!$K:$K,0)),0)</f>
        <v>0</v>
      </c>
      <c r="AB83">
        <f>IFERROR(INDEX(Violation_Summary_Seller_Year!$I:$I,MATCH(AD83,Violation_Summary_Seller_Year!$K:$K,0)),0)</f>
        <v>2</v>
      </c>
      <c r="AC83">
        <f>IFERROR(INDEX(Violation_Summary_Seller_Year!$J:$J,MATCH(AD83,Violation_Summary_Seller_Year!$K:$K,0)),0)</f>
        <v>19</v>
      </c>
      <c r="AD83" t="str">
        <f t="shared" si="8"/>
        <v>85_2021</v>
      </c>
      <c r="AE83">
        <f t="shared" si="9"/>
        <v>0</v>
      </c>
      <c r="AF83">
        <f t="shared" si="10"/>
        <v>1</v>
      </c>
      <c r="AG83">
        <f t="shared" si="11"/>
        <v>1</v>
      </c>
      <c r="AH83">
        <f t="shared" si="12"/>
        <v>0</v>
      </c>
      <c r="AI83">
        <f t="shared" si="13"/>
        <v>1</v>
      </c>
      <c r="AJ83">
        <f t="shared" si="14"/>
        <v>55</v>
      </c>
      <c r="AK83" t="str">
        <f t="shared" si="15"/>
        <v>Low</v>
      </c>
    </row>
    <row r="84" spans="1:37" x14ac:dyDescent="0.3">
      <c r="A84">
        <v>86</v>
      </c>
      <c r="B84">
        <v>2021</v>
      </c>
      <c r="C84">
        <v>707</v>
      </c>
      <c r="D84">
        <v>62</v>
      </c>
      <c r="E84">
        <v>59</v>
      </c>
      <c r="F84">
        <v>5279.71</v>
      </c>
      <c r="G84">
        <v>8.3450999999999997E-2</v>
      </c>
      <c r="H84">
        <v>16</v>
      </c>
      <c r="I84">
        <v>23</v>
      </c>
      <c r="J84">
        <v>10</v>
      </c>
      <c r="K84">
        <v>9</v>
      </c>
      <c r="L84">
        <v>0</v>
      </c>
      <c r="M84">
        <v>1</v>
      </c>
      <c r="N84">
        <v>4</v>
      </c>
      <c r="O84">
        <v>4</v>
      </c>
      <c r="P84" t="s">
        <v>85</v>
      </c>
      <c r="Q84" t="str">
        <f>VLOOKUP(A84,Cleaned_Seller_Master!$A:$H,2,FALSE)</f>
        <v>Core Traders 086</v>
      </c>
      <c r="R84" t="str">
        <f>VLOOKUP(A84,Cleaned_Seller_Master!$A:$H,4,FALSE)</f>
        <v>Electronics</v>
      </c>
      <c r="S84" t="str">
        <f>VLOOKUP(A84,Cleaned_Seller_Master!$A:$H,5,FALSE)</f>
        <v>North</v>
      </c>
      <c r="T84" t="str">
        <f>VLOOKUP(A84,Cleaned_Seller_Master!$A:$H,8,FALSE)</f>
        <v>Premium</v>
      </c>
      <c r="U84" t="str">
        <f>VLOOKUP(A84,Cleaned_Seller_Master!$A:$H,7,FALSE)</f>
        <v>19-01-2025</v>
      </c>
      <c r="V84">
        <f>IFERROR(INDEX(Violation_Summary_Seller_Year!$C:$C,MATCH(AD84,Violation_Summary_Seller_Year!$K:$K,0)),0)</f>
        <v>3</v>
      </c>
      <c r="W84">
        <f>IFERROR(INDEX(Violation_Summary_Seller_Year!$D:$D,MATCH(AD84,Violation_Summary_Seller_Year!$K:$K,0)),0)</f>
        <v>11280.159999999998</v>
      </c>
      <c r="X84">
        <f>IFERROR(INDEX(Violation_Summary_Seller_Year!$E:$E,MATCH(AD84,Violation_Summary_Seller_Year!$K:$K,0)),0)</f>
        <v>0</v>
      </c>
      <c r="Y84">
        <f>IFERROR(INDEX(Violation_Summary_Seller_Year!$F:$F,MATCH(AD84,Violation_Summary_Seller_Year!$K:$K,0)),0)</f>
        <v>1</v>
      </c>
      <c r="Z84">
        <f>IFERROR(INDEX(Violation_Summary_Seller_Year!$G:$G,MATCH(AD84,Violation_Summary_Seller_Year!$K:$K,0)),0)</f>
        <v>2</v>
      </c>
      <c r="AA84">
        <f>IFERROR(INDEX(Violation_Summary_Seller_Year!$H:$H,MATCH(AD84,Violation_Summary_Seller_Year!$K:$K,0)),0)</f>
        <v>2</v>
      </c>
      <c r="AB84">
        <f>IFERROR(INDEX(Violation_Summary_Seller_Year!$I:$I,MATCH(AD84,Violation_Summary_Seller_Year!$K:$K,0)),0)</f>
        <v>1</v>
      </c>
      <c r="AC84">
        <f>IFERROR(INDEX(Violation_Summary_Seller_Year!$J:$J,MATCH(AD84,Violation_Summary_Seller_Year!$K:$K,0)),0)</f>
        <v>32</v>
      </c>
      <c r="AD84" t="str">
        <f t="shared" si="8"/>
        <v>86_2021</v>
      </c>
      <c r="AE84">
        <f t="shared" si="9"/>
        <v>1</v>
      </c>
      <c r="AF84">
        <f t="shared" si="10"/>
        <v>2</v>
      </c>
      <c r="AG84">
        <f t="shared" si="11"/>
        <v>2</v>
      </c>
      <c r="AH84">
        <f t="shared" si="12"/>
        <v>0</v>
      </c>
      <c r="AI84">
        <f t="shared" si="13"/>
        <v>2</v>
      </c>
      <c r="AJ84">
        <f t="shared" si="14"/>
        <v>135</v>
      </c>
      <c r="AK84" t="str">
        <f t="shared" si="15"/>
        <v>High</v>
      </c>
    </row>
    <row r="85" spans="1:37" x14ac:dyDescent="0.3">
      <c r="A85">
        <v>87</v>
      </c>
      <c r="B85">
        <v>2021</v>
      </c>
      <c r="C85">
        <v>1478</v>
      </c>
      <c r="D85">
        <v>123</v>
      </c>
      <c r="E85">
        <v>109</v>
      </c>
      <c r="F85">
        <v>10962.52</v>
      </c>
      <c r="G85">
        <v>7.3747999999999994E-2</v>
      </c>
      <c r="H85">
        <v>22</v>
      </c>
      <c r="I85">
        <v>46</v>
      </c>
      <c r="J85">
        <v>21</v>
      </c>
      <c r="K85">
        <v>11</v>
      </c>
      <c r="L85">
        <v>1</v>
      </c>
      <c r="M85">
        <v>5</v>
      </c>
      <c r="N85">
        <v>8</v>
      </c>
      <c r="O85">
        <v>5</v>
      </c>
      <c r="P85" t="s">
        <v>85</v>
      </c>
      <c r="Q85" t="str">
        <f>VLOOKUP(A85,Cleaned_Seller_Master!$A:$H,2,FALSE)</f>
        <v>Urban Works 087</v>
      </c>
      <c r="R85" t="str">
        <f>VLOOKUP(A85,Cleaned_Seller_Master!$A:$H,4,FALSE)</f>
        <v>Groceries</v>
      </c>
      <c r="S85" t="str">
        <f>VLOOKUP(A85,Cleaned_Seller_Master!$A:$H,5,FALSE)</f>
        <v>East</v>
      </c>
      <c r="T85" t="str">
        <f>VLOOKUP(A85,Cleaned_Seller_Master!$A:$H,8,FALSE)</f>
        <v>Standard</v>
      </c>
      <c r="U85" t="str">
        <f>VLOOKUP(A85,Cleaned_Seller_Master!$A:$H,7,FALSE)</f>
        <v>09-03-2022</v>
      </c>
      <c r="V85">
        <f>IFERROR(INDEX(Violation_Summary_Seller_Year!$C:$C,MATCH(AD85,Violation_Summary_Seller_Year!$K:$K,0)),0)</f>
        <v>5</v>
      </c>
      <c r="W85">
        <f>IFERROR(INDEX(Violation_Summary_Seller_Year!$D:$D,MATCH(AD85,Violation_Summary_Seller_Year!$K:$K,0)),0)</f>
        <v>8158.43</v>
      </c>
      <c r="X85">
        <f>IFERROR(INDEX(Violation_Summary_Seller_Year!$E:$E,MATCH(AD85,Violation_Summary_Seller_Year!$K:$K,0)),0)</f>
        <v>4</v>
      </c>
      <c r="Y85">
        <f>IFERROR(INDEX(Violation_Summary_Seller_Year!$F:$F,MATCH(AD85,Violation_Summary_Seller_Year!$K:$K,0)),0)</f>
        <v>1</v>
      </c>
      <c r="Z85">
        <f>IFERROR(INDEX(Violation_Summary_Seller_Year!$G:$G,MATCH(AD85,Violation_Summary_Seller_Year!$K:$K,0)),0)</f>
        <v>4</v>
      </c>
      <c r="AA85">
        <f>IFERROR(INDEX(Violation_Summary_Seller_Year!$H:$H,MATCH(AD85,Violation_Summary_Seller_Year!$K:$K,0)),0)</f>
        <v>3</v>
      </c>
      <c r="AB85">
        <f>IFERROR(INDEX(Violation_Summary_Seller_Year!$I:$I,MATCH(AD85,Violation_Summary_Seller_Year!$K:$K,0)),0)</f>
        <v>2</v>
      </c>
      <c r="AC85">
        <f>IFERROR(INDEX(Violation_Summary_Seller_Year!$J:$J,MATCH(AD85,Violation_Summary_Seller_Year!$K:$K,0)),0)</f>
        <v>53</v>
      </c>
      <c r="AD85" t="str">
        <f t="shared" si="8"/>
        <v>87_2021</v>
      </c>
      <c r="AE85">
        <f t="shared" si="9"/>
        <v>1</v>
      </c>
      <c r="AF85">
        <f t="shared" si="10"/>
        <v>2</v>
      </c>
      <c r="AG85">
        <f t="shared" si="11"/>
        <v>2</v>
      </c>
      <c r="AH85">
        <f t="shared" si="12"/>
        <v>2</v>
      </c>
      <c r="AI85">
        <f t="shared" si="13"/>
        <v>2</v>
      </c>
      <c r="AJ85">
        <f t="shared" si="14"/>
        <v>175</v>
      </c>
      <c r="AK85" t="str">
        <f t="shared" si="15"/>
        <v>High</v>
      </c>
    </row>
    <row r="86" spans="1:37" x14ac:dyDescent="0.3">
      <c r="A86">
        <v>88</v>
      </c>
      <c r="B86">
        <v>2021</v>
      </c>
      <c r="C86">
        <v>842</v>
      </c>
      <c r="D86">
        <v>56</v>
      </c>
      <c r="E86">
        <v>50</v>
      </c>
      <c r="F86">
        <v>1892.58</v>
      </c>
      <c r="G86">
        <v>5.9381999999999997E-2</v>
      </c>
      <c r="H86">
        <v>12</v>
      </c>
      <c r="I86">
        <v>25</v>
      </c>
      <c r="J86">
        <v>12</v>
      </c>
      <c r="K86">
        <v>7</v>
      </c>
      <c r="L86">
        <v>1</v>
      </c>
      <c r="M86">
        <v>3</v>
      </c>
      <c r="N86">
        <v>6</v>
      </c>
      <c r="O86">
        <v>3</v>
      </c>
      <c r="P86" t="s">
        <v>85</v>
      </c>
      <c r="Q86" t="str">
        <f>VLOOKUP(A86,Cleaned_Seller_Master!$A:$H,2,FALSE)</f>
        <v>Bright Nest 088</v>
      </c>
      <c r="R86" t="str">
        <f>VLOOKUP(A86,Cleaned_Seller_Master!$A:$H,4,FALSE)</f>
        <v>Home</v>
      </c>
      <c r="S86" t="str">
        <f>VLOOKUP(A86,Cleaned_Seller_Master!$A:$H,5,FALSE)</f>
        <v>North</v>
      </c>
      <c r="T86" t="str">
        <f>VLOOKUP(A86,Cleaned_Seller_Master!$A:$H,8,FALSE)</f>
        <v>Verified</v>
      </c>
      <c r="U86" t="str">
        <f>VLOOKUP(A86,Cleaned_Seller_Master!$A:$H,7,FALSE)</f>
        <v>24-11-2020</v>
      </c>
      <c r="V86">
        <f>IFERROR(INDEX(Violation_Summary_Seller_Year!$C:$C,MATCH(AD86,Violation_Summary_Seller_Year!$K:$K,0)),0)</f>
        <v>2</v>
      </c>
      <c r="W86">
        <f>IFERROR(INDEX(Violation_Summary_Seller_Year!$D:$D,MATCH(AD86,Violation_Summary_Seller_Year!$K:$K,0)),0)</f>
        <v>603.67999999999995</v>
      </c>
      <c r="X86">
        <f>IFERROR(INDEX(Violation_Summary_Seller_Year!$E:$E,MATCH(AD86,Violation_Summary_Seller_Year!$K:$K,0)),0)</f>
        <v>0</v>
      </c>
      <c r="Y86">
        <f>IFERROR(INDEX(Violation_Summary_Seller_Year!$F:$F,MATCH(AD86,Violation_Summary_Seller_Year!$K:$K,0)),0)</f>
        <v>1</v>
      </c>
      <c r="Z86">
        <f>IFERROR(INDEX(Violation_Summary_Seller_Year!$G:$G,MATCH(AD86,Violation_Summary_Seller_Year!$K:$K,0)),0)</f>
        <v>1</v>
      </c>
      <c r="AA86">
        <f>IFERROR(INDEX(Violation_Summary_Seller_Year!$H:$H,MATCH(AD86,Violation_Summary_Seller_Year!$K:$K,0)),0)</f>
        <v>0</v>
      </c>
      <c r="AB86">
        <f>IFERROR(INDEX(Violation_Summary_Seller_Year!$I:$I,MATCH(AD86,Violation_Summary_Seller_Year!$K:$K,0)),0)</f>
        <v>0</v>
      </c>
      <c r="AC86">
        <f>IFERROR(INDEX(Violation_Summary_Seller_Year!$J:$J,MATCH(AD86,Violation_Summary_Seller_Year!$K:$K,0)),0)</f>
        <v>19</v>
      </c>
      <c r="AD86" t="str">
        <f t="shared" si="8"/>
        <v>88_2021</v>
      </c>
      <c r="AE86">
        <f t="shared" si="9"/>
        <v>1</v>
      </c>
      <c r="AF86">
        <f t="shared" si="10"/>
        <v>2</v>
      </c>
      <c r="AG86">
        <f t="shared" si="11"/>
        <v>1</v>
      </c>
      <c r="AH86">
        <f t="shared" si="12"/>
        <v>2</v>
      </c>
      <c r="AI86">
        <f t="shared" si="13"/>
        <v>2</v>
      </c>
      <c r="AJ86">
        <f t="shared" si="14"/>
        <v>155</v>
      </c>
      <c r="AK86" t="str">
        <f t="shared" si="15"/>
        <v>High</v>
      </c>
    </row>
    <row r="87" spans="1:37" x14ac:dyDescent="0.3">
      <c r="A87">
        <v>89</v>
      </c>
      <c r="B87">
        <v>2021</v>
      </c>
      <c r="C87">
        <v>844</v>
      </c>
      <c r="D87">
        <v>69</v>
      </c>
      <c r="E87">
        <v>50</v>
      </c>
      <c r="F87">
        <v>4526.75</v>
      </c>
      <c r="G87">
        <v>5.9242000000000003E-2</v>
      </c>
      <c r="H87">
        <v>15</v>
      </c>
      <c r="I87">
        <v>27</v>
      </c>
      <c r="J87">
        <v>13</v>
      </c>
      <c r="K87">
        <v>6</v>
      </c>
      <c r="L87">
        <v>1</v>
      </c>
      <c r="M87">
        <v>4</v>
      </c>
      <c r="N87">
        <v>3</v>
      </c>
      <c r="O87">
        <v>2</v>
      </c>
      <c r="P87" t="s">
        <v>85</v>
      </c>
      <c r="Q87" t="str">
        <f>VLOOKUP(A87,Cleaned_Seller_Master!$A:$H,2,FALSE)</f>
        <v>Golden Hub 089</v>
      </c>
      <c r="R87" t="str">
        <f>VLOOKUP(A87,Cleaned_Seller_Master!$A:$H,4,FALSE)</f>
        <v>Fashion</v>
      </c>
      <c r="S87" t="str">
        <f>VLOOKUP(A87,Cleaned_Seller_Master!$A:$H,5,FALSE)</f>
        <v>Southeast Asia</v>
      </c>
      <c r="T87" t="str">
        <f>VLOOKUP(A87,Cleaned_Seller_Master!$A:$H,8,FALSE)</f>
        <v>Verified</v>
      </c>
      <c r="U87" t="str">
        <f>VLOOKUP(A87,Cleaned_Seller_Master!$A:$H,7,FALSE)</f>
        <v>22-06-2025</v>
      </c>
      <c r="V87">
        <f>IFERROR(INDEX(Violation_Summary_Seller_Year!$C:$C,MATCH(AD87,Violation_Summary_Seller_Year!$K:$K,0)),0)</f>
        <v>6</v>
      </c>
      <c r="W87">
        <f>IFERROR(INDEX(Violation_Summary_Seller_Year!$D:$D,MATCH(AD87,Violation_Summary_Seller_Year!$K:$K,0)),0)</f>
        <v>15808.17</v>
      </c>
      <c r="X87">
        <f>IFERROR(INDEX(Violation_Summary_Seller_Year!$E:$E,MATCH(AD87,Violation_Summary_Seller_Year!$K:$K,0)),0)</f>
        <v>1</v>
      </c>
      <c r="Y87">
        <f>IFERROR(INDEX(Violation_Summary_Seller_Year!$F:$F,MATCH(AD87,Violation_Summary_Seller_Year!$K:$K,0)),0)</f>
        <v>5</v>
      </c>
      <c r="Z87">
        <f>IFERROR(INDEX(Violation_Summary_Seller_Year!$G:$G,MATCH(AD87,Violation_Summary_Seller_Year!$K:$K,0)),0)</f>
        <v>1</v>
      </c>
      <c r="AA87">
        <f>IFERROR(INDEX(Violation_Summary_Seller_Year!$H:$H,MATCH(AD87,Violation_Summary_Seller_Year!$K:$K,0)),0)</f>
        <v>3</v>
      </c>
      <c r="AB87">
        <f>IFERROR(INDEX(Violation_Summary_Seller_Year!$I:$I,MATCH(AD87,Violation_Summary_Seller_Year!$K:$K,0)),0)</f>
        <v>2</v>
      </c>
      <c r="AC87">
        <f>IFERROR(INDEX(Violation_Summary_Seller_Year!$J:$J,MATCH(AD87,Violation_Summary_Seller_Year!$K:$K,0)),0)</f>
        <v>50</v>
      </c>
      <c r="AD87" t="str">
        <f t="shared" si="8"/>
        <v>89_2021</v>
      </c>
      <c r="AE87">
        <f t="shared" si="9"/>
        <v>1</v>
      </c>
      <c r="AF87">
        <f t="shared" si="10"/>
        <v>2</v>
      </c>
      <c r="AG87">
        <f t="shared" si="11"/>
        <v>2</v>
      </c>
      <c r="AH87">
        <f t="shared" si="12"/>
        <v>2</v>
      </c>
      <c r="AI87">
        <f t="shared" si="13"/>
        <v>2</v>
      </c>
      <c r="AJ87">
        <f t="shared" si="14"/>
        <v>175</v>
      </c>
      <c r="AK87" t="str">
        <f t="shared" si="15"/>
        <v>High</v>
      </c>
    </row>
    <row r="88" spans="1:37" x14ac:dyDescent="0.3">
      <c r="A88">
        <v>90</v>
      </c>
      <c r="B88">
        <v>2021</v>
      </c>
      <c r="C88">
        <v>978</v>
      </c>
      <c r="D88">
        <v>84</v>
      </c>
      <c r="E88">
        <v>68</v>
      </c>
      <c r="F88">
        <v>5380.26</v>
      </c>
      <c r="G88">
        <v>6.9529999999999995E-2</v>
      </c>
      <c r="H88">
        <v>25</v>
      </c>
      <c r="I88">
        <v>35</v>
      </c>
      <c r="J88">
        <v>8</v>
      </c>
      <c r="K88">
        <v>10</v>
      </c>
      <c r="L88">
        <v>0</v>
      </c>
      <c r="M88">
        <v>3</v>
      </c>
      <c r="N88">
        <v>5</v>
      </c>
      <c r="O88">
        <v>4</v>
      </c>
      <c r="P88" t="s">
        <v>68</v>
      </c>
      <c r="Q88" t="str">
        <f>VLOOKUP(A88,Cleaned_Seller_Master!$A:$H,2,FALSE)</f>
        <v>Ever Merchants 090</v>
      </c>
      <c r="R88" t="str">
        <f>VLOOKUP(A88,Cleaned_Seller_Master!$A:$H,4,FALSE)</f>
        <v>Home</v>
      </c>
      <c r="S88" t="str">
        <f>VLOOKUP(A88,Cleaned_Seller_Master!$A:$H,5,FALSE)</f>
        <v>North</v>
      </c>
      <c r="T88" t="str">
        <f>VLOOKUP(A88,Cleaned_Seller_Master!$A:$H,8,FALSE)</f>
        <v>Premium</v>
      </c>
      <c r="U88" t="str">
        <f>VLOOKUP(A88,Cleaned_Seller_Master!$A:$H,7,FALSE)</f>
        <v>08-10-2022</v>
      </c>
      <c r="V88">
        <f>IFERROR(INDEX(Violation_Summary_Seller_Year!$C:$C,MATCH(AD88,Violation_Summary_Seller_Year!$K:$K,0)),0)</f>
        <v>3</v>
      </c>
      <c r="W88">
        <f>IFERROR(INDEX(Violation_Summary_Seller_Year!$D:$D,MATCH(AD88,Violation_Summary_Seller_Year!$K:$K,0)),0)</f>
        <v>6135.17</v>
      </c>
      <c r="X88">
        <f>IFERROR(INDEX(Violation_Summary_Seller_Year!$E:$E,MATCH(AD88,Violation_Summary_Seller_Year!$K:$K,0)),0)</f>
        <v>0</v>
      </c>
      <c r="Y88">
        <f>IFERROR(INDEX(Violation_Summary_Seller_Year!$F:$F,MATCH(AD88,Violation_Summary_Seller_Year!$K:$K,0)),0)</f>
        <v>2</v>
      </c>
      <c r="Z88">
        <f>IFERROR(INDEX(Violation_Summary_Seller_Year!$G:$G,MATCH(AD88,Violation_Summary_Seller_Year!$K:$K,0)),0)</f>
        <v>1</v>
      </c>
      <c r="AA88">
        <f>IFERROR(INDEX(Violation_Summary_Seller_Year!$H:$H,MATCH(AD88,Violation_Summary_Seller_Year!$K:$K,0)),0)</f>
        <v>2</v>
      </c>
      <c r="AB88">
        <f>IFERROR(INDEX(Violation_Summary_Seller_Year!$I:$I,MATCH(AD88,Violation_Summary_Seller_Year!$K:$K,0)),0)</f>
        <v>2</v>
      </c>
      <c r="AC88">
        <f>IFERROR(INDEX(Violation_Summary_Seller_Year!$J:$J,MATCH(AD88,Violation_Summary_Seller_Year!$K:$K,0)),0)</f>
        <v>30</v>
      </c>
      <c r="AD88" t="str">
        <f t="shared" si="8"/>
        <v>90_2021</v>
      </c>
      <c r="AE88">
        <f t="shared" si="9"/>
        <v>1</v>
      </c>
      <c r="AF88">
        <f t="shared" si="10"/>
        <v>2</v>
      </c>
      <c r="AG88">
        <f t="shared" si="11"/>
        <v>2</v>
      </c>
      <c r="AH88">
        <f t="shared" si="12"/>
        <v>0</v>
      </c>
      <c r="AI88">
        <f t="shared" si="13"/>
        <v>1</v>
      </c>
      <c r="AJ88">
        <f t="shared" si="14"/>
        <v>125</v>
      </c>
      <c r="AK88" t="str">
        <f t="shared" si="15"/>
        <v>High</v>
      </c>
    </row>
    <row r="89" spans="1:37" x14ac:dyDescent="0.3">
      <c r="A89">
        <v>91</v>
      </c>
      <c r="B89">
        <v>2021</v>
      </c>
      <c r="C89">
        <v>234</v>
      </c>
      <c r="D89">
        <v>20</v>
      </c>
      <c r="E89">
        <v>16</v>
      </c>
      <c r="F89">
        <v>970.13</v>
      </c>
      <c r="G89">
        <v>6.8376000000000006E-2</v>
      </c>
      <c r="H89">
        <v>9</v>
      </c>
      <c r="I89">
        <v>15</v>
      </c>
      <c r="J89">
        <v>4</v>
      </c>
      <c r="K89">
        <v>4</v>
      </c>
      <c r="L89">
        <v>0</v>
      </c>
      <c r="M89">
        <v>1</v>
      </c>
      <c r="N89">
        <v>3</v>
      </c>
      <c r="O89">
        <v>0</v>
      </c>
      <c r="P89" t="s">
        <v>68</v>
      </c>
      <c r="Q89" t="str">
        <f>VLOOKUP(A89,Cleaned_Seller_Master!$A:$H,2,FALSE)</f>
        <v>Orbit Square 091</v>
      </c>
      <c r="R89" t="str">
        <f>VLOOKUP(A89,Cleaned_Seller_Master!$A:$H,4,FALSE)</f>
        <v>Electronics</v>
      </c>
      <c r="S89" t="str">
        <f>VLOOKUP(A89,Cleaned_Seller_Master!$A:$H,5,FALSE)</f>
        <v>North</v>
      </c>
      <c r="T89" t="str">
        <f>VLOOKUP(A89,Cleaned_Seller_Master!$A:$H,8,FALSE)</f>
        <v>Premium</v>
      </c>
      <c r="U89" t="str">
        <f>VLOOKUP(A89,Cleaned_Seller_Master!$A:$H,7,FALSE)</f>
        <v>04-02-2025</v>
      </c>
      <c r="V89">
        <f>IFERROR(INDEX(Violation_Summary_Seller_Year!$C:$C,MATCH(AD89,Violation_Summary_Seller_Year!$K:$K,0)),0)</f>
        <v>4</v>
      </c>
      <c r="W89">
        <f>IFERROR(INDEX(Violation_Summary_Seller_Year!$D:$D,MATCH(AD89,Violation_Summary_Seller_Year!$K:$K,0)),0)</f>
        <v>5608.97</v>
      </c>
      <c r="X89">
        <f>IFERROR(INDEX(Violation_Summary_Seller_Year!$E:$E,MATCH(AD89,Violation_Summary_Seller_Year!$K:$K,0)),0)</f>
        <v>0</v>
      </c>
      <c r="Y89">
        <f>IFERROR(INDEX(Violation_Summary_Seller_Year!$F:$F,MATCH(AD89,Violation_Summary_Seller_Year!$K:$K,0)),0)</f>
        <v>2</v>
      </c>
      <c r="Z89">
        <f>IFERROR(INDEX(Violation_Summary_Seller_Year!$G:$G,MATCH(AD89,Violation_Summary_Seller_Year!$K:$K,0)),0)</f>
        <v>2</v>
      </c>
      <c r="AA89">
        <f>IFERROR(INDEX(Violation_Summary_Seller_Year!$H:$H,MATCH(AD89,Violation_Summary_Seller_Year!$K:$K,0)),0)</f>
        <v>2</v>
      </c>
      <c r="AB89">
        <f>IFERROR(INDEX(Violation_Summary_Seller_Year!$I:$I,MATCH(AD89,Violation_Summary_Seller_Year!$K:$K,0)),0)</f>
        <v>1</v>
      </c>
      <c r="AC89">
        <f>IFERROR(INDEX(Violation_Summary_Seller_Year!$J:$J,MATCH(AD89,Violation_Summary_Seller_Year!$K:$K,0)),0)</f>
        <v>28</v>
      </c>
      <c r="AD89" t="str">
        <f t="shared" si="8"/>
        <v>91_2021</v>
      </c>
      <c r="AE89">
        <f t="shared" si="9"/>
        <v>1</v>
      </c>
      <c r="AF89">
        <f t="shared" si="10"/>
        <v>2</v>
      </c>
      <c r="AG89">
        <f t="shared" si="11"/>
        <v>2</v>
      </c>
      <c r="AH89">
        <f t="shared" si="12"/>
        <v>0</v>
      </c>
      <c r="AI89">
        <f t="shared" si="13"/>
        <v>1</v>
      </c>
      <c r="AJ89">
        <f t="shared" si="14"/>
        <v>125</v>
      </c>
      <c r="AK89" t="str">
        <f t="shared" si="15"/>
        <v>High</v>
      </c>
    </row>
    <row r="90" spans="1:37" x14ac:dyDescent="0.3">
      <c r="A90">
        <v>92</v>
      </c>
      <c r="B90">
        <v>2021</v>
      </c>
      <c r="C90">
        <v>1822</v>
      </c>
      <c r="D90">
        <v>153</v>
      </c>
      <c r="E90">
        <v>130</v>
      </c>
      <c r="F90">
        <v>12625.26</v>
      </c>
      <c r="G90">
        <v>7.1349999999999997E-2</v>
      </c>
      <c r="H90">
        <v>15</v>
      </c>
      <c r="I90">
        <v>53</v>
      </c>
      <c r="J90">
        <v>18</v>
      </c>
      <c r="K90">
        <v>7</v>
      </c>
      <c r="L90">
        <v>0</v>
      </c>
      <c r="M90">
        <v>2</v>
      </c>
      <c r="N90">
        <v>4</v>
      </c>
      <c r="O90">
        <v>9</v>
      </c>
      <c r="P90" t="s">
        <v>68</v>
      </c>
      <c r="Q90" t="str">
        <f>VLOOKUP(A90,Cleaned_Seller_Master!$A:$H,2,FALSE)</f>
        <v>Pulse Commerce 092</v>
      </c>
      <c r="R90" t="str">
        <f>VLOOKUP(A90,Cleaned_Seller_Master!$A:$H,4,FALSE)</f>
        <v>Groceries</v>
      </c>
      <c r="S90" t="str">
        <f>VLOOKUP(A90,Cleaned_Seller_Master!$A:$H,5,FALSE)</f>
        <v>West</v>
      </c>
      <c r="T90" t="str">
        <f>VLOOKUP(A90,Cleaned_Seller_Master!$A:$H,8,FALSE)</f>
        <v>Verified</v>
      </c>
      <c r="U90" t="str">
        <f>VLOOKUP(A90,Cleaned_Seller_Master!$A:$H,7,FALSE)</f>
        <v>21-07-2020</v>
      </c>
      <c r="V90">
        <f>IFERROR(INDEX(Violation_Summary_Seller_Year!$C:$C,MATCH(AD90,Violation_Summary_Seller_Year!$K:$K,0)),0)</f>
        <v>3</v>
      </c>
      <c r="W90">
        <f>IFERROR(INDEX(Violation_Summary_Seller_Year!$D:$D,MATCH(AD90,Violation_Summary_Seller_Year!$K:$K,0)),0)</f>
        <v>14370.699999999999</v>
      </c>
      <c r="X90">
        <f>IFERROR(INDEX(Violation_Summary_Seller_Year!$E:$E,MATCH(AD90,Violation_Summary_Seller_Year!$K:$K,0)),0)</f>
        <v>0</v>
      </c>
      <c r="Y90">
        <f>IFERROR(INDEX(Violation_Summary_Seller_Year!$F:$F,MATCH(AD90,Violation_Summary_Seller_Year!$K:$K,0)),0)</f>
        <v>2</v>
      </c>
      <c r="Z90">
        <f>IFERROR(INDEX(Violation_Summary_Seller_Year!$G:$G,MATCH(AD90,Violation_Summary_Seller_Year!$K:$K,0)),0)</f>
        <v>1</v>
      </c>
      <c r="AA90">
        <f>IFERROR(INDEX(Violation_Summary_Seller_Year!$H:$H,MATCH(AD90,Violation_Summary_Seller_Year!$K:$K,0)),0)</f>
        <v>3</v>
      </c>
      <c r="AB90">
        <f>IFERROR(INDEX(Violation_Summary_Seller_Year!$I:$I,MATCH(AD90,Violation_Summary_Seller_Year!$K:$K,0)),0)</f>
        <v>1</v>
      </c>
      <c r="AC90">
        <f>IFERROR(INDEX(Violation_Summary_Seller_Year!$J:$J,MATCH(AD90,Violation_Summary_Seller_Year!$K:$K,0)),0)</f>
        <v>18</v>
      </c>
      <c r="AD90" t="str">
        <f t="shared" si="8"/>
        <v>92_2021</v>
      </c>
      <c r="AE90">
        <f t="shared" si="9"/>
        <v>1</v>
      </c>
      <c r="AF90">
        <f t="shared" si="10"/>
        <v>2</v>
      </c>
      <c r="AG90">
        <f t="shared" si="11"/>
        <v>2</v>
      </c>
      <c r="AH90">
        <f t="shared" si="12"/>
        <v>0</v>
      </c>
      <c r="AI90">
        <f t="shared" si="13"/>
        <v>1</v>
      </c>
      <c r="AJ90">
        <f t="shared" si="14"/>
        <v>125</v>
      </c>
      <c r="AK90" t="str">
        <f t="shared" si="15"/>
        <v>High</v>
      </c>
    </row>
    <row r="91" spans="1:37" x14ac:dyDescent="0.3">
      <c r="A91">
        <v>93</v>
      </c>
      <c r="B91">
        <v>2021</v>
      </c>
      <c r="C91">
        <v>935</v>
      </c>
      <c r="D91">
        <v>95</v>
      </c>
      <c r="E91">
        <v>74</v>
      </c>
      <c r="F91">
        <v>3842.36</v>
      </c>
      <c r="G91">
        <v>7.9144000000000006E-2</v>
      </c>
      <c r="H91">
        <v>19</v>
      </c>
      <c r="I91">
        <v>30</v>
      </c>
      <c r="J91">
        <v>16</v>
      </c>
      <c r="K91">
        <v>10</v>
      </c>
      <c r="L91">
        <v>1</v>
      </c>
      <c r="M91">
        <v>6</v>
      </c>
      <c r="N91">
        <v>5</v>
      </c>
      <c r="O91">
        <v>5</v>
      </c>
      <c r="P91" t="s">
        <v>85</v>
      </c>
      <c r="Q91" t="str">
        <f>VLOOKUP(A91,Cleaned_Seller_Master!$A:$H,2,FALSE)</f>
        <v>Summit Bazaar 093</v>
      </c>
      <c r="R91" t="str">
        <f>VLOOKUP(A91,Cleaned_Seller_Master!$A:$H,4,FALSE)</f>
        <v>Home</v>
      </c>
      <c r="S91" t="str">
        <f>VLOOKUP(A91,Cleaned_Seller_Master!$A:$H,5,FALSE)</f>
        <v>West</v>
      </c>
      <c r="T91" t="str">
        <f>VLOOKUP(A91,Cleaned_Seller_Master!$A:$H,8,FALSE)</f>
        <v>Strategic</v>
      </c>
      <c r="U91" t="str">
        <f>VLOOKUP(A91,Cleaned_Seller_Master!$A:$H,7,FALSE)</f>
        <v>22-02-2023</v>
      </c>
      <c r="V91">
        <f>IFERROR(INDEX(Violation_Summary_Seller_Year!$C:$C,MATCH(AD91,Violation_Summary_Seller_Year!$K:$K,0)),0)</f>
        <v>6</v>
      </c>
      <c r="W91">
        <f>IFERROR(INDEX(Violation_Summary_Seller_Year!$D:$D,MATCH(AD91,Violation_Summary_Seller_Year!$K:$K,0)),0)</f>
        <v>19409.819999999996</v>
      </c>
      <c r="X91">
        <f>IFERROR(INDEX(Violation_Summary_Seller_Year!$E:$E,MATCH(AD91,Violation_Summary_Seller_Year!$K:$K,0)),0)</f>
        <v>2</v>
      </c>
      <c r="Y91">
        <f>IFERROR(INDEX(Violation_Summary_Seller_Year!$F:$F,MATCH(AD91,Violation_Summary_Seller_Year!$K:$K,0)),0)</f>
        <v>2</v>
      </c>
      <c r="Z91">
        <f>IFERROR(INDEX(Violation_Summary_Seller_Year!$G:$G,MATCH(AD91,Violation_Summary_Seller_Year!$K:$K,0)),0)</f>
        <v>4</v>
      </c>
      <c r="AA91">
        <f>IFERROR(INDEX(Violation_Summary_Seller_Year!$H:$H,MATCH(AD91,Violation_Summary_Seller_Year!$K:$K,0)),0)</f>
        <v>5</v>
      </c>
      <c r="AB91">
        <f>IFERROR(INDEX(Violation_Summary_Seller_Year!$I:$I,MATCH(AD91,Violation_Summary_Seller_Year!$K:$K,0)),0)</f>
        <v>5</v>
      </c>
      <c r="AC91">
        <f>IFERROR(INDEX(Violation_Summary_Seller_Year!$J:$J,MATCH(AD91,Violation_Summary_Seller_Year!$K:$K,0)),0)</f>
        <v>65</v>
      </c>
      <c r="AD91" t="str">
        <f t="shared" si="8"/>
        <v>93_2021</v>
      </c>
      <c r="AE91">
        <f t="shared" si="9"/>
        <v>1</v>
      </c>
      <c r="AF91">
        <f t="shared" si="10"/>
        <v>2</v>
      </c>
      <c r="AG91">
        <f t="shared" si="11"/>
        <v>2</v>
      </c>
      <c r="AH91">
        <f t="shared" si="12"/>
        <v>2</v>
      </c>
      <c r="AI91">
        <f t="shared" si="13"/>
        <v>2</v>
      </c>
      <c r="AJ91">
        <f t="shared" si="14"/>
        <v>175</v>
      </c>
      <c r="AK91" t="str">
        <f t="shared" si="15"/>
        <v>High</v>
      </c>
    </row>
    <row r="92" spans="1:37" x14ac:dyDescent="0.3">
      <c r="A92">
        <v>94</v>
      </c>
      <c r="B92">
        <v>2021</v>
      </c>
      <c r="C92">
        <v>369</v>
      </c>
      <c r="D92">
        <v>32</v>
      </c>
      <c r="E92">
        <v>27</v>
      </c>
      <c r="F92">
        <v>1591.93</v>
      </c>
      <c r="G92">
        <v>7.3171E-2</v>
      </c>
      <c r="H92">
        <v>23</v>
      </c>
      <c r="I92">
        <v>23</v>
      </c>
      <c r="J92">
        <v>8</v>
      </c>
      <c r="K92">
        <v>11</v>
      </c>
      <c r="L92">
        <v>0</v>
      </c>
      <c r="M92">
        <v>3</v>
      </c>
      <c r="N92">
        <v>4</v>
      </c>
      <c r="O92">
        <v>2</v>
      </c>
      <c r="P92" t="s">
        <v>68</v>
      </c>
      <c r="Q92" t="str">
        <f>VLOOKUP(A92,Cleaned_Seller_Master!$A:$H,2,FALSE)</f>
        <v>Prime Bridge 094</v>
      </c>
      <c r="R92" t="str">
        <f>VLOOKUP(A92,Cleaned_Seller_Master!$A:$H,4,FALSE)</f>
        <v>Home</v>
      </c>
      <c r="S92" t="str">
        <f>VLOOKUP(A92,Cleaned_Seller_Master!$A:$H,5,FALSE)</f>
        <v>North</v>
      </c>
      <c r="T92" t="str">
        <f>VLOOKUP(A92,Cleaned_Seller_Master!$A:$H,8,FALSE)</f>
        <v>Standard</v>
      </c>
      <c r="U92" t="str">
        <f>VLOOKUP(A92,Cleaned_Seller_Master!$A:$H,7,FALSE)</f>
        <v>26-01-2017</v>
      </c>
      <c r="V92">
        <f>IFERROR(INDEX(Violation_Summary_Seller_Year!$C:$C,MATCH(AD92,Violation_Summary_Seller_Year!$K:$K,0)),0)</f>
        <v>3</v>
      </c>
      <c r="W92">
        <f>IFERROR(INDEX(Violation_Summary_Seller_Year!$D:$D,MATCH(AD92,Violation_Summary_Seller_Year!$K:$K,0)),0)</f>
        <v>10838.8</v>
      </c>
      <c r="X92">
        <f>IFERROR(INDEX(Violation_Summary_Seller_Year!$E:$E,MATCH(AD92,Violation_Summary_Seller_Year!$K:$K,0)),0)</f>
        <v>0</v>
      </c>
      <c r="Y92">
        <f>IFERROR(INDEX(Violation_Summary_Seller_Year!$F:$F,MATCH(AD92,Violation_Summary_Seller_Year!$K:$K,0)),0)</f>
        <v>2</v>
      </c>
      <c r="Z92">
        <f>IFERROR(INDEX(Violation_Summary_Seller_Year!$G:$G,MATCH(AD92,Violation_Summary_Seller_Year!$K:$K,0)),0)</f>
        <v>1</v>
      </c>
      <c r="AA92">
        <f>IFERROR(INDEX(Violation_Summary_Seller_Year!$H:$H,MATCH(AD92,Violation_Summary_Seller_Year!$K:$K,0)),0)</f>
        <v>3</v>
      </c>
      <c r="AB92">
        <f>IFERROR(INDEX(Violation_Summary_Seller_Year!$I:$I,MATCH(AD92,Violation_Summary_Seller_Year!$K:$K,0)),0)</f>
        <v>0</v>
      </c>
      <c r="AC92">
        <f>IFERROR(INDEX(Violation_Summary_Seller_Year!$J:$J,MATCH(AD92,Violation_Summary_Seller_Year!$K:$K,0)),0)</f>
        <v>22</v>
      </c>
      <c r="AD92" t="str">
        <f t="shared" si="8"/>
        <v>94_2021</v>
      </c>
      <c r="AE92">
        <f t="shared" si="9"/>
        <v>1</v>
      </c>
      <c r="AF92">
        <f t="shared" si="10"/>
        <v>2</v>
      </c>
      <c r="AG92">
        <f t="shared" si="11"/>
        <v>2</v>
      </c>
      <c r="AH92">
        <f t="shared" si="12"/>
        <v>0</v>
      </c>
      <c r="AI92">
        <f t="shared" si="13"/>
        <v>1</v>
      </c>
      <c r="AJ92">
        <f t="shared" si="14"/>
        <v>125</v>
      </c>
      <c r="AK92" t="str">
        <f t="shared" si="15"/>
        <v>High</v>
      </c>
    </row>
    <row r="93" spans="1:37" x14ac:dyDescent="0.3">
      <c r="A93">
        <v>95</v>
      </c>
      <c r="B93">
        <v>2021</v>
      </c>
      <c r="C93">
        <v>710</v>
      </c>
      <c r="D93">
        <v>67</v>
      </c>
      <c r="E93">
        <v>62</v>
      </c>
      <c r="F93">
        <v>5433.42</v>
      </c>
      <c r="G93">
        <v>8.7323999999999999E-2</v>
      </c>
      <c r="H93">
        <v>25</v>
      </c>
      <c r="I93">
        <v>28</v>
      </c>
      <c r="J93">
        <v>9</v>
      </c>
      <c r="K93">
        <v>9</v>
      </c>
      <c r="L93">
        <v>1</v>
      </c>
      <c r="M93">
        <v>6</v>
      </c>
      <c r="N93">
        <v>5</v>
      </c>
      <c r="O93">
        <v>4</v>
      </c>
      <c r="P93" t="s">
        <v>85</v>
      </c>
      <c r="Q93" t="str">
        <f>VLOOKUP(A93,Cleaned_Seller_Master!$A:$H,2,FALSE)</f>
        <v>Apex Retail 095</v>
      </c>
      <c r="R93" t="str">
        <f>VLOOKUP(A93,Cleaned_Seller_Master!$A:$H,4,FALSE)</f>
        <v>Groceries</v>
      </c>
      <c r="S93" t="str">
        <f>VLOOKUP(A93,Cleaned_Seller_Master!$A:$H,5,FALSE)</f>
        <v>South</v>
      </c>
      <c r="T93" t="str">
        <f>VLOOKUP(A93,Cleaned_Seller_Master!$A:$H,8,FALSE)</f>
        <v>Verified</v>
      </c>
      <c r="U93" t="str">
        <f>VLOOKUP(A93,Cleaned_Seller_Master!$A:$H,7,FALSE)</f>
        <v>26-03-2022</v>
      </c>
      <c r="V93">
        <f>IFERROR(INDEX(Violation_Summary_Seller_Year!$C:$C,MATCH(AD93,Violation_Summary_Seller_Year!$K:$K,0)),0)</f>
        <v>3</v>
      </c>
      <c r="W93">
        <f>IFERROR(INDEX(Violation_Summary_Seller_Year!$D:$D,MATCH(AD93,Violation_Summary_Seller_Year!$K:$K,0)),0)</f>
        <v>11878.34</v>
      </c>
      <c r="X93">
        <f>IFERROR(INDEX(Violation_Summary_Seller_Year!$E:$E,MATCH(AD93,Violation_Summary_Seller_Year!$K:$K,0)),0)</f>
        <v>2</v>
      </c>
      <c r="Y93">
        <f>IFERROR(INDEX(Violation_Summary_Seller_Year!$F:$F,MATCH(AD93,Violation_Summary_Seller_Year!$K:$K,0)),0)</f>
        <v>0</v>
      </c>
      <c r="Z93">
        <f>IFERROR(INDEX(Violation_Summary_Seller_Year!$G:$G,MATCH(AD93,Violation_Summary_Seller_Year!$K:$K,0)),0)</f>
        <v>3</v>
      </c>
      <c r="AA93">
        <f>IFERROR(INDEX(Violation_Summary_Seller_Year!$H:$H,MATCH(AD93,Violation_Summary_Seller_Year!$K:$K,0)),0)</f>
        <v>3</v>
      </c>
      <c r="AB93">
        <f>IFERROR(INDEX(Violation_Summary_Seller_Year!$I:$I,MATCH(AD93,Violation_Summary_Seller_Year!$K:$K,0)),0)</f>
        <v>1</v>
      </c>
      <c r="AC93">
        <f>IFERROR(INDEX(Violation_Summary_Seller_Year!$J:$J,MATCH(AD93,Violation_Summary_Seller_Year!$K:$K,0)),0)</f>
        <v>35</v>
      </c>
      <c r="AD93" t="str">
        <f t="shared" si="8"/>
        <v>95_2021</v>
      </c>
      <c r="AE93">
        <f t="shared" si="9"/>
        <v>1</v>
      </c>
      <c r="AF93">
        <f t="shared" si="10"/>
        <v>2</v>
      </c>
      <c r="AG93">
        <f t="shared" si="11"/>
        <v>2</v>
      </c>
      <c r="AH93">
        <f t="shared" si="12"/>
        <v>2</v>
      </c>
      <c r="AI93">
        <f t="shared" si="13"/>
        <v>2</v>
      </c>
      <c r="AJ93">
        <f t="shared" si="14"/>
        <v>175</v>
      </c>
      <c r="AK93" t="str">
        <f t="shared" si="15"/>
        <v>High</v>
      </c>
    </row>
    <row r="94" spans="1:37" x14ac:dyDescent="0.3">
      <c r="A94">
        <v>96</v>
      </c>
      <c r="B94">
        <v>2021</v>
      </c>
      <c r="C94">
        <v>588</v>
      </c>
      <c r="D94">
        <v>21</v>
      </c>
      <c r="E94">
        <v>20</v>
      </c>
      <c r="F94">
        <v>1045.73</v>
      </c>
      <c r="G94">
        <v>3.4014000000000003E-2</v>
      </c>
      <c r="H94">
        <v>12</v>
      </c>
      <c r="I94">
        <v>12</v>
      </c>
      <c r="J94">
        <v>5</v>
      </c>
      <c r="K94">
        <v>7</v>
      </c>
      <c r="L94">
        <v>1</v>
      </c>
      <c r="M94">
        <v>2</v>
      </c>
      <c r="N94">
        <v>3</v>
      </c>
      <c r="O94">
        <v>1</v>
      </c>
      <c r="P94" t="s">
        <v>85</v>
      </c>
      <c r="Q94" t="str">
        <f>VLOOKUP(A94,Cleaned_Seller_Master!$A:$H,2,FALSE)</f>
        <v>Nimbus Market 096</v>
      </c>
      <c r="R94" t="str">
        <f>VLOOKUP(A94,Cleaned_Seller_Master!$A:$H,4,FALSE)</f>
        <v>Beauty</v>
      </c>
      <c r="S94" t="str">
        <f>VLOOKUP(A94,Cleaned_Seller_Master!$A:$H,5,FALSE)</f>
        <v>North</v>
      </c>
      <c r="T94" t="str">
        <f>VLOOKUP(A94,Cleaned_Seller_Master!$A:$H,8,FALSE)</f>
        <v>Verified</v>
      </c>
      <c r="U94" t="str">
        <f>VLOOKUP(A94,Cleaned_Seller_Master!$A:$H,7,FALSE)</f>
        <v>12-01-2019</v>
      </c>
      <c r="V94">
        <f>IFERROR(INDEX(Violation_Summary_Seller_Year!$C:$C,MATCH(AD94,Violation_Summary_Seller_Year!$K:$K,0)),0)</f>
        <v>2</v>
      </c>
      <c r="W94">
        <f>IFERROR(INDEX(Violation_Summary_Seller_Year!$D:$D,MATCH(AD94,Violation_Summary_Seller_Year!$K:$K,0)),0)</f>
        <v>2290.35</v>
      </c>
      <c r="X94">
        <f>IFERROR(INDEX(Violation_Summary_Seller_Year!$E:$E,MATCH(AD94,Violation_Summary_Seller_Year!$K:$K,0)),0)</f>
        <v>1</v>
      </c>
      <c r="Y94">
        <f>IFERROR(INDEX(Violation_Summary_Seller_Year!$F:$F,MATCH(AD94,Violation_Summary_Seller_Year!$K:$K,0)),0)</f>
        <v>2</v>
      </c>
      <c r="Z94">
        <f>IFERROR(INDEX(Violation_Summary_Seller_Year!$G:$G,MATCH(AD94,Violation_Summary_Seller_Year!$K:$K,0)),0)</f>
        <v>0</v>
      </c>
      <c r="AA94">
        <f>IFERROR(INDEX(Violation_Summary_Seller_Year!$H:$H,MATCH(AD94,Violation_Summary_Seller_Year!$K:$K,0)),0)</f>
        <v>1</v>
      </c>
      <c r="AB94">
        <f>IFERROR(INDEX(Violation_Summary_Seller_Year!$I:$I,MATCH(AD94,Violation_Summary_Seller_Year!$K:$K,0)),0)</f>
        <v>1</v>
      </c>
      <c r="AC94">
        <f>IFERROR(INDEX(Violation_Summary_Seller_Year!$J:$J,MATCH(AD94,Violation_Summary_Seller_Year!$K:$K,0)),0)</f>
        <v>18</v>
      </c>
      <c r="AD94" t="str">
        <f t="shared" si="8"/>
        <v>96_2021</v>
      </c>
      <c r="AE94">
        <f t="shared" si="9"/>
        <v>0</v>
      </c>
      <c r="AF94">
        <f t="shared" si="10"/>
        <v>2</v>
      </c>
      <c r="AG94">
        <f t="shared" si="11"/>
        <v>1</v>
      </c>
      <c r="AH94">
        <f t="shared" si="12"/>
        <v>2</v>
      </c>
      <c r="AI94">
        <f t="shared" si="13"/>
        <v>2</v>
      </c>
      <c r="AJ94">
        <f t="shared" si="14"/>
        <v>130</v>
      </c>
      <c r="AK94" t="str">
        <f t="shared" si="15"/>
        <v>High</v>
      </c>
    </row>
    <row r="95" spans="1:37" x14ac:dyDescent="0.3">
      <c r="A95">
        <v>97</v>
      </c>
      <c r="B95">
        <v>2021</v>
      </c>
      <c r="C95">
        <v>1188</v>
      </c>
      <c r="D95">
        <v>115</v>
      </c>
      <c r="E95">
        <v>93</v>
      </c>
      <c r="F95">
        <v>3844.36</v>
      </c>
      <c r="G95">
        <v>7.8283000000000005E-2</v>
      </c>
      <c r="H95">
        <v>35</v>
      </c>
      <c r="I95">
        <v>37</v>
      </c>
      <c r="J95">
        <v>19</v>
      </c>
      <c r="K95">
        <v>14</v>
      </c>
      <c r="L95">
        <v>1</v>
      </c>
      <c r="M95">
        <v>8</v>
      </c>
      <c r="N95">
        <v>6</v>
      </c>
      <c r="O95">
        <v>3</v>
      </c>
      <c r="P95" t="s">
        <v>85</v>
      </c>
      <c r="Q95" t="str">
        <f>VLOOKUP(A95,Cleaned_Seller_Master!$A:$H,2,FALSE)</f>
        <v>Metro Point 097</v>
      </c>
      <c r="R95" t="str">
        <f>VLOOKUP(A95,Cleaned_Seller_Master!$A:$H,4,FALSE)</f>
        <v>Groceries</v>
      </c>
      <c r="S95" t="str">
        <f>VLOOKUP(A95,Cleaned_Seller_Master!$A:$H,5,FALSE)</f>
        <v>North</v>
      </c>
      <c r="T95" t="str">
        <f>VLOOKUP(A95,Cleaned_Seller_Master!$A:$H,8,FALSE)</f>
        <v>Standard</v>
      </c>
      <c r="U95" t="str">
        <f>VLOOKUP(A95,Cleaned_Seller_Master!$A:$H,7,FALSE)</f>
        <v>25-08-2025</v>
      </c>
      <c r="V95">
        <f>IFERROR(INDEX(Violation_Summary_Seller_Year!$C:$C,MATCH(AD95,Violation_Summary_Seller_Year!$K:$K,0)),0)</f>
        <v>3</v>
      </c>
      <c r="W95">
        <f>IFERROR(INDEX(Violation_Summary_Seller_Year!$D:$D,MATCH(AD95,Violation_Summary_Seller_Year!$K:$K,0)),0)</f>
        <v>5537.24</v>
      </c>
      <c r="X95">
        <f>IFERROR(INDEX(Violation_Summary_Seller_Year!$E:$E,MATCH(AD95,Violation_Summary_Seller_Year!$K:$K,0)),0)</f>
        <v>2</v>
      </c>
      <c r="Y95">
        <f>IFERROR(INDEX(Violation_Summary_Seller_Year!$F:$F,MATCH(AD95,Violation_Summary_Seller_Year!$K:$K,0)),0)</f>
        <v>1</v>
      </c>
      <c r="Z95">
        <f>IFERROR(INDEX(Violation_Summary_Seller_Year!$G:$G,MATCH(AD95,Violation_Summary_Seller_Year!$K:$K,0)),0)</f>
        <v>2</v>
      </c>
      <c r="AA95">
        <f>IFERROR(INDEX(Violation_Summary_Seller_Year!$H:$H,MATCH(AD95,Violation_Summary_Seller_Year!$K:$K,0)),0)</f>
        <v>2</v>
      </c>
      <c r="AB95">
        <f>IFERROR(INDEX(Violation_Summary_Seller_Year!$I:$I,MATCH(AD95,Violation_Summary_Seller_Year!$K:$K,0)),0)</f>
        <v>2</v>
      </c>
      <c r="AC95">
        <f>IFERROR(INDEX(Violation_Summary_Seller_Year!$J:$J,MATCH(AD95,Violation_Summary_Seller_Year!$K:$K,0)),0)</f>
        <v>20</v>
      </c>
      <c r="AD95" t="str">
        <f t="shared" si="8"/>
        <v>97_2021</v>
      </c>
      <c r="AE95">
        <f t="shared" si="9"/>
        <v>1</v>
      </c>
      <c r="AF95">
        <f t="shared" si="10"/>
        <v>2</v>
      </c>
      <c r="AG95">
        <f t="shared" si="11"/>
        <v>2</v>
      </c>
      <c r="AH95">
        <f t="shared" si="12"/>
        <v>2</v>
      </c>
      <c r="AI95">
        <f t="shared" si="13"/>
        <v>2</v>
      </c>
      <c r="AJ95">
        <f t="shared" si="14"/>
        <v>175</v>
      </c>
      <c r="AK95" t="str">
        <f t="shared" si="15"/>
        <v>High</v>
      </c>
    </row>
    <row r="96" spans="1:37" x14ac:dyDescent="0.3">
      <c r="A96">
        <v>98</v>
      </c>
      <c r="B96">
        <v>2021</v>
      </c>
      <c r="C96">
        <v>1355</v>
      </c>
      <c r="D96">
        <v>53</v>
      </c>
      <c r="E96">
        <v>43</v>
      </c>
      <c r="F96">
        <v>2073.5500000000002</v>
      </c>
      <c r="G96">
        <v>3.1733999999999998E-2</v>
      </c>
      <c r="H96">
        <v>14</v>
      </c>
      <c r="I96">
        <v>25</v>
      </c>
      <c r="J96">
        <v>9</v>
      </c>
      <c r="K96">
        <v>9</v>
      </c>
      <c r="L96">
        <v>0</v>
      </c>
      <c r="M96">
        <v>3</v>
      </c>
      <c r="N96">
        <v>4</v>
      </c>
      <c r="O96">
        <v>3</v>
      </c>
      <c r="P96" t="s">
        <v>175</v>
      </c>
      <c r="Q96" t="str">
        <f>VLOOKUP(A96,Cleaned_Seller_Master!$A:$H,2,FALSE)</f>
        <v>Luna Stores 098</v>
      </c>
      <c r="R96" t="str">
        <f>VLOOKUP(A96,Cleaned_Seller_Master!$A:$H,4,FALSE)</f>
        <v>Groceries</v>
      </c>
      <c r="S96" t="str">
        <f>VLOOKUP(A96,Cleaned_Seller_Master!$A:$H,5,FALSE)</f>
        <v>East</v>
      </c>
      <c r="T96" t="str">
        <f>VLOOKUP(A96,Cleaned_Seller_Master!$A:$H,8,FALSE)</f>
        <v>Verified</v>
      </c>
      <c r="U96" t="str">
        <f>VLOOKUP(A96,Cleaned_Seller_Master!$A:$H,7,FALSE)</f>
        <v>16-01-2017</v>
      </c>
      <c r="V96">
        <f>IFERROR(INDEX(Violation_Summary_Seller_Year!$C:$C,MATCH(AD96,Violation_Summary_Seller_Year!$K:$K,0)),0)</f>
        <v>1</v>
      </c>
      <c r="W96">
        <f>IFERROR(INDEX(Violation_Summary_Seller_Year!$D:$D,MATCH(AD96,Violation_Summary_Seller_Year!$K:$K,0)),0)</f>
        <v>370.26</v>
      </c>
      <c r="X96">
        <f>IFERROR(INDEX(Violation_Summary_Seller_Year!$E:$E,MATCH(AD96,Violation_Summary_Seller_Year!$K:$K,0)),0)</f>
        <v>0</v>
      </c>
      <c r="Y96">
        <f>IFERROR(INDEX(Violation_Summary_Seller_Year!$F:$F,MATCH(AD96,Violation_Summary_Seller_Year!$K:$K,0)),0)</f>
        <v>1</v>
      </c>
      <c r="Z96">
        <f>IFERROR(INDEX(Violation_Summary_Seller_Year!$G:$G,MATCH(AD96,Violation_Summary_Seller_Year!$K:$K,0)),0)</f>
        <v>0</v>
      </c>
      <c r="AA96">
        <f>IFERROR(INDEX(Violation_Summary_Seller_Year!$H:$H,MATCH(AD96,Violation_Summary_Seller_Year!$K:$K,0)),0)</f>
        <v>0</v>
      </c>
      <c r="AB96">
        <f>IFERROR(INDEX(Violation_Summary_Seller_Year!$I:$I,MATCH(AD96,Violation_Summary_Seller_Year!$K:$K,0)),0)</f>
        <v>0</v>
      </c>
      <c r="AC96">
        <f>IFERROR(INDEX(Violation_Summary_Seller_Year!$J:$J,MATCH(AD96,Violation_Summary_Seller_Year!$K:$K,0)),0)</f>
        <v>4</v>
      </c>
      <c r="AD96" t="str">
        <f t="shared" si="8"/>
        <v>98_2021</v>
      </c>
      <c r="AE96">
        <f t="shared" si="9"/>
        <v>0</v>
      </c>
      <c r="AF96">
        <f t="shared" si="10"/>
        <v>2</v>
      </c>
      <c r="AG96">
        <f t="shared" si="11"/>
        <v>0</v>
      </c>
      <c r="AH96">
        <f t="shared" si="12"/>
        <v>0</v>
      </c>
      <c r="AI96">
        <f t="shared" si="13"/>
        <v>1</v>
      </c>
      <c r="AJ96">
        <f t="shared" si="14"/>
        <v>60</v>
      </c>
      <c r="AK96" t="str">
        <f t="shared" si="15"/>
        <v>Medium</v>
      </c>
    </row>
    <row r="97" spans="1:37" x14ac:dyDescent="0.3">
      <c r="A97">
        <v>99</v>
      </c>
      <c r="B97">
        <v>2021</v>
      </c>
      <c r="C97">
        <v>426</v>
      </c>
      <c r="D97">
        <v>20</v>
      </c>
      <c r="E97">
        <v>16</v>
      </c>
      <c r="F97">
        <v>1488.41</v>
      </c>
      <c r="G97">
        <v>3.7559000000000002E-2</v>
      </c>
      <c r="H97">
        <v>6</v>
      </c>
      <c r="I97">
        <v>13</v>
      </c>
      <c r="J97">
        <v>4</v>
      </c>
      <c r="K97">
        <v>3</v>
      </c>
      <c r="L97">
        <v>0</v>
      </c>
      <c r="M97">
        <v>1</v>
      </c>
      <c r="N97">
        <v>1</v>
      </c>
      <c r="O97">
        <v>1</v>
      </c>
      <c r="P97" t="s">
        <v>175</v>
      </c>
      <c r="Q97" t="str">
        <f>VLOOKUP(A97,Cleaned_Seller_Master!$A:$H,2,FALSE)</f>
        <v>Elite Link 099</v>
      </c>
      <c r="R97" t="str">
        <f>VLOOKUP(A97,Cleaned_Seller_Master!$A:$H,4,FALSE)</f>
        <v>Fashion</v>
      </c>
      <c r="S97" t="str">
        <f>VLOOKUP(A97,Cleaned_Seller_Master!$A:$H,5,FALSE)</f>
        <v>Southeast Asia</v>
      </c>
      <c r="T97" t="str">
        <f>VLOOKUP(A97,Cleaned_Seller_Master!$A:$H,8,FALSE)</f>
        <v>Premium</v>
      </c>
      <c r="U97" t="str">
        <f>VLOOKUP(A97,Cleaned_Seller_Master!$A:$H,7,FALSE)</f>
        <v>09-03-2018</v>
      </c>
      <c r="V97">
        <f>IFERROR(INDEX(Violation_Summary_Seller_Year!$C:$C,MATCH(AD97,Violation_Summary_Seller_Year!$K:$K,0)),0)</f>
        <v>3</v>
      </c>
      <c r="W97">
        <f>IFERROR(INDEX(Violation_Summary_Seller_Year!$D:$D,MATCH(AD97,Violation_Summary_Seller_Year!$K:$K,0)),0)</f>
        <v>2418.3399999999997</v>
      </c>
      <c r="X97">
        <f>IFERROR(INDEX(Violation_Summary_Seller_Year!$E:$E,MATCH(AD97,Violation_Summary_Seller_Year!$K:$K,0)),0)</f>
        <v>0</v>
      </c>
      <c r="Y97">
        <f>IFERROR(INDEX(Violation_Summary_Seller_Year!$F:$F,MATCH(AD97,Violation_Summary_Seller_Year!$K:$K,0)),0)</f>
        <v>2</v>
      </c>
      <c r="Z97">
        <f>IFERROR(INDEX(Violation_Summary_Seller_Year!$G:$G,MATCH(AD97,Violation_Summary_Seller_Year!$K:$K,0)),0)</f>
        <v>1</v>
      </c>
      <c r="AA97">
        <f>IFERROR(INDEX(Violation_Summary_Seller_Year!$H:$H,MATCH(AD97,Violation_Summary_Seller_Year!$K:$K,0)),0)</f>
        <v>0</v>
      </c>
      <c r="AB97">
        <f>IFERROR(INDEX(Violation_Summary_Seller_Year!$I:$I,MATCH(AD97,Violation_Summary_Seller_Year!$K:$K,0)),0)</f>
        <v>1</v>
      </c>
      <c r="AC97">
        <f>IFERROR(INDEX(Violation_Summary_Seller_Year!$J:$J,MATCH(AD97,Violation_Summary_Seller_Year!$K:$K,0)),0)</f>
        <v>12</v>
      </c>
      <c r="AD97" t="str">
        <f t="shared" si="8"/>
        <v>99_2021</v>
      </c>
      <c r="AE97">
        <f t="shared" si="9"/>
        <v>0</v>
      </c>
      <c r="AF97">
        <f t="shared" si="10"/>
        <v>1</v>
      </c>
      <c r="AG97">
        <f t="shared" si="11"/>
        <v>1</v>
      </c>
      <c r="AH97">
        <f t="shared" si="12"/>
        <v>0</v>
      </c>
      <c r="AI97">
        <f t="shared" si="13"/>
        <v>1</v>
      </c>
      <c r="AJ97">
        <f t="shared" si="14"/>
        <v>55</v>
      </c>
      <c r="AK97" t="str">
        <f t="shared" si="15"/>
        <v>Low</v>
      </c>
    </row>
    <row r="98" spans="1:37" x14ac:dyDescent="0.3">
      <c r="A98">
        <v>100</v>
      </c>
      <c r="B98">
        <v>2021</v>
      </c>
      <c r="C98">
        <v>209</v>
      </c>
      <c r="D98">
        <v>10</v>
      </c>
      <c r="E98">
        <v>9</v>
      </c>
      <c r="F98">
        <v>726.14</v>
      </c>
      <c r="G98">
        <v>4.3062000000000003E-2</v>
      </c>
      <c r="H98">
        <v>6</v>
      </c>
      <c r="I98">
        <v>6</v>
      </c>
      <c r="J98">
        <v>2</v>
      </c>
      <c r="K98">
        <v>3</v>
      </c>
      <c r="L98">
        <v>0</v>
      </c>
      <c r="M98">
        <v>0</v>
      </c>
      <c r="N98">
        <v>1</v>
      </c>
      <c r="O98">
        <v>0</v>
      </c>
      <c r="P98" t="s">
        <v>175</v>
      </c>
      <c r="Q98" t="str">
        <f>VLOOKUP(A98,Cleaned_Seller_Master!$A:$H,2,FALSE)</f>
        <v>Nova Cart 100</v>
      </c>
      <c r="R98" t="str">
        <f>VLOOKUP(A98,Cleaned_Seller_Master!$A:$H,4,FALSE)</f>
        <v>Groceries</v>
      </c>
      <c r="S98" t="str">
        <f>VLOOKUP(A98,Cleaned_Seller_Master!$A:$H,5,FALSE)</f>
        <v>Southeast Asia</v>
      </c>
      <c r="T98" t="str">
        <f>VLOOKUP(A98,Cleaned_Seller_Master!$A:$H,8,FALSE)</f>
        <v>Verified</v>
      </c>
      <c r="U98" t="str">
        <f>VLOOKUP(A98,Cleaned_Seller_Master!$A:$H,7,FALSE)</f>
        <v>04-12-2018</v>
      </c>
      <c r="V98">
        <f>IFERROR(INDEX(Violation_Summary_Seller_Year!$C:$C,MATCH(AD98,Violation_Summary_Seller_Year!$K:$K,0)),0)</f>
        <v>3</v>
      </c>
      <c r="W98">
        <f>IFERROR(INDEX(Violation_Summary_Seller_Year!$D:$D,MATCH(AD98,Violation_Summary_Seller_Year!$K:$K,0)),0)</f>
        <v>3181.16</v>
      </c>
      <c r="X98">
        <f>IFERROR(INDEX(Violation_Summary_Seller_Year!$E:$E,MATCH(AD98,Violation_Summary_Seller_Year!$K:$K,0)),0)</f>
        <v>0</v>
      </c>
      <c r="Y98">
        <f>IFERROR(INDEX(Violation_Summary_Seller_Year!$F:$F,MATCH(AD98,Violation_Summary_Seller_Year!$K:$K,0)),0)</f>
        <v>3</v>
      </c>
      <c r="Z98">
        <f>IFERROR(INDEX(Violation_Summary_Seller_Year!$G:$G,MATCH(AD98,Violation_Summary_Seller_Year!$K:$K,0)),0)</f>
        <v>0</v>
      </c>
      <c r="AA98">
        <f>IFERROR(INDEX(Violation_Summary_Seller_Year!$H:$H,MATCH(AD98,Violation_Summary_Seller_Year!$K:$K,0)),0)</f>
        <v>1</v>
      </c>
      <c r="AB98">
        <f>IFERROR(INDEX(Violation_Summary_Seller_Year!$I:$I,MATCH(AD98,Violation_Summary_Seller_Year!$K:$K,0)),0)</f>
        <v>1</v>
      </c>
      <c r="AC98">
        <f>IFERROR(INDEX(Violation_Summary_Seller_Year!$J:$J,MATCH(AD98,Violation_Summary_Seller_Year!$K:$K,0)),0)</f>
        <v>14</v>
      </c>
      <c r="AD98" t="str">
        <f t="shared" si="8"/>
        <v>100_2021</v>
      </c>
      <c r="AE98">
        <f t="shared" si="9"/>
        <v>0</v>
      </c>
      <c r="AF98">
        <f t="shared" si="10"/>
        <v>1</v>
      </c>
      <c r="AG98">
        <f t="shared" si="11"/>
        <v>1</v>
      </c>
      <c r="AH98">
        <f t="shared" si="12"/>
        <v>0</v>
      </c>
      <c r="AI98">
        <f t="shared" si="13"/>
        <v>1</v>
      </c>
      <c r="AJ98">
        <f t="shared" si="14"/>
        <v>55</v>
      </c>
      <c r="AK98" t="str">
        <f t="shared" si="15"/>
        <v>Low</v>
      </c>
    </row>
    <row r="99" spans="1:37" x14ac:dyDescent="0.3">
      <c r="A99">
        <v>1</v>
      </c>
      <c r="B99">
        <v>2022</v>
      </c>
      <c r="C99">
        <v>806</v>
      </c>
      <c r="D99">
        <v>70</v>
      </c>
      <c r="E99">
        <v>64</v>
      </c>
      <c r="F99">
        <v>5048.0200000000004</v>
      </c>
      <c r="G99">
        <v>7.9404000000000002E-2</v>
      </c>
      <c r="H99">
        <v>18</v>
      </c>
      <c r="I99">
        <v>26</v>
      </c>
      <c r="J99">
        <v>10</v>
      </c>
      <c r="K99">
        <v>6</v>
      </c>
      <c r="L99">
        <v>1</v>
      </c>
      <c r="M99">
        <v>6</v>
      </c>
      <c r="N99">
        <v>6</v>
      </c>
      <c r="O99">
        <v>4</v>
      </c>
      <c r="P99" t="s">
        <v>85</v>
      </c>
      <c r="Q99" t="str">
        <f>VLOOKUP(A99,Cleaned_Seller_Master!$A:$H,2,FALSE)</f>
        <v>Swift Goods 001</v>
      </c>
      <c r="R99" t="str">
        <f>VLOOKUP(A99,Cleaned_Seller_Master!$A:$H,4,FALSE)</f>
        <v>Electronics</v>
      </c>
      <c r="S99" t="str">
        <f>VLOOKUP(A99,Cleaned_Seller_Master!$A:$H,5,FALSE)</f>
        <v>Southeast Asia</v>
      </c>
      <c r="T99" t="str">
        <f>VLOOKUP(A99,Cleaned_Seller_Master!$A:$H,8,FALSE)</f>
        <v>Standard</v>
      </c>
      <c r="U99" t="str">
        <f>VLOOKUP(A99,Cleaned_Seller_Master!$A:$H,7,FALSE)</f>
        <v>01-01-2023</v>
      </c>
      <c r="V99">
        <f>IFERROR(INDEX(Violation_Summary_Seller_Year!$C:$C,MATCH(AD99,Violation_Summary_Seller_Year!$K:$K,0)),0)</f>
        <v>6</v>
      </c>
      <c r="W99">
        <f>IFERROR(INDEX(Violation_Summary_Seller_Year!$D:$D,MATCH(AD99,Violation_Summary_Seller_Year!$K:$K,0)),0)</f>
        <v>18392.100000000006</v>
      </c>
      <c r="X99">
        <f>IFERROR(INDEX(Violation_Summary_Seller_Year!$E:$E,MATCH(AD99,Violation_Summary_Seller_Year!$K:$K,0)),0)</f>
        <v>6</v>
      </c>
      <c r="Y99">
        <f>IFERROR(INDEX(Violation_Summary_Seller_Year!$F:$F,MATCH(AD99,Violation_Summary_Seller_Year!$K:$K,0)),0)</f>
        <v>2</v>
      </c>
      <c r="Z99">
        <f>IFERROR(INDEX(Violation_Summary_Seller_Year!$G:$G,MATCH(AD99,Violation_Summary_Seller_Year!$K:$K,0)),0)</f>
        <v>4</v>
      </c>
      <c r="AA99">
        <f>IFERROR(INDEX(Violation_Summary_Seller_Year!$H:$H,MATCH(AD99,Violation_Summary_Seller_Year!$K:$K,0)),0)</f>
        <v>5</v>
      </c>
      <c r="AB99">
        <f>IFERROR(INDEX(Violation_Summary_Seller_Year!$I:$I,MATCH(AD99,Violation_Summary_Seller_Year!$K:$K,0)),0)</f>
        <v>2</v>
      </c>
      <c r="AC99">
        <f>IFERROR(INDEX(Violation_Summary_Seller_Year!$J:$J,MATCH(AD99,Violation_Summary_Seller_Year!$K:$K,0)),0)</f>
        <v>51</v>
      </c>
      <c r="AD99" t="str">
        <f t="shared" si="8"/>
        <v>1_2022</v>
      </c>
      <c r="AE99">
        <f t="shared" si="9"/>
        <v>1</v>
      </c>
      <c r="AF99">
        <f t="shared" si="10"/>
        <v>2</v>
      </c>
      <c r="AG99">
        <f t="shared" si="11"/>
        <v>2</v>
      </c>
      <c r="AH99">
        <f t="shared" si="12"/>
        <v>2</v>
      </c>
      <c r="AI99">
        <f t="shared" si="13"/>
        <v>2</v>
      </c>
      <c r="AJ99">
        <f t="shared" si="14"/>
        <v>175</v>
      </c>
      <c r="AK99" t="str">
        <f t="shared" si="15"/>
        <v>High</v>
      </c>
    </row>
    <row r="100" spans="1:37" x14ac:dyDescent="0.3">
      <c r="A100">
        <v>2</v>
      </c>
      <c r="B100">
        <v>2022</v>
      </c>
      <c r="C100">
        <v>1666</v>
      </c>
      <c r="D100">
        <v>160</v>
      </c>
      <c r="E100">
        <v>146</v>
      </c>
      <c r="F100">
        <v>6387.33</v>
      </c>
      <c r="G100">
        <v>8.7635000000000005E-2</v>
      </c>
      <c r="H100">
        <v>30</v>
      </c>
      <c r="I100">
        <v>46</v>
      </c>
      <c r="J100">
        <v>14</v>
      </c>
      <c r="K100">
        <v>15</v>
      </c>
      <c r="L100">
        <v>0</v>
      </c>
      <c r="M100">
        <v>4</v>
      </c>
      <c r="N100">
        <v>7</v>
      </c>
      <c r="O100">
        <v>3</v>
      </c>
      <c r="P100" t="s">
        <v>68</v>
      </c>
      <c r="Q100" t="str">
        <f>VLOOKUP(A100,Cleaned_Seller_Master!$A:$H,2,FALSE)</f>
        <v>Blue Source 002</v>
      </c>
      <c r="R100" t="str">
        <f>VLOOKUP(A100,Cleaned_Seller_Master!$A:$H,4,FALSE)</f>
        <v>Home</v>
      </c>
      <c r="S100" t="str">
        <f>VLOOKUP(A100,Cleaned_Seller_Master!$A:$H,5,FALSE)</f>
        <v>South</v>
      </c>
      <c r="T100" t="str">
        <f>VLOOKUP(A100,Cleaned_Seller_Master!$A:$H,8,FALSE)</f>
        <v>Verified</v>
      </c>
      <c r="U100" t="str">
        <f>VLOOKUP(A100,Cleaned_Seller_Master!$A:$H,7,FALSE)</f>
        <v>25-01-2022</v>
      </c>
      <c r="V100">
        <f>IFERROR(INDEX(Violation_Summary_Seller_Year!$C:$C,MATCH(AD100,Violation_Summary_Seller_Year!$K:$K,0)),0)</f>
        <v>3</v>
      </c>
      <c r="W100">
        <f>IFERROR(INDEX(Violation_Summary_Seller_Year!$D:$D,MATCH(AD100,Violation_Summary_Seller_Year!$K:$K,0)),0)</f>
        <v>5559.2999999999993</v>
      </c>
      <c r="X100">
        <f>IFERROR(INDEX(Violation_Summary_Seller_Year!$E:$E,MATCH(AD100,Violation_Summary_Seller_Year!$K:$K,0)),0)</f>
        <v>0</v>
      </c>
      <c r="Y100">
        <f>IFERROR(INDEX(Violation_Summary_Seller_Year!$F:$F,MATCH(AD100,Violation_Summary_Seller_Year!$K:$K,0)),0)</f>
        <v>2</v>
      </c>
      <c r="Z100">
        <f>IFERROR(INDEX(Violation_Summary_Seller_Year!$G:$G,MATCH(AD100,Violation_Summary_Seller_Year!$K:$K,0)),0)</f>
        <v>1</v>
      </c>
      <c r="AA100">
        <f>IFERROR(INDEX(Violation_Summary_Seller_Year!$H:$H,MATCH(AD100,Violation_Summary_Seller_Year!$K:$K,0)),0)</f>
        <v>2</v>
      </c>
      <c r="AB100">
        <f>IFERROR(INDEX(Violation_Summary_Seller_Year!$I:$I,MATCH(AD100,Violation_Summary_Seller_Year!$K:$K,0)),0)</f>
        <v>2</v>
      </c>
      <c r="AC100">
        <f>IFERROR(INDEX(Violation_Summary_Seller_Year!$J:$J,MATCH(AD100,Violation_Summary_Seller_Year!$K:$K,0)),0)</f>
        <v>29</v>
      </c>
      <c r="AD100" t="str">
        <f t="shared" si="8"/>
        <v>2_2022</v>
      </c>
      <c r="AE100">
        <f t="shared" si="9"/>
        <v>1</v>
      </c>
      <c r="AF100">
        <f t="shared" si="10"/>
        <v>2</v>
      </c>
      <c r="AG100">
        <f t="shared" si="11"/>
        <v>2</v>
      </c>
      <c r="AH100">
        <f t="shared" si="12"/>
        <v>0</v>
      </c>
      <c r="AI100">
        <f t="shared" si="13"/>
        <v>1</v>
      </c>
      <c r="AJ100">
        <f t="shared" si="14"/>
        <v>125</v>
      </c>
      <c r="AK100" t="str">
        <f t="shared" si="15"/>
        <v>High</v>
      </c>
    </row>
    <row r="101" spans="1:37" x14ac:dyDescent="0.3">
      <c r="A101">
        <v>3</v>
      </c>
      <c r="B101">
        <v>2022</v>
      </c>
      <c r="C101">
        <v>1199</v>
      </c>
      <c r="D101">
        <v>121</v>
      </c>
      <c r="E101">
        <v>102</v>
      </c>
      <c r="F101">
        <v>5475.16</v>
      </c>
      <c r="G101">
        <v>8.5070999999999994E-2</v>
      </c>
      <c r="H101">
        <v>29</v>
      </c>
      <c r="I101">
        <v>39</v>
      </c>
      <c r="J101">
        <v>17</v>
      </c>
      <c r="K101">
        <v>16</v>
      </c>
      <c r="L101">
        <v>1</v>
      </c>
      <c r="M101">
        <v>5</v>
      </c>
      <c r="N101">
        <v>8</v>
      </c>
      <c r="O101">
        <v>8</v>
      </c>
      <c r="P101" t="s">
        <v>85</v>
      </c>
      <c r="Q101" t="str">
        <f>VLOOKUP(A101,Cleaned_Seller_Master!$A:$H,2,FALSE)</f>
        <v>Vertex Supply 003</v>
      </c>
      <c r="R101" t="str">
        <f>VLOOKUP(A101,Cleaned_Seller_Master!$A:$H,4,FALSE)</f>
        <v>Electronics</v>
      </c>
      <c r="S101" t="str">
        <f>VLOOKUP(A101,Cleaned_Seller_Master!$A:$H,5,FALSE)</f>
        <v>West</v>
      </c>
      <c r="T101" t="str">
        <f>VLOOKUP(A101,Cleaned_Seller_Master!$A:$H,8,FALSE)</f>
        <v>Standard</v>
      </c>
      <c r="U101" t="str">
        <f>VLOOKUP(A101,Cleaned_Seller_Master!$A:$H,7,FALSE)</f>
        <v>20-06-2023</v>
      </c>
      <c r="V101">
        <f>IFERROR(INDEX(Violation_Summary_Seller_Year!$C:$C,MATCH(AD101,Violation_Summary_Seller_Year!$K:$K,0)),0)</f>
        <v>6</v>
      </c>
      <c r="W101">
        <f>IFERROR(INDEX(Violation_Summary_Seller_Year!$D:$D,MATCH(AD101,Violation_Summary_Seller_Year!$K:$K,0)),0)</f>
        <v>15055.120000000003</v>
      </c>
      <c r="X101">
        <f>IFERROR(INDEX(Violation_Summary_Seller_Year!$E:$E,MATCH(AD101,Violation_Summary_Seller_Year!$K:$K,0)),0)</f>
        <v>3</v>
      </c>
      <c r="Y101">
        <f>IFERROR(INDEX(Violation_Summary_Seller_Year!$F:$F,MATCH(AD101,Violation_Summary_Seller_Year!$K:$K,0)),0)</f>
        <v>4</v>
      </c>
      <c r="Z101">
        <f>IFERROR(INDEX(Violation_Summary_Seller_Year!$G:$G,MATCH(AD101,Violation_Summary_Seller_Year!$K:$K,0)),0)</f>
        <v>2</v>
      </c>
      <c r="AA101">
        <f>IFERROR(INDEX(Violation_Summary_Seller_Year!$H:$H,MATCH(AD101,Violation_Summary_Seller_Year!$K:$K,0)),0)</f>
        <v>3</v>
      </c>
      <c r="AB101">
        <f>IFERROR(INDEX(Violation_Summary_Seller_Year!$I:$I,MATCH(AD101,Violation_Summary_Seller_Year!$K:$K,0)),0)</f>
        <v>2</v>
      </c>
      <c r="AC101">
        <f>IFERROR(INDEX(Violation_Summary_Seller_Year!$J:$J,MATCH(AD101,Violation_Summary_Seller_Year!$K:$K,0)),0)</f>
        <v>34</v>
      </c>
      <c r="AD101" t="str">
        <f t="shared" si="8"/>
        <v>3_2022</v>
      </c>
      <c r="AE101">
        <f t="shared" si="9"/>
        <v>1</v>
      </c>
      <c r="AF101">
        <f t="shared" si="10"/>
        <v>2</v>
      </c>
      <c r="AG101">
        <f t="shared" si="11"/>
        <v>2</v>
      </c>
      <c r="AH101">
        <f t="shared" si="12"/>
        <v>2</v>
      </c>
      <c r="AI101">
        <f t="shared" si="13"/>
        <v>2</v>
      </c>
      <c r="AJ101">
        <f t="shared" si="14"/>
        <v>175</v>
      </c>
      <c r="AK101" t="str">
        <f t="shared" si="15"/>
        <v>High</v>
      </c>
    </row>
    <row r="102" spans="1:37" x14ac:dyDescent="0.3">
      <c r="A102">
        <v>4</v>
      </c>
      <c r="B102">
        <v>2022</v>
      </c>
      <c r="C102">
        <v>923</v>
      </c>
      <c r="D102">
        <v>74</v>
      </c>
      <c r="E102">
        <v>63</v>
      </c>
      <c r="F102">
        <v>6976.75</v>
      </c>
      <c r="G102">
        <v>6.8255999999999997E-2</v>
      </c>
      <c r="H102">
        <v>22</v>
      </c>
      <c r="I102">
        <v>32</v>
      </c>
      <c r="J102">
        <v>8</v>
      </c>
      <c r="K102">
        <v>7</v>
      </c>
      <c r="L102">
        <v>1</v>
      </c>
      <c r="M102">
        <v>5</v>
      </c>
      <c r="N102">
        <v>6</v>
      </c>
      <c r="O102">
        <v>4</v>
      </c>
      <c r="P102" t="s">
        <v>85</v>
      </c>
      <c r="Q102" t="str">
        <f>VLOOKUP(A102,Cleaned_Seller_Master!$A:$H,2,FALSE)</f>
        <v>Zen Mart 004</v>
      </c>
      <c r="R102" t="str">
        <f>VLOOKUP(A102,Cleaned_Seller_Master!$A:$H,4,FALSE)</f>
        <v>Fashion</v>
      </c>
      <c r="S102" t="str">
        <f>VLOOKUP(A102,Cleaned_Seller_Master!$A:$H,5,FALSE)</f>
        <v>Southeast Asia</v>
      </c>
      <c r="T102" t="str">
        <f>VLOOKUP(A102,Cleaned_Seller_Master!$A:$H,8,FALSE)</f>
        <v>Standard</v>
      </c>
      <c r="U102" t="str">
        <f>VLOOKUP(A102,Cleaned_Seller_Master!$A:$H,7,FALSE)</f>
        <v>03-12-2021</v>
      </c>
      <c r="V102">
        <f>IFERROR(INDEX(Violation_Summary_Seller_Year!$C:$C,MATCH(AD102,Violation_Summary_Seller_Year!$K:$K,0)),0)</f>
        <v>4</v>
      </c>
      <c r="W102">
        <f>IFERROR(INDEX(Violation_Summary_Seller_Year!$D:$D,MATCH(AD102,Violation_Summary_Seller_Year!$K:$K,0)),0)</f>
        <v>12021.630000000001</v>
      </c>
      <c r="X102">
        <f>IFERROR(INDEX(Violation_Summary_Seller_Year!$E:$E,MATCH(AD102,Violation_Summary_Seller_Year!$K:$K,0)),0)</f>
        <v>1</v>
      </c>
      <c r="Y102">
        <f>IFERROR(INDEX(Violation_Summary_Seller_Year!$F:$F,MATCH(AD102,Violation_Summary_Seller_Year!$K:$K,0)),0)</f>
        <v>2</v>
      </c>
      <c r="Z102">
        <f>IFERROR(INDEX(Violation_Summary_Seller_Year!$G:$G,MATCH(AD102,Violation_Summary_Seller_Year!$K:$K,0)),0)</f>
        <v>2</v>
      </c>
      <c r="AA102">
        <f>IFERROR(INDEX(Violation_Summary_Seller_Year!$H:$H,MATCH(AD102,Violation_Summary_Seller_Year!$K:$K,0)),0)</f>
        <v>2</v>
      </c>
      <c r="AB102">
        <f>IFERROR(INDEX(Violation_Summary_Seller_Year!$I:$I,MATCH(AD102,Violation_Summary_Seller_Year!$K:$K,0)),0)</f>
        <v>1</v>
      </c>
      <c r="AC102">
        <f>IFERROR(INDEX(Violation_Summary_Seller_Year!$J:$J,MATCH(AD102,Violation_Summary_Seller_Year!$K:$K,0)),0)</f>
        <v>12</v>
      </c>
      <c r="AD102" t="str">
        <f t="shared" si="8"/>
        <v>4_2022</v>
      </c>
      <c r="AE102">
        <f t="shared" si="9"/>
        <v>1</v>
      </c>
      <c r="AF102">
        <f t="shared" si="10"/>
        <v>2</v>
      </c>
      <c r="AG102">
        <f t="shared" si="11"/>
        <v>2</v>
      </c>
      <c r="AH102">
        <f t="shared" si="12"/>
        <v>2</v>
      </c>
      <c r="AI102">
        <f t="shared" si="13"/>
        <v>2</v>
      </c>
      <c r="AJ102">
        <f t="shared" si="14"/>
        <v>175</v>
      </c>
      <c r="AK102" t="str">
        <f t="shared" si="15"/>
        <v>High</v>
      </c>
    </row>
    <row r="103" spans="1:37" x14ac:dyDescent="0.3">
      <c r="A103">
        <v>5</v>
      </c>
      <c r="B103">
        <v>2022</v>
      </c>
      <c r="C103">
        <v>2081</v>
      </c>
      <c r="D103">
        <v>146</v>
      </c>
      <c r="E103">
        <v>117</v>
      </c>
      <c r="F103">
        <v>4049.36</v>
      </c>
      <c r="G103">
        <v>5.6223000000000002E-2</v>
      </c>
      <c r="H103">
        <v>25</v>
      </c>
      <c r="I103">
        <v>52</v>
      </c>
      <c r="J103">
        <v>14</v>
      </c>
      <c r="K103">
        <v>14</v>
      </c>
      <c r="L103">
        <v>0</v>
      </c>
      <c r="M103">
        <v>4</v>
      </c>
      <c r="N103">
        <v>5</v>
      </c>
      <c r="O103">
        <v>6</v>
      </c>
      <c r="P103" t="s">
        <v>68</v>
      </c>
      <c r="Q103" t="str">
        <f>VLOOKUP(A103,Cleaned_Seller_Master!$A:$H,2,FALSE)</f>
        <v>True House 005</v>
      </c>
      <c r="R103" t="str">
        <f>VLOOKUP(A103,Cleaned_Seller_Master!$A:$H,4,FALSE)</f>
        <v>Fashion</v>
      </c>
      <c r="S103" t="str">
        <f>VLOOKUP(A103,Cleaned_Seller_Master!$A:$H,5,FALSE)</f>
        <v>West</v>
      </c>
      <c r="T103" t="str">
        <f>VLOOKUP(A103,Cleaned_Seller_Master!$A:$H,8,FALSE)</f>
        <v>Standard</v>
      </c>
      <c r="U103" t="str">
        <f>VLOOKUP(A103,Cleaned_Seller_Master!$A:$H,7,FALSE)</f>
        <v>12-06-2020</v>
      </c>
      <c r="V103">
        <f>IFERROR(INDEX(Violation_Summary_Seller_Year!$C:$C,MATCH(AD103,Violation_Summary_Seller_Year!$K:$K,0)),0)</f>
        <v>3</v>
      </c>
      <c r="W103">
        <f>IFERROR(INDEX(Violation_Summary_Seller_Year!$D:$D,MATCH(AD103,Violation_Summary_Seller_Year!$K:$K,0)),0)</f>
        <v>7177.72</v>
      </c>
      <c r="X103">
        <f>IFERROR(INDEX(Violation_Summary_Seller_Year!$E:$E,MATCH(AD103,Violation_Summary_Seller_Year!$K:$K,0)),0)</f>
        <v>0</v>
      </c>
      <c r="Y103">
        <f>IFERROR(INDEX(Violation_Summary_Seller_Year!$F:$F,MATCH(AD103,Violation_Summary_Seller_Year!$K:$K,0)),0)</f>
        <v>2</v>
      </c>
      <c r="Z103">
        <f>IFERROR(INDEX(Violation_Summary_Seller_Year!$G:$G,MATCH(AD103,Violation_Summary_Seller_Year!$K:$K,0)),0)</f>
        <v>1</v>
      </c>
      <c r="AA103">
        <f>IFERROR(INDEX(Violation_Summary_Seller_Year!$H:$H,MATCH(AD103,Violation_Summary_Seller_Year!$K:$K,0)),0)</f>
        <v>2</v>
      </c>
      <c r="AB103">
        <f>IFERROR(INDEX(Violation_Summary_Seller_Year!$I:$I,MATCH(AD103,Violation_Summary_Seller_Year!$K:$K,0)),0)</f>
        <v>1</v>
      </c>
      <c r="AC103">
        <f>IFERROR(INDEX(Violation_Summary_Seller_Year!$J:$J,MATCH(AD103,Violation_Summary_Seller_Year!$K:$K,0)),0)</f>
        <v>17</v>
      </c>
      <c r="AD103" t="str">
        <f t="shared" si="8"/>
        <v>5_2022</v>
      </c>
      <c r="AE103">
        <f t="shared" si="9"/>
        <v>1</v>
      </c>
      <c r="AF103">
        <f t="shared" si="10"/>
        <v>2</v>
      </c>
      <c r="AG103">
        <f t="shared" si="11"/>
        <v>2</v>
      </c>
      <c r="AH103">
        <f t="shared" si="12"/>
        <v>0</v>
      </c>
      <c r="AI103">
        <f t="shared" si="13"/>
        <v>1</v>
      </c>
      <c r="AJ103">
        <f t="shared" si="14"/>
        <v>125</v>
      </c>
      <c r="AK103" t="str">
        <f t="shared" si="15"/>
        <v>High</v>
      </c>
    </row>
    <row r="104" spans="1:37" x14ac:dyDescent="0.3">
      <c r="A104">
        <v>6</v>
      </c>
      <c r="B104">
        <v>2022</v>
      </c>
      <c r="C104">
        <v>1425</v>
      </c>
      <c r="D104">
        <v>115</v>
      </c>
      <c r="E104">
        <v>86</v>
      </c>
      <c r="F104">
        <v>8076.26</v>
      </c>
      <c r="G104">
        <v>6.0351000000000002E-2</v>
      </c>
      <c r="H104">
        <v>24</v>
      </c>
      <c r="I104">
        <v>42</v>
      </c>
      <c r="J104">
        <v>16</v>
      </c>
      <c r="K104">
        <v>9</v>
      </c>
      <c r="L104">
        <v>1</v>
      </c>
      <c r="M104">
        <v>5</v>
      </c>
      <c r="N104">
        <v>7</v>
      </c>
      <c r="O104">
        <v>4</v>
      </c>
      <c r="P104" t="s">
        <v>85</v>
      </c>
      <c r="Q104" t="str">
        <f>VLOOKUP(A104,Cleaned_Seller_Master!$A:$H,2,FALSE)</f>
        <v>Core Traders 006</v>
      </c>
      <c r="R104" t="str">
        <f>VLOOKUP(A104,Cleaned_Seller_Master!$A:$H,4,FALSE)</f>
        <v>Beauty</v>
      </c>
      <c r="S104" t="str">
        <f>VLOOKUP(A104,Cleaned_Seller_Master!$A:$H,5,FALSE)</f>
        <v>South</v>
      </c>
      <c r="T104" t="str">
        <f>VLOOKUP(A104,Cleaned_Seller_Master!$A:$H,8,FALSE)</f>
        <v>Premium</v>
      </c>
      <c r="U104" t="str">
        <f>VLOOKUP(A104,Cleaned_Seller_Master!$A:$H,7,FALSE)</f>
        <v>21-05-2023</v>
      </c>
      <c r="V104">
        <f>IFERROR(INDEX(Violation_Summary_Seller_Year!$C:$C,MATCH(AD104,Violation_Summary_Seller_Year!$K:$K,0)),0)</f>
        <v>3</v>
      </c>
      <c r="W104">
        <f>IFERROR(INDEX(Violation_Summary_Seller_Year!$D:$D,MATCH(AD104,Violation_Summary_Seller_Year!$K:$K,0)),0)</f>
        <v>9649.93</v>
      </c>
      <c r="X104">
        <f>IFERROR(INDEX(Violation_Summary_Seller_Year!$E:$E,MATCH(AD104,Violation_Summary_Seller_Year!$K:$K,0)),0)</f>
        <v>3</v>
      </c>
      <c r="Y104">
        <f>IFERROR(INDEX(Violation_Summary_Seller_Year!$F:$F,MATCH(AD104,Violation_Summary_Seller_Year!$K:$K,0)),0)</f>
        <v>1</v>
      </c>
      <c r="Z104">
        <f>IFERROR(INDEX(Violation_Summary_Seller_Year!$G:$G,MATCH(AD104,Violation_Summary_Seller_Year!$K:$K,0)),0)</f>
        <v>2</v>
      </c>
      <c r="AA104">
        <f>IFERROR(INDEX(Violation_Summary_Seller_Year!$H:$H,MATCH(AD104,Violation_Summary_Seller_Year!$K:$K,0)),0)</f>
        <v>2</v>
      </c>
      <c r="AB104">
        <f>IFERROR(INDEX(Violation_Summary_Seller_Year!$I:$I,MATCH(AD104,Violation_Summary_Seller_Year!$K:$K,0)),0)</f>
        <v>2</v>
      </c>
      <c r="AC104">
        <f>IFERROR(INDEX(Violation_Summary_Seller_Year!$J:$J,MATCH(AD104,Violation_Summary_Seller_Year!$K:$K,0)),0)</f>
        <v>28</v>
      </c>
      <c r="AD104" t="str">
        <f t="shared" si="8"/>
        <v>6_2022</v>
      </c>
      <c r="AE104">
        <f t="shared" si="9"/>
        <v>1</v>
      </c>
      <c r="AF104">
        <f t="shared" si="10"/>
        <v>2</v>
      </c>
      <c r="AG104">
        <f t="shared" si="11"/>
        <v>2</v>
      </c>
      <c r="AH104">
        <f t="shared" si="12"/>
        <v>2</v>
      </c>
      <c r="AI104">
        <f t="shared" si="13"/>
        <v>2</v>
      </c>
      <c r="AJ104">
        <f t="shared" si="14"/>
        <v>175</v>
      </c>
      <c r="AK104" t="str">
        <f t="shared" si="15"/>
        <v>High</v>
      </c>
    </row>
    <row r="105" spans="1:37" x14ac:dyDescent="0.3">
      <c r="A105">
        <v>7</v>
      </c>
      <c r="B105">
        <v>2022</v>
      </c>
      <c r="C105">
        <v>307</v>
      </c>
      <c r="D105">
        <v>25</v>
      </c>
      <c r="E105">
        <v>21</v>
      </c>
      <c r="F105">
        <v>2048.9699999999998</v>
      </c>
      <c r="G105">
        <v>6.8404000000000006E-2</v>
      </c>
      <c r="H105">
        <v>9</v>
      </c>
      <c r="I105">
        <v>9</v>
      </c>
      <c r="J105">
        <v>5</v>
      </c>
      <c r="K105">
        <v>5</v>
      </c>
      <c r="L105">
        <v>1</v>
      </c>
      <c r="M105">
        <v>5</v>
      </c>
      <c r="N105">
        <v>4</v>
      </c>
      <c r="O105">
        <v>3</v>
      </c>
      <c r="P105" t="s">
        <v>85</v>
      </c>
      <c r="Q105" t="str">
        <f>VLOOKUP(A105,Cleaned_Seller_Master!$A:$H,2,FALSE)</f>
        <v>Urban Works 007</v>
      </c>
      <c r="R105" t="str">
        <f>VLOOKUP(A105,Cleaned_Seller_Master!$A:$H,4,FALSE)</f>
        <v>Fashion</v>
      </c>
      <c r="S105" t="str">
        <f>VLOOKUP(A105,Cleaned_Seller_Master!$A:$H,5,FALSE)</f>
        <v>West</v>
      </c>
      <c r="T105" t="str">
        <f>VLOOKUP(A105,Cleaned_Seller_Master!$A:$H,8,FALSE)</f>
        <v>Premium</v>
      </c>
      <c r="U105" t="str">
        <f>VLOOKUP(A105,Cleaned_Seller_Master!$A:$H,7,FALSE)</f>
        <v>19-04-2018</v>
      </c>
      <c r="V105">
        <f>IFERROR(INDEX(Violation_Summary_Seller_Year!$C:$C,MATCH(AD105,Violation_Summary_Seller_Year!$K:$K,0)),0)</f>
        <v>5</v>
      </c>
      <c r="W105">
        <f>IFERROR(INDEX(Violation_Summary_Seller_Year!$D:$D,MATCH(AD105,Violation_Summary_Seller_Year!$K:$K,0)),0)</f>
        <v>7328.2899999999991</v>
      </c>
      <c r="X105">
        <f>IFERROR(INDEX(Violation_Summary_Seller_Year!$E:$E,MATCH(AD105,Violation_Summary_Seller_Year!$K:$K,0)),0)</f>
        <v>3</v>
      </c>
      <c r="Y105">
        <f>IFERROR(INDEX(Violation_Summary_Seller_Year!$F:$F,MATCH(AD105,Violation_Summary_Seller_Year!$K:$K,0)),0)</f>
        <v>2</v>
      </c>
      <c r="Z105">
        <f>IFERROR(INDEX(Violation_Summary_Seller_Year!$G:$G,MATCH(AD105,Violation_Summary_Seller_Year!$K:$K,0)),0)</f>
        <v>3</v>
      </c>
      <c r="AA105">
        <f>IFERROR(INDEX(Violation_Summary_Seller_Year!$H:$H,MATCH(AD105,Violation_Summary_Seller_Year!$K:$K,0)),0)</f>
        <v>4</v>
      </c>
      <c r="AB105">
        <f>IFERROR(INDEX(Violation_Summary_Seller_Year!$I:$I,MATCH(AD105,Violation_Summary_Seller_Year!$K:$K,0)),0)</f>
        <v>2</v>
      </c>
      <c r="AC105">
        <f>IFERROR(INDEX(Violation_Summary_Seller_Year!$J:$J,MATCH(AD105,Violation_Summary_Seller_Year!$K:$K,0)),0)</f>
        <v>32</v>
      </c>
      <c r="AD105" t="str">
        <f t="shared" si="8"/>
        <v>7_2022</v>
      </c>
      <c r="AE105">
        <f t="shared" si="9"/>
        <v>1</v>
      </c>
      <c r="AF105">
        <f t="shared" si="10"/>
        <v>2</v>
      </c>
      <c r="AG105">
        <f t="shared" si="11"/>
        <v>2</v>
      </c>
      <c r="AH105">
        <f t="shared" si="12"/>
        <v>2</v>
      </c>
      <c r="AI105">
        <f t="shared" si="13"/>
        <v>2</v>
      </c>
      <c r="AJ105">
        <f t="shared" si="14"/>
        <v>175</v>
      </c>
      <c r="AK105" t="str">
        <f t="shared" si="15"/>
        <v>High</v>
      </c>
    </row>
    <row r="106" spans="1:37" x14ac:dyDescent="0.3">
      <c r="A106">
        <v>8</v>
      </c>
      <c r="B106">
        <v>2022</v>
      </c>
      <c r="C106">
        <v>346</v>
      </c>
      <c r="D106">
        <v>17</v>
      </c>
      <c r="E106">
        <v>15</v>
      </c>
      <c r="F106">
        <v>586.4</v>
      </c>
      <c r="G106">
        <v>4.3353000000000003E-2</v>
      </c>
      <c r="H106">
        <v>13</v>
      </c>
      <c r="I106">
        <v>13</v>
      </c>
      <c r="J106">
        <v>2</v>
      </c>
      <c r="K106">
        <v>4</v>
      </c>
      <c r="L106">
        <v>0</v>
      </c>
      <c r="M106">
        <v>1</v>
      </c>
      <c r="N106">
        <v>2</v>
      </c>
      <c r="O106">
        <v>1</v>
      </c>
      <c r="P106" t="s">
        <v>68</v>
      </c>
      <c r="Q106" t="str">
        <f>VLOOKUP(A106,Cleaned_Seller_Master!$A:$H,2,FALSE)</f>
        <v>Bright Nest 008</v>
      </c>
      <c r="R106" t="str">
        <f>VLOOKUP(A106,Cleaned_Seller_Master!$A:$H,4,FALSE)</f>
        <v>Fashion</v>
      </c>
      <c r="S106" t="str">
        <f>VLOOKUP(A106,Cleaned_Seller_Master!$A:$H,5,FALSE)</f>
        <v>South</v>
      </c>
      <c r="T106" t="str">
        <f>VLOOKUP(A106,Cleaned_Seller_Master!$A:$H,8,FALSE)</f>
        <v>Verified</v>
      </c>
      <c r="U106" t="str">
        <f>VLOOKUP(A106,Cleaned_Seller_Master!$A:$H,7,FALSE)</f>
        <v>19-12-2021</v>
      </c>
      <c r="V106">
        <f>IFERROR(INDEX(Violation_Summary_Seller_Year!$C:$C,MATCH(AD106,Violation_Summary_Seller_Year!$K:$K,0)),0)</f>
        <v>3</v>
      </c>
      <c r="W106">
        <f>IFERROR(INDEX(Violation_Summary_Seller_Year!$D:$D,MATCH(AD106,Violation_Summary_Seller_Year!$K:$K,0)),0)</f>
        <v>4684.1099999999997</v>
      </c>
      <c r="X106">
        <f>IFERROR(INDEX(Violation_Summary_Seller_Year!$E:$E,MATCH(AD106,Violation_Summary_Seller_Year!$K:$K,0)),0)</f>
        <v>0</v>
      </c>
      <c r="Y106">
        <f>IFERROR(INDEX(Violation_Summary_Seller_Year!$F:$F,MATCH(AD106,Violation_Summary_Seller_Year!$K:$K,0)),0)</f>
        <v>2</v>
      </c>
      <c r="Z106">
        <f>IFERROR(INDEX(Violation_Summary_Seller_Year!$G:$G,MATCH(AD106,Violation_Summary_Seller_Year!$K:$K,0)),0)</f>
        <v>1</v>
      </c>
      <c r="AA106">
        <f>IFERROR(INDEX(Violation_Summary_Seller_Year!$H:$H,MATCH(AD106,Violation_Summary_Seller_Year!$K:$K,0)),0)</f>
        <v>2</v>
      </c>
      <c r="AB106">
        <f>IFERROR(INDEX(Violation_Summary_Seller_Year!$I:$I,MATCH(AD106,Violation_Summary_Seller_Year!$K:$K,0)),0)</f>
        <v>2</v>
      </c>
      <c r="AC106">
        <f>IFERROR(INDEX(Violation_Summary_Seller_Year!$J:$J,MATCH(AD106,Violation_Summary_Seller_Year!$K:$K,0)),0)</f>
        <v>24</v>
      </c>
      <c r="AD106" t="str">
        <f t="shared" si="8"/>
        <v>8_2022</v>
      </c>
      <c r="AE106">
        <f t="shared" si="9"/>
        <v>0</v>
      </c>
      <c r="AF106">
        <f t="shared" si="10"/>
        <v>2</v>
      </c>
      <c r="AG106">
        <f t="shared" si="11"/>
        <v>2</v>
      </c>
      <c r="AH106">
        <f t="shared" si="12"/>
        <v>0</v>
      </c>
      <c r="AI106">
        <f t="shared" si="13"/>
        <v>1</v>
      </c>
      <c r="AJ106">
        <f t="shared" si="14"/>
        <v>100</v>
      </c>
      <c r="AK106" t="str">
        <f t="shared" si="15"/>
        <v>Medium</v>
      </c>
    </row>
    <row r="107" spans="1:37" x14ac:dyDescent="0.3">
      <c r="A107">
        <v>9</v>
      </c>
      <c r="B107">
        <v>2022</v>
      </c>
      <c r="C107">
        <v>1418</v>
      </c>
      <c r="D107">
        <v>134</v>
      </c>
      <c r="E107">
        <v>120</v>
      </c>
      <c r="F107">
        <v>10515.14</v>
      </c>
      <c r="G107">
        <v>8.4626000000000007E-2</v>
      </c>
      <c r="H107">
        <v>32</v>
      </c>
      <c r="I107">
        <v>45</v>
      </c>
      <c r="J107">
        <v>15</v>
      </c>
      <c r="K107">
        <v>11</v>
      </c>
      <c r="L107">
        <v>1</v>
      </c>
      <c r="M107">
        <v>5</v>
      </c>
      <c r="N107">
        <v>6</v>
      </c>
      <c r="O107">
        <v>8</v>
      </c>
      <c r="P107" t="s">
        <v>85</v>
      </c>
      <c r="Q107" t="str">
        <f>VLOOKUP(A107,Cleaned_Seller_Master!$A:$H,2,FALSE)</f>
        <v>Golden Hub 009</v>
      </c>
      <c r="R107" t="str">
        <f>VLOOKUP(A107,Cleaned_Seller_Master!$A:$H,4,FALSE)</f>
        <v>Electronics</v>
      </c>
      <c r="S107" t="str">
        <f>VLOOKUP(A107,Cleaned_Seller_Master!$A:$H,5,FALSE)</f>
        <v>North</v>
      </c>
      <c r="T107" t="str">
        <f>VLOOKUP(A107,Cleaned_Seller_Master!$A:$H,8,FALSE)</f>
        <v>Strategic</v>
      </c>
      <c r="U107" t="str">
        <f>VLOOKUP(A107,Cleaned_Seller_Master!$A:$H,7,FALSE)</f>
        <v>14-11-2020</v>
      </c>
      <c r="V107">
        <f>IFERROR(INDEX(Violation_Summary_Seller_Year!$C:$C,MATCH(AD107,Violation_Summary_Seller_Year!$K:$K,0)),0)</f>
        <v>5</v>
      </c>
      <c r="W107">
        <f>IFERROR(INDEX(Violation_Summary_Seller_Year!$D:$D,MATCH(AD107,Violation_Summary_Seller_Year!$K:$K,0)),0)</f>
        <v>9868.15</v>
      </c>
      <c r="X107">
        <f>IFERROR(INDEX(Violation_Summary_Seller_Year!$E:$E,MATCH(AD107,Violation_Summary_Seller_Year!$K:$K,0)),0)</f>
        <v>3</v>
      </c>
      <c r="Y107">
        <f>IFERROR(INDEX(Violation_Summary_Seller_Year!$F:$F,MATCH(AD107,Violation_Summary_Seller_Year!$K:$K,0)),0)</f>
        <v>2</v>
      </c>
      <c r="Z107">
        <f>IFERROR(INDEX(Violation_Summary_Seller_Year!$G:$G,MATCH(AD107,Violation_Summary_Seller_Year!$K:$K,0)),0)</f>
        <v>3</v>
      </c>
      <c r="AA107">
        <f>IFERROR(INDEX(Violation_Summary_Seller_Year!$H:$H,MATCH(AD107,Violation_Summary_Seller_Year!$K:$K,0)),0)</f>
        <v>4</v>
      </c>
      <c r="AB107">
        <f>IFERROR(INDEX(Violation_Summary_Seller_Year!$I:$I,MATCH(AD107,Violation_Summary_Seller_Year!$K:$K,0)),0)</f>
        <v>3</v>
      </c>
      <c r="AC107">
        <f>IFERROR(INDEX(Violation_Summary_Seller_Year!$J:$J,MATCH(AD107,Violation_Summary_Seller_Year!$K:$K,0)),0)</f>
        <v>57</v>
      </c>
      <c r="AD107" t="str">
        <f t="shared" si="8"/>
        <v>9_2022</v>
      </c>
      <c r="AE107">
        <f t="shared" si="9"/>
        <v>1</v>
      </c>
      <c r="AF107">
        <f t="shared" si="10"/>
        <v>2</v>
      </c>
      <c r="AG107">
        <f t="shared" si="11"/>
        <v>2</v>
      </c>
      <c r="AH107">
        <f t="shared" si="12"/>
        <v>2</v>
      </c>
      <c r="AI107">
        <f t="shared" si="13"/>
        <v>2</v>
      </c>
      <c r="AJ107">
        <f t="shared" si="14"/>
        <v>175</v>
      </c>
      <c r="AK107" t="str">
        <f t="shared" si="15"/>
        <v>High</v>
      </c>
    </row>
    <row r="108" spans="1:37" x14ac:dyDescent="0.3">
      <c r="A108">
        <v>10</v>
      </c>
      <c r="B108">
        <v>2022</v>
      </c>
      <c r="C108">
        <v>1476</v>
      </c>
      <c r="D108">
        <v>149</v>
      </c>
      <c r="E108">
        <v>141</v>
      </c>
      <c r="F108">
        <v>15099.72</v>
      </c>
      <c r="G108">
        <v>9.5528000000000002E-2</v>
      </c>
      <c r="H108">
        <v>31</v>
      </c>
      <c r="I108">
        <v>46</v>
      </c>
      <c r="J108">
        <v>16</v>
      </c>
      <c r="K108">
        <v>11</v>
      </c>
      <c r="L108">
        <v>1</v>
      </c>
      <c r="M108">
        <v>6</v>
      </c>
      <c r="N108">
        <v>9</v>
      </c>
      <c r="O108">
        <v>10</v>
      </c>
      <c r="P108" t="s">
        <v>85</v>
      </c>
      <c r="Q108" t="str">
        <f>VLOOKUP(A108,Cleaned_Seller_Master!$A:$H,2,FALSE)</f>
        <v>Ever Merchants 010</v>
      </c>
      <c r="R108" t="str">
        <f>VLOOKUP(A108,Cleaned_Seller_Master!$A:$H,4,FALSE)</f>
        <v>Electronics</v>
      </c>
      <c r="S108" t="str">
        <f>VLOOKUP(A108,Cleaned_Seller_Master!$A:$H,5,FALSE)</f>
        <v>North</v>
      </c>
      <c r="T108" t="str">
        <f>VLOOKUP(A108,Cleaned_Seller_Master!$A:$H,8,FALSE)</f>
        <v>Standard</v>
      </c>
      <c r="U108" t="str">
        <f>VLOOKUP(A108,Cleaned_Seller_Master!$A:$H,7,FALSE)</f>
        <v>11-11-2022</v>
      </c>
      <c r="V108">
        <f>IFERROR(INDEX(Violation_Summary_Seller_Year!$C:$C,MATCH(AD108,Violation_Summary_Seller_Year!$K:$K,0)),0)</f>
        <v>5</v>
      </c>
      <c r="W108">
        <f>IFERROR(INDEX(Violation_Summary_Seller_Year!$D:$D,MATCH(AD108,Violation_Summary_Seller_Year!$K:$K,0)),0)</f>
        <v>26914.360000000004</v>
      </c>
      <c r="X108">
        <f>IFERROR(INDEX(Violation_Summary_Seller_Year!$E:$E,MATCH(AD108,Violation_Summary_Seller_Year!$K:$K,0)),0)</f>
        <v>3</v>
      </c>
      <c r="Y108">
        <f>IFERROR(INDEX(Violation_Summary_Seller_Year!$F:$F,MATCH(AD108,Violation_Summary_Seller_Year!$K:$K,0)),0)</f>
        <v>3</v>
      </c>
      <c r="Z108">
        <f>IFERROR(INDEX(Violation_Summary_Seller_Year!$G:$G,MATCH(AD108,Violation_Summary_Seller_Year!$K:$K,0)),0)</f>
        <v>2</v>
      </c>
      <c r="AA108">
        <f>IFERROR(INDEX(Violation_Summary_Seller_Year!$H:$H,MATCH(AD108,Violation_Summary_Seller_Year!$K:$K,0)),0)</f>
        <v>5</v>
      </c>
      <c r="AB108">
        <f>IFERROR(INDEX(Violation_Summary_Seller_Year!$I:$I,MATCH(AD108,Violation_Summary_Seller_Year!$K:$K,0)),0)</f>
        <v>1</v>
      </c>
      <c r="AC108">
        <f>IFERROR(INDEX(Violation_Summary_Seller_Year!$J:$J,MATCH(AD108,Violation_Summary_Seller_Year!$K:$K,0)),0)</f>
        <v>63</v>
      </c>
      <c r="AD108" t="str">
        <f t="shared" si="8"/>
        <v>10_2022</v>
      </c>
      <c r="AE108">
        <f t="shared" si="9"/>
        <v>1</v>
      </c>
      <c r="AF108">
        <f t="shared" si="10"/>
        <v>2</v>
      </c>
      <c r="AG108">
        <f t="shared" si="11"/>
        <v>2</v>
      </c>
      <c r="AH108">
        <f t="shared" si="12"/>
        <v>2</v>
      </c>
      <c r="AI108">
        <f t="shared" si="13"/>
        <v>2</v>
      </c>
      <c r="AJ108">
        <f t="shared" si="14"/>
        <v>175</v>
      </c>
      <c r="AK108" t="str">
        <f t="shared" si="15"/>
        <v>High</v>
      </c>
    </row>
    <row r="109" spans="1:37" x14ac:dyDescent="0.3">
      <c r="A109">
        <v>11</v>
      </c>
      <c r="B109">
        <v>2022</v>
      </c>
      <c r="C109">
        <v>965</v>
      </c>
      <c r="D109">
        <v>55</v>
      </c>
      <c r="E109">
        <v>42</v>
      </c>
      <c r="F109">
        <v>2247.85</v>
      </c>
      <c r="G109">
        <v>4.3522999999999999E-2</v>
      </c>
      <c r="H109">
        <v>14</v>
      </c>
      <c r="I109">
        <v>19</v>
      </c>
      <c r="J109">
        <v>6</v>
      </c>
      <c r="K109">
        <v>7</v>
      </c>
      <c r="L109">
        <v>1</v>
      </c>
      <c r="M109">
        <v>4</v>
      </c>
      <c r="N109">
        <v>5</v>
      </c>
      <c r="O109">
        <v>2</v>
      </c>
      <c r="P109" t="s">
        <v>85</v>
      </c>
      <c r="Q109" t="str">
        <f>VLOOKUP(A109,Cleaned_Seller_Master!$A:$H,2,FALSE)</f>
        <v>Orbit Square 011</v>
      </c>
      <c r="R109" t="str">
        <f>VLOOKUP(A109,Cleaned_Seller_Master!$A:$H,4,FALSE)</f>
        <v>Groceries</v>
      </c>
      <c r="S109" t="str">
        <f>VLOOKUP(A109,Cleaned_Seller_Master!$A:$H,5,FALSE)</f>
        <v>South</v>
      </c>
      <c r="T109" t="str">
        <f>VLOOKUP(A109,Cleaned_Seller_Master!$A:$H,8,FALSE)</f>
        <v>Strategic</v>
      </c>
      <c r="U109" t="str">
        <f>VLOOKUP(A109,Cleaned_Seller_Master!$A:$H,7,FALSE)</f>
        <v>10-11-2018</v>
      </c>
      <c r="V109">
        <f>IFERROR(INDEX(Violation_Summary_Seller_Year!$C:$C,MATCH(AD109,Violation_Summary_Seller_Year!$K:$K,0)),0)</f>
        <v>3</v>
      </c>
      <c r="W109">
        <f>IFERROR(INDEX(Violation_Summary_Seller_Year!$D:$D,MATCH(AD109,Violation_Summary_Seller_Year!$K:$K,0)),0)</f>
        <v>8379.5500000000011</v>
      </c>
      <c r="X109">
        <f>IFERROR(INDEX(Violation_Summary_Seller_Year!$E:$E,MATCH(AD109,Violation_Summary_Seller_Year!$K:$K,0)),0)</f>
        <v>0</v>
      </c>
      <c r="Y109">
        <f>IFERROR(INDEX(Violation_Summary_Seller_Year!$F:$F,MATCH(AD109,Violation_Summary_Seller_Year!$K:$K,0)),0)</f>
        <v>2</v>
      </c>
      <c r="Z109">
        <f>IFERROR(INDEX(Violation_Summary_Seller_Year!$G:$G,MATCH(AD109,Violation_Summary_Seller_Year!$K:$K,0)),0)</f>
        <v>1</v>
      </c>
      <c r="AA109">
        <f>IFERROR(INDEX(Violation_Summary_Seller_Year!$H:$H,MATCH(AD109,Violation_Summary_Seller_Year!$K:$K,0)),0)</f>
        <v>2</v>
      </c>
      <c r="AB109">
        <f>IFERROR(INDEX(Violation_Summary_Seller_Year!$I:$I,MATCH(AD109,Violation_Summary_Seller_Year!$K:$K,0)),0)</f>
        <v>1</v>
      </c>
      <c r="AC109">
        <f>IFERROR(INDEX(Violation_Summary_Seller_Year!$J:$J,MATCH(AD109,Violation_Summary_Seller_Year!$K:$K,0)),0)</f>
        <v>26</v>
      </c>
      <c r="AD109" t="str">
        <f t="shared" si="8"/>
        <v>11_2022</v>
      </c>
      <c r="AE109">
        <f t="shared" si="9"/>
        <v>0</v>
      </c>
      <c r="AF109">
        <f t="shared" si="10"/>
        <v>2</v>
      </c>
      <c r="AG109">
        <f t="shared" si="11"/>
        <v>2</v>
      </c>
      <c r="AH109">
        <f t="shared" si="12"/>
        <v>2</v>
      </c>
      <c r="AI109">
        <f t="shared" si="13"/>
        <v>2</v>
      </c>
      <c r="AJ109">
        <f t="shared" si="14"/>
        <v>150</v>
      </c>
      <c r="AK109" t="str">
        <f t="shared" si="15"/>
        <v>High</v>
      </c>
    </row>
    <row r="110" spans="1:37" x14ac:dyDescent="0.3">
      <c r="A110">
        <v>12</v>
      </c>
      <c r="B110">
        <v>2022</v>
      </c>
      <c r="C110">
        <v>1012</v>
      </c>
      <c r="D110">
        <v>48</v>
      </c>
      <c r="E110">
        <v>42</v>
      </c>
      <c r="F110">
        <v>2101.9499999999998</v>
      </c>
      <c r="G110">
        <v>4.1501999999999997E-2</v>
      </c>
      <c r="H110">
        <v>15</v>
      </c>
      <c r="I110">
        <v>18</v>
      </c>
      <c r="J110">
        <v>8</v>
      </c>
      <c r="K110">
        <v>6</v>
      </c>
      <c r="L110">
        <v>0</v>
      </c>
      <c r="M110">
        <v>1</v>
      </c>
      <c r="N110">
        <v>4</v>
      </c>
      <c r="O110">
        <v>2</v>
      </c>
      <c r="P110" t="s">
        <v>175</v>
      </c>
      <c r="Q110" t="str">
        <f>VLOOKUP(A110,Cleaned_Seller_Master!$A:$H,2,FALSE)</f>
        <v>Pulse Commerce 012</v>
      </c>
      <c r="R110" t="str">
        <f>VLOOKUP(A110,Cleaned_Seller_Master!$A:$H,4,FALSE)</f>
        <v>Groceries</v>
      </c>
      <c r="S110" t="str">
        <f>VLOOKUP(A110,Cleaned_Seller_Master!$A:$H,5,FALSE)</f>
        <v>North</v>
      </c>
      <c r="T110" t="str">
        <f>VLOOKUP(A110,Cleaned_Seller_Master!$A:$H,8,FALSE)</f>
        <v>Verified</v>
      </c>
      <c r="U110" t="str">
        <f>VLOOKUP(A110,Cleaned_Seller_Master!$A:$H,7,FALSE)</f>
        <v>01-08-2023</v>
      </c>
      <c r="V110">
        <f>IFERROR(INDEX(Violation_Summary_Seller_Year!$C:$C,MATCH(AD110,Violation_Summary_Seller_Year!$K:$K,0)),0)</f>
        <v>1</v>
      </c>
      <c r="W110">
        <f>IFERROR(INDEX(Violation_Summary_Seller_Year!$D:$D,MATCH(AD110,Violation_Summary_Seller_Year!$K:$K,0)),0)</f>
        <v>273.75</v>
      </c>
      <c r="X110">
        <f>IFERROR(INDEX(Violation_Summary_Seller_Year!$E:$E,MATCH(AD110,Violation_Summary_Seller_Year!$K:$K,0)),0)</f>
        <v>0</v>
      </c>
      <c r="Y110">
        <f>IFERROR(INDEX(Violation_Summary_Seller_Year!$F:$F,MATCH(AD110,Violation_Summary_Seller_Year!$K:$K,0)),0)</f>
        <v>1</v>
      </c>
      <c r="Z110">
        <f>IFERROR(INDEX(Violation_Summary_Seller_Year!$G:$G,MATCH(AD110,Violation_Summary_Seller_Year!$K:$K,0)),0)</f>
        <v>0</v>
      </c>
      <c r="AA110">
        <f>IFERROR(INDEX(Violation_Summary_Seller_Year!$H:$H,MATCH(AD110,Violation_Summary_Seller_Year!$K:$K,0)),0)</f>
        <v>0</v>
      </c>
      <c r="AB110">
        <f>IFERROR(INDEX(Violation_Summary_Seller_Year!$I:$I,MATCH(AD110,Violation_Summary_Seller_Year!$K:$K,0)),0)</f>
        <v>0</v>
      </c>
      <c r="AC110">
        <f>IFERROR(INDEX(Violation_Summary_Seller_Year!$J:$J,MATCH(AD110,Violation_Summary_Seller_Year!$K:$K,0)),0)</f>
        <v>9</v>
      </c>
      <c r="AD110" t="str">
        <f t="shared" si="8"/>
        <v>12_2022</v>
      </c>
      <c r="AE110">
        <f t="shared" si="9"/>
        <v>0</v>
      </c>
      <c r="AF110">
        <f t="shared" si="10"/>
        <v>2</v>
      </c>
      <c r="AG110">
        <f t="shared" si="11"/>
        <v>0</v>
      </c>
      <c r="AH110">
        <f t="shared" si="12"/>
        <v>0</v>
      </c>
      <c r="AI110">
        <f t="shared" si="13"/>
        <v>1</v>
      </c>
      <c r="AJ110">
        <f t="shared" si="14"/>
        <v>60</v>
      </c>
      <c r="AK110" t="str">
        <f t="shared" si="15"/>
        <v>Medium</v>
      </c>
    </row>
    <row r="111" spans="1:37" x14ac:dyDescent="0.3">
      <c r="A111">
        <v>13</v>
      </c>
      <c r="B111">
        <v>2022</v>
      </c>
      <c r="C111">
        <v>333</v>
      </c>
      <c r="D111">
        <v>24</v>
      </c>
      <c r="E111">
        <v>19</v>
      </c>
      <c r="F111">
        <v>1393.13</v>
      </c>
      <c r="G111">
        <v>5.7056999999999997E-2</v>
      </c>
      <c r="H111">
        <v>9</v>
      </c>
      <c r="I111">
        <v>9</v>
      </c>
      <c r="J111">
        <v>6</v>
      </c>
      <c r="K111">
        <v>5</v>
      </c>
      <c r="L111">
        <v>0</v>
      </c>
      <c r="M111">
        <v>1</v>
      </c>
      <c r="N111">
        <v>3</v>
      </c>
      <c r="O111">
        <v>1</v>
      </c>
      <c r="P111" t="s">
        <v>68</v>
      </c>
      <c r="Q111" t="str">
        <f>VLOOKUP(A111,Cleaned_Seller_Master!$A:$H,2,FALSE)</f>
        <v>Summit Bazaar 013</v>
      </c>
      <c r="R111" t="str">
        <f>VLOOKUP(A111,Cleaned_Seller_Master!$A:$H,4,FALSE)</f>
        <v>Groceries</v>
      </c>
      <c r="S111" t="str">
        <f>VLOOKUP(A111,Cleaned_Seller_Master!$A:$H,5,FALSE)</f>
        <v>North</v>
      </c>
      <c r="T111" t="str">
        <f>VLOOKUP(A111,Cleaned_Seller_Master!$A:$H,8,FALSE)</f>
        <v>Premium</v>
      </c>
      <c r="U111" t="str">
        <f>VLOOKUP(A111,Cleaned_Seller_Master!$A:$H,7,FALSE)</f>
        <v>25-02-2025</v>
      </c>
      <c r="V111">
        <f>IFERROR(INDEX(Violation_Summary_Seller_Year!$C:$C,MATCH(AD111,Violation_Summary_Seller_Year!$K:$K,0)),0)</f>
        <v>5</v>
      </c>
      <c r="W111">
        <f>IFERROR(INDEX(Violation_Summary_Seller_Year!$D:$D,MATCH(AD111,Violation_Summary_Seller_Year!$K:$K,0)),0)</f>
        <v>5919.6099999999988</v>
      </c>
      <c r="X111">
        <f>IFERROR(INDEX(Violation_Summary_Seller_Year!$E:$E,MATCH(AD111,Violation_Summary_Seller_Year!$K:$K,0)),0)</f>
        <v>0</v>
      </c>
      <c r="Y111">
        <f>IFERROR(INDEX(Violation_Summary_Seller_Year!$F:$F,MATCH(AD111,Violation_Summary_Seller_Year!$K:$K,0)),0)</f>
        <v>2</v>
      </c>
      <c r="Z111">
        <f>IFERROR(INDEX(Violation_Summary_Seller_Year!$G:$G,MATCH(AD111,Violation_Summary_Seller_Year!$K:$K,0)),0)</f>
        <v>3</v>
      </c>
      <c r="AA111">
        <f>IFERROR(INDEX(Violation_Summary_Seller_Year!$H:$H,MATCH(AD111,Violation_Summary_Seller_Year!$K:$K,0)),0)</f>
        <v>2</v>
      </c>
      <c r="AB111">
        <f>IFERROR(INDEX(Violation_Summary_Seller_Year!$I:$I,MATCH(AD111,Violation_Summary_Seller_Year!$K:$K,0)),0)</f>
        <v>3</v>
      </c>
      <c r="AC111">
        <f>IFERROR(INDEX(Violation_Summary_Seller_Year!$J:$J,MATCH(AD111,Violation_Summary_Seller_Year!$K:$K,0)),0)</f>
        <v>34</v>
      </c>
      <c r="AD111" t="str">
        <f t="shared" si="8"/>
        <v>13_2022</v>
      </c>
      <c r="AE111">
        <f t="shared" si="9"/>
        <v>1</v>
      </c>
      <c r="AF111">
        <f t="shared" si="10"/>
        <v>2</v>
      </c>
      <c r="AG111">
        <f t="shared" si="11"/>
        <v>2</v>
      </c>
      <c r="AH111">
        <f t="shared" si="12"/>
        <v>0</v>
      </c>
      <c r="AI111">
        <f t="shared" si="13"/>
        <v>1</v>
      </c>
      <c r="AJ111">
        <f t="shared" si="14"/>
        <v>125</v>
      </c>
      <c r="AK111" t="str">
        <f t="shared" si="15"/>
        <v>High</v>
      </c>
    </row>
    <row r="112" spans="1:37" x14ac:dyDescent="0.3">
      <c r="A112">
        <v>14</v>
      </c>
      <c r="B112">
        <v>2022</v>
      </c>
      <c r="C112">
        <v>2394</v>
      </c>
      <c r="D112">
        <v>202</v>
      </c>
      <c r="E112">
        <v>164</v>
      </c>
      <c r="F112">
        <v>13403.72</v>
      </c>
      <c r="G112">
        <v>6.8504999999999996E-2</v>
      </c>
      <c r="H112">
        <v>20</v>
      </c>
      <c r="I112">
        <v>67</v>
      </c>
      <c r="J112">
        <v>19</v>
      </c>
      <c r="K112">
        <v>12</v>
      </c>
      <c r="L112">
        <v>1</v>
      </c>
      <c r="M112">
        <v>6</v>
      </c>
      <c r="N112">
        <v>6</v>
      </c>
      <c r="O112">
        <v>4</v>
      </c>
      <c r="P112" t="s">
        <v>85</v>
      </c>
      <c r="Q112" t="str">
        <f>VLOOKUP(A112,Cleaned_Seller_Master!$A:$H,2,FALSE)</f>
        <v>Prime Bridge 014</v>
      </c>
      <c r="R112" t="str">
        <f>VLOOKUP(A112,Cleaned_Seller_Master!$A:$H,4,FALSE)</f>
        <v>Groceries</v>
      </c>
      <c r="S112" t="str">
        <f>VLOOKUP(A112,Cleaned_Seller_Master!$A:$H,5,FALSE)</f>
        <v>West</v>
      </c>
      <c r="T112" t="str">
        <f>VLOOKUP(A112,Cleaned_Seller_Master!$A:$H,8,FALSE)</f>
        <v>Strategic</v>
      </c>
      <c r="U112" t="str">
        <f>VLOOKUP(A112,Cleaned_Seller_Master!$A:$H,7,FALSE)</f>
        <v>10-12-2020</v>
      </c>
      <c r="V112">
        <f>IFERROR(INDEX(Violation_Summary_Seller_Year!$C:$C,MATCH(AD112,Violation_Summary_Seller_Year!$K:$K,0)),0)</f>
        <v>5</v>
      </c>
      <c r="W112">
        <f>IFERROR(INDEX(Violation_Summary_Seller_Year!$D:$D,MATCH(AD112,Violation_Summary_Seller_Year!$K:$K,0)),0)</f>
        <v>16728.439999999999</v>
      </c>
      <c r="X112">
        <f>IFERROR(INDEX(Violation_Summary_Seller_Year!$E:$E,MATCH(AD112,Violation_Summary_Seller_Year!$K:$K,0)),0)</f>
        <v>3</v>
      </c>
      <c r="Y112">
        <f>IFERROR(INDEX(Violation_Summary_Seller_Year!$F:$F,MATCH(AD112,Violation_Summary_Seller_Year!$K:$K,0)),0)</f>
        <v>0</v>
      </c>
      <c r="Z112">
        <f>IFERROR(INDEX(Violation_Summary_Seller_Year!$G:$G,MATCH(AD112,Violation_Summary_Seller_Year!$K:$K,0)),0)</f>
        <v>5</v>
      </c>
      <c r="AA112">
        <f>IFERROR(INDEX(Violation_Summary_Seller_Year!$H:$H,MATCH(AD112,Violation_Summary_Seller_Year!$K:$K,0)),0)</f>
        <v>4</v>
      </c>
      <c r="AB112">
        <f>IFERROR(INDEX(Violation_Summary_Seller_Year!$I:$I,MATCH(AD112,Violation_Summary_Seller_Year!$K:$K,0)),0)</f>
        <v>5</v>
      </c>
      <c r="AC112">
        <f>IFERROR(INDEX(Violation_Summary_Seller_Year!$J:$J,MATCH(AD112,Violation_Summary_Seller_Year!$K:$K,0)),0)</f>
        <v>59</v>
      </c>
      <c r="AD112" t="str">
        <f t="shared" si="8"/>
        <v>14_2022</v>
      </c>
      <c r="AE112">
        <f t="shared" si="9"/>
        <v>1</v>
      </c>
      <c r="AF112">
        <f t="shared" si="10"/>
        <v>2</v>
      </c>
      <c r="AG112">
        <f t="shared" si="11"/>
        <v>2</v>
      </c>
      <c r="AH112">
        <f t="shared" si="12"/>
        <v>2</v>
      </c>
      <c r="AI112">
        <f t="shared" si="13"/>
        <v>2</v>
      </c>
      <c r="AJ112">
        <f t="shared" si="14"/>
        <v>175</v>
      </c>
      <c r="AK112" t="str">
        <f t="shared" si="15"/>
        <v>High</v>
      </c>
    </row>
    <row r="113" spans="1:37" x14ac:dyDescent="0.3">
      <c r="A113">
        <v>15</v>
      </c>
      <c r="B113">
        <v>2022</v>
      </c>
      <c r="C113">
        <v>1095</v>
      </c>
      <c r="D113">
        <v>78</v>
      </c>
      <c r="E113">
        <v>63</v>
      </c>
      <c r="F113">
        <v>3552.25</v>
      </c>
      <c r="G113">
        <v>5.7534000000000002E-2</v>
      </c>
      <c r="H113">
        <v>11</v>
      </c>
      <c r="I113">
        <v>27</v>
      </c>
      <c r="J113">
        <v>15</v>
      </c>
      <c r="K113">
        <v>6</v>
      </c>
      <c r="L113">
        <v>1</v>
      </c>
      <c r="M113">
        <v>5</v>
      </c>
      <c r="N113">
        <v>4</v>
      </c>
      <c r="O113">
        <v>3</v>
      </c>
      <c r="P113" t="s">
        <v>85</v>
      </c>
      <c r="Q113" t="str">
        <f>VLOOKUP(A113,Cleaned_Seller_Master!$A:$H,2,FALSE)</f>
        <v>Apex Retail 015</v>
      </c>
      <c r="R113" t="str">
        <f>VLOOKUP(A113,Cleaned_Seller_Master!$A:$H,4,FALSE)</f>
        <v>Electronics</v>
      </c>
      <c r="S113" t="str">
        <f>VLOOKUP(A113,Cleaned_Seller_Master!$A:$H,5,FALSE)</f>
        <v>East</v>
      </c>
      <c r="T113" t="str">
        <f>VLOOKUP(A113,Cleaned_Seller_Master!$A:$H,8,FALSE)</f>
        <v>Premium</v>
      </c>
      <c r="U113" t="str">
        <f>VLOOKUP(A113,Cleaned_Seller_Master!$A:$H,7,FALSE)</f>
        <v>08-10-2021</v>
      </c>
      <c r="V113">
        <f>IFERROR(INDEX(Violation_Summary_Seller_Year!$C:$C,MATCH(AD113,Violation_Summary_Seller_Year!$K:$K,0)),0)</f>
        <v>6</v>
      </c>
      <c r="W113">
        <f>IFERROR(INDEX(Violation_Summary_Seller_Year!$D:$D,MATCH(AD113,Violation_Summary_Seller_Year!$K:$K,0)),0)</f>
        <v>21926.9</v>
      </c>
      <c r="X113">
        <f>IFERROR(INDEX(Violation_Summary_Seller_Year!$E:$E,MATCH(AD113,Violation_Summary_Seller_Year!$K:$K,0)),0)</f>
        <v>2</v>
      </c>
      <c r="Y113">
        <f>IFERROR(INDEX(Violation_Summary_Seller_Year!$F:$F,MATCH(AD113,Violation_Summary_Seller_Year!$K:$K,0)),0)</f>
        <v>3</v>
      </c>
      <c r="Z113">
        <f>IFERROR(INDEX(Violation_Summary_Seller_Year!$G:$G,MATCH(AD113,Violation_Summary_Seller_Year!$K:$K,0)),0)</f>
        <v>3</v>
      </c>
      <c r="AA113">
        <f>IFERROR(INDEX(Violation_Summary_Seller_Year!$H:$H,MATCH(AD113,Violation_Summary_Seller_Year!$K:$K,0)),0)</f>
        <v>4</v>
      </c>
      <c r="AB113">
        <f>IFERROR(INDEX(Violation_Summary_Seller_Year!$I:$I,MATCH(AD113,Violation_Summary_Seller_Year!$K:$K,0)),0)</f>
        <v>1</v>
      </c>
      <c r="AC113">
        <f>IFERROR(INDEX(Violation_Summary_Seller_Year!$J:$J,MATCH(AD113,Violation_Summary_Seller_Year!$K:$K,0)),0)</f>
        <v>66</v>
      </c>
      <c r="AD113" t="str">
        <f t="shared" si="8"/>
        <v>15_2022</v>
      </c>
      <c r="AE113">
        <f t="shared" si="9"/>
        <v>1</v>
      </c>
      <c r="AF113">
        <f t="shared" si="10"/>
        <v>2</v>
      </c>
      <c r="AG113">
        <f t="shared" si="11"/>
        <v>2</v>
      </c>
      <c r="AH113">
        <f t="shared" si="12"/>
        <v>2</v>
      </c>
      <c r="AI113">
        <f t="shared" si="13"/>
        <v>2</v>
      </c>
      <c r="AJ113">
        <f t="shared" si="14"/>
        <v>175</v>
      </c>
      <c r="AK113" t="str">
        <f t="shared" si="15"/>
        <v>High</v>
      </c>
    </row>
    <row r="114" spans="1:37" x14ac:dyDescent="0.3">
      <c r="A114">
        <v>16</v>
      </c>
      <c r="B114">
        <v>2022</v>
      </c>
      <c r="C114">
        <v>896</v>
      </c>
      <c r="D114">
        <v>48</v>
      </c>
      <c r="E114">
        <v>42</v>
      </c>
      <c r="F114">
        <v>2247.92</v>
      </c>
      <c r="G114">
        <v>4.6875E-2</v>
      </c>
      <c r="H114">
        <v>14</v>
      </c>
      <c r="I114">
        <v>16</v>
      </c>
      <c r="J114">
        <v>10</v>
      </c>
      <c r="K114">
        <v>7</v>
      </c>
      <c r="L114">
        <v>0</v>
      </c>
      <c r="M114">
        <v>2</v>
      </c>
      <c r="N114">
        <v>2</v>
      </c>
      <c r="O114">
        <v>2</v>
      </c>
      <c r="P114" t="s">
        <v>68</v>
      </c>
      <c r="Q114" t="str">
        <f>VLOOKUP(A114,Cleaned_Seller_Master!$A:$H,2,FALSE)</f>
        <v>Nimbus Market 016</v>
      </c>
      <c r="R114" t="str">
        <f>VLOOKUP(A114,Cleaned_Seller_Master!$A:$H,4,FALSE)</f>
        <v>Groceries</v>
      </c>
      <c r="S114" t="str">
        <f>VLOOKUP(A114,Cleaned_Seller_Master!$A:$H,5,FALSE)</f>
        <v>South</v>
      </c>
      <c r="T114" t="str">
        <f>VLOOKUP(A114,Cleaned_Seller_Master!$A:$H,8,FALSE)</f>
        <v>Standard</v>
      </c>
      <c r="U114" t="str">
        <f>VLOOKUP(A114,Cleaned_Seller_Master!$A:$H,7,FALSE)</f>
        <v>18-04-2025</v>
      </c>
      <c r="V114">
        <f>IFERROR(INDEX(Violation_Summary_Seller_Year!$C:$C,MATCH(AD114,Violation_Summary_Seller_Year!$K:$K,0)),0)</f>
        <v>2</v>
      </c>
      <c r="W114">
        <f>IFERROR(INDEX(Violation_Summary_Seller_Year!$D:$D,MATCH(AD114,Violation_Summary_Seller_Year!$K:$K,0)),0)</f>
        <v>6615.9</v>
      </c>
      <c r="X114">
        <f>IFERROR(INDEX(Violation_Summary_Seller_Year!$E:$E,MATCH(AD114,Violation_Summary_Seller_Year!$K:$K,0)),0)</f>
        <v>0</v>
      </c>
      <c r="Y114">
        <f>IFERROR(INDEX(Violation_Summary_Seller_Year!$F:$F,MATCH(AD114,Violation_Summary_Seller_Year!$K:$K,0)),0)</f>
        <v>1</v>
      </c>
      <c r="Z114">
        <f>IFERROR(INDEX(Violation_Summary_Seller_Year!$G:$G,MATCH(AD114,Violation_Summary_Seller_Year!$K:$K,0)),0)</f>
        <v>1</v>
      </c>
      <c r="AA114">
        <f>IFERROR(INDEX(Violation_Summary_Seller_Year!$H:$H,MATCH(AD114,Violation_Summary_Seller_Year!$K:$K,0)),0)</f>
        <v>1</v>
      </c>
      <c r="AB114">
        <f>IFERROR(INDEX(Violation_Summary_Seller_Year!$I:$I,MATCH(AD114,Violation_Summary_Seller_Year!$K:$K,0)),0)</f>
        <v>1</v>
      </c>
      <c r="AC114">
        <f>IFERROR(INDEX(Violation_Summary_Seller_Year!$J:$J,MATCH(AD114,Violation_Summary_Seller_Year!$K:$K,0)),0)</f>
        <v>12</v>
      </c>
      <c r="AD114" t="str">
        <f t="shared" si="8"/>
        <v>16_2022</v>
      </c>
      <c r="AE114">
        <f t="shared" si="9"/>
        <v>0</v>
      </c>
      <c r="AF114">
        <f t="shared" si="10"/>
        <v>2</v>
      </c>
      <c r="AG114">
        <f t="shared" si="11"/>
        <v>1</v>
      </c>
      <c r="AH114">
        <f t="shared" si="12"/>
        <v>0</v>
      </c>
      <c r="AI114">
        <f t="shared" si="13"/>
        <v>1</v>
      </c>
      <c r="AJ114">
        <f t="shared" si="14"/>
        <v>80</v>
      </c>
      <c r="AK114" t="str">
        <f t="shared" si="15"/>
        <v>Medium</v>
      </c>
    </row>
    <row r="115" spans="1:37" x14ac:dyDescent="0.3">
      <c r="A115">
        <v>17</v>
      </c>
      <c r="B115">
        <v>2022</v>
      </c>
      <c r="C115">
        <v>521</v>
      </c>
      <c r="D115">
        <v>29</v>
      </c>
      <c r="E115">
        <v>22</v>
      </c>
      <c r="F115">
        <v>875.03</v>
      </c>
      <c r="G115">
        <v>4.2226E-2</v>
      </c>
      <c r="H115">
        <v>13</v>
      </c>
      <c r="I115">
        <v>13</v>
      </c>
      <c r="J115">
        <v>5</v>
      </c>
      <c r="K115">
        <v>6</v>
      </c>
      <c r="L115">
        <v>1</v>
      </c>
      <c r="M115">
        <v>3</v>
      </c>
      <c r="N115">
        <v>4</v>
      </c>
      <c r="O115">
        <v>3</v>
      </c>
      <c r="P115" t="s">
        <v>85</v>
      </c>
      <c r="Q115" t="str">
        <f>VLOOKUP(A115,Cleaned_Seller_Master!$A:$H,2,FALSE)</f>
        <v>Metro Point 017</v>
      </c>
      <c r="R115" t="str">
        <f>VLOOKUP(A115,Cleaned_Seller_Master!$A:$H,4,FALSE)</f>
        <v>Beauty</v>
      </c>
      <c r="S115" t="str">
        <f>VLOOKUP(A115,Cleaned_Seller_Master!$A:$H,5,FALSE)</f>
        <v>North</v>
      </c>
      <c r="T115" t="str">
        <f>VLOOKUP(A115,Cleaned_Seller_Master!$A:$H,8,FALSE)</f>
        <v>Premium</v>
      </c>
      <c r="U115" t="str">
        <f>VLOOKUP(A115,Cleaned_Seller_Master!$A:$H,7,FALSE)</f>
        <v>14-06-2023</v>
      </c>
      <c r="V115">
        <f>IFERROR(INDEX(Violation_Summary_Seller_Year!$C:$C,MATCH(AD115,Violation_Summary_Seller_Year!$K:$K,0)),0)</f>
        <v>3</v>
      </c>
      <c r="W115">
        <f>IFERROR(INDEX(Violation_Summary_Seller_Year!$D:$D,MATCH(AD115,Violation_Summary_Seller_Year!$K:$K,0)),0)</f>
        <v>8275.7900000000009</v>
      </c>
      <c r="X115">
        <f>IFERROR(INDEX(Violation_Summary_Seller_Year!$E:$E,MATCH(AD115,Violation_Summary_Seller_Year!$K:$K,0)),0)</f>
        <v>2</v>
      </c>
      <c r="Y115">
        <f>IFERROR(INDEX(Violation_Summary_Seller_Year!$F:$F,MATCH(AD115,Violation_Summary_Seller_Year!$K:$K,0)),0)</f>
        <v>3</v>
      </c>
      <c r="Z115">
        <f>IFERROR(INDEX(Violation_Summary_Seller_Year!$G:$G,MATCH(AD115,Violation_Summary_Seller_Year!$K:$K,0)),0)</f>
        <v>0</v>
      </c>
      <c r="AA115">
        <f>IFERROR(INDEX(Violation_Summary_Seller_Year!$H:$H,MATCH(AD115,Violation_Summary_Seller_Year!$K:$K,0)),0)</f>
        <v>2</v>
      </c>
      <c r="AB115">
        <f>IFERROR(INDEX(Violation_Summary_Seller_Year!$I:$I,MATCH(AD115,Violation_Summary_Seller_Year!$K:$K,0)),0)</f>
        <v>1</v>
      </c>
      <c r="AC115">
        <f>IFERROR(INDEX(Violation_Summary_Seller_Year!$J:$J,MATCH(AD115,Violation_Summary_Seller_Year!$K:$K,0)),0)</f>
        <v>28</v>
      </c>
      <c r="AD115" t="str">
        <f t="shared" si="8"/>
        <v>17_2022</v>
      </c>
      <c r="AE115">
        <f t="shared" si="9"/>
        <v>0</v>
      </c>
      <c r="AF115">
        <f t="shared" si="10"/>
        <v>2</v>
      </c>
      <c r="AG115">
        <f t="shared" si="11"/>
        <v>2</v>
      </c>
      <c r="AH115">
        <f t="shared" si="12"/>
        <v>2</v>
      </c>
      <c r="AI115">
        <f t="shared" si="13"/>
        <v>2</v>
      </c>
      <c r="AJ115">
        <f t="shared" si="14"/>
        <v>150</v>
      </c>
      <c r="AK115" t="str">
        <f t="shared" si="15"/>
        <v>High</v>
      </c>
    </row>
    <row r="116" spans="1:37" x14ac:dyDescent="0.3">
      <c r="A116">
        <v>18</v>
      </c>
      <c r="B116">
        <v>2022</v>
      </c>
      <c r="C116">
        <v>773</v>
      </c>
      <c r="D116">
        <v>30</v>
      </c>
      <c r="E116">
        <v>29</v>
      </c>
      <c r="F116">
        <v>2508.1799999999998</v>
      </c>
      <c r="G116">
        <v>3.7516000000000001E-2</v>
      </c>
      <c r="H116">
        <v>13</v>
      </c>
      <c r="I116">
        <v>23</v>
      </c>
      <c r="J116">
        <v>7</v>
      </c>
      <c r="K116">
        <v>3</v>
      </c>
      <c r="L116">
        <v>0</v>
      </c>
      <c r="M116">
        <v>1</v>
      </c>
      <c r="N116">
        <v>2</v>
      </c>
      <c r="O116">
        <v>1</v>
      </c>
      <c r="P116" t="s">
        <v>175</v>
      </c>
      <c r="Q116" t="str">
        <f>VLOOKUP(A116,Cleaned_Seller_Master!$A:$H,2,FALSE)</f>
        <v>Luna Stores 018</v>
      </c>
      <c r="R116" t="str">
        <f>VLOOKUP(A116,Cleaned_Seller_Master!$A:$H,4,FALSE)</f>
        <v>Fashion</v>
      </c>
      <c r="S116" t="str">
        <f>VLOOKUP(A116,Cleaned_Seller_Master!$A:$H,5,FALSE)</f>
        <v>North</v>
      </c>
      <c r="T116" t="str">
        <f>VLOOKUP(A116,Cleaned_Seller_Master!$A:$H,8,FALSE)</f>
        <v>Premium</v>
      </c>
      <c r="U116" t="str">
        <f>VLOOKUP(A116,Cleaned_Seller_Master!$A:$H,7,FALSE)</f>
        <v>18-04-2020</v>
      </c>
      <c r="V116">
        <f>IFERROR(INDEX(Violation_Summary_Seller_Year!$C:$C,MATCH(AD116,Violation_Summary_Seller_Year!$K:$K,0)),0)</f>
        <v>1</v>
      </c>
      <c r="W116">
        <f>IFERROR(INDEX(Violation_Summary_Seller_Year!$D:$D,MATCH(AD116,Violation_Summary_Seller_Year!$K:$K,0)),0)</f>
        <v>1737.1</v>
      </c>
      <c r="X116">
        <f>IFERROR(INDEX(Violation_Summary_Seller_Year!$E:$E,MATCH(AD116,Violation_Summary_Seller_Year!$K:$K,0)),0)</f>
        <v>0</v>
      </c>
      <c r="Y116">
        <f>IFERROR(INDEX(Violation_Summary_Seller_Year!$F:$F,MATCH(AD116,Violation_Summary_Seller_Year!$K:$K,0)),0)</f>
        <v>0</v>
      </c>
      <c r="Z116">
        <f>IFERROR(INDEX(Violation_Summary_Seller_Year!$G:$G,MATCH(AD116,Violation_Summary_Seller_Year!$K:$K,0)),0)</f>
        <v>1</v>
      </c>
      <c r="AA116">
        <f>IFERROR(INDEX(Violation_Summary_Seller_Year!$H:$H,MATCH(AD116,Violation_Summary_Seller_Year!$K:$K,0)),0)</f>
        <v>1</v>
      </c>
      <c r="AB116">
        <f>IFERROR(INDEX(Violation_Summary_Seller_Year!$I:$I,MATCH(AD116,Violation_Summary_Seller_Year!$K:$K,0)),0)</f>
        <v>1</v>
      </c>
      <c r="AC116">
        <f>IFERROR(INDEX(Violation_Summary_Seller_Year!$J:$J,MATCH(AD116,Violation_Summary_Seller_Year!$K:$K,0)),0)</f>
        <v>9</v>
      </c>
      <c r="AD116" t="str">
        <f t="shared" si="8"/>
        <v>18_2022</v>
      </c>
      <c r="AE116">
        <f t="shared" si="9"/>
        <v>0</v>
      </c>
      <c r="AF116">
        <f t="shared" si="10"/>
        <v>2</v>
      </c>
      <c r="AG116">
        <f t="shared" si="11"/>
        <v>1</v>
      </c>
      <c r="AH116">
        <f t="shared" si="12"/>
        <v>0</v>
      </c>
      <c r="AI116">
        <f t="shared" si="13"/>
        <v>1</v>
      </c>
      <c r="AJ116">
        <f t="shared" si="14"/>
        <v>80</v>
      </c>
      <c r="AK116" t="str">
        <f t="shared" si="15"/>
        <v>Medium</v>
      </c>
    </row>
    <row r="117" spans="1:37" x14ac:dyDescent="0.3">
      <c r="A117">
        <v>19</v>
      </c>
      <c r="B117">
        <v>2022</v>
      </c>
      <c r="C117">
        <v>1829</v>
      </c>
      <c r="D117">
        <v>192</v>
      </c>
      <c r="E117">
        <v>152</v>
      </c>
      <c r="F117">
        <v>14783.24</v>
      </c>
      <c r="G117">
        <v>8.3105999999999999E-2</v>
      </c>
      <c r="H117">
        <v>35</v>
      </c>
      <c r="I117">
        <v>65</v>
      </c>
      <c r="J117">
        <v>30</v>
      </c>
      <c r="K117">
        <v>12</v>
      </c>
      <c r="L117">
        <v>1</v>
      </c>
      <c r="M117">
        <v>3</v>
      </c>
      <c r="N117">
        <v>7</v>
      </c>
      <c r="O117">
        <v>12</v>
      </c>
      <c r="P117" t="s">
        <v>85</v>
      </c>
      <c r="Q117" t="str">
        <f>VLOOKUP(A117,Cleaned_Seller_Master!$A:$H,2,FALSE)</f>
        <v>Elite Link 019</v>
      </c>
      <c r="R117" t="str">
        <f>VLOOKUP(A117,Cleaned_Seller_Master!$A:$H,4,FALSE)</f>
        <v>Groceries</v>
      </c>
      <c r="S117" t="str">
        <f>VLOOKUP(A117,Cleaned_Seller_Master!$A:$H,5,FALSE)</f>
        <v>North</v>
      </c>
      <c r="T117" t="str">
        <f>VLOOKUP(A117,Cleaned_Seller_Master!$A:$H,8,FALSE)</f>
        <v>Standard</v>
      </c>
      <c r="U117" t="str">
        <f>VLOOKUP(A117,Cleaned_Seller_Master!$A:$H,7,FALSE)</f>
        <v>25-02-2018</v>
      </c>
      <c r="V117">
        <f>IFERROR(INDEX(Violation_Summary_Seller_Year!$C:$C,MATCH(AD117,Violation_Summary_Seller_Year!$K:$K,0)),0)</f>
        <v>4</v>
      </c>
      <c r="W117">
        <f>IFERROR(INDEX(Violation_Summary_Seller_Year!$D:$D,MATCH(AD117,Violation_Summary_Seller_Year!$K:$K,0)),0)</f>
        <v>10978.970000000001</v>
      </c>
      <c r="X117">
        <f>IFERROR(INDEX(Violation_Summary_Seller_Year!$E:$E,MATCH(AD117,Violation_Summary_Seller_Year!$K:$K,0)),0)</f>
        <v>2</v>
      </c>
      <c r="Y117">
        <f>IFERROR(INDEX(Violation_Summary_Seller_Year!$F:$F,MATCH(AD117,Violation_Summary_Seller_Year!$K:$K,0)),0)</f>
        <v>2</v>
      </c>
      <c r="Z117">
        <f>IFERROR(INDEX(Violation_Summary_Seller_Year!$G:$G,MATCH(AD117,Violation_Summary_Seller_Year!$K:$K,0)),0)</f>
        <v>2</v>
      </c>
      <c r="AA117">
        <f>IFERROR(INDEX(Violation_Summary_Seller_Year!$H:$H,MATCH(AD117,Violation_Summary_Seller_Year!$K:$K,0)),0)</f>
        <v>2</v>
      </c>
      <c r="AB117">
        <f>IFERROR(INDEX(Violation_Summary_Seller_Year!$I:$I,MATCH(AD117,Violation_Summary_Seller_Year!$K:$K,0)),0)</f>
        <v>0</v>
      </c>
      <c r="AC117">
        <f>IFERROR(INDEX(Violation_Summary_Seller_Year!$J:$J,MATCH(AD117,Violation_Summary_Seller_Year!$K:$K,0)),0)</f>
        <v>36</v>
      </c>
      <c r="AD117" t="str">
        <f t="shared" si="8"/>
        <v>19_2022</v>
      </c>
      <c r="AE117">
        <f t="shared" si="9"/>
        <v>1</v>
      </c>
      <c r="AF117">
        <f t="shared" si="10"/>
        <v>2</v>
      </c>
      <c r="AG117">
        <f t="shared" si="11"/>
        <v>2</v>
      </c>
      <c r="AH117">
        <f t="shared" si="12"/>
        <v>2</v>
      </c>
      <c r="AI117">
        <f t="shared" si="13"/>
        <v>2</v>
      </c>
      <c r="AJ117">
        <f t="shared" si="14"/>
        <v>175</v>
      </c>
      <c r="AK117" t="str">
        <f t="shared" si="15"/>
        <v>High</v>
      </c>
    </row>
    <row r="118" spans="1:37" x14ac:dyDescent="0.3">
      <c r="A118">
        <v>20</v>
      </c>
      <c r="B118">
        <v>2022</v>
      </c>
      <c r="C118">
        <v>1148</v>
      </c>
      <c r="D118">
        <v>63</v>
      </c>
      <c r="E118">
        <v>53</v>
      </c>
      <c r="F118">
        <v>3965.9</v>
      </c>
      <c r="G118">
        <v>4.6167E-2</v>
      </c>
      <c r="H118">
        <v>10</v>
      </c>
      <c r="I118">
        <v>24</v>
      </c>
      <c r="J118">
        <v>10</v>
      </c>
      <c r="K118">
        <v>3</v>
      </c>
      <c r="L118">
        <v>0</v>
      </c>
      <c r="M118">
        <v>1</v>
      </c>
      <c r="N118">
        <v>1</v>
      </c>
      <c r="O118">
        <v>4</v>
      </c>
      <c r="P118" t="s">
        <v>175</v>
      </c>
      <c r="Q118" t="str">
        <f>VLOOKUP(A118,Cleaned_Seller_Master!$A:$H,2,FALSE)</f>
        <v>Nova Cart 020</v>
      </c>
      <c r="R118" t="str">
        <f>VLOOKUP(A118,Cleaned_Seller_Master!$A:$H,4,FALSE)</f>
        <v>Home</v>
      </c>
      <c r="S118" t="str">
        <f>VLOOKUP(A118,Cleaned_Seller_Master!$A:$H,5,FALSE)</f>
        <v>North</v>
      </c>
      <c r="T118" t="str">
        <f>VLOOKUP(A118,Cleaned_Seller_Master!$A:$H,8,FALSE)</f>
        <v>Verified</v>
      </c>
      <c r="U118" t="str">
        <f>VLOOKUP(A118,Cleaned_Seller_Master!$A:$H,7,FALSE)</f>
        <v>10-08-2021</v>
      </c>
      <c r="V118">
        <f>IFERROR(INDEX(Violation_Summary_Seller_Year!$C:$C,MATCH(AD118,Violation_Summary_Seller_Year!$K:$K,0)),0)</f>
        <v>3</v>
      </c>
      <c r="W118">
        <f>IFERROR(INDEX(Violation_Summary_Seller_Year!$D:$D,MATCH(AD118,Violation_Summary_Seller_Year!$K:$K,0)),0)</f>
        <v>977.85</v>
      </c>
      <c r="X118">
        <f>IFERROR(INDEX(Violation_Summary_Seller_Year!$E:$E,MATCH(AD118,Violation_Summary_Seller_Year!$K:$K,0)),0)</f>
        <v>0</v>
      </c>
      <c r="Y118">
        <f>IFERROR(INDEX(Violation_Summary_Seller_Year!$F:$F,MATCH(AD118,Violation_Summary_Seller_Year!$K:$K,0)),0)</f>
        <v>2</v>
      </c>
      <c r="Z118">
        <f>IFERROR(INDEX(Violation_Summary_Seller_Year!$G:$G,MATCH(AD118,Violation_Summary_Seller_Year!$K:$K,0)),0)</f>
        <v>1</v>
      </c>
      <c r="AA118">
        <f>IFERROR(INDEX(Violation_Summary_Seller_Year!$H:$H,MATCH(AD118,Violation_Summary_Seller_Year!$K:$K,0)),0)</f>
        <v>0</v>
      </c>
      <c r="AB118">
        <f>IFERROR(INDEX(Violation_Summary_Seller_Year!$I:$I,MATCH(AD118,Violation_Summary_Seller_Year!$K:$K,0)),0)</f>
        <v>2</v>
      </c>
      <c r="AC118">
        <f>IFERROR(INDEX(Violation_Summary_Seller_Year!$J:$J,MATCH(AD118,Violation_Summary_Seller_Year!$K:$K,0)),0)</f>
        <v>18</v>
      </c>
      <c r="AD118" t="str">
        <f t="shared" si="8"/>
        <v>20_2022</v>
      </c>
      <c r="AE118">
        <f t="shared" si="9"/>
        <v>0</v>
      </c>
      <c r="AF118">
        <f t="shared" si="10"/>
        <v>2</v>
      </c>
      <c r="AG118">
        <f t="shared" si="11"/>
        <v>1</v>
      </c>
      <c r="AH118">
        <f t="shared" si="12"/>
        <v>0</v>
      </c>
      <c r="AI118">
        <f t="shared" si="13"/>
        <v>1</v>
      </c>
      <c r="AJ118">
        <f t="shared" si="14"/>
        <v>80</v>
      </c>
      <c r="AK118" t="str">
        <f t="shared" si="15"/>
        <v>Medium</v>
      </c>
    </row>
    <row r="119" spans="1:37" x14ac:dyDescent="0.3">
      <c r="A119">
        <v>21</v>
      </c>
      <c r="B119">
        <v>2022</v>
      </c>
      <c r="C119">
        <v>1390</v>
      </c>
      <c r="D119">
        <v>81</v>
      </c>
      <c r="E119">
        <v>76</v>
      </c>
      <c r="F119">
        <v>7396.43</v>
      </c>
      <c r="G119">
        <v>5.4676000000000002E-2</v>
      </c>
      <c r="H119">
        <v>29</v>
      </c>
      <c r="I119">
        <v>39</v>
      </c>
      <c r="J119">
        <v>15</v>
      </c>
      <c r="K119">
        <v>13</v>
      </c>
      <c r="L119">
        <v>0</v>
      </c>
      <c r="M119">
        <v>3</v>
      </c>
      <c r="N119">
        <v>4</v>
      </c>
      <c r="O119">
        <v>4</v>
      </c>
      <c r="P119" t="s">
        <v>175</v>
      </c>
      <c r="Q119" t="str">
        <f>VLOOKUP(A119,Cleaned_Seller_Master!$A:$H,2,FALSE)</f>
        <v>Swift Goods 021</v>
      </c>
      <c r="R119" t="str">
        <f>VLOOKUP(A119,Cleaned_Seller_Master!$A:$H,4,FALSE)</f>
        <v>Fashion</v>
      </c>
      <c r="S119" t="str">
        <f>VLOOKUP(A119,Cleaned_Seller_Master!$A:$H,5,FALSE)</f>
        <v>South</v>
      </c>
      <c r="T119" t="str">
        <f>VLOOKUP(A119,Cleaned_Seller_Master!$A:$H,8,FALSE)</f>
        <v>Verified</v>
      </c>
      <c r="U119" t="str">
        <f>VLOOKUP(A119,Cleaned_Seller_Master!$A:$H,7,FALSE)</f>
        <v>11-12-2018</v>
      </c>
      <c r="V119">
        <f>IFERROR(INDEX(Violation_Summary_Seller_Year!$C:$C,MATCH(AD119,Violation_Summary_Seller_Year!$K:$K,0)),0)</f>
        <v>2</v>
      </c>
      <c r="W119">
        <f>IFERROR(INDEX(Violation_Summary_Seller_Year!$D:$D,MATCH(AD119,Violation_Summary_Seller_Year!$K:$K,0)),0)</f>
        <v>1866.37</v>
      </c>
      <c r="X119">
        <f>IFERROR(INDEX(Violation_Summary_Seller_Year!$E:$E,MATCH(AD119,Violation_Summary_Seller_Year!$K:$K,0)),0)</f>
        <v>0</v>
      </c>
      <c r="Y119">
        <f>IFERROR(INDEX(Violation_Summary_Seller_Year!$F:$F,MATCH(AD119,Violation_Summary_Seller_Year!$K:$K,0)),0)</f>
        <v>2</v>
      </c>
      <c r="Z119">
        <f>IFERROR(INDEX(Violation_Summary_Seller_Year!$G:$G,MATCH(AD119,Violation_Summary_Seller_Year!$K:$K,0)),0)</f>
        <v>0</v>
      </c>
      <c r="AA119">
        <f>IFERROR(INDEX(Violation_Summary_Seller_Year!$H:$H,MATCH(AD119,Violation_Summary_Seller_Year!$K:$K,0)),0)</f>
        <v>0</v>
      </c>
      <c r="AB119">
        <f>IFERROR(INDEX(Violation_Summary_Seller_Year!$I:$I,MATCH(AD119,Violation_Summary_Seller_Year!$K:$K,0)),0)</f>
        <v>1</v>
      </c>
      <c r="AC119">
        <f>IFERROR(INDEX(Violation_Summary_Seller_Year!$J:$J,MATCH(AD119,Violation_Summary_Seller_Year!$K:$K,0)),0)</f>
        <v>7</v>
      </c>
      <c r="AD119" t="str">
        <f t="shared" si="8"/>
        <v>21_2022</v>
      </c>
      <c r="AE119">
        <f t="shared" si="9"/>
        <v>1</v>
      </c>
      <c r="AF119">
        <f t="shared" si="10"/>
        <v>2</v>
      </c>
      <c r="AG119">
        <f t="shared" si="11"/>
        <v>1</v>
      </c>
      <c r="AH119">
        <f t="shared" si="12"/>
        <v>0</v>
      </c>
      <c r="AI119">
        <f t="shared" si="13"/>
        <v>1</v>
      </c>
      <c r="AJ119">
        <f t="shared" si="14"/>
        <v>105</v>
      </c>
      <c r="AK119" t="str">
        <f t="shared" si="15"/>
        <v>Medium</v>
      </c>
    </row>
    <row r="120" spans="1:37" x14ac:dyDescent="0.3">
      <c r="A120">
        <v>22</v>
      </c>
      <c r="B120">
        <v>2022</v>
      </c>
      <c r="C120">
        <v>1266</v>
      </c>
      <c r="D120">
        <v>120</v>
      </c>
      <c r="E120">
        <v>98</v>
      </c>
      <c r="F120">
        <v>7969.79</v>
      </c>
      <c r="G120">
        <v>7.7409000000000006E-2</v>
      </c>
      <c r="H120">
        <v>46</v>
      </c>
      <c r="I120">
        <v>46</v>
      </c>
      <c r="J120">
        <v>15</v>
      </c>
      <c r="K120">
        <v>13</v>
      </c>
      <c r="L120">
        <v>1</v>
      </c>
      <c r="M120">
        <v>5</v>
      </c>
      <c r="N120">
        <v>11</v>
      </c>
      <c r="O120">
        <v>8</v>
      </c>
      <c r="P120" t="s">
        <v>85</v>
      </c>
      <c r="Q120" t="str">
        <f>VLOOKUP(A120,Cleaned_Seller_Master!$A:$H,2,FALSE)</f>
        <v>Blue Source 022</v>
      </c>
      <c r="R120" t="str">
        <f>VLOOKUP(A120,Cleaned_Seller_Master!$A:$H,4,FALSE)</f>
        <v>Electronics</v>
      </c>
      <c r="S120" t="str">
        <f>VLOOKUP(A120,Cleaned_Seller_Master!$A:$H,5,FALSE)</f>
        <v>South</v>
      </c>
      <c r="T120" t="str">
        <f>VLOOKUP(A120,Cleaned_Seller_Master!$A:$H,8,FALSE)</f>
        <v>Strategic</v>
      </c>
      <c r="U120" t="str">
        <f>VLOOKUP(A120,Cleaned_Seller_Master!$A:$H,7,FALSE)</f>
        <v>28-11-2018</v>
      </c>
      <c r="V120">
        <f>IFERROR(INDEX(Violation_Summary_Seller_Year!$C:$C,MATCH(AD120,Violation_Summary_Seller_Year!$K:$K,0)),0)</f>
        <v>6</v>
      </c>
      <c r="W120">
        <f>IFERROR(INDEX(Violation_Summary_Seller_Year!$D:$D,MATCH(AD120,Violation_Summary_Seller_Year!$K:$K,0)),0)</f>
        <v>12056.55</v>
      </c>
      <c r="X120">
        <f>IFERROR(INDEX(Violation_Summary_Seller_Year!$E:$E,MATCH(AD120,Violation_Summary_Seller_Year!$K:$K,0)),0)</f>
        <v>2</v>
      </c>
      <c r="Y120">
        <f>IFERROR(INDEX(Violation_Summary_Seller_Year!$F:$F,MATCH(AD120,Violation_Summary_Seller_Year!$K:$K,0)),0)</f>
        <v>4</v>
      </c>
      <c r="Z120">
        <f>IFERROR(INDEX(Violation_Summary_Seller_Year!$G:$G,MATCH(AD120,Violation_Summary_Seller_Year!$K:$K,0)),0)</f>
        <v>2</v>
      </c>
      <c r="AA120">
        <f>IFERROR(INDEX(Violation_Summary_Seller_Year!$H:$H,MATCH(AD120,Violation_Summary_Seller_Year!$K:$K,0)),0)</f>
        <v>4</v>
      </c>
      <c r="AB120">
        <f>IFERROR(INDEX(Violation_Summary_Seller_Year!$I:$I,MATCH(AD120,Violation_Summary_Seller_Year!$K:$K,0)),0)</f>
        <v>3</v>
      </c>
      <c r="AC120">
        <f>IFERROR(INDEX(Violation_Summary_Seller_Year!$J:$J,MATCH(AD120,Violation_Summary_Seller_Year!$K:$K,0)),0)</f>
        <v>69</v>
      </c>
      <c r="AD120" t="str">
        <f t="shared" si="8"/>
        <v>22_2022</v>
      </c>
      <c r="AE120">
        <f t="shared" si="9"/>
        <v>1</v>
      </c>
      <c r="AF120">
        <f t="shared" si="10"/>
        <v>2</v>
      </c>
      <c r="AG120">
        <f t="shared" si="11"/>
        <v>2</v>
      </c>
      <c r="AH120">
        <f t="shared" si="12"/>
        <v>2</v>
      </c>
      <c r="AI120">
        <f t="shared" si="13"/>
        <v>2</v>
      </c>
      <c r="AJ120">
        <f t="shared" si="14"/>
        <v>175</v>
      </c>
      <c r="AK120" t="str">
        <f t="shared" si="15"/>
        <v>High</v>
      </c>
    </row>
    <row r="121" spans="1:37" x14ac:dyDescent="0.3">
      <c r="A121">
        <v>23</v>
      </c>
      <c r="B121">
        <v>2022</v>
      </c>
      <c r="C121">
        <v>940</v>
      </c>
      <c r="D121">
        <v>77</v>
      </c>
      <c r="E121">
        <v>61</v>
      </c>
      <c r="F121">
        <v>3350.6</v>
      </c>
      <c r="G121">
        <v>6.4893999999999993E-2</v>
      </c>
      <c r="H121">
        <v>39</v>
      </c>
      <c r="I121">
        <v>39</v>
      </c>
      <c r="J121">
        <v>8</v>
      </c>
      <c r="K121">
        <v>19</v>
      </c>
      <c r="L121">
        <v>1</v>
      </c>
      <c r="M121">
        <v>9</v>
      </c>
      <c r="N121">
        <v>10</v>
      </c>
      <c r="O121">
        <v>4</v>
      </c>
      <c r="P121" t="s">
        <v>85</v>
      </c>
      <c r="Q121" t="str">
        <f>VLOOKUP(A121,Cleaned_Seller_Master!$A:$H,2,FALSE)</f>
        <v>Vertex Supply 023</v>
      </c>
      <c r="R121" t="str">
        <f>VLOOKUP(A121,Cleaned_Seller_Master!$A:$H,4,FALSE)</f>
        <v>Home</v>
      </c>
      <c r="S121" t="str">
        <f>VLOOKUP(A121,Cleaned_Seller_Master!$A:$H,5,FALSE)</f>
        <v>Southeast Asia</v>
      </c>
      <c r="T121" t="str">
        <f>VLOOKUP(A121,Cleaned_Seller_Master!$A:$H,8,FALSE)</f>
        <v>Standard</v>
      </c>
      <c r="U121" t="str">
        <f>VLOOKUP(A121,Cleaned_Seller_Master!$A:$H,7,FALSE)</f>
        <v>07-05-2023</v>
      </c>
      <c r="V121">
        <f>IFERROR(INDEX(Violation_Summary_Seller_Year!$C:$C,MATCH(AD121,Violation_Summary_Seller_Year!$K:$K,0)),0)</f>
        <v>3</v>
      </c>
      <c r="W121">
        <f>IFERROR(INDEX(Violation_Summary_Seller_Year!$D:$D,MATCH(AD121,Violation_Summary_Seller_Year!$K:$K,0)),0)</f>
        <v>15405.61</v>
      </c>
      <c r="X121">
        <f>IFERROR(INDEX(Violation_Summary_Seller_Year!$E:$E,MATCH(AD121,Violation_Summary_Seller_Year!$K:$K,0)),0)</f>
        <v>1</v>
      </c>
      <c r="Y121">
        <f>IFERROR(INDEX(Violation_Summary_Seller_Year!$F:$F,MATCH(AD121,Violation_Summary_Seller_Year!$K:$K,0)),0)</f>
        <v>0</v>
      </c>
      <c r="Z121">
        <f>IFERROR(INDEX(Violation_Summary_Seller_Year!$G:$G,MATCH(AD121,Violation_Summary_Seller_Year!$K:$K,0)),0)</f>
        <v>3</v>
      </c>
      <c r="AA121">
        <f>IFERROR(INDEX(Violation_Summary_Seller_Year!$H:$H,MATCH(AD121,Violation_Summary_Seller_Year!$K:$K,0)),0)</f>
        <v>3</v>
      </c>
      <c r="AB121">
        <f>IFERROR(INDEX(Violation_Summary_Seller_Year!$I:$I,MATCH(AD121,Violation_Summary_Seller_Year!$K:$K,0)),0)</f>
        <v>0</v>
      </c>
      <c r="AC121">
        <f>IFERROR(INDEX(Violation_Summary_Seller_Year!$J:$J,MATCH(AD121,Violation_Summary_Seller_Year!$K:$K,0)),0)</f>
        <v>28</v>
      </c>
      <c r="AD121" t="str">
        <f t="shared" si="8"/>
        <v>23_2022</v>
      </c>
      <c r="AE121">
        <f t="shared" si="9"/>
        <v>1</v>
      </c>
      <c r="AF121">
        <f t="shared" si="10"/>
        <v>2</v>
      </c>
      <c r="AG121">
        <f t="shared" si="11"/>
        <v>2</v>
      </c>
      <c r="AH121">
        <f t="shared" si="12"/>
        <v>2</v>
      </c>
      <c r="AI121">
        <f t="shared" si="13"/>
        <v>2</v>
      </c>
      <c r="AJ121">
        <f t="shared" si="14"/>
        <v>175</v>
      </c>
      <c r="AK121" t="str">
        <f t="shared" si="15"/>
        <v>High</v>
      </c>
    </row>
    <row r="122" spans="1:37" x14ac:dyDescent="0.3">
      <c r="A122">
        <v>24</v>
      </c>
      <c r="B122">
        <v>2022</v>
      </c>
      <c r="C122">
        <v>812</v>
      </c>
      <c r="D122">
        <v>50</v>
      </c>
      <c r="E122">
        <v>48</v>
      </c>
      <c r="F122">
        <v>1424.19</v>
      </c>
      <c r="G122">
        <v>5.9112999999999999E-2</v>
      </c>
      <c r="H122">
        <v>23</v>
      </c>
      <c r="I122">
        <v>24</v>
      </c>
      <c r="J122">
        <v>11</v>
      </c>
      <c r="K122">
        <v>8</v>
      </c>
      <c r="L122">
        <v>0</v>
      </c>
      <c r="M122">
        <v>3</v>
      </c>
      <c r="N122">
        <v>4</v>
      </c>
      <c r="O122">
        <v>1</v>
      </c>
      <c r="P122" t="s">
        <v>175</v>
      </c>
      <c r="Q122" t="str">
        <f>VLOOKUP(A122,Cleaned_Seller_Master!$A:$H,2,FALSE)</f>
        <v>Zen Mart 024</v>
      </c>
      <c r="R122" t="str">
        <f>VLOOKUP(A122,Cleaned_Seller_Master!$A:$H,4,FALSE)</f>
        <v>Electronics</v>
      </c>
      <c r="S122" t="str">
        <f>VLOOKUP(A122,Cleaned_Seller_Master!$A:$H,5,FALSE)</f>
        <v>North</v>
      </c>
      <c r="T122" t="str">
        <f>VLOOKUP(A122,Cleaned_Seller_Master!$A:$H,8,FALSE)</f>
        <v>Verified</v>
      </c>
      <c r="U122" t="str">
        <f>VLOOKUP(A122,Cleaned_Seller_Master!$A:$H,7,FALSE)</f>
        <v>18-02-2018</v>
      </c>
      <c r="V122">
        <f>IFERROR(INDEX(Violation_Summary_Seller_Year!$C:$C,MATCH(AD122,Violation_Summary_Seller_Year!$K:$K,0)),0)</f>
        <v>1</v>
      </c>
      <c r="W122">
        <f>IFERROR(INDEX(Violation_Summary_Seller_Year!$D:$D,MATCH(AD122,Violation_Summary_Seller_Year!$K:$K,0)),0)</f>
        <v>87.34</v>
      </c>
      <c r="X122">
        <f>IFERROR(INDEX(Violation_Summary_Seller_Year!$E:$E,MATCH(AD122,Violation_Summary_Seller_Year!$K:$K,0)),0)</f>
        <v>0</v>
      </c>
      <c r="Y122">
        <f>IFERROR(INDEX(Violation_Summary_Seller_Year!$F:$F,MATCH(AD122,Violation_Summary_Seller_Year!$K:$K,0)),0)</f>
        <v>0</v>
      </c>
      <c r="Z122">
        <f>IFERROR(INDEX(Violation_Summary_Seller_Year!$G:$G,MATCH(AD122,Violation_Summary_Seller_Year!$K:$K,0)),0)</f>
        <v>1</v>
      </c>
      <c r="AA122">
        <f>IFERROR(INDEX(Violation_Summary_Seller_Year!$H:$H,MATCH(AD122,Violation_Summary_Seller_Year!$K:$K,0)),0)</f>
        <v>0</v>
      </c>
      <c r="AB122">
        <f>IFERROR(INDEX(Violation_Summary_Seller_Year!$I:$I,MATCH(AD122,Violation_Summary_Seller_Year!$K:$K,0)),0)</f>
        <v>1</v>
      </c>
      <c r="AC122">
        <f>IFERROR(INDEX(Violation_Summary_Seller_Year!$J:$J,MATCH(AD122,Violation_Summary_Seller_Year!$K:$K,0)),0)</f>
        <v>5</v>
      </c>
      <c r="AD122" t="str">
        <f t="shared" si="8"/>
        <v>24_2022</v>
      </c>
      <c r="AE122">
        <f t="shared" si="9"/>
        <v>1</v>
      </c>
      <c r="AF122">
        <f t="shared" si="10"/>
        <v>2</v>
      </c>
      <c r="AG122">
        <f t="shared" si="11"/>
        <v>0</v>
      </c>
      <c r="AH122">
        <f t="shared" si="12"/>
        <v>0</v>
      </c>
      <c r="AI122">
        <f t="shared" si="13"/>
        <v>1</v>
      </c>
      <c r="AJ122">
        <f t="shared" si="14"/>
        <v>85</v>
      </c>
      <c r="AK122" t="str">
        <f t="shared" si="15"/>
        <v>Medium</v>
      </c>
    </row>
    <row r="123" spans="1:37" x14ac:dyDescent="0.3">
      <c r="A123">
        <v>25</v>
      </c>
      <c r="B123">
        <v>2022</v>
      </c>
      <c r="C123">
        <v>791</v>
      </c>
      <c r="D123">
        <v>49</v>
      </c>
      <c r="E123">
        <v>43</v>
      </c>
      <c r="F123">
        <v>1609.34</v>
      </c>
      <c r="G123">
        <v>5.4362000000000001E-2</v>
      </c>
      <c r="H123">
        <v>20</v>
      </c>
      <c r="I123">
        <v>20</v>
      </c>
      <c r="J123">
        <v>10</v>
      </c>
      <c r="K123">
        <v>8</v>
      </c>
      <c r="L123">
        <v>0</v>
      </c>
      <c r="M123">
        <v>1</v>
      </c>
      <c r="N123">
        <v>3</v>
      </c>
      <c r="O123">
        <v>3</v>
      </c>
      <c r="P123" t="s">
        <v>175</v>
      </c>
      <c r="Q123" t="str">
        <f>VLOOKUP(A123,Cleaned_Seller_Master!$A:$H,2,FALSE)</f>
        <v>True House 025</v>
      </c>
      <c r="R123" t="str">
        <f>VLOOKUP(A123,Cleaned_Seller_Master!$A:$H,4,FALSE)</f>
        <v>Beauty</v>
      </c>
      <c r="S123" t="str">
        <f>VLOOKUP(A123,Cleaned_Seller_Master!$A:$H,5,FALSE)</f>
        <v>West</v>
      </c>
      <c r="T123" t="str">
        <f>VLOOKUP(A123,Cleaned_Seller_Master!$A:$H,8,FALSE)</f>
        <v>Strategic</v>
      </c>
      <c r="U123" t="str">
        <f>VLOOKUP(A123,Cleaned_Seller_Master!$A:$H,7,FALSE)</f>
        <v>26-10-2021</v>
      </c>
      <c r="V123">
        <f>IFERROR(INDEX(Violation_Summary_Seller_Year!$C:$C,MATCH(AD123,Violation_Summary_Seller_Year!$K:$K,0)),0)</f>
        <v>1</v>
      </c>
      <c r="W123">
        <f>IFERROR(INDEX(Violation_Summary_Seller_Year!$D:$D,MATCH(AD123,Violation_Summary_Seller_Year!$K:$K,0)),0)</f>
        <v>57.53</v>
      </c>
      <c r="X123">
        <f>IFERROR(INDEX(Violation_Summary_Seller_Year!$E:$E,MATCH(AD123,Violation_Summary_Seller_Year!$K:$K,0)),0)</f>
        <v>0</v>
      </c>
      <c r="Y123">
        <f>IFERROR(INDEX(Violation_Summary_Seller_Year!$F:$F,MATCH(AD123,Violation_Summary_Seller_Year!$K:$K,0)),0)</f>
        <v>1</v>
      </c>
      <c r="Z123">
        <f>IFERROR(INDEX(Violation_Summary_Seller_Year!$G:$G,MATCH(AD123,Violation_Summary_Seller_Year!$K:$K,0)),0)</f>
        <v>0</v>
      </c>
      <c r="AA123">
        <f>IFERROR(INDEX(Violation_Summary_Seller_Year!$H:$H,MATCH(AD123,Violation_Summary_Seller_Year!$K:$K,0)),0)</f>
        <v>0</v>
      </c>
      <c r="AB123">
        <f>IFERROR(INDEX(Violation_Summary_Seller_Year!$I:$I,MATCH(AD123,Violation_Summary_Seller_Year!$K:$K,0)),0)</f>
        <v>0</v>
      </c>
      <c r="AC123">
        <f>IFERROR(INDEX(Violation_Summary_Seller_Year!$J:$J,MATCH(AD123,Violation_Summary_Seller_Year!$K:$K,0)),0)</f>
        <v>7</v>
      </c>
      <c r="AD123" t="str">
        <f t="shared" si="8"/>
        <v>25_2022</v>
      </c>
      <c r="AE123">
        <f t="shared" si="9"/>
        <v>1</v>
      </c>
      <c r="AF123">
        <f t="shared" si="10"/>
        <v>2</v>
      </c>
      <c r="AG123">
        <f t="shared" si="11"/>
        <v>0</v>
      </c>
      <c r="AH123">
        <f t="shared" si="12"/>
        <v>0</v>
      </c>
      <c r="AI123">
        <f t="shared" si="13"/>
        <v>1</v>
      </c>
      <c r="AJ123">
        <f t="shared" si="14"/>
        <v>85</v>
      </c>
      <c r="AK123" t="str">
        <f t="shared" si="15"/>
        <v>Medium</v>
      </c>
    </row>
    <row r="124" spans="1:37" x14ac:dyDescent="0.3">
      <c r="A124">
        <v>26</v>
      </c>
      <c r="B124">
        <v>2022</v>
      </c>
      <c r="C124">
        <v>957</v>
      </c>
      <c r="D124">
        <v>94</v>
      </c>
      <c r="E124">
        <v>75</v>
      </c>
      <c r="F124">
        <v>4268.7</v>
      </c>
      <c r="G124">
        <v>7.8369999999999995E-2</v>
      </c>
      <c r="H124">
        <v>24</v>
      </c>
      <c r="I124">
        <v>36</v>
      </c>
      <c r="J124">
        <v>18</v>
      </c>
      <c r="K124">
        <v>6</v>
      </c>
      <c r="L124">
        <v>0</v>
      </c>
      <c r="M124">
        <v>1</v>
      </c>
      <c r="N124">
        <v>4</v>
      </c>
      <c r="O124">
        <v>5</v>
      </c>
      <c r="P124" t="s">
        <v>68</v>
      </c>
      <c r="Q124" t="str">
        <f>VLOOKUP(A124,Cleaned_Seller_Master!$A:$H,2,FALSE)</f>
        <v>Core Traders 026</v>
      </c>
      <c r="R124" t="str">
        <f>VLOOKUP(A124,Cleaned_Seller_Master!$A:$H,4,FALSE)</f>
        <v>Beauty</v>
      </c>
      <c r="S124" t="str">
        <f>VLOOKUP(A124,Cleaned_Seller_Master!$A:$H,5,FALSE)</f>
        <v>East</v>
      </c>
      <c r="T124" t="str">
        <f>VLOOKUP(A124,Cleaned_Seller_Master!$A:$H,8,FALSE)</f>
        <v>Standard</v>
      </c>
      <c r="U124" t="str">
        <f>VLOOKUP(A124,Cleaned_Seller_Master!$A:$H,7,FALSE)</f>
        <v>18-12-2019</v>
      </c>
      <c r="V124">
        <f>IFERROR(INDEX(Violation_Summary_Seller_Year!$C:$C,MATCH(AD124,Violation_Summary_Seller_Year!$K:$K,0)),0)</f>
        <v>4</v>
      </c>
      <c r="W124">
        <f>IFERROR(INDEX(Violation_Summary_Seller_Year!$D:$D,MATCH(AD124,Violation_Summary_Seller_Year!$K:$K,0)),0)</f>
        <v>9599.869999999999</v>
      </c>
      <c r="X124">
        <f>IFERROR(INDEX(Violation_Summary_Seller_Year!$E:$E,MATCH(AD124,Violation_Summary_Seller_Year!$K:$K,0)),0)</f>
        <v>0</v>
      </c>
      <c r="Y124">
        <f>IFERROR(INDEX(Violation_Summary_Seller_Year!$F:$F,MATCH(AD124,Violation_Summary_Seller_Year!$K:$K,0)),0)</f>
        <v>1</v>
      </c>
      <c r="Z124">
        <f>IFERROR(INDEX(Violation_Summary_Seller_Year!$G:$G,MATCH(AD124,Violation_Summary_Seller_Year!$K:$K,0)),0)</f>
        <v>3</v>
      </c>
      <c r="AA124">
        <f>IFERROR(INDEX(Violation_Summary_Seller_Year!$H:$H,MATCH(AD124,Violation_Summary_Seller_Year!$K:$K,0)),0)</f>
        <v>3</v>
      </c>
      <c r="AB124">
        <f>IFERROR(INDEX(Violation_Summary_Seller_Year!$I:$I,MATCH(AD124,Violation_Summary_Seller_Year!$K:$K,0)),0)</f>
        <v>3</v>
      </c>
      <c r="AC124">
        <f>IFERROR(INDEX(Violation_Summary_Seller_Year!$J:$J,MATCH(AD124,Violation_Summary_Seller_Year!$K:$K,0)),0)</f>
        <v>23</v>
      </c>
      <c r="AD124" t="str">
        <f t="shared" si="8"/>
        <v>26_2022</v>
      </c>
      <c r="AE124">
        <f t="shared" si="9"/>
        <v>1</v>
      </c>
      <c r="AF124">
        <f t="shared" si="10"/>
        <v>2</v>
      </c>
      <c r="AG124">
        <f t="shared" si="11"/>
        <v>2</v>
      </c>
      <c r="AH124">
        <f t="shared" si="12"/>
        <v>0</v>
      </c>
      <c r="AI124">
        <f t="shared" si="13"/>
        <v>1</v>
      </c>
      <c r="AJ124">
        <f t="shared" si="14"/>
        <v>125</v>
      </c>
      <c r="AK124" t="str">
        <f t="shared" si="15"/>
        <v>High</v>
      </c>
    </row>
    <row r="125" spans="1:37" x14ac:dyDescent="0.3">
      <c r="A125">
        <v>27</v>
      </c>
      <c r="B125">
        <v>2022</v>
      </c>
      <c r="C125">
        <v>940</v>
      </c>
      <c r="D125">
        <v>52</v>
      </c>
      <c r="E125">
        <v>43</v>
      </c>
      <c r="F125">
        <v>3524.78</v>
      </c>
      <c r="G125">
        <v>4.5745000000000001E-2</v>
      </c>
      <c r="H125">
        <v>16</v>
      </c>
      <c r="I125">
        <v>23</v>
      </c>
      <c r="J125">
        <v>5</v>
      </c>
      <c r="K125">
        <v>6</v>
      </c>
      <c r="L125">
        <v>0</v>
      </c>
      <c r="M125">
        <v>2</v>
      </c>
      <c r="N125">
        <v>3</v>
      </c>
      <c r="O125">
        <v>1</v>
      </c>
      <c r="P125" t="s">
        <v>175</v>
      </c>
      <c r="Q125" t="str">
        <f>VLOOKUP(A125,Cleaned_Seller_Master!$A:$H,2,FALSE)</f>
        <v>Urban Works 027</v>
      </c>
      <c r="R125" t="str">
        <f>VLOOKUP(A125,Cleaned_Seller_Master!$A:$H,4,FALSE)</f>
        <v>Groceries</v>
      </c>
      <c r="S125" t="str">
        <f>VLOOKUP(A125,Cleaned_Seller_Master!$A:$H,5,FALSE)</f>
        <v>West</v>
      </c>
      <c r="T125" t="str">
        <f>VLOOKUP(A125,Cleaned_Seller_Master!$A:$H,8,FALSE)</f>
        <v>Standard</v>
      </c>
      <c r="U125" t="str">
        <f>VLOOKUP(A125,Cleaned_Seller_Master!$A:$H,7,FALSE)</f>
        <v>21-02-2018</v>
      </c>
      <c r="V125">
        <f>IFERROR(INDEX(Violation_Summary_Seller_Year!$C:$C,MATCH(AD125,Violation_Summary_Seller_Year!$K:$K,0)),0)</f>
        <v>2</v>
      </c>
      <c r="W125">
        <f>IFERROR(INDEX(Violation_Summary_Seller_Year!$D:$D,MATCH(AD125,Violation_Summary_Seller_Year!$K:$K,0)),0)</f>
        <v>1856.04</v>
      </c>
      <c r="X125">
        <f>IFERROR(INDEX(Violation_Summary_Seller_Year!$E:$E,MATCH(AD125,Violation_Summary_Seller_Year!$K:$K,0)),0)</f>
        <v>0</v>
      </c>
      <c r="Y125">
        <f>IFERROR(INDEX(Violation_Summary_Seller_Year!$F:$F,MATCH(AD125,Violation_Summary_Seller_Year!$K:$K,0)),0)</f>
        <v>1</v>
      </c>
      <c r="Z125">
        <f>IFERROR(INDEX(Violation_Summary_Seller_Year!$G:$G,MATCH(AD125,Violation_Summary_Seller_Year!$K:$K,0)),0)</f>
        <v>1</v>
      </c>
      <c r="AA125">
        <f>IFERROR(INDEX(Violation_Summary_Seller_Year!$H:$H,MATCH(AD125,Violation_Summary_Seller_Year!$K:$K,0)),0)</f>
        <v>0</v>
      </c>
      <c r="AB125">
        <f>IFERROR(INDEX(Violation_Summary_Seller_Year!$I:$I,MATCH(AD125,Violation_Summary_Seller_Year!$K:$K,0)),0)</f>
        <v>0</v>
      </c>
      <c r="AC125">
        <f>IFERROR(INDEX(Violation_Summary_Seller_Year!$J:$J,MATCH(AD125,Violation_Summary_Seller_Year!$K:$K,0)),0)</f>
        <v>18</v>
      </c>
      <c r="AD125" t="str">
        <f t="shared" si="8"/>
        <v>27_2022</v>
      </c>
      <c r="AE125">
        <f t="shared" si="9"/>
        <v>0</v>
      </c>
      <c r="AF125">
        <f t="shared" si="10"/>
        <v>2</v>
      </c>
      <c r="AG125">
        <f t="shared" si="11"/>
        <v>1</v>
      </c>
      <c r="AH125">
        <f t="shared" si="12"/>
        <v>0</v>
      </c>
      <c r="AI125">
        <f t="shared" si="13"/>
        <v>1</v>
      </c>
      <c r="AJ125">
        <f t="shared" si="14"/>
        <v>80</v>
      </c>
      <c r="AK125" t="str">
        <f t="shared" si="15"/>
        <v>Medium</v>
      </c>
    </row>
    <row r="126" spans="1:37" x14ac:dyDescent="0.3">
      <c r="A126">
        <v>28</v>
      </c>
      <c r="B126">
        <v>2022</v>
      </c>
      <c r="C126">
        <v>1948</v>
      </c>
      <c r="D126">
        <v>109</v>
      </c>
      <c r="E126">
        <v>87</v>
      </c>
      <c r="F126">
        <v>7299.46</v>
      </c>
      <c r="G126">
        <v>4.4660999999999999E-2</v>
      </c>
      <c r="H126">
        <v>24</v>
      </c>
      <c r="I126">
        <v>42</v>
      </c>
      <c r="J126">
        <v>16</v>
      </c>
      <c r="K126">
        <v>7</v>
      </c>
      <c r="L126">
        <v>0</v>
      </c>
      <c r="M126">
        <v>1</v>
      </c>
      <c r="N126">
        <v>4</v>
      </c>
      <c r="O126">
        <v>4</v>
      </c>
      <c r="P126" t="s">
        <v>175</v>
      </c>
      <c r="Q126" t="str">
        <f>VLOOKUP(A126,Cleaned_Seller_Master!$A:$H,2,FALSE)</f>
        <v>Bright Nest 028</v>
      </c>
      <c r="R126" t="str">
        <f>VLOOKUP(A126,Cleaned_Seller_Master!$A:$H,4,FALSE)</f>
        <v>Home</v>
      </c>
      <c r="S126" t="str">
        <f>VLOOKUP(A126,Cleaned_Seller_Master!$A:$H,5,FALSE)</f>
        <v>Southeast Asia</v>
      </c>
      <c r="T126" t="str">
        <f>VLOOKUP(A126,Cleaned_Seller_Master!$A:$H,8,FALSE)</f>
        <v>Premium</v>
      </c>
      <c r="U126" t="str">
        <f>VLOOKUP(A126,Cleaned_Seller_Master!$A:$H,7,FALSE)</f>
        <v>03-02-2017</v>
      </c>
      <c r="V126">
        <f>IFERROR(INDEX(Violation_Summary_Seller_Year!$C:$C,MATCH(AD126,Violation_Summary_Seller_Year!$K:$K,0)),0)</f>
        <v>1</v>
      </c>
      <c r="W126">
        <f>IFERROR(INDEX(Violation_Summary_Seller_Year!$D:$D,MATCH(AD126,Violation_Summary_Seller_Year!$K:$K,0)),0)</f>
        <v>1421.02</v>
      </c>
      <c r="X126">
        <f>IFERROR(INDEX(Violation_Summary_Seller_Year!$E:$E,MATCH(AD126,Violation_Summary_Seller_Year!$K:$K,0)),0)</f>
        <v>0</v>
      </c>
      <c r="Y126">
        <f>IFERROR(INDEX(Violation_Summary_Seller_Year!$F:$F,MATCH(AD126,Violation_Summary_Seller_Year!$K:$K,0)),0)</f>
        <v>0</v>
      </c>
      <c r="Z126">
        <f>IFERROR(INDEX(Violation_Summary_Seller_Year!$G:$G,MATCH(AD126,Violation_Summary_Seller_Year!$K:$K,0)),0)</f>
        <v>1</v>
      </c>
      <c r="AA126">
        <f>IFERROR(INDEX(Violation_Summary_Seller_Year!$H:$H,MATCH(AD126,Violation_Summary_Seller_Year!$K:$K,0)),0)</f>
        <v>1</v>
      </c>
      <c r="AB126">
        <f>IFERROR(INDEX(Violation_Summary_Seller_Year!$I:$I,MATCH(AD126,Violation_Summary_Seller_Year!$K:$K,0)),0)</f>
        <v>0</v>
      </c>
      <c r="AC126">
        <f>IFERROR(INDEX(Violation_Summary_Seller_Year!$J:$J,MATCH(AD126,Violation_Summary_Seller_Year!$K:$K,0)),0)</f>
        <v>7</v>
      </c>
      <c r="AD126" t="str">
        <f t="shared" si="8"/>
        <v>28_2022</v>
      </c>
      <c r="AE126">
        <f t="shared" si="9"/>
        <v>0</v>
      </c>
      <c r="AF126">
        <f t="shared" si="10"/>
        <v>2</v>
      </c>
      <c r="AG126">
        <f t="shared" si="11"/>
        <v>1</v>
      </c>
      <c r="AH126">
        <f t="shared" si="12"/>
        <v>0</v>
      </c>
      <c r="AI126">
        <f t="shared" si="13"/>
        <v>1</v>
      </c>
      <c r="AJ126">
        <f t="shared" si="14"/>
        <v>80</v>
      </c>
      <c r="AK126" t="str">
        <f t="shared" si="15"/>
        <v>Medium</v>
      </c>
    </row>
    <row r="127" spans="1:37" x14ac:dyDescent="0.3">
      <c r="A127">
        <v>29</v>
      </c>
      <c r="B127">
        <v>2022</v>
      </c>
      <c r="C127">
        <v>1303</v>
      </c>
      <c r="D127">
        <v>103</v>
      </c>
      <c r="E127">
        <v>91</v>
      </c>
      <c r="F127">
        <v>6390.06</v>
      </c>
      <c r="G127">
        <v>6.9838999999999998E-2</v>
      </c>
      <c r="H127">
        <v>23</v>
      </c>
      <c r="I127">
        <v>41</v>
      </c>
      <c r="J127">
        <v>16</v>
      </c>
      <c r="K127">
        <v>9</v>
      </c>
      <c r="L127">
        <v>0</v>
      </c>
      <c r="M127">
        <v>3</v>
      </c>
      <c r="N127">
        <v>5</v>
      </c>
      <c r="O127">
        <v>5</v>
      </c>
      <c r="P127" t="s">
        <v>68</v>
      </c>
      <c r="Q127" t="str">
        <f>VLOOKUP(A127,Cleaned_Seller_Master!$A:$H,2,FALSE)</f>
        <v>Golden Hub 029</v>
      </c>
      <c r="R127" t="str">
        <f>VLOOKUP(A127,Cleaned_Seller_Master!$A:$H,4,FALSE)</f>
        <v>Home</v>
      </c>
      <c r="S127" t="str">
        <f>VLOOKUP(A127,Cleaned_Seller_Master!$A:$H,5,FALSE)</f>
        <v>South</v>
      </c>
      <c r="T127" t="str">
        <f>VLOOKUP(A127,Cleaned_Seller_Master!$A:$H,8,FALSE)</f>
        <v>Standard</v>
      </c>
      <c r="U127" t="str">
        <f>VLOOKUP(A127,Cleaned_Seller_Master!$A:$H,7,FALSE)</f>
        <v>26-06-2021</v>
      </c>
      <c r="V127">
        <f>IFERROR(INDEX(Violation_Summary_Seller_Year!$C:$C,MATCH(AD127,Violation_Summary_Seller_Year!$K:$K,0)),0)</f>
        <v>3</v>
      </c>
      <c r="W127">
        <f>IFERROR(INDEX(Violation_Summary_Seller_Year!$D:$D,MATCH(AD127,Violation_Summary_Seller_Year!$K:$K,0)),0)</f>
        <v>8288.77</v>
      </c>
      <c r="X127">
        <f>IFERROR(INDEX(Violation_Summary_Seller_Year!$E:$E,MATCH(AD127,Violation_Summary_Seller_Year!$K:$K,0)),0)</f>
        <v>0</v>
      </c>
      <c r="Y127">
        <f>IFERROR(INDEX(Violation_Summary_Seller_Year!$F:$F,MATCH(AD127,Violation_Summary_Seller_Year!$K:$K,0)),0)</f>
        <v>1</v>
      </c>
      <c r="Z127">
        <f>IFERROR(INDEX(Violation_Summary_Seller_Year!$G:$G,MATCH(AD127,Violation_Summary_Seller_Year!$K:$K,0)),0)</f>
        <v>2</v>
      </c>
      <c r="AA127">
        <f>IFERROR(INDEX(Violation_Summary_Seller_Year!$H:$H,MATCH(AD127,Violation_Summary_Seller_Year!$K:$K,0)),0)</f>
        <v>2</v>
      </c>
      <c r="AB127">
        <f>IFERROR(INDEX(Violation_Summary_Seller_Year!$I:$I,MATCH(AD127,Violation_Summary_Seller_Year!$K:$K,0)),0)</f>
        <v>1</v>
      </c>
      <c r="AC127">
        <f>IFERROR(INDEX(Violation_Summary_Seller_Year!$J:$J,MATCH(AD127,Violation_Summary_Seller_Year!$K:$K,0)),0)</f>
        <v>18</v>
      </c>
      <c r="AD127" t="str">
        <f t="shared" si="8"/>
        <v>29_2022</v>
      </c>
      <c r="AE127">
        <f t="shared" si="9"/>
        <v>1</v>
      </c>
      <c r="AF127">
        <f t="shared" si="10"/>
        <v>2</v>
      </c>
      <c r="AG127">
        <f t="shared" si="11"/>
        <v>2</v>
      </c>
      <c r="AH127">
        <f t="shared" si="12"/>
        <v>0</v>
      </c>
      <c r="AI127">
        <f t="shared" si="13"/>
        <v>1</v>
      </c>
      <c r="AJ127">
        <f t="shared" si="14"/>
        <v>125</v>
      </c>
      <c r="AK127" t="str">
        <f t="shared" si="15"/>
        <v>High</v>
      </c>
    </row>
    <row r="128" spans="1:37" x14ac:dyDescent="0.3">
      <c r="A128">
        <v>30</v>
      </c>
      <c r="B128">
        <v>2022</v>
      </c>
      <c r="C128">
        <v>932</v>
      </c>
      <c r="D128">
        <v>45</v>
      </c>
      <c r="E128">
        <v>37</v>
      </c>
      <c r="F128">
        <v>2056.92</v>
      </c>
      <c r="G128">
        <v>3.9699999999999999E-2</v>
      </c>
      <c r="H128">
        <v>12</v>
      </c>
      <c r="I128">
        <v>24</v>
      </c>
      <c r="J128">
        <v>8</v>
      </c>
      <c r="K128">
        <v>12</v>
      </c>
      <c r="L128">
        <v>1</v>
      </c>
      <c r="M128">
        <v>6</v>
      </c>
      <c r="N128">
        <v>4</v>
      </c>
      <c r="O128">
        <v>3</v>
      </c>
      <c r="P128" t="s">
        <v>85</v>
      </c>
      <c r="Q128" t="str">
        <f>VLOOKUP(A128,Cleaned_Seller_Master!$A:$H,2,FALSE)</f>
        <v>Ever Merchants 030</v>
      </c>
      <c r="R128" t="str">
        <f>VLOOKUP(A128,Cleaned_Seller_Master!$A:$H,4,FALSE)</f>
        <v>Groceries</v>
      </c>
      <c r="S128" t="str">
        <f>VLOOKUP(A128,Cleaned_Seller_Master!$A:$H,5,FALSE)</f>
        <v>West</v>
      </c>
      <c r="T128" t="str">
        <f>VLOOKUP(A128,Cleaned_Seller_Master!$A:$H,8,FALSE)</f>
        <v>Premium</v>
      </c>
      <c r="U128" t="str">
        <f>VLOOKUP(A128,Cleaned_Seller_Master!$A:$H,7,FALSE)</f>
        <v>28-04-2019</v>
      </c>
      <c r="V128">
        <f>IFERROR(INDEX(Violation_Summary_Seller_Year!$C:$C,MATCH(AD128,Violation_Summary_Seller_Year!$K:$K,0)),0)</f>
        <v>1</v>
      </c>
      <c r="W128">
        <f>IFERROR(INDEX(Violation_Summary_Seller_Year!$D:$D,MATCH(AD128,Violation_Summary_Seller_Year!$K:$K,0)),0)</f>
        <v>1554.33</v>
      </c>
      <c r="X128">
        <f>IFERROR(INDEX(Violation_Summary_Seller_Year!$E:$E,MATCH(AD128,Violation_Summary_Seller_Year!$K:$K,0)),0)</f>
        <v>1</v>
      </c>
      <c r="Y128">
        <f>IFERROR(INDEX(Violation_Summary_Seller_Year!$F:$F,MATCH(AD128,Violation_Summary_Seller_Year!$K:$K,0)),0)</f>
        <v>0</v>
      </c>
      <c r="Z128">
        <f>IFERROR(INDEX(Violation_Summary_Seller_Year!$G:$G,MATCH(AD128,Violation_Summary_Seller_Year!$K:$K,0)),0)</f>
        <v>1</v>
      </c>
      <c r="AA128">
        <f>IFERROR(INDEX(Violation_Summary_Seller_Year!$H:$H,MATCH(AD128,Violation_Summary_Seller_Year!$K:$K,0)),0)</f>
        <v>1</v>
      </c>
      <c r="AB128">
        <f>IFERROR(INDEX(Violation_Summary_Seller_Year!$I:$I,MATCH(AD128,Violation_Summary_Seller_Year!$K:$K,0)),0)</f>
        <v>1</v>
      </c>
      <c r="AC128">
        <f>IFERROR(INDEX(Violation_Summary_Seller_Year!$J:$J,MATCH(AD128,Violation_Summary_Seller_Year!$K:$K,0)),0)</f>
        <v>3</v>
      </c>
      <c r="AD128" t="str">
        <f t="shared" si="8"/>
        <v>30_2022</v>
      </c>
      <c r="AE128">
        <f t="shared" si="9"/>
        <v>0</v>
      </c>
      <c r="AF128">
        <f t="shared" si="10"/>
        <v>2</v>
      </c>
      <c r="AG128">
        <f t="shared" si="11"/>
        <v>1</v>
      </c>
      <c r="AH128">
        <f t="shared" si="12"/>
        <v>2</v>
      </c>
      <c r="AI128">
        <f t="shared" si="13"/>
        <v>2</v>
      </c>
      <c r="AJ128">
        <f t="shared" si="14"/>
        <v>130</v>
      </c>
      <c r="AK128" t="str">
        <f t="shared" si="15"/>
        <v>High</v>
      </c>
    </row>
    <row r="129" spans="1:37" x14ac:dyDescent="0.3">
      <c r="A129">
        <v>31</v>
      </c>
      <c r="B129">
        <v>2022</v>
      </c>
      <c r="C129">
        <v>801</v>
      </c>
      <c r="D129">
        <v>73</v>
      </c>
      <c r="E129">
        <v>53</v>
      </c>
      <c r="F129">
        <v>2653.88</v>
      </c>
      <c r="G129">
        <v>6.6167000000000004E-2</v>
      </c>
      <c r="H129">
        <v>16</v>
      </c>
      <c r="I129">
        <v>29</v>
      </c>
      <c r="J129">
        <v>12</v>
      </c>
      <c r="K129">
        <v>6</v>
      </c>
      <c r="L129">
        <v>1</v>
      </c>
      <c r="M129">
        <v>6</v>
      </c>
      <c r="N129">
        <v>5</v>
      </c>
      <c r="O129">
        <v>4</v>
      </c>
      <c r="P129" t="s">
        <v>85</v>
      </c>
      <c r="Q129" t="str">
        <f>VLOOKUP(A129,Cleaned_Seller_Master!$A:$H,2,FALSE)</f>
        <v>Orbit Square 031</v>
      </c>
      <c r="R129" t="str">
        <f>VLOOKUP(A129,Cleaned_Seller_Master!$A:$H,4,FALSE)</f>
        <v>Home</v>
      </c>
      <c r="S129" t="str">
        <f>VLOOKUP(A129,Cleaned_Seller_Master!$A:$H,5,FALSE)</f>
        <v>South</v>
      </c>
      <c r="T129" t="str">
        <f>VLOOKUP(A129,Cleaned_Seller_Master!$A:$H,8,FALSE)</f>
        <v>Verified</v>
      </c>
      <c r="U129" t="str">
        <f>VLOOKUP(A129,Cleaned_Seller_Master!$A:$H,7,FALSE)</f>
        <v>04-12-2020</v>
      </c>
      <c r="V129">
        <f>IFERROR(INDEX(Violation_Summary_Seller_Year!$C:$C,MATCH(AD129,Violation_Summary_Seller_Year!$K:$K,0)),0)</f>
        <v>6</v>
      </c>
      <c r="W129">
        <f>IFERROR(INDEX(Violation_Summary_Seller_Year!$D:$D,MATCH(AD129,Violation_Summary_Seller_Year!$K:$K,0)),0)</f>
        <v>14831.89</v>
      </c>
      <c r="X129">
        <f>IFERROR(INDEX(Violation_Summary_Seller_Year!$E:$E,MATCH(AD129,Violation_Summary_Seller_Year!$K:$K,0)),0)</f>
        <v>5</v>
      </c>
      <c r="Y129">
        <f>IFERROR(INDEX(Violation_Summary_Seller_Year!$F:$F,MATCH(AD129,Violation_Summary_Seller_Year!$K:$K,0)),0)</f>
        <v>1</v>
      </c>
      <c r="Z129">
        <f>IFERROR(INDEX(Violation_Summary_Seller_Year!$G:$G,MATCH(AD129,Violation_Summary_Seller_Year!$K:$K,0)),0)</f>
        <v>5</v>
      </c>
      <c r="AA129">
        <f>IFERROR(INDEX(Violation_Summary_Seller_Year!$H:$H,MATCH(AD129,Violation_Summary_Seller_Year!$K:$K,0)),0)</f>
        <v>5</v>
      </c>
      <c r="AB129">
        <f>IFERROR(INDEX(Violation_Summary_Seller_Year!$I:$I,MATCH(AD129,Violation_Summary_Seller_Year!$K:$K,0)),0)</f>
        <v>4</v>
      </c>
      <c r="AC129">
        <f>IFERROR(INDEX(Violation_Summary_Seller_Year!$J:$J,MATCH(AD129,Violation_Summary_Seller_Year!$K:$K,0)),0)</f>
        <v>41</v>
      </c>
      <c r="AD129" t="str">
        <f t="shared" si="8"/>
        <v>31_2022</v>
      </c>
      <c r="AE129">
        <f t="shared" si="9"/>
        <v>1</v>
      </c>
      <c r="AF129">
        <f t="shared" si="10"/>
        <v>2</v>
      </c>
      <c r="AG129">
        <f t="shared" si="11"/>
        <v>2</v>
      </c>
      <c r="AH129">
        <f t="shared" si="12"/>
        <v>2</v>
      </c>
      <c r="AI129">
        <f t="shared" si="13"/>
        <v>2</v>
      </c>
      <c r="AJ129">
        <f t="shared" si="14"/>
        <v>175</v>
      </c>
      <c r="AK129" t="str">
        <f t="shared" si="15"/>
        <v>High</v>
      </c>
    </row>
    <row r="130" spans="1:37" x14ac:dyDescent="0.3">
      <c r="A130">
        <v>32</v>
      </c>
      <c r="B130">
        <v>2022</v>
      </c>
      <c r="C130">
        <v>772</v>
      </c>
      <c r="D130">
        <v>70</v>
      </c>
      <c r="E130">
        <v>52</v>
      </c>
      <c r="F130">
        <v>3471.22</v>
      </c>
      <c r="G130">
        <v>6.7358000000000001E-2</v>
      </c>
      <c r="H130">
        <v>28</v>
      </c>
      <c r="I130">
        <v>28</v>
      </c>
      <c r="J130">
        <v>11</v>
      </c>
      <c r="K130">
        <v>12</v>
      </c>
      <c r="L130">
        <v>0</v>
      </c>
      <c r="M130">
        <v>4</v>
      </c>
      <c r="N130">
        <v>8</v>
      </c>
      <c r="O130">
        <v>1</v>
      </c>
      <c r="P130" t="s">
        <v>68</v>
      </c>
      <c r="Q130" t="str">
        <f>VLOOKUP(A130,Cleaned_Seller_Master!$A:$H,2,FALSE)</f>
        <v>Pulse Commerce 032</v>
      </c>
      <c r="R130" t="str">
        <f>VLOOKUP(A130,Cleaned_Seller_Master!$A:$H,4,FALSE)</f>
        <v>Beauty</v>
      </c>
      <c r="S130" t="str">
        <f>VLOOKUP(A130,Cleaned_Seller_Master!$A:$H,5,FALSE)</f>
        <v>South</v>
      </c>
      <c r="T130" t="str">
        <f>VLOOKUP(A130,Cleaned_Seller_Master!$A:$H,8,FALSE)</f>
        <v>Verified</v>
      </c>
      <c r="U130" t="str">
        <f>VLOOKUP(A130,Cleaned_Seller_Master!$A:$H,7,FALSE)</f>
        <v>11-07-2020</v>
      </c>
      <c r="V130">
        <f>IFERROR(INDEX(Violation_Summary_Seller_Year!$C:$C,MATCH(AD130,Violation_Summary_Seller_Year!$K:$K,0)),0)</f>
        <v>4</v>
      </c>
      <c r="W130">
        <f>IFERROR(INDEX(Violation_Summary_Seller_Year!$D:$D,MATCH(AD130,Violation_Summary_Seller_Year!$K:$K,0)),0)</f>
        <v>6597.32</v>
      </c>
      <c r="X130">
        <f>IFERROR(INDEX(Violation_Summary_Seller_Year!$E:$E,MATCH(AD130,Violation_Summary_Seller_Year!$K:$K,0)),0)</f>
        <v>0</v>
      </c>
      <c r="Y130">
        <f>IFERROR(INDEX(Violation_Summary_Seller_Year!$F:$F,MATCH(AD130,Violation_Summary_Seller_Year!$K:$K,0)),0)</f>
        <v>3</v>
      </c>
      <c r="Z130">
        <f>IFERROR(INDEX(Violation_Summary_Seller_Year!$G:$G,MATCH(AD130,Violation_Summary_Seller_Year!$K:$K,0)),0)</f>
        <v>1</v>
      </c>
      <c r="AA130">
        <f>IFERROR(INDEX(Violation_Summary_Seller_Year!$H:$H,MATCH(AD130,Violation_Summary_Seller_Year!$K:$K,0)),0)</f>
        <v>2</v>
      </c>
      <c r="AB130">
        <f>IFERROR(INDEX(Violation_Summary_Seller_Year!$I:$I,MATCH(AD130,Violation_Summary_Seller_Year!$K:$K,0)),0)</f>
        <v>1</v>
      </c>
      <c r="AC130">
        <f>IFERROR(INDEX(Violation_Summary_Seller_Year!$J:$J,MATCH(AD130,Violation_Summary_Seller_Year!$K:$K,0)),0)</f>
        <v>33</v>
      </c>
      <c r="AD130" t="str">
        <f t="shared" ref="AD130:AD193" si="16">A130&amp;"_"&amp;B130</f>
        <v>32_2022</v>
      </c>
      <c r="AE130">
        <f t="shared" ref="AE130:AE193" si="17">IF(G130&gt;=0.1,2,IF(G130&gt;=0.05,1,0))</f>
        <v>1</v>
      </c>
      <c r="AF130">
        <f t="shared" ref="AF130:AF193" si="18">IF(H130&gt;=8,2,IF(H130&gt;=4,1,0))</f>
        <v>2</v>
      </c>
      <c r="AG130">
        <f t="shared" ref="AG130:AG193" si="19">IF(OR(AA130&gt;=2,V130&gt;=5),2,IF(OR(AA130&gt;=1,V130&gt;=2),1,0))</f>
        <v>2</v>
      </c>
      <c r="AH130">
        <f t="shared" ref="AH130:AH193" si="20">IF(OR(L130=1,X130&gt;=2),2,IF(X130&gt;=1,1,0))</f>
        <v>0</v>
      </c>
      <c r="AI130">
        <f t="shared" ref="AI130:AI193" si="21">IF(OR(P130="Suspended",P130="Blocked"),2,IF(OR(P130="Under Review",P130="Warning",P130="Review Required",P130="Restricted",P130="Watchlist"),1,0))</f>
        <v>1</v>
      </c>
      <c r="AJ130">
        <f t="shared" ref="AJ130:AJ193" si="22">(AE130*25)+(AF130*25)+(AG130*20)+(AH130*20)+(AI130*10)</f>
        <v>125</v>
      </c>
      <c r="AK130" t="str">
        <f t="shared" ref="AK130:AK193" si="23">IF(AJ130&gt;=120,"High",IF(AJ130&gt;=60,"Medium","Low"))</f>
        <v>High</v>
      </c>
    </row>
    <row r="131" spans="1:37" x14ac:dyDescent="0.3">
      <c r="A131">
        <v>33</v>
      </c>
      <c r="B131">
        <v>2022</v>
      </c>
      <c r="C131">
        <v>773</v>
      </c>
      <c r="D131">
        <v>44</v>
      </c>
      <c r="E131">
        <v>32</v>
      </c>
      <c r="F131">
        <v>2226.79</v>
      </c>
      <c r="G131">
        <v>4.1397000000000003E-2</v>
      </c>
      <c r="H131">
        <v>19</v>
      </c>
      <c r="I131">
        <v>22</v>
      </c>
      <c r="J131">
        <v>4</v>
      </c>
      <c r="K131">
        <v>8</v>
      </c>
      <c r="L131">
        <v>0</v>
      </c>
      <c r="M131">
        <v>2</v>
      </c>
      <c r="N131">
        <v>4</v>
      </c>
      <c r="O131">
        <v>3</v>
      </c>
      <c r="P131" t="s">
        <v>175</v>
      </c>
      <c r="Q131" t="str">
        <f>VLOOKUP(A131,Cleaned_Seller_Master!$A:$H,2,FALSE)</f>
        <v>Summit Bazaar 033</v>
      </c>
      <c r="R131" t="str">
        <f>VLOOKUP(A131,Cleaned_Seller_Master!$A:$H,4,FALSE)</f>
        <v>Groceries</v>
      </c>
      <c r="S131" t="str">
        <f>VLOOKUP(A131,Cleaned_Seller_Master!$A:$H,5,FALSE)</f>
        <v>East</v>
      </c>
      <c r="T131" t="str">
        <f>VLOOKUP(A131,Cleaned_Seller_Master!$A:$H,8,FALSE)</f>
        <v>Standard</v>
      </c>
      <c r="U131" t="str">
        <f>VLOOKUP(A131,Cleaned_Seller_Master!$A:$H,7,FALSE)</f>
        <v>06-05-2019</v>
      </c>
      <c r="V131">
        <f>IFERROR(INDEX(Violation_Summary_Seller_Year!$C:$C,MATCH(AD131,Violation_Summary_Seller_Year!$K:$K,0)),0)</f>
        <v>1</v>
      </c>
      <c r="W131">
        <f>IFERROR(INDEX(Violation_Summary_Seller_Year!$D:$D,MATCH(AD131,Violation_Summary_Seller_Year!$K:$K,0)),0)</f>
        <v>836.09</v>
      </c>
      <c r="X131">
        <f>IFERROR(INDEX(Violation_Summary_Seller_Year!$E:$E,MATCH(AD131,Violation_Summary_Seller_Year!$K:$K,0)),0)</f>
        <v>0</v>
      </c>
      <c r="Y131">
        <f>IFERROR(INDEX(Violation_Summary_Seller_Year!$F:$F,MATCH(AD131,Violation_Summary_Seller_Year!$K:$K,0)),0)</f>
        <v>1</v>
      </c>
      <c r="Z131">
        <f>IFERROR(INDEX(Violation_Summary_Seller_Year!$G:$G,MATCH(AD131,Violation_Summary_Seller_Year!$K:$K,0)),0)</f>
        <v>0</v>
      </c>
      <c r="AA131">
        <f>IFERROR(INDEX(Violation_Summary_Seller_Year!$H:$H,MATCH(AD131,Violation_Summary_Seller_Year!$K:$K,0)),0)</f>
        <v>0</v>
      </c>
      <c r="AB131">
        <f>IFERROR(INDEX(Violation_Summary_Seller_Year!$I:$I,MATCH(AD131,Violation_Summary_Seller_Year!$K:$K,0)),0)</f>
        <v>0</v>
      </c>
      <c r="AC131">
        <f>IFERROR(INDEX(Violation_Summary_Seller_Year!$J:$J,MATCH(AD131,Violation_Summary_Seller_Year!$K:$K,0)),0)</f>
        <v>7</v>
      </c>
      <c r="AD131" t="str">
        <f t="shared" si="16"/>
        <v>33_2022</v>
      </c>
      <c r="AE131">
        <f t="shared" si="17"/>
        <v>0</v>
      </c>
      <c r="AF131">
        <f t="shared" si="18"/>
        <v>2</v>
      </c>
      <c r="AG131">
        <f t="shared" si="19"/>
        <v>0</v>
      </c>
      <c r="AH131">
        <f t="shared" si="20"/>
        <v>0</v>
      </c>
      <c r="AI131">
        <f t="shared" si="21"/>
        <v>1</v>
      </c>
      <c r="AJ131">
        <f t="shared" si="22"/>
        <v>60</v>
      </c>
      <c r="AK131" t="str">
        <f t="shared" si="23"/>
        <v>Medium</v>
      </c>
    </row>
    <row r="132" spans="1:37" x14ac:dyDescent="0.3">
      <c r="A132">
        <v>34</v>
      </c>
      <c r="B132">
        <v>2022</v>
      </c>
      <c r="C132">
        <v>1552</v>
      </c>
      <c r="D132">
        <v>141</v>
      </c>
      <c r="E132">
        <v>115</v>
      </c>
      <c r="F132">
        <v>10346.56</v>
      </c>
      <c r="G132">
        <v>7.4097999999999997E-2</v>
      </c>
      <c r="H132">
        <v>27</v>
      </c>
      <c r="I132">
        <v>49</v>
      </c>
      <c r="J132">
        <v>14</v>
      </c>
      <c r="K132">
        <v>11</v>
      </c>
      <c r="L132">
        <v>0</v>
      </c>
      <c r="M132">
        <v>3</v>
      </c>
      <c r="N132">
        <v>5</v>
      </c>
      <c r="O132">
        <v>8</v>
      </c>
      <c r="P132" t="s">
        <v>175</v>
      </c>
      <c r="Q132" t="str">
        <f>VLOOKUP(A132,Cleaned_Seller_Master!$A:$H,2,FALSE)</f>
        <v>Prime Bridge 034</v>
      </c>
      <c r="R132" t="str">
        <f>VLOOKUP(A132,Cleaned_Seller_Master!$A:$H,4,FALSE)</f>
        <v>Home</v>
      </c>
      <c r="S132" t="str">
        <f>VLOOKUP(A132,Cleaned_Seller_Master!$A:$H,5,FALSE)</f>
        <v>Southeast Asia</v>
      </c>
      <c r="T132" t="str">
        <f>VLOOKUP(A132,Cleaned_Seller_Master!$A:$H,8,FALSE)</f>
        <v>Verified</v>
      </c>
      <c r="U132" t="str">
        <f>VLOOKUP(A132,Cleaned_Seller_Master!$A:$H,7,FALSE)</f>
        <v>19-07-2019</v>
      </c>
      <c r="V132">
        <f>IFERROR(INDEX(Violation_Summary_Seller_Year!$C:$C,MATCH(AD132,Violation_Summary_Seller_Year!$K:$K,0)),0)</f>
        <v>3</v>
      </c>
      <c r="W132">
        <f>IFERROR(INDEX(Violation_Summary_Seller_Year!$D:$D,MATCH(AD132,Violation_Summary_Seller_Year!$K:$K,0)),0)</f>
        <v>3650.0199999999995</v>
      </c>
      <c r="X132">
        <f>IFERROR(INDEX(Violation_Summary_Seller_Year!$E:$E,MATCH(AD132,Violation_Summary_Seller_Year!$K:$K,0)),0)</f>
        <v>0</v>
      </c>
      <c r="Y132">
        <f>IFERROR(INDEX(Violation_Summary_Seller_Year!$F:$F,MATCH(AD132,Violation_Summary_Seller_Year!$K:$K,0)),0)</f>
        <v>3</v>
      </c>
      <c r="Z132">
        <f>IFERROR(INDEX(Violation_Summary_Seller_Year!$G:$G,MATCH(AD132,Violation_Summary_Seller_Year!$K:$K,0)),0)</f>
        <v>0</v>
      </c>
      <c r="AA132">
        <f>IFERROR(INDEX(Violation_Summary_Seller_Year!$H:$H,MATCH(AD132,Violation_Summary_Seller_Year!$K:$K,0)),0)</f>
        <v>1</v>
      </c>
      <c r="AB132">
        <f>IFERROR(INDEX(Violation_Summary_Seller_Year!$I:$I,MATCH(AD132,Violation_Summary_Seller_Year!$K:$K,0)),0)</f>
        <v>1</v>
      </c>
      <c r="AC132">
        <f>IFERROR(INDEX(Violation_Summary_Seller_Year!$J:$J,MATCH(AD132,Violation_Summary_Seller_Year!$K:$K,0)),0)</f>
        <v>44</v>
      </c>
      <c r="AD132" t="str">
        <f t="shared" si="16"/>
        <v>34_2022</v>
      </c>
      <c r="AE132">
        <f t="shared" si="17"/>
        <v>1</v>
      </c>
      <c r="AF132">
        <f t="shared" si="18"/>
        <v>2</v>
      </c>
      <c r="AG132">
        <f t="shared" si="19"/>
        <v>1</v>
      </c>
      <c r="AH132">
        <f t="shared" si="20"/>
        <v>0</v>
      </c>
      <c r="AI132">
        <f t="shared" si="21"/>
        <v>1</v>
      </c>
      <c r="AJ132">
        <f t="shared" si="22"/>
        <v>105</v>
      </c>
      <c r="AK132" t="str">
        <f t="shared" si="23"/>
        <v>Medium</v>
      </c>
    </row>
    <row r="133" spans="1:37" x14ac:dyDescent="0.3">
      <c r="A133">
        <v>36</v>
      </c>
      <c r="B133">
        <v>2022</v>
      </c>
      <c r="C133">
        <v>1855</v>
      </c>
      <c r="D133">
        <v>132</v>
      </c>
      <c r="E133">
        <v>121</v>
      </c>
      <c r="F133">
        <v>6203.15</v>
      </c>
      <c r="G133">
        <v>6.5228999999999995E-2</v>
      </c>
      <c r="H133">
        <v>27</v>
      </c>
      <c r="I133">
        <v>41</v>
      </c>
      <c r="J133">
        <v>22</v>
      </c>
      <c r="K133">
        <v>11</v>
      </c>
      <c r="L133">
        <v>0</v>
      </c>
      <c r="M133">
        <v>4</v>
      </c>
      <c r="N133">
        <v>6</v>
      </c>
      <c r="O133">
        <v>5</v>
      </c>
      <c r="P133" t="s">
        <v>175</v>
      </c>
      <c r="Q133" t="str">
        <f>VLOOKUP(A133,Cleaned_Seller_Master!$A:$H,2,FALSE)</f>
        <v>Nimbus Market 036</v>
      </c>
      <c r="R133" t="str">
        <f>VLOOKUP(A133,Cleaned_Seller_Master!$A:$H,4,FALSE)</f>
        <v>Fashion</v>
      </c>
      <c r="S133" t="str">
        <f>VLOOKUP(A133,Cleaned_Seller_Master!$A:$H,5,FALSE)</f>
        <v>West</v>
      </c>
      <c r="T133" t="str">
        <f>VLOOKUP(A133,Cleaned_Seller_Master!$A:$H,8,FALSE)</f>
        <v>Strategic</v>
      </c>
      <c r="U133" t="str">
        <f>VLOOKUP(A133,Cleaned_Seller_Master!$A:$H,7,FALSE)</f>
        <v>14-04-2020</v>
      </c>
      <c r="V133">
        <f>IFERROR(INDEX(Violation_Summary_Seller_Year!$C:$C,MATCH(AD133,Violation_Summary_Seller_Year!$K:$K,0)),0)</f>
        <v>3</v>
      </c>
      <c r="W133">
        <f>IFERROR(INDEX(Violation_Summary_Seller_Year!$D:$D,MATCH(AD133,Violation_Summary_Seller_Year!$K:$K,0)),0)</f>
        <v>2937.75</v>
      </c>
      <c r="X133">
        <f>IFERROR(INDEX(Violation_Summary_Seller_Year!$E:$E,MATCH(AD133,Violation_Summary_Seller_Year!$K:$K,0)),0)</f>
        <v>0</v>
      </c>
      <c r="Y133">
        <f>IFERROR(INDEX(Violation_Summary_Seller_Year!$F:$F,MATCH(AD133,Violation_Summary_Seller_Year!$K:$K,0)),0)</f>
        <v>3</v>
      </c>
      <c r="Z133">
        <f>IFERROR(INDEX(Violation_Summary_Seller_Year!$G:$G,MATCH(AD133,Violation_Summary_Seller_Year!$K:$K,0)),0)</f>
        <v>0</v>
      </c>
      <c r="AA133">
        <f>IFERROR(INDEX(Violation_Summary_Seller_Year!$H:$H,MATCH(AD133,Violation_Summary_Seller_Year!$K:$K,0)),0)</f>
        <v>1</v>
      </c>
      <c r="AB133">
        <f>IFERROR(INDEX(Violation_Summary_Seller_Year!$I:$I,MATCH(AD133,Violation_Summary_Seller_Year!$K:$K,0)),0)</f>
        <v>0</v>
      </c>
      <c r="AC133">
        <f>IFERROR(INDEX(Violation_Summary_Seller_Year!$J:$J,MATCH(AD133,Violation_Summary_Seller_Year!$K:$K,0)),0)</f>
        <v>18</v>
      </c>
      <c r="AD133" t="str">
        <f t="shared" si="16"/>
        <v>36_2022</v>
      </c>
      <c r="AE133">
        <f t="shared" si="17"/>
        <v>1</v>
      </c>
      <c r="AF133">
        <f t="shared" si="18"/>
        <v>2</v>
      </c>
      <c r="AG133">
        <f t="shared" si="19"/>
        <v>1</v>
      </c>
      <c r="AH133">
        <f t="shared" si="20"/>
        <v>0</v>
      </c>
      <c r="AI133">
        <f t="shared" si="21"/>
        <v>1</v>
      </c>
      <c r="AJ133">
        <f t="shared" si="22"/>
        <v>105</v>
      </c>
      <c r="AK133" t="str">
        <f t="shared" si="23"/>
        <v>Medium</v>
      </c>
    </row>
    <row r="134" spans="1:37" x14ac:dyDescent="0.3">
      <c r="A134">
        <v>37</v>
      </c>
      <c r="B134">
        <v>2022</v>
      </c>
      <c r="C134">
        <v>816</v>
      </c>
      <c r="D134">
        <v>37</v>
      </c>
      <c r="E134">
        <v>32</v>
      </c>
      <c r="F134">
        <v>2916.82</v>
      </c>
      <c r="G134">
        <v>3.9216000000000001E-2</v>
      </c>
      <c r="H134">
        <v>11</v>
      </c>
      <c r="I134">
        <v>23</v>
      </c>
      <c r="J134">
        <v>7</v>
      </c>
      <c r="K134">
        <v>4</v>
      </c>
      <c r="L134">
        <v>0</v>
      </c>
      <c r="M134">
        <v>0</v>
      </c>
      <c r="N134">
        <v>2</v>
      </c>
      <c r="O134">
        <v>1</v>
      </c>
      <c r="P134" t="s">
        <v>175</v>
      </c>
      <c r="Q134" t="str">
        <f>VLOOKUP(A134,Cleaned_Seller_Master!$A:$H,2,FALSE)</f>
        <v>Metro Point 037</v>
      </c>
      <c r="R134" t="str">
        <f>VLOOKUP(A134,Cleaned_Seller_Master!$A:$H,4,FALSE)</f>
        <v>Electronics</v>
      </c>
      <c r="S134" t="str">
        <f>VLOOKUP(A134,Cleaned_Seller_Master!$A:$H,5,FALSE)</f>
        <v>East</v>
      </c>
      <c r="T134" t="str">
        <f>VLOOKUP(A134,Cleaned_Seller_Master!$A:$H,8,FALSE)</f>
        <v>Standard</v>
      </c>
      <c r="U134" t="str">
        <f>VLOOKUP(A134,Cleaned_Seller_Master!$A:$H,7,FALSE)</f>
        <v>26-07-2021</v>
      </c>
      <c r="V134">
        <f>IFERROR(INDEX(Violation_Summary_Seller_Year!$C:$C,MATCH(AD134,Violation_Summary_Seller_Year!$K:$K,0)),0)</f>
        <v>1</v>
      </c>
      <c r="W134">
        <f>IFERROR(INDEX(Violation_Summary_Seller_Year!$D:$D,MATCH(AD134,Violation_Summary_Seller_Year!$K:$K,0)),0)</f>
        <v>932.66</v>
      </c>
      <c r="X134">
        <f>IFERROR(INDEX(Violation_Summary_Seller_Year!$E:$E,MATCH(AD134,Violation_Summary_Seller_Year!$K:$K,0)),0)</f>
        <v>0</v>
      </c>
      <c r="Y134">
        <f>IFERROR(INDEX(Violation_Summary_Seller_Year!$F:$F,MATCH(AD134,Violation_Summary_Seller_Year!$K:$K,0)),0)</f>
        <v>1</v>
      </c>
      <c r="Z134">
        <f>IFERROR(INDEX(Violation_Summary_Seller_Year!$G:$G,MATCH(AD134,Violation_Summary_Seller_Year!$K:$K,0)),0)</f>
        <v>0</v>
      </c>
      <c r="AA134">
        <f>IFERROR(INDEX(Violation_Summary_Seller_Year!$H:$H,MATCH(AD134,Violation_Summary_Seller_Year!$K:$K,0)),0)</f>
        <v>0</v>
      </c>
      <c r="AB134">
        <f>IFERROR(INDEX(Violation_Summary_Seller_Year!$I:$I,MATCH(AD134,Violation_Summary_Seller_Year!$K:$K,0)),0)</f>
        <v>1</v>
      </c>
      <c r="AC134">
        <f>IFERROR(INDEX(Violation_Summary_Seller_Year!$J:$J,MATCH(AD134,Violation_Summary_Seller_Year!$K:$K,0)),0)</f>
        <v>7</v>
      </c>
      <c r="AD134" t="str">
        <f t="shared" si="16"/>
        <v>37_2022</v>
      </c>
      <c r="AE134">
        <f t="shared" si="17"/>
        <v>0</v>
      </c>
      <c r="AF134">
        <f t="shared" si="18"/>
        <v>2</v>
      </c>
      <c r="AG134">
        <f t="shared" si="19"/>
        <v>0</v>
      </c>
      <c r="AH134">
        <f t="shared" si="20"/>
        <v>0</v>
      </c>
      <c r="AI134">
        <f t="shared" si="21"/>
        <v>1</v>
      </c>
      <c r="AJ134">
        <f t="shared" si="22"/>
        <v>60</v>
      </c>
      <c r="AK134" t="str">
        <f t="shared" si="23"/>
        <v>Medium</v>
      </c>
    </row>
    <row r="135" spans="1:37" x14ac:dyDescent="0.3">
      <c r="A135">
        <v>38</v>
      </c>
      <c r="B135">
        <v>2022</v>
      </c>
      <c r="C135">
        <v>960</v>
      </c>
      <c r="D135">
        <v>79</v>
      </c>
      <c r="E135">
        <v>69</v>
      </c>
      <c r="F135">
        <v>4705.13</v>
      </c>
      <c r="G135">
        <v>7.1874999999999994E-2</v>
      </c>
      <c r="H135">
        <v>14</v>
      </c>
      <c r="I135">
        <v>30</v>
      </c>
      <c r="J135">
        <v>15</v>
      </c>
      <c r="K135">
        <v>6</v>
      </c>
      <c r="L135">
        <v>1</v>
      </c>
      <c r="M135">
        <v>5</v>
      </c>
      <c r="N135">
        <v>3</v>
      </c>
      <c r="O135">
        <v>2</v>
      </c>
      <c r="P135" t="s">
        <v>85</v>
      </c>
      <c r="Q135" t="str">
        <f>VLOOKUP(A135,Cleaned_Seller_Master!$A:$H,2,FALSE)</f>
        <v>Luna Stores 038</v>
      </c>
      <c r="R135" t="str">
        <f>VLOOKUP(A135,Cleaned_Seller_Master!$A:$H,4,FALSE)</f>
        <v>Beauty</v>
      </c>
      <c r="S135" t="str">
        <f>VLOOKUP(A135,Cleaned_Seller_Master!$A:$H,5,FALSE)</f>
        <v>North</v>
      </c>
      <c r="T135" t="str">
        <f>VLOOKUP(A135,Cleaned_Seller_Master!$A:$H,8,FALSE)</f>
        <v>Verified</v>
      </c>
      <c r="U135" t="str">
        <f>VLOOKUP(A135,Cleaned_Seller_Master!$A:$H,7,FALSE)</f>
        <v>27-02-2022</v>
      </c>
      <c r="V135">
        <f>IFERROR(INDEX(Violation_Summary_Seller_Year!$C:$C,MATCH(AD135,Violation_Summary_Seller_Year!$K:$K,0)),0)</f>
        <v>5</v>
      </c>
      <c r="W135">
        <f>IFERROR(INDEX(Violation_Summary_Seller_Year!$D:$D,MATCH(AD135,Violation_Summary_Seller_Year!$K:$K,0)),0)</f>
        <v>13210.15</v>
      </c>
      <c r="X135">
        <f>IFERROR(INDEX(Violation_Summary_Seller_Year!$E:$E,MATCH(AD135,Violation_Summary_Seller_Year!$K:$K,0)),0)</f>
        <v>4</v>
      </c>
      <c r="Y135">
        <f>IFERROR(INDEX(Violation_Summary_Seller_Year!$F:$F,MATCH(AD135,Violation_Summary_Seller_Year!$K:$K,0)),0)</f>
        <v>1</v>
      </c>
      <c r="Z135">
        <f>IFERROR(INDEX(Violation_Summary_Seller_Year!$G:$G,MATCH(AD135,Violation_Summary_Seller_Year!$K:$K,0)),0)</f>
        <v>4</v>
      </c>
      <c r="AA135">
        <f>IFERROR(INDEX(Violation_Summary_Seller_Year!$H:$H,MATCH(AD135,Violation_Summary_Seller_Year!$K:$K,0)),0)</f>
        <v>4</v>
      </c>
      <c r="AB135">
        <f>IFERROR(INDEX(Violation_Summary_Seller_Year!$I:$I,MATCH(AD135,Violation_Summary_Seller_Year!$K:$K,0)),0)</f>
        <v>2</v>
      </c>
      <c r="AC135">
        <f>IFERROR(INDEX(Violation_Summary_Seller_Year!$J:$J,MATCH(AD135,Violation_Summary_Seller_Year!$K:$K,0)),0)</f>
        <v>31</v>
      </c>
      <c r="AD135" t="str">
        <f t="shared" si="16"/>
        <v>38_2022</v>
      </c>
      <c r="AE135">
        <f t="shared" si="17"/>
        <v>1</v>
      </c>
      <c r="AF135">
        <f t="shared" si="18"/>
        <v>2</v>
      </c>
      <c r="AG135">
        <f t="shared" si="19"/>
        <v>2</v>
      </c>
      <c r="AH135">
        <f t="shared" si="20"/>
        <v>2</v>
      </c>
      <c r="AI135">
        <f t="shared" si="21"/>
        <v>2</v>
      </c>
      <c r="AJ135">
        <f t="shared" si="22"/>
        <v>175</v>
      </c>
      <c r="AK135" t="str">
        <f t="shared" si="23"/>
        <v>High</v>
      </c>
    </row>
    <row r="136" spans="1:37" x14ac:dyDescent="0.3">
      <c r="A136">
        <v>39</v>
      </c>
      <c r="B136">
        <v>2022</v>
      </c>
      <c r="C136">
        <v>402</v>
      </c>
      <c r="D136">
        <v>30</v>
      </c>
      <c r="E136">
        <v>23</v>
      </c>
      <c r="F136">
        <v>1916.21</v>
      </c>
      <c r="G136">
        <v>5.7214000000000001E-2</v>
      </c>
      <c r="H136">
        <v>9</v>
      </c>
      <c r="I136">
        <v>11</v>
      </c>
      <c r="J136">
        <v>7</v>
      </c>
      <c r="K136">
        <v>6</v>
      </c>
      <c r="L136">
        <v>1</v>
      </c>
      <c r="M136">
        <v>6</v>
      </c>
      <c r="N136">
        <v>3</v>
      </c>
      <c r="O136">
        <v>2</v>
      </c>
      <c r="P136" t="s">
        <v>85</v>
      </c>
      <c r="Q136" t="str">
        <f>VLOOKUP(A136,Cleaned_Seller_Master!$A:$H,2,FALSE)</f>
        <v>Elite Link 039</v>
      </c>
      <c r="R136" t="str">
        <f>VLOOKUP(A136,Cleaned_Seller_Master!$A:$H,4,FALSE)</f>
        <v>Home</v>
      </c>
      <c r="S136" t="str">
        <f>VLOOKUP(A136,Cleaned_Seller_Master!$A:$H,5,FALSE)</f>
        <v>Southeast Asia</v>
      </c>
      <c r="T136" t="str">
        <f>VLOOKUP(A136,Cleaned_Seller_Master!$A:$H,8,FALSE)</f>
        <v>Premium</v>
      </c>
      <c r="U136" t="str">
        <f>VLOOKUP(A136,Cleaned_Seller_Master!$A:$H,7,FALSE)</f>
        <v>21-07-2025</v>
      </c>
      <c r="V136">
        <f>IFERROR(INDEX(Violation_Summary_Seller_Year!$C:$C,MATCH(AD136,Violation_Summary_Seller_Year!$K:$K,0)),0)</f>
        <v>6</v>
      </c>
      <c r="W136">
        <f>IFERROR(INDEX(Violation_Summary_Seller_Year!$D:$D,MATCH(AD136,Violation_Summary_Seller_Year!$K:$K,0)),0)</f>
        <v>17018.22</v>
      </c>
      <c r="X136">
        <f>IFERROR(INDEX(Violation_Summary_Seller_Year!$E:$E,MATCH(AD136,Violation_Summary_Seller_Year!$K:$K,0)),0)</f>
        <v>4</v>
      </c>
      <c r="Y136">
        <f>IFERROR(INDEX(Violation_Summary_Seller_Year!$F:$F,MATCH(AD136,Violation_Summary_Seller_Year!$K:$K,0)),0)</f>
        <v>1</v>
      </c>
      <c r="Z136">
        <f>IFERROR(INDEX(Violation_Summary_Seller_Year!$G:$G,MATCH(AD136,Violation_Summary_Seller_Year!$K:$K,0)),0)</f>
        <v>5</v>
      </c>
      <c r="AA136">
        <f>IFERROR(INDEX(Violation_Summary_Seller_Year!$H:$H,MATCH(AD136,Violation_Summary_Seller_Year!$K:$K,0)),0)</f>
        <v>5</v>
      </c>
      <c r="AB136">
        <f>IFERROR(INDEX(Violation_Summary_Seller_Year!$I:$I,MATCH(AD136,Violation_Summary_Seller_Year!$K:$K,0)),0)</f>
        <v>4</v>
      </c>
      <c r="AC136">
        <f>IFERROR(INDEX(Violation_Summary_Seller_Year!$J:$J,MATCH(AD136,Violation_Summary_Seller_Year!$K:$K,0)),0)</f>
        <v>50</v>
      </c>
      <c r="AD136" t="str">
        <f t="shared" si="16"/>
        <v>39_2022</v>
      </c>
      <c r="AE136">
        <f t="shared" si="17"/>
        <v>1</v>
      </c>
      <c r="AF136">
        <f t="shared" si="18"/>
        <v>2</v>
      </c>
      <c r="AG136">
        <f t="shared" si="19"/>
        <v>2</v>
      </c>
      <c r="AH136">
        <f t="shared" si="20"/>
        <v>2</v>
      </c>
      <c r="AI136">
        <f t="shared" si="21"/>
        <v>2</v>
      </c>
      <c r="AJ136">
        <f t="shared" si="22"/>
        <v>175</v>
      </c>
      <c r="AK136" t="str">
        <f t="shared" si="23"/>
        <v>High</v>
      </c>
    </row>
    <row r="137" spans="1:37" x14ac:dyDescent="0.3">
      <c r="A137">
        <v>40</v>
      </c>
      <c r="B137">
        <v>2022</v>
      </c>
      <c r="C137">
        <v>1342</v>
      </c>
      <c r="D137">
        <v>133</v>
      </c>
      <c r="E137">
        <v>123</v>
      </c>
      <c r="F137">
        <v>9593.8799999999992</v>
      </c>
      <c r="G137">
        <v>9.1653999999999999E-2</v>
      </c>
      <c r="H137">
        <v>23</v>
      </c>
      <c r="I137">
        <v>44</v>
      </c>
      <c r="J137">
        <v>17</v>
      </c>
      <c r="K137">
        <v>9</v>
      </c>
      <c r="L137">
        <v>1</v>
      </c>
      <c r="M137">
        <v>4</v>
      </c>
      <c r="N137">
        <v>6</v>
      </c>
      <c r="O137">
        <v>8</v>
      </c>
      <c r="P137" t="s">
        <v>85</v>
      </c>
      <c r="Q137" t="str">
        <f>VLOOKUP(A137,Cleaned_Seller_Master!$A:$H,2,FALSE)</f>
        <v>Nova Cart 040</v>
      </c>
      <c r="R137" t="str">
        <f>VLOOKUP(A137,Cleaned_Seller_Master!$A:$H,4,FALSE)</f>
        <v>Electronics</v>
      </c>
      <c r="S137" t="str">
        <f>VLOOKUP(A137,Cleaned_Seller_Master!$A:$H,5,FALSE)</f>
        <v>West</v>
      </c>
      <c r="T137" t="str">
        <f>VLOOKUP(A137,Cleaned_Seller_Master!$A:$H,8,FALSE)</f>
        <v>Standard</v>
      </c>
      <c r="U137" t="str">
        <f>VLOOKUP(A137,Cleaned_Seller_Master!$A:$H,7,FALSE)</f>
        <v>17-12-2020</v>
      </c>
      <c r="V137">
        <f>IFERROR(INDEX(Violation_Summary_Seller_Year!$C:$C,MATCH(AD137,Violation_Summary_Seller_Year!$K:$K,0)),0)</f>
        <v>5</v>
      </c>
      <c r="W137">
        <f>IFERROR(INDEX(Violation_Summary_Seller_Year!$D:$D,MATCH(AD137,Violation_Summary_Seller_Year!$K:$K,0)),0)</f>
        <v>7393.6900000000005</v>
      </c>
      <c r="X137">
        <f>IFERROR(INDEX(Violation_Summary_Seller_Year!$E:$E,MATCH(AD137,Violation_Summary_Seller_Year!$K:$K,0)),0)</f>
        <v>3</v>
      </c>
      <c r="Y137">
        <f>IFERROR(INDEX(Violation_Summary_Seller_Year!$F:$F,MATCH(AD137,Violation_Summary_Seller_Year!$K:$K,0)),0)</f>
        <v>3</v>
      </c>
      <c r="Z137">
        <f>IFERROR(INDEX(Violation_Summary_Seller_Year!$G:$G,MATCH(AD137,Violation_Summary_Seller_Year!$K:$K,0)),0)</f>
        <v>2</v>
      </c>
      <c r="AA137">
        <f>IFERROR(INDEX(Violation_Summary_Seller_Year!$H:$H,MATCH(AD137,Violation_Summary_Seller_Year!$K:$K,0)),0)</f>
        <v>2</v>
      </c>
      <c r="AB137">
        <f>IFERROR(INDEX(Violation_Summary_Seller_Year!$I:$I,MATCH(AD137,Violation_Summary_Seller_Year!$K:$K,0)),0)</f>
        <v>2</v>
      </c>
      <c r="AC137">
        <f>IFERROR(INDEX(Violation_Summary_Seller_Year!$J:$J,MATCH(AD137,Violation_Summary_Seller_Year!$K:$K,0)),0)</f>
        <v>45</v>
      </c>
      <c r="AD137" t="str">
        <f t="shared" si="16"/>
        <v>40_2022</v>
      </c>
      <c r="AE137">
        <f t="shared" si="17"/>
        <v>1</v>
      </c>
      <c r="AF137">
        <f t="shared" si="18"/>
        <v>2</v>
      </c>
      <c r="AG137">
        <f t="shared" si="19"/>
        <v>2</v>
      </c>
      <c r="AH137">
        <f t="shared" si="20"/>
        <v>2</v>
      </c>
      <c r="AI137">
        <f t="shared" si="21"/>
        <v>2</v>
      </c>
      <c r="AJ137">
        <f t="shared" si="22"/>
        <v>175</v>
      </c>
      <c r="AK137" t="str">
        <f t="shared" si="23"/>
        <v>High</v>
      </c>
    </row>
    <row r="138" spans="1:37" x14ac:dyDescent="0.3">
      <c r="A138">
        <v>41</v>
      </c>
      <c r="B138">
        <v>2022</v>
      </c>
      <c r="C138">
        <v>1432</v>
      </c>
      <c r="D138">
        <v>118</v>
      </c>
      <c r="E138">
        <v>109</v>
      </c>
      <c r="F138">
        <v>6570.59</v>
      </c>
      <c r="G138">
        <v>7.6117000000000004E-2</v>
      </c>
      <c r="H138">
        <v>22</v>
      </c>
      <c r="I138">
        <v>45</v>
      </c>
      <c r="J138">
        <v>19</v>
      </c>
      <c r="K138">
        <v>8</v>
      </c>
      <c r="L138">
        <v>1</v>
      </c>
      <c r="M138">
        <v>6</v>
      </c>
      <c r="N138">
        <v>5</v>
      </c>
      <c r="O138">
        <v>7</v>
      </c>
      <c r="P138" t="s">
        <v>85</v>
      </c>
      <c r="Q138" t="str">
        <f>VLOOKUP(A138,Cleaned_Seller_Master!$A:$H,2,FALSE)</f>
        <v>Swift Goods 041</v>
      </c>
      <c r="R138" t="str">
        <f>VLOOKUP(A138,Cleaned_Seller_Master!$A:$H,4,FALSE)</f>
        <v>Groceries</v>
      </c>
      <c r="S138" t="str">
        <f>VLOOKUP(A138,Cleaned_Seller_Master!$A:$H,5,FALSE)</f>
        <v>Southeast Asia</v>
      </c>
      <c r="T138" t="str">
        <f>VLOOKUP(A138,Cleaned_Seller_Master!$A:$H,8,FALSE)</f>
        <v>Standard</v>
      </c>
      <c r="U138" t="str">
        <f>VLOOKUP(A138,Cleaned_Seller_Master!$A:$H,7,FALSE)</f>
        <v>20-08-2023</v>
      </c>
      <c r="V138">
        <f>IFERROR(INDEX(Violation_Summary_Seller_Year!$C:$C,MATCH(AD138,Violation_Summary_Seller_Year!$K:$K,0)),0)</f>
        <v>5</v>
      </c>
      <c r="W138">
        <f>IFERROR(INDEX(Violation_Summary_Seller_Year!$D:$D,MATCH(AD138,Violation_Summary_Seller_Year!$K:$K,0)),0)</f>
        <v>11897.82</v>
      </c>
      <c r="X138">
        <f>IFERROR(INDEX(Violation_Summary_Seller_Year!$E:$E,MATCH(AD138,Violation_Summary_Seller_Year!$K:$K,0)),0)</f>
        <v>4</v>
      </c>
      <c r="Y138">
        <f>IFERROR(INDEX(Violation_Summary_Seller_Year!$F:$F,MATCH(AD138,Violation_Summary_Seller_Year!$K:$K,0)),0)</f>
        <v>3</v>
      </c>
      <c r="Z138">
        <f>IFERROR(INDEX(Violation_Summary_Seller_Year!$G:$G,MATCH(AD138,Violation_Summary_Seller_Year!$K:$K,0)),0)</f>
        <v>2</v>
      </c>
      <c r="AA138">
        <f>IFERROR(INDEX(Violation_Summary_Seller_Year!$H:$H,MATCH(AD138,Violation_Summary_Seller_Year!$K:$K,0)),0)</f>
        <v>3</v>
      </c>
      <c r="AB138">
        <f>IFERROR(INDEX(Violation_Summary_Seller_Year!$I:$I,MATCH(AD138,Violation_Summary_Seller_Year!$K:$K,0)),0)</f>
        <v>2</v>
      </c>
      <c r="AC138">
        <f>IFERROR(INDEX(Violation_Summary_Seller_Year!$J:$J,MATCH(AD138,Violation_Summary_Seller_Year!$K:$K,0)),0)</f>
        <v>35</v>
      </c>
      <c r="AD138" t="str">
        <f t="shared" si="16"/>
        <v>41_2022</v>
      </c>
      <c r="AE138">
        <f t="shared" si="17"/>
        <v>1</v>
      </c>
      <c r="AF138">
        <f t="shared" si="18"/>
        <v>2</v>
      </c>
      <c r="AG138">
        <f t="shared" si="19"/>
        <v>2</v>
      </c>
      <c r="AH138">
        <f t="shared" si="20"/>
        <v>2</v>
      </c>
      <c r="AI138">
        <f t="shared" si="21"/>
        <v>2</v>
      </c>
      <c r="AJ138">
        <f t="shared" si="22"/>
        <v>175</v>
      </c>
      <c r="AK138" t="str">
        <f t="shared" si="23"/>
        <v>High</v>
      </c>
    </row>
    <row r="139" spans="1:37" x14ac:dyDescent="0.3">
      <c r="A139">
        <v>42</v>
      </c>
      <c r="B139">
        <v>2022</v>
      </c>
      <c r="C139">
        <v>1359</v>
      </c>
      <c r="D139">
        <v>81</v>
      </c>
      <c r="E139">
        <v>59</v>
      </c>
      <c r="F139">
        <v>5107.78</v>
      </c>
      <c r="G139">
        <v>4.3414000000000001E-2</v>
      </c>
      <c r="H139">
        <v>8</v>
      </c>
      <c r="I139">
        <v>29</v>
      </c>
      <c r="J139">
        <v>7</v>
      </c>
      <c r="K139">
        <v>7</v>
      </c>
      <c r="L139">
        <v>0</v>
      </c>
      <c r="M139">
        <v>2</v>
      </c>
      <c r="N139">
        <v>2</v>
      </c>
      <c r="O139">
        <v>3</v>
      </c>
      <c r="P139" t="s">
        <v>175</v>
      </c>
      <c r="Q139" t="str">
        <f>VLOOKUP(A139,Cleaned_Seller_Master!$A:$H,2,FALSE)</f>
        <v>Blue Source 042</v>
      </c>
      <c r="R139" t="str">
        <f>VLOOKUP(A139,Cleaned_Seller_Master!$A:$H,4,FALSE)</f>
        <v>Home</v>
      </c>
      <c r="S139" t="str">
        <f>VLOOKUP(A139,Cleaned_Seller_Master!$A:$H,5,FALSE)</f>
        <v>West</v>
      </c>
      <c r="T139" t="str">
        <f>VLOOKUP(A139,Cleaned_Seller_Master!$A:$H,8,FALSE)</f>
        <v>Strategic</v>
      </c>
      <c r="U139" t="str">
        <f>VLOOKUP(A139,Cleaned_Seller_Master!$A:$H,7,FALSE)</f>
        <v>09-11-2020</v>
      </c>
      <c r="V139">
        <f>IFERROR(INDEX(Violation_Summary_Seller_Year!$C:$C,MATCH(AD139,Violation_Summary_Seller_Year!$K:$K,0)),0)</f>
        <v>1</v>
      </c>
      <c r="W139">
        <f>IFERROR(INDEX(Violation_Summary_Seller_Year!$D:$D,MATCH(AD139,Violation_Summary_Seller_Year!$K:$K,0)),0)</f>
        <v>1999.92</v>
      </c>
      <c r="X139">
        <f>IFERROR(INDEX(Violation_Summary_Seller_Year!$E:$E,MATCH(AD139,Violation_Summary_Seller_Year!$K:$K,0)),0)</f>
        <v>0</v>
      </c>
      <c r="Y139">
        <f>IFERROR(INDEX(Violation_Summary_Seller_Year!$F:$F,MATCH(AD139,Violation_Summary_Seller_Year!$K:$K,0)),0)</f>
        <v>1</v>
      </c>
      <c r="Z139">
        <f>IFERROR(INDEX(Violation_Summary_Seller_Year!$G:$G,MATCH(AD139,Violation_Summary_Seller_Year!$K:$K,0)),0)</f>
        <v>0</v>
      </c>
      <c r="AA139">
        <f>IFERROR(INDEX(Violation_Summary_Seller_Year!$H:$H,MATCH(AD139,Violation_Summary_Seller_Year!$K:$K,0)),0)</f>
        <v>1</v>
      </c>
      <c r="AB139">
        <f>IFERROR(INDEX(Violation_Summary_Seller_Year!$I:$I,MATCH(AD139,Violation_Summary_Seller_Year!$K:$K,0)),0)</f>
        <v>0</v>
      </c>
      <c r="AC139">
        <f>IFERROR(INDEX(Violation_Summary_Seller_Year!$J:$J,MATCH(AD139,Violation_Summary_Seller_Year!$K:$K,0)),0)</f>
        <v>2</v>
      </c>
      <c r="AD139" t="str">
        <f t="shared" si="16"/>
        <v>42_2022</v>
      </c>
      <c r="AE139">
        <f t="shared" si="17"/>
        <v>0</v>
      </c>
      <c r="AF139">
        <f t="shared" si="18"/>
        <v>2</v>
      </c>
      <c r="AG139">
        <f t="shared" si="19"/>
        <v>1</v>
      </c>
      <c r="AH139">
        <f t="shared" si="20"/>
        <v>0</v>
      </c>
      <c r="AI139">
        <f t="shared" si="21"/>
        <v>1</v>
      </c>
      <c r="AJ139">
        <f t="shared" si="22"/>
        <v>80</v>
      </c>
      <c r="AK139" t="str">
        <f t="shared" si="23"/>
        <v>Medium</v>
      </c>
    </row>
    <row r="140" spans="1:37" x14ac:dyDescent="0.3">
      <c r="A140">
        <v>43</v>
      </c>
      <c r="B140">
        <v>2022</v>
      </c>
      <c r="C140">
        <v>651</v>
      </c>
      <c r="D140">
        <v>29</v>
      </c>
      <c r="E140">
        <v>23</v>
      </c>
      <c r="F140">
        <v>608.04999999999995</v>
      </c>
      <c r="G140">
        <v>3.533E-2</v>
      </c>
      <c r="H140">
        <v>16</v>
      </c>
      <c r="I140">
        <v>16</v>
      </c>
      <c r="J140">
        <v>3</v>
      </c>
      <c r="K140">
        <v>4</v>
      </c>
      <c r="L140">
        <v>0</v>
      </c>
      <c r="M140">
        <v>1</v>
      </c>
      <c r="N140">
        <v>3</v>
      </c>
      <c r="O140">
        <v>1</v>
      </c>
      <c r="P140" t="s">
        <v>175</v>
      </c>
      <c r="Q140" t="str">
        <f>VLOOKUP(A140,Cleaned_Seller_Master!$A:$H,2,FALSE)</f>
        <v>Vertex Supply 043</v>
      </c>
      <c r="R140" t="str">
        <f>VLOOKUP(A140,Cleaned_Seller_Master!$A:$H,4,FALSE)</f>
        <v>Fashion</v>
      </c>
      <c r="S140" t="str">
        <f>VLOOKUP(A140,Cleaned_Seller_Master!$A:$H,5,FALSE)</f>
        <v>East</v>
      </c>
      <c r="T140" t="str">
        <f>VLOOKUP(A140,Cleaned_Seller_Master!$A:$H,8,FALSE)</f>
        <v>Verified</v>
      </c>
      <c r="U140" t="str">
        <f>VLOOKUP(A140,Cleaned_Seller_Master!$A:$H,7,FALSE)</f>
        <v>05-03-2018</v>
      </c>
      <c r="V140">
        <f>IFERROR(INDEX(Violation_Summary_Seller_Year!$C:$C,MATCH(AD140,Violation_Summary_Seller_Year!$K:$K,0)),0)</f>
        <v>2</v>
      </c>
      <c r="W140">
        <f>IFERROR(INDEX(Violation_Summary_Seller_Year!$D:$D,MATCH(AD140,Violation_Summary_Seller_Year!$K:$K,0)),0)</f>
        <v>1055.01</v>
      </c>
      <c r="X140">
        <f>IFERROR(INDEX(Violation_Summary_Seller_Year!$E:$E,MATCH(AD140,Violation_Summary_Seller_Year!$K:$K,0)),0)</f>
        <v>0</v>
      </c>
      <c r="Y140">
        <f>IFERROR(INDEX(Violation_Summary_Seller_Year!$F:$F,MATCH(AD140,Violation_Summary_Seller_Year!$K:$K,0)),0)</f>
        <v>1</v>
      </c>
      <c r="Z140">
        <f>IFERROR(INDEX(Violation_Summary_Seller_Year!$G:$G,MATCH(AD140,Violation_Summary_Seller_Year!$K:$K,0)),0)</f>
        <v>1</v>
      </c>
      <c r="AA140">
        <f>IFERROR(INDEX(Violation_Summary_Seller_Year!$H:$H,MATCH(AD140,Violation_Summary_Seller_Year!$K:$K,0)),0)</f>
        <v>0</v>
      </c>
      <c r="AB140">
        <f>IFERROR(INDEX(Violation_Summary_Seller_Year!$I:$I,MATCH(AD140,Violation_Summary_Seller_Year!$K:$K,0)),0)</f>
        <v>1</v>
      </c>
      <c r="AC140">
        <f>IFERROR(INDEX(Violation_Summary_Seller_Year!$J:$J,MATCH(AD140,Violation_Summary_Seller_Year!$K:$K,0)),0)</f>
        <v>12</v>
      </c>
      <c r="AD140" t="str">
        <f t="shared" si="16"/>
        <v>43_2022</v>
      </c>
      <c r="AE140">
        <f t="shared" si="17"/>
        <v>0</v>
      </c>
      <c r="AF140">
        <f t="shared" si="18"/>
        <v>2</v>
      </c>
      <c r="AG140">
        <f t="shared" si="19"/>
        <v>1</v>
      </c>
      <c r="AH140">
        <f t="shared" si="20"/>
        <v>0</v>
      </c>
      <c r="AI140">
        <f t="shared" si="21"/>
        <v>1</v>
      </c>
      <c r="AJ140">
        <f t="shared" si="22"/>
        <v>80</v>
      </c>
      <c r="AK140" t="str">
        <f t="shared" si="23"/>
        <v>Medium</v>
      </c>
    </row>
    <row r="141" spans="1:37" x14ac:dyDescent="0.3">
      <c r="A141">
        <v>44</v>
      </c>
      <c r="B141">
        <v>2022</v>
      </c>
      <c r="C141">
        <v>1563</v>
      </c>
      <c r="D141">
        <v>163</v>
      </c>
      <c r="E141">
        <v>134</v>
      </c>
      <c r="F141">
        <v>12990.59</v>
      </c>
      <c r="G141">
        <v>8.5733000000000004E-2</v>
      </c>
      <c r="H141">
        <v>34</v>
      </c>
      <c r="I141">
        <v>52</v>
      </c>
      <c r="J141">
        <v>17</v>
      </c>
      <c r="K141">
        <v>17</v>
      </c>
      <c r="L141">
        <v>0</v>
      </c>
      <c r="M141">
        <v>3</v>
      </c>
      <c r="N141">
        <v>7</v>
      </c>
      <c r="O141">
        <v>11</v>
      </c>
      <c r="P141" t="s">
        <v>68</v>
      </c>
      <c r="Q141" t="str">
        <f>VLOOKUP(A141,Cleaned_Seller_Master!$A:$H,2,FALSE)</f>
        <v>Zen Mart 044</v>
      </c>
      <c r="R141" t="str">
        <f>VLOOKUP(A141,Cleaned_Seller_Master!$A:$H,4,FALSE)</f>
        <v>Home</v>
      </c>
      <c r="S141" t="str">
        <f>VLOOKUP(A141,Cleaned_Seller_Master!$A:$H,5,FALSE)</f>
        <v>North</v>
      </c>
      <c r="T141" t="str">
        <f>VLOOKUP(A141,Cleaned_Seller_Master!$A:$H,8,FALSE)</f>
        <v>Standard</v>
      </c>
      <c r="U141" t="str">
        <f>VLOOKUP(A141,Cleaned_Seller_Master!$A:$H,7,FALSE)</f>
        <v>25-07-2023</v>
      </c>
      <c r="V141">
        <f>IFERROR(INDEX(Violation_Summary_Seller_Year!$C:$C,MATCH(AD141,Violation_Summary_Seller_Year!$K:$K,0)),0)</f>
        <v>4</v>
      </c>
      <c r="W141">
        <f>IFERROR(INDEX(Violation_Summary_Seller_Year!$D:$D,MATCH(AD141,Violation_Summary_Seller_Year!$K:$K,0)),0)</f>
        <v>9497.380000000001</v>
      </c>
      <c r="X141">
        <f>IFERROR(INDEX(Violation_Summary_Seller_Year!$E:$E,MATCH(AD141,Violation_Summary_Seller_Year!$K:$K,0)),0)</f>
        <v>0</v>
      </c>
      <c r="Y141">
        <f>IFERROR(INDEX(Violation_Summary_Seller_Year!$F:$F,MATCH(AD141,Violation_Summary_Seller_Year!$K:$K,0)),0)</f>
        <v>2</v>
      </c>
      <c r="Z141">
        <f>IFERROR(INDEX(Violation_Summary_Seller_Year!$G:$G,MATCH(AD141,Violation_Summary_Seller_Year!$K:$K,0)),0)</f>
        <v>2</v>
      </c>
      <c r="AA141">
        <f>IFERROR(INDEX(Violation_Summary_Seller_Year!$H:$H,MATCH(AD141,Violation_Summary_Seller_Year!$K:$K,0)),0)</f>
        <v>2</v>
      </c>
      <c r="AB141">
        <f>IFERROR(INDEX(Violation_Summary_Seller_Year!$I:$I,MATCH(AD141,Violation_Summary_Seller_Year!$K:$K,0)),0)</f>
        <v>3</v>
      </c>
      <c r="AC141">
        <f>IFERROR(INDEX(Violation_Summary_Seller_Year!$J:$J,MATCH(AD141,Violation_Summary_Seller_Year!$K:$K,0)),0)</f>
        <v>42</v>
      </c>
      <c r="AD141" t="str">
        <f t="shared" si="16"/>
        <v>44_2022</v>
      </c>
      <c r="AE141">
        <f t="shared" si="17"/>
        <v>1</v>
      </c>
      <c r="AF141">
        <f t="shared" si="18"/>
        <v>2</v>
      </c>
      <c r="AG141">
        <f t="shared" si="19"/>
        <v>2</v>
      </c>
      <c r="AH141">
        <f t="shared" si="20"/>
        <v>0</v>
      </c>
      <c r="AI141">
        <f t="shared" si="21"/>
        <v>1</v>
      </c>
      <c r="AJ141">
        <f t="shared" si="22"/>
        <v>125</v>
      </c>
      <c r="AK141" t="str">
        <f t="shared" si="23"/>
        <v>High</v>
      </c>
    </row>
    <row r="142" spans="1:37" x14ac:dyDescent="0.3">
      <c r="A142">
        <v>45</v>
      </c>
      <c r="B142">
        <v>2022</v>
      </c>
      <c r="C142">
        <v>1254</v>
      </c>
      <c r="D142">
        <v>76</v>
      </c>
      <c r="E142">
        <v>64</v>
      </c>
      <c r="F142">
        <v>5874.37</v>
      </c>
      <c r="G142">
        <v>5.1036999999999999E-2</v>
      </c>
      <c r="H142">
        <v>21</v>
      </c>
      <c r="I142">
        <v>29</v>
      </c>
      <c r="J142">
        <v>12</v>
      </c>
      <c r="K142">
        <v>14</v>
      </c>
      <c r="L142">
        <v>0</v>
      </c>
      <c r="M142">
        <v>2</v>
      </c>
      <c r="N142">
        <v>5</v>
      </c>
      <c r="O142">
        <v>4</v>
      </c>
      <c r="P142" t="s">
        <v>175</v>
      </c>
      <c r="Q142" t="str">
        <f>VLOOKUP(A142,Cleaned_Seller_Master!$A:$H,2,FALSE)</f>
        <v>True House 045</v>
      </c>
      <c r="R142" t="str">
        <f>VLOOKUP(A142,Cleaned_Seller_Master!$A:$H,4,FALSE)</f>
        <v>Fashion</v>
      </c>
      <c r="S142" t="str">
        <f>VLOOKUP(A142,Cleaned_Seller_Master!$A:$H,5,FALSE)</f>
        <v>East</v>
      </c>
      <c r="T142" t="str">
        <f>VLOOKUP(A142,Cleaned_Seller_Master!$A:$H,8,FALSE)</f>
        <v>Premium</v>
      </c>
      <c r="U142" t="str">
        <f>VLOOKUP(A142,Cleaned_Seller_Master!$A:$H,7,FALSE)</f>
        <v>24-09-2023</v>
      </c>
      <c r="V142">
        <f>IFERROR(INDEX(Violation_Summary_Seller_Year!$C:$C,MATCH(AD142,Violation_Summary_Seller_Year!$K:$K,0)),0)</f>
        <v>1</v>
      </c>
      <c r="W142">
        <f>IFERROR(INDEX(Violation_Summary_Seller_Year!$D:$D,MATCH(AD142,Violation_Summary_Seller_Year!$K:$K,0)),0)</f>
        <v>70.180000000000007</v>
      </c>
      <c r="X142">
        <f>IFERROR(INDEX(Violation_Summary_Seller_Year!$E:$E,MATCH(AD142,Violation_Summary_Seller_Year!$K:$K,0)),0)</f>
        <v>0</v>
      </c>
      <c r="Y142">
        <f>IFERROR(INDEX(Violation_Summary_Seller_Year!$F:$F,MATCH(AD142,Violation_Summary_Seller_Year!$K:$K,0)),0)</f>
        <v>0</v>
      </c>
      <c r="Z142">
        <f>IFERROR(INDEX(Violation_Summary_Seller_Year!$G:$G,MATCH(AD142,Violation_Summary_Seller_Year!$K:$K,0)),0)</f>
        <v>1</v>
      </c>
      <c r="AA142">
        <f>IFERROR(INDEX(Violation_Summary_Seller_Year!$H:$H,MATCH(AD142,Violation_Summary_Seller_Year!$K:$K,0)),0)</f>
        <v>0</v>
      </c>
      <c r="AB142">
        <f>IFERROR(INDEX(Violation_Summary_Seller_Year!$I:$I,MATCH(AD142,Violation_Summary_Seller_Year!$K:$K,0)),0)</f>
        <v>0</v>
      </c>
      <c r="AC142">
        <f>IFERROR(INDEX(Violation_Summary_Seller_Year!$J:$J,MATCH(AD142,Violation_Summary_Seller_Year!$K:$K,0)),0)</f>
        <v>4</v>
      </c>
      <c r="AD142" t="str">
        <f t="shared" si="16"/>
        <v>45_2022</v>
      </c>
      <c r="AE142">
        <f t="shared" si="17"/>
        <v>1</v>
      </c>
      <c r="AF142">
        <f t="shared" si="18"/>
        <v>2</v>
      </c>
      <c r="AG142">
        <f t="shared" si="19"/>
        <v>0</v>
      </c>
      <c r="AH142">
        <f t="shared" si="20"/>
        <v>0</v>
      </c>
      <c r="AI142">
        <f t="shared" si="21"/>
        <v>1</v>
      </c>
      <c r="AJ142">
        <f t="shared" si="22"/>
        <v>85</v>
      </c>
      <c r="AK142" t="str">
        <f t="shared" si="23"/>
        <v>Medium</v>
      </c>
    </row>
    <row r="143" spans="1:37" x14ac:dyDescent="0.3">
      <c r="A143">
        <v>46</v>
      </c>
      <c r="B143">
        <v>2022</v>
      </c>
      <c r="C143">
        <v>1091</v>
      </c>
      <c r="D143">
        <v>84</v>
      </c>
      <c r="E143">
        <v>65</v>
      </c>
      <c r="F143">
        <v>5083.1899999999996</v>
      </c>
      <c r="G143">
        <v>5.9577999999999999E-2</v>
      </c>
      <c r="H143">
        <v>17</v>
      </c>
      <c r="I143">
        <v>33</v>
      </c>
      <c r="J143">
        <v>9</v>
      </c>
      <c r="K143">
        <v>8</v>
      </c>
      <c r="L143">
        <v>1</v>
      </c>
      <c r="M143">
        <v>4</v>
      </c>
      <c r="N143">
        <v>6</v>
      </c>
      <c r="O143">
        <v>5</v>
      </c>
      <c r="P143" t="s">
        <v>85</v>
      </c>
      <c r="Q143" t="str">
        <f>VLOOKUP(A143,Cleaned_Seller_Master!$A:$H,2,FALSE)</f>
        <v>Core Traders 046</v>
      </c>
      <c r="R143" t="str">
        <f>VLOOKUP(A143,Cleaned_Seller_Master!$A:$H,4,FALSE)</f>
        <v>Home</v>
      </c>
      <c r="S143" t="str">
        <f>VLOOKUP(A143,Cleaned_Seller_Master!$A:$H,5,FALSE)</f>
        <v>East</v>
      </c>
      <c r="T143" t="str">
        <f>VLOOKUP(A143,Cleaned_Seller_Master!$A:$H,8,FALSE)</f>
        <v>Verified</v>
      </c>
      <c r="U143" t="str">
        <f>VLOOKUP(A143,Cleaned_Seller_Master!$A:$H,7,FALSE)</f>
        <v>05-08-2020</v>
      </c>
      <c r="V143">
        <f>IFERROR(INDEX(Violation_Summary_Seller_Year!$C:$C,MATCH(AD143,Violation_Summary_Seller_Year!$K:$K,0)),0)</f>
        <v>3</v>
      </c>
      <c r="W143">
        <f>IFERROR(INDEX(Violation_Summary_Seller_Year!$D:$D,MATCH(AD143,Violation_Summary_Seller_Year!$K:$K,0)),0)</f>
        <v>8740.130000000001</v>
      </c>
      <c r="X143">
        <f>IFERROR(INDEX(Violation_Summary_Seller_Year!$E:$E,MATCH(AD143,Violation_Summary_Seller_Year!$K:$K,0)),0)</f>
        <v>2</v>
      </c>
      <c r="Y143">
        <f>IFERROR(INDEX(Violation_Summary_Seller_Year!$F:$F,MATCH(AD143,Violation_Summary_Seller_Year!$K:$K,0)),0)</f>
        <v>1</v>
      </c>
      <c r="Z143">
        <f>IFERROR(INDEX(Violation_Summary_Seller_Year!$G:$G,MATCH(AD143,Violation_Summary_Seller_Year!$K:$K,0)),0)</f>
        <v>2</v>
      </c>
      <c r="AA143">
        <f>IFERROR(INDEX(Violation_Summary_Seller_Year!$H:$H,MATCH(AD143,Violation_Summary_Seller_Year!$K:$K,0)),0)</f>
        <v>3</v>
      </c>
      <c r="AB143">
        <f>IFERROR(INDEX(Violation_Summary_Seller_Year!$I:$I,MATCH(AD143,Violation_Summary_Seller_Year!$K:$K,0)),0)</f>
        <v>0</v>
      </c>
      <c r="AC143">
        <f>IFERROR(INDEX(Violation_Summary_Seller_Year!$J:$J,MATCH(AD143,Violation_Summary_Seller_Year!$K:$K,0)),0)</f>
        <v>34</v>
      </c>
      <c r="AD143" t="str">
        <f t="shared" si="16"/>
        <v>46_2022</v>
      </c>
      <c r="AE143">
        <f t="shared" si="17"/>
        <v>1</v>
      </c>
      <c r="AF143">
        <f t="shared" si="18"/>
        <v>2</v>
      </c>
      <c r="AG143">
        <f t="shared" si="19"/>
        <v>2</v>
      </c>
      <c r="AH143">
        <f t="shared" si="20"/>
        <v>2</v>
      </c>
      <c r="AI143">
        <f t="shared" si="21"/>
        <v>2</v>
      </c>
      <c r="AJ143">
        <f t="shared" si="22"/>
        <v>175</v>
      </c>
      <c r="AK143" t="str">
        <f t="shared" si="23"/>
        <v>High</v>
      </c>
    </row>
    <row r="144" spans="1:37" x14ac:dyDescent="0.3">
      <c r="A144">
        <v>47</v>
      </c>
      <c r="B144">
        <v>2022</v>
      </c>
      <c r="C144">
        <v>1088</v>
      </c>
      <c r="D144">
        <v>56</v>
      </c>
      <c r="E144">
        <v>41</v>
      </c>
      <c r="F144">
        <v>3599.93</v>
      </c>
      <c r="G144">
        <v>3.7684000000000002E-2</v>
      </c>
      <c r="H144">
        <v>10</v>
      </c>
      <c r="I144">
        <v>24</v>
      </c>
      <c r="J144">
        <v>7</v>
      </c>
      <c r="K144">
        <v>8</v>
      </c>
      <c r="L144">
        <v>0</v>
      </c>
      <c r="M144">
        <v>3</v>
      </c>
      <c r="N144">
        <v>5</v>
      </c>
      <c r="O144">
        <v>2</v>
      </c>
      <c r="P144" t="s">
        <v>175</v>
      </c>
      <c r="Q144" t="str">
        <f>VLOOKUP(A144,Cleaned_Seller_Master!$A:$H,2,FALSE)</f>
        <v>Urban Works 047</v>
      </c>
      <c r="R144" t="str">
        <f>VLOOKUP(A144,Cleaned_Seller_Master!$A:$H,4,FALSE)</f>
        <v>Home</v>
      </c>
      <c r="S144" t="str">
        <f>VLOOKUP(A144,Cleaned_Seller_Master!$A:$H,5,FALSE)</f>
        <v>South</v>
      </c>
      <c r="T144" t="str">
        <f>VLOOKUP(A144,Cleaned_Seller_Master!$A:$H,8,FALSE)</f>
        <v>Verified</v>
      </c>
      <c r="U144" t="str">
        <f>VLOOKUP(A144,Cleaned_Seller_Master!$A:$H,7,FALSE)</f>
        <v>09-01-2020</v>
      </c>
      <c r="V144">
        <f>IFERROR(INDEX(Violation_Summary_Seller_Year!$C:$C,MATCH(AD144,Violation_Summary_Seller_Year!$K:$K,0)),0)</f>
        <v>1</v>
      </c>
      <c r="W144">
        <f>IFERROR(INDEX(Violation_Summary_Seller_Year!$D:$D,MATCH(AD144,Violation_Summary_Seller_Year!$K:$K,0)),0)</f>
        <v>527.22</v>
      </c>
      <c r="X144">
        <f>IFERROR(INDEX(Violation_Summary_Seller_Year!$E:$E,MATCH(AD144,Violation_Summary_Seller_Year!$K:$K,0)),0)</f>
        <v>0</v>
      </c>
      <c r="Y144">
        <f>IFERROR(INDEX(Violation_Summary_Seller_Year!$F:$F,MATCH(AD144,Violation_Summary_Seller_Year!$K:$K,0)),0)</f>
        <v>1</v>
      </c>
      <c r="Z144">
        <f>IFERROR(INDEX(Violation_Summary_Seller_Year!$G:$G,MATCH(AD144,Violation_Summary_Seller_Year!$K:$K,0)),0)</f>
        <v>0</v>
      </c>
      <c r="AA144">
        <f>IFERROR(INDEX(Violation_Summary_Seller_Year!$H:$H,MATCH(AD144,Violation_Summary_Seller_Year!$K:$K,0)),0)</f>
        <v>0</v>
      </c>
      <c r="AB144">
        <f>IFERROR(INDEX(Violation_Summary_Seller_Year!$I:$I,MATCH(AD144,Violation_Summary_Seller_Year!$K:$K,0)),0)</f>
        <v>0</v>
      </c>
      <c r="AC144">
        <f>IFERROR(INDEX(Violation_Summary_Seller_Year!$J:$J,MATCH(AD144,Violation_Summary_Seller_Year!$K:$K,0)),0)</f>
        <v>7</v>
      </c>
      <c r="AD144" t="str">
        <f t="shared" si="16"/>
        <v>47_2022</v>
      </c>
      <c r="AE144">
        <f t="shared" si="17"/>
        <v>0</v>
      </c>
      <c r="AF144">
        <f t="shared" si="18"/>
        <v>2</v>
      </c>
      <c r="AG144">
        <f t="shared" si="19"/>
        <v>0</v>
      </c>
      <c r="AH144">
        <f t="shared" si="20"/>
        <v>0</v>
      </c>
      <c r="AI144">
        <f t="shared" si="21"/>
        <v>1</v>
      </c>
      <c r="AJ144">
        <f t="shared" si="22"/>
        <v>60</v>
      </c>
      <c r="AK144" t="str">
        <f t="shared" si="23"/>
        <v>Medium</v>
      </c>
    </row>
    <row r="145" spans="1:37" x14ac:dyDescent="0.3">
      <c r="A145">
        <v>48</v>
      </c>
      <c r="B145">
        <v>2022</v>
      </c>
      <c r="C145">
        <v>468</v>
      </c>
      <c r="D145">
        <v>30</v>
      </c>
      <c r="E145">
        <v>28</v>
      </c>
      <c r="F145">
        <v>1313.88</v>
      </c>
      <c r="G145">
        <v>5.9829E-2</v>
      </c>
      <c r="H145">
        <v>11</v>
      </c>
      <c r="I145">
        <v>15</v>
      </c>
      <c r="J145">
        <v>5</v>
      </c>
      <c r="K145">
        <v>5</v>
      </c>
      <c r="L145">
        <v>1</v>
      </c>
      <c r="M145">
        <v>5</v>
      </c>
      <c r="N145">
        <v>3</v>
      </c>
      <c r="O145">
        <v>2</v>
      </c>
      <c r="P145" t="s">
        <v>85</v>
      </c>
      <c r="Q145" t="str">
        <f>VLOOKUP(A145,Cleaned_Seller_Master!$A:$H,2,FALSE)</f>
        <v>Bright Nest 048</v>
      </c>
      <c r="R145" t="str">
        <f>VLOOKUP(A145,Cleaned_Seller_Master!$A:$H,4,FALSE)</f>
        <v>Home</v>
      </c>
      <c r="S145" t="str">
        <f>VLOOKUP(A145,Cleaned_Seller_Master!$A:$H,5,FALSE)</f>
        <v>East</v>
      </c>
      <c r="T145" t="str">
        <f>VLOOKUP(A145,Cleaned_Seller_Master!$A:$H,8,FALSE)</f>
        <v>Premium</v>
      </c>
      <c r="U145" t="str">
        <f>VLOOKUP(A145,Cleaned_Seller_Master!$A:$H,7,FALSE)</f>
        <v>24-01-2025</v>
      </c>
      <c r="V145">
        <f>IFERROR(INDEX(Violation_Summary_Seller_Year!$C:$C,MATCH(AD145,Violation_Summary_Seller_Year!$K:$K,0)),0)</f>
        <v>5</v>
      </c>
      <c r="W145">
        <f>IFERROR(INDEX(Violation_Summary_Seller_Year!$D:$D,MATCH(AD145,Violation_Summary_Seller_Year!$K:$K,0)),0)</f>
        <v>9810</v>
      </c>
      <c r="X145">
        <f>IFERROR(INDEX(Violation_Summary_Seller_Year!$E:$E,MATCH(AD145,Violation_Summary_Seller_Year!$K:$K,0)),0)</f>
        <v>3</v>
      </c>
      <c r="Y145">
        <f>IFERROR(INDEX(Violation_Summary_Seller_Year!$F:$F,MATCH(AD145,Violation_Summary_Seller_Year!$K:$K,0)),0)</f>
        <v>2</v>
      </c>
      <c r="Z145">
        <f>IFERROR(INDEX(Violation_Summary_Seller_Year!$G:$G,MATCH(AD145,Violation_Summary_Seller_Year!$K:$K,0)),0)</f>
        <v>3</v>
      </c>
      <c r="AA145">
        <f>IFERROR(INDEX(Violation_Summary_Seller_Year!$H:$H,MATCH(AD145,Violation_Summary_Seller_Year!$K:$K,0)),0)</f>
        <v>4</v>
      </c>
      <c r="AB145">
        <f>IFERROR(INDEX(Violation_Summary_Seller_Year!$I:$I,MATCH(AD145,Violation_Summary_Seller_Year!$K:$K,0)),0)</f>
        <v>2</v>
      </c>
      <c r="AC145">
        <f>IFERROR(INDEX(Violation_Summary_Seller_Year!$J:$J,MATCH(AD145,Violation_Summary_Seller_Year!$K:$K,0)),0)</f>
        <v>43</v>
      </c>
      <c r="AD145" t="str">
        <f t="shared" si="16"/>
        <v>48_2022</v>
      </c>
      <c r="AE145">
        <f t="shared" si="17"/>
        <v>1</v>
      </c>
      <c r="AF145">
        <f t="shared" si="18"/>
        <v>2</v>
      </c>
      <c r="AG145">
        <f t="shared" si="19"/>
        <v>2</v>
      </c>
      <c r="AH145">
        <f t="shared" si="20"/>
        <v>2</v>
      </c>
      <c r="AI145">
        <f t="shared" si="21"/>
        <v>2</v>
      </c>
      <c r="AJ145">
        <f t="shared" si="22"/>
        <v>175</v>
      </c>
      <c r="AK145" t="str">
        <f t="shared" si="23"/>
        <v>High</v>
      </c>
    </row>
    <row r="146" spans="1:37" x14ac:dyDescent="0.3">
      <c r="A146">
        <v>49</v>
      </c>
      <c r="B146">
        <v>2022</v>
      </c>
      <c r="C146">
        <v>1105</v>
      </c>
      <c r="D146">
        <v>80</v>
      </c>
      <c r="E146">
        <v>69</v>
      </c>
      <c r="F146">
        <v>6181.46</v>
      </c>
      <c r="G146">
        <v>6.2442999999999999E-2</v>
      </c>
      <c r="H146">
        <v>11</v>
      </c>
      <c r="I146">
        <v>27</v>
      </c>
      <c r="J146">
        <v>8</v>
      </c>
      <c r="K146">
        <v>4</v>
      </c>
      <c r="L146">
        <v>1</v>
      </c>
      <c r="M146">
        <v>4</v>
      </c>
      <c r="N146">
        <v>4</v>
      </c>
      <c r="O146">
        <v>5</v>
      </c>
      <c r="P146" t="s">
        <v>85</v>
      </c>
      <c r="Q146" t="str">
        <f>VLOOKUP(A146,Cleaned_Seller_Master!$A:$H,2,FALSE)</f>
        <v>Golden Hub 049</v>
      </c>
      <c r="R146" t="str">
        <f>VLOOKUP(A146,Cleaned_Seller_Master!$A:$H,4,FALSE)</f>
        <v>Electronics</v>
      </c>
      <c r="S146" t="str">
        <f>VLOOKUP(A146,Cleaned_Seller_Master!$A:$H,5,FALSE)</f>
        <v>South</v>
      </c>
      <c r="T146" t="str">
        <f>VLOOKUP(A146,Cleaned_Seller_Master!$A:$H,8,FALSE)</f>
        <v>Verified</v>
      </c>
      <c r="U146" t="str">
        <f>VLOOKUP(A146,Cleaned_Seller_Master!$A:$H,7,FALSE)</f>
        <v>05-10-2018</v>
      </c>
      <c r="V146">
        <f>IFERROR(INDEX(Violation_Summary_Seller_Year!$C:$C,MATCH(AD146,Violation_Summary_Seller_Year!$K:$K,0)),0)</f>
        <v>4</v>
      </c>
      <c r="W146">
        <f>IFERROR(INDEX(Violation_Summary_Seller_Year!$D:$D,MATCH(AD146,Violation_Summary_Seller_Year!$K:$K,0)),0)</f>
        <v>15416.3</v>
      </c>
      <c r="X146">
        <f>IFERROR(INDEX(Violation_Summary_Seller_Year!$E:$E,MATCH(AD146,Violation_Summary_Seller_Year!$K:$K,0)),0)</f>
        <v>3</v>
      </c>
      <c r="Y146">
        <f>IFERROR(INDEX(Violation_Summary_Seller_Year!$F:$F,MATCH(AD146,Violation_Summary_Seller_Year!$K:$K,0)),0)</f>
        <v>1</v>
      </c>
      <c r="Z146">
        <f>IFERROR(INDEX(Violation_Summary_Seller_Year!$G:$G,MATCH(AD146,Violation_Summary_Seller_Year!$K:$K,0)),0)</f>
        <v>3</v>
      </c>
      <c r="AA146">
        <f>IFERROR(INDEX(Violation_Summary_Seller_Year!$H:$H,MATCH(AD146,Violation_Summary_Seller_Year!$K:$K,0)),0)</f>
        <v>3</v>
      </c>
      <c r="AB146">
        <f>IFERROR(INDEX(Violation_Summary_Seller_Year!$I:$I,MATCH(AD146,Violation_Summary_Seller_Year!$K:$K,0)),0)</f>
        <v>2</v>
      </c>
      <c r="AC146">
        <f>IFERROR(INDEX(Violation_Summary_Seller_Year!$J:$J,MATCH(AD146,Violation_Summary_Seller_Year!$K:$K,0)),0)</f>
        <v>39</v>
      </c>
      <c r="AD146" t="str">
        <f t="shared" si="16"/>
        <v>49_2022</v>
      </c>
      <c r="AE146">
        <f t="shared" si="17"/>
        <v>1</v>
      </c>
      <c r="AF146">
        <f t="shared" si="18"/>
        <v>2</v>
      </c>
      <c r="AG146">
        <f t="shared" si="19"/>
        <v>2</v>
      </c>
      <c r="AH146">
        <f t="shared" si="20"/>
        <v>2</v>
      </c>
      <c r="AI146">
        <f t="shared" si="21"/>
        <v>2</v>
      </c>
      <c r="AJ146">
        <f t="shared" si="22"/>
        <v>175</v>
      </c>
      <c r="AK146" t="str">
        <f t="shared" si="23"/>
        <v>High</v>
      </c>
    </row>
    <row r="147" spans="1:37" x14ac:dyDescent="0.3">
      <c r="A147">
        <v>50</v>
      </c>
      <c r="B147">
        <v>2022</v>
      </c>
      <c r="C147">
        <v>1267</v>
      </c>
      <c r="D147">
        <v>124</v>
      </c>
      <c r="E147">
        <v>112</v>
      </c>
      <c r="F147">
        <v>5768.55</v>
      </c>
      <c r="G147">
        <v>8.8398000000000004E-2</v>
      </c>
      <c r="H147">
        <v>40</v>
      </c>
      <c r="I147">
        <v>45</v>
      </c>
      <c r="J147">
        <v>26</v>
      </c>
      <c r="K147">
        <v>17</v>
      </c>
      <c r="L147">
        <v>1</v>
      </c>
      <c r="M147">
        <v>7</v>
      </c>
      <c r="N147">
        <v>10</v>
      </c>
      <c r="O147">
        <v>10</v>
      </c>
      <c r="P147" t="s">
        <v>85</v>
      </c>
      <c r="Q147" t="str">
        <f>VLOOKUP(A147,Cleaned_Seller_Master!$A:$H,2,FALSE)</f>
        <v>Ever Merchants 050</v>
      </c>
      <c r="R147" t="str">
        <f>VLOOKUP(A147,Cleaned_Seller_Master!$A:$H,4,FALSE)</f>
        <v>Fashion</v>
      </c>
      <c r="S147" t="str">
        <f>VLOOKUP(A147,Cleaned_Seller_Master!$A:$H,5,FALSE)</f>
        <v>South</v>
      </c>
      <c r="T147" t="str">
        <f>VLOOKUP(A147,Cleaned_Seller_Master!$A:$H,8,FALSE)</f>
        <v>Strategic</v>
      </c>
      <c r="U147" t="str">
        <f>VLOOKUP(A147,Cleaned_Seller_Master!$A:$H,7,FALSE)</f>
        <v>10-03-2019</v>
      </c>
      <c r="V147">
        <f>IFERROR(INDEX(Violation_Summary_Seller_Year!$C:$C,MATCH(AD147,Violation_Summary_Seller_Year!$K:$K,0)),0)</f>
        <v>4</v>
      </c>
      <c r="W147">
        <f>IFERROR(INDEX(Violation_Summary_Seller_Year!$D:$D,MATCH(AD147,Violation_Summary_Seller_Year!$K:$K,0)),0)</f>
        <v>7293.5599999999995</v>
      </c>
      <c r="X147">
        <f>IFERROR(INDEX(Violation_Summary_Seller_Year!$E:$E,MATCH(AD147,Violation_Summary_Seller_Year!$K:$K,0)),0)</f>
        <v>2</v>
      </c>
      <c r="Y147">
        <f>IFERROR(INDEX(Violation_Summary_Seller_Year!$F:$F,MATCH(AD147,Violation_Summary_Seller_Year!$K:$K,0)),0)</f>
        <v>1</v>
      </c>
      <c r="Z147">
        <f>IFERROR(INDEX(Violation_Summary_Seller_Year!$G:$G,MATCH(AD147,Violation_Summary_Seller_Year!$K:$K,0)),0)</f>
        <v>3</v>
      </c>
      <c r="AA147">
        <f>IFERROR(INDEX(Violation_Summary_Seller_Year!$H:$H,MATCH(AD147,Violation_Summary_Seller_Year!$K:$K,0)),0)</f>
        <v>3</v>
      </c>
      <c r="AB147">
        <f>IFERROR(INDEX(Violation_Summary_Seller_Year!$I:$I,MATCH(AD147,Violation_Summary_Seller_Year!$K:$K,0)),0)</f>
        <v>3</v>
      </c>
      <c r="AC147">
        <f>IFERROR(INDEX(Violation_Summary_Seller_Year!$J:$J,MATCH(AD147,Violation_Summary_Seller_Year!$K:$K,0)),0)</f>
        <v>54</v>
      </c>
      <c r="AD147" t="str">
        <f t="shared" si="16"/>
        <v>50_2022</v>
      </c>
      <c r="AE147">
        <f t="shared" si="17"/>
        <v>1</v>
      </c>
      <c r="AF147">
        <f t="shared" si="18"/>
        <v>2</v>
      </c>
      <c r="AG147">
        <f t="shared" si="19"/>
        <v>2</v>
      </c>
      <c r="AH147">
        <f t="shared" si="20"/>
        <v>2</v>
      </c>
      <c r="AI147">
        <f t="shared" si="21"/>
        <v>2</v>
      </c>
      <c r="AJ147">
        <f t="shared" si="22"/>
        <v>175</v>
      </c>
      <c r="AK147" t="str">
        <f t="shared" si="23"/>
        <v>High</v>
      </c>
    </row>
    <row r="148" spans="1:37" x14ac:dyDescent="0.3">
      <c r="A148">
        <v>51</v>
      </c>
      <c r="B148">
        <v>2022</v>
      </c>
      <c r="C148">
        <v>1244</v>
      </c>
      <c r="D148">
        <v>99</v>
      </c>
      <c r="E148">
        <v>72</v>
      </c>
      <c r="F148">
        <v>5206.47</v>
      </c>
      <c r="G148">
        <v>5.7877999999999999E-2</v>
      </c>
      <c r="H148">
        <v>15</v>
      </c>
      <c r="I148">
        <v>36</v>
      </c>
      <c r="J148">
        <v>10</v>
      </c>
      <c r="K148">
        <v>8</v>
      </c>
      <c r="L148">
        <v>1</v>
      </c>
      <c r="M148">
        <v>5</v>
      </c>
      <c r="N148">
        <v>6</v>
      </c>
      <c r="O148">
        <v>6</v>
      </c>
      <c r="P148" t="s">
        <v>85</v>
      </c>
      <c r="Q148" t="str">
        <f>VLOOKUP(A148,Cleaned_Seller_Master!$A:$H,2,FALSE)</f>
        <v>Orbit Square 051</v>
      </c>
      <c r="R148" t="str">
        <f>VLOOKUP(A148,Cleaned_Seller_Master!$A:$H,4,FALSE)</f>
        <v>Beauty</v>
      </c>
      <c r="S148" t="str">
        <f>VLOOKUP(A148,Cleaned_Seller_Master!$A:$H,5,FALSE)</f>
        <v>North</v>
      </c>
      <c r="T148" t="str">
        <f>VLOOKUP(A148,Cleaned_Seller_Master!$A:$H,8,FALSE)</f>
        <v>Premium</v>
      </c>
      <c r="U148" t="str">
        <f>VLOOKUP(A148,Cleaned_Seller_Master!$A:$H,7,FALSE)</f>
        <v>23-02-2020</v>
      </c>
      <c r="V148">
        <f>IFERROR(INDEX(Violation_Summary_Seller_Year!$C:$C,MATCH(AD148,Violation_Summary_Seller_Year!$K:$K,0)),0)</f>
        <v>6</v>
      </c>
      <c r="W148">
        <f>IFERROR(INDEX(Violation_Summary_Seller_Year!$D:$D,MATCH(AD148,Violation_Summary_Seller_Year!$K:$K,0)),0)</f>
        <v>18818.989999999998</v>
      </c>
      <c r="X148">
        <f>IFERROR(INDEX(Violation_Summary_Seller_Year!$E:$E,MATCH(AD148,Violation_Summary_Seller_Year!$K:$K,0)),0)</f>
        <v>5</v>
      </c>
      <c r="Y148">
        <f>IFERROR(INDEX(Violation_Summary_Seller_Year!$F:$F,MATCH(AD148,Violation_Summary_Seller_Year!$K:$K,0)),0)</f>
        <v>3</v>
      </c>
      <c r="Z148">
        <f>IFERROR(INDEX(Violation_Summary_Seller_Year!$G:$G,MATCH(AD148,Violation_Summary_Seller_Year!$K:$K,0)),0)</f>
        <v>3</v>
      </c>
      <c r="AA148">
        <f>IFERROR(INDEX(Violation_Summary_Seller_Year!$H:$H,MATCH(AD148,Violation_Summary_Seller_Year!$K:$K,0)),0)</f>
        <v>4</v>
      </c>
      <c r="AB148">
        <f>IFERROR(INDEX(Violation_Summary_Seller_Year!$I:$I,MATCH(AD148,Violation_Summary_Seller_Year!$K:$K,0)),0)</f>
        <v>2</v>
      </c>
      <c r="AC148">
        <f>IFERROR(INDEX(Violation_Summary_Seller_Year!$J:$J,MATCH(AD148,Violation_Summary_Seller_Year!$K:$K,0)),0)</f>
        <v>55</v>
      </c>
      <c r="AD148" t="str">
        <f t="shared" si="16"/>
        <v>51_2022</v>
      </c>
      <c r="AE148">
        <f t="shared" si="17"/>
        <v>1</v>
      </c>
      <c r="AF148">
        <f t="shared" si="18"/>
        <v>2</v>
      </c>
      <c r="AG148">
        <f t="shared" si="19"/>
        <v>2</v>
      </c>
      <c r="AH148">
        <f t="shared" si="20"/>
        <v>2</v>
      </c>
      <c r="AI148">
        <f t="shared" si="21"/>
        <v>2</v>
      </c>
      <c r="AJ148">
        <f t="shared" si="22"/>
        <v>175</v>
      </c>
      <c r="AK148" t="str">
        <f t="shared" si="23"/>
        <v>High</v>
      </c>
    </row>
    <row r="149" spans="1:37" x14ac:dyDescent="0.3">
      <c r="A149">
        <v>52</v>
      </c>
      <c r="B149">
        <v>2022</v>
      </c>
      <c r="C149">
        <v>769</v>
      </c>
      <c r="D149">
        <v>47</v>
      </c>
      <c r="E149">
        <v>37</v>
      </c>
      <c r="F149">
        <v>2225.4499999999998</v>
      </c>
      <c r="G149">
        <v>4.8113999999999997E-2</v>
      </c>
      <c r="H149">
        <v>20</v>
      </c>
      <c r="I149">
        <v>21</v>
      </c>
      <c r="J149">
        <v>8</v>
      </c>
      <c r="K149">
        <v>10</v>
      </c>
      <c r="L149">
        <v>0</v>
      </c>
      <c r="M149">
        <v>2</v>
      </c>
      <c r="N149">
        <v>4</v>
      </c>
      <c r="O149">
        <v>2</v>
      </c>
      <c r="P149" t="s">
        <v>175</v>
      </c>
      <c r="Q149" t="str">
        <f>VLOOKUP(A149,Cleaned_Seller_Master!$A:$H,2,FALSE)</f>
        <v>Pulse Commerce 052</v>
      </c>
      <c r="R149" t="str">
        <f>VLOOKUP(A149,Cleaned_Seller_Master!$A:$H,4,FALSE)</f>
        <v>Fashion</v>
      </c>
      <c r="S149" t="str">
        <f>VLOOKUP(A149,Cleaned_Seller_Master!$A:$H,5,FALSE)</f>
        <v>Southeast Asia</v>
      </c>
      <c r="T149" t="str">
        <f>VLOOKUP(A149,Cleaned_Seller_Master!$A:$H,8,FALSE)</f>
        <v>Standard</v>
      </c>
      <c r="U149" t="str">
        <f>VLOOKUP(A149,Cleaned_Seller_Master!$A:$H,7,FALSE)</f>
        <v>17-02-2023</v>
      </c>
      <c r="V149">
        <f>IFERROR(INDEX(Violation_Summary_Seller_Year!$C:$C,MATCH(AD149,Violation_Summary_Seller_Year!$K:$K,0)),0)</f>
        <v>1</v>
      </c>
      <c r="W149">
        <f>IFERROR(INDEX(Violation_Summary_Seller_Year!$D:$D,MATCH(AD149,Violation_Summary_Seller_Year!$K:$K,0)),0)</f>
        <v>1904.08</v>
      </c>
      <c r="X149">
        <f>IFERROR(INDEX(Violation_Summary_Seller_Year!$E:$E,MATCH(AD149,Violation_Summary_Seller_Year!$K:$K,0)),0)</f>
        <v>0</v>
      </c>
      <c r="Y149">
        <f>IFERROR(INDEX(Violation_Summary_Seller_Year!$F:$F,MATCH(AD149,Violation_Summary_Seller_Year!$K:$K,0)),0)</f>
        <v>0</v>
      </c>
      <c r="Z149">
        <f>IFERROR(INDEX(Violation_Summary_Seller_Year!$G:$G,MATCH(AD149,Violation_Summary_Seller_Year!$K:$K,0)),0)</f>
        <v>1</v>
      </c>
      <c r="AA149">
        <f>IFERROR(INDEX(Violation_Summary_Seller_Year!$H:$H,MATCH(AD149,Violation_Summary_Seller_Year!$K:$K,0)),0)</f>
        <v>1</v>
      </c>
      <c r="AB149">
        <f>IFERROR(INDEX(Violation_Summary_Seller_Year!$I:$I,MATCH(AD149,Violation_Summary_Seller_Year!$K:$K,0)),0)</f>
        <v>1</v>
      </c>
      <c r="AC149">
        <f>IFERROR(INDEX(Violation_Summary_Seller_Year!$J:$J,MATCH(AD149,Violation_Summary_Seller_Year!$K:$K,0)),0)</f>
        <v>6</v>
      </c>
      <c r="AD149" t="str">
        <f t="shared" si="16"/>
        <v>52_2022</v>
      </c>
      <c r="AE149">
        <f t="shared" si="17"/>
        <v>0</v>
      </c>
      <c r="AF149">
        <f t="shared" si="18"/>
        <v>2</v>
      </c>
      <c r="AG149">
        <f t="shared" si="19"/>
        <v>1</v>
      </c>
      <c r="AH149">
        <f t="shared" si="20"/>
        <v>0</v>
      </c>
      <c r="AI149">
        <f t="shared" si="21"/>
        <v>1</v>
      </c>
      <c r="AJ149">
        <f t="shared" si="22"/>
        <v>80</v>
      </c>
      <c r="AK149" t="str">
        <f t="shared" si="23"/>
        <v>Medium</v>
      </c>
    </row>
    <row r="150" spans="1:37" x14ac:dyDescent="0.3">
      <c r="A150">
        <v>53</v>
      </c>
      <c r="B150">
        <v>2022</v>
      </c>
      <c r="C150">
        <v>508</v>
      </c>
      <c r="D150">
        <v>44</v>
      </c>
      <c r="E150">
        <v>38</v>
      </c>
      <c r="F150">
        <v>2187.16</v>
      </c>
      <c r="G150">
        <v>7.4802999999999994E-2</v>
      </c>
      <c r="H150">
        <v>8</v>
      </c>
      <c r="I150">
        <v>18</v>
      </c>
      <c r="J150">
        <v>10</v>
      </c>
      <c r="K150">
        <v>3</v>
      </c>
      <c r="L150">
        <v>1</v>
      </c>
      <c r="M150">
        <v>3</v>
      </c>
      <c r="N150">
        <v>4</v>
      </c>
      <c r="O150">
        <v>2</v>
      </c>
      <c r="P150" t="s">
        <v>85</v>
      </c>
      <c r="Q150" t="str">
        <f>VLOOKUP(A150,Cleaned_Seller_Master!$A:$H,2,FALSE)</f>
        <v>Summit Bazaar 053</v>
      </c>
      <c r="R150" t="str">
        <f>VLOOKUP(A150,Cleaned_Seller_Master!$A:$H,4,FALSE)</f>
        <v>Home</v>
      </c>
      <c r="S150" t="str">
        <f>VLOOKUP(A150,Cleaned_Seller_Master!$A:$H,5,FALSE)</f>
        <v>South</v>
      </c>
      <c r="T150" t="str">
        <f>VLOOKUP(A150,Cleaned_Seller_Master!$A:$H,8,FALSE)</f>
        <v>Premium</v>
      </c>
      <c r="U150" t="str">
        <f>VLOOKUP(A150,Cleaned_Seller_Master!$A:$H,7,FALSE)</f>
        <v>17-12-2019</v>
      </c>
      <c r="V150">
        <f>IFERROR(INDEX(Violation_Summary_Seller_Year!$C:$C,MATCH(AD150,Violation_Summary_Seller_Year!$K:$K,0)),0)</f>
        <v>3</v>
      </c>
      <c r="W150">
        <f>IFERROR(INDEX(Violation_Summary_Seller_Year!$D:$D,MATCH(AD150,Violation_Summary_Seller_Year!$K:$K,0)),0)</f>
        <v>16330.24</v>
      </c>
      <c r="X150">
        <f>IFERROR(INDEX(Violation_Summary_Seller_Year!$E:$E,MATCH(AD150,Violation_Summary_Seller_Year!$K:$K,0)),0)</f>
        <v>2</v>
      </c>
      <c r="Y150">
        <f>IFERROR(INDEX(Violation_Summary_Seller_Year!$F:$F,MATCH(AD150,Violation_Summary_Seller_Year!$K:$K,0)),0)</f>
        <v>1</v>
      </c>
      <c r="Z150">
        <f>IFERROR(INDEX(Violation_Summary_Seller_Year!$G:$G,MATCH(AD150,Violation_Summary_Seller_Year!$K:$K,0)),0)</f>
        <v>2</v>
      </c>
      <c r="AA150">
        <f>IFERROR(INDEX(Violation_Summary_Seller_Year!$H:$H,MATCH(AD150,Violation_Summary_Seller_Year!$K:$K,0)),0)</f>
        <v>3</v>
      </c>
      <c r="AB150">
        <f>IFERROR(INDEX(Violation_Summary_Seller_Year!$I:$I,MATCH(AD150,Violation_Summary_Seller_Year!$K:$K,0)),0)</f>
        <v>2</v>
      </c>
      <c r="AC150">
        <f>IFERROR(INDEX(Violation_Summary_Seller_Year!$J:$J,MATCH(AD150,Violation_Summary_Seller_Year!$K:$K,0)),0)</f>
        <v>34</v>
      </c>
      <c r="AD150" t="str">
        <f t="shared" si="16"/>
        <v>53_2022</v>
      </c>
      <c r="AE150">
        <f t="shared" si="17"/>
        <v>1</v>
      </c>
      <c r="AF150">
        <f t="shared" si="18"/>
        <v>2</v>
      </c>
      <c r="AG150">
        <f t="shared" si="19"/>
        <v>2</v>
      </c>
      <c r="AH150">
        <f t="shared" si="20"/>
        <v>2</v>
      </c>
      <c r="AI150">
        <f t="shared" si="21"/>
        <v>2</v>
      </c>
      <c r="AJ150">
        <f t="shared" si="22"/>
        <v>175</v>
      </c>
      <c r="AK150" t="str">
        <f t="shared" si="23"/>
        <v>High</v>
      </c>
    </row>
    <row r="151" spans="1:37" x14ac:dyDescent="0.3">
      <c r="A151">
        <v>54</v>
      </c>
      <c r="B151">
        <v>2022</v>
      </c>
      <c r="C151">
        <v>1573</v>
      </c>
      <c r="D151">
        <v>105</v>
      </c>
      <c r="E151">
        <v>76</v>
      </c>
      <c r="F151">
        <v>3077.75</v>
      </c>
      <c r="G151">
        <v>4.8314999999999997E-2</v>
      </c>
      <c r="H151">
        <v>45</v>
      </c>
      <c r="I151">
        <v>45</v>
      </c>
      <c r="J151">
        <v>17</v>
      </c>
      <c r="K151">
        <v>23</v>
      </c>
      <c r="L151">
        <v>1</v>
      </c>
      <c r="M151">
        <v>7</v>
      </c>
      <c r="N151">
        <v>9</v>
      </c>
      <c r="O151">
        <v>6</v>
      </c>
      <c r="P151" t="s">
        <v>85</v>
      </c>
      <c r="Q151" t="str">
        <f>VLOOKUP(A151,Cleaned_Seller_Master!$A:$H,2,FALSE)</f>
        <v>Prime Bridge 054</v>
      </c>
      <c r="R151" t="str">
        <f>VLOOKUP(A151,Cleaned_Seller_Master!$A:$H,4,FALSE)</f>
        <v>Groceries</v>
      </c>
      <c r="S151" t="str">
        <f>VLOOKUP(A151,Cleaned_Seller_Master!$A:$H,5,FALSE)</f>
        <v>East</v>
      </c>
      <c r="T151" t="str">
        <f>VLOOKUP(A151,Cleaned_Seller_Master!$A:$H,8,FALSE)</f>
        <v>Verified</v>
      </c>
      <c r="U151" t="str">
        <f>VLOOKUP(A151,Cleaned_Seller_Master!$A:$H,7,FALSE)</f>
        <v>09-02-2021</v>
      </c>
      <c r="V151">
        <f>IFERROR(INDEX(Violation_Summary_Seller_Year!$C:$C,MATCH(AD151,Violation_Summary_Seller_Year!$K:$K,0)),0)</f>
        <v>1</v>
      </c>
      <c r="W151">
        <f>IFERROR(INDEX(Violation_Summary_Seller_Year!$D:$D,MATCH(AD151,Violation_Summary_Seller_Year!$K:$K,0)),0)</f>
        <v>1470.96</v>
      </c>
      <c r="X151">
        <f>IFERROR(INDEX(Violation_Summary_Seller_Year!$E:$E,MATCH(AD151,Violation_Summary_Seller_Year!$K:$K,0)),0)</f>
        <v>1</v>
      </c>
      <c r="Y151">
        <f>IFERROR(INDEX(Violation_Summary_Seller_Year!$F:$F,MATCH(AD151,Violation_Summary_Seller_Year!$K:$K,0)),0)</f>
        <v>1</v>
      </c>
      <c r="Z151">
        <f>IFERROR(INDEX(Violation_Summary_Seller_Year!$G:$G,MATCH(AD151,Violation_Summary_Seller_Year!$K:$K,0)),0)</f>
        <v>0</v>
      </c>
      <c r="AA151">
        <f>IFERROR(INDEX(Violation_Summary_Seller_Year!$H:$H,MATCH(AD151,Violation_Summary_Seller_Year!$K:$K,0)),0)</f>
        <v>0</v>
      </c>
      <c r="AB151">
        <f>IFERROR(INDEX(Violation_Summary_Seller_Year!$I:$I,MATCH(AD151,Violation_Summary_Seller_Year!$K:$K,0)),0)</f>
        <v>0</v>
      </c>
      <c r="AC151">
        <f>IFERROR(INDEX(Violation_Summary_Seller_Year!$J:$J,MATCH(AD151,Violation_Summary_Seller_Year!$K:$K,0)),0)</f>
        <v>11</v>
      </c>
      <c r="AD151" t="str">
        <f t="shared" si="16"/>
        <v>54_2022</v>
      </c>
      <c r="AE151">
        <f t="shared" si="17"/>
        <v>0</v>
      </c>
      <c r="AF151">
        <f t="shared" si="18"/>
        <v>2</v>
      </c>
      <c r="AG151">
        <f t="shared" si="19"/>
        <v>0</v>
      </c>
      <c r="AH151">
        <f t="shared" si="20"/>
        <v>2</v>
      </c>
      <c r="AI151">
        <f t="shared" si="21"/>
        <v>2</v>
      </c>
      <c r="AJ151">
        <f t="shared" si="22"/>
        <v>110</v>
      </c>
      <c r="AK151" t="str">
        <f t="shared" si="23"/>
        <v>Medium</v>
      </c>
    </row>
    <row r="152" spans="1:37" x14ac:dyDescent="0.3">
      <c r="A152">
        <v>55</v>
      </c>
      <c r="B152">
        <v>2022</v>
      </c>
      <c r="C152">
        <v>275</v>
      </c>
      <c r="D152">
        <v>14</v>
      </c>
      <c r="E152">
        <v>13</v>
      </c>
      <c r="F152">
        <v>996.21</v>
      </c>
      <c r="G152">
        <v>4.7273000000000003E-2</v>
      </c>
      <c r="H152">
        <v>8</v>
      </c>
      <c r="I152">
        <v>8</v>
      </c>
      <c r="J152">
        <v>3</v>
      </c>
      <c r="K152">
        <v>4</v>
      </c>
      <c r="L152">
        <v>0</v>
      </c>
      <c r="M152">
        <v>1</v>
      </c>
      <c r="N152">
        <v>1</v>
      </c>
      <c r="O152">
        <v>1</v>
      </c>
      <c r="P152" t="s">
        <v>175</v>
      </c>
      <c r="Q152" t="str">
        <f>VLOOKUP(A152,Cleaned_Seller_Master!$A:$H,2,FALSE)</f>
        <v>Apex Retail 055</v>
      </c>
      <c r="R152" t="str">
        <f>VLOOKUP(A152,Cleaned_Seller_Master!$A:$H,4,FALSE)</f>
        <v>Fashion</v>
      </c>
      <c r="S152" t="str">
        <f>VLOOKUP(A152,Cleaned_Seller_Master!$A:$H,5,FALSE)</f>
        <v>South</v>
      </c>
      <c r="T152" t="str">
        <f>VLOOKUP(A152,Cleaned_Seller_Master!$A:$H,8,FALSE)</f>
        <v>Verified</v>
      </c>
      <c r="U152" t="str">
        <f>VLOOKUP(A152,Cleaned_Seller_Master!$A:$H,7,FALSE)</f>
        <v>26-06-2021</v>
      </c>
      <c r="V152">
        <f>IFERROR(INDEX(Violation_Summary_Seller_Year!$C:$C,MATCH(AD152,Violation_Summary_Seller_Year!$K:$K,0)),0)</f>
        <v>3</v>
      </c>
      <c r="W152">
        <f>IFERROR(INDEX(Violation_Summary_Seller_Year!$D:$D,MATCH(AD152,Violation_Summary_Seller_Year!$K:$K,0)),0)</f>
        <v>2326.02</v>
      </c>
      <c r="X152">
        <f>IFERROR(INDEX(Violation_Summary_Seller_Year!$E:$E,MATCH(AD152,Violation_Summary_Seller_Year!$K:$K,0)),0)</f>
        <v>0</v>
      </c>
      <c r="Y152">
        <f>IFERROR(INDEX(Violation_Summary_Seller_Year!$F:$F,MATCH(AD152,Violation_Summary_Seller_Year!$K:$K,0)),0)</f>
        <v>3</v>
      </c>
      <c r="Z152">
        <f>IFERROR(INDEX(Violation_Summary_Seller_Year!$G:$G,MATCH(AD152,Violation_Summary_Seller_Year!$K:$K,0)),0)</f>
        <v>0</v>
      </c>
      <c r="AA152">
        <f>IFERROR(INDEX(Violation_Summary_Seller_Year!$H:$H,MATCH(AD152,Violation_Summary_Seller_Year!$K:$K,0)),0)</f>
        <v>0</v>
      </c>
      <c r="AB152">
        <f>IFERROR(INDEX(Violation_Summary_Seller_Year!$I:$I,MATCH(AD152,Violation_Summary_Seller_Year!$K:$K,0)),0)</f>
        <v>0</v>
      </c>
      <c r="AC152">
        <f>IFERROR(INDEX(Violation_Summary_Seller_Year!$J:$J,MATCH(AD152,Violation_Summary_Seller_Year!$K:$K,0)),0)</f>
        <v>21</v>
      </c>
      <c r="AD152" t="str">
        <f t="shared" si="16"/>
        <v>55_2022</v>
      </c>
      <c r="AE152">
        <f t="shared" si="17"/>
        <v>0</v>
      </c>
      <c r="AF152">
        <f t="shared" si="18"/>
        <v>2</v>
      </c>
      <c r="AG152">
        <f t="shared" si="19"/>
        <v>1</v>
      </c>
      <c r="AH152">
        <f t="shared" si="20"/>
        <v>0</v>
      </c>
      <c r="AI152">
        <f t="shared" si="21"/>
        <v>1</v>
      </c>
      <c r="AJ152">
        <f t="shared" si="22"/>
        <v>80</v>
      </c>
      <c r="AK152" t="str">
        <f t="shared" si="23"/>
        <v>Medium</v>
      </c>
    </row>
    <row r="153" spans="1:37" x14ac:dyDescent="0.3">
      <c r="A153">
        <v>56</v>
      </c>
      <c r="B153">
        <v>2022</v>
      </c>
      <c r="C153">
        <v>1088</v>
      </c>
      <c r="D153">
        <v>47</v>
      </c>
      <c r="E153">
        <v>39</v>
      </c>
      <c r="F153">
        <v>1090.32</v>
      </c>
      <c r="G153">
        <v>3.5846000000000003E-2</v>
      </c>
      <c r="H153">
        <v>7</v>
      </c>
      <c r="I153">
        <v>21</v>
      </c>
      <c r="J153">
        <v>8</v>
      </c>
      <c r="K153">
        <v>5</v>
      </c>
      <c r="L153">
        <v>0</v>
      </c>
      <c r="M153">
        <v>2</v>
      </c>
      <c r="N153">
        <v>2</v>
      </c>
      <c r="O153">
        <v>2</v>
      </c>
      <c r="P153" t="s">
        <v>68</v>
      </c>
      <c r="Q153" t="str">
        <f>VLOOKUP(A153,Cleaned_Seller_Master!$A:$H,2,FALSE)</f>
        <v>Nimbus Market 056</v>
      </c>
      <c r="R153" t="str">
        <f>VLOOKUP(A153,Cleaned_Seller_Master!$A:$H,4,FALSE)</f>
        <v>Beauty</v>
      </c>
      <c r="S153" t="str">
        <f>VLOOKUP(A153,Cleaned_Seller_Master!$A:$H,5,FALSE)</f>
        <v>North</v>
      </c>
      <c r="T153" t="str">
        <f>VLOOKUP(A153,Cleaned_Seller_Master!$A:$H,8,FALSE)</f>
        <v>Strategic</v>
      </c>
      <c r="U153" t="str">
        <f>VLOOKUP(A153,Cleaned_Seller_Master!$A:$H,7,FALSE)</f>
        <v>18-08-2023</v>
      </c>
      <c r="V153">
        <f>IFERROR(INDEX(Violation_Summary_Seller_Year!$C:$C,MATCH(AD153,Violation_Summary_Seller_Year!$K:$K,0)),0)</f>
        <v>3</v>
      </c>
      <c r="W153">
        <f>IFERROR(INDEX(Violation_Summary_Seller_Year!$D:$D,MATCH(AD153,Violation_Summary_Seller_Year!$K:$K,0)),0)</f>
        <v>5110.08</v>
      </c>
      <c r="X153">
        <f>IFERROR(INDEX(Violation_Summary_Seller_Year!$E:$E,MATCH(AD153,Violation_Summary_Seller_Year!$K:$K,0)),0)</f>
        <v>0</v>
      </c>
      <c r="Y153">
        <f>IFERROR(INDEX(Violation_Summary_Seller_Year!$F:$F,MATCH(AD153,Violation_Summary_Seller_Year!$K:$K,0)),0)</f>
        <v>2</v>
      </c>
      <c r="Z153">
        <f>IFERROR(INDEX(Violation_Summary_Seller_Year!$G:$G,MATCH(AD153,Violation_Summary_Seller_Year!$K:$K,0)),0)</f>
        <v>1</v>
      </c>
      <c r="AA153">
        <f>IFERROR(INDEX(Violation_Summary_Seller_Year!$H:$H,MATCH(AD153,Violation_Summary_Seller_Year!$K:$K,0)),0)</f>
        <v>2</v>
      </c>
      <c r="AB153">
        <f>IFERROR(INDEX(Violation_Summary_Seller_Year!$I:$I,MATCH(AD153,Violation_Summary_Seller_Year!$K:$K,0)),0)</f>
        <v>0</v>
      </c>
      <c r="AC153">
        <f>IFERROR(INDEX(Violation_Summary_Seller_Year!$J:$J,MATCH(AD153,Violation_Summary_Seller_Year!$K:$K,0)),0)</f>
        <v>19</v>
      </c>
      <c r="AD153" t="str">
        <f t="shared" si="16"/>
        <v>56_2022</v>
      </c>
      <c r="AE153">
        <f t="shared" si="17"/>
        <v>0</v>
      </c>
      <c r="AF153">
        <f t="shared" si="18"/>
        <v>1</v>
      </c>
      <c r="AG153">
        <f t="shared" si="19"/>
        <v>2</v>
      </c>
      <c r="AH153">
        <f t="shared" si="20"/>
        <v>0</v>
      </c>
      <c r="AI153">
        <f t="shared" si="21"/>
        <v>1</v>
      </c>
      <c r="AJ153">
        <f t="shared" si="22"/>
        <v>75</v>
      </c>
      <c r="AK153" t="str">
        <f t="shared" si="23"/>
        <v>Medium</v>
      </c>
    </row>
    <row r="154" spans="1:37" x14ac:dyDescent="0.3">
      <c r="A154">
        <v>57</v>
      </c>
      <c r="B154">
        <v>2022</v>
      </c>
      <c r="C154">
        <v>2062</v>
      </c>
      <c r="D154">
        <v>162</v>
      </c>
      <c r="E154">
        <v>131</v>
      </c>
      <c r="F154">
        <v>6534.83</v>
      </c>
      <c r="G154">
        <v>6.3531000000000004E-2</v>
      </c>
      <c r="H154">
        <v>31</v>
      </c>
      <c r="I154">
        <v>52</v>
      </c>
      <c r="J154">
        <v>29</v>
      </c>
      <c r="K154">
        <v>10</v>
      </c>
      <c r="L154">
        <v>0</v>
      </c>
      <c r="M154">
        <v>2</v>
      </c>
      <c r="N154">
        <v>5</v>
      </c>
      <c r="O154">
        <v>10</v>
      </c>
      <c r="P154" t="s">
        <v>175</v>
      </c>
      <c r="Q154" t="str">
        <f>VLOOKUP(A154,Cleaned_Seller_Master!$A:$H,2,FALSE)</f>
        <v>Metro Point 057</v>
      </c>
      <c r="R154" t="str">
        <f>VLOOKUP(A154,Cleaned_Seller_Master!$A:$H,4,FALSE)</f>
        <v>Beauty</v>
      </c>
      <c r="S154" t="str">
        <f>VLOOKUP(A154,Cleaned_Seller_Master!$A:$H,5,FALSE)</f>
        <v>West</v>
      </c>
      <c r="T154" t="str">
        <f>VLOOKUP(A154,Cleaned_Seller_Master!$A:$H,8,FALSE)</f>
        <v>Premium</v>
      </c>
      <c r="U154" t="str">
        <f>VLOOKUP(A154,Cleaned_Seller_Master!$A:$H,7,FALSE)</f>
        <v>19-11-2021</v>
      </c>
      <c r="V154">
        <f>IFERROR(INDEX(Violation_Summary_Seller_Year!$C:$C,MATCH(AD154,Violation_Summary_Seller_Year!$K:$K,0)),0)</f>
        <v>1</v>
      </c>
      <c r="W154">
        <f>IFERROR(INDEX(Violation_Summary_Seller_Year!$D:$D,MATCH(AD154,Violation_Summary_Seller_Year!$K:$K,0)),0)</f>
        <v>1161.17</v>
      </c>
      <c r="X154">
        <f>IFERROR(INDEX(Violation_Summary_Seller_Year!$E:$E,MATCH(AD154,Violation_Summary_Seller_Year!$K:$K,0)),0)</f>
        <v>0</v>
      </c>
      <c r="Y154">
        <f>IFERROR(INDEX(Violation_Summary_Seller_Year!$F:$F,MATCH(AD154,Violation_Summary_Seller_Year!$K:$K,0)),0)</f>
        <v>1</v>
      </c>
      <c r="Z154">
        <f>IFERROR(INDEX(Violation_Summary_Seller_Year!$G:$G,MATCH(AD154,Violation_Summary_Seller_Year!$K:$K,0)),0)</f>
        <v>0</v>
      </c>
      <c r="AA154">
        <f>IFERROR(INDEX(Violation_Summary_Seller_Year!$H:$H,MATCH(AD154,Violation_Summary_Seller_Year!$K:$K,0)),0)</f>
        <v>0</v>
      </c>
      <c r="AB154">
        <f>IFERROR(INDEX(Violation_Summary_Seller_Year!$I:$I,MATCH(AD154,Violation_Summary_Seller_Year!$K:$K,0)),0)</f>
        <v>0</v>
      </c>
      <c r="AC154">
        <f>IFERROR(INDEX(Violation_Summary_Seller_Year!$J:$J,MATCH(AD154,Violation_Summary_Seller_Year!$K:$K,0)),0)</f>
        <v>13</v>
      </c>
      <c r="AD154" t="str">
        <f t="shared" si="16"/>
        <v>57_2022</v>
      </c>
      <c r="AE154">
        <f t="shared" si="17"/>
        <v>1</v>
      </c>
      <c r="AF154">
        <f t="shared" si="18"/>
        <v>2</v>
      </c>
      <c r="AG154">
        <f t="shared" si="19"/>
        <v>0</v>
      </c>
      <c r="AH154">
        <f t="shared" si="20"/>
        <v>0</v>
      </c>
      <c r="AI154">
        <f t="shared" si="21"/>
        <v>1</v>
      </c>
      <c r="AJ154">
        <f t="shared" si="22"/>
        <v>85</v>
      </c>
      <c r="AK154" t="str">
        <f t="shared" si="23"/>
        <v>Medium</v>
      </c>
    </row>
    <row r="155" spans="1:37" x14ac:dyDescent="0.3">
      <c r="A155">
        <v>58</v>
      </c>
      <c r="B155">
        <v>2022</v>
      </c>
      <c r="C155">
        <v>1061</v>
      </c>
      <c r="D155">
        <v>52</v>
      </c>
      <c r="E155">
        <v>43</v>
      </c>
      <c r="F155">
        <v>2148.16</v>
      </c>
      <c r="G155">
        <v>4.0528000000000002E-2</v>
      </c>
      <c r="H155">
        <v>24</v>
      </c>
      <c r="I155">
        <v>26</v>
      </c>
      <c r="J155">
        <v>10</v>
      </c>
      <c r="K155">
        <v>11</v>
      </c>
      <c r="L155">
        <v>1</v>
      </c>
      <c r="M155">
        <v>6</v>
      </c>
      <c r="N155">
        <v>7</v>
      </c>
      <c r="O155">
        <v>3</v>
      </c>
      <c r="P155" t="s">
        <v>85</v>
      </c>
      <c r="Q155" t="str">
        <f>VLOOKUP(A155,Cleaned_Seller_Master!$A:$H,2,FALSE)</f>
        <v>Luna Stores 058</v>
      </c>
      <c r="R155" t="str">
        <f>VLOOKUP(A155,Cleaned_Seller_Master!$A:$H,4,FALSE)</f>
        <v>Home</v>
      </c>
      <c r="S155" t="str">
        <f>VLOOKUP(A155,Cleaned_Seller_Master!$A:$H,5,FALSE)</f>
        <v>East</v>
      </c>
      <c r="T155" t="str">
        <f>VLOOKUP(A155,Cleaned_Seller_Master!$A:$H,8,FALSE)</f>
        <v>Strategic</v>
      </c>
      <c r="U155" t="str">
        <f>VLOOKUP(A155,Cleaned_Seller_Master!$A:$H,7,FALSE)</f>
        <v>04-04-2021</v>
      </c>
      <c r="V155">
        <f>IFERROR(INDEX(Violation_Summary_Seller_Year!$C:$C,MATCH(AD155,Violation_Summary_Seller_Year!$K:$K,0)),0)</f>
        <v>1</v>
      </c>
      <c r="W155">
        <f>IFERROR(INDEX(Violation_Summary_Seller_Year!$D:$D,MATCH(AD155,Violation_Summary_Seller_Year!$K:$K,0)),0)</f>
        <v>3269.23</v>
      </c>
      <c r="X155">
        <f>IFERROR(INDEX(Violation_Summary_Seller_Year!$E:$E,MATCH(AD155,Violation_Summary_Seller_Year!$K:$K,0)),0)</f>
        <v>1</v>
      </c>
      <c r="Y155">
        <f>IFERROR(INDEX(Violation_Summary_Seller_Year!$F:$F,MATCH(AD155,Violation_Summary_Seller_Year!$K:$K,0)),0)</f>
        <v>0</v>
      </c>
      <c r="Z155">
        <f>IFERROR(INDEX(Violation_Summary_Seller_Year!$G:$G,MATCH(AD155,Violation_Summary_Seller_Year!$K:$K,0)),0)</f>
        <v>1</v>
      </c>
      <c r="AA155">
        <f>IFERROR(INDEX(Violation_Summary_Seller_Year!$H:$H,MATCH(AD155,Violation_Summary_Seller_Year!$K:$K,0)),0)</f>
        <v>1</v>
      </c>
      <c r="AB155">
        <f>IFERROR(INDEX(Violation_Summary_Seller_Year!$I:$I,MATCH(AD155,Violation_Summary_Seller_Year!$K:$K,0)),0)</f>
        <v>0</v>
      </c>
      <c r="AC155">
        <f>IFERROR(INDEX(Violation_Summary_Seller_Year!$J:$J,MATCH(AD155,Violation_Summary_Seller_Year!$K:$K,0)),0)</f>
        <v>4</v>
      </c>
      <c r="AD155" t="str">
        <f t="shared" si="16"/>
        <v>58_2022</v>
      </c>
      <c r="AE155">
        <f t="shared" si="17"/>
        <v>0</v>
      </c>
      <c r="AF155">
        <f t="shared" si="18"/>
        <v>2</v>
      </c>
      <c r="AG155">
        <f t="shared" si="19"/>
        <v>1</v>
      </c>
      <c r="AH155">
        <f t="shared" si="20"/>
        <v>2</v>
      </c>
      <c r="AI155">
        <f t="shared" si="21"/>
        <v>2</v>
      </c>
      <c r="AJ155">
        <f t="shared" si="22"/>
        <v>130</v>
      </c>
      <c r="AK155" t="str">
        <f t="shared" si="23"/>
        <v>High</v>
      </c>
    </row>
    <row r="156" spans="1:37" x14ac:dyDescent="0.3">
      <c r="A156">
        <v>59</v>
      </c>
      <c r="B156">
        <v>2022</v>
      </c>
      <c r="C156">
        <v>1528</v>
      </c>
      <c r="D156">
        <v>79</v>
      </c>
      <c r="E156">
        <v>63</v>
      </c>
      <c r="F156">
        <v>2379.42</v>
      </c>
      <c r="G156">
        <v>4.1230000000000003E-2</v>
      </c>
      <c r="H156">
        <v>15</v>
      </c>
      <c r="I156">
        <v>30</v>
      </c>
      <c r="J156">
        <v>8</v>
      </c>
      <c r="K156">
        <v>6</v>
      </c>
      <c r="L156">
        <v>0</v>
      </c>
      <c r="M156">
        <v>2</v>
      </c>
      <c r="N156">
        <v>3</v>
      </c>
      <c r="O156">
        <v>5</v>
      </c>
      <c r="P156" t="s">
        <v>175</v>
      </c>
      <c r="Q156" t="str">
        <f>VLOOKUP(A156,Cleaned_Seller_Master!$A:$H,2,FALSE)</f>
        <v>Elite Link 059</v>
      </c>
      <c r="R156" t="str">
        <f>VLOOKUP(A156,Cleaned_Seller_Master!$A:$H,4,FALSE)</f>
        <v>Home</v>
      </c>
      <c r="S156" t="str">
        <f>VLOOKUP(A156,Cleaned_Seller_Master!$A:$H,5,FALSE)</f>
        <v>East</v>
      </c>
      <c r="T156" t="str">
        <f>VLOOKUP(A156,Cleaned_Seller_Master!$A:$H,8,FALSE)</f>
        <v>Strategic</v>
      </c>
      <c r="U156" t="str">
        <f>VLOOKUP(A156,Cleaned_Seller_Master!$A:$H,7,FALSE)</f>
        <v>27-02-2021</v>
      </c>
      <c r="V156">
        <f>IFERROR(INDEX(Violation_Summary_Seller_Year!$C:$C,MATCH(AD156,Violation_Summary_Seller_Year!$K:$K,0)),0)</f>
        <v>1</v>
      </c>
      <c r="W156">
        <f>IFERROR(INDEX(Violation_Summary_Seller_Year!$D:$D,MATCH(AD156,Violation_Summary_Seller_Year!$K:$K,0)),0)</f>
        <v>259.14999999999998</v>
      </c>
      <c r="X156">
        <f>IFERROR(INDEX(Violation_Summary_Seller_Year!$E:$E,MATCH(AD156,Violation_Summary_Seller_Year!$K:$K,0)),0)</f>
        <v>0</v>
      </c>
      <c r="Y156">
        <f>IFERROR(INDEX(Violation_Summary_Seller_Year!$F:$F,MATCH(AD156,Violation_Summary_Seller_Year!$K:$K,0)),0)</f>
        <v>1</v>
      </c>
      <c r="Z156">
        <f>IFERROR(INDEX(Violation_Summary_Seller_Year!$G:$G,MATCH(AD156,Violation_Summary_Seller_Year!$K:$K,0)),0)</f>
        <v>0</v>
      </c>
      <c r="AA156">
        <f>IFERROR(INDEX(Violation_Summary_Seller_Year!$H:$H,MATCH(AD156,Violation_Summary_Seller_Year!$K:$K,0)),0)</f>
        <v>0</v>
      </c>
      <c r="AB156">
        <f>IFERROR(INDEX(Violation_Summary_Seller_Year!$I:$I,MATCH(AD156,Violation_Summary_Seller_Year!$K:$K,0)),0)</f>
        <v>0</v>
      </c>
      <c r="AC156">
        <f>IFERROR(INDEX(Violation_Summary_Seller_Year!$J:$J,MATCH(AD156,Violation_Summary_Seller_Year!$K:$K,0)),0)</f>
        <v>2</v>
      </c>
      <c r="AD156" t="str">
        <f t="shared" si="16"/>
        <v>59_2022</v>
      </c>
      <c r="AE156">
        <f t="shared" si="17"/>
        <v>0</v>
      </c>
      <c r="AF156">
        <f t="shared" si="18"/>
        <v>2</v>
      </c>
      <c r="AG156">
        <f t="shared" si="19"/>
        <v>0</v>
      </c>
      <c r="AH156">
        <f t="shared" si="20"/>
        <v>0</v>
      </c>
      <c r="AI156">
        <f t="shared" si="21"/>
        <v>1</v>
      </c>
      <c r="AJ156">
        <f t="shared" si="22"/>
        <v>60</v>
      </c>
      <c r="AK156" t="str">
        <f t="shared" si="23"/>
        <v>Medium</v>
      </c>
    </row>
    <row r="157" spans="1:37" x14ac:dyDescent="0.3">
      <c r="A157">
        <v>60</v>
      </c>
      <c r="B157">
        <v>2022</v>
      </c>
      <c r="C157">
        <v>588</v>
      </c>
      <c r="D157">
        <v>31</v>
      </c>
      <c r="E157">
        <v>25</v>
      </c>
      <c r="F157">
        <v>1261.48</v>
      </c>
      <c r="G157">
        <v>4.2516999999999999E-2</v>
      </c>
      <c r="H157">
        <v>15</v>
      </c>
      <c r="I157">
        <v>21</v>
      </c>
      <c r="J157">
        <v>6</v>
      </c>
      <c r="K157">
        <v>5</v>
      </c>
      <c r="L157">
        <v>0</v>
      </c>
      <c r="M157">
        <v>1</v>
      </c>
      <c r="N157">
        <v>3</v>
      </c>
      <c r="O157">
        <v>2</v>
      </c>
      <c r="P157" t="s">
        <v>175</v>
      </c>
      <c r="Q157" t="str">
        <f>VLOOKUP(A157,Cleaned_Seller_Master!$A:$H,2,FALSE)</f>
        <v>Nova Cart 060</v>
      </c>
      <c r="R157" t="str">
        <f>VLOOKUP(A157,Cleaned_Seller_Master!$A:$H,4,FALSE)</f>
        <v>Electronics</v>
      </c>
      <c r="S157" t="str">
        <f>VLOOKUP(A157,Cleaned_Seller_Master!$A:$H,5,FALSE)</f>
        <v>Southeast Asia</v>
      </c>
      <c r="T157" t="str">
        <f>VLOOKUP(A157,Cleaned_Seller_Master!$A:$H,8,FALSE)</f>
        <v>Standard</v>
      </c>
      <c r="U157" t="str">
        <f>VLOOKUP(A157,Cleaned_Seller_Master!$A:$H,7,FALSE)</f>
        <v>28-11-2019</v>
      </c>
      <c r="V157">
        <f>IFERROR(INDEX(Violation_Summary_Seller_Year!$C:$C,MATCH(AD157,Violation_Summary_Seller_Year!$K:$K,0)),0)</f>
        <v>2</v>
      </c>
      <c r="W157">
        <f>IFERROR(INDEX(Violation_Summary_Seller_Year!$D:$D,MATCH(AD157,Violation_Summary_Seller_Year!$K:$K,0)),0)</f>
        <v>1179.9699999999998</v>
      </c>
      <c r="X157">
        <f>IFERROR(INDEX(Violation_Summary_Seller_Year!$E:$E,MATCH(AD157,Violation_Summary_Seller_Year!$K:$K,0)),0)</f>
        <v>0</v>
      </c>
      <c r="Y157">
        <f>IFERROR(INDEX(Violation_Summary_Seller_Year!$F:$F,MATCH(AD157,Violation_Summary_Seller_Year!$K:$K,0)),0)</f>
        <v>2</v>
      </c>
      <c r="Z157">
        <f>IFERROR(INDEX(Violation_Summary_Seller_Year!$G:$G,MATCH(AD157,Violation_Summary_Seller_Year!$K:$K,0)),0)</f>
        <v>0</v>
      </c>
      <c r="AA157">
        <f>IFERROR(INDEX(Violation_Summary_Seller_Year!$H:$H,MATCH(AD157,Violation_Summary_Seller_Year!$K:$K,0)),0)</f>
        <v>0</v>
      </c>
      <c r="AB157">
        <f>IFERROR(INDEX(Violation_Summary_Seller_Year!$I:$I,MATCH(AD157,Violation_Summary_Seller_Year!$K:$K,0)),0)</f>
        <v>0</v>
      </c>
      <c r="AC157">
        <f>IFERROR(INDEX(Violation_Summary_Seller_Year!$J:$J,MATCH(AD157,Violation_Summary_Seller_Year!$K:$K,0)),0)</f>
        <v>20</v>
      </c>
      <c r="AD157" t="str">
        <f t="shared" si="16"/>
        <v>60_2022</v>
      </c>
      <c r="AE157">
        <f t="shared" si="17"/>
        <v>0</v>
      </c>
      <c r="AF157">
        <f t="shared" si="18"/>
        <v>2</v>
      </c>
      <c r="AG157">
        <f t="shared" si="19"/>
        <v>1</v>
      </c>
      <c r="AH157">
        <f t="shared" si="20"/>
        <v>0</v>
      </c>
      <c r="AI157">
        <f t="shared" si="21"/>
        <v>1</v>
      </c>
      <c r="AJ157">
        <f t="shared" si="22"/>
        <v>80</v>
      </c>
      <c r="AK157" t="str">
        <f t="shared" si="23"/>
        <v>Medium</v>
      </c>
    </row>
    <row r="158" spans="1:37" x14ac:dyDescent="0.3">
      <c r="A158">
        <v>61</v>
      </c>
      <c r="B158">
        <v>2022</v>
      </c>
      <c r="C158">
        <v>248</v>
      </c>
      <c r="D158">
        <v>7</v>
      </c>
      <c r="E158">
        <v>5</v>
      </c>
      <c r="F158">
        <v>402.07</v>
      </c>
      <c r="G158">
        <v>2.0160999999999998E-2</v>
      </c>
      <c r="H158">
        <v>3</v>
      </c>
      <c r="I158">
        <v>12</v>
      </c>
      <c r="J158">
        <v>1</v>
      </c>
      <c r="K158">
        <v>2</v>
      </c>
      <c r="L158">
        <v>0</v>
      </c>
      <c r="M158">
        <v>0</v>
      </c>
      <c r="N158">
        <v>0</v>
      </c>
      <c r="O158">
        <v>0</v>
      </c>
      <c r="P158" t="s">
        <v>176</v>
      </c>
      <c r="Q158" t="str">
        <f>VLOOKUP(A158,Cleaned_Seller_Master!$A:$H,2,FALSE)</f>
        <v>Swift Goods 061</v>
      </c>
      <c r="R158" t="str">
        <f>VLOOKUP(A158,Cleaned_Seller_Master!$A:$H,4,FALSE)</f>
        <v>Electronics</v>
      </c>
      <c r="S158" t="str">
        <f>VLOOKUP(A158,Cleaned_Seller_Master!$A:$H,5,FALSE)</f>
        <v>East</v>
      </c>
      <c r="T158" t="str">
        <f>VLOOKUP(A158,Cleaned_Seller_Master!$A:$H,8,FALSE)</f>
        <v>Verified</v>
      </c>
      <c r="U158" t="str">
        <f>VLOOKUP(A158,Cleaned_Seller_Master!$A:$H,7,FALSE)</f>
        <v>13-02-2018</v>
      </c>
      <c r="V158">
        <f>IFERROR(INDEX(Violation_Summary_Seller_Year!$C:$C,MATCH(AD158,Violation_Summary_Seller_Year!$K:$K,0)),0)</f>
        <v>2</v>
      </c>
      <c r="W158">
        <f>IFERROR(INDEX(Violation_Summary_Seller_Year!$D:$D,MATCH(AD158,Violation_Summary_Seller_Year!$K:$K,0)),0)</f>
        <v>1004.01</v>
      </c>
      <c r="X158">
        <f>IFERROR(INDEX(Violation_Summary_Seller_Year!$E:$E,MATCH(AD158,Violation_Summary_Seller_Year!$K:$K,0)),0)</f>
        <v>0</v>
      </c>
      <c r="Y158">
        <f>IFERROR(INDEX(Violation_Summary_Seller_Year!$F:$F,MATCH(AD158,Violation_Summary_Seller_Year!$K:$K,0)),0)</f>
        <v>2</v>
      </c>
      <c r="Z158">
        <f>IFERROR(INDEX(Violation_Summary_Seller_Year!$G:$G,MATCH(AD158,Violation_Summary_Seller_Year!$K:$K,0)),0)</f>
        <v>0</v>
      </c>
      <c r="AA158">
        <f>IFERROR(INDEX(Violation_Summary_Seller_Year!$H:$H,MATCH(AD158,Violation_Summary_Seller_Year!$K:$K,0)),0)</f>
        <v>0</v>
      </c>
      <c r="AB158">
        <f>IFERROR(INDEX(Violation_Summary_Seller_Year!$I:$I,MATCH(AD158,Violation_Summary_Seller_Year!$K:$K,0)),0)</f>
        <v>0</v>
      </c>
      <c r="AC158">
        <f>IFERROR(INDEX(Violation_Summary_Seller_Year!$J:$J,MATCH(AD158,Violation_Summary_Seller_Year!$K:$K,0)),0)</f>
        <v>8</v>
      </c>
      <c r="AD158" t="str">
        <f t="shared" si="16"/>
        <v>61_2022</v>
      </c>
      <c r="AE158">
        <f t="shared" si="17"/>
        <v>0</v>
      </c>
      <c r="AF158">
        <f t="shared" si="18"/>
        <v>0</v>
      </c>
      <c r="AG158">
        <f t="shared" si="19"/>
        <v>1</v>
      </c>
      <c r="AH158">
        <f t="shared" si="20"/>
        <v>0</v>
      </c>
      <c r="AI158">
        <f t="shared" si="21"/>
        <v>1</v>
      </c>
      <c r="AJ158">
        <f t="shared" si="22"/>
        <v>30</v>
      </c>
      <c r="AK158" t="str">
        <f t="shared" si="23"/>
        <v>Low</v>
      </c>
    </row>
    <row r="159" spans="1:37" x14ac:dyDescent="0.3">
      <c r="A159">
        <v>62</v>
      </c>
      <c r="B159">
        <v>2022</v>
      </c>
      <c r="C159">
        <v>410</v>
      </c>
      <c r="D159">
        <v>35</v>
      </c>
      <c r="E159">
        <v>25</v>
      </c>
      <c r="F159">
        <v>1324.53</v>
      </c>
      <c r="G159">
        <v>6.0976000000000002E-2</v>
      </c>
      <c r="H159">
        <v>13</v>
      </c>
      <c r="I159">
        <v>13</v>
      </c>
      <c r="J159">
        <v>7</v>
      </c>
      <c r="K159">
        <v>7</v>
      </c>
      <c r="L159">
        <v>0</v>
      </c>
      <c r="M159">
        <v>1</v>
      </c>
      <c r="N159">
        <v>4</v>
      </c>
      <c r="O159">
        <v>1</v>
      </c>
      <c r="P159" t="s">
        <v>68</v>
      </c>
      <c r="Q159" t="str">
        <f>VLOOKUP(A159,Cleaned_Seller_Master!$A:$H,2,FALSE)</f>
        <v>Blue Source 062</v>
      </c>
      <c r="R159" t="str">
        <f>VLOOKUP(A159,Cleaned_Seller_Master!$A:$H,4,FALSE)</f>
        <v>Electronics</v>
      </c>
      <c r="S159" t="str">
        <f>VLOOKUP(A159,Cleaned_Seller_Master!$A:$H,5,FALSE)</f>
        <v>South</v>
      </c>
      <c r="T159" t="str">
        <f>VLOOKUP(A159,Cleaned_Seller_Master!$A:$H,8,FALSE)</f>
        <v>Standard</v>
      </c>
      <c r="U159" t="str">
        <f>VLOOKUP(A159,Cleaned_Seller_Master!$A:$H,7,FALSE)</f>
        <v>20-10-2024</v>
      </c>
      <c r="V159">
        <f>IFERROR(INDEX(Violation_Summary_Seller_Year!$C:$C,MATCH(AD159,Violation_Summary_Seller_Year!$K:$K,0)),0)</f>
        <v>5</v>
      </c>
      <c r="W159">
        <f>IFERROR(INDEX(Violation_Summary_Seller_Year!$D:$D,MATCH(AD159,Violation_Summary_Seller_Year!$K:$K,0)),0)</f>
        <v>8260.14</v>
      </c>
      <c r="X159">
        <f>IFERROR(INDEX(Violation_Summary_Seller_Year!$E:$E,MATCH(AD159,Violation_Summary_Seller_Year!$K:$K,0)),0)</f>
        <v>0</v>
      </c>
      <c r="Y159">
        <f>IFERROR(INDEX(Violation_Summary_Seller_Year!$F:$F,MATCH(AD159,Violation_Summary_Seller_Year!$K:$K,0)),0)</f>
        <v>4</v>
      </c>
      <c r="Z159">
        <f>IFERROR(INDEX(Violation_Summary_Seller_Year!$G:$G,MATCH(AD159,Violation_Summary_Seller_Year!$K:$K,0)),0)</f>
        <v>1</v>
      </c>
      <c r="AA159">
        <f>IFERROR(INDEX(Violation_Summary_Seller_Year!$H:$H,MATCH(AD159,Violation_Summary_Seller_Year!$K:$K,0)),0)</f>
        <v>2</v>
      </c>
      <c r="AB159">
        <f>IFERROR(INDEX(Violation_Summary_Seller_Year!$I:$I,MATCH(AD159,Violation_Summary_Seller_Year!$K:$K,0)),0)</f>
        <v>2</v>
      </c>
      <c r="AC159">
        <f>IFERROR(INDEX(Violation_Summary_Seller_Year!$J:$J,MATCH(AD159,Violation_Summary_Seller_Year!$K:$K,0)),0)</f>
        <v>28</v>
      </c>
      <c r="AD159" t="str">
        <f t="shared" si="16"/>
        <v>62_2022</v>
      </c>
      <c r="AE159">
        <f t="shared" si="17"/>
        <v>1</v>
      </c>
      <c r="AF159">
        <f t="shared" si="18"/>
        <v>2</v>
      </c>
      <c r="AG159">
        <f t="shared" si="19"/>
        <v>2</v>
      </c>
      <c r="AH159">
        <f t="shared" si="20"/>
        <v>0</v>
      </c>
      <c r="AI159">
        <f t="shared" si="21"/>
        <v>1</v>
      </c>
      <c r="AJ159">
        <f t="shared" si="22"/>
        <v>125</v>
      </c>
      <c r="AK159" t="str">
        <f t="shared" si="23"/>
        <v>High</v>
      </c>
    </row>
    <row r="160" spans="1:37" x14ac:dyDescent="0.3">
      <c r="A160">
        <v>63</v>
      </c>
      <c r="B160">
        <v>2022</v>
      </c>
      <c r="C160">
        <v>475</v>
      </c>
      <c r="D160">
        <v>22</v>
      </c>
      <c r="E160">
        <v>16</v>
      </c>
      <c r="F160">
        <v>1287.06</v>
      </c>
      <c r="G160">
        <v>3.3683999999999999E-2</v>
      </c>
      <c r="H160">
        <v>21</v>
      </c>
      <c r="I160">
        <v>21</v>
      </c>
      <c r="J160">
        <v>4</v>
      </c>
      <c r="K160">
        <v>5</v>
      </c>
      <c r="L160">
        <v>1</v>
      </c>
      <c r="M160">
        <v>3</v>
      </c>
      <c r="N160">
        <v>4</v>
      </c>
      <c r="O160">
        <v>1</v>
      </c>
      <c r="P160" t="s">
        <v>85</v>
      </c>
      <c r="Q160" t="str">
        <f>VLOOKUP(A160,Cleaned_Seller_Master!$A:$H,2,FALSE)</f>
        <v>Vertex Supply 063</v>
      </c>
      <c r="R160" t="str">
        <f>VLOOKUP(A160,Cleaned_Seller_Master!$A:$H,4,FALSE)</f>
        <v>Home</v>
      </c>
      <c r="S160" t="str">
        <f>VLOOKUP(A160,Cleaned_Seller_Master!$A:$H,5,FALSE)</f>
        <v>East</v>
      </c>
      <c r="T160" t="str">
        <f>VLOOKUP(A160,Cleaned_Seller_Master!$A:$H,8,FALSE)</f>
        <v>Standard</v>
      </c>
      <c r="U160" t="str">
        <f>VLOOKUP(A160,Cleaned_Seller_Master!$A:$H,7,FALSE)</f>
        <v>24-10-2018</v>
      </c>
      <c r="V160">
        <f>IFERROR(INDEX(Violation_Summary_Seller_Year!$C:$C,MATCH(AD160,Violation_Summary_Seller_Year!$K:$K,0)),0)</f>
        <v>2</v>
      </c>
      <c r="W160">
        <f>IFERROR(INDEX(Violation_Summary_Seller_Year!$D:$D,MATCH(AD160,Violation_Summary_Seller_Year!$K:$K,0)),0)</f>
        <v>9532.2999999999993</v>
      </c>
      <c r="X160">
        <f>IFERROR(INDEX(Violation_Summary_Seller_Year!$E:$E,MATCH(AD160,Violation_Summary_Seller_Year!$K:$K,0)),0)</f>
        <v>2</v>
      </c>
      <c r="Y160">
        <f>IFERROR(INDEX(Violation_Summary_Seller_Year!$F:$F,MATCH(AD160,Violation_Summary_Seller_Year!$K:$K,0)),0)</f>
        <v>1</v>
      </c>
      <c r="Z160">
        <f>IFERROR(INDEX(Violation_Summary_Seller_Year!$G:$G,MATCH(AD160,Violation_Summary_Seller_Year!$K:$K,0)),0)</f>
        <v>1</v>
      </c>
      <c r="AA160">
        <f>IFERROR(INDEX(Violation_Summary_Seller_Year!$H:$H,MATCH(AD160,Violation_Summary_Seller_Year!$K:$K,0)),0)</f>
        <v>2</v>
      </c>
      <c r="AB160">
        <f>IFERROR(INDEX(Violation_Summary_Seller_Year!$I:$I,MATCH(AD160,Violation_Summary_Seller_Year!$K:$K,0)),0)</f>
        <v>2</v>
      </c>
      <c r="AC160">
        <f>IFERROR(INDEX(Violation_Summary_Seller_Year!$J:$J,MATCH(AD160,Violation_Summary_Seller_Year!$K:$K,0)),0)</f>
        <v>22</v>
      </c>
      <c r="AD160" t="str">
        <f t="shared" si="16"/>
        <v>63_2022</v>
      </c>
      <c r="AE160">
        <f t="shared" si="17"/>
        <v>0</v>
      </c>
      <c r="AF160">
        <f t="shared" si="18"/>
        <v>2</v>
      </c>
      <c r="AG160">
        <f t="shared" si="19"/>
        <v>2</v>
      </c>
      <c r="AH160">
        <f t="shared" si="20"/>
        <v>2</v>
      </c>
      <c r="AI160">
        <f t="shared" si="21"/>
        <v>2</v>
      </c>
      <c r="AJ160">
        <f t="shared" si="22"/>
        <v>150</v>
      </c>
      <c r="AK160" t="str">
        <f t="shared" si="23"/>
        <v>High</v>
      </c>
    </row>
    <row r="161" spans="1:37" x14ac:dyDescent="0.3">
      <c r="A161">
        <v>64</v>
      </c>
      <c r="B161">
        <v>2022</v>
      </c>
      <c r="C161">
        <v>808</v>
      </c>
      <c r="D161">
        <v>45</v>
      </c>
      <c r="E161">
        <v>33</v>
      </c>
      <c r="F161">
        <v>2594.04</v>
      </c>
      <c r="G161">
        <v>4.0842000000000003E-2</v>
      </c>
      <c r="H161">
        <v>11</v>
      </c>
      <c r="I161">
        <v>19</v>
      </c>
      <c r="J161">
        <v>7</v>
      </c>
      <c r="K161">
        <v>5</v>
      </c>
      <c r="L161">
        <v>0</v>
      </c>
      <c r="M161">
        <v>1</v>
      </c>
      <c r="N161">
        <v>3</v>
      </c>
      <c r="O161">
        <v>2</v>
      </c>
      <c r="P161" t="s">
        <v>175</v>
      </c>
      <c r="Q161" t="str">
        <f>VLOOKUP(A161,Cleaned_Seller_Master!$A:$H,2,FALSE)</f>
        <v>Zen Mart 064</v>
      </c>
      <c r="R161" t="str">
        <f>VLOOKUP(A161,Cleaned_Seller_Master!$A:$H,4,FALSE)</f>
        <v>Groceries</v>
      </c>
      <c r="S161" t="str">
        <f>VLOOKUP(A161,Cleaned_Seller_Master!$A:$H,5,FALSE)</f>
        <v>North</v>
      </c>
      <c r="T161" t="str">
        <f>VLOOKUP(A161,Cleaned_Seller_Master!$A:$H,8,FALSE)</f>
        <v>Verified</v>
      </c>
      <c r="U161" t="str">
        <f>VLOOKUP(A161,Cleaned_Seller_Master!$A:$H,7,FALSE)</f>
        <v>15-07-2017</v>
      </c>
      <c r="V161">
        <f>IFERROR(INDEX(Violation_Summary_Seller_Year!$C:$C,MATCH(AD161,Violation_Summary_Seller_Year!$K:$K,0)),0)</f>
        <v>2</v>
      </c>
      <c r="W161">
        <f>IFERROR(INDEX(Violation_Summary_Seller_Year!$D:$D,MATCH(AD161,Violation_Summary_Seller_Year!$K:$K,0)),0)</f>
        <v>913.83999999999992</v>
      </c>
      <c r="X161">
        <f>IFERROR(INDEX(Violation_Summary_Seller_Year!$E:$E,MATCH(AD161,Violation_Summary_Seller_Year!$K:$K,0)),0)</f>
        <v>0</v>
      </c>
      <c r="Y161">
        <f>IFERROR(INDEX(Violation_Summary_Seller_Year!$F:$F,MATCH(AD161,Violation_Summary_Seller_Year!$K:$K,0)),0)</f>
        <v>1</v>
      </c>
      <c r="Z161">
        <f>IFERROR(INDEX(Violation_Summary_Seller_Year!$G:$G,MATCH(AD161,Violation_Summary_Seller_Year!$K:$K,0)),0)</f>
        <v>1</v>
      </c>
      <c r="AA161">
        <f>IFERROR(INDEX(Violation_Summary_Seller_Year!$H:$H,MATCH(AD161,Violation_Summary_Seller_Year!$K:$K,0)),0)</f>
        <v>0</v>
      </c>
      <c r="AB161">
        <f>IFERROR(INDEX(Violation_Summary_Seller_Year!$I:$I,MATCH(AD161,Violation_Summary_Seller_Year!$K:$K,0)),0)</f>
        <v>1</v>
      </c>
      <c r="AC161">
        <f>IFERROR(INDEX(Violation_Summary_Seller_Year!$J:$J,MATCH(AD161,Violation_Summary_Seller_Year!$K:$K,0)),0)</f>
        <v>21</v>
      </c>
      <c r="AD161" t="str">
        <f t="shared" si="16"/>
        <v>64_2022</v>
      </c>
      <c r="AE161">
        <f t="shared" si="17"/>
        <v>0</v>
      </c>
      <c r="AF161">
        <f t="shared" si="18"/>
        <v>2</v>
      </c>
      <c r="AG161">
        <f t="shared" si="19"/>
        <v>1</v>
      </c>
      <c r="AH161">
        <f t="shared" si="20"/>
        <v>0</v>
      </c>
      <c r="AI161">
        <f t="shared" si="21"/>
        <v>1</v>
      </c>
      <c r="AJ161">
        <f t="shared" si="22"/>
        <v>80</v>
      </c>
      <c r="AK161" t="str">
        <f t="shared" si="23"/>
        <v>Medium</v>
      </c>
    </row>
    <row r="162" spans="1:37" x14ac:dyDescent="0.3">
      <c r="A162">
        <v>65</v>
      </c>
      <c r="B162">
        <v>2022</v>
      </c>
      <c r="C162">
        <v>316</v>
      </c>
      <c r="D162">
        <v>27</v>
      </c>
      <c r="E162">
        <v>24</v>
      </c>
      <c r="F162">
        <v>1172.9100000000001</v>
      </c>
      <c r="G162">
        <v>7.5949000000000003E-2</v>
      </c>
      <c r="H162">
        <v>14</v>
      </c>
      <c r="I162">
        <v>17</v>
      </c>
      <c r="J162">
        <v>6</v>
      </c>
      <c r="K162">
        <v>6</v>
      </c>
      <c r="L162">
        <v>0</v>
      </c>
      <c r="M162">
        <v>1</v>
      </c>
      <c r="N162">
        <v>3</v>
      </c>
      <c r="O162">
        <v>1</v>
      </c>
      <c r="P162" t="s">
        <v>85</v>
      </c>
      <c r="Q162" t="str">
        <f>VLOOKUP(A162,Cleaned_Seller_Master!$A:$H,2,FALSE)</f>
        <v>True House 065</v>
      </c>
      <c r="R162" t="str">
        <f>VLOOKUP(A162,Cleaned_Seller_Master!$A:$H,4,FALSE)</f>
        <v>Electronics</v>
      </c>
      <c r="S162" t="str">
        <f>VLOOKUP(A162,Cleaned_Seller_Master!$A:$H,5,FALSE)</f>
        <v>South</v>
      </c>
      <c r="T162" t="str">
        <f>VLOOKUP(A162,Cleaned_Seller_Master!$A:$H,8,FALSE)</f>
        <v>Verified</v>
      </c>
      <c r="U162" t="str">
        <f>VLOOKUP(A162,Cleaned_Seller_Master!$A:$H,7,FALSE)</f>
        <v>04-07-2021</v>
      </c>
      <c r="V162">
        <f>IFERROR(INDEX(Violation_Summary_Seller_Year!$C:$C,MATCH(AD162,Violation_Summary_Seller_Year!$K:$K,0)),0)</f>
        <v>6</v>
      </c>
      <c r="W162">
        <f>IFERROR(INDEX(Violation_Summary_Seller_Year!$D:$D,MATCH(AD162,Violation_Summary_Seller_Year!$K:$K,0)),0)</f>
        <v>14920.070000000002</v>
      </c>
      <c r="X162">
        <f>IFERROR(INDEX(Violation_Summary_Seller_Year!$E:$E,MATCH(AD162,Violation_Summary_Seller_Year!$K:$K,0)),0)</f>
        <v>0</v>
      </c>
      <c r="Y162">
        <f>IFERROR(INDEX(Violation_Summary_Seller_Year!$F:$F,MATCH(AD162,Violation_Summary_Seller_Year!$K:$K,0)),0)</f>
        <v>5</v>
      </c>
      <c r="Z162">
        <f>IFERROR(INDEX(Violation_Summary_Seller_Year!$G:$G,MATCH(AD162,Violation_Summary_Seller_Year!$K:$K,0)),0)</f>
        <v>1</v>
      </c>
      <c r="AA162">
        <f>IFERROR(INDEX(Violation_Summary_Seller_Year!$H:$H,MATCH(AD162,Violation_Summary_Seller_Year!$K:$K,0)),0)</f>
        <v>2</v>
      </c>
      <c r="AB162">
        <f>IFERROR(INDEX(Violation_Summary_Seller_Year!$I:$I,MATCH(AD162,Violation_Summary_Seller_Year!$K:$K,0)),0)</f>
        <v>0</v>
      </c>
      <c r="AC162">
        <f>IFERROR(INDEX(Violation_Summary_Seller_Year!$J:$J,MATCH(AD162,Violation_Summary_Seller_Year!$K:$K,0)),0)</f>
        <v>70</v>
      </c>
      <c r="AD162" t="str">
        <f t="shared" si="16"/>
        <v>65_2022</v>
      </c>
      <c r="AE162">
        <f t="shared" si="17"/>
        <v>1</v>
      </c>
      <c r="AF162">
        <f t="shared" si="18"/>
        <v>2</v>
      </c>
      <c r="AG162">
        <f t="shared" si="19"/>
        <v>2</v>
      </c>
      <c r="AH162">
        <f t="shared" si="20"/>
        <v>0</v>
      </c>
      <c r="AI162">
        <f t="shared" si="21"/>
        <v>2</v>
      </c>
      <c r="AJ162">
        <f t="shared" si="22"/>
        <v>135</v>
      </c>
      <c r="AK162" t="str">
        <f t="shared" si="23"/>
        <v>High</v>
      </c>
    </row>
    <row r="163" spans="1:37" x14ac:dyDescent="0.3">
      <c r="A163">
        <v>67</v>
      </c>
      <c r="B163">
        <v>2022</v>
      </c>
      <c r="C163">
        <v>1529</v>
      </c>
      <c r="D163">
        <v>101</v>
      </c>
      <c r="E163">
        <v>93</v>
      </c>
      <c r="F163">
        <v>7685.2</v>
      </c>
      <c r="G163">
        <v>6.0824000000000003E-2</v>
      </c>
      <c r="H163">
        <v>29</v>
      </c>
      <c r="I163">
        <v>34</v>
      </c>
      <c r="J163">
        <v>15</v>
      </c>
      <c r="K163">
        <v>14</v>
      </c>
      <c r="L163">
        <v>0</v>
      </c>
      <c r="M163">
        <v>4</v>
      </c>
      <c r="N163">
        <v>6</v>
      </c>
      <c r="O163">
        <v>3</v>
      </c>
      <c r="P163" t="s">
        <v>175</v>
      </c>
      <c r="Q163" t="str">
        <f>VLOOKUP(A163,Cleaned_Seller_Master!$A:$H,2,FALSE)</f>
        <v>Urban Works 067</v>
      </c>
      <c r="R163" t="str">
        <f>VLOOKUP(A163,Cleaned_Seller_Master!$A:$H,4,FALSE)</f>
        <v>Groceries</v>
      </c>
      <c r="S163" t="str">
        <f>VLOOKUP(A163,Cleaned_Seller_Master!$A:$H,5,FALSE)</f>
        <v>North</v>
      </c>
      <c r="T163" t="str">
        <f>VLOOKUP(A163,Cleaned_Seller_Master!$A:$H,8,FALSE)</f>
        <v>Verified</v>
      </c>
      <c r="U163" t="str">
        <f>VLOOKUP(A163,Cleaned_Seller_Master!$A:$H,7,FALSE)</f>
        <v>09-10-2022</v>
      </c>
      <c r="V163">
        <f>IFERROR(INDEX(Violation_Summary_Seller_Year!$C:$C,MATCH(AD163,Violation_Summary_Seller_Year!$K:$K,0)),0)</f>
        <v>1</v>
      </c>
      <c r="W163">
        <f>IFERROR(INDEX(Violation_Summary_Seller_Year!$D:$D,MATCH(AD163,Violation_Summary_Seller_Year!$K:$K,0)),0)</f>
        <v>321.66000000000003</v>
      </c>
      <c r="X163">
        <f>IFERROR(INDEX(Violation_Summary_Seller_Year!$E:$E,MATCH(AD163,Violation_Summary_Seller_Year!$K:$K,0)),0)</f>
        <v>0</v>
      </c>
      <c r="Y163">
        <f>IFERROR(INDEX(Violation_Summary_Seller_Year!$F:$F,MATCH(AD163,Violation_Summary_Seller_Year!$K:$K,0)),0)</f>
        <v>1</v>
      </c>
      <c r="Z163">
        <f>IFERROR(INDEX(Violation_Summary_Seller_Year!$G:$G,MATCH(AD163,Violation_Summary_Seller_Year!$K:$K,0)),0)</f>
        <v>0</v>
      </c>
      <c r="AA163">
        <f>IFERROR(INDEX(Violation_Summary_Seller_Year!$H:$H,MATCH(AD163,Violation_Summary_Seller_Year!$K:$K,0)),0)</f>
        <v>0</v>
      </c>
      <c r="AB163">
        <f>IFERROR(INDEX(Violation_Summary_Seller_Year!$I:$I,MATCH(AD163,Violation_Summary_Seller_Year!$K:$K,0)),0)</f>
        <v>0</v>
      </c>
      <c r="AC163">
        <f>IFERROR(INDEX(Violation_Summary_Seller_Year!$J:$J,MATCH(AD163,Violation_Summary_Seller_Year!$K:$K,0)),0)</f>
        <v>9</v>
      </c>
      <c r="AD163" t="str">
        <f t="shared" si="16"/>
        <v>67_2022</v>
      </c>
      <c r="AE163">
        <f t="shared" si="17"/>
        <v>1</v>
      </c>
      <c r="AF163">
        <f t="shared" si="18"/>
        <v>2</v>
      </c>
      <c r="AG163">
        <f t="shared" si="19"/>
        <v>0</v>
      </c>
      <c r="AH163">
        <f t="shared" si="20"/>
        <v>0</v>
      </c>
      <c r="AI163">
        <f t="shared" si="21"/>
        <v>1</v>
      </c>
      <c r="AJ163">
        <f t="shared" si="22"/>
        <v>85</v>
      </c>
      <c r="AK163" t="str">
        <f t="shared" si="23"/>
        <v>Medium</v>
      </c>
    </row>
    <row r="164" spans="1:37" x14ac:dyDescent="0.3">
      <c r="A164">
        <v>68</v>
      </c>
      <c r="B164">
        <v>2022</v>
      </c>
      <c r="C164">
        <v>425</v>
      </c>
      <c r="D164">
        <v>42</v>
      </c>
      <c r="E164">
        <v>34</v>
      </c>
      <c r="F164">
        <v>3950.64</v>
      </c>
      <c r="G164">
        <v>0.08</v>
      </c>
      <c r="H164">
        <v>15</v>
      </c>
      <c r="I164">
        <v>19</v>
      </c>
      <c r="J164">
        <v>7</v>
      </c>
      <c r="K164">
        <v>6</v>
      </c>
      <c r="L164">
        <v>1</v>
      </c>
      <c r="M164">
        <v>5</v>
      </c>
      <c r="N164">
        <v>3</v>
      </c>
      <c r="O164">
        <v>1</v>
      </c>
      <c r="P164" t="s">
        <v>85</v>
      </c>
      <c r="Q164" t="str">
        <f>VLOOKUP(A164,Cleaned_Seller_Master!$A:$H,2,FALSE)</f>
        <v>Bright Nest 068</v>
      </c>
      <c r="R164" t="str">
        <f>VLOOKUP(A164,Cleaned_Seller_Master!$A:$H,4,FALSE)</f>
        <v>Fashion</v>
      </c>
      <c r="S164" t="str">
        <f>VLOOKUP(A164,Cleaned_Seller_Master!$A:$H,5,FALSE)</f>
        <v>Southeast Asia</v>
      </c>
      <c r="T164" t="str">
        <f>VLOOKUP(A164,Cleaned_Seller_Master!$A:$H,8,FALSE)</f>
        <v>Premium</v>
      </c>
      <c r="U164" t="str">
        <f>VLOOKUP(A164,Cleaned_Seller_Master!$A:$H,7,FALSE)</f>
        <v>17-08-2020</v>
      </c>
      <c r="V164">
        <f>IFERROR(INDEX(Violation_Summary_Seller_Year!$C:$C,MATCH(AD164,Violation_Summary_Seller_Year!$K:$K,0)),0)</f>
        <v>5</v>
      </c>
      <c r="W164">
        <f>IFERROR(INDEX(Violation_Summary_Seller_Year!$D:$D,MATCH(AD164,Violation_Summary_Seller_Year!$K:$K,0)),0)</f>
        <v>10647.91</v>
      </c>
      <c r="X164">
        <f>IFERROR(INDEX(Violation_Summary_Seller_Year!$E:$E,MATCH(AD164,Violation_Summary_Seller_Year!$K:$K,0)),0)</f>
        <v>2</v>
      </c>
      <c r="Y164">
        <f>IFERROR(INDEX(Violation_Summary_Seller_Year!$F:$F,MATCH(AD164,Violation_Summary_Seller_Year!$K:$K,0)),0)</f>
        <v>4</v>
      </c>
      <c r="Z164">
        <f>IFERROR(INDEX(Violation_Summary_Seller_Year!$G:$G,MATCH(AD164,Violation_Summary_Seller_Year!$K:$K,0)),0)</f>
        <v>1</v>
      </c>
      <c r="AA164">
        <f>IFERROR(INDEX(Violation_Summary_Seller_Year!$H:$H,MATCH(AD164,Violation_Summary_Seller_Year!$K:$K,0)),0)</f>
        <v>4</v>
      </c>
      <c r="AB164">
        <f>IFERROR(INDEX(Violation_Summary_Seller_Year!$I:$I,MATCH(AD164,Violation_Summary_Seller_Year!$K:$K,0)),0)</f>
        <v>3</v>
      </c>
      <c r="AC164">
        <f>IFERROR(INDEX(Violation_Summary_Seller_Year!$J:$J,MATCH(AD164,Violation_Summary_Seller_Year!$K:$K,0)),0)</f>
        <v>37</v>
      </c>
      <c r="AD164" t="str">
        <f t="shared" si="16"/>
        <v>68_2022</v>
      </c>
      <c r="AE164">
        <f t="shared" si="17"/>
        <v>1</v>
      </c>
      <c r="AF164">
        <f t="shared" si="18"/>
        <v>2</v>
      </c>
      <c r="AG164">
        <f t="shared" si="19"/>
        <v>2</v>
      </c>
      <c r="AH164">
        <f t="shared" si="20"/>
        <v>2</v>
      </c>
      <c r="AI164">
        <f t="shared" si="21"/>
        <v>2</v>
      </c>
      <c r="AJ164">
        <f t="shared" si="22"/>
        <v>175</v>
      </c>
      <c r="AK164" t="str">
        <f t="shared" si="23"/>
        <v>High</v>
      </c>
    </row>
    <row r="165" spans="1:37" x14ac:dyDescent="0.3">
      <c r="A165">
        <v>69</v>
      </c>
      <c r="B165">
        <v>2022</v>
      </c>
      <c r="C165">
        <v>885</v>
      </c>
      <c r="D165">
        <v>55</v>
      </c>
      <c r="E165">
        <v>44</v>
      </c>
      <c r="F165">
        <v>3699.24</v>
      </c>
      <c r="G165">
        <v>4.9717999999999998E-2</v>
      </c>
      <c r="H165">
        <v>16</v>
      </c>
      <c r="I165">
        <v>26</v>
      </c>
      <c r="J165">
        <v>8</v>
      </c>
      <c r="K165">
        <v>5</v>
      </c>
      <c r="L165">
        <v>1</v>
      </c>
      <c r="M165">
        <v>3</v>
      </c>
      <c r="N165">
        <v>3</v>
      </c>
      <c r="O165">
        <v>3</v>
      </c>
      <c r="P165" t="s">
        <v>85</v>
      </c>
      <c r="Q165" t="str">
        <f>VLOOKUP(A165,Cleaned_Seller_Master!$A:$H,2,FALSE)</f>
        <v>Golden Hub 069</v>
      </c>
      <c r="R165" t="str">
        <f>VLOOKUP(A165,Cleaned_Seller_Master!$A:$H,4,FALSE)</f>
        <v>Electronics</v>
      </c>
      <c r="S165" t="str">
        <f>VLOOKUP(A165,Cleaned_Seller_Master!$A:$H,5,FALSE)</f>
        <v>West</v>
      </c>
      <c r="T165" t="str">
        <f>VLOOKUP(A165,Cleaned_Seller_Master!$A:$H,8,FALSE)</f>
        <v>Verified</v>
      </c>
      <c r="U165" t="str">
        <f>VLOOKUP(A165,Cleaned_Seller_Master!$A:$H,7,FALSE)</f>
        <v>11-06-2024</v>
      </c>
      <c r="V165">
        <f>IFERROR(INDEX(Violation_Summary_Seller_Year!$C:$C,MATCH(AD165,Violation_Summary_Seller_Year!$K:$K,0)),0)</f>
        <v>3</v>
      </c>
      <c r="W165">
        <f>IFERROR(INDEX(Violation_Summary_Seller_Year!$D:$D,MATCH(AD165,Violation_Summary_Seller_Year!$K:$K,0)),0)</f>
        <v>9082</v>
      </c>
      <c r="X165">
        <f>IFERROR(INDEX(Violation_Summary_Seller_Year!$E:$E,MATCH(AD165,Violation_Summary_Seller_Year!$K:$K,0)),0)</f>
        <v>2</v>
      </c>
      <c r="Y165">
        <f>IFERROR(INDEX(Violation_Summary_Seller_Year!$F:$F,MATCH(AD165,Violation_Summary_Seller_Year!$K:$K,0)),0)</f>
        <v>1</v>
      </c>
      <c r="Z165">
        <f>IFERROR(INDEX(Violation_Summary_Seller_Year!$G:$G,MATCH(AD165,Violation_Summary_Seller_Year!$K:$K,0)),0)</f>
        <v>2</v>
      </c>
      <c r="AA165">
        <f>IFERROR(INDEX(Violation_Summary_Seller_Year!$H:$H,MATCH(AD165,Violation_Summary_Seller_Year!$K:$K,0)),0)</f>
        <v>2</v>
      </c>
      <c r="AB165">
        <f>IFERROR(INDEX(Violation_Summary_Seller_Year!$I:$I,MATCH(AD165,Violation_Summary_Seller_Year!$K:$K,0)),0)</f>
        <v>0</v>
      </c>
      <c r="AC165">
        <f>IFERROR(INDEX(Violation_Summary_Seller_Year!$J:$J,MATCH(AD165,Violation_Summary_Seller_Year!$K:$K,0)),0)</f>
        <v>20</v>
      </c>
      <c r="AD165" t="str">
        <f t="shared" si="16"/>
        <v>69_2022</v>
      </c>
      <c r="AE165">
        <f t="shared" si="17"/>
        <v>0</v>
      </c>
      <c r="AF165">
        <f t="shared" si="18"/>
        <v>2</v>
      </c>
      <c r="AG165">
        <f t="shared" si="19"/>
        <v>2</v>
      </c>
      <c r="AH165">
        <f t="shared" si="20"/>
        <v>2</v>
      </c>
      <c r="AI165">
        <f t="shared" si="21"/>
        <v>2</v>
      </c>
      <c r="AJ165">
        <f t="shared" si="22"/>
        <v>150</v>
      </c>
      <c r="AK165" t="str">
        <f t="shared" si="23"/>
        <v>High</v>
      </c>
    </row>
    <row r="166" spans="1:37" x14ac:dyDescent="0.3">
      <c r="A166">
        <v>70</v>
      </c>
      <c r="B166">
        <v>2022</v>
      </c>
      <c r="C166">
        <v>515</v>
      </c>
      <c r="D166">
        <v>46</v>
      </c>
      <c r="E166">
        <v>34</v>
      </c>
      <c r="F166">
        <v>3051.92</v>
      </c>
      <c r="G166">
        <v>6.6018999999999994E-2</v>
      </c>
      <c r="H166">
        <v>25</v>
      </c>
      <c r="I166">
        <v>25</v>
      </c>
      <c r="J166">
        <v>6</v>
      </c>
      <c r="K166">
        <v>8</v>
      </c>
      <c r="L166">
        <v>1</v>
      </c>
      <c r="M166">
        <v>4</v>
      </c>
      <c r="N166">
        <v>4</v>
      </c>
      <c r="O166">
        <v>3</v>
      </c>
      <c r="P166" t="s">
        <v>85</v>
      </c>
      <c r="Q166" t="str">
        <f>VLOOKUP(A166,Cleaned_Seller_Master!$A:$H,2,FALSE)</f>
        <v>Ever Merchants 070</v>
      </c>
      <c r="R166" t="str">
        <f>VLOOKUP(A166,Cleaned_Seller_Master!$A:$H,4,FALSE)</f>
        <v>Groceries</v>
      </c>
      <c r="S166" t="str">
        <f>VLOOKUP(A166,Cleaned_Seller_Master!$A:$H,5,FALSE)</f>
        <v>North</v>
      </c>
      <c r="T166" t="str">
        <f>VLOOKUP(A166,Cleaned_Seller_Master!$A:$H,8,FALSE)</f>
        <v>Premium</v>
      </c>
      <c r="U166" t="str">
        <f>VLOOKUP(A166,Cleaned_Seller_Master!$A:$H,7,FALSE)</f>
        <v>09-06-2019</v>
      </c>
      <c r="V166">
        <f>IFERROR(INDEX(Violation_Summary_Seller_Year!$C:$C,MATCH(AD166,Violation_Summary_Seller_Year!$K:$K,0)),0)</f>
        <v>4</v>
      </c>
      <c r="W166">
        <f>IFERROR(INDEX(Violation_Summary_Seller_Year!$D:$D,MATCH(AD166,Violation_Summary_Seller_Year!$K:$K,0)),0)</f>
        <v>17368.759999999998</v>
      </c>
      <c r="X166">
        <f>IFERROR(INDEX(Violation_Summary_Seller_Year!$E:$E,MATCH(AD166,Violation_Summary_Seller_Year!$K:$K,0)),0)</f>
        <v>2</v>
      </c>
      <c r="Y166">
        <f>IFERROR(INDEX(Violation_Summary_Seller_Year!$F:$F,MATCH(AD166,Violation_Summary_Seller_Year!$K:$K,0)),0)</f>
        <v>2</v>
      </c>
      <c r="Z166">
        <f>IFERROR(INDEX(Violation_Summary_Seller_Year!$G:$G,MATCH(AD166,Violation_Summary_Seller_Year!$K:$K,0)),0)</f>
        <v>2</v>
      </c>
      <c r="AA166">
        <f>IFERROR(INDEX(Violation_Summary_Seller_Year!$H:$H,MATCH(AD166,Violation_Summary_Seller_Year!$K:$K,0)),0)</f>
        <v>3</v>
      </c>
      <c r="AB166">
        <f>IFERROR(INDEX(Violation_Summary_Seller_Year!$I:$I,MATCH(AD166,Violation_Summary_Seller_Year!$K:$K,0)),0)</f>
        <v>2</v>
      </c>
      <c r="AC166">
        <f>IFERROR(INDEX(Violation_Summary_Seller_Year!$J:$J,MATCH(AD166,Violation_Summary_Seller_Year!$K:$K,0)),0)</f>
        <v>28</v>
      </c>
      <c r="AD166" t="str">
        <f t="shared" si="16"/>
        <v>70_2022</v>
      </c>
      <c r="AE166">
        <f t="shared" si="17"/>
        <v>1</v>
      </c>
      <c r="AF166">
        <f t="shared" si="18"/>
        <v>2</v>
      </c>
      <c r="AG166">
        <f t="shared" si="19"/>
        <v>2</v>
      </c>
      <c r="AH166">
        <f t="shared" si="20"/>
        <v>2</v>
      </c>
      <c r="AI166">
        <f t="shared" si="21"/>
        <v>2</v>
      </c>
      <c r="AJ166">
        <f t="shared" si="22"/>
        <v>175</v>
      </c>
      <c r="AK166" t="str">
        <f t="shared" si="23"/>
        <v>High</v>
      </c>
    </row>
    <row r="167" spans="1:37" x14ac:dyDescent="0.3">
      <c r="A167">
        <v>71</v>
      </c>
      <c r="B167">
        <v>2022</v>
      </c>
      <c r="C167">
        <v>1023</v>
      </c>
      <c r="D167">
        <v>96</v>
      </c>
      <c r="E167">
        <v>83</v>
      </c>
      <c r="F167">
        <v>7574.29</v>
      </c>
      <c r="G167">
        <v>8.1133999999999998E-2</v>
      </c>
      <c r="H167">
        <v>31</v>
      </c>
      <c r="I167">
        <v>34</v>
      </c>
      <c r="J167">
        <v>17</v>
      </c>
      <c r="K167">
        <v>12</v>
      </c>
      <c r="L167">
        <v>1</v>
      </c>
      <c r="M167">
        <v>3</v>
      </c>
      <c r="N167">
        <v>8</v>
      </c>
      <c r="O167">
        <v>6</v>
      </c>
      <c r="P167" t="s">
        <v>85</v>
      </c>
      <c r="Q167" t="str">
        <f>VLOOKUP(A167,Cleaned_Seller_Master!$A:$H,2,FALSE)</f>
        <v>Orbit Square 071</v>
      </c>
      <c r="R167" t="str">
        <f>VLOOKUP(A167,Cleaned_Seller_Master!$A:$H,4,FALSE)</f>
        <v>Groceries</v>
      </c>
      <c r="S167" t="str">
        <f>VLOOKUP(A167,Cleaned_Seller_Master!$A:$H,5,FALSE)</f>
        <v>West</v>
      </c>
      <c r="T167" t="str">
        <f>VLOOKUP(A167,Cleaned_Seller_Master!$A:$H,8,FALSE)</f>
        <v>Premium</v>
      </c>
      <c r="U167" t="str">
        <f>VLOOKUP(A167,Cleaned_Seller_Master!$A:$H,7,FALSE)</f>
        <v>17-04-2017</v>
      </c>
      <c r="V167">
        <f>IFERROR(INDEX(Violation_Summary_Seller_Year!$C:$C,MATCH(AD167,Violation_Summary_Seller_Year!$K:$K,0)),0)</f>
        <v>3</v>
      </c>
      <c r="W167">
        <f>IFERROR(INDEX(Violation_Summary_Seller_Year!$D:$D,MATCH(AD167,Violation_Summary_Seller_Year!$K:$K,0)),0)</f>
        <v>6735.92</v>
      </c>
      <c r="X167">
        <f>IFERROR(INDEX(Violation_Summary_Seller_Year!$E:$E,MATCH(AD167,Violation_Summary_Seller_Year!$K:$K,0)),0)</f>
        <v>1</v>
      </c>
      <c r="Y167">
        <f>IFERROR(INDEX(Violation_Summary_Seller_Year!$F:$F,MATCH(AD167,Violation_Summary_Seller_Year!$K:$K,0)),0)</f>
        <v>2</v>
      </c>
      <c r="Z167">
        <f>IFERROR(INDEX(Violation_Summary_Seller_Year!$G:$G,MATCH(AD167,Violation_Summary_Seller_Year!$K:$K,0)),0)</f>
        <v>1</v>
      </c>
      <c r="AA167">
        <f>IFERROR(INDEX(Violation_Summary_Seller_Year!$H:$H,MATCH(AD167,Violation_Summary_Seller_Year!$K:$K,0)),0)</f>
        <v>2</v>
      </c>
      <c r="AB167">
        <f>IFERROR(INDEX(Violation_Summary_Seller_Year!$I:$I,MATCH(AD167,Violation_Summary_Seller_Year!$K:$K,0)),0)</f>
        <v>1</v>
      </c>
      <c r="AC167">
        <f>IFERROR(INDEX(Violation_Summary_Seller_Year!$J:$J,MATCH(AD167,Violation_Summary_Seller_Year!$K:$K,0)),0)</f>
        <v>21</v>
      </c>
      <c r="AD167" t="str">
        <f t="shared" si="16"/>
        <v>71_2022</v>
      </c>
      <c r="AE167">
        <f t="shared" si="17"/>
        <v>1</v>
      </c>
      <c r="AF167">
        <f t="shared" si="18"/>
        <v>2</v>
      </c>
      <c r="AG167">
        <f t="shared" si="19"/>
        <v>2</v>
      </c>
      <c r="AH167">
        <f t="shared" si="20"/>
        <v>2</v>
      </c>
      <c r="AI167">
        <f t="shared" si="21"/>
        <v>2</v>
      </c>
      <c r="AJ167">
        <f t="shared" si="22"/>
        <v>175</v>
      </c>
      <c r="AK167" t="str">
        <f t="shared" si="23"/>
        <v>High</v>
      </c>
    </row>
    <row r="168" spans="1:37" x14ac:dyDescent="0.3">
      <c r="A168">
        <v>72</v>
      </c>
      <c r="B168">
        <v>2022</v>
      </c>
      <c r="C168">
        <v>694</v>
      </c>
      <c r="D168">
        <v>54</v>
      </c>
      <c r="E168">
        <v>41</v>
      </c>
      <c r="F168">
        <v>3658.48</v>
      </c>
      <c r="G168">
        <v>5.9077999999999999E-2</v>
      </c>
      <c r="H168">
        <v>13</v>
      </c>
      <c r="I168">
        <v>24</v>
      </c>
      <c r="J168">
        <v>9</v>
      </c>
      <c r="K168">
        <v>6</v>
      </c>
      <c r="L168">
        <v>1</v>
      </c>
      <c r="M168">
        <v>4</v>
      </c>
      <c r="N168">
        <v>3</v>
      </c>
      <c r="O168">
        <v>5</v>
      </c>
      <c r="P168" t="s">
        <v>85</v>
      </c>
      <c r="Q168" t="str">
        <f>VLOOKUP(A168,Cleaned_Seller_Master!$A:$H,2,FALSE)</f>
        <v>Pulse Commerce 072</v>
      </c>
      <c r="R168" t="str">
        <f>VLOOKUP(A168,Cleaned_Seller_Master!$A:$H,4,FALSE)</f>
        <v>Fashion</v>
      </c>
      <c r="S168" t="str">
        <f>VLOOKUP(A168,Cleaned_Seller_Master!$A:$H,5,FALSE)</f>
        <v>West</v>
      </c>
      <c r="T168" t="str">
        <f>VLOOKUP(A168,Cleaned_Seller_Master!$A:$H,8,FALSE)</f>
        <v>Premium</v>
      </c>
      <c r="U168" t="str">
        <f>VLOOKUP(A168,Cleaned_Seller_Master!$A:$H,7,FALSE)</f>
        <v>21-01-2018</v>
      </c>
      <c r="V168">
        <f>IFERROR(INDEX(Violation_Summary_Seller_Year!$C:$C,MATCH(AD168,Violation_Summary_Seller_Year!$K:$K,0)),0)</f>
        <v>4</v>
      </c>
      <c r="W168">
        <f>IFERROR(INDEX(Violation_Summary_Seller_Year!$D:$D,MATCH(AD168,Violation_Summary_Seller_Year!$K:$K,0)),0)</f>
        <v>5621.26</v>
      </c>
      <c r="X168">
        <f>IFERROR(INDEX(Violation_Summary_Seller_Year!$E:$E,MATCH(AD168,Violation_Summary_Seller_Year!$K:$K,0)),0)</f>
        <v>2</v>
      </c>
      <c r="Y168">
        <f>IFERROR(INDEX(Violation_Summary_Seller_Year!$F:$F,MATCH(AD168,Violation_Summary_Seller_Year!$K:$K,0)),0)</f>
        <v>4</v>
      </c>
      <c r="Z168">
        <f>IFERROR(INDEX(Violation_Summary_Seller_Year!$G:$G,MATCH(AD168,Violation_Summary_Seller_Year!$K:$K,0)),0)</f>
        <v>0</v>
      </c>
      <c r="AA168">
        <f>IFERROR(INDEX(Violation_Summary_Seller_Year!$H:$H,MATCH(AD168,Violation_Summary_Seller_Year!$K:$K,0)),0)</f>
        <v>1</v>
      </c>
      <c r="AB168">
        <f>IFERROR(INDEX(Violation_Summary_Seller_Year!$I:$I,MATCH(AD168,Violation_Summary_Seller_Year!$K:$K,0)),0)</f>
        <v>0</v>
      </c>
      <c r="AC168">
        <f>IFERROR(INDEX(Violation_Summary_Seller_Year!$J:$J,MATCH(AD168,Violation_Summary_Seller_Year!$K:$K,0)),0)</f>
        <v>18</v>
      </c>
      <c r="AD168" t="str">
        <f t="shared" si="16"/>
        <v>72_2022</v>
      </c>
      <c r="AE168">
        <f t="shared" si="17"/>
        <v>1</v>
      </c>
      <c r="AF168">
        <f t="shared" si="18"/>
        <v>2</v>
      </c>
      <c r="AG168">
        <f t="shared" si="19"/>
        <v>1</v>
      </c>
      <c r="AH168">
        <f t="shared" si="20"/>
        <v>2</v>
      </c>
      <c r="AI168">
        <f t="shared" si="21"/>
        <v>2</v>
      </c>
      <c r="AJ168">
        <f t="shared" si="22"/>
        <v>155</v>
      </c>
      <c r="AK168" t="str">
        <f t="shared" si="23"/>
        <v>High</v>
      </c>
    </row>
    <row r="169" spans="1:37" x14ac:dyDescent="0.3">
      <c r="A169">
        <v>74</v>
      </c>
      <c r="B169">
        <v>2022</v>
      </c>
      <c r="C169">
        <v>731</v>
      </c>
      <c r="D169">
        <v>53</v>
      </c>
      <c r="E169">
        <v>43</v>
      </c>
      <c r="F169">
        <v>3190.67</v>
      </c>
      <c r="G169">
        <v>5.8824000000000001E-2</v>
      </c>
      <c r="H169">
        <v>13</v>
      </c>
      <c r="I169">
        <v>22</v>
      </c>
      <c r="J169">
        <v>8</v>
      </c>
      <c r="K169">
        <v>5</v>
      </c>
      <c r="L169">
        <v>1</v>
      </c>
      <c r="M169">
        <v>4</v>
      </c>
      <c r="N169">
        <v>5</v>
      </c>
      <c r="O169">
        <v>3</v>
      </c>
      <c r="P169" t="s">
        <v>85</v>
      </c>
      <c r="Q169" t="str">
        <f>VLOOKUP(A169,Cleaned_Seller_Master!$A:$H,2,FALSE)</f>
        <v>Prime Bridge 074</v>
      </c>
      <c r="R169" t="str">
        <f>VLOOKUP(A169,Cleaned_Seller_Master!$A:$H,4,FALSE)</f>
        <v>Beauty</v>
      </c>
      <c r="S169" t="str">
        <f>VLOOKUP(A169,Cleaned_Seller_Master!$A:$H,5,FALSE)</f>
        <v>West</v>
      </c>
      <c r="T169" t="str">
        <f>VLOOKUP(A169,Cleaned_Seller_Master!$A:$H,8,FALSE)</f>
        <v>Premium</v>
      </c>
      <c r="U169" t="str">
        <f>VLOOKUP(A169,Cleaned_Seller_Master!$A:$H,7,FALSE)</f>
        <v>09-02-2019</v>
      </c>
      <c r="V169">
        <f>IFERROR(INDEX(Violation_Summary_Seller_Year!$C:$C,MATCH(AD169,Violation_Summary_Seller_Year!$K:$K,0)),0)</f>
        <v>4</v>
      </c>
      <c r="W169">
        <f>IFERROR(INDEX(Violation_Summary_Seller_Year!$D:$D,MATCH(AD169,Violation_Summary_Seller_Year!$K:$K,0)),0)</f>
        <v>11326.119999999999</v>
      </c>
      <c r="X169">
        <f>IFERROR(INDEX(Violation_Summary_Seller_Year!$E:$E,MATCH(AD169,Violation_Summary_Seller_Year!$K:$K,0)),0)</f>
        <v>0</v>
      </c>
      <c r="Y169">
        <f>IFERROR(INDEX(Violation_Summary_Seller_Year!$F:$F,MATCH(AD169,Violation_Summary_Seller_Year!$K:$K,0)),0)</f>
        <v>2</v>
      </c>
      <c r="Z169">
        <f>IFERROR(INDEX(Violation_Summary_Seller_Year!$G:$G,MATCH(AD169,Violation_Summary_Seller_Year!$K:$K,0)),0)</f>
        <v>2</v>
      </c>
      <c r="AA169">
        <f>IFERROR(INDEX(Violation_Summary_Seller_Year!$H:$H,MATCH(AD169,Violation_Summary_Seller_Year!$K:$K,0)),0)</f>
        <v>3</v>
      </c>
      <c r="AB169">
        <f>IFERROR(INDEX(Violation_Summary_Seller_Year!$I:$I,MATCH(AD169,Violation_Summary_Seller_Year!$K:$K,0)),0)</f>
        <v>1</v>
      </c>
      <c r="AC169">
        <f>IFERROR(INDEX(Violation_Summary_Seller_Year!$J:$J,MATCH(AD169,Violation_Summary_Seller_Year!$K:$K,0)),0)</f>
        <v>23</v>
      </c>
      <c r="AD169" t="str">
        <f t="shared" si="16"/>
        <v>74_2022</v>
      </c>
      <c r="AE169">
        <f t="shared" si="17"/>
        <v>1</v>
      </c>
      <c r="AF169">
        <f t="shared" si="18"/>
        <v>2</v>
      </c>
      <c r="AG169">
        <f t="shared" si="19"/>
        <v>2</v>
      </c>
      <c r="AH169">
        <f t="shared" si="20"/>
        <v>2</v>
      </c>
      <c r="AI169">
        <f t="shared" si="21"/>
        <v>2</v>
      </c>
      <c r="AJ169">
        <f t="shared" si="22"/>
        <v>175</v>
      </c>
      <c r="AK169" t="str">
        <f t="shared" si="23"/>
        <v>High</v>
      </c>
    </row>
    <row r="170" spans="1:37" x14ac:dyDescent="0.3">
      <c r="A170">
        <v>75</v>
      </c>
      <c r="B170">
        <v>2022</v>
      </c>
      <c r="C170">
        <v>2308</v>
      </c>
      <c r="D170">
        <v>189</v>
      </c>
      <c r="E170">
        <v>162</v>
      </c>
      <c r="F170">
        <v>8617.09</v>
      </c>
      <c r="G170">
        <v>7.0191000000000003E-2</v>
      </c>
      <c r="H170">
        <v>25</v>
      </c>
      <c r="I170">
        <v>73</v>
      </c>
      <c r="J170">
        <v>18</v>
      </c>
      <c r="K170">
        <v>15</v>
      </c>
      <c r="L170">
        <v>1</v>
      </c>
      <c r="M170">
        <v>4</v>
      </c>
      <c r="N170">
        <v>9</v>
      </c>
      <c r="O170">
        <v>9</v>
      </c>
      <c r="P170" t="s">
        <v>85</v>
      </c>
      <c r="Q170" t="str">
        <f>VLOOKUP(A170,Cleaned_Seller_Master!$A:$H,2,FALSE)</f>
        <v>Apex Retail 075</v>
      </c>
      <c r="R170" t="str">
        <f>VLOOKUP(A170,Cleaned_Seller_Master!$A:$H,4,FALSE)</f>
        <v>Fashion</v>
      </c>
      <c r="S170" t="str">
        <f>VLOOKUP(A170,Cleaned_Seller_Master!$A:$H,5,FALSE)</f>
        <v>Southeast Asia</v>
      </c>
      <c r="T170" t="str">
        <f>VLOOKUP(A170,Cleaned_Seller_Master!$A:$H,8,FALSE)</f>
        <v>Verified</v>
      </c>
      <c r="U170" t="str">
        <f>VLOOKUP(A170,Cleaned_Seller_Master!$A:$H,7,FALSE)</f>
        <v>15-03-2025</v>
      </c>
      <c r="V170">
        <f>IFERROR(INDEX(Violation_Summary_Seller_Year!$C:$C,MATCH(AD170,Violation_Summary_Seller_Year!$K:$K,0)),0)</f>
        <v>5</v>
      </c>
      <c r="W170">
        <f>IFERROR(INDEX(Violation_Summary_Seller_Year!$D:$D,MATCH(AD170,Violation_Summary_Seller_Year!$K:$K,0)),0)</f>
        <v>10283.48</v>
      </c>
      <c r="X170">
        <f>IFERROR(INDEX(Violation_Summary_Seller_Year!$E:$E,MATCH(AD170,Violation_Summary_Seller_Year!$K:$K,0)),0)</f>
        <v>3</v>
      </c>
      <c r="Y170">
        <f>IFERROR(INDEX(Violation_Summary_Seller_Year!$F:$F,MATCH(AD170,Violation_Summary_Seller_Year!$K:$K,0)),0)</f>
        <v>3</v>
      </c>
      <c r="Z170">
        <f>IFERROR(INDEX(Violation_Summary_Seller_Year!$G:$G,MATCH(AD170,Violation_Summary_Seller_Year!$K:$K,0)),0)</f>
        <v>2</v>
      </c>
      <c r="AA170">
        <f>IFERROR(INDEX(Violation_Summary_Seller_Year!$H:$H,MATCH(AD170,Violation_Summary_Seller_Year!$K:$K,0)),0)</f>
        <v>2</v>
      </c>
      <c r="AB170">
        <f>IFERROR(INDEX(Violation_Summary_Seller_Year!$I:$I,MATCH(AD170,Violation_Summary_Seller_Year!$K:$K,0)),0)</f>
        <v>2</v>
      </c>
      <c r="AC170">
        <f>IFERROR(INDEX(Violation_Summary_Seller_Year!$J:$J,MATCH(AD170,Violation_Summary_Seller_Year!$K:$K,0)),0)</f>
        <v>37</v>
      </c>
      <c r="AD170" t="str">
        <f t="shared" si="16"/>
        <v>75_2022</v>
      </c>
      <c r="AE170">
        <f t="shared" si="17"/>
        <v>1</v>
      </c>
      <c r="AF170">
        <f t="shared" si="18"/>
        <v>2</v>
      </c>
      <c r="AG170">
        <f t="shared" si="19"/>
        <v>2</v>
      </c>
      <c r="AH170">
        <f t="shared" si="20"/>
        <v>2</v>
      </c>
      <c r="AI170">
        <f t="shared" si="21"/>
        <v>2</v>
      </c>
      <c r="AJ170">
        <f t="shared" si="22"/>
        <v>175</v>
      </c>
      <c r="AK170" t="str">
        <f t="shared" si="23"/>
        <v>High</v>
      </c>
    </row>
    <row r="171" spans="1:37" x14ac:dyDescent="0.3">
      <c r="A171">
        <v>76</v>
      </c>
      <c r="B171">
        <v>2022</v>
      </c>
      <c r="C171">
        <v>874</v>
      </c>
      <c r="D171">
        <v>54</v>
      </c>
      <c r="E171">
        <v>42</v>
      </c>
      <c r="F171">
        <v>4358.16</v>
      </c>
      <c r="G171">
        <v>4.8055E-2</v>
      </c>
      <c r="H171">
        <v>21</v>
      </c>
      <c r="I171">
        <v>27</v>
      </c>
      <c r="J171">
        <v>9</v>
      </c>
      <c r="K171">
        <v>11</v>
      </c>
      <c r="L171">
        <v>0</v>
      </c>
      <c r="M171">
        <v>4</v>
      </c>
      <c r="N171">
        <v>4</v>
      </c>
      <c r="O171">
        <v>2</v>
      </c>
      <c r="P171" t="s">
        <v>85</v>
      </c>
      <c r="Q171" t="str">
        <f>VLOOKUP(A171,Cleaned_Seller_Master!$A:$H,2,FALSE)</f>
        <v>Nimbus Market 076</v>
      </c>
      <c r="R171" t="str">
        <f>VLOOKUP(A171,Cleaned_Seller_Master!$A:$H,4,FALSE)</f>
        <v>Beauty</v>
      </c>
      <c r="S171" t="str">
        <f>VLOOKUP(A171,Cleaned_Seller_Master!$A:$H,5,FALSE)</f>
        <v>South</v>
      </c>
      <c r="T171" t="str">
        <f>VLOOKUP(A171,Cleaned_Seller_Master!$A:$H,8,FALSE)</f>
        <v>Premium</v>
      </c>
      <c r="U171" t="str">
        <f>VLOOKUP(A171,Cleaned_Seller_Master!$A:$H,7,FALSE)</f>
        <v>28-04-2023</v>
      </c>
      <c r="V171">
        <f>IFERROR(INDEX(Violation_Summary_Seller_Year!$C:$C,MATCH(AD171,Violation_Summary_Seller_Year!$K:$K,0)),0)</f>
        <v>2</v>
      </c>
      <c r="W171">
        <f>IFERROR(INDEX(Violation_Summary_Seller_Year!$D:$D,MATCH(AD171,Violation_Summary_Seller_Year!$K:$K,0)),0)</f>
        <v>11419.66</v>
      </c>
      <c r="X171">
        <f>IFERROR(INDEX(Violation_Summary_Seller_Year!$E:$E,MATCH(AD171,Violation_Summary_Seller_Year!$K:$K,0)),0)</f>
        <v>0</v>
      </c>
      <c r="Y171">
        <f>IFERROR(INDEX(Violation_Summary_Seller_Year!$F:$F,MATCH(AD171,Violation_Summary_Seller_Year!$K:$K,0)),0)</f>
        <v>1</v>
      </c>
      <c r="Z171">
        <f>IFERROR(INDEX(Violation_Summary_Seller_Year!$G:$G,MATCH(AD171,Violation_Summary_Seller_Year!$K:$K,0)),0)</f>
        <v>1</v>
      </c>
      <c r="AA171">
        <f>IFERROR(INDEX(Violation_Summary_Seller_Year!$H:$H,MATCH(AD171,Violation_Summary_Seller_Year!$K:$K,0)),0)</f>
        <v>2</v>
      </c>
      <c r="AB171">
        <f>IFERROR(INDEX(Violation_Summary_Seller_Year!$I:$I,MATCH(AD171,Violation_Summary_Seller_Year!$K:$K,0)),0)</f>
        <v>1</v>
      </c>
      <c r="AC171">
        <f>IFERROR(INDEX(Violation_Summary_Seller_Year!$J:$J,MATCH(AD171,Violation_Summary_Seller_Year!$K:$K,0)),0)</f>
        <v>11</v>
      </c>
      <c r="AD171" t="str">
        <f t="shared" si="16"/>
        <v>76_2022</v>
      </c>
      <c r="AE171">
        <f t="shared" si="17"/>
        <v>0</v>
      </c>
      <c r="AF171">
        <f t="shared" si="18"/>
        <v>2</v>
      </c>
      <c r="AG171">
        <f t="shared" si="19"/>
        <v>2</v>
      </c>
      <c r="AH171">
        <f t="shared" si="20"/>
        <v>0</v>
      </c>
      <c r="AI171">
        <f t="shared" si="21"/>
        <v>2</v>
      </c>
      <c r="AJ171">
        <f t="shared" si="22"/>
        <v>110</v>
      </c>
      <c r="AK171" t="str">
        <f t="shared" si="23"/>
        <v>Medium</v>
      </c>
    </row>
    <row r="172" spans="1:37" x14ac:dyDescent="0.3">
      <c r="A172">
        <v>77</v>
      </c>
      <c r="B172">
        <v>2022</v>
      </c>
      <c r="C172">
        <v>415</v>
      </c>
      <c r="D172">
        <v>32</v>
      </c>
      <c r="E172">
        <v>29</v>
      </c>
      <c r="F172">
        <v>1559.54</v>
      </c>
      <c r="G172">
        <v>6.9879999999999998E-2</v>
      </c>
      <c r="H172">
        <v>14</v>
      </c>
      <c r="I172">
        <v>14</v>
      </c>
      <c r="J172">
        <v>5</v>
      </c>
      <c r="K172">
        <v>8</v>
      </c>
      <c r="L172">
        <v>0</v>
      </c>
      <c r="M172">
        <v>1</v>
      </c>
      <c r="N172">
        <v>4</v>
      </c>
      <c r="O172">
        <v>2</v>
      </c>
      <c r="P172" t="s">
        <v>68</v>
      </c>
      <c r="Q172" t="str">
        <f>VLOOKUP(A172,Cleaned_Seller_Master!$A:$H,2,FALSE)</f>
        <v>Metro Point 077</v>
      </c>
      <c r="R172" t="str">
        <f>VLOOKUP(A172,Cleaned_Seller_Master!$A:$H,4,FALSE)</f>
        <v>Beauty</v>
      </c>
      <c r="S172" t="str">
        <f>VLOOKUP(A172,Cleaned_Seller_Master!$A:$H,5,FALSE)</f>
        <v>West</v>
      </c>
      <c r="T172" t="str">
        <f>VLOOKUP(A172,Cleaned_Seller_Master!$A:$H,8,FALSE)</f>
        <v>Premium</v>
      </c>
      <c r="U172" t="str">
        <f>VLOOKUP(A172,Cleaned_Seller_Master!$A:$H,7,FALSE)</f>
        <v>19-09-2019</v>
      </c>
      <c r="V172">
        <f>IFERROR(INDEX(Violation_Summary_Seller_Year!$C:$C,MATCH(AD172,Violation_Summary_Seller_Year!$K:$K,0)),0)</f>
        <v>4</v>
      </c>
      <c r="W172">
        <f>IFERROR(INDEX(Violation_Summary_Seller_Year!$D:$D,MATCH(AD172,Violation_Summary_Seller_Year!$K:$K,0)),0)</f>
        <v>7689.0399999999991</v>
      </c>
      <c r="X172">
        <f>IFERROR(INDEX(Violation_Summary_Seller_Year!$E:$E,MATCH(AD172,Violation_Summary_Seller_Year!$K:$K,0)),0)</f>
        <v>0</v>
      </c>
      <c r="Y172">
        <f>IFERROR(INDEX(Violation_Summary_Seller_Year!$F:$F,MATCH(AD172,Violation_Summary_Seller_Year!$K:$K,0)),0)</f>
        <v>1</v>
      </c>
      <c r="Z172">
        <f>IFERROR(INDEX(Violation_Summary_Seller_Year!$G:$G,MATCH(AD172,Violation_Summary_Seller_Year!$K:$K,0)),0)</f>
        <v>3</v>
      </c>
      <c r="AA172">
        <f>IFERROR(INDEX(Violation_Summary_Seller_Year!$H:$H,MATCH(AD172,Violation_Summary_Seller_Year!$K:$K,0)),0)</f>
        <v>2</v>
      </c>
      <c r="AB172">
        <f>IFERROR(INDEX(Violation_Summary_Seller_Year!$I:$I,MATCH(AD172,Violation_Summary_Seller_Year!$K:$K,0)),0)</f>
        <v>2</v>
      </c>
      <c r="AC172">
        <f>IFERROR(INDEX(Violation_Summary_Seller_Year!$J:$J,MATCH(AD172,Violation_Summary_Seller_Year!$K:$K,0)),0)</f>
        <v>37</v>
      </c>
      <c r="AD172" t="str">
        <f t="shared" si="16"/>
        <v>77_2022</v>
      </c>
      <c r="AE172">
        <f t="shared" si="17"/>
        <v>1</v>
      </c>
      <c r="AF172">
        <f t="shared" si="18"/>
        <v>2</v>
      </c>
      <c r="AG172">
        <f t="shared" si="19"/>
        <v>2</v>
      </c>
      <c r="AH172">
        <f t="shared" si="20"/>
        <v>0</v>
      </c>
      <c r="AI172">
        <f t="shared" si="21"/>
        <v>1</v>
      </c>
      <c r="AJ172">
        <f t="shared" si="22"/>
        <v>125</v>
      </c>
      <c r="AK172" t="str">
        <f t="shared" si="23"/>
        <v>High</v>
      </c>
    </row>
    <row r="173" spans="1:37" x14ac:dyDescent="0.3">
      <c r="A173">
        <v>78</v>
      </c>
      <c r="B173">
        <v>2022</v>
      </c>
      <c r="C173">
        <v>1664</v>
      </c>
      <c r="D173">
        <v>187</v>
      </c>
      <c r="E173">
        <v>161</v>
      </c>
      <c r="F173">
        <v>14709.05</v>
      </c>
      <c r="G173">
        <v>9.6754999999999994E-2</v>
      </c>
      <c r="H173">
        <v>37</v>
      </c>
      <c r="I173">
        <v>55</v>
      </c>
      <c r="J173">
        <v>18</v>
      </c>
      <c r="K173">
        <v>15</v>
      </c>
      <c r="L173">
        <v>1</v>
      </c>
      <c r="M173">
        <v>6</v>
      </c>
      <c r="N173">
        <v>12</v>
      </c>
      <c r="O173">
        <v>11</v>
      </c>
      <c r="P173" t="s">
        <v>85</v>
      </c>
      <c r="Q173" t="str">
        <f>VLOOKUP(A173,Cleaned_Seller_Master!$A:$H,2,FALSE)</f>
        <v>Luna Stores 078</v>
      </c>
      <c r="R173" t="str">
        <f>VLOOKUP(A173,Cleaned_Seller_Master!$A:$H,4,FALSE)</f>
        <v>Beauty</v>
      </c>
      <c r="S173" t="str">
        <f>VLOOKUP(A173,Cleaned_Seller_Master!$A:$H,5,FALSE)</f>
        <v>West</v>
      </c>
      <c r="T173" t="str">
        <f>VLOOKUP(A173,Cleaned_Seller_Master!$A:$H,8,FALSE)</f>
        <v>Standard</v>
      </c>
      <c r="U173" t="str">
        <f>VLOOKUP(A173,Cleaned_Seller_Master!$A:$H,7,FALSE)</f>
        <v>26-08-2019</v>
      </c>
      <c r="V173">
        <f>IFERROR(INDEX(Violation_Summary_Seller_Year!$C:$C,MATCH(AD173,Violation_Summary_Seller_Year!$K:$K,0)),0)</f>
        <v>5</v>
      </c>
      <c r="W173">
        <f>IFERROR(INDEX(Violation_Summary_Seller_Year!$D:$D,MATCH(AD173,Violation_Summary_Seller_Year!$K:$K,0)),0)</f>
        <v>19355.150000000001</v>
      </c>
      <c r="X173">
        <f>IFERROR(INDEX(Violation_Summary_Seller_Year!$E:$E,MATCH(AD173,Violation_Summary_Seller_Year!$K:$K,0)),0)</f>
        <v>2</v>
      </c>
      <c r="Y173">
        <f>IFERROR(INDEX(Violation_Summary_Seller_Year!$F:$F,MATCH(AD173,Violation_Summary_Seller_Year!$K:$K,0)),0)</f>
        <v>2</v>
      </c>
      <c r="Z173">
        <f>IFERROR(INDEX(Violation_Summary_Seller_Year!$G:$G,MATCH(AD173,Violation_Summary_Seller_Year!$K:$K,0)),0)</f>
        <v>3</v>
      </c>
      <c r="AA173">
        <f>IFERROR(INDEX(Violation_Summary_Seller_Year!$H:$H,MATCH(AD173,Violation_Summary_Seller_Year!$K:$K,0)),0)</f>
        <v>5</v>
      </c>
      <c r="AB173">
        <f>IFERROR(INDEX(Violation_Summary_Seller_Year!$I:$I,MATCH(AD173,Violation_Summary_Seller_Year!$K:$K,0)),0)</f>
        <v>3</v>
      </c>
      <c r="AC173">
        <f>IFERROR(INDEX(Violation_Summary_Seller_Year!$J:$J,MATCH(AD173,Violation_Summary_Seller_Year!$K:$K,0)),0)</f>
        <v>47</v>
      </c>
      <c r="AD173" t="str">
        <f t="shared" si="16"/>
        <v>78_2022</v>
      </c>
      <c r="AE173">
        <f t="shared" si="17"/>
        <v>1</v>
      </c>
      <c r="AF173">
        <f t="shared" si="18"/>
        <v>2</v>
      </c>
      <c r="AG173">
        <f t="shared" si="19"/>
        <v>2</v>
      </c>
      <c r="AH173">
        <f t="shared" si="20"/>
        <v>2</v>
      </c>
      <c r="AI173">
        <f t="shared" si="21"/>
        <v>2</v>
      </c>
      <c r="AJ173">
        <f t="shared" si="22"/>
        <v>175</v>
      </c>
      <c r="AK173" t="str">
        <f t="shared" si="23"/>
        <v>High</v>
      </c>
    </row>
    <row r="174" spans="1:37" x14ac:dyDescent="0.3">
      <c r="A174">
        <v>79</v>
      </c>
      <c r="B174">
        <v>2022</v>
      </c>
      <c r="C174">
        <v>1907</v>
      </c>
      <c r="D174">
        <v>211</v>
      </c>
      <c r="E174">
        <v>169</v>
      </c>
      <c r="F174">
        <v>15928.43</v>
      </c>
      <c r="G174">
        <v>8.8621000000000005E-2</v>
      </c>
      <c r="H174">
        <v>37</v>
      </c>
      <c r="I174">
        <v>69</v>
      </c>
      <c r="J174">
        <v>31</v>
      </c>
      <c r="K174">
        <v>13</v>
      </c>
      <c r="L174">
        <v>1</v>
      </c>
      <c r="M174">
        <v>7</v>
      </c>
      <c r="N174">
        <v>7</v>
      </c>
      <c r="O174">
        <v>11</v>
      </c>
      <c r="P174" t="s">
        <v>85</v>
      </c>
      <c r="Q174" t="str">
        <f>VLOOKUP(A174,Cleaned_Seller_Master!$A:$H,2,FALSE)</f>
        <v>Elite Link 079</v>
      </c>
      <c r="R174" t="str">
        <f>VLOOKUP(A174,Cleaned_Seller_Master!$A:$H,4,FALSE)</f>
        <v>Groceries</v>
      </c>
      <c r="S174" t="str">
        <f>VLOOKUP(A174,Cleaned_Seller_Master!$A:$H,5,FALSE)</f>
        <v>West</v>
      </c>
      <c r="T174" t="str">
        <f>VLOOKUP(A174,Cleaned_Seller_Master!$A:$H,8,FALSE)</f>
        <v>Verified</v>
      </c>
      <c r="U174" t="str">
        <f>VLOOKUP(A174,Cleaned_Seller_Master!$A:$H,7,FALSE)</f>
        <v>02-09-2025</v>
      </c>
      <c r="V174">
        <f>IFERROR(INDEX(Violation_Summary_Seller_Year!$C:$C,MATCH(AD174,Violation_Summary_Seller_Year!$K:$K,0)),0)</f>
        <v>4</v>
      </c>
      <c r="W174">
        <f>IFERROR(INDEX(Violation_Summary_Seller_Year!$D:$D,MATCH(AD174,Violation_Summary_Seller_Year!$K:$K,0)),0)</f>
        <v>7308.2700000000013</v>
      </c>
      <c r="X174">
        <f>IFERROR(INDEX(Violation_Summary_Seller_Year!$E:$E,MATCH(AD174,Violation_Summary_Seller_Year!$K:$K,0)),0)</f>
        <v>4</v>
      </c>
      <c r="Y174">
        <f>IFERROR(INDEX(Violation_Summary_Seller_Year!$F:$F,MATCH(AD174,Violation_Summary_Seller_Year!$K:$K,0)),0)</f>
        <v>3</v>
      </c>
      <c r="Z174">
        <f>IFERROR(INDEX(Violation_Summary_Seller_Year!$G:$G,MATCH(AD174,Violation_Summary_Seller_Year!$K:$K,0)),0)</f>
        <v>1</v>
      </c>
      <c r="AA174">
        <f>IFERROR(INDEX(Violation_Summary_Seller_Year!$H:$H,MATCH(AD174,Violation_Summary_Seller_Year!$K:$K,0)),0)</f>
        <v>3</v>
      </c>
      <c r="AB174">
        <f>IFERROR(INDEX(Violation_Summary_Seller_Year!$I:$I,MATCH(AD174,Violation_Summary_Seller_Year!$K:$K,0)),0)</f>
        <v>0</v>
      </c>
      <c r="AC174">
        <f>IFERROR(INDEX(Violation_Summary_Seller_Year!$J:$J,MATCH(AD174,Violation_Summary_Seller_Year!$K:$K,0)),0)</f>
        <v>19</v>
      </c>
      <c r="AD174" t="str">
        <f t="shared" si="16"/>
        <v>79_2022</v>
      </c>
      <c r="AE174">
        <f t="shared" si="17"/>
        <v>1</v>
      </c>
      <c r="AF174">
        <f t="shared" si="18"/>
        <v>2</v>
      </c>
      <c r="AG174">
        <f t="shared" si="19"/>
        <v>2</v>
      </c>
      <c r="AH174">
        <f t="shared" si="20"/>
        <v>2</v>
      </c>
      <c r="AI174">
        <f t="shared" si="21"/>
        <v>2</v>
      </c>
      <c r="AJ174">
        <f t="shared" si="22"/>
        <v>175</v>
      </c>
      <c r="AK174" t="str">
        <f t="shared" si="23"/>
        <v>High</v>
      </c>
    </row>
    <row r="175" spans="1:37" x14ac:dyDescent="0.3">
      <c r="A175">
        <v>80</v>
      </c>
      <c r="B175">
        <v>2022</v>
      </c>
      <c r="C175">
        <v>955</v>
      </c>
      <c r="D175">
        <v>58</v>
      </c>
      <c r="E175">
        <v>47</v>
      </c>
      <c r="F175">
        <v>3613.66</v>
      </c>
      <c r="G175">
        <v>4.9215000000000002E-2</v>
      </c>
      <c r="H175">
        <v>37</v>
      </c>
      <c r="I175">
        <v>37</v>
      </c>
      <c r="J175">
        <v>6</v>
      </c>
      <c r="K175">
        <v>14</v>
      </c>
      <c r="L175">
        <v>0</v>
      </c>
      <c r="M175">
        <v>4</v>
      </c>
      <c r="N175">
        <v>5</v>
      </c>
      <c r="O175">
        <v>3</v>
      </c>
      <c r="P175" t="s">
        <v>175</v>
      </c>
      <c r="Q175" t="str">
        <f>VLOOKUP(A175,Cleaned_Seller_Master!$A:$H,2,FALSE)</f>
        <v>Nova Cart 080</v>
      </c>
      <c r="R175" t="str">
        <f>VLOOKUP(A175,Cleaned_Seller_Master!$A:$H,4,FALSE)</f>
        <v>Electronics</v>
      </c>
      <c r="S175" t="str">
        <f>VLOOKUP(A175,Cleaned_Seller_Master!$A:$H,5,FALSE)</f>
        <v>North</v>
      </c>
      <c r="T175" t="str">
        <f>VLOOKUP(A175,Cleaned_Seller_Master!$A:$H,8,FALSE)</f>
        <v>Verified</v>
      </c>
      <c r="U175" t="str">
        <f>VLOOKUP(A175,Cleaned_Seller_Master!$A:$H,7,FALSE)</f>
        <v>10-12-2019</v>
      </c>
      <c r="V175">
        <f>IFERROR(INDEX(Violation_Summary_Seller_Year!$C:$C,MATCH(AD175,Violation_Summary_Seller_Year!$K:$K,0)),0)</f>
        <v>3</v>
      </c>
      <c r="W175">
        <f>IFERROR(INDEX(Violation_Summary_Seller_Year!$D:$D,MATCH(AD175,Violation_Summary_Seller_Year!$K:$K,0)),0)</f>
        <v>4418.99</v>
      </c>
      <c r="X175">
        <f>IFERROR(INDEX(Violation_Summary_Seller_Year!$E:$E,MATCH(AD175,Violation_Summary_Seller_Year!$K:$K,0)),0)</f>
        <v>0</v>
      </c>
      <c r="Y175">
        <f>IFERROR(INDEX(Violation_Summary_Seller_Year!$F:$F,MATCH(AD175,Violation_Summary_Seller_Year!$K:$K,0)),0)</f>
        <v>2</v>
      </c>
      <c r="Z175">
        <f>IFERROR(INDEX(Violation_Summary_Seller_Year!$G:$G,MATCH(AD175,Violation_Summary_Seller_Year!$K:$K,0)),0)</f>
        <v>1</v>
      </c>
      <c r="AA175">
        <f>IFERROR(INDEX(Violation_Summary_Seller_Year!$H:$H,MATCH(AD175,Violation_Summary_Seller_Year!$K:$K,0)),0)</f>
        <v>1</v>
      </c>
      <c r="AB175">
        <f>IFERROR(INDEX(Violation_Summary_Seller_Year!$I:$I,MATCH(AD175,Violation_Summary_Seller_Year!$K:$K,0)),0)</f>
        <v>1</v>
      </c>
      <c r="AC175">
        <f>IFERROR(INDEX(Violation_Summary_Seller_Year!$J:$J,MATCH(AD175,Violation_Summary_Seller_Year!$K:$K,0)),0)</f>
        <v>17</v>
      </c>
      <c r="AD175" t="str">
        <f t="shared" si="16"/>
        <v>80_2022</v>
      </c>
      <c r="AE175">
        <f t="shared" si="17"/>
        <v>0</v>
      </c>
      <c r="AF175">
        <f t="shared" si="18"/>
        <v>2</v>
      </c>
      <c r="AG175">
        <f t="shared" si="19"/>
        <v>1</v>
      </c>
      <c r="AH175">
        <f t="shared" si="20"/>
        <v>0</v>
      </c>
      <c r="AI175">
        <f t="shared" si="21"/>
        <v>1</v>
      </c>
      <c r="AJ175">
        <f t="shared" si="22"/>
        <v>80</v>
      </c>
      <c r="AK175" t="str">
        <f t="shared" si="23"/>
        <v>Medium</v>
      </c>
    </row>
    <row r="176" spans="1:37" x14ac:dyDescent="0.3">
      <c r="A176">
        <v>81</v>
      </c>
      <c r="B176">
        <v>2022</v>
      </c>
      <c r="C176">
        <v>951</v>
      </c>
      <c r="D176">
        <v>82</v>
      </c>
      <c r="E176">
        <v>77</v>
      </c>
      <c r="F176">
        <v>2809.43</v>
      </c>
      <c r="G176">
        <v>8.0966999999999997E-2</v>
      </c>
      <c r="H176">
        <v>17</v>
      </c>
      <c r="I176">
        <v>32</v>
      </c>
      <c r="J176">
        <v>17</v>
      </c>
      <c r="K176">
        <v>8</v>
      </c>
      <c r="L176">
        <v>1</v>
      </c>
      <c r="M176">
        <v>5</v>
      </c>
      <c r="N176">
        <v>5</v>
      </c>
      <c r="O176">
        <v>3</v>
      </c>
      <c r="P176" t="s">
        <v>85</v>
      </c>
      <c r="Q176" t="str">
        <f>VLOOKUP(A176,Cleaned_Seller_Master!$A:$H,2,FALSE)</f>
        <v>Swift Goods 081</v>
      </c>
      <c r="R176" t="str">
        <f>VLOOKUP(A176,Cleaned_Seller_Master!$A:$H,4,FALSE)</f>
        <v>Groceries</v>
      </c>
      <c r="S176" t="str">
        <f>VLOOKUP(A176,Cleaned_Seller_Master!$A:$H,5,FALSE)</f>
        <v>West</v>
      </c>
      <c r="T176" t="str">
        <f>VLOOKUP(A176,Cleaned_Seller_Master!$A:$H,8,FALSE)</f>
        <v>Verified</v>
      </c>
      <c r="U176" t="str">
        <f>VLOOKUP(A176,Cleaned_Seller_Master!$A:$H,7,FALSE)</f>
        <v>06-03-2019</v>
      </c>
      <c r="V176">
        <f>IFERROR(INDEX(Violation_Summary_Seller_Year!$C:$C,MATCH(AD176,Violation_Summary_Seller_Year!$K:$K,0)),0)</f>
        <v>4</v>
      </c>
      <c r="W176">
        <f>IFERROR(INDEX(Violation_Summary_Seller_Year!$D:$D,MATCH(AD176,Violation_Summary_Seller_Year!$K:$K,0)),0)</f>
        <v>7752.66</v>
      </c>
      <c r="X176">
        <f>IFERROR(INDEX(Violation_Summary_Seller_Year!$E:$E,MATCH(AD176,Violation_Summary_Seller_Year!$K:$K,0)),0)</f>
        <v>2</v>
      </c>
      <c r="Y176">
        <f>IFERROR(INDEX(Violation_Summary_Seller_Year!$F:$F,MATCH(AD176,Violation_Summary_Seller_Year!$K:$K,0)),0)</f>
        <v>1</v>
      </c>
      <c r="Z176">
        <f>IFERROR(INDEX(Violation_Summary_Seller_Year!$G:$G,MATCH(AD176,Violation_Summary_Seller_Year!$K:$K,0)),0)</f>
        <v>3</v>
      </c>
      <c r="AA176">
        <f>IFERROR(INDEX(Violation_Summary_Seller_Year!$H:$H,MATCH(AD176,Violation_Summary_Seller_Year!$K:$K,0)),0)</f>
        <v>2</v>
      </c>
      <c r="AB176">
        <f>IFERROR(INDEX(Violation_Summary_Seller_Year!$I:$I,MATCH(AD176,Violation_Summary_Seller_Year!$K:$K,0)),0)</f>
        <v>2</v>
      </c>
      <c r="AC176">
        <f>IFERROR(INDEX(Violation_Summary_Seller_Year!$J:$J,MATCH(AD176,Violation_Summary_Seller_Year!$K:$K,0)),0)</f>
        <v>35</v>
      </c>
      <c r="AD176" t="str">
        <f t="shared" si="16"/>
        <v>81_2022</v>
      </c>
      <c r="AE176">
        <f t="shared" si="17"/>
        <v>1</v>
      </c>
      <c r="AF176">
        <f t="shared" si="18"/>
        <v>2</v>
      </c>
      <c r="AG176">
        <f t="shared" si="19"/>
        <v>2</v>
      </c>
      <c r="AH176">
        <f t="shared" si="20"/>
        <v>2</v>
      </c>
      <c r="AI176">
        <f t="shared" si="21"/>
        <v>2</v>
      </c>
      <c r="AJ176">
        <f t="shared" si="22"/>
        <v>175</v>
      </c>
      <c r="AK176" t="str">
        <f t="shared" si="23"/>
        <v>High</v>
      </c>
    </row>
    <row r="177" spans="1:37" x14ac:dyDescent="0.3">
      <c r="A177">
        <v>82</v>
      </c>
      <c r="B177">
        <v>2022</v>
      </c>
      <c r="C177">
        <v>1440</v>
      </c>
      <c r="D177">
        <v>81</v>
      </c>
      <c r="E177">
        <v>60</v>
      </c>
      <c r="F177">
        <v>6138.52</v>
      </c>
      <c r="G177">
        <v>4.1667000000000003E-2</v>
      </c>
      <c r="H177">
        <v>26</v>
      </c>
      <c r="I177">
        <v>29</v>
      </c>
      <c r="J177">
        <v>8</v>
      </c>
      <c r="K177">
        <v>9</v>
      </c>
      <c r="L177">
        <v>0</v>
      </c>
      <c r="M177">
        <v>2</v>
      </c>
      <c r="N177">
        <v>6</v>
      </c>
      <c r="O177">
        <v>4</v>
      </c>
      <c r="P177" t="s">
        <v>68</v>
      </c>
      <c r="Q177" t="str">
        <f>VLOOKUP(A177,Cleaned_Seller_Master!$A:$H,2,FALSE)</f>
        <v>Blue Source 082</v>
      </c>
      <c r="R177" t="str">
        <f>VLOOKUP(A177,Cleaned_Seller_Master!$A:$H,4,FALSE)</f>
        <v>Home</v>
      </c>
      <c r="S177" t="str">
        <f>VLOOKUP(A177,Cleaned_Seller_Master!$A:$H,5,FALSE)</f>
        <v>East</v>
      </c>
      <c r="T177" t="str">
        <f>VLOOKUP(A177,Cleaned_Seller_Master!$A:$H,8,FALSE)</f>
        <v>Verified</v>
      </c>
      <c r="U177" t="str">
        <f>VLOOKUP(A177,Cleaned_Seller_Master!$A:$H,7,FALSE)</f>
        <v>01-11-2021</v>
      </c>
      <c r="V177">
        <f>IFERROR(INDEX(Violation_Summary_Seller_Year!$C:$C,MATCH(AD177,Violation_Summary_Seller_Year!$K:$K,0)),0)</f>
        <v>2</v>
      </c>
      <c r="W177">
        <f>IFERROR(INDEX(Violation_Summary_Seller_Year!$D:$D,MATCH(AD177,Violation_Summary_Seller_Year!$K:$K,0)),0)</f>
        <v>6450.63</v>
      </c>
      <c r="X177">
        <f>IFERROR(INDEX(Violation_Summary_Seller_Year!$E:$E,MATCH(AD177,Violation_Summary_Seller_Year!$K:$K,0)),0)</f>
        <v>0</v>
      </c>
      <c r="Y177">
        <f>IFERROR(INDEX(Violation_Summary_Seller_Year!$F:$F,MATCH(AD177,Violation_Summary_Seller_Year!$K:$K,0)),0)</f>
        <v>1</v>
      </c>
      <c r="Z177">
        <f>IFERROR(INDEX(Violation_Summary_Seller_Year!$G:$G,MATCH(AD177,Violation_Summary_Seller_Year!$K:$K,0)),0)</f>
        <v>1</v>
      </c>
      <c r="AA177">
        <f>IFERROR(INDEX(Violation_Summary_Seller_Year!$H:$H,MATCH(AD177,Violation_Summary_Seller_Year!$K:$K,0)),0)</f>
        <v>2</v>
      </c>
      <c r="AB177">
        <f>IFERROR(INDEX(Violation_Summary_Seller_Year!$I:$I,MATCH(AD177,Violation_Summary_Seller_Year!$K:$K,0)),0)</f>
        <v>2</v>
      </c>
      <c r="AC177">
        <f>IFERROR(INDEX(Violation_Summary_Seller_Year!$J:$J,MATCH(AD177,Violation_Summary_Seller_Year!$K:$K,0)),0)</f>
        <v>7</v>
      </c>
      <c r="AD177" t="str">
        <f t="shared" si="16"/>
        <v>82_2022</v>
      </c>
      <c r="AE177">
        <f t="shared" si="17"/>
        <v>0</v>
      </c>
      <c r="AF177">
        <f t="shared" si="18"/>
        <v>2</v>
      </c>
      <c r="AG177">
        <f t="shared" si="19"/>
        <v>2</v>
      </c>
      <c r="AH177">
        <f t="shared" si="20"/>
        <v>0</v>
      </c>
      <c r="AI177">
        <f t="shared" si="21"/>
        <v>1</v>
      </c>
      <c r="AJ177">
        <f t="shared" si="22"/>
        <v>100</v>
      </c>
      <c r="AK177" t="str">
        <f t="shared" si="23"/>
        <v>Medium</v>
      </c>
    </row>
    <row r="178" spans="1:37" x14ac:dyDescent="0.3">
      <c r="A178">
        <v>83</v>
      </c>
      <c r="B178">
        <v>2022</v>
      </c>
      <c r="C178">
        <v>686</v>
      </c>
      <c r="D178">
        <v>49</v>
      </c>
      <c r="E178">
        <v>35</v>
      </c>
      <c r="F178">
        <v>1497.16</v>
      </c>
      <c r="G178">
        <v>5.1020000000000003E-2</v>
      </c>
      <c r="H178">
        <v>16</v>
      </c>
      <c r="I178">
        <v>22</v>
      </c>
      <c r="J178">
        <v>7</v>
      </c>
      <c r="K178">
        <v>6</v>
      </c>
      <c r="L178">
        <v>0</v>
      </c>
      <c r="M178">
        <v>2</v>
      </c>
      <c r="N178">
        <v>4</v>
      </c>
      <c r="O178">
        <v>2</v>
      </c>
      <c r="P178" t="s">
        <v>85</v>
      </c>
      <c r="Q178" t="str">
        <f>VLOOKUP(A178,Cleaned_Seller_Master!$A:$H,2,FALSE)</f>
        <v>Vertex Supply 083</v>
      </c>
      <c r="R178" t="str">
        <f>VLOOKUP(A178,Cleaned_Seller_Master!$A:$H,4,FALSE)</f>
        <v>Groceries</v>
      </c>
      <c r="S178" t="str">
        <f>VLOOKUP(A178,Cleaned_Seller_Master!$A:$H,5,FALSE)</f>
        <v>East</v>
      </c>
      <c r="T178" t="str">
        <f>VLOOKUP(A178,Cleaned_Seller_Master!$A:$H,8,FALSE)</f>
        <v>Verified</v>
      </c>
      <c r="U178" t="str">
        <f>VLOOKUP(A178,Cleaned_Seller_Master!$A:$H,7,FALSE)</f>
        <v>28-08-2022</v>
      </c>
      <c r="V178">
        <f>IFERROR(INDEX(Violation_Summary_Seller_Year!$C:$C,MATCH(AD178,Violation_Summary_Seller_Year!$K:$K,0)),0)</f>
        <v>6</v>
      </c>
      <c r="W178">
        <f>IFERROR(INDEX(Violation_Summary_Seller_Year!$D:$D,MATCH(AD178,Violation_Summary_Seller_Year!$K:$K,0)),0)</f>
        <v>14774.24</v>
      </c>
      <c r="X178">
        <f>IFERROR(INDEX(Violation_Summary_Seller_Year!$E:$E,MATCH(AD178,Violation_Summary_Seller_Year!$K:$K,0)),0)</f>
        <v>0</v>
      </c>
      <c r="Y178">
        <f>IFERROR(INDEX(Violation_Summary_Seller_Year!$F:$F,MATCH(AD178,Violation_Summary_Seller_Year!$K:$K,0)),0)</f>
        <v>3</v>
      </c>
      <c r="Z178">
        <f>IFERROR(INDEX(Violation_Summary_Seller_Year!$G:$G,MATCH(AD178,Violation_Summary_Seller_Year!$K:$K,0)),0)</f>
        <v>3</v>
      </c>
      <c r="AA178">
        <f>IFERROR(INDEX(Violation_Summary_Seller_Year!$H:$H,MATCH(AD178,Violation_Summary_Seller_Year!$K:$K,0)),0)</f>
        <v>2</v>
      </c>
      <c r="AB178">
        <f>IFERROR(INDEX(Violation_Summary_Seller_Year!$I:$I,MATCH(AD178,Violation_Summary_Seller_Year!$K:$K,0)),0)</f>
        <v>2</v>
      </c>
      <c r="AC178">
        <f>IFERROR(INDEX(Violation_Summary_Seller_Year!$J:$J,MATCH(AD178,Violation_Summary_Seller_Year!$K:$K,0)),0)</f>
        <v>40</v>
      </c>
      <c r="AD178" t="str">
        <f t="shared" si="16"/>
        <v>83_2022</v>
      </c>
      <c r="AE178">
        <f t="shared" si="17"/>
        <v>1</v>
      </c>
      <c r="AF178">
        <f t="shared" si="18"/>
        <v>2</v>
      </c>
      <c r="AG178">
        <f t="shared" si="19"/>
        <v>2</v>
      </c>
      <c r="AH178">
        <f t="shared" si="20"/>
        <v>0</v>
      </c>
      <c r="AI178">
        <f t="shared" si="21"/>
        <v>2</v>
      </c>
      <c r="AJ178">
        <f t="shared" si="22"/>
        <v>135</v>
      </c>
      <c r="AK178" t="str">
        <f t="shared" si="23"/>
        <v>High</v>
      </c>
    </row>
    <row r="179" spans="1:37" x14ac:dyDescent="0.3">
      <c r="A179">
        <v>84</v>
      </c>
      <c r="B179">
        <v>2022</v>
      </c>
      <c r="C179">
        <v>908</v>
      </c>
      <c r="D179">
        <v>42</v>
      </c>
      <c r="E179">
        <v>36</v>
      </c>
      <c r="F179">
        <v>2582.3000000000002</v>
      </c>
      <c r="G179">
        <v>3.9648000000000003E-2</v>
      </c>
      <c r="H179">
        <v>12</v>
      </c>
      <c r="I179">
        <v>22</v>
      </c>
      <c r="J179">
        <v>5</v>
      </c>
      <c r="K179">
        <v>7</v>
      </c>
      <c r="L179">
        <v>0</v>
      </c>
      <c r="M179">
        <v>1</v>
      </c>
      <c r="N179">
        <v>3</v>
      </c>
      <c r="O179">
        <v>2</v>
      </c>
      <c r="P179" t="s">
        <v>175</v>
      </c>
      <c r="Q179" t="str">
        <f>VLOOKUP(A179,Cleaned_Seller_Master!$A:$H,2,FALSE)</f>
        <v>Zen Mart 084</v>
      </c>
      <c r="R179" t="str">
        <f>VLOOKUP(A179,Cleaned_Seller_Master!$A:$H,4,FALSE)</f>
        <v>Fashion</v>
      </c>
      <c r="S179" t="str">
        <f>VLOOKUP(A179,Cleaned_Seller_Master!$A:$H,5,FALSE)</f>
        <v>East</v>
      </c>
      <c r="T179" t="str">
        <f>VLOOKUP(A179,Cleaned_Seller_Master!$A:$H,8,FALSE)</f>
        <v>Verified</v>
      </c>
      <c r="U179" t="str">
        <f>VLOOKUP(A179,Cleaned_Seller_Master!$A:$H,7,FALSE)</f>
        <v>01-05-2023</v>
      </c>
      <c r="V179">
        <f>IFERROR(INDEX(Violation_Summary_Seller_Year!$C:$C,MATCH(AD179,Violation_Summary_Seller_Year!$K:$K,0)),0)</f>
        <v>1</v>
      </c>
      <c r="W179">
        <f>IFERROR(INDEX(Violation_Summary_Seller_Year!$D:$D,MATCH(AD179,Violation_Summary_Seller_Year!$K:$K,0)),0)</f>
        <v>498.11</v>
      </c>
      <c r="X179">
        <f>IFERROR(INDEX(Violation_Summary_Seller_Year!$E:$E,MATCH(AD179,Violation_Summary_Seller_Year!$K:$K,0)),0)</f>
        <v>0</v>
      </c>
      <c r="Y179">
        <f>IFERROR(INDEX(Violation_Summary_Seller_Year!$F:$F,MATCH(AD179,Violation_Summary_Seller_Year!$K:$K,0)),0)</f>
        <v>1</v>
      </c>
      <c r="Z179">
        <f>IFERROR(INDEX(Violation_Summary_Seller_Year!$G:$G,MATCH(AD179,Violation_Summary_Seller_Year!$K:$K,0)),0)</f>
        <v>0</v>
      </c>
      <c r="AA179">
        <f>IFERROR(INDEX(Violation_Summary_Seller_Year!$H:$H,MATCH(AD179,Violation_Summary_Seller_Year!$K:$K,0)),0)</f>
        <v>0</v>
      </c>
      <c r="AB179">
        <f>IFERROR(INDEX(Violation_Summary_Seller_Year!$I:$I,MATCH(AD179,Violation_Summary_Seller_Year!$K:$K,0)),0)</f>
        <v>1</v>
      </c>
      <c r="AC179">
        <f>IFERROR(INDEX(Violation_Summary_Seller_Year!$J:$J,MATCH(AD179,Violation_Summary_Seller_Year!$K:$K,0)),0)</f>
        <v>4</v>
      </c>
      <c r="AD179" t="str">
        <f t="shared" si="16"/>
        <v>84_2022</v>
      </c>
      <c r="AE179">
        <f t="shared" si="17"/>
        <v>0</v>
      </c>
      <c r="AF179">
        <f t="shared" si="18"/>
        <v>2</v>
      </c>
      <c r="AG179">
        <f t="shared" si="19"/>
        <v>0</v>
      </c>
      <c r="AH179">
        <f t="shared" si="20"/>
        <v>0</v>
      </c>
      <c r="AI179">
        <f t="shared" si="21"/>
        <v>1</v>
      </c>
      <c r="AJ179">
        <f t="shared" si="22"/>
        <v>60</v>
      </c>
      <c r="AK179" t="str">
        <f t="shared" si="23"/>
        <v>Medium</v>
      </c>
    </row>
    <row r="180" spans="1:37" x14ac:dyDescent="0.3">
      <c r="A180">
        <v>85</v>
      </c>
      <c r="B180">
        <v>2022</v>
      </c>
      <c r="C180">
        <v>316</v>
      </c>
      <c r="D180">
        <v>15</v>
      </c>
      <c r="E180">
        <v>13</v>
      </c>
      <c r="F180">
        <v>464.97</v>
      </c>
      <c r="G180">
        <v>4.1139000000000002E-2</v>
      </c>
      <c r="H180">
        <v>3</v>
      </c>
      <c r="I180">
        <v>7</v>
      </c>
      <c r="J180">
        <v>3</v>
      </c>
      <c r="K180">
        <v>1</v>
      </c>
      <c r="L180">
        <v>0</v>
      </c>
      <c r="M180">
        <v>0</v>
      </c>
      <c r="N180">
        <v>0</v>
      </c>
      <c r="O180">
        <v>0</v>
      </c>
      <c r="P180" t="s">
        <v>176</v>
      </c>
      <c r="Q180" t="str">
        <f>VLOOKUP(A180,Cleaned_Seller_Master!$A:$H,2,FALSE)</f>
        <v>True House 085</v>
      </c>
      <c r="R180" t="str">
        <f>VLOOKUP(A180,Cleaned_Seller_Master!$A:$H,4,FALSE)</f>
        <v>Fashion</v>
      </c>
      <c r="S180" t="str">
        <f>VLOOKUP(A180,Cleaned_Seller_Master!$A:$H,5,FALSE)</f>
        <v>South</v>
      </c>
      <c r="T180" t="str">
        <f>VLOOKUP(A180,Cleaned_Seller_Master!$A:$H,8,FALSE)</f>
        <v>Standard</v>
      </c>
      <c r="U180" t="str">
        <f>VLOOKUP(A180,Cleaned_Seller_Master!$A:$H,7,FALSE)</f>
        <v>21-04-2022</v>
      </c>
      <c r="V180">
        <f>IFERROR(INDEX(Violation_Summary_Seller_Year!$C:$C,MATCH(AD180,Violation_Summary_Seller_Year!$K:$K,0)),0)</f>
        <v>1</v>
      </c>
      <c r="W180">
        <f>IFERROR(INDEX(Violation_Summary_Seller_Year!$D:$D,MATCH(AD180,Violation_Summary_Seller_Year!$K:$K,0)),0)</f>
        <v>3096.15</v>
      </c>
      <c r="X180">
        <f>IFERROR(INDEX(Violation_Summary_Seller_Year!$E:$E,MATCH(AD180,Violation_Summary_Seller_Year!$K:$K,0)),0)</f>
        <v>0</v>
      </c>
      <c r="Y180">
        <f>IFERROR(INDEX(Violation_Summary_Seller_Year!$F:$F,MATCH(AD180,Violation_Summary_Seller_Year!$K:$K,0)),0)</f>
        <v>1</v>
      </c>
      <c r="Z180">
        <f>IFERROR(INDEX(Violation_Summary_Seller_Year!$G:$G,MATCH(AD180,Violation_Summary_Seller_Year!$K:$K,0)),0)</f>
        <v>0</v>
      </c>
      <c r="AA180">
        <f>IFERROR(INDEX(Violation_Summary_Seller_Year!$H:$H,MATCH(AD180,Violation_Summary_Seller_Year!$K:$K,0)),0)</f>
        <v>1</v>
      </c>
      <c r="AB180">
        <f>IFERROR(INDEX(Violation_Summary_Seller_Year!$I:$I,MATCH(AD180,Violation_Summary_Seller_Year!$K:$K,0)),0)</f>
        <v>0</v>
      </c>
      <c r="AC180">
        <f>IFERROR(INDEX(Violation_Summary_Seller_Year!$J:$J,MATCH(AD180,Violation_Summary_Seller_Year!$K:$K,0)),0)</f>
        <v>2</v>
      </c>
      <c r="AD180" t="str">
        <f t="shared" si="16"/>
        <v>85_2022</v>
      </c>
      <c r="AE180">
        <f t="shared" si="17"/>
        <v>0</v>
      </c>
      <c r="AF180">
        <f t="shared" si="18"/>
        <v>0</v>
      </c>
      <c r="AG180">
        <f t="shared" si="19"/>
        <v>1</v>
      </c>
      <c r="AH180">
        <f t="shared" si="20"/>
        <v>0</v>
      </c>
      <c r="AI180">
        <f t="shared" si="21"/>
        <v>1</v>
      </c>
      <c r="AJ180">
        <f t="shared" si="22"/>
        <v>30</v>
      </c>
      <c r="AK180" t="str">
        <f t="shared" si="23"/>
        <v>Low</v>
      </c>
    </row>
    <row r="181" spans="1:37" x14ac:dyDescent="0.3">
      <c r="A181">
        <v>86</v>
      </c>
      <c r="B181">
        <v>2022</v>
      </c>
      <c r="C181">
        <v>1576</v>
      </c>
      <c r="D181">
        <v>163</v>
      </c>
      <c r="E181">
        <v>149</v>
      </c>
      <c r="F181">
        <v>5914.36</v>
      </c>
      <c r="G181">
        <v>9.4543000000000002E-2</v>
      </c>
      <c r="H181">
        <v>22</v>
      </c>
      <c r="I181">
        <v>52</v>
      </c>
      <c r="J181">
        <v>25</v>
      </c>
      <c r="K181">
        <v>15</v>
      </c>
      <c r="L181">
        <v>0</v>
      </c>
      <c r="M181">
        <v>2</v>
      </c>
      <c r="N181">
        <v>5</v>
      </c>
      <c r="O181">
        <v>11</v>
      </c>
      <c r="P181" t="s">
        <v>68</v>
      </c>
      <c r="Q181" t="str">
        <f>VLOOKUP(A181,Cleaned_Seller_Master!$A:$H,2,FALSE)</f>
        <v>Core Traders 086</v>
      </c>
      <c r="R181" t="str">
        <f>VLOOKUP(A181,Cleaned_Seller_Master!$A:$H,4,FALSE)</f>
        <v>Electronics</v>
      </c>
      <c r="S181" t="str">
        <f>VLOOKUP(A181,Cleaned_Seller_Master!$A:$H,5,FALSE)</f>
        <v>North</v>
      </c>
      <c r="T181" t="str">
        <f>VLOOKUP(A181,Cleaned_Seller_Master!$A:$H,8,FALSE)</f>
        <v>Premium</v>
      </c>
      <c r="U181" t="str">
        <f>VLOOKUP(A181,Cleaned_Seller_Master!$A:$H,7,FALSE)</f>
        <v>19-01-2025</v>
      </c>
      <c r="V181">
        <f>IFERROR(INDEX(Violation_Summary_Seller_Year!$C:$C,MATCH(AD181,Violation_Summary_Seller_Year!$K:$K,0)),0)</f>
        <v>6</v>
      </c>
      <c r="W181">
        <f>IFERROR(INDEX(Violation_Summary_Seller_Year!$D:$D,MATCH(AD181,Violation_Summary_Seller_Year!$K:$K,0)),0)</f>
        <v>12218.66</v>
      </c>
      <c r="X181">
        <f>IFERROR(INDEX(Violation_Summary_Seller_Year!$E:$E,MATCH(AD181,Violation_Summary_Seller_Year!$K:$K,0)),0)</f>
        <v>0</v>
      </c>
      <c r="Y181">
        <f>IFERROR(INDEX(Violation_Summary_Seller_Year!$F:$F,MATCH(AD181,Violation_Summary_Seller_Year!$K:$K,0)),0)</f>
        <v>4</v>
      </c>
      <c r="Z181">
        <f>IFERROR(INDEX(Violation_Summary_Seller_Year!$G:$G,MATCH(AD181,Violation_Summary_Seller_Year!$K:$K,0)),0)</f>
        <v>2</v>
      </c>
      <c r="AA181">
        <f>IFERROR(INDEX(Violation_Summary_Seller_Year!$H:$H,MATCH(AD181,Violation_Summary_Seller_Year!$K:$K,0)),0)</f>
        <v>3</v>
      </c>
      <c r="AB181">
        <f>IFERROR(INDEX(Violation_Summary_Seller_Year!$I:$I,MATCH(AD181,Violation_Summary_Seller_Year!$K:$K,0)),0)</f>
        <v>3</v>
      </c>
      <c r="AC181">
        <f>IFERROR(INDEX(Violation_Summary_Seller_Year!$J:$J,MATCH(AD181,Violation_Summary_Seller_Year!$K:$K,0)),0)</f>
        <v>37</v>
      </c>
      <c r="AD181" t="str">
        <f t="shared" si="16"/>
        <v>86_2022</v>
      </c>
      <c r="AE181">
        <f t="shared" si="17"/>
        <v>1</v>
      </c>
      <c r="AF181">
        <f t="shared" si="18"/>
        <v>2</v>
      </c>
      <c r="AG181">
        <f t="shared" si="19"/>
        <v>2</v>
      </c>
      <c r="AH181">
        <f t="shared" si="20"/>
        <v>0</v>
      </c>
      <c r="AI181">
        <f t="shared" si="21"/>
        <v>1</v>
      </c>
      <c r="AJ181">
        <f t="shared" si="22"/>
        <v>125</v>
      </c>
      <c r="AK181" t="str">
        <f t="shared" si="23"/>
        <v>High</v>
      </c>
    </row>
    <row r="182" spans="1:37" x14ac:dyDescent="0.3">
      <c r="A182">
        <v>87</v>
      </c>
      <c r="B182">
        <v>2022</v>
      </c>
      <c r="C182">
        <v>589</v>
      </c>
      <c r="D182">
        <v>48</v>
      </c>
      <c r="E182">
        <v>42</v>
      </c>
      <c r="F182">
        <v>2817.96</v>
      </c>
      <c r="G182">
        <v>7.1306999999999995E-2</v>
      </c>
      <c r="H182">
        <v>16</v>
      </c>
      <c r="I182">
        <v>16</v>
      </c>
      <c r="J182">
        <v>8</v>
      </c>
      <c r="K182">
        <v>8</v>
      </c>
      <c r="L182">
        <v>0</v>
      </c>
      <c r="M182">
        <v>3</v>
      </c>
      <c r="N182">
        <v>6</v>
      </c>
      <c r="O182">
        <v>1</v>
      </c>
      <c r="P182" t="s">
        <v>85</v>
      </c>
      <c r="Q182" t="str">
        <f>VLOOKUP(A182,Cleaned_Seller_Master!$A:$H,2,FALSE)</f>
        <v>Urban Works 087</v>
      </c>
      <c r="R182" t="str">
        <f>VLOOKUP(A182,Cleaned_Seller_Master!$A:$H,4,FALSE)</f>
        <v>Groceries</v>
      </c>
      <c r="S182" t="str">
        <f>VLOOKUP(A182,Cleaned_Seller_Master!$A:$H,5,FALSE)</f>
        <v>East</v>
      </c>
      <c r="T182" t="str">
        <f>VLOOKUP(A182,Cleaned_Seller_Master!$A:$H,8,FALSE)</f>
        <v>Standard</v>
      </c>
      <c r="U182" t="str">
        <f>VLOOKUP(A182,Cleaned_Seller_Master!$A:$H,7,FALSE)</f>
        <v>09-03-2022</v>
      </c>
      <c r="V182">
        <f>IFERROR(INDEX(Violation_Summary_Seller_Year!$C:$C,MATCH(AD182,Violation_Summary_Seller_Year!$K:$K,0)),0)</f>
        <v>6</v>
      </c>
      <c r="W182">
        <f>IFERROR(INDEX(Violation_Summary_Seller_Year!$D:$D,MATCH(AD182,Violation_Summary_Seller_Year!$K:$K,0)),0)</f>
        <v>21765</v>
      </c>
      <c r="X182">
        <f>IFERROR(INDEX(Violation_Summary_Seller_Year!$E:$E,MATCH(AD182,Violation_Summary_Seller_Year!$K:$K,0)),0)</f>
        <v>0</v>
      </c>
      <c r="Y182">
        <f>IFERROR(INDEX(Violation_Summary_Seller_Year!$F:$F,MATCH(AD182,Violation_Summary_Seller_Year!$K:$K,0)),0)</f>
        <v>3</v>
      </c>
      <c r="Z182">
        <f>IFERROR(INDEX(Violation_Summary_Seller_Year!$G:$G,MATCH(AD182,Violation_Summary_Seller_Year!$K:$K,0)),0)</f>
        <v>3</v>
      </c>
      <c r="AA182">
        <f>IFERROR(INDEX(Violation_Summary_Seller_Year!$H:$H,MATCH(AD182,Violation_Summary_Seller_Year!$K:$K,0)),0)</f>
        <v>4</v>
      </c>
      <c r="AB182">
        <f>IFERROR(INDEX(Violation_Summary_Seller_Year!$I:$I,MATCH(AD182,Violation_Summary_Seller_Year!$K:$K,0)),0)</f>
        <v>4</v>
      </c>
      <c r="AC182">
        <f>IFERROR(INDEX(Violation_Summary_Seller_Year!$J:$J,MATCH(AD182,Violation_Summary_Seller_Year!$K:$K,0)),0)</f>
        <v>50</v>
      </c>
      <c r="AD182" t="str">
        <f t="shared" si="16"/>
        <v>87_2022</v>
      </c>
      <c r="AE182">
        <f t="shared" si="17"/>
        <v>1</v>
      </c>
      <c r="AF182">
        <f t="shared" si="18"/>
        <v>2</v>
      </c>
      <c r="AG182">
        <f t="shared" si="19"/>
        <v>2</v>
      </c>
      <c r="AH182">
        <f t="shared" si="20"/>
        <v>0</v>
      </c>
      <c r="AI182">
        <f t="shared" si="21"/>
        <v>2</v>
      </c>
      <c r="AJ182">
        <f t="shared" si="22"/>
        <v>135</v>
      </c>
      <c r="AK182" t="str">
        <f t="shared" si="23"/>
        <v>High</v>
      </c>
    </row>
    <row r="183" spans="1:37" x14ac:dyDescent="0.3">
      <c r="A183">
        <v>88</v>
      </c>
      <c r="B183">
        <v>2022</v>
      </c>
      <c r="C183">
        <v>836</v>
      </c>
      <c r="D183">
        <v>77</v>
      </c>
      <c r="E183">
        <v>60</v>
      </c>
      <c r="F183">
        <v>4142.34</v>
      </c>
      <c r="G183">
        <v>7.177E-2</v>
      </c>
      <c r="H183">
        <v>20</v>
      </c>
      <c r="I183">
        <v>28</v>
      </c>
      <c r="J183">
        <v>8</v>
      </c>
      <c r="K183">
        <v>11</v>
      </c>
      <c r="L183">
        <v>0</v>
      </c>
      <c r="M183">
        <v>3</v>
      </c>
      <c r="N183">
        <v>4</v>
      </c>
      <c r="O183">
        <v>4</v>
      </c>
      <c r="P183" t="s">
        <v>68</v>
      </c>
      <c r="Q183" t="str">
        <f>VLOOKUP(A183,Cleaned_Seller_Master!$A:$H,2,FALSE)</f>
        <v>Bright Nest 088</v>
      </c>
      <c r="R183" t="str">
        <f>VLOOKUP(A183,Cleaned_Seller_Master!$A:$H,4,FALSE)</f>
        <v>Home</v>
      </c>
      <c r="S183" t="str">
        <f>VLOOKUP(A183,Cleaned_Seller_Master!$A:$H,5,FALSE)</f>
        <v>North</v>
      </c>
      <c r="T183" t="str">
        <f>VLOOKUP(A183,Cleaned_Seller_Master!$A:$H,8,FALSE)</f>
        <v>Verified</v>
      </c>
      <c r="U183" t="str">
        <f>VLOOKUP(A183,Cleaned_Seller_Master!$A:$H,7,FALSE)</f>
        <v>24-11-2020</v>
      </c>
      <c r="V183">
        <f>IFERROR(INDEX(Violation_Summary_Seller_Year!$C:$C,MATCH(AD183,Violation_Summary_Seller_Year!$K:$K,0)),0)</f>
        <v>4</v>
      </c>
      <c r="W183">
        <f>IFERROR(INDEX(Violation_Summary_Seller_Year!$D:$D,MATCH(AD183,Violation_Summary_Seller_Year!$K:$K,0)),0)</f>
        <v>11658.09</v>
      </c>
      <c r="X183">
        <f>IFERROR(INDEX(Violation_Summary_Seller_Year!$E:$E,MATCH(AD183,Violation_Summary_Seller_Year!$K:$K,0)),0)</f>
        <v>0</v>
      </c>
      <c r="Y183">
        <f>IFERROR(INDEX(Violation_Summary_Seller_Year!$F:$F,MATCH(AD183,Violation_Summary_Seller_Year!$K:$K,0)),0)</f>
        <v>0</v>
      </c>
      <c r="Z183">
        <f>IFERROR(INDEX(Violation_Summary_Seller_Year!$G:$G,MATCH(AD183,Violation_Summary_Seller_Year!$K:$K,0)),0)</f>
        <v>4</v>
      </c>
      <c r="AA183">
        <f>IFERROR(INDEX(Violation_Summary_Seller_Year!$H:$H,MATCH(AD183,Violation_Summary_Seller_Year!$K:$K,0)),0)</f>
        <v>4</v>
      </c>
      <c r="AB183">
        <f>IFERROR(INDEX(Violation_Summary_Seller_Year!$I:$I,MATCH(AD183,Violation_Summary_Seller_Year!$K:$K,0)),0)</f>
        <v>2</v>
      </c>
      <c r="AC183">
        <f>IFERROR(INDEX(Violation_Summary_Seller_Year!$J:$J,MATCH(AD183,Violation_Summary_Seller_Year!$K:$K,0)),0)</f>
        <v>44</v>
      </c>
      <c r="AD183" t="str">
        <f t="shared" si="16"/>
        <v>88_2022</v>
      </c>
      <c r="AE183">
        <f t="shared" si="17"/>
        <v>1</v>
      </c>
      <c r="AF183">
        <f t="shared" si="18"/>
        <v>2</v>
      </c>
      <c r="AG183">
        <f t="shared" si="19"/>
        <v>2</v>
      </c>
      <c r="AH183">
        <f t="shared" si="20"/>
        <v>0</v>
      </c>
      <c r="AI183">
        <f t="shared" si="21"/>
        <v>1</v>
      </c>
      <c r="AJ183">
        <f t="shared" si="22"/>
        <v>125</v>
      </c>
      <c r="AK183" t="str">
        <f t="shared" si="23"/>
        <v>High</v>
      </c>
    </row>
    <row r="184" spans="1:37" x14ac:dyDescent="0.3">
      <c r="A184">
        <v>89</v>
      </c>
      <c r="B184">
        <v>2022</v>
      </c>
      <c r="C184">
        <v>1025</v>
      </c>
      <c r="D184">
        <v>104</v>
      </c>
      <c r="E184">
        <v>99</v>
      </c>
      <c r="F184">
        <v>8867.25</v>
      </c>
      <c r="G184">
        <v>9.6585000000000004E-2</v>
      </c>
      <c r="H184">
        <v>25</v>
      </c>
      <c r="I184">
        <v>31</v>
      </c>
      <c r="J184">
        <v>14</v>
      </c>
      <c r="K184">
        <v>12</v>
      </c>
      <c r="L184">
        <v>1</v>
      </c>
      <c r="M184">
        <v>7</v>
      </c>
      <c r="N184">
        <v>8</v>
      </c>
      <c r="O184">
        <v>7</v>
      </c>
      <c r="P184" t="s">
        <v>85</v>
      </c>
      <c r="Q184" t="str">
        <f>VLOOKUP(A184,Cleaned_Seller_Master!$A:$H,2,FALSE)</f>
        <v>Golden Hub 089</v>
      </c>
      <c r="R184" t="str">
        <f>VLOOKUP(A184,Cleaned_Seller_Master!$A:$H,4,FALSE)</f>
        <v>Fashion</v>
      </c>
      <c r="S184" t="str">
        <f>VLOOKUP(A184,Cleaned_Seller_Master!$A:$H,5,FALSE)</f>
        <v>Southeast Asia</v>
      </c>
      <c r="T184" t="str">
        <f>VLOOKUP(A184,Cleaned_Seller_Master!$A:$H,8,FALSE)</f>
        <v>Verified</v>
      </c>
      <c r="U184" t="str">
        <f>VLOOKUP(A184,Cleaned_Seller_Master!$A:$H,7,FALSE)</f>
        <v>22-06-2025</v>
      </c>
      <c r="V184">
        <f>IFERROR(INDEX(Violation_Summary_Seller_Year!$C:$C,MATCH(AD184,Violation_Summary_Seller_Year!$K:$K,0)),0)</f>
        <v>6</v>
      </c>
      <c r="W184">
        <f>IFERROR(INDEX(Violation_Summary_Seller_Year!$D:$D,MATCH(AD184,Violation_Summary_Seller_Year!$K:$K,0)),0)</f>
        <v>21460.159999999996</v>
      </c>
      <c r="X184">
        <f>IFERROR(INDEX(Violation_Summary_Seller_Year!$E:$E,MATCH(AD184,Violation_Summary_Seller_Year!$K:$K,0)),0)</f>
        <v>3</v>
      </c>
      <c r="Y184">
        <f>IFERROR(INDEX(Violation_Summary_Seller_Year!$F:$F,MATCH(AD184,Violation_Summary_Seller_Year!$K:$K,0)),0)</f>
        <v>4</v>
      </c>
      <c r="Z184">
        <f>IFERROR(INDEX(Violation_Summary_Seller_Year!$G:$G,MATCH(AD184,Violation_Summary_Seller_Year!$K:$K,0)),0)</f>
        <v>2</v>
      </c>
      <c r="AA184">
        <f>IFERROR(INDEX(Violation_Summary_Seller_Year!$H:$H,MATCH(AD184,Violation_Summary_Seller_Year!$K:$K,0)),0)</f>
        <v>5</v>
      </c>
      <c r="AB184">
        <f>IFERROR(INDEX(Violation_Summary_Seller_Year!$I:$I,MATCH(AD184,Violation_Summary_Seller_Year!$K:$K,0)),0)</f>
        <v>1</v>
      </c>
      <c r="AC184">
        <f>IFERROR(INDEX(Violation_Summary_Seller_Year!$J:$J,MATCH(AD184,Violation_Summary_Seller_Year!$K:$K,0)),0)</f>
        <v>52</v>
      </c>
      <c r="AD184" t="str">
        <f t="shared" si="16"/>
        <v>89_2022</v>
      </c>
      <c r="AE184">
        <f t="shared" si="17"/>
        <v>1</v>
      </c>
      <c r="AF184">
        <f t="shared" si="18"/>
        <v>2</v>
      </c>
      <c r="AG184">
        <f t="shared" si="19"/>
        <v>2</v>
      </c>
      <c r="AH184">
        <f t="shared" si="20"/>
        <v>2</v>
      </c>
      <c r="AI184">
        <f t="shared" si="21"/>
        <v>2</v>
      </c>
      <c r="AJ184">
        <f t="shared" si="22"/>
        <v>175</v>
      </c>
      <c r="AK184" t="str">
        <f t="shared" si="23"/>
        <v>High</v>
      </c>
    </row>
    <row r="185" spans="1:37" x14ac:dyDescent="0.3">
      <c r="A185">
        <v>90</v>
      </c>
      <c r="B185">
        <v>2022</v>
      </c>
      <c r="C185">
        <v>770</v>
      </c>
      <c r="D185">
        <v>41</v>
      </c>
      <c r="E185">
        <v>32</v>
      </c>
      <c r="F185">
        <v>1118.98</v>
      </c>
      <c r="G185">
        <v>4.1557999999999998E-2</v>
      </c>
      <c r="H185">
        <v>12</v>
      </c>
      <c r="I185">
        <v>16</v>
      </c>
      <c r="J185">
        <v>4</v>
      </c>
      <c r="K185">
        <v>4</v>
      </c>
      <c r="L185">
        <v>0</v>
      </c>
      <c r="M185">
        <v>2</v>
      </c>
      <c r="N185">
        <v>2</v>
      </c>
      <c r="O185">
        <v>2</v>
      </c>
      <c r="P185" t="s">
        <v>175</v>
      </c>
      <c r="Q185" t="str">
        <f>VLOOKUP(A185,Cleaned_Seller_Master!$A:$H,2,FALSE)</f>
        <v>Ever Merchants 090</v>
      </c>
      <c r="R185" t="str">
        <f>VLOOKUP(A185,Cleaned_Seller_Master!$A:$H,4,FALSE)</f>
        <v>Home</v>
      </c>
      <c r="S185" t="str">
        <f>VLOOKUP(A185,Cleaned_Seller_Master!$A:$H,5,FALSE)</f>
        <v>North</v>
      </c>
      <c r="T185" t="str">
        <f>VLOOKUP(A185,Cleaned_Seller_Master!$A:$H,8,FALSE)</f>
        <v>Premium</v>
      </c>
      <c r="U185" t="str">
        <f>VLOOKUP(A185,Cleaned_Seller_Master!$A:$H,7,FALSE)</f>
        <v>08-10-2022</v>
      </c>
      <c r="V185">
        <f>IFERROR(INDEX(Violation_Summary_Seller_Year!$C:$C,MATCH(AD185,Violation_Summary_Seller_Year!$K:$K,0)),0)</f>
        <v>1</v>
      </c>
      <c r="W185">
        <f>IFERROR(INDEX(Violation_Summary_Seller_Year!$D:$D,MATCH(AD185,Violation_Summary_Seller_Year!$K:$K,0)),0)</f>
        <v>1229.42</v>
      </c>
      <c r="X185">
        <f>IFERROR(INDEX(Violation_Summary_Seller_Year!$E:$E,MATCH(AD185,Violation_Summary_Seller_Year!$K:$K,0)),0)</f>
        <v>0</v>
      </c>
      <c r="Y185">
        <f>IFERROR(INDEX(Violation_Summary_Seller_Year!$F:$F,MATCH(AD185,Violation_Summary_Seller_Year!$K:$K,0)),0)</f>
        <v>1</v>
      </c>
      <c r="Z185">
        <f>IFERROR(INDEX(Violation_Summary_Seller_Year!$G:$G,MATCH(AD185,Violation_Summary_Seller_Year!$K:$K,0)),0)</f>
        <v>0</v>
      </c>
      <c r="AA185">
        <f>IFERROR(INDEX(Violation_Summary_Seller_Year!$H:$H,MATCH(AD185,Violation_Summary_Seller_Year!$K:$K,0)),0)</f>
        <v>0</v>
      </c>
      <c r="AB185">
        <f>IFERROR(INDEX(Violation_Summary_Seller_Year!$I:$I,MATCH(AD185,Violation_Summary_Seller_Year!$K:$K,0)),0)</f>
        <v>0</v>
      </c>
      <c r="AC185">
        <f>IFERROR(INDEX(Violation_Summary_Seller_Year!$J:$J,MATCH(AD185,Violation_Summary_Seller_Year!$K:$K,0)),0)</f>
        <v>3</v>
      </c>
      <c r="AD185" t="str">
        <f t="shared" si="16"/>
        <v>90_2022</v>
      </c>
      <c r="AE185">
        <f t="shared" si="17"/>
        <v>0</v>
      </c>
      <c r="AF185">
        <f t="shared" si="18"/>
        <v>2</v>
      </c>
      <c r="AG185">
        <f t="shared" si="19"/>
        <v>0</v>
      </c>
      <c r="AH185">
        <f t="shared" si="20"/>
        <v>0</v>
      </c>
      <c r="AI185">
        <f t="shared" si="21"/>
        <v>1</v>
      </c>
      <c r="AJ185">
        <f t="shared" si="22"/>
        <v>60</v>
      </c>
      <c r="AK185" t="str">
        <f t="shared" si="23"/>
        <v>Medium</v>
      </c>
    </row>
    <row r="186" spans="1:37" x14ac:dyDescent="0.3">
      <c r="A186">
        <v>91</v>
      </c>
      <c r="B186">
        <v>2022</v>
      </c>
      <c r="C186">
        <v>576</v>
      </c>
      <c r="D186">
        <v>53</v>
      </c>
      <c r="E186">
        <v>51</v>
      </c>
      <c r="F186">
        <v>4703.4799999999996</v>
      </c>
      <c r="G186">
        <v>8.8541999999999996E-2</v>
      </c>
      <c r="H186">
        <v>18</v>
      </c>
      <c r="I186">
        <v>22</v>
      </c>
      <c r="J186">
        <v>11</v>
      </c>
      <c r="K186">
        <v>7</v>
      </c>
      <c r="L186">
        <v>0</v>
      </c>
      <c r="M186">
        <v>2</v>
      </c>
      <c r="N186">
        <v>3</v>
      </c>
      <c r="O186">
        <v>4</v>
      </c>
      <c r="P186" t="s">
        <v>68</v>
      </c>
      <c r="Q186" t="str">
        <f>VLOOKUP(A186,Cleaned_Seller_Master!$A:$H,2,FALSE)</f>
        <v>Orbit Square 091</v>
      </c>
      <c r="R186" t="str">
        <f>VLOOKUP(A186,Cleaned_Seller_Master!$A:$H,4,FALSE)</f>
        <v>Electronics</v>
      </c>
      <c r="S186" t="str">
        <f>VLOOKUP(A186,Cleaned_Seller_Master!$A:$H,5,FALSE)</f>
        <v>North</v>
      </c>
      <c r="T186" t="str">
        <f>VLOOKUP(A186,Cleaned_Seller_Master!$A:$H,8,FALSE)</f>
        <v>Premium</v>
      </c>
      <c r="U186" t="str">
        <f>VLOOKUP(A186,Cleaned_Seller_Master!$A:$H,7,FALSE)</f>
        <v>04-02-2025</v>
      </c>
      <c r="V186">
        <f>IFERROR(INDEX(Violation_Summary_Seller_Year!$C:$C,MATCH(AD186,Violation_Summary_Seller_Year!$K:$K,0)),0)</f>
        <v>5</v>
      </c>
      <c r="W186">
        <f>IFERROR(INDEX(Violation_Summary_Seller_Year!$D:$D,MATCH(AD186,Violation_Summary_Seller_Year!$K:$K,0)),0)</f>
        <v>6375.24</v>
      </c>
      <c r="X186">
        <f>IFERROR(INDEX(Violation_Summary_Seller_Year!$E:$E,MATCH(AD186,Violation_Summary_Seller_Year!$K:$K,0)),0)</f>
        <v>0</v>
      </c>
      <c r="Y186">
        <f>IFERROR(INDEX(Violation_Summary_Seller_Year!$F:$F,MATCH(AD186,Violation_Summary_Seller_Year!$K:$K,0)),0)</f>
        <v>2</v>
      </c>
      <c r="Z186">
        <f>IFERROR(INDEX(Violation_Summary_Seller_Year!$G:$G,MATCH(AD186,Violation_Summary_Seller_Year!$K:$K,0)),0)</f>
        <v>3</v>
      </c>
      <c r="AA186">
        <f>IFERROR(INDEX(Violation_Summary_Seller_Year!$H:$H,MATCH(AD186,Violation_Summary_Seller_Year!$K:$K,0)),0)</f>
        <v>2</v>
      </c>
      <c r="AB186">
        <f>IFERROR(INDEX(Violation_Summary_Seller_Year!$I:$I,MATCH(AD186,Violation_Summary_Seller_Year!$K:$K,0)),0)</f>
        <v>2</v>
      </c>
      <c r="AC186">
        <f>IFERROR(INDEX(Violation_Summary_Seller_Year!$J:$J,MATCH(AD186,Violation_Summary_Seller_Year!$K:$K,0)),0)</f>
        <v>51</v>
      </c>
      <c r="AD186" t="str">
        <f t="shared" si="16"/>
        <v>91_2022</v>
      </c>
      <c r="AE186">
        <f t="shared" si="17"/>
        <v>1</v>
      </c>
      <c r="AF186">
        <f t="shared" si="18"/>
        <v>2</v>
      </c>
      <c r="AG186">
        <f t="shared" si="19"/>
        <v>2</v>
      </c>
      <c r="AH186">
        <f t="shared" si="20"/>
        <v>0</v>
      </c>
      <c r="AI186">
        <f t="shared" si="21"/>
        <v>1</v>
      </c>
      <c r="AJ186">
        <f t="shared" si="22"/>
        <v>125</v>
      </c>
      <c r="AK186" t="str">
        <f t="shared" si="23"/>
        <v>High</v>
      </c>
    </row>
    <row r="187" spans="1:37" x14ac:dyDescent="0.3">
      <c r="A187">
        <v>92</v>
      </c>
      <c r="B187">
        <v>2022</v>
      </c>
      <c r="C187">
        <v>1197</v>
      </c>
      <c r="D187">
        <v>99</v>
      </c>
      <c r="E187">
        <v>80</v>
      </c>
      <c r="F187">
        <v>6699.57</v>
      </c>
      <c r="G187">
        <v>6.6834000000000005E-2</v>
      </c>
      <c r="H187">
        <v>17</v>
      </c>
      <c r="I187">
        <v>34</v>
      </c>
      <c r="J187">
        <v>9</v>
      </c>
      <c r="K187">
        <v>10</v>
      </c>
      <c r="L187">
        <v>1</v>
      </c>
      <c r="M187">
        <v>4</v>
      </c>
      <c r="N187">
        <v>5</v>
      </c>
      <c r="O187">
        <v>3</v>
      </c>
      <c r="P187" t="s">
        <v>85</v>
      </c>
      <c r="Q187" t="str">
        <f>VLOOKUP(A187,Cleaned_Seller_Master!$A:$H,2,FALSE)</f>
        <v>Pulse Commerce 092</v>
      </c>
      <c r="R187" t="str">
        <f>VLOOKUP(A187,Cleaned_Seller_Master!$A:$H,4,FALSE)</f>
        <v>Groceries</v>
      </c>
      <c r="S187" t="str">
        <f>VLOOKUP(A187,Cleaned_Seller_Master!$A:$H,5,FALSE)</f>
        <v>West</v>
      </c>
      <c r="T187" t="str">
        <f>VLOOKUP(A187,Cleaned_Seller_Master!$A:$H,8,FALSE)</f>
        <v>Verified</v>
      </c>
      <c r="U187" t="str">
        <f>VLOOKUP(A187,Cleaned_Seller_Master!$A:$H,7,FALSE)</f>
        <v>21-07-2020</v>
      </c>
      <c r="V187">
        <f>IFERROR(INDEX(Violation_Summary_Seller_Year!$C:$C,MATCH(AD187,Violation_Summary_Seller_Year!$K:$K,0)),0)</f>
        <v>4</v>
      </c>
      <c r="W187">
        <f>IFERROR(INDEX(Violation_Summary_Seller_Year!$D:$D,MATCH(AD187,Violation_Summary_Seller_Year!$K:$K,0)),0)</f>
        <v>8165.26</v>
      </c>
      <c r="X187">
        <f>IFERROR(INDEX(Violation_Summary_Seller_Year!$E:$E,MATCH(AD187,Violation_Summary_Seller_Year!$K:$K,0)),0)</f>
        <v>1</v>
      </c>
      <c r="Y187">
        <f>IFERROR(INDEX(Violation_Summary_Seller_Year!$F:$F,MATCH(AD187,Violation_Summary_Seller_Year!$K:$K,0)),0)</f>
        <v>2</v>
      </c>
      <c r="Z187">
        <f>IFERROR(INDEX(Violation_Summary_Seller_Year!$G:$G,MATCH(AD187,Violation_Summary_Seller_Year!$K:$K,0)),0)</f>
        <v>2</v>
      </c>
      <c r="AA187">
        <f>IFERROR(INDEX(Violation_Summary_Seller_Year!$H:$H,MATCH(AD187,Violation_Summary_Seller_Year!$K:$K,0)),0)</f>
        <v>3</v>
      </c>
      <c r="AB187">
        <f>IFERROR(INDEX(Violation_Summary_Seller_Year!$I:$I,MATCH(AD187,Violation_Summary_Seller_Year!$K:$K,0)),0)</f>
        <v>2</v>
      </c>
      <c r="AC187">
        <f>IFERROR(INDEX(Violation_Summary_Seller_Year!$J:$J,MATCH(AD187,Violation_Summary_Seller_Year!$K:$K,0)),0)</f>
        <v>27</v>
      </c>
      <c r="AD187" t="str">
        <f t="shared" si="16"/>
        <v>92_2022</v>
      </c>
      <c r="AE187">
        <f t="shared" si="17"/>
        <v>1</v>
      </c>
      <c r="AF187">
        <f t="shared" si="18"/>
        <v>2</v>
      </c>
      <c r="AG187">
        <f t="shared" si="19"/>
        <v>2</v>
      </c>
      <c r="AH187">
        <f t="shared" si="20"/>
        <v>2</v>
      </c>
      <c r="AI187">
        <f t="shared" si="21"/>
        <v>2</v>
      </c>
      <c r="AJ187">
        <f t="shared" si="22"/>
        <v>175</v>
      </c>
      <c r="AK187" t="str">
        <f t="shared" si="23"/>
        <v>High</v>
      </c>
    </row>
    <row r="188" spans="1:37" x14ac:dyDescent="0.3">
      <c r="A188">
        <v>93</v>
      </c>
      <c r="B188">
        <v>2022</v>
      </c>
      <c r="C188">
        <v>118</v>
      </c>
      <c r="D188">
        <v>11</v>
      </c>
      <c r="E188">
        <v>10</v>
      </c>
      <c r="F188">
        <v>560.27</v>
      </c>
      <c r="G188">
        <v>8.4746000000000002E-2</v>
      </c>
      <c r="H188">
        <v>13</v>
      </c>
      <c r="I188">
        <v>13</v>
      </c>
      <c r="J188">
        <v>5</v>
      </c>
      <c r="K188">
        <v>8</v>
      </c>
      <c r="L188">
        <v>1</v>
      </c>
      <c r="M188">
        <v>3</v>
      </c>
      <c r="N188">
        <v>4</v>
      </c>
      <c r="O188">
        <v>1</v>
      </c>
      <c r="P188" t="s">
        <v>85</v>
      </c>
      <c r="Q188" t="str">
        <f>VLOOKUP(A188,Cleaned_Seller_Master!$A:$H,2,FALSE)</f>
        <v>Summit Bazaar 093</v>
      </c>
      <c r="R188" t="str">
        <f>VLOOKUP(A188,Cleaned_Seller_Master!$A:$H,4,FALSE)</f>
        <v>Home</v>
      </c>
      <c r="S188" t="str">
        <f>VLOOKUP(A188,Cleaned_Seller_Master!$A:$H,5,FALSE)</f>
        <v>West</v>
      </c>
      <c r="T188" t="str">
        <f>VLOOKUP(A188,Cleaned_Seller_Master!$A:$H,8,FALSE)</f>
        <v>Strategic</v>
      </c>
      <c r="U188" t="str">
        <f>VLOOKUP(A188,Cleaned_Seller_Master!$A:$H,7,FALSE)</f>
        <v>22-02-2023</v>
      </c>
      <c r="V188">
        <f>IFERROR(INDEX(Violation_Summary_Seller_Year!$C:$C,MATCH(AD188,Violation_Summary_Seller_Year!$K:$K,0)),0)</f>
        <v>3</v>
      </c>
      <c r="W188">
        <f>IFERROR(INDEX(Violation_Summary_Seller_Year!$D:$D,MATCH(AD188,Violation_Summary_Seller_Year!$K:$K,0)),0)</f>
        <v>4344.08</v>
      </c>
      <c r="X188">
        <f>IFERROR(INDEX(Violation_Summary_Seller_Year!$E:$E,MATCH(AD188,Violation_Summary_Seller_Year!$K:$K,0)),0)</f>
        <v>1</v>
      </c>
      <c r="Y188">
        <f>IFERROR(INDEX(Violation_Summary_Seller_Year!$F:$F,MATCH(AD188,Violation_Summary_Seller_Year!$K:$K,0)),0)</f>
        <v>3</v>
      </c>
      <c r="Z188">
        <f>IFERROR(INDEX(Violation_Summary_Seller_Year!$G:$G,MATCH(AD188,Violation_Summary_Seller_Year!$K:$K,0)),0)</f>
        <v>0</v>
      </c>
      <c r="AA188">
        <f>IFERROR(INDEX(Violation_Summary_Seller_Year!$H:$H,MATCH(AD188,Violation_Summary_Seller_Year!$K:$K,0)),0)</f>
        <v>1</v>
      </c>
      <c r="AB188">
        <f>IFERROR(INDEX(Violation_Summary_Seller_Year!$I:$I,MATCH(AD188,Violation_Summary_Seller_Year!$K:$K,0)),0)</f>
        <v>0</v>
      </c>
      <c r="AC188">
        <f>IFERROR(INDEX(Violation_Summary_Seller_Year!$J:$J,MATCH(AD188,Violation_Summary_Seller_Year!$K:$K,0)),0)</f>
        <v>35</v>
      </c>
      <c r="AD188" t="str">
        <f t="shared" si="16"/>
        <v>93_2022</v>
      </c>
      <c r="AE188">
        <f t="shared" si="17"/>
        <v>1</v>
      </c>
      <c r="AF188">
        <f t="shared" si="18"/>
        <v>2</v>
      </c>
      <c r="AG188">
        <f t="shared" si="19"/>
        <v>1</v>
      </c>
      <c r="AH188">
        <f t="shared" si="20"/>
        <v>2</v>
      </c>
      <c r="AI188">
        <f t="shared" si="21"/>
        <v>2</v>
      </c>
      <c r="AJ188">
        <f t="shared" si="22"/>
        <v>155</v>
      </c>
      <c r="AK188" t="str">
        <f t="shared" si="23"/>
        <v>High</v>
      </c>
    </row>
    <row r="189" spans="1:37" x14ac:dyDescent="0.3">
      <c r="A189">
        <v>94</v>
      </c>
      <c r="B189">
        <v>2022</v>
      </c>
      <c r="C189">
        <v>622</v>
      </c>
      <c r="D189">
        <v>56</v>
      </c>
      <c r="E189">
        <v>42</v>
      </c>
      <c r="F189">
        <v>1704.09</v>
      </c>
      <c r="G189">
        <v>6.7524000000000001E-2</v>
      </c>
      <c r="H189">
        <v>16</v>
      </c>
      <c r="I189">
        <v>24</v>
      </c>
      <c r="J189">
        <v>10</v>
      </c>
      <c r="K189">
        <v>8</v>
      </c>
      <c r="L189">
        <v>1</v>
      </c>
      <c r="M189">
        <v>5</v>
      </c>
      <c r="N189">
        <v>5</v>
      </c>
      <c r="O189">
        <v>3</v>
      </c>
      <c r="P189" t="s">
        <v>85</v>
      </c>
      <c r="Q189" t="str">
        <f>VLOOKUP(A189,Cleaned_Seller_Master!$A:$H,2,FALSE)</f>
        <v>Prime Bridge 094</v>
      </c>
      <c r="R189" t="str">
        <f>VLOOKUP(A189,Cleaned_Seller_Master!$A:$H,4,FALSE)</f>
        <v>Home</v>
      </c>
      <c r="S189" t="str">
        <f>VLOOKUP(A189,Cleaned_Seller_Master!$A:$H,5,FALSE)</f>
        <v>North</v>
      </c>
      <c r="T189" t="str">
        <f>VLOOKUP(A189,Cleaned_Seller_Master!$A:$H,8,FALSE)</f>
        <v>Standard</v>
      </c>
      <c r="U189" t="str">
        <f>VLOOKUP(A189,Cleaned_Seller_Master!$A:$H,7,FALSE)</f>
        <v>26-01-2017</v>
      </c>
      <c r="V189">
        <f>IFERROR(INDEX(Violation_Summary_Seller_Year!$C:$C,MATCH(AD189,Violation_Summary_Seller_Year!$K:$K,0)),0)</f>
        <v>6</v>
      </c>
      <c r="W189">
        <f>IFERROR(INDEX(Violation_Summary_Seller_Year!$D:$D,MATCH(AD189,Violation_Summary_Seller_Year!$K:$K,0)),0)</f>
        <v>16718.72</v>
      </c>
      <c r="X189">
        <f>IFERROR(INDEX(Violation_Summary_Seller_Year!$E:$E,MATCH(AD189,Violation_Summary_Seller_Year!$K:$K,0)),0)</f>
        <v>3</v>
      </c>
      <c r="Y189">
        <f>IFERROR(INDEX(Violation_Summary_Seller_Year!$F:$F,MATCH(AD189,Violation_Summary_Seller_Year!$K:$K,0)),0)</f>
        <v>3</v>
      </c>
      <c r="Z189">
        <f>IFERROR(INDEX(Violation_Summary_Seller_Year!$G:$G,MATCH(AD189,Violation_Summary_Seller_Year!$K:$K,0)),0)</f>
        <v>3</v>
      </c>
      <c r="AA189">
        <f>IFERROR(INDEX(Violation_Summary_Seller_Year!$H:$H,MATCH(AD189,Violation_Summary_Seller_Year!$K:$K,0)),0)</f>
        <v>3</v>
      </c>
      <c r="AB189">
        <f>IFERROR(INDEX(Violation_Summary_Seller_Year!$I:$I,MATCH(AD189,Violation_Summary_Seller_Year!$K:$K,0)),0)</f>
        <v>1</v>
      </c>
      <c r="AC189">
        <f>IFERROR(INDEX(Violation_Summary_Seller_Year!$J:$J,MATCH(AD189,Violation_Summary_Seller_Year!$K:$K,0)),0)</f>
        <v>51</v>
      </c>
      <c r="AD189" t="str">
        <f t="shared" si="16"/>
        <v>94_2022</v>
      </c>
      <c r="AE189">
        <f t="shared" si="17"/>
        <v>1</v>
      </c>
      <c r="AF189">
        <f t="shared" si="18"/>
        <v>2</v>
      </c>
      <c r="AG189">
        <f t="shared" si="19"/>
        <v>2</v>
      </c>
      <c r="AH189">
        <f t="shared" si="20"/>
        <v>2</v>
      </c>
      <c r="AI189">
        <f t="shared" si="21"/>
        <v>2</v>
      </c>
      <c r="AJ189">
        <f t="shared" si="22"/>
        <v>175</v>
      </c>
      <c r="AK189" t="str">
        <f t="shared" si="23"/>
        <v>High</v>
      </c>
    </row>
    <row r="190" spans="1:37" x14ac:dyDescent="0.3">
      <c r="A190">
        <v>95</v>
      </c>
      <c r="B190">
        <v>2022</v>
      </c>
      <c r="C190">
        <v>1091</v>
      </c>
      <c r="D190">
        <v>46</v>
      </c>
      <c r="E190">
        <v>43</v>
      </c>
      <c r="F190">
        <v>1753.3</v>
      </c>
      <c r="G190">
        <v>3.9412999999999997E-2</v>
      </c>
      <c r="H190">
        <v>11</v>
      </c>
      <c r="I190">
        <v>26</v>
      </c>
      <c r="J190">
        <v>8</v>
      </c>
      <c r="K190">
        <v>3</v>
      </c>
      <c r="L190">
        <v>0</v>
      </c>
      <c r="M190">
        <v>0</v>
      </c>
      <c r="N190">
        <v>1</v>
      </c>
      <c r="O190">
        <v>1</v>
      </c>
      <c r="P190" t="s">
        <v>175</v>
      </c>
      <c r="Q190" t="str">
        <f>VLOOKUP(A190,Cleaned_Seller_Master!$A:$H,2,FALSE)</f>
        <v>Apex Retail 095</v>
      </c>
      <c r="R190" t="str">
        <f>VLOOKUP(A190,Cleaned_Seller_Master!$A:$H,4,FALSE)</f>
        <v>Groceries</v>
      </c>
      <c r="S190" t="str">
        <f>VLOOKUP(A190,Cleaned_Seller_Master!$A:$H,5,FALSE)</f>
        <v>South</v>
      </c>
      <c r="T190" t="str">
        <f>VLOOKUP(A190,Cleaned_Seller_Master!$A:$H,8,FALSE)</f>
        <v>Verified</v>
      </c>
      <c r="U190" t="str">
        <f>VLOOKUP(A190,Cleaned_Seller_Master!$A:$H,7,FALSE)</f>
        <v>26-03-2022</v>
      </c>
      <c r="V190">
        <f>IFERROR(INDEX(Violation_Summary_Seller_Year!$C:$C,MATCH(AD190,Violation_Summary_Seller_Year!$K:$K,0)),0)</f>
        <v>3</v>
      </c>
      <c r="W190">
        <f>IFERROR(INDEX(Violation_Summary_Seller_Year!$D:$D,MATCH(AD190,Violation_Summary_Seller_Year!$K:$K,0)),0)</f>
        <v>2022.55</v>
      </c>
      <c r="X190">
        <f>IFERROR(INDEX(Violation_Summary_Seller_Year!$E:$E,MATCH(AD190,Violation_Summary_Seller_Year!$K:$K,0)),0)</f>
        <v>0</v>
      </c>
      <c r="Y190">
        <f>IFERROR(INDEX(Violation_Summary_Seller_Year!$F:$F,MATCH(AD190,Violation_Summary_Seller_Year!$K:$K,0)),0)</f>
        <v>2</v>
      </c>
      <c r="Z190">
        <f>IFERROR(INDEX(Violation_Summary_Seller_Year!$G:$G,MATCH(AD190,Violation_Summary_Seller_Year!$K:$K,0)),0)</f>
        <v>1</v>
      </c>
      <c r="AA190">
        <f>IFERROR(INDEX(Violation_Summary_Seller_Year!$H:$H,MATCH(AD190,Violation_Summary_Seller_Year!$K:$K,0)),0)</f>
        <v>0</v>
      </c>
      <c r="AB190">
        <f>IFERROR(INDEX(Violation_Summary_Seller_Year!$I:$I,MATCH(AD190,Violation_Summary_Seller_Year!$K:$K,0)),0)</f>
        <v>1</v>
      </c>
      <c r="AC190">
        <f>IFERROR(INDEX(Violation_Summary_Seller_Year!$J:$J,MATCH(AD190,Violation_Summary_Seller_Year!$K:$K,0)),0)</f>
        <v>16</v>
      </c>
      <c r="AD190" t="str">
        <f t="shared" si="16"/>
        <v>95_2022</v>
      </c>
      <c r="AE190">
        <f t="shared" si="17"/>
        <v>0</v>
      </c>
      <c r="AF190">
        <f t="shared" si="18"/>
        <v>2</v>
      </c>
      <c r="AG190">
        <f t="shared" si="19"/>
        <v>1</v>
      </c>
      <c r="AH190">
        <f t="shared" si="20"/>
        <v>0</v>
      </c>
      <c r="AI190">
        <f t="shared" si="21"/>
        <v>1</v>
      </c>
      <c r="AJ190">
        <f t="shared" si="22"/>
        <v>80</v>
      </c>
      <c r="AK190" t="str">
        <f t="shared" si="23"/>
        <v>Medium</v>
      </c>
    </row>
    <row r="191" spans="1:37" x14ac:dyDescent="0.3">
      <c r="A191">
        <v>96</v>
      </c>
      <c r="B191">
        <v>2022</v>
      </c>
      <c r="C191">
        <v>409</v>
      </c>
      <c r="D191">
        <v>17</v>
      </c>
      <c r="E191">
        <v>13</v>
      </c>
      <c r="F191">
        <v>1242.78</v>
      </c>
      <c r="G191">
        <v>3.1785000000000001E-2</v>
      </c>
      <c r="H191">
        <v>7</v>
      </c>
      <c r="I191">
        <v>16</v>
      </c>
      <c r="J191">
        <v>3</v>
      </c>
      <c r="K191">
        <v>4</v>
      </c>
      <c r="L191">
        <v>1</v>
      </c>
      <c r="M191">
        <v>3</v>
      </c>
      <c r="N191">
        <v>3</v>
      </c>
      <c r="O191">
        <v>2</v>
      </c>
      <c r="P191" t="s">
        <v>68</v>
      </c>
      <c r="Q191" t="str">
        <f>VLOOKUP(A191,Cleaned_Seller_Master!$A:$H,2,FALSE)</f>
        <v>Nimbus Market 096</v>
      </c>
      <c r="R191" t="str">
        <f>VLOOKUP(A191,Cleaned_Seller_Master!$A:$H,4,FALSE)</f>
        <v>Beauty</v>
      </c>
      <c r="S191" t="str">
        <f>VLOOKUP(A191,Cleaned_Seller_Master!$A:$H,5,FALSE)</f>
        <v>North</v>
      </c>
      <c r="T191" t="str">
        <f>VLOOKUP(A191,Cleaned_Seller_Master!$A:$H,8,FALSE)</f>
        <v>Verified</v>
      </c>
      <c r="U191" t="str">
        <f>VLOOKUP(A191,Cleaned_Seller_Master!$A:$H,7,FALSE)</f>
        <v>12-01-2019</v>
      </c>
      <c r="V191">
        <f>IFERROR(INDEX(Violation_Summary_Seller_Year!$C:$C,MATCH(AD191,Violation_Summary_Seller_Year!$K:$K,0)),0)</f>
        <v>3</v>
      </c>
      <c r="W191">
        <f>IFERROR(INDEX(Violation_Summary_Seller_Year!$D:$D,MATCH(AD191,Violation_Summary_Seller_Year!$K:$K,0)),0)</f>
        <v>7187.0599999999995</v>
      </c>
      <c r="X191">
        <f>IFERROR(INDEX(Violation_Summary_Seller_Year!$E:$E,MATCH(AD191,Violation_Summary_Seller_Year!$K:$K,0)),0)</f>
        <v>1</v>
      </c>
      <c r="Y191">
        <f>IFERROR(INDEX(Violation_Summary_Seller_Year!$F:$F,MATCH(AD191,Violation_Summary_Seller_Year!$K:$K,0)),0)</f>
        <v>2</v>
      </c>
      <c r="Z191">
        <f>IFERROR(INDEX(Violation_Summary_Seller_Year!$G:$G,MATCH(AD191,Violation_Summary_Seller_Year!$K:$K,0)),0)</f>
        <v>1</v>
      </c>
      <c r="AA191">
        <f>IFERROR(INDEX(Violation_Summary_Seller_Year!$H:$H,MATCH(AD191,Violation_Summary_Seller_Year!$K:$K,0)),0)</f>
        <v>1</v>
      </c>
      <c r="AB191">
        <f>IFERROR(INDEX(Violation_Summary_Seller_Year!$I:$I,MATCH(AD191,Violation_Summary_Seller_Year!$K:$K,0)),0)</f>
        <v>0</v>
      </c>
      <c r="AC191">
        <f>IFERROR(INDEX(Violation_Summary_Seller_Year!$J:$J,MATCH(AD191,Violation_Summary_Seller_Year!$K:$K,0)),0)</f>
        <v>28</v>
      </c>
      <c r="AD191" t="str">
        <f t="shared" si="16"/>
        <v>96_2022</v>
      </c>
      <c r="AE191">
        <f t="shared" si="17"/>
        <v>0</v>
      </c>
      <c r="AF191">
        <f t="shared" si="18"/>
        <v>1</v>
      </c>
      <c r="AG191">
        <f t="shared" si="19"/>
        <v>1</v>
      </c>
      <c r="AH191">
        <f t="shared" si="20"/>
        <v>2</v>
      </c>
      <c r="AI191">
        <f t="shared" si="21"/>
        <v>1</v>
      </c>
      <c r="AJ191">
        <f t="shared" si="22"/>
        <v>95</v>
      </c>
      <c r="AK191" t="str">
        <f t="shared" si="23"/>
        <v>Medium</v>
      </c>
    </row>
    <row r="192" spans="1:37" x14ac:dyDescent="0.3">
      <c r="A192">
        <v>97</v>
      </c>
      <c r="B192">
        <v>2022</v>
      </c>
      <c r="C192">
        <v>337</v>
      </c>
      <c r="D192">
        <v>27</v>
      </c>
      <c r="E192">
        <v>24</v>
      </c>
      <c r="F192">
        <v>2271.9699999999998</v>
      </c>
      <c r="G192">
        <v>7.1217000000000003E-2</v>
      </c>
      <c r="H192">
        <v>15</v>
      </c>
      <c r="I192">
        <v>15</v>
      </c>
      <c r="J192">
        <v>5</v>
      </c>
      <c r="K192">
        <v>5</v>
      </c>
      <c r="L192">
        <v>1</v>
      </c>
      <c r="M192">
        <v>5</v>
      </c>
      <c r="N192">
        <v>5</v>
      </c>
      <c r="O192">
        <v>2</v>
      </c>
      <c r="P192" t="s">
        <v>85</v>
      </c>
      <c r="Q192" t="str">
        <f>VLOOKUP(A192,Cleaned_Seller_Master!$A:$H,2,FALSE)</f>
        <v>Metro Point 097</v>
      </c>
      <c r="R192" t="str">
        <f>VLOOKUP(A192,Cleaned_Seller_Master!$A:$H,4,FALSE)</f>
        <v>Groceries</v>
      </c>
      <c r="S192" t="str">
        <f>VLOOKUP(A192,Cleaned_Seller_Master!$A:$H,5,FALSE)</f>
        <v>North</v>
      </c>
      <c r="T192" t="str">
        <f>VLOOKUP(A192,Cleaned_Seller_Master!$A:$H,8,FALSE)</f>
        <v>Standard</v>
      </c>
      <c r="U192" t="str">
        <f>VLOOKUP(A192,Cleaned_Seller_Master!$A:$H,7,FALSE)</f>
        <v>25-08-2025</v>
      </c>
      <c r="V192">
        <f>IFERROR(INDEX(Violation_Summary_Seller_Year!$C:$C,MATCH(AD192,Violation_Summary_Seller_Year!$K:$K,0)),0)</f>
        <v>5</v>
      </c>
      <c r="W192">
        <f>IFERROR(INDEX(Violation_Summary_Seller_Year!$D:$D,MATCH(AD192,Violation_Summary_Seller_Year!$K:$K,0)),0)</f>
        <v>22000.81</v>
      </c>
      <c r="X192">
        <f>IFERROR(INDEX(Violation_Summary_Seller_Year!$E:$E,MATCH(AD192,Violation_Summary_Seller_Year!$K:$K,0)),0)</f>
        <v>1</v>
      </c>
      <c r="Y192">
        <f>IFERROR(INDEX(Violation_Summary_Seller_Year!$F:$F,MATCH(AD192,Violation_Summary_Seller_Year!$K:$K,0)),0)</f>
        <v>3</v>
      </c>
      <c r="Z192">
        <f>IFERROR(INDEX(Violation_Summary_Seller_Year!$G:$G,MATCH(AD192,Violation_Summary_Seller_Year!$K:$K,0)),0)</f>
        <v>2</v>
      </c>
      <c r="AA192">
        <f>IFERROR(INDEX(Violation_Summary_Seller_Year!$H:$H,MATCH(AD192,Violation_Summary_Seller_Year!$K:$K,0)),0)</f>
        <v>5</v>
      </c>
      <c r="AB192">
        <f>IFERROR(INDEX(Violation_Summary_Seller_Year!$I:$I,MATCH(AD192,Violation_Summary_Seller_Year!$K:$K,0)),0)</f>
        <v>1</v>
      </c>
      <c r="AC192">
        <f>IFERROR(INDEX(Violation_Summary_Seller_Year!$J:$J,MATCH(AD192,Violation_Summary_Seller_Year!$K:$K,0)),0)</f>
        <v>31</v>
      </c>
      <c r="AD192" t="str">
        <f t="shared" si="16"/>
        <v>97_2022</v>
      </c>
      <c r="AE192">
        <f t="shared" si="17"/>
        <v>1</v>
      </c>
      <c r="AF192">
        <f t="shared" si="18"/>
        <v>2</v>
      </c>
      <c r="AG192">
        <f t="shared" si="19"/>
        <v>2</v>
      </c>
      <c r="AH192">
        <f t="shared" si="20"/>
        <v>2</v>
      </c>
      <c r="AI192">
        <f t="shared" si="21"/>
        <v>2</v>
      </c>
      <c r="AJ192">
        <f t="shared" si="22"/>
        <v>175</v>
      </c>
      <c r="AK192" t="str">
        <f t="shared" si="23"/>
        <v>High</v>
      </c>
    </row>
    <row r="193" spans="1:37" x14ac:dyDescent="0.3">
      <c r="A193">
        <v>98</v>
      </c>
      <c r="B193">
        <v>2022</v>
      </c>
      <c r="C193">
        <v>323</v>
      </c>
      <c r="D193">
        <v>12</v>
      </c>
      <c r="E193">
        <v>11</v>
      </c>
      <c r="F193">
        <v>488.52</v>
      </c>
      <c r="G193">
        <v>3.4056000000000003E-2</v>
      </c>
      <c r="H193">
        <v>6</v>
      </c>
      <c r="I193">
        <v>9</v>
      </c>
      <c r="J193">
        <v>3</v>
      </c>
      <c r="K193">
        <v>2</v>
      </c>
      <c r="L193">
        <v>0</v>
      </c>
      <c r="M193">
        <v>1</v>
      </c>
      <c r="N193">
        <v>1</v>
      </c>
      <c r="O193">
        <v>1</v>
      </c>
      <c r="P193" t="s">
        <v>176</v>
      </c>
      <c r="Q193" t="str">
        <f>VLOOKUP(A193,Cleaned_Seller_Master!$A:$H,2,FALSE)</f>
        <v>Luna Stores 098</v>
      </c>
      <c r="R193" t="str">
        <f>VLOOKUP(A193,Cleaned_Seller_Master!$A:$H,4,FALSE)</f>
        <v>Groceries</v>
      </c>
      <c r="S193" t="str">
        <f>VLOOKUP(A193,Cleaned_Seller_Master!$A:$H,5,FALSE)</f>
        <v>East</v>
      </c>
      <c r="T193" t="str">
        <f>VLOOKUP(A193,Cleaned_Seller_Master!$A:$H,8,FALSE)</f>
        <v>Verified</v>
      </c>
      <c r="U193" t="str">
        <f>VLOOKUP(A193,Cleaned_Seller_Master!$A:$H,7,FALSE)</f>
        <v>16-01-2017</v>
      </c>
      <c r="V193">
        <f>IFERROR(INDEX(Violation_Summary_Seller_Year!$C:$C,MATCH(AD193,Violation_Summary_Seller_Year!$K:$K,0)),0)</f>
        <v>1</v>
      </c>
      <c r="W193">
        <f>IFERROR(INDEX(Violation_Summary_Seller_Year!$D:$D,MATCH(AD193,Violation_Summary_Seller_Year!$K:$K,0)),0)</f>
        <v>2923.98</v>
      </c>
      <c r="X193">
        <f>IFERROR(INDEX(Violation_Summary_Seller_Year!$E:$E,MATCH(AD193,Violation_Summary_Seller_Year!$K:$K,0)),0)</f>
        <v>0</v>
      </c>
      <c r="Y193">
        <f>IFERROR(INDEX(Violation_Summary_Seller_Year!$F:$F,MATCH(AD193,Violation_Summary_Seller_Year!$K:$K,0)),0)</f>
        <v>0</v>
      </c>
      <c r="Z193">
        <f>IFERROR(INDEX(Violation_Summary_Seller_Year!$G:$G,MATCH(AD193,Violation_Summary_Seller_Year!$K:$K,0)),0)</f>
        <v>1</v>
      </c>
      <c r="AA193">
        <f>IFERROR(INDEX(Violation_Summary_Seller_Year!$H:$H,MATCH(AD193,Violation_Summary_Seller_Year!$K:$K,0)),0)</f>
        <v>1</v>
      </c>
      <c r="AB193">
        <f>IFERROR(INDEX(Violation_Summary_Seller_Year!$I:$I,MATCH(AD193,Violation_Summary_Seller_Year!$K:$K,0)),0)</f>
        <v>1</v>
      </c>
      <c r="AC193">
        <f>IFERROR(INDEX(Violation_Summary_Seller_Year!$J:$J,MATCH(AD193,Violation_Summary_Seller_Year!$K:$K,0)),0)</f>
        <v>2</v>
      </c>
      <c r="AD193" t="str">
        <f t="shared" si="16"/>
        <v>98_2022</v>
      </c>
      <c r="AE193">
        <f t="shared" si="17"/>
        <v>0</v>
      </c>
      <c r="AF193">
        <f t="shared" si="18"/>
        <v>1</v>
      </c>
      <c r="AG193">
        <f t="shared" si="19"/>
        <v>1</v>
      </c>
      <c r="AH193">
        <f t="shared" si="20"/>
        <v>0</v>
      </c>
      <c r="AI193">
        <f t="shared" si="21"/>
        <v>1</v>
      </c>
      <c r="AJ193">
        <f t="shared" si="22"/>
        <v>55</v>
      </c>
      <c r="AK193" t="str">
        <f t="shared" si="23"/>
        <v>Low</v>
      </c>
    </row>
    <row r="194" spans="1:37" x14ac:dyDescent="0.3">
      <c r="A194">
        <v>99</v>
      </c>
      <c r="B194">
        <v>2022</v>
      </c>
      <c r="C194">
        <v>428</v>
      </c>
      <c r="D194">
        <v>29</v>
      </c>
      <c r="E194">
        <v>24</v>
      </c>
      <c r="F194">
        <v>2014.68</v>
      </c>
      <c r="G194">
        <v>5.6075E-2</v>
      </c>
      <c r="H194">
        <v>11</v>
      </c>
      <c r="I194">
        <v>15</v>
      </c>
      <c r="J194">
        <v>4</v>
      </c>
      <c r="K194">
        <v>4</v>
      </c>
      <c r="L194">
        <v>0</v>
      </c>
      <c r="M194">
        <v>2</v>
      </c>
      <c r="N194">
        <v>4</v>
      </c>
      <c r="O194">
        <v>2</v>
      </c>
      <c r="P194" t="s">
        <v>85</v>
      </c>
      <c r="Q194" t="str">
        <f>VLOOKUP(A194,Cleaned_Seller_Master!$A:$H,2,FALSE)</f>
        <v>Elite Link 099</v>
      </c>
      <c r="R194" t="str">
        <f>VLOOKUP(A194,Cleaned_Seller_Master!$A:$H,4,FALSE)</f>
        <v>Fashion</v>
      </c>
      <c r="S194" t="str">
        <f>VLOOKUP(A194,Cleaned_Seller_Master!$A:$H,5,FALSE)</f>
        <v>Southeast Asia</v>
      </c>
      <c r="T194" t="str">
        <f>VLOOKUP(A194,Cleaned_Seller_Master!$A:$H,8,FALSE)</f>
        <v>Premium</v>
      </c>
      <c r="U194" t="str">
        <f>VLOOKUP(A194,Cleaned_Seller_Master!$A:$H,7,FALSE)</f>
        <v>09-03-2018</v>
      </c>
      <c r="V194">
        <f>IFERROR(INDEX(Violation_Summary_Seller_Year!$C:$C,MATCH(AD194,Violation_Summary_Seller_Year!$K:$K,0)),0)</f>
        <v>4</v>
      </c>
      <c r="W194">
        <f>IFERROR(INDEX(Violation_Summary_Seller_Year!$D:$D,MATCH(AD194,Violation_Summary_Seller_Year!$K:$K,0)),0)</f>
        <v>13308.3</v>
      </c>
      <c r="X194">
        <f>IFERROR(INDEX(Violation_Summary_Seller_Year!$E:$E,MATCH(AD194,Violation_Summary_Seller_Year!$K:$K,0)),0)</f>
        <v>0</v>
      </c>
      <c r="Y194">
        <f>IFERROR(INDEX(Violation_Summary_Seller_Year!$F:$F,MATCH(AD194,Violation_Summary_Seller_Year!$K:$K,0)),0)</f>
        <v>1</v>
      </c>
      <c r="Z194">
        <f>IFERROR(INDEX(Violation_Summary_Seller_Year!$G:$G,MATCH(AD194,Violation_Summary_Seller_Year!$K:$K,0)),0)</f>
        <v>3</v>
      </c>
      <c r="AA194">
        <f>IFERROR(INDEX(Violation_Summary_Seller_Year!$H:$H,MATCH(AD194,Violation_Summary_Seller_Year!$K:$K,0)),0)</f>
        <v>4</v>
      </c>
      <c r="AB194">
        <f>IFERROR(INDEX(Violation_Summary_Seller_Year!$I:$I,MATCH(AD194,Violation_Summary_Seller_Year!$K:$K,0)),0)</f>
        <v>2</v>
      </c>
      <c r="AC194">
        <f>IFERROR(INDEX(Violation_Summary_Seller_Year!$J:$J,MATCH(AD194,Violation_Summary_Seller_Year!$K:$K,0)),0)</f>
        <v>53</v>
      </c>
      <c r="AD194" t="str">
        <f t="shared" ref="AD194:AD257" si="24">A194&amp;"_"&amp;B194</f>
        <v>99_2022</v>
      </c>
      <c r="AE194">
        <f t="shared" ref="AE194:AE257" si="25">IF(G194&gt;=0.1,2,IF(G194&gt;=0.05,1,0))</f>
        <v>1</v>
      </c>
      <c r="AF194">
        <f t="shared" ref="AF194:AF257" si="26">IF(H194&gt;=8,2,IF(H194&gt;=4,1,0))</f>
        <v>2</v>
      </c>
      <c r="AG194">
        <f t="shared" ref="AG194:AG257" si="27">IF(OR(AA194&gt;=2,V194&gt;=5),2,IF(OR(AA194&gt;=1,V194&gt;=2),1,0))</f>
        <v>2</v>
      </c>
      <c r="AH194">
        <f t="shared" ref="AH194:AH257" si="28">IF(OR(L194=1,X194&gt;=2),2,IF(X194&gt;=1,1,0))</f>
        <v>0</v>
      </c>
      <c r="AI194">
        <f t="shared" ref="AI194:AI257" si="29">IF(OR(P194="Suspended",P194="Blocked"),2,IF(OR(P194="Under Review",P194="Warning",P194="Review Required",P194="Restricted",P194="Watchlist"),1,0))</f>
        <v>2</v>
      </c>
      <c r="AJ194">
        <f t="shared" ref="AJ194:AJ257" si="30">(AE194*25)+(AF194*25)+(AG194*20)+(AH194*20)+(AI194*10)</f>
        <v>135</v>
      </c>
      <c r="AK194" t="str">
        <f t="shared" ref="AK194:AK257" si="31">IF(AJ194&gt;=120,"High",IF(AJ194&gt;=60,"Medium","Low"))</f>
        <v>High</v>
      </c>
    </row>
    <row r="195" spans="1:37" x14ac:dyDescent="0.3">
      <c r="A195">
        <v>100</v>
      </c>
      <c r="B195">
        <v>2022</v>
      </c>
      <c r="C195">
        <v>1046</v>
      </c>
      <c r="D195">
        <v>93</v>
      </c>
      <c r="E195">
        <v>69</v>
      </c>
      <c r="F195">
        <v>3599.75</v>
      </c>
      <c r="G195">
        <v>6.5965999999999997E-2</v>
      </c>
      <c r="H195">
        <v>26</v>
      </c>
      <c r="I195">
        <v>30</v>
      </c>
      <c r="J195">
        <v>13</v>
      </c>
      <c r="K195">
        <v>7</v>
      </c>
      <c r="L195">
        <v>1</v>
      </c>
      <c r="M195">
        <v>5</v>
      </c>
      <c r="N195">
        <v>6</v>
      </c>
      <c r="O195">
        <v>5</v>
      </c>
      <c r="P195" t="s">
        <v>85</v>
      </c>
      <c r="Q195" t="str">
        <f>VLOOKUP(A195,Cleaned_Seller_Master!$A:$H,2,FALSE)</f>
        <v>Nova Cart 100</v>
      </c>
      <c r="R195" t="str">
        <f>VLOOKUP(A195,Cleaned_Seller_Master!$A:$H,4,FALSE)</f>
        <v>Groceries</v>
      </c>
      <c r="S195" t="str">
        <f>VLOOKUP(A195,Cleaned_Seller_Master!$A:$H,5,FALSE)</f>
        <v>Southeast Asia</v>
      </c>
      <c r="T195" t="str">
        <f>VLOOKUP(A195,Cleaned_Seller_Master!$A:$H,8,FALSE)</f>
        <v>Verified</v>
      </c>
      <c r="U195" t="str">
        <f>VLOOKUP(A195,Cleaned_Seller_Master!$A:$H,7,FALSE)</f>
        <v>04-12-2018</v>
      </c>
      <c r="V195">
        <f>IFERROR(INDEX(Violation_Summary_Seller_Year!$C:$C,MATCH(AD195,Violation_Summary_Seller_Year!$K:$K,0)),0)</f>
        <v>6</v>
      </c>
      <c r="W195">
        <f>IFERROR(INDEX(Violation_Summary_Seller_Year!$D:$D,MATCH(AD195,Violation_Summary_Seller_Year!$K:$K,0)),0)</f>
        <v>26594.059999999998</v>
      </c>
      <c r="X195">
        <f>IFERROR(INDEX(Violation_Summary_Seller_Year!$E:$E,MATCH(AD195,Violation_Summary_Seller_Year!$K:$K,0)),0)</f>
        <v>4</v>
      </c>
      <c r="Y195">
        <f>IFERROR(INDEX(Violation_Summary_Seller_Year!$F:$F,MATCH(AD195,Violation_Summary_Seller_Year!$K:$K,0)),0)</f>
        <v>1</v>
      </c>
      <c r="Z195">
        <f>IFERROR(INDEX(Violation_Summary_Seller_Year!$G:$G,MATCH(AD195,Violation_Summary_Seller_Year!$K:$K,0)),0)</f>
        <v>5</v>
      </c>
      <c r="AA195">
        <f>IFERROR(INDEX(Violation_Summary_Seller_Year!$H:$H,MATCH(AD195,Violation_Summary_Seller_Year!$K:$K,0)),0)</f>
        <v>4</v>
      </c>
      <c r="AB195">
        <f>IFERROR(INDEX(Violation_Summary_Seller_Year!$I:$I,MATCH(AD195,Violation_Summary_Seller_Year!$K:$K,0)),0)</f>
        <v>3</v>
      </c>
      <c r="AC195">
        <f>IFERROR(INDEX(Violation_Summary_Seller_Year!$J:$J,MATCH(AD195,Violation_Summary_Seller_Year!$K:$K,0)),0)</f>
        <v>36</v>
      </c>
      <c r="AD195" t="str">
        <f t="shared" si="24"/>
        <v>100_2022</v>
      </c>
      <c r="AE195">
        <f t="shared" si="25"/>
        <v>1</v>
      </c>
      <c r="AF195">
        <f t="shared" si="26"/>
        <v>2</v>
      </c>
      <c r="AG195">
        <f t="shared" si="27"/>
        <v>2</v>
      </c>
      <c r="AH195">
        <f t="shared" si="28"/>
        <v>2</v>
      </c>
      <c r="AI195">
        <f t="shared" si="29"/>
        <v>2</v>
      </c>
      <c r="AJ195">
        <f t="shared" si="30"/>
        <v>175</v>
      </c>
      <c r="AK195" t="str">
        <f t="shared" si="31"/>
        <v>High</v>
      </c>
    </row>
    <row r="196" spans="1:37" x14ac:dyDescent="0.3">
      <c r="A196">
        <v>1</v>
      </c>
      <c r="B196">
        <v>2023</v>
      </c>
      <c r="C196">
        <v>398</v>
      </c>
      <c r="D196">
        <v>20</v>
      </c>
      <c r="E196">
        <v>15</v>
      </c>
      <c r="F196">
        <v>518.55999999999995</v>
      </c>
      <c r="G196">
        <v>3.7687999999999999E-2</v>
      </c>
      <c r="H196">
        <v>10</v>
      </c>
      <c r="I196">
        <v>10</v>
      </c>
      <c r="J196">
        <v>4</v>
      </c>
      <c r="K196">
        <v>4</v>
      </c>
      <c r="L196">
        <v>0</v>
      </c>
      <c r="M196">
        <v>1</v>
      </c>
      <c r="N196">
        <v>2</v>
      </c>
      <c r="O196">
        <v>0</v>
      </c>
      <c r="P196" t="s">
        <v>175</v>
      </c>
      <c r="Q196" t="str">
        <f>VLOOKUP(A196,Cleaned_Seller_Master!$A:$H,2,FALSE)</f>
        <v>Swift Goods 001</v>
      </c>
      <c r="R196" t="str">
        <f>VLOOKUP(A196,Cleaned_Seller_Master!$A:$H,4,FALSE)</f>
        <v>Electronics</v>
      </c>
      <c r="S196" t="str">
        <f>VLOOKUP(A196,Cleaned_Seller_Master!$A:$H,5,FALSE)</f>
        <v>Southeast Asia</v>
      </c>
      <c r="T196" t="str">
        <f>VLOOKUP(A196,Cleaned_Seller_Master!$A:$H,8,FALSE)</f>
        <v>Standard</v>
      </c>
      <c r="U196" t="str">
        <f>VLOOKUP(A196,Cleaned_Seller_Master!$A:$H,7,FALSE)</f>
        <v>01-01-2023</v>
      </c>
      <c r="V196">
        <f>IFERROR(INDEX(Violation_Summary_Seller_Year!$C:$C,MATCH(AD196,Violation_Summary_Seller_Year!$K:$K,0)),0)</f>
        <v>2</v>
      </c>
      <c r="W196">
        <f>IFERROR(INDEX(Violation_Summary_Seller_Year!$D:$D,MATCH(AD196,Violation_Summary_Seller_Year!$K:$K,0)),0)</f>
        <v>1097.6500000000001</v>
      </c>
      <c r="X196">
        <f>IFERROR(INDEX(Violation_Summary_Seller_Year!$E:$E,MATCH(AD196,Violation_Summary_Seller_Year!$K:$K,0)),0)</f>
        <v>0</v>
      </c>
      <c r="Y196">
        <f>IFERROR(INDEX(Violation_Summary_Seller_Year!$F:$F,MATCH(AD196,Violation_Summary_Seller_Year!$K:$K,0)),0)</f>
        <v>1</v>
      </c>
      <c r="Z196">
        <f>IFERROR(INDEX(Violation_Summary_Seller_Year!$G:$G,MATCH(AD196,Violation_Summary_Seller_Year!$K:$K,0)),0)</f>
        <v>1</v>
      </c>
      <c r="AA196">
        <f>IFERROR(INDEX(Violation_Summary_Seller_Year!$H:$H,MATCH(AD196,Violation_Summary_Seller_Year!$K:$K,0)),0)</f>
        <v>0</v>
      </c>
      <c r="AB196">
        <f>IFERROR(INDEX(Violation_Summary_Seller_Year!$I:$I,MATCH(AD196,Violation_Summary_Seller_Year!$K:$K,0)),0)</f>
        <v>0</v>
      </c>
      <c r="AC196">
        <f>IFERROR(INDEX(Violation_Summary_Seller_Year!$J:$J,MATCH(AD196,Violation_Summary_Seller_Year!$K:$K,0)),0)</f>
        <v>5</v>
      </c>
      <c r="AD196" t="str">
        <f t="shared" si="24"/>
        <v>1_2023</v>
      </c>
      <c r="AE196">
        <f t="shared" si="25"/>
        <v>0</v>
      </c>
      <c r="AF196">
        <f t="shared" si="26"/>
        <v>2</v>
      </c>
      <c r="AG196">
        <f t="shared" si="27"/>
        <v>1</v>
      </c>
      <c r="AH196">
        <f t="shared" si="28"/>
        <v>0</v>
      </c>
      <c r="AI196">
        <f t="shared" si="29"/>
        <v>1</v>
      </c>
      <c r="AJ196">
        <f t="shared" si="30"/>
        <v>80</v>
      </c>
      <c r="AK196" t="str">
        <f t="shared" si="31"/>
        <v>Medium</v>
      </c>
    </row>
    <row r="197" spans="1:37" x14ac:dyDescent="0.3">
      <c r="A197">
        <v>2</v>
      </c>
      <c r="B197">
        <v>2023</v>
      </c>
      <c r="C197">
        <v>713</v>
      </c>
      <c r="D197">
        <v>68</v>
      </c>
      <c r="E197">
        <v>64</v>
      </c>
      <c r="F197">
        <v>2858.51</v>
      </c>
      <c r="G197">
        <v>8.9761999999999995E-2</v>
      </c>
      <c r="H197">
        <v>30</v>
      </c>
      <c r="I197">
        <v>30</v>
      </c>
      <c r="J197">
        <v>13</v>
      </c>
      <c r="K197">
        <v>11</v>
      </c>
      <c r="L197">
        <v>1</v>
      </c>
      <c r="M197">
        <v>6</v>
      </c>
      <c r="N197">
        <v>6</v>
      </c>
      <c r="O197">
        <v>3</v>
      </c>
      <c r="P197" t="s">
        <v>85</v>
      </c>
      <c r="Q197" t="str">
        <f>VLOOKUP(A197,Cleaned_Seller_Master!$A:$H,2,FALSE)</f>
        <v>Blue Source 002</v>
      </c>
      <c r="R197" t="str">
        <f>VLOOKUP(A197,Cleaned_Seller_Master!$A:$H,4,FALSE)</f>
        <v>Home</v>
      </c>
      <c r="S197" t="str">
        <f>VLOOKUP(A197,Cleaned_Seller_Master!$A:$H,5,FALSE)</f>
        <v>South</v>
      </c>
      <c r="T197" t="str">
        <f>VLOOKUP(A197,Cleaned_Seller_Master!$A:$H,8,FALSE)</f>
        <v>Verified</v>
      </c>
      <c r="U197" t="str">
        <f>VLOOKUP(A197,Cleaned_Seller_Master!$A:$H,7,FALSE)</f>
        <v>25-01-2022</v>
      </c>
      <c r="V197">
        <f>IFERROR(INDEX(Violation_Summary_Seller_Year!$C:$C,MATCH(AD197,Violation_Summary_Seller_Year!$K:$K,0)),0)</f>
        <v>6</v>
      </c>
      <c r="W197">
        <f>IFERROR(INDEX(Violation_Summary_Seller_Year!$D:$D,MATCH(AD197,Violation_Summary_Seller_Year!$K:$K,0)),0)</f>
        <v>17782.71</v>
      </c>
      <c r="X197">
        <f>IFERROR(INDEX(Violation_Summary_Seller_Year!$E:$E,MATCH(AD197,Violation_Summary_Seller_Year!$K:$K,0)),0)</f>
        <v>5</v>
      </c>
      <c r="Y197">
        <f>IFERROR(INDEX(Violation_Summary_Seller_Year!$F:$F,MATCH(AD197,Violation_Summary_Seller_Year!$K:$K,0)),0)</f>
        <v>4</v>
      </c>
      <c r="Z197">
        <f>IFERROR(INDEX(Violation_Summary_Seller_Year!$G:$G,MATCH(AD197,Violation_Summary_Seller_Year!$K:$K,0)),0)</f>
        <v>2</v>
      </c>
      <c r="AA197">
        <f>IFERROR(INDEX(Violation_Summary_Seller_Year!$H:$H,MATCH(AD197,Violation_Summary_Seller_Year!$K:$K,0)),0)</f>
        <v>5</v>
      </c>
      <c r="AB197">
        <f>IFERROR(INDEX(Violation_Summary_Seller_Year!$I:$I,MATCH(AD197,Violation_Summary_Seller_Year!$K:$K,0)),0)</f>
        <v>3</v>
      </c>
      <c r="AC197">
        <f>IFERROR(INDEX(Violation_Summary_Seller_Year!$J:$J,MATCH(AD197,Violation_Summary_Seller_Year!$K:$K,0)),0)</f>
        <v>43</v>
      </c>
      <c r="AD197" t="str">
        <f t="shared" si="24"/>
        <v>2_2023</v>
      </c>
      <c r="AE197">
        <f t="shared" si="25"/>
        <v>1</v>
      </c>
      <c r="AF197">
        <f t="shared" si="26"/>
        <v>2</v>
      </c>
      <c r="AG197">
        <f t="shared" si="27"/>
        <v>2</v>
      </c>
      <c r="AH197">
        <f t="shared" si="28"/>
        <v>2</v>
      </c>
      <c r="AI197">
        <f t="shared" si="29"/>
        <v>2</v>
      </c>
      <c r="AJ197">
        <f t="shared" si="30"/>
        <v>175</v>
      </c>
      <c r="AK197" t="str">
        <f t="shared" si="31"/>
        <v>High</v>
      </c>
    </row>
    <row r="198" spans="1:37" x14ac:dyDescent="0.3">
      <c r="A198">
        <v>3</v>
      </c>
      <c r="B198">
        <v>2023</v>
      </c>
      <c r="C198">
        <v>547</v>
      </c>
      <c r="D198">
        <v>49</v>
      </c>
      <c r="E198">
        <v>39</v>
      </c>
      <c r="F198">
        <v>3621.02</v>
      </c>
      <c r="G198">
        <v>7.1298E-2</v>
      </c>
      <c r="H198">
        <v>20</v>
      </c>
      <c r="I198">
        <v>23</v>
      </c>
      <c r="J198">
        <v>10</v>
      </c>
      <c r="K198">
        <v>7</v>
      </c>
      <c r="L198">
        <v>1</v>
      </c>
      <c r="M198">
        <v>5</v>
      </c>
      <c r="N198">
        <v>6</v>
      </c>
      <c r="O198">
        <v>4</v>
      </c>
      <c r="P198" t="s">
        <v>85</v>
      </c>
      <c r="Q198" t="str">
        <f>VLOOKUP(A198,Cleaned_Seller_Master!$A:$H,2,FALSE)</f>
        <v>Vertex Supply 003</v>
      </c>
      <c r="R198" t="str">
        <f>VLOOKUP(A198,Cleaned_Seller_Master!$A:$H,4,FALSE)</f>
        <v>Electronics</v>
      </c>
      <c r="S198" t="str">
        <f>VLOOKUP(A198,Cleaned_Seller_Master!$A:$H,5,FALSE)</f>
        <v>West</v>
      </c>
      <c r="T198" t="str">
        <f>VLOOKUP(A198,Cleaned_Seller_Master!$A:$H,8,FALSE)</f>
        <v>Standard</v>
      </c>
      <c r="U198" t="str">
        <f>VLOOKUP(A198,Cleaned_Seller_Master!$A:$H,7,FALSE)</f>
        <v>20-06-2023</v>
      </c>
      <c r="V198">
        <f>IFERROR(INDEX(Violation_Summary_Seller_Year!$C:$C,MATCH(AD198,Violation_Summary_Seller_Year!$K:$K,0)),0)</f>
        <v>4</v>
      </c>
      <c r="W198">
        <f>IFERROR(INDEX(Violation_Summary_Seller_Year!$D:$D,MATCH(AD198,Violation_Summary_Seller_Year!$K:$K,0)),0)</f>
        <v>16711.96</v>
      </c>
      <c r="X198">
        <f>IFERROR(INDEX(Violation_Summary_Seller_Year!$E:$E,MATCH(AD198,Violation_Summary_Seller_Year!$K:$K,0)),0)</f>
        <v>3</v>
      </c>
      <c r="Y198">
        <f>IFERROR(INDEX(Violation_Summary_Seller_Year!$F:$F,MATCH(AD198,Violation_Summary_Seller_Year!$K:$K,0)),0)</f>
        <v>2</v>
      </c>
      <c r="Z198">
        <f>IFERROR(INDEX(Violation_Summary_Seller_Year!$G:$G,MATCH(AD198,Violation_Summary_Seller_Year!$K:$K,0)),0)</f>
        <v>2</v>
      </c>
      <c r="AA198">
        <f>IFERROR(INDEX(Violation_Summary_Seller_Year!$H:$H,MATCH(AD198,Violation_Summary_Seller_Year!$K:$K,0)),0)</f>
        <v>4</v>
      </c>
      <c r="AB198">
        <f>IFERROR(INDEX(Violation_Summary_Seller_Year!$I:$I,MATCH(AD198,Violation_Summary_Seller_Year!$K:$K,0)),0)</f>
        <v>2</v>
      </c>
      <c r="AC198">
        <f>IFERROR(INDEX(Violation_Summary_Seller_Year!$J:$J,MATCH(AD198,Violation_Summary_Seller_Year!$K:$K,0)),0)</f>
        <v>42</v>
      </c>
      <c r="AD198" t="str">
        <f t="shared" si="24"/>
        <v>3_2023</v>
      </c>
      <c r="AE198">
        <f t="shared" si="25"/>
        <v>1</v>
      </c>
      <c r="AF198">
        <f t="shared" si="26"/>
        <v>2</v>
      </c>
      <c r="AG198">
        <f t="shared" si="27"/>
        <v>2</v>
      </c>
      <c r="AH198">
        <f t="shared" si="28"/>
        <v>2</v>
      </c>
      <c r="AI198">
        <f t="shared" si="29"/>
        <v>2</v>
      </c>
      <c r="AJ198">
        <f t="shared" si="30"/>
        <v>175</v>
      </c>
      <c r="AK198" t="str">
        <f t="shared" si="31"/>
        <v>High</v>
      </c>
    </row>
    <row r="199" spans="1:37" x14ac:dyDescent="0.3">
      <c r="A199">
        <v>4</v>
      </c>
      <c r="B199">
        <v>2023</v>
      </c>
      <c r="C199">
        <v>1603</v>
      </c>
      <c r="D199">
        <v>147</v>
      </c>
      <c r="E199">
        <v>121</v>
      </c>
      <c r="F199">
        <v>13785.04</v>
      </c>
      <c r="G199">
        <v>7.5482999999999995E-2</v>
      </c>
      <c r="H199">
        <v>21</v>
      </c>
      <c r="I199">
        <v>52</v>
      </c>
      <c r="J199">
        <v>18</v>
      </c>
      <c r="K199">
        <v>7</v>
      </c>
      <c r="L199">
        <v>1</v>
      </c>
      <c r="M199">
        <v>5</v>
      </c>
      <c r="N199">
        <v>5</v>
      </c>
      <c r="O199">
        <v>11</v>
      </c>
      <c r="P199" t="s">
        <v>85</v>
      </c>
      <c r="Q199" t="str">
        <f>VLOOKUP(A199,Cleaned_Seller_Master!$A:$H,2,FALSE)</f>
        <v>Zen Mart 004</v>
      </c>
      <c r="R199" t="str">
        <f>VLOOKUP(A199,Cleaned_Seller_Master!$A:$H,4,FALSE)</f>
        <v>Fashion</v>
      </c>
      <c r="S199" t="str">
        <f>VLOOKUP(A199,Cleaned_Seller_Master!$A:$H,5,FALSE)</f>
        <v>Southeast Asia</v>
      </c>
      <c r="T199" t="str">
        <f>VLOOKUP(A199,Cleaned_Seller_Master!$A:$H,8,FALSE)</f>
        <v>Standard</v>
      </c>
      <c r="U199" t="str">
        <f>VLOOKUP(A199,Cleaned_Seller_Master!$A:$H,7,FALSE)</f>
        <v>03-12-2021</v>
      </c>
      <c r="V199">
        <f>IFERROR(INDEX(Violation_Summary_Seller_Year!$C:$C,MATCH(AD199,Violation_Summary_Seller_Year!$K:$K,0)),0)</f>
        <v>4</v>
      </c>
      <c r="W199">
        <f>IFERROR(INDEX(Violation_Summary_Seller_Year!$D:$D,MATCH(AD199,Violation_Summary_Seller_Year!$K:$K,0)),0)</f>
        <v>18273.79</v>
      </c>
      <c r="X199">
        <f>IFERROR(INDEX(Violation_Summary_Seller_Year!$E:$E,MATCH(AD199,Violation_Summary_Seller_Year!$K:$K,0)),0)</f>
        <v>3</v>
      </c>
      <c r="Y199">
        <f>IFERROR(INDEX(Violation_Summary_Seller_Year!$F:$F,MATCH(AD199,Violation_Summary_Seller_Year!$K:$K,0)),0)</f>
        <v>4</v>
      </c>
      <c r="Z199">
        <f>IFERROR(INDEX(Violation_Summary_Seller_Year!$G:$G,MATCH(AD199,Violation_Summary_Seller_Year!$K:$K,0)),0)</f>
        <v>0</v>
      </c>
      <c r="AA199">
        <f>IFERROR(INDEX(Violation_Summary_Seller_Year!$H:$H,MATCH(AD199,Violation_Summary_Seller_Year!$K:$K,0)),0)</f>
        <v>4</v>
      </c>
      <c r="AB199">
        <f>IFERROR(INDEX(Violation_Summary_Seller_Year!$I:$I,MATCH(AD199,Violation_Summary_Seller_Year!$K:$K,0)),0)</f>
        <v>2</v>
      </c>
      <c r="AC199">
        <f>IFERROR(INDEX(Violation_Summary_Seller_Year!$J:$J,MATCH(AD199,Violation_Summary_Seller_Year!$K:$K,0)),0)</f>
        <v>31</v>
      </c>
      <c r="AD199" t="str">
        <f t="shared" si="24"/>
        <v>4_2023</v>
      </c>
      <c r="AE199">
        <f t="shared" si="25"/>
        <v>1</v>
      </c>
      <c r="AF199">
        <f t="shared" si="26"/>
        <v>2</v>
      </c>
      <c r="AG199">
        <f t="shared" si="27"/>
        <v>2</v>
      </c>
      <c r="AH199">
        <f t="shared" si="28"/>
        <v>2</v>
      </c>
      <c r="AI199">
        <f t="shared" si="29"/>
        <v>2</v>
      </c>
      <c r="AJ199">
        <f t="shared" si="30"/>
        <v>175</v>
      </c>
      <c r="AK199" t="str">
        <f t="shared" si="31"/>
        <v>High</v>
      </c>
    </row>
    <row r="200" spans="1:37" x14ac:dyDescent="0.3">
      <c r="A200">
        <v>5</v>
      </c>
      <c r="B200">
        <v>2023</v>
      </c>
      <c r="C200">
        <v>631</v>
      </c>
      <c r="D200">
        <v>50</v>
      </c>
      <c r="E200">
        <v>47</v>
      </c>
      <c r="F200">
        <v>3658.1</v>
      </c>
      <c r="G200">
        <v>7.4484999999999996E-2</v>
      </c>
      <c r="H200">
        <v>31</v>
      </c>
      <c r="I200">
        <v>31</v>
      </c>
      <c r="J200">
        <v>8</v>
      </c>
      <c r="K200">
        <v>13</v>
      </c>
      <c r="L200">
        <v>1</v>
      </c>
      <c r="M200">
        <v>5</v>
      </c>
      <c r="N200">
        <v>8</v>
      </c>
      <c r="O200">
        <v>4</v>
      </c>
      <c r="P200" t="s">
        <v>85</v>
      </c>
      <c r="Q200" t="str">
        <f>VLOOKUP(A200,Cleaned_Seller_Master!$A:$H,2,FALSE)</f>
        <v>True House 005</v>
      </c>
      <c r="R200" t="str">
        <f>VLOOKUP(A200,Cleaned_Seller_Master!$A:$H,4,FALSE)</f>
        <v>Fashion</v>
      </c>
      <c r="S200" t="str">
        <f>VLOOKUP(A200,Cleaned_Seller_Master!$A:$H,5,FALSE)</f>
        <v>West</v>
      </c>
      <c r="T200" t="str">
        <f>VLOOKUP(A200,Cleaned_Seller_Master!$A:$H,8,FALSE)</f>
        <v>Standard</v>
      </c>
      <c r="U200" t="str">
        <f>VLOOKUP(A200,Cleaned_Seller_Master!$A:$H,7,FALSE)</f>
        <v>12-06-2020</v>
      </c>
      <c r="V200">
        <f>IFERROR(INDEX(Violation_Summary_Seller_Year!$C:$C,MATCH(AD200,Violation_Summary_Seller_Year!$K:$K,0)),0)</f>
        <v>3</v>
      </c>
      <c r="W200">
        <f>IFERROR(INDEX(Violation_Summary_Seller_Year!$D:$D,MATCH(AD200,Violation_Summary_Seller_Year!$K:$K,0)),0)</f>
        <v>9065.7099999999991</v>
      </c>
      <c r="X200">
        <f>IFERROR(INDEX(Violation_Summary_Seller_Year!$E:$E,MATCH(AD200,Violation_Summary_Seller_Year!$K:$K,0)),0)</f>
        <v>3</v>
      </c>
      <c r="Y200">
        <f>IFERROR(INDEX(Violation_Summary_Seller_Year!$F:$F,MATCH(AD200,Violation_Summary_Seller_Year!$K:$K,0)),0)</f>
        <v>1</v>
      </c>
      <c r="Z200">
        <f>IFERROR(INDEX(Violation_Summary_Seller_Year!$G:$G,MATCH(AD200,Violation_Summary_Seller_Year!$K:$K,0)),0)</f>
        <v>2</v>
      </c>
      <c r="AA200">
        <f>IFERROR(INDEX(Violation_Summary_Seller_Year!$H:$H,MATCH(AD200,Violation_Summary_Seller_Year!$K:$K,0)),0)</f>
        <v>3</v>
      </c>
      <c r="AB200">
        <f>IFERROR(INDEX(Violation_Summary_Seller_Year!$I:$I,MATCH(AD200,Violation_Summary_Seller_Year!$K:$K,0)),0)</f>
        <v>2</v>
      </c>
      <c r="AC200">
        <f>IFERROR(INDEX(Violation_Summary_Seller_Year!$J:$J,MATCH(AD200,Violation_Summary_Seller_Year!$K:$K,0)),0)</f>
        <v>28</v>
      </c>
      <c r="AD200" t="str">
        <f t="shared" si="24"/>
        <v>5_2023</v>
      </c>
      <c r="AE200">
        <f t="shared" si="25"/>
        <v>1</v>
      </c>
      <c r="AF200">
        <f t="shared" si="26"/>
        <v>2</v>
      </c>
      <c r="AG200">
        <f t="shared" si="27"/>
        <v>2</v>
      </c>
      <c r="AH200">
        <f t="shared" si="28"/>
        <v>2</v>
      </c>
      <c r="AI200">
        <f t="shared" si="29"/>
        <v>2</v>
      </c>
      <c r="AJ200">
        <f t="shared" si="30"/>
        <v>175</v>
      </c>
      <c r="AK200" t="str">
        <f t="shared" si="31"/>
        <v>High</v>
      </c>
    </row>
    <row r="201" spans="1:37" x14ac:dyDescent="0.3">
      <c r="A201">
        <v>6</v>
      </c>
      <c r="B201">
        <v>2023</v>
      </c>
      <c r="C201">
        <v>1043</v>
      </c>
      <c r="D201">
        <v>84</v>
      </c>
      <c r="E201">
        <v>62</v>
      </c>
      <c r="F201">
        <v>5478.44</v>
      </c>
      <c r="G201">
        <v>5.9443999999999997E-2</v>
      </c>
      <c r="H201">
        <v>16</v>
      </c>
      <c r="I201">
        <v>30</v>
      </c>
      <c r="J201">
        <v>10</v>
      </c>
      <c r="K201">
        <v>6</v>
      </c>
      <c r="L201">
        <v>1</v>
      </c>
      <c r="M201">
        <v>5</v>
      </c>
      <c r="N201">
        <v>5</v>
      </c>
      <c r="O201">
        <v>5</v>
      </c>
      <c r="P201" t="s">
        <v>85</v>
      </c>
      <c r="Q201" t="str">
        <f>VLOOKUP(A201,Cleaned_Seller_Master!$A:$H,2,FALSE)</f>
        <v>Core Traders 006</v>
      </c>
      <c r="R201" t="str">
        <f>VLOOKUP(A201,Cleaned_Seller_Master!$A:$H,4,FALSE)</f>
        <v>Beauty</v>
      </c>
      <c r="S201" t="str">
        <f>VLOOKUP(A201,Cleaned_Seller_Master!$A:$H,5,FALSE)</f>
        <v>South</v>
      </c>
      <c r="T201" t="str">
        <f>VLOOKUP(A201,Cleaned_Seller_Master!$A:$H,8,FALSE)</f>
        <v>Premium</v>
      </c>
      <c r="U201" t="str">
        <f>VLOOKUP(A201,Cleaned_Seller_Master!$A:$H,7,FALSE)</f>
        <v>21-05-2023</v>
      </c>
      <c r="V201">
        <f>IFERROR(INDEX(Violation_Summary_Seller_Year!$C:$C,MATCH(AD201,Violation_Summary_Seller_Year!$K:$K,0)),0)</f>
        <v>6</v>
      </c>
      <c r="W201">
        <f>IFERROR(INDEX(Violation_Summary_Seller_Year!$D:$D,MATCH(AD201,Violation_Summary_Seller_Year!$K:$K,0)),0)</f>
        <v>11785.35</v>
      </c>
      <c r="X201">
        <f>IFERROR(INDEX(Violation_Summary_Seller_Year!$E:$E,MATCH(AD201,Violation_Summary_Seller_Year!$K:$K,0)),0)</f>
        <v>3</v>
      </c>
      <c r="Y201">
        <f>IFERROR(INDEX(Violation_Summary_Seller_Year!$F:$F,MATCH(AD201,Violation_Summary_Seller_Year!$K:$K,0)),0)</f>
        <v>4</v>
      </c>
      <c r="Z201">
        <f>IFERROR(INDEX(Violation_Summary_Seller_Year!$G:$G,MATCH(AD201,Violation_Summary_Seller_Year!$K:$K,0)),0)</f>
        <v>2</v>
      </c>
      <c r="AA201">
        <f>IFERROR(INDEX(Violation_Summary_Seller_Year!$H:$H,MATCH(AD201,Violation_Summary_Seller_Year!$K:$K,0)),0)</f>
        <v>3</v>
      </c>
      <c r="AB201">
        <f>IFERROR(INDEX(Violation_Summary_Seller_Year!$I:$I,MATCH(AD201,Violation_Summary_Seller_Year!$K:$K,0)),0)</f>
        <v>2</v>
      </c>
      <c r="AC201">
        <f>IFERROR(INDEX(Violation_Summary_Seller_Year!$J:$J,MATCH(AD201,Violation_Summary_Seller_Year!$K:$K,0)),0)</f>
        <v>74</v>
      </c>
      <c r="AD201" t="str">
        <f t="shared" si="24"/>
        <v>6_2023</v>
      </c>
      <c r="AE201">
        <f t="shared" si="25"/>
        <v>1</v>
      </c>
      <c r="AF201">
        <f t="shared" si="26"/>
        <v>2</v>
      </c>
      <c r="AG201">
        <f t="shared" si="27"/>
        <v>2</v>
      </c>
      <c r="AH201">
        <f t="shared" si="28"/>
        <v>2</v>
      </c>
      <c r="AI201">
        <f t="shared" si="29"/>
        <v>2</v>
      </c>
      <c r="AJ201">
        <f t="shared" si="30"/>
        <v>175</v>
      </c>
      <c r="AK201" t="str">
        <f t="shared" si="31"/>
        <v>High</v>
      </c>
    </row>
    <row r="202" spans="1:37" x14ac:dyDescent="0.3">
      <c r="A202">
        <v>7</v>
      </c>
      <c r="B202">
        <v>2023</v>
      </c>
      <c r="C202">
        <v>1308</v>
      </c>
      <c r="D202">
        <v>126</v>
      </c>
      <c r="E202">
        <v>100</v>
      </c>
      <c r="F202">
        <v>4483.95</v>
      </c>
      <c r="G202">
        <v>7.6452999999999993E-2</v>
      </c>
      <c r="H202">
        <v>23</v>
      </c>
      <c r="I202">
        <v>41</v>
      </c>
      <c r="J202">
        <v>17</v>
      </c>
      <c r="K202">
        <v>11</v>
      </c>
      <c r="L202">
        <v>1</v>
      </c>
      <c r="M202">
        <v>5</v>
      </c>
      <c r="N202">
        <v>9</v>
      </c>
      <c r="O202">
        <v>4</v>
      </c>
      <c r="P202" t="s">
        <v>85</v>
      </c>
      <c r="Q202" t="str">
        <f>VLOOKUP(A202,Cleaned_Seller_Master!$A:$H,2,FALSE)</f>
        <v>Urban Works 007</v>
      </c>
      <c r="R202" t="str">
        <f>VLOOKUP(A202,Cleaned_Seller_Master!$A:$H,4,FALSE)</f>
        <v>Fashion</v>
      </c>
      <c r="S202" t="str">
        <f>VLOOKUP(A202,Cleaned_Seller_Master!$A:$H,5,FALSE)</f>
        <v>West</v>
      </c>
      <c r="T202" t="str">
        <f>VLOOKUP(A202,Cleaned_Seller_Master!$A:$H,8,FALSE)</f>
        <v>Premium</v>
      </c>
      <c r="U202" t="str">
        <f>VLOOKUP(A202,Cleaned_Seller_Master!$A:$H,7,FALSE)</f>
        <v>19-04-2018</v>
      </c>
      <c r="V202">
        <f>IFERROR(INDEX(Violation_Summary_Seller_Year!$C:$C,MATCH(AD202,Violation_Summary_Seller_Year!$K:$K,0)),0)</f>
        <v>6</v>
      </c>
      <c r="W202">
        <f>IFERROR(INDEX(Violation_Summary_Seller_Year!$D:$D,MATCH(AD202,Violation_Summary_Seller_Year!$K:$K,0)),0)</f>
        <v>15688.740000000002</v>
      </c>
      <c r="X202">
        <f>IFERROR(INDEX(Violation_Summary_Seller_Year!$E:$E,MATCH(AD202,Violation_Summary_Seller_Year!$K:$K,0)),0)</f>
        <v>1</v>
      </c>
      <c r="Y202">
        <f>IFERROR(INDEX(Violation_Summary_Seller_Year!$F:$F,MATCH(AD202,Violation_Summary_Seller_Year!$K:$K,0)),0)</f>
        <v>4</v>
      </c>
      <c r="Z202">
        <f>IFERROR(INDEX(Violation_Summary_Seller_Year!$G:$G,MATCH(AD202,Violation_Summary_Seller_Year!$K:$K,0)),0)</f>
        <v>2</v>
      </c>
      <c r="AA202">
        <f>IFERROR(INDEX(Violation_Summary_Seller_Year!$H:$H,MATCH(AD202,Violation_Summary_Seller_Year!$K:$K,0)),0)</f>
        <v>4</v>
      </c>
      <c r="AB202">
        <f>IFERROR(INDEX(Violation_Summary_Seller_Year!$I:$I,MATCH(AD202,Violation_Summary_Seller_Year!$K:$K,0)),0)</f>
        <v>1</v>
      </c>
      <c r="AC202">
        <f>IFERROR(INDEX(Violation_Summary_Seller_Year!$J:$J,MATCH(AD202,Violation_Summary_Seller_Year!$K:$K,0)),0)</f>
        <v>64</v>
      </c>
      <c r="AD202" t="str">
        <f t="shared" si="24"/>
        <v>7_2023</v>
      </c>
      <c r="AE202">
        <f t="shared" si="25"/>
        <v>1</v>
      </c>
      <c r="AF202">
        <f t="shared" si="26"/>
        <v>2</v>
      </c>
      <c r="AG202">
        <f t="shared" si="27"/>
        <v>2</v>
      </c>
      <c r="AH202">
        <f t="shared" si="28"/>
        <v>2</v>
      </c>
      <c r="AI202">
        <f t="shared" si="29"/>
        <v>2</v>
      </c>
      <c r="AJ202">
        <f t="shared" si="30"/>
        <v>175</v>
      </c>
      <c r="AK202" t="str">
        <f t="shared" si="31"/>
        <v>High</v>
      </c>
    </row>
    <row r="203" spans="1:37" x14ac:dyDescent="0.3">
      <c r="A203">
        <v>8</v>
      </c>
      <c r="B203">
        <v>2023</v>
      </c>
      <c r="C203">
        <v>1504</v>
      </c>
      <c r="D203">
        <v>117</v>
      </c>
      <c r="E203">
        <v>94</v>
      </c>
      <c r="F203">
        <v>9386.99</v>
      </c>
      <c r="G203">
        <v>6.25E-2</v>
      </c>
      <c r="H203">
        <v>23</v>
      </c>
      <c r="I203">
        <v>45</v>
      </c>
      <c r="J203">
        <v>14</v>
      </c>
      <c r="K203">
        <v>12</v>
      </c>
      <c r="L203">
        <v>1</v>
      </c>
      <c r="M203">
        <v>7</v>
      </c>
      <c r="N203">
        <v>8</v>
      </c>
      <c r="O203">
        <v>6</v>
      </c>
      <c r="P203" t="s">
        <v>85</v>
      </c>
      <c r="Q203" t="str">
        <f>VLOOKUP(A203,Cleaned_Seller_Master!$A:$H,2,FALSE)</f>
        <v>Bright Nest 008</v>
      </c>
      <c r="R203" t="str">
        <f>VLOOKUP(A203,Cleaned_Seller_Master!$A:$H,4,FALSE)</f>
        <v>Fashion</v>
      </c>
      <c r="S203" t="str">
        <f>VLOOKUP(A203,Cleaned_Seller_Master!$A:$H,5,FALSE)</f>
        <v>South</v>
      </c>
      <c r="T203" t="str">
        <f>VLOOKUP(A203,Cleaned_Seller_Master!$A:$H,8,FALSE)</f>
        <v>Verified</v>
      </c>
      <c r="U203" t="str">
        <f>VLOOKUP(A203,Cleaned_Seller_Master!$A:$H,7,FALSE)</f>
        <v>19-12-2021</v>
      </c>
      <c r="V203">
        <f>IFERROR(INDEX(Violation_Summary_Seller_Year!$C:$C,MATCH(AD203,Violation_Summary_Seller_Year!$K:$K,0)),0)</f>
        <v>5</v>
      </c>
      <c r="W203">
        <f>IFERROR(INDEX(Violation_Summary_Seller_Year!$D:$D,MATCH(AD203,Violation_Summary_Seller_Year!$K:$K,0)),0)</f>
        <v>9425.5500000000011</v>
      </c>
      <c r="X203">
        <f>IFERROR(INDEX(Violation_Summary_Seller_Year!$E:$E,MATCH(AD203,Violation_Summary_Seller_Year!$K:$K,0)),0)</f>
        <v>3</v>
      </c>
      <c r="Y203">
        <f>IFERROR(INDEX(Violation_Summary_Seller_Year!$F:$F,MATCH(AD203,Violation_Summary_Seller_Year!$K:$K,0)),0)</f>
        <v>2</v>
      </c>
      <c r="Z203">
        <f>IFERROR(INDEX(Violation_Summary_Seller_Year!$G:$G,MATCH(AD203,Violation_Summary_Seller_Year!$K:$K,0)),0)</f>
        <v>3</v>
      </c>
      <c r="AA203">
        <f>IFERROR(INDEX(Violation_Summary_Seller_Year!$H:$H,MATCH(AD203,Violation_Summary_Seller_Year!$K:$K,0)),0)</f>
        <v>4</v>
      </c>
      <c r="AB203">
        <f>IFERROR(INDEX(Violation_Summary_Seller_Year!$I:$I,MATCH(AD203,Violation_Summary_Seller_Year!$K:$K,0)),0)</f>
        <v>3</v>
      </c>
      <c r="AC203">
        <f>IFERROR(INDEX(Violation_Summary_Seller_Year!$J:$J,MATCH(AD203,Violation_Summary_Seller_Year!$K:$K,0)),0)</f>
        <v>43</v>
      </c>
      <c r="AD203" t="str">
        <f t="shared" si="24"/>
        <v>8_2023</v>
      </c>
      <c r="AE203">
        <f t="shared" si="25"/>
        <v>1</v>
      </c>
      <c r="AF203">
        <f t="shared" si="26"/>
        <v>2</v>
      </c>
      <c r="AG203">
        <f t="shared" si="27"/>
        <v>2</v>
      </c>
      <c r="AH203">
        <f t="shared" si="28"/>
        <v>2</v>
      </c>
      <c r="AI203">
        <f t="shared" si="29"/>
        <v>2</v>
      </c>
      <c r="AJ203">
        <f t="shared" si="30"/>
        <v>175</v>
      </c>
      <c r="AK203" t="str">
        <f t="shared" si="31"/>
        <v>High</v>
      </c>
    </row>
    <row r="204" spans="1:37" x14ac:dyDescent="0.3">
      <c r="A204">
        <v>9</v>
      </c>
      <c r="B204">
        <v>2023</v>
      </c>
      <c r="C204">
        <v>1304</v>
      </c>
      <c r="D204">
        <v>116</v>
      </c>
      <c r="E204">
        <v>91</v>
      </c>
      <c r="F204">
        <v>4173.96</v>
      </c>
      <c r="G204">
        <v>6.9785E-2</v>
      </c>
      <c r="H204">
        <v>11</v>
      </c>
      <c r="I204">
        <v>37</v>
      </c>
      <c r="J204">
        <v>22</v>
      </c>
      <c r="K204">
        <v>5</v>
      </c>
      <c r="L204">
        <v>0</v>
      </c>
      <c r="M204">
        <v>2</v>
      </c>
      <c r="N204">
        <v>3</v>
      </c>
      <c r="O204">
        <v>4</v>
      </c>
      <c r="P204" t="s">
        <v>68</v>
      </c>
      <c r="Q204" t="str">
        <f>VLOOKUP(A204,Cleaned_Seller_Master!$A:$H,2,FALSE)</f>
        <v>Golden Hub 009</v>
      </c>
      <c r="R204" t="str">
        <f>VLOOKUP(A204,Cleaned_Seller_Master!$A:$H,4,FALSE)</f>
        <v>Electronics</v>
      </c>
      <c r="S204" t="str">
        <f>VLOOKUP(A204,Cleaned_Seller_Master!$A:$H,5,FALSE)</f>
        <v>North</v>
      </c>
      <c r="T204" t="str">
        <f>VLOOKUP(A204,Cleaned_Seller_Master!$A:$H,8,FALSE)</f>
        <v>Strategic</v>
      </c>
      <c r="U204" t="str">
        <f>VLOOKUP(A204,Cleaned_Seller_Master!$A:$H,7,FALSE)</f>
        <v>14-11-2020</v>
      </c>
      <c r="V204">
        <f>IFERROR(INDEX(Violation_Summary_Seller_Year!$C:$C,MATCH(AD204,Violation_Summary_Seller_Year!$K:$K,0)),0)</f>
        <v>4</v>
      </c>
      <c r="W204">
        <f>IFERROR(INDEX(Violation_Summary_Seller_Year!$D:$D,MATCH(AD204,Violation_Summary_Seller_Year!$K:$K,0)),0)</f>
        <v>7698.8099999999995</v>
      </c>
      <c r="X204">
        <f>IFERROR(INDEX(Violation_Summary_Seller_Year!$E:$E,MATCH(AD204,Violation_Summary_Seller_Year!$K:$K,0)),0)</f>
        <v>0</v>
      </c>
      <c r="Y204">
        <f>IFERROR(INDEX(Violation_Summary_Seller_Year!$F:$F,MATCH(AD204,Violation_Summary_Seller_Year!$K:$K,0)),0)</f>
        <v>0</v>
      </c>
      <c r="Z204">
        <f>IFERROR(INDEX(Violation_Summary_Seller_Year!$G:$G,MATCH(AD204,Violation_Summary_Seller_Year!$K:$K,0)),0)</f>
        <v>4</v>
      </c>
      <c r="AA204">
        <f>IFERROR(INDEX(Violation_Summary_Seller_Year!$H:$H,MATCH(AD204,Violation_Summary_Seller_Year!$K:$K,0)),0)</f>
        <v>4</v>
      </c>
      <c r="AB204">
        <f>IFERROR(INDEX(Violation_Summary_Seller_Year!$I:$I,MATCH(AD204,Violation_Summary_Seller_Year!$K:$K,0)),0)</f>
        <v>3</v>
      </c>
      <c r="AC204">
        <f>IFERROR(INDEX(Violation_Summary_Seller_Year!$J:$J,MATCH(AD204,Violation_Summary_Seller_Year!$K:$K,0)),0)</f>
        <v>42</v>
      </c>
      <c r="AD204" t="str">
        <f t="shared" si="24"/>
        <v>9_2023</v>
      </c>
      <c r="AE204">
        <f t="shared" si="25"/>
        <v>1</v>
      </c>
      <c r="AF204">
        <f t="shared" si="26"/>
        <v>2</v>
      </c>
      <c r="AG204">
        <f t="shared" si="27"/>
        <v>2</v>
      </c>
      <c r="AH204">
        <f t="shared" si="28"/>
        <v>0</v>
      </c>
      <c r="AI204">
        <f t="shared" si="29"/>
        <v>1</v>
      </c>
      <c r="AJ204">
        <f t="shared" si="30"/>
        <v>125</v>
      </c>
      <c r="AK204" t="str">
        <f t="shared" si="31"/>
        <v>High</v>
      </c>
    </row>
    <row r="205" spans="1:37" x14ac:dyDescent="0.3">
      <c r="A205">
        <v>10</v>
      </c>
      <c r="B205">
        <v>2023</v>
      </c>
      <c r="C205">
        <v>733</v>
      </c>
      <c r="D205">
        <v>48</v>
      </c>
      <c r="E205">
        <v>40</v>
      </c>
      <c r="F205">
        <v>1448.88</v>
      </c>
      <c r="G205">
        <v>5.457E-2</v>
      </c>
      <c r="H205">
        <v>21</v>
      </c>
      <c r="I205">
        <v>21</v>
      </c>
      <c r="J205">
        <v>5</v>
      </c>
      <c r="K205">
        <v>8</v>
      </c>
      <c r="L205">
        <v>0</v>
      </c>
      <c r="M205">
        <v>1</v>
      </c>
      <c r="N205">
        <v>6</v>
      </c>
      <c r="O205">
        <v>3</v>
      </c>
      <c r="P205" t="s">
        <v>175</v>
      </c>
      <c r="Q205" t="str">
        <f>VLOOKUP(A205,Cleaned_Seller_Master!$A:$H,2,FALSE)</f>
        <v>Ever Merchants 010</v>
      </c>
      <c r="R205" t="str">
        <f>VLOOKUP(A205,Cleaned_Seller_Master!$A:$H,4,FALSE)</f>
        <v>Electronics</v>
      </c>
      <c r="S205" t="str">
        <f>VLOOKUP(A205,Cleaned_Seller_Master!$A:$H,5,FALSE)</f>
        <v>North</v>
      </c>
      <c r="T205" t="str">
        <f>VLOOKUP(A205,Cleaned_Seller_Master!$A:$H,8,FALSE)</f>
        <v>Standard</v>
      </c>
      <c r="U205" t="str">
        <f>VLOOKUP(A205,Cleaned_Seller_Master!$A:$H,7,FALSE)</f>
        <v>11-11-2022</v>
      </c>
      <c r="V205">
        <f>IFERROR(INDEX(Violation_Summary_Seller_Year!$C:$C,MATCH(AD205,Violation_Summary_Seller_Year!$K:$K,0)),0)</f>
        <v>3</v>
      </c>
      <c r="W205">
        <f>IFERROR(INDEX(Violation_Summary_Seller_Year!$D:$D,MATCH(AD205,Violation_Summary_Seller_Year!$K:$K,0)),0)</f>
        <v>3691.12</v>
      </c>
      <c r="X205">
        <f>IFERROR(INDEX(Violation_Summary_Seller_Year!$E:$E,MATCH(AD205,Violation_Summary_Seller_Year!$K:$K,0)),0)</f>
        <v>0</v>
      </c>
      <c r="Y205">
        <f>IFERROR(INDEX(Violation_Summary_Seller_Year!$F:$F,MATCH(AD205,Violation_Summary_Seller_Year!$K:$K,0)),0)</f>
        <v>2</v>
      </c>
      <c r="Z205">
        <f>IFERROR(INDEX(Violation_Summary_Seller_Year!$G:$G,MATCH(AD205,Violation_Summary_Seller_Year!$K:$K,0)),0)</f>
        <v>1</v>
      </c>
      <c r="AA205">
        <f>IFERROR(INDEX(Violation_Summary_Seller_Year!$H:$H,MATCH(AD205,Violation_Summary_Seller_Year!$K:$K,0)),0)</f>
        <v>1</v>
      </c>
      <c r="AB205">
        <f>IFERROR(INDEX(Violation_Summary_Seller_Year!$I:$I,MATCH(AD205,Violation_Summary_Seller_Year!$K:$K,0)),0)</f>
        <v>1</v>
      </c>
      <c r="AC205">
        <f>IFERROR(INDEX(Violation_Summary_Seller_Year!$J:$J,MATCH(AD205,Violation_Summary_Seller_Year!$K:$K,0)),0)</f>
        <v>28</v>
      </c>
      <c r="AD205" t="str">
        <f t="shared" si="24"/>
        <v>10_2023</v>
      </c>
      <c r="AE205">
        <f t="shared" si="25"/>
        <v>1</v>
      </c>
      <c r="AF205">
        <f t="shared" si="26"/>
        <v>2</v>
      </c>
      <c r="AG205">
        <f t="shared" si="27"/>
        <v>1</v>
      </c>
      <c r="AH205">
        <f t="shared" si="28"/>
        <v>0</v>
      </c>
      <c r="AI205">
        <f t="shared" si="29"/>
        <v>1</v>
      </c>
      <c r="AJ205">
        <f t="shared" si="30"/>
        <v>105</v>
      </c>
      <c r="AK205" t="str">
        <f t="shared" si="31"/>
        <v>Medium</v>
      </c>
    </row>
    <row r="206" spans="1:37" x14ac:dyDescent="0.3">
      <c r="A206">
        <v>11</v>
      </c>
      <c r="B206">
        <v>2023</v>
      </c>
      <c r="C206">
        <v>862</v>
      </c>
      <c r="D206">
        <v>68</v>
      </c>
      <c r="E206">
        <v>62</v>
      </c>
      <c r="F206">
        <v>5774.28</v>
      </c>
      <c r="G206">
        <v>7.1926000000000004E-2</v>
      </c>
      <c r="H206">
        <v>18</v>
      </c>
      <c r="I206">
        <v>22</v>
      </c>
      <c r="J206">
        <v>10</v>
      </c>
      <c r="K206">
        <v>5</v>
      </c>
      <c r="L206">
        <v>0</v>
      </c>
      <c r="M206">
        <v>2</v>
      </c>
      <c r="N206">
        <v>3</v>
      </c>
      <c r="O206">
        <v>4</v>
      </c>
      <c r="P206" t="s">
        <v>68</v>
      </c>
      <c r="Q206" t="str">
        <f>VLOOKUP(A206,Cleaned_Seller_Master!$A:$H,2,FALSE)</f>
        <v>Orbit Square 011</v>
      </c>
      <c r="R206" t="str">
        <f>VLOOKUP(A206,Cleaned_Seller_Master!$A:$H,4,FALSE)</f>
        <v>Groceries</v>
      </c>
      <c r="S206" t="str">
        <f>VLOOKUP(A206,Cleaned_Seller_Master!$A:$H,5,FALSE)</f>
        <v>South</v>
      </c>
      <c r="T206" t="str">
        <f>VLOOKUP(A206,Cleaned_Seller_Master!$A:$H,8,FALSE)</f>
        <v>Strategic</v>
      </c>
      <c r="U206" t="str">
        <f>VLOOKUP(A206,Cleaned_Seller_Master!$A:$H,7,FALSE)</f>
        <v>10-11-2018</v>
      </c>
      <c r="V206">
        <f>IFERROR(INDEX(Violation_Summary_Seller_Year!$C:$C,MATCH(AD206,Violation_Summary_Seller_Year!$K:$K,0)),0)</f>
        <v>3</v>
      </c>
      <c r="W206">
        <f>IFERROR(INDEX(Violation_Summary_Seller_Year!$D:$D,MATCH(AD206,Violation_Summary_Seller_Year!$K:$K,0)),0)</f>
        <v>6068.96</v>
      </c>
      <c r="X206">
        <f>IFERROR(INDEX(Violation_Summary_Seller_Year!$E:$E,MATCH(AD206,Violation_Summary_Seller_Year!$K:$K,0)),0)</f>
        <v>0</v>
      </c>
      <c r="Y206">
        <f>IFERROR(INDEX(Violation_Summary_Seller_Year!$F:$F,MATCH(AD206,Violation_Summary_Seller_Year!$K:$K,0)),0)</f>
        <v>1</v>
      </c>
      <c r="Z206">
        <f>IFERROR(INDEX(Violation_Summary_Seller_Year!$G:$G,MATCH(AD206,Violation_Summary_Seller_Year!$K:$K,0)),0)</f>
        <v>2</v>
      </c>
      <c r="AA206">
        <f>IFERROR(INDEX(Violation_Summary_Seller_Year!$H:$H,MATCH(AD206,Violation_Summary_Seller_Year!$K:$K,0)),0)</f>
        <v>3</v>
      </c>
      <c r="AB206">
        <f>IFERROR(INDEX(Violation_Summary_Seller_Year!$I:$I,MATCH(AD206,Violation_Summary_Seller_Year!$K:$K,0)),0)</f>
        <v>1</v>
      </c>
      <c r="AC206">
        <f>IFERROR(INDEX(Violation_Summary_Seller_Year!$J:$J,MATCH(AD206,Violation_Summary_Seller_Year!$K:$K,0)),0)</f>
        <v>26</v>
      </c>
      <c r="AD206" t="str">
        <f t="shared" si="24"/>
        <v>11_2023</v>
      </c>
      <c r="AE206">
        <f t="shared" si="25"/>
        <v>1</v>
      </c>
      <c r="AF206">
        <f t="shared" si="26"/>
        <v>2</v>
      </c>
      <c r="AG206">
        <f t="shared" si="27"/>
        <v>2</v>
      </c>
      <c r="AH206">
        <f t="shared" si="28"/>
        <v>0</v>
      </c>
      <c r="AI206">
        <f t="shared" si="29"/>
        <v>1</v>
      </c>
      <c r="AJ206">
        <f t="shared" si="30"/>
        <v>125</v>
      </c>
      <c r="AK206" t="str">
        <f t="shared" si="31"/>
        <v>High</v>
      </c>
    </row>
    <row r="207" spans="1:37" x14ac:dyDescent="0.3">
      <c r="A207">
        <v>12</v>
      </c>
      <c r="B207">
        <v>2023</v>
      </c>
      <c r="C207">
        <v>1164</v>
      </c>
      <c r="D207">
        <v>113</v>
      </c>
      <c r="E207">
        <v>103</v>
      </c>
      <c r="F207">
        <v>6600.73</v>
      </c>
      <c r="G207">
        <v>8.8487999999999997E-2</v>
      </c>
      <c r="H207">
        <v>22</v>
      </c>
      <c r="I207">
        <v>35</v>
      </c>
      <c r="J207">
        <v>16</v>
      </c>
      <c r="K207">
        <v>12</v>
      </c>
      <c r="L207">
        <v>1</v>
      </c>
      <c r="M207">
        <v>6</v>
      </c>
      <c r="N207">
        <v>9</v>
      </c>
      <c r="O207">
        <v>7</v>
      </c>
      <c r="P207" t="s">
        <v>85</v>
      </c>
      <c r="Q207" t="str">
        <f>VLOOKUP(A207,Cleaned_Seller_Master!$A:$H,2,FALSE)</f>
        <v>Pulse Commerce 012</v>
      </c>
      <c r="R207" t="str">
        <f>VLOOKUP(A207,Cleaned_Seller_Master!$A:$H,4,FALSE)</f>
        <v>Groceries</v>
      </c>
      <c r="S207" t="str">
        <f>VLOOKUP(A207,Cleaned_Seller_Master!$A:$H,5,FALSE)</f>
        <v>North</v>
      </c>
      <c r="T207" t="str">
        <f>VLOOKUP(A207,Cleaned_Seller_Master!$A:$H,8,FALSE)</f>
        <v>Verified</v>
      </c>
      <c r="U207" t="str">
        <f>VLOOKUP(A207,Cleaned_Seller_Master!$A:$H,7,FALSE)</f>
        <v>01-08-2023</v>
      </c>
      <c r="V207">
        <f>IFERROR(INDEX(Violation_Summary_Seller_Year!$C:$C,MATCH(AD207,Violation_Summary_Seller_Year!$K:$K,0)),0)</f>
        <v>5</v>
      </c>
      <c r="W207">
        <f>IFERROR(INDEX(Violation_Summary_Seller_Year!$D:$D,MATCH(AD207,Violation_Summary_Seller_Year!$K:$K,0)),0)</f>
        <v>11186.890000000001</v>
      </c>
      <c r="X207">
        <f>IFERROR(INDEX(Violation_Summary_Seller_Year!$E:$E,MATCH(AD207,Violation_Summary_Seller_Year!$K:$K,0)),0)</f>
        <v>3</v>
      </c>
      <c r="Y207">
        <f>IFERROR(INDEX(Violation_Summary_Seller_Year!$F:$F,MATCH(AD207,Violation_Summary_Seller_Year!$K:$K,0)),0)</f>
        <v>4</v>
      </c>
      <c r="Z207">
        <f>IFERROR(INDEX(Violation_Summary_Seller_Year!$G:$G,MATCH(AD207,Violation_Summary_Seller_Year!$K:$K,0)),0)</f>
        <v>1</v>
      </c>
      <c r="AA207">
        <f>IFERROR(INDEX(Violation_Summary_Seller_Year!$H:$H,MATCH(AD207,Violation_Summary_Seller_Year!$K:$K,0)),0)</f>
        <v>4</v>
      </c>
      <c r="AB207">
        <f>IFERROR(INDEX(Violation_Summary_Seller_Year!$I:$I,MATCH(AD207,Violation_Summary_Seller_Year!$K:$K,0)),0)</f>
        <v>1</v>
      </c>
      <c r="AC207">
        <f>IFERROR(INDEX(Violation_Summary_Seller_Year!$J:$J,MATCH(AD207,Violation_Summary_Seller_Year!$K:$K,0)),0)</f>
        <v>44</v>
      </c>
      <c r="AD207" t="str">
        <f t="shared" si="24"/>
        <v>12_2023</v>
      </c>
      <c r="AE207">
        <f t="shared" si="25"/>
        <v>1</v>
      </c>
      <c r="AF207">
        <f t="shared" si="26"/>
        <v>2</v>
      </c>
      <c r="AG207">
        <f t="shared" si="27"/>
        <v>2</v>
      </c>
      <c r="AH207">
        <f t="shared" si="28"/>
        <v>2</v>
      </c>
      <c r="AI207">
        <f t="shared" si="29"/>
        <v>2</v>
      </c>
      <c r="AJ207">
        <f t="shared" si="30"/>
        <v>175</v>
      </c>
      <c r="AK207" t="str">
        <f t="shared" si="31"/>
        <v>High</v>
      </c>
    </row>
    <row r="208" spans="1:37" x14ac:dyDescent="0.3">
      <c r="A208">
        <v>13</v>
      </c>
      <c r="B208">
        <v>2023</v>
      </c>
      <c r="C208">
        <v>991</v>
      </c>
      <c r="D208">
        <v>59</v>
      </c>
      <c r="E208">
        <v>45</v>
      </c>
      <c r="F208">
        <v>2492.59</v>
      </c>
      <c r="G208">
        <v>4.5408999999999998E-2</v>
      </c>
      <c r="H208">
        <v>19</v>
      </c>
      <c r="I208">
        <v>28</v>
      </c>
      <c r="J208">
        <v>8</v>
      </c>
      <c r="K208">
        <v>11</v>
      </c>
      <c r="L208">
        <v>1</v>
      </c>
      <c r="M208">
        <v>2</v>
      </c>
      <c r="N208">
        <v>6</v>
      </c>
      <c r="O208">
        <v>1</v>
      </c>
      <c r="P208" t="s">
        <v>85</v>
      </c>
      <c r="Q208" t="str">
        <f>VLOOKUP(A208,Cleaned_Seller_Master!$A:$H,2,FALSE)</f>
        <v>Summit Bazaar 013</v>
      </c>
      <c r="R208" t="str">
        <f>VLOOKUP(A208,Cleaned_Seller_Master!$A:$H,4,FALSE)</f>
        <v>Groceries</v>
      </c>
      <c r="S208" t="str">
        <f>VLOOKUP(A208,Cleaned_Seller_Master!$A:$H,5,FALSE)</f>
        <v>North</v>
      </c>
      <c r="T208" t="str">
        <f>VLOOKUP(A208,Cleaned_Seller_Master!$A:$H,8,FALSE)</f>
        <v>Premium</v>
      </c>
      <c r="U208" t="str">
        <f>VLOOKUP(A208,Cleaned_Seller_Master!$A:$H,7,FALSE)</f>
        <v>25-02-2025</v>
      </c>
      <c r="V208">
        <f>IFERROR(INDEX(Violation_Summary_Seller_Year!$C:$C,MATCH(AD208,Violation_Summary_Seller_Year!$K:$K,0)),0)</f>
        <v>3</v>
      </c>
      <c r="W208">
        <f>IFERROR(INDEX(Violation_Summary_Seller_Year!$D:$D,MATCH(AD208,Violation_Summary_Seller_Year!$K:$K,0)),0)</f>
        <v>949.96</v>
      </c>
      <c r="X208">
        <f>IFERROR(INDEX(Violation_Summary_Seller_Year!$E:$E,MATCH(AD208,Violation_Summary_Seller_Year!$K:$K,0)),0)</f>
        <v>1</v>
      </c>
      <c r="Y208">
        <f>IFERROR(INDEX(Violation_Summary_Seller_Year!$F:$F,MATCH(AD208,Violation_Summary_Seller_Year!$K:$K,0)),0)</f>
        <v>3</v>
      </c>
      <c r="Z208">
        <f>IFERROR(INDEX(Violation_Summary_Seller_Year!$G:$G,MATCH(AD208,Violation_Summary_Seller_Year!$K:$K,0)),0)</f>
        <v>0</v>
      </c>
      <c r="AA208">
        <f>IFERROR(INDEX(Violation_Summary_Seller_Year!$H:$H,MATCH(AD208,Violation_Summary_Seller_Year!$K:$K,0)),0)</f>
        <v>0</v>
      </c>
      <c r="AB208">
        <f>IFERROR(INDEX(Violation_Summary_Seller_Year!$I:$I,MATCH(AD208,Violation_Summary_Seller_Year!$K:$K,0)),0)</f>
        <v>0</v>
      </c>
      <c r="AC208">
        <f>IFERROR(INDEX(Violation_Summary_Seller_Year!$J:$J,MATCH(AD208,Violation_Summary_Seller_Year!$K:$K,0)),0)</f>
        <v>27</v>
      </c>
      <c r="AD208" t="str">
        <f t="shared" si="24"/>
        <v>13_2023</v>
      </c>
      <c r="AE208">
        <f t="shared" si="25"/>
        <v>0</v>
      </c>
      <c r="AF208">
        <f t="shared" si="26"/>
        <v>2</v>
      </c>
      <c r="AG208">
        <f t="shared" si="27"/>
        <v>1</v>
      </c>
      <c r="AH208">
        <f t="shared" si="28"/>
        <v>2</v>
      </c>
      <c r="AI208">
        <f t="shared" si="29"/>
        <v>2</v>
      </c>
      <c r="AJ208">
        <f t="shared" si="30"/>
        <v>130</v>
      </c>
      <c r="AK208" t="str">
        <f t="shared" si="31"/>
        <v>High</v>
      </c>
    </row>
    <row r="209" spans="1:37" x14ac:dyDescent="0.3">
      <c r="A209">
        <v>14</v>
      </c>
      <c r="B209">
        <v>2023</v>
      </c>
      <c r="C209">
        <v>80</v>
      </c>
      <c r="D209">
        <v>3</v>
      </c>
      <c r="E209">
        <v>2</v>
      </c>
      <c r="F209">
        <v>61.41</v>
      </c>
      <c r="G209">
        <v>2.5000000000000001E-2</v>
      </c>
      <c r="H209">
        <v>4</v>
      </c>
      <c r="I209">
        <v>10</v>
      </c>
      <c r="J209">
        <v>1</v>
      </c>
      <c r="K209">
        <v>1</v>
      </c>
      <c r="L209">
        <v>0</v>
      </c>
      <c r="M209">
        <v>0</v>
      </c>
      <c r="N209">
        <v>1</v>
      </c>
      <c r="O209">
        <v>0</v>
      </c>
      <c r="P209" t="s">
        <v>176</v>
      </c>
      <c r="Q209" t="str">
        <f>VLOOKUP(A209,Cleaned_Seller_Master!$A:$H,2,FALSE)</f>
        <v>Prime Bridge 014</v>
      </c>
      <c r="R209" t="str">
        <f>VLOOKUP(A209,Cleaned_Seller_Master!$A:$H,4,FALSE)</f>
        <v>Groceries</v>
      </c>
      <c r="S209" t="str">
        <f>VLOOKUP(A209,Cleaned_Seller_Master!$A:$H,5,FALSE)</f>
        <v>West</v>
      </c>
      <c r="T209" t="str">
        <f>VLOOKUP(A209,Cleaned_Seller_Master!$A:$H,8,FALSE)</f>
        <v>Strategic</v>
      </c>
      <c r="U209" t="str">
        <f>VLOOKUP(A209,Cleaned_Seller_Master!$A:$H,7,FALSE)</f>
        <v>10-12-2020</v>
      </c>
      <c r="V209">
        <f>IFERROR(INDEX(Violation_Summary_Seller_Year!$C:$C,MATCH(AD209,Violation_Summary_Seller_Year!$K:$K,0)),0)</f>
        <v>1</v>
      </c>
      <c r="W209">
        <f>IFERROR(INDEX(Violation_Summary_Seller_Year!$D:$D,MATCH(AD209,Violation_Summary_Seller_Year!$K:$K,0)),0)</f>
        <v>652.4</v>
      </c>
      <c r="X209">
        <f>IFERROR(INDEX(Violation_Summary_Seller_Year!$E:$E,MATCH(AD209,Violation_Summary_Seller_Year!$K:$K,0)),0)</f>
        <v>0</v>
      </c>
      <c r="Y209">
        <f>IFERROR(INDEX(Violation_Summary_Seller_Year!$F:$F,MATCH(AD209,Violation_Summary_Seller_Year!$K:$K,0)),0)</f>
        <v>1</v>
      </c>
      <c r="Z209">
        <f>IFERROR(INDEX(Violation_Summary_Seller_Year!$G:$G,MATCH(AD209,Violation_Summary_Seller_Year!$K:$K,0)),0)</f>
        <v>0</v>
      </c>
      <c r="AA209">
        <f>IFERROR(INDEX(Violation_Summary_Seller_Year!$H:$H,MATCH(AD209,Violation_Summary_Seller_Year!$K:$K,0)),0)</f>
        <v>0</v>
      </c>
      <c r="AB209">
        <f>IFERROR(INDEX(Violation_Summary_Seller_Year!$I:$I,MATCH(AD209,Violation_Summary_Seller_Year!$K:$K,0)),0)</f>
        <v>0</v>
      </c>
      <c r="AC209">
        <f>IFERROR(INDEX(Violation_Summary_Seller_Year!$J:$J,MATCH(AD209,Violation_Summary_Seller_Year!$K:$K,0)),0)</f>
        <v>4</v>
      </c>
      <c r="AD209" t="str">
        <f t="shared" si="24"/>
        <v>14_2023</v>
      </c>
      <c r="AE209">
        <f t="shared" si="25"/>
        <v>0</v>
      </c>
      <c r="AF209">
        <f t="shared" si="26"/>
        <v>1</v>
      </c>
      <c r="AG209">
        <f t="shared" si="27"/>
        <v>0</v>
      </c>
      <c r="AH209">
        <f t="shared" si="28"/>
        <v>0</v>
      </c>
      <c r="AI209">
        <f t="shared" si="29"/>
        <v>1</v>
      </c>
      <c r="AJ209">
        <f t="shared" si="30"/>
        <v>35</v>
      </c>
      <c r="AK209" t="str">
        <f t="shared" si="31"/>
        <v>Low</v>
      </c>
    </row>
    <row r="210" spans="1:37" x14ac:dyDescent="0.3">
      <c r="A210">
        <v>15</v>
      </c>
      <c r="B210">
        <v>2023</v>
      </c>
      <c r="C210">
        <v>1671</v>
      </c>
      <c r="D210">
        <v>108</v>
      </c>
      <c r="E210">
        <v>80</v>
      </c>
      <c r="F210">
        <v>4045.77</v>
      </c>
      <c r="G210">
        <v>4.7876000000000002E-2</v>
      </c>
      <c r="H210">
        <v>17</v>
      </c>
      <c r="I210">
        <v>42</v>
      </c>
      <c r="J210">
        <v>15</v>
      </c>
      <c r="K210">
        <v>7</v>
      </c>
      <c r="L210">
        <v>1</v>
      </c>
      <c r="M210">
        <v>4</v>
      </c>
      <c r="N210">
        <v>5</v>
      </c>
      <c r="O210">
        <v>4</v>
      </c>
      <c r="P210" t="s">
        <v>85</v>
      </c>
      <c r="Q210" t="str">
        <f>VLOOKUP(A210,Cleaned_Seller_Master!$A:$H,2,FALSE)</f>
        <v>Apex Retail 015</v>
      </c>
      <c r="R210" t="str">
        <f>VLOOKUP(A210,Cleaned_Seller_Master!$A:$H,4,FALSE)</f>
        <v>Electronics</v>
      </c>
      <c r="S210" t="str">
        <f>VLOOKUP(A210,Cleaned_Seller_Master!$A:$H,5,FALSE)</f>
        <v>East</v>
      </c>
      <c r="T210" t="str">
        <f>VLOOKUP(A210,Cleaned_Seller_Master!$A:$H,8,FALSE)</f>
        <v>Premium</v>
      </c>
      <c r="U210" t="str">
        <f>VLOOKUP(A210,Cleaned_Seller_Master!$A:$H,7,FALSE)</f>
        <v>08-10-2021</v>
      </c>
      <c r="V210">
        <f>IFERROR(INDEX(Violation_Summary_Seller_Year!$C:$C,MATCH(AD210,Violation_Summary_Seller_Year!$K:$K,0)),0)</f>
        <v>3</v>
      </c>
      <c r="W210">
        <f>IFERROR(INDEX(Violation_Summary_Seller_Year!$D:$D,MATCH(AD210,Violation_Summary_Seller_Year!$K:$K,0)),0)</f>
        <v>14167.529999999999</v>
      </c>
      <c r="X210">
        <f>IFERROR(INDEX(Violation_Summary_Seller_Year!$E:$E,MATCH(AD210,Violation_Summary_Seller_Year!$K:$K,0)),0)</f>
        <v>2</v>
      </c>
      <c r="Y210">
        <f>IFERROR(INDEX(Violation_Summary_Seller_Year!$F:$F,MATCH(AD210,Violation_Summary_Seller_Year!$K:$K,0)),0)</f>
        <v>3</v>
      </c>
      <c r="Z210">
        <f>IFERROR(INDEX(Violation_Summary_Seller_Year!$G:$G,MATCH(AD210,Violation_Summary_Seller_Year!$K:$K,0)),0)</f>
        <v>0</v>
      </c>
      <c r="AA210">
        <f>IFERROR(INDEX(Violation_Summary_Seller_Year!$H:$H,MATCH(AD210,Violation_Summary_Seller_Year!$K:$K,0)),0)</f>
        <v>2</v>
      </c>
      <c r="AB210">
        <f>IFERROR(INDEX(Violation_Summary_Seller_Year!$I:$I,MATCH(AD210,Violation_Summary_Seller_Year!$K:$K,0)),0)</f>
        <v>2</v>
      </c>
      <c r="AC210">
        <f>IFERROR(INDEX(Violation_Summary_Seller_Year!$J:$J,MATCH(AD210,Violation_Summary_Seller_Year!$K:$K,0)),0)</f>
        <v>23</v>
      </c>
      <c r="AD210" t="str">
        <f t="shared" si="24"/>
        <v>15_2023</v>
      </c>
      <c r="AE210">
        <f t="shared" si="25"/>
        <v>0</v>
      </c>
      <c r="AF210">
        <f t="shared" si="26"/>
        <v>2</v>
      </c>
      <c r="AG210">
        <f t="shared" si="27"/>
        <v>2</v>
      </c>
      <c r="AH210">
        <f t="shared" si="28"/>
        <v>2</v>
      </c>
      <c r="AI210">
        <f t="shared" si="29"/>
        <v>2</v>
      </c>
      <c r="AJ210">
        <f t="shared" si="30"/>
        <v>150</v>
      </c>
      <c r="AK210" t="str">
        <f t="shared" si="31"/>
        <v>High</v>
      </c>
    </row>
    <row r="211" spans="1:37" x14ac:dyDescent="0.3">
      <c r="A211">
        <v>16</v>
      </c>
      <c r="B211">
        <v>2023</v>
      </c>
      <c r="C211">
        <v>1252</v>
      </c>
      <c r="D211">
        <v>106</v>
      </c>
      <c r="E211">
        <v>86</v>
      </c>
      <c r="F211">
        <v>8302.68</v>
      </c>
      <c r="G211">
        <v>6.8690000000000001E-2</v>
      </c>
      <c r="H211">
        <v>23</v>
      </c>
      <c r="I211">
        <v>38</v>
      </c>
      <c r="J211">
        <v>13</v>
      </c>
      <c r="K211">
        <v>7</v>
      </c>
      <c r="L211">
        <v>1</v>
      </c>
      <c r="M211">
        <v>5</v>
      </c>
      <c r="N211">
        <v>5</v>
      </c>
      <c r="O211">
        <v>4</v>
      </c>
      <c r="P211" t="s">
        <v>85</v>
      </c>
      <c r="Q211" t="str">
        <f>VLOOKUP(A211,Cleaned_Seller_Master!$A:$H,2,FALSE)</f>
        <v>Nimbus Market 016</v>
      </c>
      <c r="R211" t="str">
        <f>VLOOKUP(A211,Cleaned_Seller_Master!$A:$H,4,FALSE)</f>
        <v>Groceries</v>
      </c>
      <c r="S211" t="str">
        <f>VLOOKUP(A211,Cleaned_Seller_Master!$A:$H,5,FALSE)</f>
        <v>South</v>
      </c>
      <c r="T211" t="str">
        <f>VLOOKUP(A211,Cleaned_Seller_Master!$A:$H,8,FALSE)</f>
        <v>Standard</v>
      </c>
      <c r="U211" t="str">
        <f>VLOOKUP(A211,Cleaned_Seller_Master!$A:$H,7,FALSE)</f>
        <v>18-04-2025</v>
      </c>
      <c r="V211">
        <f>IFERROR(INDEX(Violation_Summary_Seller_Year!$C:$C,MATCH(AD211,Violation_Summary_Seller_Year!$K:$K,0)),0)</f>
        <v>6</v>
      </c>
      <c r="W211">
        <f>IFERROR(INDEX(Violation_Summary_Seller_Year!$D:$D,MATCH(AD211,Violation_Summary_Seller_Year!$K:$K,0)),0)</f>
        <v>14902.5</v>
      </c>
      <c r="X211">
        <f>IFERROR(INDEX(Violation_Summary_Seller_Year!$E:$E,MATCH(AD211,Violation_Summary_Seller_Year!$K:$K,0)),0)</f>
        <v>3</v>
      </c>
      <c r="Y211">
        <f>IFERROR(INDEX(Violation_Summary_Seller_Year!$F:$F,MATCH(AD211,Violation_Summary_Seller_Year!$K:$K,0)),0)</f>
        <v>2</v>
      </c>
      <c r="Z211">
        <f>IFERROR(INDEX(Violation_Summary_Seller_Year!$G:$G,MATCH(AD211,Violation_Summary_Seller_Year!$K:$K,0)),0)</f>
        <v>4</v>
      </c>
      <c r="AA211">
        <f>IFERROR(INDEX(Violation_Summary_Seller_Year!$H:$H,MATCH(AD211,Violation_Summary_Seller_Year!$K:$K,0)),0)</f>
        <v>4</v>
      </c>
      <c r="AB211">
        <f>IFERROR(INDEX(Violation_Summary_Seller_Year!$I:$I,MATCH(AD211,Violation_Summary_Seller_Year!$K:$K,0)),0)</f>
        <v>3</v>
      </c>
      <c r="AC211">
        <f>IFERROR(INDEX(Violation_Summary_Seller_Year!$J:$J,MATCH(AD211,Violation_Summary_Seller_Year!$K:$K,0)),0)</f>
        <v>59</v>
      </c>
      <c r="AD211" t="str">
        <f t="shared" si="24"/>
        <v>16_2023</v>
      </c>
      <c r="AE211">
        <f t="shared" si="25"/>
        <v>1</v>
      </c>
      <c r="AF211">
        <f t="shared" si="26"/>
        <v>2</v>
      </c>
      <c r="AG211">
        <f t="shared" si="27"/>
        <v>2</v>
      </c>
      <c r="AH211">
        <f t="shared" si="28"/>
        <v>2</v>
      </c>
      <c r="AI211">
        <f t="shared" si="29"/>
        <v>2</v>
      </c>
      <c r="AJ211">
        <f t="shared" si="30"/>
        <v>175</v>
      </c>
      <c r="AK211" t="str">
        <f t="shared" si="31"/>
        <v>High</v>
      </c>
    </row>
    <row r="212" spans="1:37" x14ac:dyDescent="0.3">
      <c r="A212">
        <v>17</v>
      </c>
      <c r="B212">
        <v>2023</v>
      </c>
      <c r="C212">
        <v>1054</v>
      </c>
      <c r="D212">
        <v>80</v>
      </c>
      <c r="E212">
        <v>64</v>
      </c>
      <c r="F212">
        <v>4545.45</v>
      </c>
      <c r="G212">
        <v>6.0720999999999997E-2</v>
      </c>
      <c r="H212">
        <v>11</v>
      </c>
      <c r="I212">
        <v>31</v>
      </c>
      <c r="J212">
        <v>7</v>
      </c>
      <c r="K212">
        <v>6</v>
      </c>
      <c r="L212">
        <v>1</v>
      </c>
      <c r="M212">
        <v>6</v>
      </c>
      <c r="N212">
        <v>4</v>
      </c>
      <c r="O212">
        <v>5</v>
      </c>
      <c r="P212" t="s">
        <v>85</v>
      </c>
      <c r="Q212" t="str">
        <f>VLOOKUP(A212,Cleaned_Seller_Master!$A:$H,2,FALSE)</f>
        <v>Metro Point 017</v>
      </c>
      <c r="R212" t="str">
        <f>VLOOKUP(A212,Cleaned_Seller_Master!$A:$H,4,FALSE)</f>
        <v>Beauty</v>
      </c>
      <c r="S212" t="str">
        <f>VLOOKUP(A212,Cleaned_Seller_Master!$A:$H,5,FALSE)</f>
        <v>North</v>
      </c>
      <c r="T212" t="str">
        <f>VLOOKUP(A212,Cleaned_Seller_Master!$A:$H,8,FALSE)</f>
        <v>Premium</v>
      </c>
      <c r="U212" t="str">
        <f>VLOOKUP(A212,Cleaned_Seller_Master!$A:$H,7,FALSE)</f>
        <v>14-06-2023</v>
      </c>
      <c r="V212">
        <f>IFERROR(INDEX(Violation_Summary_Seller_Year!$C:$C,MATCH(AD212,Violation_Summary_Seller_Year!$K:$K,0)),0)</f>
        <v>6</v>
      </c>
      <c r="W212">
        <f>IFERROR(INDEX(Violation_Summary_Seller_Year!$D:$D,MATCH(AD212,Violation_Summary_Seller_Year!$K:$K,0)),0)</f>
        <v>20337.180000000004</v>
      </c>
      <c r="X212">
        <f>IFERROR(INDEX(Violation_Summary_Seller_Year!$E:$E,MATCH(AD212,Violation_Summary_Seller_Year!$K:$K,0)),0)</f>
        <v>1</v>
      </c>
      <c r="Y212">
        <f>IFERROR(INDEX(Violation_Summary_Seller_Year!$F:$F,MATCH(AD212,Violation_Summary_Seller_Year!$K:$K,0)),0)</f>
        <v>2</v>
      </c>
      <c r="Z212">
        <f>IFERROR(INDEX(Violation_Summary_Seller_Year!$G:$G,MATCH(AD212,Violation_Summary_Seller_Year!$K:$K,0)),0)</f>
        <v>4</v>
      </c>
      <c r="AA212">
        <f>IFERROR(INDEX(Violation_Summary_Seller_Year!$H:$H,MATCH(AD212,Violation_Summary_Seller_Year!$K:$K,0)),0)</f>
        <v>6</v>
      </c>
      <c r="AB212">
        <f>IFERROR(INDEX(Violation_Summary_Seller_Year!$I:$I,MATCH(AD212,Violation_Summary_Seller_Year!$K:$K,0)),0)</f>
        <v>3</v>
      </c>
      <c r="AC212">
        <f>IFERROR(INDEX(Violation_Summary_Seller_Year!$J:$J,MATCH(AD212,Violation_Summary_Seller_Year!$K:$K,0)),0)</f>
        <v>62</v>
      </c>
      <c r="AD212" t="str">
        <f t="shared" si="24"/>
        <v>17_2023</v>
      </c>
      <c r="AE212">
        <f t="shared" si="25"/>
        <v>1</v>
      </c>
      <c r="AF212">
        <f t="shared" si="26"/>
        <v>2</v>
      </c>
      <c r="AG212">
        <f t="shared" si="27"/>
        <v>2</v>
      </c>
      <c r="AH212">
        <f t="shared" si="28"/>
        <v>2</v>
      </c>
      <c r="AI212">
        <f t="shared" si="29"/>
        <v>2</v>
      </c>
      <c r="AJ212">
        <f t="shared" si="30"/>
        <v>175</v>
      </c>
      <c r="AK212" t="str">
        <f t="shared" si="31"/>
        <v>High</v>
      </c>
    </row>
    <row r="213" spans="1:37" x14ac:dyDescent="0.3">
      <c r="A213">
        <v>19</v>
      </c>
      <c r="B213">
        <v>2023</v>
      </c>
      <c r="C213">
        <v>594</v>
      </c>
      <c r="D213">
        <v>27</v>
      </c>
      <c r="E213">
        <v>22</v>
      </c>
      <c r="F213">
        <v>1856.19</v>
      </c>
      <c r="G213">
        <v>3.7037E-2</v>
      </c>
      <c r="H213">
        <v>12</v>
      </c>
      <c r="I213">
        <v>14</v>
      </c>
      <c r="J213">
        <v>6</v>
      </c>
      <c r="K213">
        <v>6</v>
      </c>
      <c r="L213">
        <v>0</v>
      </c>
      <c r="M213">
        <v>2</v>
      </c>
      <c r="N213">
        <v>3</v>
      </c>
      <c r="O213">
        <v>0</v>
      </c>
      <c r="P213" t="s">
        <v>175</v>
      </c>
      <c r="Q213" t="str">
        <f>VLOOKUP(A213,Cleaned_Seller_Master!$A:$H,2,FALSE)</f>
        <v>Elite Link 019</v>
      </c>
      <c r="R213" t="str">
        <f>VLOOKUP(A213,Cleaned_Seller_Master!$A:$H,4,FALSE)</f>
        <v>Groceries</v>
      </c>
      <c r="S213" t="str">
        <f>VLOOKUP(A213,Cleaned_Seller_Master!$A:$H,5,FALSE)</f>
        <v>North</v>
      </c>
      <c r="T213" t="str">
        <f>VLOOKUP(A213,Cleaned_Seller_Master!$A:$H,8,FALSE)</f>
        <v>Standard</v>
      </c>
      <c r="U213" t="str">
        <f>VLOOKUP(A213,Cleaned_Seller_Master!$A:$H,7,FALSE)</f>
        <v>25-02-2018</v>
      </c>
      <c r="V213">
        <f>IFERROR(INDEX(Violation_Summary_Seller_Year!$C:$C,MATCH(AD213,Violation_Summary_Seller_Year!$K:$K,0)),0)</f>
        <v>1</v>
      </c>
      <c r="W213">
        <f>IFERROR(INDEX(Violation_Summary_Seller_Year!$D:$D,MATCH(AD213,Violation_Summary_Seller_Year!$K:$K,0)),0)</f>
        <v>1223.5999999999999</v>
      </c>
      <c r="X213">
        <f>IFERROR(INDEX(Violation_Summary_Seller_Year!$E:$E,MATCH(AD213,Violation_Summary_Seller_Year!$K:$K,0)),0)</f>
        <v>0</v>
      </c>
      <c r="Y213">
        <f>IFERROR(INDEX(Violation_Summary_Seller_Year!$F:$F,MATCH(AD213,Violation_Summary_Seller_Year!$K:$K,0)),0)</f>
        <v>0</v>
      </c>
      <c r="Z213">
        <f>IFERROR(INDEX(Violation_Summary_Seller_Year!$G:$G,MATCH(AD213,Violation_Summary_Seller_Year!$K:$K,0)),0)</f>
        <v>1</v>
      </c>
      <c r="AA213">
        <f>IFERROR(INDEX(Violation_Summary_Seller_Year!$H:$H,MATCH(AD213,Violation_Summary_Seller_Year!$K:$K,0)),0)</f>
        <v>0</v>
      </c>
      <c r="AB213">
        <f>IFERROR(INDEX(Violation_Summary_Seller_Year!$I:$I,MATCH(AD213,Violation_Summary_Seller_Year!$K:$K,0)),0)</f>
        <v>0</v>
      </c>
      <c r="AC213">
        <f>IFERROR(INDEX(Violation_Summary_Seller_Year!$J:$J,MATCH(AD213,Violation_Summary_Seller_Year!$K:$K,0)),0)</f>
        <v>1</v>
      </c>
      <c r="AD213" t="str">
        <f t="shared" si="24"/>
        <v>19_2023</v>
      </c>
      <c r="AE213">
        <f t="shared" si="25"/>
        <v>0</v>
      </c>
      <c r="AF213">
        <f t="shared" si="26"/>
        <v>2</v>
      </c>
      <c r="AG213">
        <f t="shared" si="27"/>
        <v>0</v>
      </c>
      <c r="AH213">
        <f t="shared" si="28"/>
        <v>0</v>
      </c>
      <c r="AI213">
        <f t="shared" si="29"/>
        <v>1</v>
      </c>
      <c r="AJ213">
        <f t="shared" si="30"/>
        <v>60</v>
      </c>
      <c r="AK213" t="str">
        <f t="shared" si="31"/>
        <v>Medium</v>
      </c>
    </row>
    <row r="214" spans="1:37" x14ac:dyDescent="0.3">
      <c r="A214">
        <v>20</v>
      </c>
      <c r="B214">
        <v>2023</v>
      </c>
      <c r="C214">
        <v>2017</v>
      </c>
      <c r="D214">
        <v>184</v>
      </c>
      <c r="E214">
        <v>163</v>
      </c>
      <c r="F214">
        <v>6824.46</v>
      </c>
      <c r="G214">
        <v>8.0812999999999996E-2</v>
      </c>
      <c r="H214">
        <v>21</v>
      </c>
      <c r="I214">
        <v>60</v>
      </c>
      <c r="J214">
        <v>35</v>
      </c>
      <c r="K214">
        <v>6</v>
      </c>
      <c r="L214">
        <v>1</v>
      </c>
      <c r="M214">
        <v>5</v>
      </c>
      <c r="N214">
        <v>5</v>
      </c>
      <c r="O214">
        <v>11</v>
      </c>
      <c r="P214" t="s">
        <v>85</v>
      </c>
      <c r="Q214" t="str">
        <f>VLOOKUP(A214,Cleaned_Seller_Master!$A:$H,2,FALSE)</f>
        <v>Nova Cart 020</v>
      </c>
      <c r="R214" t="str">
        <f>VLOOKUP(A214,Cleaned_Seller_Master!$A:$H,4,FALSE)</f>
        <v>Home</v>
      </c>
      <c r="S214" t="str">
        <f>VLOOKUP(A214,Cleaned_Seller_Master!$A:$H,5,FALSE)</f>
        <v>North</v>
      </c>
      <c r="T214" t="str">
        <f>VLOOKUP(A214,Cleaned_Seller_Master!$A:$H,8,FALSE)</f>
        <v>Verified</v>
      </c>
      <c r="U214" t="str">
        <f>VLOOKUP(A214,Cleaned_Seller_Master!$A:$H,7,FALSE)</f>
        <v>10-08-2021</v>
      </c>
      <c r="V214">
        <f>IFERROR(INDEX(Violation_Summary_Seller_Year!$C:$C,MATCH(AD214,Violation_Summary_Seller_Year!$K:$K,0)),0)</f>
        <v>5</v>
      </c>
      <c r="W214">
        <f>IFERROR(INDEX(Violation_Summary_Seller_Year!$D:$D,MATCH(AD214,Violation_Summary_Seller_Year!$K:$K,0)),0)</f>
        <v>12133.02</v>
      </c>
      <c r="X214">
        <f>IFERROR(INDEX(Violation_Summary_Seller_Year!$E:$E,MATCH(AD214,Violation_Summary_Seller_Year!$K:$K,0)),0)</f>
        <v>4</v>
      </c>
      <c r="Y214">
        <f>IFERROR(INDEX(Violation_Summary_Seller_Year!$F:$F,MATCH(AD214,Violation_Summary_Seller_Year!$K:$K,0)),0)</f>
        <v>3</v>
      </c>
      <c r="Z214">
        <f>IFERROR(INDEX(Violation_Summary_Seller_Year!$G:$G,MATCH(AD214,Violation_Summary_Seller_Year!$K:$K,0)),0)</f>
        <v>2</v>
      </c>
      <c r="AA214">
        <f>IFERROR(INDEX(Violation_Summary_Seller_Year!$H:$H,MATCH(AD214,Violation_Summary_Seller_Year!$K:$K,0)),0)</f>
        <v>4</v>
      </c>
      <c r="AB214">
        <f>IFERROR(INDEX(Violation_Summary_Seller_Year!$I:$I,MATCH(AD214,Violation_Summary_Seller_Year!$K:$K,0)),0)</f>
        <v>2</v>
      </c>
      <c r="AC214">
        <f>IFERROR(INDEX(Violation_Summary_Seller_Year!$J:$J,MATCH(AD214,Violation_Summary_Seller_Year!$K:$K,0)),0)</f>
        <v>55</v>
      </c>
      <c r="AD214" t="str">
        <f t="shared" si="24"/>
        <v>20_2023</v>
      </c>
      <c r="AE214">
        <f t="shared" si="25"/>
        <v>1</v>
      </c>
      <c r="AF214">
        <f t="shared" si="26"/>
        <v>2</v>
      </c>
      <c r="AG214">
        <f t="shared" si="27"/>
        <v>2</v>
      </c>
      <c r="AH214">
        <f t="shared" si="28"/>
        <v>2</v>
      </c>
      <c r="AI214">
        <f t="shared" si="29"/>
        <v>2</v>
      </c>
      <c r="AJ214">
        <f t="shared" si="30"/>
        <v>175</v>
      </c>
      <c r="AK214" t="str">
        <f t="shared" si="31"/>
        <v>High</v>
      </c>
    </row>
    <row r="215" spans="1:37" x14ac:dyDescent="0.3">
      <c r="A215">
        <v>21</v>
      </c>
      <c r="B215">
        <v>2023</v>
      </c>
      <c r="C215">
        <v>1841</v>
      </c>
      <c r="D215">
        <v>149</v>
      </c>
      <c r="E215">
        <v>141</v>
      </c>
      <c r="F215">
        <v>5393.52</v>
      </c>
      <c r="G215">
        <v>7.6589000000000004E-2</v>
      </c>
      <c r="H215">
        <v>26</v>
      </c>
      <c r="I215">
        <v>45</v>
      </c>
      <c r="J215">
        <v>30</v>
      </c>
      <c r="K215">
        <v>11</v>
      </c>
      <c r="L215">
        <v>0</v>
      </c>
      <c r="M215">
        <v>1</v>
      </c>
      <c r="N215">
        <v>5</v>
      </c>
      <c r="O215">
        <v>7</v>
      </c>
      <c r="P215" t="s">
        <v>175</v>
      </c>
      <c r="Q215" t="str">
        <f>VLOOKUP(A215,Cleaned_Seller_Master!$A:$H,2,FALSE)</f>
        <v>Swift Goods 021</v>
      </c>
      <c r="R215" t="str">
        <f>VLOOKUP(A215,Cleaned_Seller_Master!$A:$H,4,FALSE)</f>
        <v>Fashion</v>
      </c>
      <c r="S215" t="str">
        <f>VLOOKUP(A215,Cleaned_Seller_Master!$A:$H,5,FALSE)</f>
        <v>South</v>
      </c>
      <c r="T215" t="str">
        <f>VLOOKUP(A215,Cleaned_Seller_Master!$A:$H,8,FALSE)</f>
        <v>Verified</v>
      </c>
      <c r="U215" t="str">
        <f>VLOOKUP(A215,Cleaned_Seller_Master!$A:$H,7,FALSE)</f>
        <v>11-12-2018</v>
      </c>
      <c r="V215">
        <f>IFERROR(INDEX(Violation_Summary_Seller_Year!$C:$C,MATCH(AD215,Violation_Summary_Seller_Year!$K:$K,0)),0)</f>
        <v>1</v>
      </c>
      <c r="W215">
        <f>IFERROR(INDEX(Violation_Summary_Seller_Year!$D:$D,MATCH(AD215,Violation_Summary_Seller_Year!$K:$K,0)),0)</f>
        <v>511.05</v>
      </c>
      <c r="X215">
        <f>IFERROR(INDEX(Violation_Summary_Seller_Year!$E:$E,MATCH(AD215,Violation_Summary_Seller_Year!$K:$K,0)),0)</f>
        <v>0</v>
      </c>
      <c r="Y215">
        <f>IFERROR(INDEX(Violation_Summary_Seller_Year!$F:$F,MATCH(AD215,Violation_Summary_Seller_Year!$K:$K,0)),0)</f>
        <v>1</v>
      </c>
      <c r="Z215">
        <f>IFERROR(INDEX(Violation_Summary_Seller_Year!$G:$G,MATCH(AD215,Violation_Summary_Seller_Year!$K:$K,0)),0)</f>
        <v>0</v>
      </c>
      <c r="AA215">
        <f>IFERROR(INDEX(Violation_Summary_Seller_Year!$H:$H,MATCH(AD215,Violation_Summary_Seller_Year!$K:$K,0)),0)</f>
        <v>0</v>
      </c>
      <c r="AB215">
        <f>IFERROR(INDEX(Violation_Summary_Seller_Year!$I:$I,MATCH(AD215,Violation_Summary_Seller_Year!$K:$K,0)),0)</f>
        <v>1</v>
      </c>
      <c r="AC215">
        <f>IFERROR(INDEX(Violation_Summary_Seller_Year!$J:$J,MATCH(AD215,Violation_Summary_Seller_Year!$K:$K,0)),0)</f>
        <v>1</v>
      </c>
      <c r="AD215" t="str">
        <f t="shared" si="24"/>
        <v>21_2023</v>
      </c>
      <c r="AE215">
        <f t="shared" si="25"/>
        <v>1</v>
      </c>
      <c r="AF215">
        <f t="shared" si="26"/>
        <v>2</v>
      </c>
      <c r="AG215">
        <f t="shared" si="27"/>
        <v>0</v>
      </c>
      <c r="AH215">
        <f t="shared" si="28"/>
        <v>0</v>
      </c>
      <c r="AI215">
        <f t="shared" si="29"/>
        <v>1</v>
      </c>
      <c r="AJ215">
        <f t="shared" si="30"/>
        <v>85</v>
      </c>
      <c r="AK215" t="str">
        <f t="shared" si="31"/>
        <v>Medium</v>
      </c>
    </row>
    <row r="216" spans="1:37" x14ac:dyDescent="0.3">
      <c r="A216">
        <v>22</v>
      </c>
      <c r="B216">
        <v>2023</v>
      </c>
      <c r="C216">
        <v>844</v>
      </c>
      <c r="D216">
        <v>37</v>
      </c>
      <c r="E216">
        <v>31</v>
      </c>
      <c r="F216">
        <v>2418.1</v>
      </c>
      <c r="G216">
        <v>3.6729999999999999E-2</v>
      </c>
      <c r="H216">
        <v>5</v>
      </c>
      <c r="I216">
        <v>24</v>
      </c>
      <c r="J216">
        <v>4</v>
      </c>
      <c r="K216">
        <v>3</v>
      </c>
      <c r="L216">
        <v>0</v>
      </c>
      <c r="M216">
        <v>1</v>
      </c>
      <c r="N216">
        <v>2</v>
      </c>
      <c r="O216">
        <v>1</v>
      </c>
      <c r="P216" t="s">
        <v>175</v>
      </c>
      <c r="Q216" t="str">
        <f>VLOOKUP(A216,Cleaned_Seller_Master!$A:$H,2,FALSE)</f>
        <v>Blue Source 022</v>
      </c>
      <c r="R216" t="str">
        <f>VLOOKUP(A216,Cleaned_Seller_Master!$A:$H,4,FALSE)</f>
        <v>Electronics</v>
      </c>
      <c r="S216" t="str">
        <f>VLOOKUP(A216,Cleaned_Seller_Master!$A:$H,5,FALSE)</f>
        <v>South</v>
      </c>
      <c r="T216" t="str">
        <f>VLOOKUP(A216,Cleaned_Seller_Master!$A:$H,8,FALSE)</f>
        <v>Strategic</v>
      </c>
      <c r="U216" t="str">
        <f>VLOOKUP(A216,Cleaned_Seller_Master!$A:$H,7,FALSE)</f>
        <v>28-11-2018</v>
      </c>
      <c r="V216">
        <f>IFERROR(INDEX(Violation_Summary_Seller_Year!$C:$C,MATCH(AD216,Violation_Summary_Seller_Year!$K:$K,0)),0)</f>
        <v>2</v>
      </c>
      <c r="W216">
        <f>IFERROR(INDEX(Violation_Summary_Seller_Year!$D:$D,MATCH(AD216,Violation_Summary_Seller_Year!$K:$K,0)),0)</f>
        <v>1654.71</v>
      </c>
      <c r="X216">
        <f>IFERROR(INDEX(Violation_Summary_Seller_Year!$E:$E,MATCH(AD216,Violation_Summary_Seller_Year!$K:$K,0)),0)</f>
        <v>0</v>
      </c>
      <c r="Y216">
        <f>IFERROR(INDEX(Violation_Summary_Seller_Year!$F:$F,MATCH(AD216,Violation_Summary_Seller_Year!$K:$K,0)),0)</f>
        <v>2</v>
      </c>
      <c r="Z216">
        <f>IFERROR(INDEX(Violation_Summary_Seller_Year!$G:$G,MATCH(AD216,Violation_Summary_Seller_Year!$K:$K,0)),0)</f>
        <v>0</v>
      </c>
      <c r="AA216">
        <f>IFERROR(INDEX(Violation_Summary_Seller_Year!$H:$H,MATCH(AD216,Violation_Summary_Seller_Year!$K:$K,0)),0)</f>
        <v>0</v>
      </c>
      <c r="AB216">
        <f>IFERROR(INDEX(Violation_Summary_Seller_Year!$I:$I,MATCH(AD216,Violation_Summary_Seller_Year!$K:$K,0)),0)</f>
        <v>0</v>
      </c>
      <c r="AC216">
        <f>IFERROR(INDEX(Violation_Summary_Seller_Year!$J:$J,MATCH(AD216,Violation_Summary_Seller_Year!$K:$K,0)),0)</f>
        <v>16</v>
      </c>
      <c r="AD216" t="str">
        <f t="shared" si="24"/>
        <v>22_2023</v>
      </c>
      <c r="AE216">
        <f t="shared" si="25"/>
        <v>0</v>
      </c>
      <c r="AF216">
        <f t="shared" si="26"/>
        <v>1</v>
      </c>
      <c r="AG216">
        <f t="shared" si="27"/>
        <v>1</v>
      </c>
      <c r="AH216">
        <f t="shared" si="28"/>
        <v>0</v>
      </c>
      <c r="AI216">
        <f t="shared" si="29"/>
        <v>1</v>
      </c>
      <c r="AJ216">
        <f t="shared" si="30"/>
        <v>55</v>
      </c>
      <c r="AK216" t="str">
        <f t="shared" si="31"/>
        <v>Low</v>
      </c>
    </row>
    <row r="217" spans="1:37" x14ac:dyDescent="0.3">
      <c r="A217">
        <v>23</v>
      </c>
      <c r="B217">
        <v>2023</v>
      </c>
      <c r="C217">
        <v>1064</v>
      </c>
      <c r="D217">
        <v>69</v>
      </c>
      <c r="E217">
        <v>53</v>
      </c>
      <c r="F217">
        <v>4955.26</v>
      </c>
      <c r="G217">
        <v>4.9812000000000002E-2</v>
      </c>
      <c r="H217">
        <v>19</v>
      </c>
      <c r="I217">
        <v>24</v>
      </c>
      <c r="J217">
        <v>12</v>
      </c>
      <c r="K217">
        <v>10</v>
      </c>
      <c r="L217">
        <v>0</v>
      </c>
      <c r="M217">
        <v>3</v>
      </c>
      <c r="N217">
        <v>6</v>
      </c>
      <c r="O217">
        <v>3</v>
      </c>
      <c r="P217" t="s">
        <v>175</v>
      </c>
      <c r="Q217" t="str">
        <f>VLOOKUP(A217,Cleaned_Seller_Master!$A:$H,2,FALSE)</f>
        <v>Vertex Supply 023</v>
      </c>
      <c r="R217" t="str">
        <f>VLOOKUP(A217,Cleaned_Seller_Master!$A:$H,4,FALSE)</f>
        <v>Home</v>
      </c>
      <c r="S217" t="str">
        <f>VLOOKUP(A217,Cleaned_Seller_Master!$A:$H,5,FALSE)</f>
        <v>Southeast Asia</v>
      </c>
      <c r="T217" t="str">
        <f>VLOOKUP(A217,Cleaned_Seller_Master!$A:$H,8,FALSE)</f>
        <v>Standard</v>
      </c>
      <c r="U217" t="str">
        <f>VLOOKUP(A217,Cleaned_Seller_Master!$A:$H,7,FALSE)</f>
        <v>07-05-2023</v>
      </c>
      <c r="V217">
        <f>IFERROR(INDEX(Violation_Summary_Seller_Year!$C:$C,MATCH(AD217,Violation_Summary_Seller_Year!$K:$K,0)),0)</f>
        <v>1</v>
      </c>
      <c r="W217">
        <f>IFERROR(INDEX(Violation_Summary_Seller_Year!$D:$D,MATCH(AD217,Violation_Summary_Seller_Year!$K:$K,0)),0)</f>
        <v>543.25</v>
      </c>
      <c r="X217">
        <f>IFERROR(INDEX(Violation_Summary_Seller_Year!$E:$E,MATCH(AD217,Violation_Summary_Seller_Year!$K:$K,0)),0)</f>
        <v>0</v>
      </c>
      <c r="Y217">
        <f>IFERROR(INDEX(Violation_Summary_Seller_Year!$F:$F,MATCH(AD217,Violation_Summary_Seller_Year!$K:$K,0)),0)</f>
        <v>1</v>
      </c>
      <c r="Z217">
        <f>IFERROR(INDEX(Violation_Summary_Seller_Year!$G:$G,MATCH(AD217,Violation_Summary_Seller_Year!$K:$K,0)),0)</f>
        <v>0</v>
      </c>
      <c r="AA217">
        <f>IFERROR(INDEX(Violation_Summary_Seller_Year!$H:$H,MATCH(AD217,Violation_Summary_Seller_Year!$K:$K,0)),0)</f>
        <v>0</v>
      </c>
      <c r="AB217">
        <f>IFERROR(INDEX(Violation_Summary_Seller_Year!$I:$I,MATCH(AD217,Violation_Summary_Seller_Year!$K:$K,0)),0)</f>
        <v>0</v>
      </c>
      <c r="AC217">
        <f>IFERROR(INDEX(Violation_Summary_Seller_Year!$J:$J,MATCH(AD217,Violation_Summary_Seller_Year!$K:$K,0)),0)</f>
        <v>2</v>
      </c>
      <c r="AD217" t="str">
        <f t="shared" si="24"/>
        <v>23_2023</v>
      </c>
      <c r="AE217">
        <f t="shared" si="25"/>
        <v>0</v>
      </c>
      <c r="AF217">
        <f t="shared" si="26"/>
        <v>2</v>
      </c>
      <c r="AG217">
        <f t="shared" si="27"/>
        <v>0</v>
      </c>
      <c r="AH217">
        <f t="shared" si="28"/>
        <v>0</v>
      </c>
      <c r="AI217">
        <f t="shared" si="29"/>
        <v>1</v>
      </c>
      <c r="AJ217">
        <f t="shared" si="30"/>
        <v>60</v>
      </c>
      <c r="AK217" t="str">
        <f t="shared" si="31"/>
        <v>Medium</v>
      </c>
    </row>
    <row r="218" spans="1:37" x14ac:dyDescent="0.3">
      <c r="A218">
        <v>24</v>
      </c>
      <c r="B218">
        <v>2023</v>
      </c>
      <c r="C218">
        <v>2408</v>
      </c>
      <c r="D218">
        <v>147</v>
      </c>
      <c r="E218">
        <v>137</v>
      </c>
      <c r="F218">
        <v>8710.77</v>
      </c>
      <c r="G218">
        <v>5.6894E-2</v>
      </c>
      <c r="H218">
        <v>17</v>
      </c>
      <c r="I218">
        <v>50</v>
      </c>
      <c r="J218">
        <v>14</v>
      </c>
      <c r="K218">
        <v>8</v>
      </c>
      <c r="L218">
        <v>1</v>
      </c>
      <c r="M218">
        <v>3</v>
      </c>
      <c r="N218">
        <v>7</v>
      </c>
      <c r="O218">
        <v>8</v>
      </c>
      <c r="P218" t="s">
        <v>85</v>
      </c>
      <c r="Q218" t="str">
        <f>VLOOKUP(A218,Cleaned_Seller_Master!$A:$H,2,FALSE)</f>
        <v>Zen Mart 024</v>
      </c>
      <c r="R218" t="str">
        <f>VLOOKUP(A218,Cleaned_Seller_Master!$A:$H,4,FALSE)</f>
        <v>Electronics</v>
      </c>
      <c r="S218" t="str">
        <f>VLOOKUP(A218,Cleaned_Seller_Master!$A:$H,5,FALSE)</f>
        <v>North</v>
      </c>
      <c r="T218" t="str">
        <f>VLOOKUP(A218,Cleaned_Seller_Master!$A:$H,8,FALSE)</f>
        <v>Verified</v>
      </c>
      <c r="U218" t="str">
        <f>VLOOKUP(A218,Cleaned_Seller_Master!$A:$H,7,FALSE)</f>
        <v>18-02-2018</v>
      </c>
      <c r="V218">
        <f>IFERROR(INDEX(Violation_Summary_Seller_Year!$C:$C,MATCH(AD218,Violation_Summary_Seller_Year!$K:$K,0)),0)</f>
        <v>2</v>
      </c>
      <c r="W218">
        <f>IFERROR(INDEX(Violation_Summary_Seller_Year!$D:$D,MATCH(AD218,Violation_Summary_Seller_Year!$K:$K,0)),0)</f>
        <v>3524.0199999999995</v>
      </c>
      <c r="X218">
        <f>IFERROR(INDEX(Violation_Summary_Seller_Year!$E:$E,MATCH(AD218,Violation_Summary_Seller_Year!$K:$K,0)),0)</f>
        <v>0</v>
      </c>
      <c r="Y218">
        <f>IFERROR(INDEX(Violation_Summary_Seller_Year!$F:$F,MATCH(AD218,Violation_Summary_Seller_Year!$K:$K,0)),0)</f>
        <v>1</v>
      </c>
      <c r="Z218">
        <f>IFERROR(INDEX(Violation_Summary_Seller_Year!$G:$G,MATCH(AD218,Violation_Summary_Seller_Year!$K:$K,0)),0)</f>
        <v>1</v>
      </c>
      <c r="AA218">
        <f>IFERROR(INDEX(Violation_Summary_Seller_Year!$H:$H,MATCH(AD218,Violation_Summary_Seller_Year!$K:$K,0)),0)</f>
        <v>1</v>
      </c>
      <c r="AB218">
        <f>IFERROR(INDEX(Violation_Summary_Seller_Year!$I:$I,MATCH(AD218,Violation_Summary_Seller_Year!$K:$K,0)),0)</f>
        <v>2</v>
      </c>
      <c r="AC218">
        <f>IFERROR(INDEX(Violation_Summary_Seller_Year!$J:$J,MATCH(AD218,Violation_Summary_Seller_Year!$K:$K,0)),0)</f>
        <v>19</v>
      </c>
      <c r="AD218" t="str">
        <f t="shared" si="24"/>
        <v>24_2023</v>
      </c>
      <c r="AE218">
        <f t="shared" si="25"/>
        <v>1</v>
      </c>
      <c r="AF218">
        <f t="shared" si="26"/>
        <v>2</v>
      </c>
      <c r="AG218">
        <f t="shared" si="27"/>
        <v>1</v>
      </c>
      <c r="AH218">
        <f t="shared" si="28"/>
        <v>2</v>
      </c>
      <c r="AI218">
        <f t="shared" si="29"/>
        <v>2</v>
      </c>
      <c r="AJ218">
        <f t="shared" si="30"/>
        <v>155</v>
      </c>
      <c r="AK218" t="str">
        <f t="shared" si="31"/>
        <v>High</v>
      </c>
    </row>
    <row r="219" spans="1:37" x14ac:dyDescent="0.3">
      <c r="A219">
        <v>25</v>
      </c>
      <c r="B219">
        <v>2023</v>
      </c>
      <c r="C219">
        <v>1222</v>
      </c>
      <c r="D219">
        <v>73</v>
      </c>
      <c r="E219">
        <v>70</v>
      </c>
      <c r="F219">
        <v>5231.34</v>
      </c>
      <c r="G219">
        <v>5.7283000000000001E-2</v>
      </c>
      <c r="H219">
        <v>20</v>
      </c>
      <c r="I219">
        <v>32</v>
      </c>
      <c r="J219">
        <v>15</v>
      </c>
      <c r="K219">
        <v>8</v>
      </c>
      <c r="L219">
        <v>0</v>
      </c>
      <c r="M219">
        <v>3</v>
      </c>
      <c r="N219">
        <v>5</v>
      </c>
      <c r="O219">
        <v>5</v>
      </c>
      <c r="P219" t="s">
        <v>175</v>
      </c>
      <c r="Q219" t="str">
        <f>VLOOKUP(A219,Cleaned_Seller_Master!$A:$H,2,FALSE)</f>
        <v>True House 025</v>
      </c>
      <c r="R219" t="str">
        <f>VLOOKUP(A219,Cleaned_Seller_Master!$A:$H,4,FALSE)</f>
        <v>Beauty</v>
      </c>
      <c r="S219" t="str">
        <f>VLOOKUP(A219,Cleaned_Seller_Master!$A:$H,5,FALSE)</f>
        <v>West</v>
      </c>
      <c r="T219" t="str">
        <f>VLOOKUP(A219,Cleaned_Seller_Master!$A:$H,8,FALSE)</f>
        <v>Strategic</v>
      </c>
      <c r="U219" t="str">
        <f>VLOOKUP(A219,Cleaned_Seller_Master!$A:$H,7,FALSE)</f>
        <v>26-10-2021</v>
      </c>
      <c r="V219">
        <f>IFERROR(INDEX(Violation_Summary_Seller_Year!$C:$C,MATCH(AD219,Violation_Summary_Seller_Year!$K:$K,0)),0)</f>
        <v>1</v>
      </c>
      <c r="W219">
        <f>IFERROR(INDEX(Violation_Summary_Seller_Year!$D:$D,MATCH(AD219,Violation_Summary_Seller_Year!$K:$K,0)),0)</f>
        <v>170.51</v>
      </c>
      <c r="X219">
        <f>IFERROR(INDEX(Violation_Summary_Seller_Year!$E:$E,MATCH(AD219,Violation_Summary_Seller_Year!$K:$K,0)),0)</f>
        <v>0</v>
      </c>
      <c r="Y219">
        <f>IFERROR(INDEX(Violation_Summary_Seller_Year!$F:$F,MATCH(AD219,Violation_Summary_Seller_Year!$K:$K,0)),0)</f>
        <v>0</v>
      </c>
      <c r="Z219">
        <f>IFERROR(INDEX(Violation_Summary_Seller_Year!$G:$G,MATCH(AD219,Violation_Summary_Seller_Year!$K:$K,0)),0)</f>
        <v>1</v>
      </c>
      <c r="AA219">
        <f>IFERROR(INDEX(Violation_Summary_Seller_Year!$H:$H,MATCH(AD219,Violation_Summary_Seller_Year!$K:$K,0)),0)</f>
        <v>0</v>
      </c>
      <c r="AB219">
        <f>IFERROR(INDEX(Violation_Summary_Seller_Year!$I:$I,MATCH(AD219,Violation_Summary_Seller_Year!$K:$K,0)),0)</f>
        <v>1</v>
      </c>
      <c r="AC219">
        <f>IFERROR(INDEX(Violation_Summary_Seller_Year!$J:$J,MATCH(AD219,Violation_Summary_Seller_Year!$K:$K,0)),0)</f>
        <v>4</v>
      </c>
      <c r="AD219" t="str">
        <f t="shared" si="24"/>
        <v>25_2023</v>
      </c>
      <c r="AE219">
        <f t="shared" si="25"/>
        <v>1</v>
      </c>
      <c r="AF219">
        <f t="shared" si="26"/>
        <v>2</v>
      </c>
      <c r="AG219">
        <f t="shared" si="27"/>
        <v>0</v>
      </c>
      <c r="AH219">
        <f t="shared" si="28"/>
        <v>0</v>
      </c>
      <c r="AI219">
        <f t="shared" si="29"/>
        <v>1</v>
      </c>
      <c r="AJ219">
        <f t="shared" si="30"/>
        <v>85</v>
      </c>
      <c r="AK219" t="str">
        <f t="shared" si="31"/>
        <v>Medium</v>
      </c>
    </row>
    <row r="220" spans="1:37" x14ac:dyDescent="0.3">
      <c r="A220">
        <v>26</v>
      </c>
      <c r="B220">
        <v>2023</v>
      </c>
      <c r="C220">
        <v>869</v>
      </c>
      <c r="D220">
        <v>88</v>
      </c>
      <c r="E220">
        <v>69</v>
      </c>
      <c r="F220">
        <v>4960.01</v>
      </c>
      <c r="G220">
        <v>7.9402E-2</v>
      </c>
      <c r="H220">
        <v>26</v>
      </c>
      <c r="I220">
        <v>27</v>
      </c>
      <c r="J220">
        <v>10</v>
      </c>
      <c r="K220">
        <v>13</v>
      </c>
      <c r="L220">
        <v>1</v>
      </c>
      <c r="M220">
        <v>4</v>
      </c>
      <c r="N220">
        <v>7</v>
      </c>
      <c r="O220">
        <v>3</v>
      </c>
      <c r="P220" t="s">
        <v>85</v>
      </c>
      <c r="Q220" t="str">
        <f>VLOOKUP(A220,Cleaned_Seller_Master!$A:$H,2,FALSE)</f>
        <v>Core Traders 026</v>
      </c>
      <c r="R220" t="str">
        <f>VLOOKUP(A220,Cleaned_Seller_Master!$A:$H,4,FALSE)</f>
        <v>Beauty</v>
      </c>
      <c r="S220" t="str">
        <f>VLOOKUP(A220,Cleaned_Seller_Master!$A:$H,5,FALSE)</f>
        <v>East</v>
      </c>
      <c r="T220" t="str">
        <f>VLOOKUP(A220,Cleaned_Seller_Master!$A:$H,8,FALSE)</f>
        <v>Standard</v>
      </c>
      <c r="U220" t="str">
        <f>VLOOKUP(A220,Cleaned_Seller_Master!$A:$H,7,FALSE)</f>
        <v>18-12-2019</v>
      </c>
      <c r="V220">
        <f>IFERROR(INDEX(Violation_Summary_Seller_Year!$C:$C,MATCH(AD220,Violation_Summary_Seller_Year!$K:$K,0)),0)</f>
        <v>6</v>
      </c>
      <c r="W220">
        <f>IFERROR(INDEX(Violation_Summary_Seller_Year!$D:$D,MATCH(AD220,Violation_Summary_Seller_Year!$K:$K,0)),0)</f>
        <v>5993.2099999999991</v>
      </c>
      <c r="X220">
        <f>IFERROR(INDEX(Violation_Summary_Seller_Year!$E:$E,MATCH(AD220,Violation_Summary_Seller_Year!$K:$K,0)),0)</f>
        <v>1</v>
      </c>
      <c r="Y220">
        <f>IFERROR(INDEX(Violation_Summary_Seller_Year!$F:$F,MATCH(AD220,Violation_Summary_Seller_Year!$K:$K,0)),0)</f>
        <v>4</v>
      </c>
      <c r="Z220">
        <f>IFERROR(INDEX(Violation_Summary_Seller_Year!$G:$G,MATCH(AD220,Violation_Summary_Seller_Year!$K:$K,0)),0)</f>
        <v>2</v>
      </c>
      <c r="AA220">
        <f>IFERROR(INDEX(Violation_Summary_Seller_Year!$H:$H,MATCH(AD220,Violation_Summary_Seller_Year!$K:$K,0)),0)</f>
        <v>3</v>
      </c>
      <c r="AB220">
        <f>IFERROR(INDEX(Violation_Summary_Seller_Year!$I:$I,MATCH(AD220,Violation_Summary_Seller_Year!$K:$K,0)),0)</f>
        <v>2</v>
      </c>
      <c r="AC220">
        <f>IFERROR(INDEX(Violation_Summary_Seller_Year!$J:$J,MATCH(AD220,Violation_Summary_Seller_Year!$K:$K,0)),0)</f>
        <v>71</v>
      </c>
      <c r="AD220" t="str">
        <f t="shared" si="24"/>
        <v>26_2023</v>
      </c>
      <c r="AE220">
        <f t="shared" si="25"/>
        <v>1</v>
      </c>
      <c r="AF220">
        <f t="shared" si="26"/>
        <v>2</v>
      </c>
      <c r="AG220">
        <f t="shared" si="27"/>
        <v>2</v>
      </c>
      <c r="AH220">
        <f t="shared" si="28"/>
        <v>2</v>
      </c>
      <c r="AI220">
        <f t="shared" si="29"/>
        <v>2</v>
      </c>
      <c r="AJ220">
        <f t="shared" si="30"/>
        <v>175</v>
      </c>
      <c r="AK220" t="str">
        <f t="shared" si="31"/>
        <v>High</v>
      </c>
    </row>
    <row r="221" spans="1:37" x14ac:dyDescent="0.3">
      <c r="A221">
        <v>27</v>
      </c>
      <c r="B221">
        <v>2023</v>
      </c>
      <c r="C221">
        <v>799</v>
      </c>
      <c r="D221">
        <v>83</v>
      </c>
      <c r="E221">
        <v>65</v>
      </c>
      <c r="F221">
        <v>6184.87</v>
      </c>
      <c r="G221">
        <v>8.1351999999999994E-2</v>
      </c>
      <c r="H221">
        <v>35</v>
      </c>
      <c r="I221">
        <v>35</v>
      </c>
      <c r="J221">
        <v>9</v>
      </c>
      <c r="K221">
        <v>15</v>
      </c>
      <c r="L221">
        <v>0</v>
      </c>
      <c r="M221">
        <v>5</v>
      </c>
      <c r="N221">
        <v>8</v>
      </c>
      <c r="O221">
        <v>4</v>
      </c>
      <c r="P221" t="s">
        <v>175</v>
      </c>
      <c r="Q221" t="str">
        <f>VLOOKUP(A221,Cleaned_Seller_Master!$A:$H,2,FALSE)</f>
        <v>Urban Works 027</v>
      </c>
      <c r="R221" t="str">
        <f>VLOOKUP(A221,Cleaned_Seller_Master!$A:$H,4,FALSE)</f>
        <v>Groceries</v>
      </c>
      <c r="S221" t="str">
        <f>VLOOKUP(A221,Cleaned_Seller_Master!$A:$H,5,FALSE)</f>
        <v>West</v>
      </c>
      <c r="T221" t="str">
        <f>VLOOKUP(A221,Cleaned_Seller_Master!$A:$H,8,FALSE)</f>
        <v>Standard</v>
      </c>
      <c r="U221" t="str">
        <f>VLOOKUP(A221,Cleaned_Seller_Master!$A:$H,7,FALSE)</f>
        <v>21-02-2018</v>
      </c>
      <c r="V221">
        <f>IFERROR(INDEX(Violation_Summary_Seller_Year!$C:$C,MATCH(AD221,Violation_Summary_Seller_Year!$K:$K,0)),0)</f>
        <v>3</v>
      </c>
      <c r="W221">
        <f>IFERROR(INDEX(Violation_Summary_Seller_Year!$D:$D,MATCH(AD221,Violation_Summary_Seller_Year!$K:$K,0)),0)</f>
        <v>668.98</v>
      </c>
      <c r="X221">
        <f>IFERROR(INDEX(Violation_Summary_Seller_Year!$E:$E,MATCH(AD221,Violation_Summary_Seller_Year!$K:$K,0)),0)</f>
        <v>0</v>
      </c>
      <c r="Y221">
        <f>IFERROR(INDEX(Violation_Summary_Seller_Year!$F:$F,MATCH(AD221,Violation_Summary_Seller_Year!$K:$K,0)),0)</f>
        <v>3</v>
      </c>
      <c r="Z221">
        <f>IFERROR(INDEX(Violation_Summary_Seller_Year!$G:$G,MATCH(AD221,Violation_Summary_Seller_Year!$K:$K,0)),0)</f>
        <v>0</v>
      </c>
      <c r="AA221">
        <f>IFERROR(INDEX(Violation_Summary_Seller_Year!$H:$H,MATCH(AD221,Violation_Summary_Seller_Year!$K:$K,0)),0)</f>
        <v>0</v>
      </c>
      <c r="AB221">
        <f>IFERROR(INDEX(Violation_Summary_Seller_Year!$I:$I,MATCH(AD221,Violation_Summary_Seller_Year!$K:$K,0)),0)</f>
        <v>0</v>
      </c>
      <c r="AC221">
        <f>IFERROR(INDEX(Violation_Summary_Seller_Year!$J:$J,MATCH(AD221,Violation_Summary_Seller_Year!$K:$K,0)),0)</f>
        <v>49</v>
      </c>
      <c r="AD221" t="str">
        <f t="shared" si="24"/>
        <v>27_2023</v>
      </c>
      <c r="AE221">
        <f t="shared" si="25"/>
        <v>1</v>
      </c>
      <c r="AF221">
        <f t="shared" si="26"/>
        <v>2</v>
      </c>
      <c r="AG221">
        <f t="shared" si="27"/>
        <v>1</v>
      </c>
      <c r="AH221">
        <f t="shared" si="28"/>
        <v>0</v>
      </c>
      <c r="AI221">
        <f t="shared" si="29"/>
        <v>1</v>
      </c>
      <c r="AJ221">
        <f t="shared" si="30"/>
        <v>105</v>
      </c>
      <c r="AK221" t="str">
        <f t="shared" si="31"/>
        <v>Medium</v>
      </c>
    </row>
    <row r="222" spans="1:37" x14ac:dyDescent="0.3">
      <c r="A222">
        <v>28</v>
      </c>
      <c r="B222">
        <v>2023</v>
      </c>
      <c r="C222">
        <v>1877</v>
      </c>
      <c r="D222">
        <v>99</v>
      </c>
      <c r="E222">
        <v>81</v>
      </c>
      <c r="F222">
        <v>8193.5</v>
      </c>
      <c r="G222">
        <v>4.3153999999999998E-2</v>
      </c>
      <c r="H222">
        <v>18</v>
      </c>
      <c r="I222">
        <v>33</v>
      </c>
      <c r="J222">
        <v>10</v>
      </c>
      <c r="K222">
        <v>8</v>
      </c>
      <c r="L222">
        <v>1</v>
      </c>
      <c r="M222">
        <v>4</v>
      </c>
      <c r="N222">
        <v>5</v>
      </c>
      <c r="O222">
        <v>4</v>
      </c>
      <c r="P222" t="s">
        <v>85</v>
      </c>
      <c r="Q222" t="str">
        <f>VLOOKUP(A222,Cleaned_Seller_Master!$A:$H,2,FALSE)</f>
        <v>Bright Nest 028</v>
      </c>
      <c r="R222" t="str">
        <f>VLOOKUP(A222,Cleaned_Seller_Master!$A:$H,4,FALSE)</f>
        <v>Home</v>
      </c>
      <c r="S222" t="str">
        <f>VLOOKUP(A222,Cleaned_Seller_Master!$A:$H,5,FALSE)</f>
        <v>Southeast Asia</v>
      </c>
      <c r="T222" t="str">
        <f>VLOOKUP(A222,Cleaned_Seller_Master!$A:$H,8,FALSE)</f>
        <v>Premium</v>
      </c>
      <c r="U222" t="str">
        <f>VLOOKUP(A222,Cleaned_Seller_Master!$A:$H,7,FALSE)</f>
        <v>03-02-2017</v>
      </c>
      <c r="V222">
        <f>IFERROR(INDEX(Violation_Summary_Seller_Year!$C:$C,MATCH(AD222,Violation_Summary_Seller_Year!$K:$K,0)),0)</f>
        <v>1</v>
      </c>
      <c r="W222">
        <f>IFERROR(INDEX(Violation_Summary_Seller_Year!$D:$D,MATCH(AD222,Violation_Summary_Seller_Year!$K:$K,0)),0)</f>
        <v>253.42</v>
      </c>
      <c r="X222">
        <f>IFERROR(INDEX(Violation_Summary_Seller_Year!$E:$E,MATCH(AD222,Violation_Summary_Seller_Year!$K:$K,0)),0)</f>
        <v>0</v>
      </c>
      <c r="Y222">
        <f>IFERROR(INDEX(Violation_Summary_Seller_Year!$F:$F,MATCH(AD222,Violation_Summary_Seller_Year!$K:$K,0)),0)</f>
        <v>1</v>
      </c>
      <c r="Z222">
        <f>IFERROR(INDEX(Violation_Summary_Seller_Year!$G:$G,MATCH(AD222,Violation_Summary_Seller_Year!$K:$K,0)),0)</f>
        <v>0</v>
      </c>
      <c r="AA222">
        <f>IFERROR(INDEX(Violation_Summary_Seller_Year!$H:$H,MATCH(AD222,Violation_Summary_Seller_Year!$K:$K,0)),0)</f>
        <v>0</v>
      </c>
      <c r="AB222">
        <f>IFERROR(INDEX(Violation_Summary_Seller_Year!$I:$I,MATCH(AD222,Violation_Summary_Seller_Year!$K:$K,0)),0)</f>
        <v>0</v>
      </c>
      <c r="AC222">
        <f>IFERROR(INDEX(Violation_Summary_Seller_Year!$J:$J,MATCH(AD222,Violation_Summary_Seller_Year!$K:$K,0)),0)</f>
        <v>11</v>
      </c>
      <c r="AD222" t="str">
        <f t="shared" si="24"/>
        <v>28_2023</v>
      </c>
      <c r="AE222">
        <f t="shared" si="25"/>
        <v>0</v>
      </c>
      <c r="AF222">
        <f t="shared" si="26"/>
        <v>2</v>
      </c>
      <c r="AG222">
        <f t="shared" si="27"/>
        <v>0</v>
      </c>
      <c r="AH222">
        <f t="shared" si="28"/>
        <v>2</v>
      </c>
      <c r="AI222">
        <f t="shared" si="29"/>
        <v>2</v>
      </c>
      <c r="AJ222">
        <f t="shared" si="30"/>
        <v>110</v>
      </c>
      <c r="AK222" t="str">
        <f t="shared" si="31"/>
        <v>Medium</v>
      </c>
    </row>
    <row r="223" spans="1:37" x14ac:dyDescent="0.3">
      <c r="A223">
        <v>29</v>
      </c>
      <c r="B223">
        <v>2023</v>
      </c>
      <c r="C223">
        <v>817</v>
      </c>
      <c r="D223">
        <v>58</v>
      </c>
      <c r="E223">
        <v>43</v>
      </c>
      <c r="F223">
        <v>1736.68</v>
      </c>
      <c r="G223">
        <v>5.2631999999999998E-2</v>
      </c>
      <c r="H223">
        <v>23</v>
      </c>
      <c r="I223">
        <v>23</v>
      </c>
      <c r="J223">
        <v>6</v>
      </c>
      <c r="K223">
        <v>13</v>
      </c>
      <c r="L223">
        <v>0</v>
      </c>
      <c r="M223">
        <v>2</v>
      </c>
      <c r="N223">
        <v>3</v>
      </c>
      <c r="O223">
        <v>1</v>
      </c>
      <c r="P223" t="s">
        <v>175</v>
      </c>
      <c r="Q223" t="str">
        <f>VLOOKUP(A223,Cleaned_Seller_Master!$A:$H,2,FALSE)</f>
        <v>Golden Hub 029</v>
      </c>
      <c r="R223" t="str">
        <f>VLOOKUP(A223,Cleaned_Seller_Master!$A:$H,4,FALSE)</f>
        <v>Home</v>
      </c>
      <c r="S223" t="str">
        <f>VLOOKUP(A223,Cleaned_Seller_Master!$A:$H,5,FALSE)</f>
        <v>South</v>
      </c>
      <c r="T223" t="str">
        <f>VLOOKUP(A223,Cleaned_Seller_Master!$A:$H,8,FALSE)</f>
        <v>Standard</v>
      </c>
      <c r="U223" t="str">
        <f>VLOOKUP(A223,Cleaned_Seller_Master!$A:$H,7,FALSE)</f>
        <v>26-06-2021</v>
      </c>
      <c r="V223">
        <f>IFERROR(INDEX(Violation_Summary_Seller_Year!$C:$C,MATCH(AD223,Violation_Summary_Seller_Year!$K:$K,0)),0)</f>
        <v>1</v>
      </c>
      <c r="W223">
        <f>IFERROR(INDEX(Violation_Summary_Seller_Year!$D:$D,MATCH(AD223,Violation_Summary_Seller_Year!$K:$K,0)),0)</f>
        <v>1536.91</v>
      </c>
      <c r="X223">
        <f>IFERROR(INDEX(Violation_Summary_Seller_Year!$E:$E,MATCH(AD223,Violation_Summary_Seller_Year!$K:$K,0)),0)</f>
        <v>0</v>
      </c>
      <c r="Y223">
        <f>IFERROR(INDEX(Violation_Summary_Seller_Year!$F:$F,MATCH(AD223,Violation_Summary_Seller_Year!$K:$K,0)),0)</f>
        <v>0</v>
      </c>
      <c r="Z223">
        <f>IFERROR(INDEX(Violation_Summary_Seller_Year!$G:$G,MATCH(AD223,Violation_Summary_Seller_Year!$K:$K,0)),0)</f>
        <v>1</v>
      </c>
      <c r="AA223">
        <f>IFERROR(INDEX(Violation_Summary_Seller_Year!$H:$H,MATCH(AD223,Violation_Summary_Seller_Year!$K:$K,0)),0)</f>
        <v>1</v>
      </c>
      <c r="AB223">
        <f>IFERROR(INDEX(Violation_Summary_Seller_Year!$I:$I,MATCH(AD223,Violation_Summary_Seller_Year!$K:$K,0)),0)</f>
        <v>1</v>
      </c>
      <c r="AC223">
        <f>IFERROR(INDEX(Violation_Summary_Seller_Year!$J:$J,MATCH(AD223,Violation_Summary_Seller_Year!$K:$K,0)),0)</f>
        <v>6</v>
      </c>
      <c r="AD223" t="str">
        <f t="shared" si="24"/>
        <v>29_2023</v>
      </c>
      <c r="AE223">
        <f t="shared" si="25"/>
        <v>1</v>
      </c>
      <c r="AF223">
        <f t="shared" si="26"/>
        <v>2</v>
      </c>
      <c r="AG223">
        <f t="shared" si="27"/>
        <v>1</v>
      </c>
      <c r="AH223">
        <f t="shared" si="28"/>
        <v>0</v>
      </c>
      <c r="AI223">
        <f t="shared" si="29"/>
        <v>1</v>
      </c>
      <c r="AJ223">
        <f t="shared" si="30"/>
        <v>105</v>
      </c>
      <c r="AK223" t="str">
        <f t="shared" si="31"/>
        <v>Medium</v>
      </c>
    </row>
    <row r="224" spans="1:37" x14ac:dyDescent="0.3">
      <c r="A224">
        <v>30</v>
      </c>
      <c r="B224">
        <v>2023</v>
      </c>
      <c r="C224">
        <v>164</v>
      </c>
      <c r="D224">
        <v>9</v>
      </c>
      <c r="E224">
        <v>8</v>
      </c>
      <c r="F224">
        <v>817.46</v>
      </c>
      <c r="G224">
        <v>4.8779999999999997E-2</v>
      </c>
      <c r="H224">
        <v>10</v>
      </c>
      <c r="I224">
        <v>10</v>
      </c>
      <c r="J224">
        <v>2</v>
      </c>
      <c r="K224">
        <v>5</v>
      </c>
      <c r="L224">
        <v>1</v>
      </c>
      <c r="M224">
        <v>3</v>
      </c>
      <c r="N224">
        <v>4</v>
      </c>
      <c r="O224">
        <v>2</v>
      </c>
      <c r="P224" t="s">
        <v>85</v>
      </c>
      <c r="Q224" t="str">
        <f>VLOOKUP(A224,Cleaned_Seller_Master!$A:$H,2,FALSE)</f>
        <v>Ever Merchants 030</v>
      </c>
      <c r="R224" t="str">
        <f>VLOOKUP(A224,Cleaned_Seller_Master!$A:$H,4,FALSE)</f>
        <v>Groceries</v>
      </c>
      <c r="S224" t="str">
        <f>VLOOKUP(A224,Cleaned_Seller_Master!$A:$H,5,FALSE)</f>
        <v>West</v>
      </c>
      <c r="T224" t="str">
        <f>VLOOKUP(A224,Cleaned_Seller_Master!$A:$H,8,FALSE)</f>
        <v>Premium</v>
      </c>
      <c r="U224" t="str">
        <f>VLOOKUP(A224,Cleaned_Seller_Master!$A:$H,7,FALSE)</f>
        <v>28-04-2019</v>
      </c>
      <c r="V224">
        <f>IFERROR(INDEX(Violation_Summary_Seller_Year!$C:$C,MATCH(AD224,Violation_Summary_Seller_Year!$K:$K,0)),0)</f>
        <v>3</v>
      </c>
      <c r="W224">
        <f>IFERROR(INDEX(Violation_Summary_Seller_Year!$D:$D,MATCH(AD224,Violation_Summary_Seller_Year!$K:$K,0)),0)</f>
        <v>7352.34</v>
      </c>
      <c r="X224">
        <f>IFERROR(INDEX(Violation_Summary_Seller_Year!$E:$E,MATCH(AD224,Violation_Summary_Seller_Year!$K:$K,0)),0)</f>
        <v>2</v>
      </c>
      <c r="Y224">
        <f>IFERROR(INDEX(Violation_Summary_Seller_Year!$F:$F,MATCH(AD224,Violation_Summary_Seller_Year!$K:$K,0)),0)</f>
        <v>1</v>
      </c>
      <c r="Z224">
        <f>IFERROR(INDEX(Violation_Summary_Seller_Year!$G:$G,MATCH(AD224,Violation_Summary_Seller_Year!$K:$K,0)),0)</f>
        <v>2</v>
      </c>
      <c r="AA224">
        <f>IFERROR(INDEX(Violation_Summary_Seller_Year!$H:$H,MATCH(AD224,Violation_Summary_Seller_Year!$K:$K,0)),0)</f>
        <v>2</v>
      </c>
      <c r="AB224">
        <f>IFERROR(INDEX(Violation_Summary_Seller_Year!$I:$I,MATCH(AD224,Violation_Summary_Seller_Year!$K:$K,0)),0)</f>
        <v>2</v>
      </c>
      <c r="AC224">
        <f>IFERROR(INDEX(Violation_Summary_Seller_Year!$J:$J,MATCH(AD224,Violation_Summary_Seller_Year!$K:$K,0)),0)</f>
        <v>25</v>
      </c>
      <c r="AD224" t="str">
        <f t="shared" si="24"/>
        <v>30_2023</v>
      </c>
      <c r="AE224">
        <f t="shared" si="25"/>
        <v>0</v>
      </c>
      <c r="AF224">
        <f t="shared" si="26"/>
        <v>2</v>
      </c>
      <c r="AG224">
        <f t="shared" si="27"/>
        <v>2</v>
      </c>
      <c r="AH224">
        <f t="shared" si="28"/>
        <v>2</v>
      </c>
      <c r="AI224">
        <f t="shared" si="29"/>
        <v>2</v>
      </c>
      <c r="AJ224">
        <f t="shared" si="30"/>
        <v>150</v>
      </c>
      <c r="AK224" t="str">
        <f t="shared" si="31"/>
        <v>High</v>
      </c>
    </row>
    <row r="225" spans="1:37" x14ac:dyDescent="0.3">
      <c r="A225">
        <v>31</v>
      </c>
      <c r="B225">
        <v>2023</v>
      </c>
      <c r="C225">
        <v>1521</v>
      </c>
      <c r="D225">
        <v>151</v>
      </c>
      <c r="E225">
        <v>130</v>
      </c>
      <c r="F225">
        <v>12820.56</v>
      </c>
      <c r="G225">
        <v>8.5470000000000004E-2</v>
      </c>
      <c r="H225">
        <v>21</v>
      </c>
      <c r="I225">
        <v>49</v>
      </c>
      <c r="J225">
        <v>30</v>
      </c>
      <c r="K225">
        <v>7</v>
      </c>
      <c r="L225">
        <v>1</v>
      </c>
      <c r="M225">
        <v>3</v>
      </c>
      <c r="N225">
        <v>7</v>
      </c>
      <c r="O225">
        <v>8</v>
      </c>
      <c r="P225" t="s">
        <v>85</v>
      </c>
      <c r="Q225" t="str">
        <f>VLOOKUP(A225,Cleaned_Seller_Master!$A:$H,2,FALSE)</f>
        <v>Orbit Square 031</v>
      </c>
      <c r="R225" t="str">
        <f>VLOOKUP(A225,Cleaned_Seller_Master!$A:$H,4,FALSE)</f>
        <v>Home</v>
      </c>
      <c r="S225" t="str">
        <f>VLOOKUP(A225,Cleaned_Seller_Master!$A:$H,5,FALSE)</f>
        <v>South</v>
      </c>
      <c r="T225" t="str">
        <f>VLOOKUP(A225,Cleaned_Seller_Master!$A:$H,8,FALSE)</f>
        <v>Verified</v>
      </c>
      <c r="U225" t="str">
        <f>VLOOKUP(A225,Cleaned_Seller_Master!$A:$H,7,FALSE)</f>
        <v>04-12-2020</v>
      </c>
      <c r="V225">
        <f>IFERROR(INDEX(Violation_Summary_Seller_Year!$C:$C,MATCH(AD225,Violation_Summary_Seller_Year!$K:$K,0)),0)</f>
        <v>3</v>
      </c>
      <c r="W225">
        <f>IFERROR(INDEX(Violation_Summary_Seller_Year!$D:$D,MATCH(AD225,Violation_Summary_Seller_Year!$K:$K,0)),0)</f>
        <v>4698.53</v>
      </c>
      <c r="X225">
        <f>IFERROR(INDEX(Violation_Summary_Seller_Year!$E:$E,MATCH(AD225,Violation_Summary_Seller_Year!$K:$K,0)),0)</f>
        <v>3</v>
      </c>
      <c r="Y225">
        <f>IFERROR(INDEX(Violation_Summary_Seller_Year!$F:$F,MATCH(AD225,Violation_Summary_Seller_Year!$K:$K,0)),0)</f>
        <v>1</v>
      </c>
      <c r="Z225">
        <f>IFERROR(INDEX(Violation_Summary_Seller_Year!$G:$G,MATCH(AD225,Violation_Summary_Seller_Year!$K:$K,0)),0)</f>
        <v>2</v>
      </c>
      <c r="AA225">
        <f>IFERROR(INDEX(Violation_Summary_Seller_Year!$H:$H,MATCH(AD225,Violation_Summary_Seller_Year!$K:$K,0)),0)</f>
        <v>1</v>
      </c>
      <c r="AB225">
        <f>IFERROR(INDEX(Violation_Summary_Seller_Year!$I:$I,MATCH(AD225,Violation_Summary_Seller_Year!$K:$K,0)),0)</f>
        <v>2</v>
      </c>
      <c r="AC225">
        <f>IFERROR(INDEX(Violation_Summary_Seller_Year!$J:$J,MATCH(AD225,Violation_Summary_Seller_Year!$K:$K,0)),0)</f>
        <v>32</v>
      </c>
      <c r="AD225" t="str">
        <f t="shared" si="24"/>
        <v>31_2023</v>
      </c>
      <c r="AE225">
        <f t="shared" si="25"/>
        <v>1</v>
      </c>
      <c r="AF225">
        <f t="shared" si="26"/>
        <v>2</v>
      </c>
      <c r="AG225">
        <f t="shared" si="27"/>
        <v>1</v>
      </c>
      <c r="AH225">
        <f t="shared" si="28"/>
        <v>2</v>
      </c>
      <c r="AI225">
        <f t="shared" si="29"/>
        <v>2</v>
      </c>
      <c r="AJ225">
        <f t="shared" si="30"/>
        <v>155</v>
      </c>
      <c r="AK225" t="str">
        <f t="shared" si="31"/>
        <v>High</v>
      </c>
    </row>
    <row r="226" spans="1:37" x14ac:dyDescent="0.3">
      <c r="A226">
        <v>32</v>
      </c>
      <c r="B226">
        <v>2023</v>
      </c>
      <c r="C226">
        <v>905</v>
      </c>
      <c r="D226">
        <v>51</v>
      </c>
      <c r="E226">
        <v>39</v>
      </c>
      <c r="F226">
        <v>1913.91</v>
      </c>
      <c r="G226">
        <v>4.3094E-2</v>
      </c>
      <c r="H226">
        <v>14</v>
      </c>
      <c r="I226">
        <v>24</v>
      </c>
      <c r="J226">
        <v>8</v>
      </c>
      <c r="K226">
        <v>7</v>
      </c>
      <c r="L226">
        <v>0</v>
      </c>
      <c r="M226">
        <v>1</v>
      </c>
      <c r="N226">
        <v>3</v>
      </c>
      <c r="O226">
        <v>3</v>
      </c>
      <c r="P226" t="s">
        <v>175</v>
      </c>
      <c r="Q226" t="str">
        <f>VLOOKUP(A226,Cleaned_Seller_Master!$A:$H,2,FALSE)</f>
        <v>Pulse Commerce 032</v>
      </c>
      <c r="R226" t="str">
        <f>VLOOKUP(A226,Cleaned_Seller_Master!$A:$H,4,FALSE)</f>
        <v>Beauty</v>
      </c>
      <c r="S226" t="str">
        <f>VLOOKUP(A226,Cleaned_Seller_Master!$A:$H,5,FALSE)</f>
        <v>South</v>
      </c>
      <c r="T226" t="str">
        <f>VLOOKUP(A226,Cleaned_Seller_Master!$A:$H,8,FALSE)</f>
        <v>Verified</v>
      </c>
      <c r="U226" t="str">
        <f>VLOOKUP(A226,Cleaned_Seller_Master!$A:$H,7,FALSE)</f>
        <v>11-07-2020</v>
      </c>
      <c r="V226">
        <f>IFERROR(INDEX(Violation_Summary_Seller_Year!$C:$C,MATCH(AD226,Violation_Summary_Seller_Year!$K:$K,0)),0)</f>
        <v>3</v>
      </c>
      <c r="W226">
        <f>IFERROR(INDEX(Violation_Summary_Seller_Year!$D:$D,MATCH(AD226,Violation_Summary_Seller_Year!$K:$K,0)),0)</f>
        <v>2159.61</v>
      </c>
      <c r="X226">
        <f>IFERROR(INDEX(Violation_Summary_Seller_Year!$E:$E,MATCH(AD226,Violation_Summary_Seller_Year!$K:$K,0)),0)</f>
        <v>0</v>
      </c>
      <c r="Y226">
        <f>IFERROR(INDEX(Violation_Summary_Seller_Year!$F:$F,MATCH(AD226,Violation_Summary_Seller_Year!$K:$K,0)),0)</f>
        <v>2</v>
      </c>
      <c r="Z226">
        <f>IFERROR(INDEX(Violation_Summary_Seller_Year!$G:$G,MATCH(AD226,Violation_Summary_Seller_Year!$K:$K,0)),0)</f>
        <v>1</v>
      </c>
      <c r="AA226">
        <f>IFERROR(INDEX(Violation_Summary_Seller_Year!$H:$H,MATCH(AD226,Violation_Summary_Seller_Year!$K:$K,0)),0)</f>
        <v>1</v>
      </c>
      <c r="AB226">
        <f>IFERROR(INDEX(Violation_Summary_Seller_Year!$I:$I,MATCH(AD226,Violation_Summary_Seller_Year!$K:$K,0)),0)</f>
        <v>0</v>
      </c>
      <c r="AC226">
        <f>IFERROR(INDEX(Violation_Summary_Seller_Year!$J:$J,MATCH(AD226,Violation_Summary_Seller_Year!$K:$K,0)),0)</f>
        <v>23</v>
      </c>
      <c r="AD226" t="str">
        <f t="shared" si="24"/>
        <v>32_2023</v>
      </c>
      <c r="AE226">
        <f t="shared" si="25"/>
        <v>0</v>
      </c>
      <c r="AF226">
        <f t="shared" si="26"/>
        <v>2</v>
      </c>
      <c r="AG226">
        <f t="shared" si="27"/>
        <v>1</v>
      </c>
      <c r="AH226">
        <f t="shared" si="28"/>
        <v>0</v>
      </c>
      <c r="AI226">
        <f t="shared" si="29"/>
        <v>1</v>
      </c>
      <c r="AJ226">
        <f t="shared" si="30"/>
        <v>80</v>
      </c>
      <c r="AK226" t="str">
        <f t="shared" si="31"/>
        <v>Medium</v>
      </c>
    </row>
    <row r="227" spans="1:37" x14ac:dyDescent="0.3">
      <c r="A227">
        <v>33</v>
      </c>
      <c r="B227">
        <v>2023</v>
      </c>
      <c r="C227">
        <v>636</v>
      </c>
      <c r="D227">
        <v>62</v>
      </c>
      <c r="E227">
        <v>51</v>
      </c>
      <c r="F227">
        <v>5563.37</v>
      </c>
      <c r="G227">
        <v>8.0188999999999996E-2</v>
      </c>
      <c r="H227">
        <v>18</v>
      </c>
      <c r="I227">
        <v>24</v>
      </c>
      <c r="J227">
        <v>13</v>
      </c>
      <c r="K227">
        <v>8</v>
      </c>
      <c r="L227">
        <v>1</v>
      </c>
      <c r="M227">
        <v>6</v>
      </c>
      <c r="N227">
        <v>5</v>
      </c>
      <c r="O227">
        <v>5</v>
      </c>
      <c r="P227" t="s">
        <v>85</v>
      </c>
      <c r="Q227" t="str">
        <f>VLOOKUP(A227,Cleaned_Seller_Master!$A:$H,2,FALSE)</f>
        <v>Summit Bazaar 033</v>
      </c>
      <c r="R227" t="str">
        <f>VLOOKUP(A227,Cleaned_Seller_Master!$A:$H,4,FALSE)</f>
        <v>Groceries</v>
      </c>
      <c r="S227" t="str">
        <f>VLOOKUP(A227,Cleaned_Seller_Master!$A:$H,5,FALSE)</f>
        <v>East</v>
      </c>
      <c r="T227" t="str">
        <f>VLOOKUP(A227,Cleaned_Seller_Master!$A:$H,8,FALSE)</f>
        <v>Standard</v>
      </c>
      <c r="U227" t="str">
        <f>VLOOKUP(A227,Cleaned_Seller_Master!$A:$H,7,FALSE)</f>
        <v>06-05-2019</v>
      </c>
      <c r="V227">
        <f>IFERROR(INDEX(Violation_Summary_Seller_Year!$C:$C,MATCH(AD227,Violation_Summary_Seller_Year!$K:$K,0)),0)</f>
        <v>3</v>
      </c>
      <c r="W227">
        <f>IFERROR(INDEX(Violation_Summary_Seller_Year!$D:$D,MATCH(AD227,Violation_Summary_Seller_Year!$K:$K,0)),0)</f>
        <v>8914.58</v>
      </c>
      <c r="X227">
        <f>IFERROR(INDEX(Violation_Summary_Seller_Year!$E:$E,MATCH(AD227,Violation_Summary_Seller_Year!$K:$K,0)),0)</f>
        <v>3</v>
      </c>
      <c r="Y227">
        <f>IFERROR(INDEX(Violation_Summary_Seller_Year!$F:$F,MATCH(AD227,Violation_Summary_Seller_Year!$K:$K,0)),0)</f>
        <v>3</v>
      </c>
      <c r="Z227">
        <f>IFERROR(INDEX(Violation_Summary_Seller_Year!$G:$G,MATCH(AD227,Violation_Summary_Seller_Year!$K:$K,0)),0)</f>
        <v>0</v>
      </c>
      <c r="AA227">
        <f>IFERROR(INDEX(Violation_Summary_Seller_Year!$H:$H,MATCH(AD227,Violation_Summary_Seller_Year!$K:$K,0)),0)</f>
        <v>2</v>
      </c>
      <c r="AB227">
        <f>IFERROR(INDEX(Violation_Summary_Seller_Year!$I:$I,MATCH(AD227,Violation_Summary_Seller_Year!$K:$K,0)),0)</f>
        <v>0</v>
      </c>
      <c r="AC227">
        <f>IFERROR(INDEX(Violation_Summary_Seller_Year!$J:$J,MATCH(AD227,Violation_Summary_Seller_Year!$K:$K,0)),0)</f>
        <v>23</v>
      </c>
      <c r="AD227" t="str">
        <f t="shared" si="24"/>
        <v>33_2023</v>
      </c>
      <c r="AE227">
        <f t="shared" si="25"/>
        <v>1</v>
      </c>
      <c r="AF227">
        <f t="shared" si="26"/>
        <v>2</v>
      </c>
      <c r="AG227">
        <f t="shared" si="27"/>
        <v>2</v>
      </c>
      <c r="AH227">
        <f t="shared" si="28"/>
        <v>2</v>
      </c>
      <c r="AI227">
        <f t="shared" si="29"/>
        <v>2</v>
      </c>
      <c r="AJ227">
        <f t="shared" si="30"/>
        <v>175</v>
      </c>
      <c r="AK227" t="str">
        <f t="shared" si="31"/>
        <v>High</v>
      </c>
    </row>
    <row r="228" spans="1:37" x14ac:dyDescent="0.3">
      <c r="A228">
        <v>35</v>
      </c>
      <c r="B228">
        <v>2023</v>
      </c>
      <c r="C228">
        <v>344</v>
      </c>
      <c r="D228">
        <v>26</v>
      </c>
      <c r="E228">
        <v>20</v>
      </c>
      <c r="F228">
        <v>1777.15</v>
      </c>
      <c r="G228">
        <v>5.8139999999999997E-2</v>
      </c>
      <c r="H228">
        <v>8</v>
      </c>
      <c r="I228">
        <v>12</v>
      </c>
      <c r="J228">
        <v>4</v>
      </c>
      <c r="K228">
        <v>4</v>
      </c>
      <c r="L228">
        <v>1</v>
      </c>
      <c r="M228">
        <v>4</v>
      </c>
      <c r="N228">
        <v>3</v>
      </c>
      <c r="O228">
        <v>2</v>
      </c>
      <c r="P228" t="s">
        <v>68</v>
      </c>
      <c r="Q228" t="str">
        <f>VLOOKUP(A228,Cleaned_Seller_Master!$A:$H,2,FALSE)</f>
        <v>Apex Retail 035</v>
      </c>
      <c r="R228" t="str">
        <f>VLOOKUP(A228,Cleaned_Seller_Master!$A:$H,4,FALSE)</f>
        <v>Beauty</v>
      </c>
      <c r="S228" t="str">
        <f>VLOOKUP(A228,Cleaned_Seller_Master!$A:$H,5,FALSE)</f>
        <v>East</v>
      </c>
      <c r="T228" t="str">
        <f>VLOOKUP(A228,Cleaned_Seller_Master!$A:$H,8,FALSE)</f>
        <v>Verified</v>
      </c>
      <c r="U228" t="str">
        <f>VLOOKUP(A228,Cleaned_Seller_Master!$A:$H,7,FALSE)</f>
        <v>11-11-2019</v>
      </c>
      <c r="V228">
        <f>IFERROR(INDEX(Violation_Summary_Seller_Year!$C:$C,MATCH(AD228,Violation_Summary_Seller_Year!$K:$K,0)),0)</f>
        <v>4</v>
      </c>
      <c r="W228">
        <f>IFERROR(INDEX(Violation_Summary_Seller_Year!$D:$D,MATCH(AD228,Violation_Summary_Seller_Year!$K:$K,0)),0)</f>
        <v>10663.8</v>
      </c>
      <c r="X228">
        <f>IFERROR(INDEX(Violation_Summary_Seller_Year!$E:$E,MATCH(AD228,Violation_Summary_Seller_Year!$K:$K,0)),0)</f>
        <v>3</v>
      </c>
      <c r="Y228">
        <f>IFERROR(INDEX(Violation_Summary_Seller_Year!$F:$F,MATCH(AD228,Violation_Summary_Seller_Year!$K:$K,0)),0)</f>
        <v>3</v>
      </c>
      <c r="Z228">
        <f>IFERROR(INDEX(Violation_Summary_Seller_Year!$G:$G,MATCH(AD228,Violation_Summary_Seller_Year!$K:$K,0)),0)</f>
        <v>1</v>
      </c>
      <c r="AA228">
        <f>IFERROR(INDEX(Violation_Summary_Seller_Year!$H:$H,MATCH(AD228,Violation_Summary_Seller_Year!$K:$K,0)),0)</f>
        <v>3</v>
      </c>
      <c r="AB228">
        <f>IFERROR(INDEX(Violation_Summary_Seller_Year!$I:$I,MATCH(AD228,Violation_Summary_Seller_Year!$K:$K,0)),0)</f>
        <v>2</v>
      </c>
      <c r="AC228">
        <f>IFERROR(INDEX(Violation_Summary_Seller_Year!$J:$J,MATCH(AD228,Violation_Summary_Seller_Year!$K:$K,0)),0)</f>
        <v>39</v>
      </c>
      <c r="AD228" t="str">
        <f t="shared" si="24"/>
        <v>35_2023</v>
      </c>
      <c r="AE228">
        <f t="shared" si="25"/>
        <v>1</v>
      </c>
      <c r="AF228">
        <f t="shared" si="26"/>
        <v>2</v>
      </c>
      <c r="AG228">
        <f t="shared" si="27"/>
        <v>2</v>
      </c>
      <c r="AH228">
        <f t="shared" si="28"/>
        <v>2</v>
      </c>
      <c r="AI228">
        <f t="shared" si="29"/>
        <v>1</v>
      </c>
      <c r="AJ228">
        <f t="shared" si="30"/>
        <v>165</v>
      </c>
      <c r="AK228" t="str">
        <f t="shared" si="31"/>
        <v>High</v>
      </c>
    </row>
    <row r="229" spans="1:37" x14ac:dyDescent="0.3">
      <c r="A229">
        <v>36</v>
      </c>
      <c r="B229">
        <v>2023</v>
      </c>
      <c r="C229">
        <v>781</v>
      </c>
      <c r="D229">
        <v>44</v>
      </c>
      <c r="E229">
        <v>37</v>
      </c>
      <c r="F229">
        <v>1435.89</v>
      </c>
      <c r="G229">
        <v>4.7375E-2</v>
      </c>
      <c r="H229">
        <v>15</v>
      </c>
      <c r="I229">
        <v>15</v>
      </c>
      <c r="J229">
        <v>7</v>
      </c>
      <c r="K229">
        <v>7</v>
      </c>
      <c r="L229">
        <v>0</v>
      </c>
      <c r="M229">
        <v>1</v>
      </c>
      <c r="N229">
        <v>2</v>
      </c>
      <c r="O229">
        <v>2</v>
      </c>
      <c r="P229" t="s">
        <v>175</v>
      </c>
      <c r="Q229" t="str">
        <f>VLOOKUP(A229,Cleaned_Seller_Master!$A:$H,2,FALSE)</f>
        <v>Nimbus Market 036</v>
      </c>
      <c r="R229" t="str">
        <f>VLOOKUP(A229,Cleaned_Seller_Master!$A:$H,4,FALSE)</f>
        <v>Fashion</v>
      </c>
      <c r="S229" t="str">
        <f>VLOOKUP(A229,Cleaned_Seller_Master!$A:$H,5,FALSE)</f>
        <v>West</v>
      </c>
      <c r="T229" t="str">
        <f>VLOOKUP(A229,Cleaned_Seller_Master!$A:$H,8,FALSE)</f>
        <v>Strategic</v>
      </c>
      <c r="U229" t="str">
        <f>VLOOKUP(A229,Cleaned_Seller_Master!$A:$H,7,FALSE)</f>
        <v>14-04-2020</v>
      </c>
      <c r="V229">
        <f>IFERROR(INDEX(Violation_Summary_Seller_Year!$C:$C,MATCH(AD229,Violation_Summary_Seller_Year!$K:$K,0)),0)</f>
        <v>2</v>
      </c>
      <c r="W229">
        <f>IFERROR(INDEX(Violation_Summary_Seller_Year!$D:$D,MATCH(AD229,Violation_Summary_Seller_Year!$K:$K,0)),0)</f>
        <v>563.28</v>
      </c>
      <c r="X229">
        <f>IFERROR(INDEX(Violation_Summary_Seller_Year!$E:$E,MATCH(AD229,Violation_Summary_Seller_Year!$K:$K,0)),0)</f>
        <v>0</v>
      </c>
      <c r="Y229">
        <f>IFERROR(INDEX(Violation_Summary_Seller_Year!$F:$F,MATCH(AD229,Violation_Summary_Seller_Year!$K:$K,0)),0)</f>
        <v>1</v>
      </c>
      <c r="Z229">
        <f>IFERROR(INDEX(Violation_Summary_Seller_Year!$G:$G,MATCH(AD229,Violation_Summary_Seller_Year!$K:$K,0)),0)</f>
        <v>1</v>
      </c>
      <c r="AA229">
        <f>IFERROR(INDEX(Violation_Summary_Seller_Year!$H:$H,MATCH(AD229,Violation_Summary_Seller_Year!$K:$K,0)),0)</f>
        <v>0</v>
      </c>
      <c r="AB229">
        <f>IFERROR(INDEX(Violation_Summary_Seller_Year!$I:$I,MATCH(AD229,Violation_Summary_Seller_Year!$K:$K,0)),0)</f>
        <v>0</v>
      </c>
      <c r="AC229">
        <f>IFERROR(INDEX(Violation_Summary_Seller_Year!$J:$J,MATCH(AD229,Violation_Summary_Seller_Year!$K:$K,0)),0)</f>
        <v>4</v>
      </c>
      <c r="AD229" t="str">
        <f t="shared" si="24"/>
        <v>36_2023</v>
      </c>
      <c r="AE229">
        <f t="shared" si="25"/>
        <v>0</v>
      </c>
      <c r="AF229">
        <f t="shared" si="26"/>
        <v>2</v>
      </c>
      <c r="AG229">
        <f t="shared" si="27"/>
        <v>1</v>
      </c>
      <c r="AH229">
        <f t="shared" si="28"/>
        <v>0</v>
      </c>
      <c r="AI229">
        <f t="shared" si="29"/>
        <v>1</v>
      </c>
      <c r="AJ229">
        <f t="shared" si="30"/>
        <v>80</v>
      </c>
      <c r="AK229" t="str">
        <f t="shared" si="31"/>
        <v>Medium</v>
      </c>
    </row>
    <row r="230" spans="1:37" x14ac:dyDescent="0.3">
      <c r="A230">
        <v>37</v>
      </c>
      <c r="B230">
        <v>2023</v>
      </c>
      <c r="C230">
        <v>1621</v>
      </c>
      <c r="D230">
        <v>171</v>
      </c>
      <c r="E230">
        <v>127</v>
      </c>
      <c r="F230">
        <v>6607.85</v>
      </c>
      <c r="G230">
        <v>7.8347E-2</v>
      </c>
      <c r="H230">
        <v>36</v>
      </c>
      <c r="I230">
        <v>51</v>
      </c>
      <c r="J230">
        <v>28</v>
      </c>
      <c r="K230">
        <v>14</v>
      </c>
      <c r="L230">
        <v>0</v>
      </c>
      <c r="M230">
        <v>3</v>
      </c>
      <c r="N230">
        <v>9</v>
      </c>
      <c r="O230">
        <v>3</v>
      </c>
      <c r="P230" t="s">
        <v>85</v>
      </c>
      <c r="Q230" t="str">
        <f>VLOOKUP(A230,Cleaned_Seller_Master!$A:$H,2,FALSE)</f>
        <v>Metro Point 037</v>
      </c>
      <c r="R230" t="str">
        <f>VLOOKUP(A230,Cleaned_Seller_Master!$A:$H,4,FALSE)</f>
        <v>Electronics</v>
      </c>
      <c r="S230" t="str">
        <f>VLOOKUP(A230,Cleaned_Seller_Master!$A:$H,5,FALSE)</f>
        <v>East</v>
      </c>
      <c r="T230" t="str">
        <f>VLOOKUP(A230,Cleaned_Seller_Master!$A:$H,8,FALSE)</f>
        <v>Standard</v>
      </c>
      <c r="U230" t="str">
        <f>VLOOKUP(A230,Cleaned_Seller_Master!$A:$H,7,FALSE)</f>
        <v>26-07-2021</v>
      </c>
      <c r="V230">
        <f>IFERROR(INDEX(Violation_Summary_Seller_Year!$C:$C,MATCH(AD230,Violation_Summary_Seller_Year!$K:$K,0)),0)</f>
        <v>6</v>
      </c>
      <c r="W230">
        <f>IFERROR(INDEX(Violation_Summary_Seller_Year!$D:$D,MATCH(AD230,Violation_Summary_Seller_Year!$K:$K,0)),0)</f>
        <v>15021.900000000001</v>
      </c>
      <c r="X230">
        <f>IFERROR(INDEX(Violation_Summary_Seller_Year!$E:$E,MATCH(AD230,Violation_Summary_Seller_Year!$K:$K,0)),0)</f>
        <v>0</v>
      </c>
      <c r="Y230">
        <f>IFERROR(INDEX(Violation_Summary_Seller_Year!$F:$F,MATCH(AD230,Violation_Summary_Seller_Year!$K:$K,0)),0)</f>
        <v>4</v>
      </c>
      <c r="Z230">
        <f>IFERROR(INDEX(Violation_Summary_Seller_Year!$G:$G,MATCH(AD230,Violation_Summary_Seller_Year!$K:$K,0)),0)</f>
        <v>2</v>
      </c>
      <c r="AA230">
        <f>IFERROR(INDEX(Violation_Summary_Seller_Year!$H:$H,MATCH(AD230,Violation_Summary_Seller_Year!$K:$K,0)),0)</f>
        <v>3</v>
      </c>
      <c r="AB230">
        <f>IFERROR(INDEX(Violation_Summary_Seller_Year!$I:$I,MATCH(AD230,Violation_Summary_Seller_Year!$K:$K,0)),0)</f>
        <v>3</v>
      </c>
      <c r="AC230">
        <f>IFERROR(INDEX(Violation_Summary_Seller_Year!$J:$J,MATCH(AD230,Violation_Summary_Seller_Year!$K:$K,0)),0)</f>
        <v>60</v>
      </c>
      <c r="AD230" t="str">
        <f t="shared" si="24"/>
        <v>37_2023</v>
      </c>
      <c r="AE230">
        <f t="shared" si="25"/>
        <v>1</v>
      </c>
      <c r="AF230">
        <f t="shared" si="26"/>
        <v>2</v>
      </c>
      <c r="AG230">
        <f t="shared" si="27"/>
        <v>2</v>
      </c>
      <c r="AH230">
        <f t="shared" si="28"/>
        <v>0</v>
      </c>
      <c r="AI230">
        <f t="shared" si="29"/>
        <v>2</v>
      </c>
      <c r="AJ230">
        <f t="shared" si="30"/>
        <v>135</v>
      </c>
      <c r="AK230" t="str">
        <f t="shared" si="31"/>
        <v>High</v>
      </c>
    </row>
    <row r="231" spans="1:37" x14ac:dyDescent="0.3">
      <c r="A231">
        <v>38</v>
      </c>
      <c r="B231">
        <v>2023</v>
      </c>
      <c r="C231">
        <v>1861</v>
      </c>
      <c r="D231">
        <v>178</v>
      </c>
      <c r="E231">
        <v>143</v>
      </c>
      <c r="F231">
        <v>9852.93</v>
      </c>
      <c r="G231">
        <v>7.6840000000000006E-2</v>
      </c>
      <c r="H231">
        <v>25</v>
      </c>
      <c r="I231">
        <v>56</v>
      </c>
      <c r="J231">
        <v>29</v>
      </c>
      <c r="K231">
        <v>7</v>
      </c>
      <c r="L231">
        <v>1</v>
      </c>
      <c r="M231">
        <v>4</v>
      </c>
      <c r="N231">
        <v>7</v>
      </c>
      <c r="O231">
        <v>6</v>
      </c>
      <c r="P231" t="s">
        <v>85</v>
      </c>
      <c r="Q231" t="str">
        <f>VLOOKUP(A231,Cleaned_Seller_Master!$A:$H,2,FALSE)</f>
        <v>Luna Stores 038</v>
      </c>
      <c r="R231" t="str">
        <f>VLOOKUP(A231,Cleaned_Seller_Master!$A:$H,4,FALSE)</f>
        <v>Beauty</v>
      </c>
      <c r="S231" t="str">
        <f>VLOOKUP(A231,Cleaned_Seller_Master!$A:$H,5,FALSE)</f>
        <v>North</v>
      </c>
      <c r="T231" t="str">
        <f>VLOOKUP(A231,Cleaned_Seller_Master!$A:$H,8,FALSE)</f>
        <v>Verified</v>
      </c>
      <c r="U231" t="str">
        <f>VLOOKUP(A231,Cleaned_Seller_Master!$A:$H,7,FALSE)</f>
        <v>27-02-2022</v>
      </c>
      <c r="V231">
        <f>IFERROR(INDEX(Violation_Summary_Seller_Year!$C:$C,MATCH(AD231,Violation_Summary_Seller_Year!$K:$K,0)),0)</f>
        <v>5</v>
      </c>
      <c r="W231">
        <f>IFERROR(INDEX(Violation_Summary_Seller_Year!$D:$D,MATCH(AD231,Violation_Summary_Seller_Year!$K:$K,0)),0)</f>
        <v>16124.810000000001</v>
      </c>
      <c r="X231">
        <f>IFERROR(INDEX(Violation_Summary_Seller_Year!$E:$E,MATCH(AD231,Violation_Summary_Seller_Year!$K:$K,0)),0)</f>
        <v>4</v>
      </c>
      <c r="Y231">
        <f>IFERROR(INDEX(Violation_Summary_Seller_Year!$F:$F,MATCH(AD231,Violation_Summary_Seller_Year!$K:$K,0)),0)</f>
        <v>3</v>
      </c>
      <c r="Z231">
        <f>IFERROR(INDEX(Violation_Summary_Seller_Year!$G:$G,MATCH(AD231,Violation_Summary_Seller_Year!$K:$K,0)),0)</f>
        <v>2</v>
      </c>
      <c r="AA231">
        <f>IFERROR(INDEX(Violation_Summary_Seller_Year!$H:$H,MATCH(AD231,Violation_Summary_Seller_Year!$K:$K,0)),0)</f>
        <v>3</v>
      </c>
      <c r="AB231">
        <f>IFERROR(INDEX(Violation_Summary_Seller_Year!$I:$I,MATCH(AD231,Violation_Summary_Seller_Year!$K:$K,0)),0)</f>
        <v>2</v>
      </c>
      <c r="AC231">
        <f>IFERROR(INDEX(Violation_Summary_Seller_Year!$J:$J,MATCH(AD231,Violation_Summary_Seller_Year!$K:$K,0)),0)</f>
        <v>56</v>
      </c>
      <c r="AD231" t="str">
        <f t="shared" si="24"/>
        <v>38_2023</v>
      </c>
      <c r="AE231">
        <f t="shared" si="25"/>
        <v>1</v>
      </c>
      <c r="AF231">
        <f t="shared" si="26"/>
        <v>2</v>
      </c>
      <c r="AG231">
        <f t="shared" si="27"/>
        <v>2</v>
      </c>
      <c r="AH231">
        <f t="shared" si="28"/>
        <v>2</v>
      </c>
      <c r="AI231">
        <f t="shared" si="29"/>
        <v>2</v>
      </c>
      <c r="AJ231">
        <f t="shared" si="30"/>
        <v>175</v>
      </c>
      <c r="AK231" t="str">
        <f t="shared" si="31"/>
        <v>High</v>
      </c>
    </row>
    <row r="232" spans="1:37" x14ac:dyDescent="0.3">
      <c r="A232">
        <v>40</v>
      </c>
      <c r="B232">
        <v>2023</v>
      </c>
      <c r="C232">
        <v>831</v>
      </c>
      <c r="D232">
        <v>69</v>
      </c>
      <c r="E232">
        <v>65</v>
      </c>
      <c r="F232">
        <v>3623.07</v>
      </c>
      <c r="G232">
        <v>7.8218999999999997E-2</v>
      </c>
      <c r="H232">
        <v>9</v>
      </c>
      <c r="I232">
        <v>22</v>
      </c>
      <c r="J232">
        <v>15</v>
      </c>
      <c r="K232">
        <v>5</v>
      </c>
      <c r="L232">
        <v>1</v>
      </c>
      <c r="M232">
        <v>4</v>
      </c>
      <c r="N232">
        <v>4</v>
      </c>
      <c r="O232">
        <v>5</v>
      </c>
      <c r="P232" t="s">
        <v>85</v>
      </c>
      <c r="Q232" t="str">
        <f>VLOOKUP(A232,Cleaned_Seller_Master!$A:$H,2,FALSE)</f>
        <v>Nova Cart 040</v>
      </c>
      <c r="R232" t="str">
        <f>VLOOKUP(A232,Cleaned_Seller_Master!$A:$H,4,FALSE)</f>
        <v>Electronics</v>
      </c>
      <c r="S232" t="str">
        <f>VLOOKUP(A232,Cleaned_Seller_Master!$A:$H,5,FALSE)</f>
        <v>West</v>
      </c>
      <c r="T232" t="str">
        <f>VLOOKUP(A232,Cleaned_Seller_Master!$A:$H,8,FALSE)</f>
        <v>Standard</v>
      </c>
      <c r="U232" t="str">
        <f>VLOOKUP(A232,Cleaned_Seller_Master!$A:$H,7,FALSE)</f>
        <v>17-12-2020</v>
      </c>
      <c r="V232">
        <f>IFERROR(INDEX(Violation_Summary_Seller_Year!$C:$C,MATCH(AD232,Violation_Summary_Seller_Year!$K:$K,0)),0)</f>
        <v>3</v>
      </c>
      <c r="W232">
        <f>IFERROR(INDEX(Violation_Summary_Seller_Year!$D:$D,MATCH(AD232,Violation_Summary_Seller_Year!$K:$K,0)),0)</f>
        <v>10351.31</v>
      </c>
      <c r="X232">
        <f>IFERROR(INDEX(Violation_Summary_Seller_Year!$E:$E,MATCH(AD232,Violation_Summary_Seller_Year!$K:$K,0)),0)</f>
        <v>3</v>
      </c>
      <c r="Y232">
        <f>IFERROR(INDEX(Violation_Summary_Seller_Year!$F:$F,MATCH(AD232,Violation_Summary_Seller_Year!$K:$K,0)),0)</f>
        <v>1</v>
      </c>
      <c r="Z232">
        <f>IFERROR(INDEX(Violation_Summary_Seller_Year!$G:$G,MATCH(AD232,Violation_Summary_Seller_Year!$K:$K,0)),0)</f>
        <v>2</v>
      </c>
      <c r="AA232">
        <f>IFERROR(INDEX(Violation_Summary_Seller_Year!$H:$H,MATCH(AD232,Violation_Summary_Seller_Year!$K:$K,0)),0)</f>
        <v>3</v>
      </c>
      <c r="AB232">
        <f>IFERROR(INDEX(Violation_Summary_Seller_Year!$I:$I,MATCH(AD232,Violation_Summary_Seller_Year!$K:$K,0)),0)</f>
        <v>0</v>
      </c>
      <c r="AC232">
        <f>IFERROR(INDEX(Violation_Summary_Seller_Year!$J:$J,MATCH(AD232,Violation_Summary_Seller_Year!$K:$K,0)),0)</f>
        <v>39</v>
      </c>
      <c r="AD232" t="str">
        <f t="shared" si="24"/>
        <v>40_2023</v>
      </c>
      <c r="AE232">
        <f t="shared" si="25"/>
        <v>1</v>
      </c>
      <c r="AF232">
        <f t="shared" si="26"/>
        <v>2</v>
      </c>
      <c r="AG232">
        <f t="shared" si="27"/>
        <v>2</v>
      </c>
      <c r="AH232">
        <f t="shared" si="28"/>
        <v>2</v>
      </c>
      <c r="AI232">
        <f t="shared" si="29"/>
        <v>2</v>
      </c>
      <c r="AJ232">
        <f t="shared" si="30"/>
        <v>175</v>
      </c>
      <c r="AK232" t="str">
        <f t="shared" si="31"/>
        <v>High</v>
      </c>
    </row>
    <row r="233" spans="1:37" x14ac:dyDescent="0.3">
      <c r="A233">
        <v>41</v>
      </c>
      <c r="B233">
        <v>2023</v>
      </c>
      <c r="C233">
        <v>218</v>
      </c>
      <c r="D233">
        <v>11</v>
      </c>
      <c r="E233">
        <v>9</v>
      </c>
      <c r="F233">
        <v>623.83000000000004</v>
      </c>
      <c r="G233">
        <v>4.1284000000000001E-2</v>
      </c>
      <c r="H233">
        <v>11</v>
      </c>
      <c r="I233">
        <v>11</v>
      </c>
      <c r="J233">
        <v>2</v>
      </c>
      <c r="K233">
        <v>3</v>
      </c>
      <c r="L233">
        <v>0</v>
      </c>
      <c r="M233">
        <v>0</v>
      </c>
      <c r="N233">
        <v>2</v>
      </c>
      <c r="O233">
        <v>0</v>
      </c>
      <c r="P233" t="s">
        <v>68</v>
      </c>
      <c r="Q233" t="str">
        <f>VLOOKUP(A233,Cleaned_Seller_Master!$A:$H,2,FALSE)</f>
        <v>Swift Goods 041</v>
      </c>
      <c r="R233" t="str">
        <f>VLOOKUP(A233,Cleaned_Seller_Master!$A:$H,4,FALSE)</f>
        <v>Groceries</v>
      </c>
      <c r="S233" t="str">
        <f>VLOOKUP(A233,Cleaned_Seller_Master!$A:$H,5,FALSE)</f>
        <v>Southeast Asia</v>
      </c>
      <c r="T233" t="str">
        <f>VLOOKUP(A233,Cleaned_Seller_Master!$A:$H,8,FALSE)</f>
        <v>Standard</v>
      </c>
      <c r="U233" t="str">
        <f>VLOOKUP(A233,Cleaned_Seller_Master!$A:$H,7,FALSE)</f>
        <v>20-08-2023</v>
      </c>
      <c r="V233">
        <f>IFERROR(INDEX(Violation_Summary_Seller_Year!$C:$C,MATCH(AD233,Violation_Summary_Seller_Year!$K:$K,0)),0)</f>
        <v>3</v>
      </c>
      <c r="W233">
        <f>IFERROR(INDEX(Violation_Summary_Seller_Year!$D:$D,MATCH(AD233,Violation_Summary_Seller_Year!$K:$K,0)),0)</f>
        <v>5848.22</v>
      </c>
      <c r="X233">
        <f>IFERROR(INDEX(Violation_Summary_Seller_Year!$E:$E,MATCH(AD233,Violation_Summary_Seller_Year!$K:$K,0)),0)</f>
        <v>0</v>
      </c>
      <c r="Y233">
        <f>IFERROR(INDEX(Violation_Summary_Seller_Year!$F:$F,MATCH(AD233,Violation_Summary_Seller_Year!$K:$K,0)),0)</f>
        <v>2</v>
      </c>
      <c r="Z233">
        <f>IFERROR(INDEX(Violation_Summary_Seller_Year!$G:$G,MATCH(AD233,Violation_Summary_Seller_Year!$K:$K,0)),0)</f>
        <v>1</v>
      </c>
      <c r="AA233">
        <f>IFERROR(INDEX(Violation_Summary_Seller_Year!$H:$H,MATCH(AD233,Violation_Summary_Seller_Year!$K:$K,0)),0)</f>
        <v>2</v>
      </c>
      <c r="AB233">
        <f>IFERROR(INDEX(Violation_Summary_Seller_Year!$I:$I,MATCH(AD233,Violation_Summary_Seller_Year!$K:$K,0)),0)</f>
        <v>1</v>
      </c>
      <c r="AC233">
        <f>IFERROR(INDEX(Violation_Summary_Seller_Year!$J:$J,MATCH(AD233,Violation_Summary_Seller_Year!$K:$K,0)),0)</f>
        <v>24</v>
      </c>
      <c r="AD233" t="str">
        <f t="shared" si="24"/>
        <v>41_2023</v>
      </c>
      <c r="AE233">
        <f t="shared" si="25"/>
        <v>0</v>
      </c>
      <c r="AF233">
        <f t="shared" si="26"/>
        <v>2</v>
      </c>
      <c r="AG233">
        <f t="shared" si="27"/>
        <v>2</v>
      </c>
      <c r="AH233">
        <f t="shared" si="28"/>
        <v>0</v>
      </c>
      <c r="AI233">
        <f t="shared" si="29"/>
        <v>1</v>
      </c>
      <c r="AJ233">
        <f t="shared" si="30"/>
        <v>100</v>
      </c>
      <c r="AK233" t="str">
        <f t="shared" si="31"/>
        <v>Medium</v>
      </c>
    </row>
    <row r="234" spans="1:37" x14ac:dyDescent="0.3">
      <c r="A234">
        <v>42</v>
      </c>
      <c r="B234">
        <v>2023</v>
      </c>
      <c r="C234">
        <v>985</v>
      </c>
      <c r="D234">
        <v>82</v>
      </c>
      <c r="E234">
        <v>69</v>
      </c>
      <c r="F234">
        <v>7629.3</v>
      </c>
      <c r="G234">
        <v>7.0051000000000002E-2</v>
      </c>
      <c r="H234">
        <v>13</v>
      </c>
      <c r="I234">
        <v>31</v>
      </c>
      <c r="J234">
        <v>10</v>
      </c>
      <c r="K234">
        <v>6</v>
      </c>
      <c r="L234">
        <v>1</v>
      </c>
      <c r="M234">
        <v>5</v>
      </c>
      <c r="N234">
        <v>5</v>
      </c>
      <c r="O234">
        <v>4</v>
      </c>
      <c r="P234" t="s">
        <v>85</v>
      </c>
      <c r="Q234" t="str">
        <f>VLOOKUP(A234,Cleaned_Seller_Master!$A:$H,2,FALSE)</f>
        <v>Blue Source 042</v>
      </c>
      <c r="R234" t="str">
        <f>VLOOKUP(A234,Cleaned_Seller_Master!$A:$H,4,FALSE)</f>
        <v>Home</v>
      </c>
      <c r="S234" t="str">
        <f>VLOOKUP(A234,Cleaned_Seller_Master!$A:$H,5,FALSE)</f>
        <v>West</v>
      </c>
      <c r="T234" t="str">
        <f>VLOOKUP(A234,Cleaned_Seller_Master!$A:$H,8,FALSE)</f>
        <v>Strategic</v>
      </c>
      <c r="U234" t="str">
        <f>VLOOKUP(A234,Cleaned_Seller_Master!$A:$H,7,FALSE)</f>
        <v>09-11-2020</v>
      </c>
      <c r="V234">
        <f>IFERROR(INDEX(Violation_Summary_Seller_Year!$C:$C,MATCH(AD234,Violation_Summary_Seller_Year!$K:$K,0)),0)</f>
        <v>6</v>
      </c>
      <c r="W234">
        <f>IFERROR(INDEX(Violation_Summary_Seller_Year!$D:$D,MATCH(AD234,Violation_Summary_Seller_Year!$K:$K,0)),0)</f>
        <v>22564.959999999999</v>
      </c>
      <c r="X234">
        <f>IFERROR(INDEX(Violation_Summary_Seller_Year!$E:$E,MATCH(AD234,Violation_Summary_Seller_Year!$K:$K,0)),0)</f>
        <v>3</v>
      </c>
      <c r="Y234">
        <f>IFERROR(INDEX(Violation_Summary_Seller_Year!$F:$F,MATCH(AD234,Violation_Summary_Seller_Year!$K:$K,0)),0)</f>
        <v>3</v>
      </c>
      <c r="Z234">
        <f>IFERROR(INDEX(Violation_Summary_Seller_Year!$G:$G,MATCH(AD234,Violation_Summary_Seller_Year!$K:$K,0)),0)</f>
        <v>3</v>
      </c>
      <c r="AA234">
        <f>IFERROR(INDEX(Violation_Summary_Seller_Year!$H:$H,MATCH(AD234,Violation_Summary_Seller_Year!$K:$K,0)),0)</f>
        <v>4</v>
      </c>
      <c r="AB234">
        <f>IFERROR(INDEX(Violation_Summary_Seller_Year!$I:$I,MATCH(AD234,Violation_Summary_Seller_Year!$K:$K,0)),0)</f>
        <v>1</v>
      </c>
      <c r="AC234">
        <f>IFERROR(INDEX(Violation_Summary_Seller_Year!$J:$J,MATCH(AD234,Violation_Summary_Seller_Year!$K:$K,0)),0)</f>
        <v>50</v>
      </c>
      <c r="AD234" t="str">
        <f t="shared" si="24"/>
        <v>42_2023</v>
      </c>
      <c r="AE234">
        <f t="shared" si="25"/>
        <v>1</v>
      </c>
      <c r="AF234">
        <f t="shared" si="26"/>
        <v>2</v>
      </c>
      <c r="AG234">
        <f t="shared" si="27"/>
        <v>2</v>
      </c>
      <c r="AH234">
        <f t="shared" si="28"/>
        <v>2</v>
      </c>
      <c r="AI234">
        <f t="shared" si="29"/>
        <v>2</v>
      </c>
      <c r="AJ234">
        <f t="shared" si="30"/>
        <v>175</v>
      </c>
      <c r="AK234" t="str">
        <f t="shared" si="31"/>
        <v>High</v>
      </c>
    </row>
    <row r="235" spans="1:37" x14ac:dyDescent="0.3">
      <c r="A235">
        <v>43</v>
      </c>
      <c r="B235">
        <v>2023</v>
      </c>
      <c r="C235">
        <v>903</v>
      </c>
      <c r="D235">
        <v>49</v>
      </c>
      <c r="E235">
        <v>39</v>
      </c>
      <c r="F235">
        <v>2995.45</v>
      </c>
      <c r="G235">
        <v>4.3188999999999998E-2</v>
      </c>
      <c r="H235">
        <v>11</v>
      </c>
      <c r="I235">
        <v>22</v>
      </c>
      <c r="J235">
        <v>5</v>
      </c>
      <c r="K235">
        <v>10</v>
      </c>
      <c r="L235">
        <v>1</v>
      </c>
      <c r="M235">
        <v>5</v>
      </c>
      <c r="N235">
        <v>4</v>
      </c>
      <c r="O235">
        <v>4</v>
      </c>
      <c r="P235" t="s">
        <v>85</v>
      </c>
      <c r="Q235" t="str">
        <f>VLOOKUP(A235,Cleaned_Seller_Master!$A:$H,2,FALSE)</f>
        <v>Vertex Supply 043</v>
      </c>
      <c r="R235" t="str">
        <f>VLOOKUP(A235,Cleaned_Seller_Master!$A:$H,4,FALSE)</f>
        <v>Fashion</v>
      </c>
      <c r="S235" t="str">
        <f>VLOOKUP(A235,Cleaned_Seller_Master!$A:$H,5,FALSE)</f>
        <v>East</v>
      </c>
      <c r="T235" t="str">
        <f>VLOOKUP(A235,Cleaned_Seller_Master!$A:$H,8,FALSE)</f>
        <v>Verified</v>
      </c>
      <c r="U235" t="str">
        <f>VLOOKUP(A235,Cleaned_Seller_Master!$A:$H,7,FALSE)</f>
        <v>05-03-2018</v>
      </c>
      <c r="V235">
        <f>IFERROR(INDEX(Violation_Summary_Seller_Year!$C:$C,MATCH(AD235,Violation_Summary_Seller_Year!$K:$K,0)),0)</f>
        <v>2</v>
      </c>
      <c r="W235">
        <f>IFERROR(INDEX(Violation_Summary_Seller_Year!$D:$D,MATCH(AD235,Violation_Summary_Seller_Year!$K:$K,0)),0)</f>
        <v>3144.32</v>
      </c>
      <c r="X235">
        <f>IFERROR(INDEX(Violation_Summary_Seller_Year!$E:$E,MATCH(AD235,Violation_Summary_Seller_Year!$K:$K,0)),0)</f>
        <v>1</v>
      </c>
      <c r="Y235">
        <f>IFERROR(INDEX(Violation_Summary_Seller_Year!$F:$F,MATCH(AD235,Violation_Summary_Seller_Year!$K:$K,0)),0)</f>
        <v>1</v>
      </c>
      <c r="Z235">
        <f>IFERROR(INDEX(Violation_Summary_Seller_Year!$G:$G,MATCH(AD235,Violation_Summary_Seller_Year!$K:$K,0)),0)</f>
        <v>1</v>
      </c>
      <c r="AA235">
        <f>IFERROR(INDEX(Violation_Summary_Seller_Year!$H:$H,MATCH(AD235,Violation_Summary_Seller_Year!$K:$K,0)),0)</f>
        <v>1</v>
      </c>
      <c r="AB235">
        <f>IFERROR(INDEX(Violation_Summary_Seller_Year!$I:$I,MATCH(AD235,Violation_Summary_Seller_Year!$K:$K,0)),0)</f>
        <v>0</v>
      </c>
      <c r="AC235">
        <f>IFERROR(INDEX(Violation_Summary_Seller_Year!$J:$J,MATCH(AD235,Violation_Summary_Seller_Year!$K:$K,0)),0)</f>
        <v>9</v>
      </c>
      <c r="AD235" t="str">
        <f t="shared" si="24"/>
        <v>43_2023</v>
      </c>
      <c r="AE235">
        <f t="shared" si="25"/>
        <v>0</v>
      </c>
      <c r="AF235">
        <f t="shared" si="26"/>
        <v>2</v>
      </c>
      <c r="AG235">
        <f t="shared" si="27"/>
        <v>1</v>
      </c>
      <c r="AH235">
        <f t="shared" si="28"/>
        <v>2</v>
      </c>
      <c r="AI235">
        <f t="shared" si="29"/>
        <v>2</v>
      </c>
      <c r="AJ235">
        <f t="shared" si="30"/>
        <v>130</v>
      </c>
      <c r="AK235" t="str">
        <f t="shared" si="31"/>
        <v>High</v>
      </c>
    </row>
    <row r="236" spans="1:37" x14ac:dyDescent="0.3">
      <c r="A236">
        <v>44</v>
      </c>
      <c r="B236">
        <v>2023</v>
      </c>
      <c r="C236">
        <v>610</v>
      </c>
      <c r="D236">
        <v>22</v>
      </c>
      <c r="E236">
        <v>17</v>
      </c>
      <c r="F236">
        <v>695.27</v>
      </c>
      <c r="G236">
        <v>2.7869000000000001E-2</v>
      </c>
      <c r="H236">
        <v>11</v>
      </c>
      <c r="I236">
        <v>11</v>
      </c>
      <c r="J236">
        <v>4</v>
      </c>
      <c r="K236">
        <v>5</v>
      </c>
      <c r="L236">
        <v>0</v>
      </c>
      <c r="M236">
        <v>1</v>
      </c>
      <c r="N236">
        <v>2</v>
      </c>
      <c r="O236">
        <v>1</v>
      </c>
      <c r="P236" t="s">
        <v>175</v>
      </c>
      <c r="Q236" t="str">
        <f>VLOOKUP(A236,Cleaned_Seller_Master!$A:$H,2,FALSE)</f>
        <v>Zen Mart 044</v>
      </c>
      <c r="R236" t="str">
        <f>VLOOKUP(A236,Cleaned_Seller_Master!$A:$H,4,FALSE)</f>
        <v>Home</v>
      </c>
      <c r="S236" t="str">
        <f>VLOOKUP(A236,Cleaned_Seller_Master!$A:$H,5,FALSE)</f>
        <v>North</v>
      </c>
      <c r="T236" t="str">
        <f>VLOOKUP(A236,Cleaned_Seller_Master!$A:$H,8,FALSE)</f>
        <v>Standard</v>
      </c>
      <c r="U236" t="str">
        <f>VLOOKUP(A236,Cleaned_Seller_Master!$A:$H,7,FALSE)</f>
        <v>25-07-2023</v>
      </c>
      <c r="V236">
        <f>IFERROR(INDEX(Violation_Summary_Seller_Year!$C:$C,MATCH(AD236,Violation_Summary_Seller_Year!$K:$K,0)),0)</f>
        <v>3</v>
      </c>
      <c r="W236">
        <f>IFERROR(INDEX(Violation_Summary_Seller_Year!$D:$D,MATCH(AD236,Violation_Summary_Seller_Year!$K:$K,0)),0)</f>
        <v>2090.02</v>
      </c>
      <c r="X236">
        <f>IFERROR(INDEX(Violation_Summary_Seller_Year!$E:$E,MATCH(AD236,Violation_Summary_Seller_Year!$K:$K,0)),0)</f>
        <v>0</v>
      </c>
      <c r="Y236">
        <f>IFERROR(INDEX(Violation_Summary_Seller_Year!$F:$F,MATCH(AD236,Violation_Summary_Seller_Year!$K:$K,0)),0)</f>
        <v>1</v>
      </c>
      <c r="Z236">
        <f>IFERROR(INDEX(Violation_Summary_Seller_Year!$G:$G,MATCH(AD236,Violation_Summary_Seller_Year!$K:$K,0)),0)</f>
        <v>2</v>
      </c>
      <c r="AA236">
        <f>IFERROR(INDEX(Violation_Summary_Seller_Year!$H:$H,MATCH(AD236,Violation_Summary_Seller_Year!$K:$K,0)),0)</f>
        <v>0</v>
      </c>
      <c r="AB236">
        <f>IFERROR(INDEX(Violation_Summary_Seller_Year!$I:$I,MATCH(AD236,Violation_Summary_Seller_Year!$K:$K,0)),0)</f>
        <v>2</v>
      </c>
      <c r="AC236">
        <f>IFERROR(INDEX(Violation_Summary_Seller_Year!$J:$J,MATCH(AD236,Violation_Summary_Seller_Year!$K:$K,0)),0)</f>
        <v>12</v>
      </c>
      <c r="AD236" t="str">
        <f t="shared" si="24"/>
        <v>44_2023</v>
      </c>
      <c r="AE236">
        <f t="shared" si="25"/>
        <v>0</v>
      </c>
      <c r="AF236">
        <f t="shared" si="26"/>
        <v>2</v>
      </c>
      <c r="AG236">
        <f t="shared" si="27"/>
        <v>1</v>
      </c>
      <c r="AH236">
        <f t="shared" si="28"/>
        <v>0</v>
      </c>
      <c r="AI236">
        <f t="shared" si="29"/>
        <v>1</v>
      </c>
      <c r="AJ236">
        <f t="shared" si="30"/>
        <v>80</v>
      </c>
      <c r="AK236" t="str">
        <f t="shared" si="31"/>
        <v>Medium</v>
      </c>
    </row>
    <row r="237" spans="1:37" x14ac:dyDescent="0.3">
      <c r="A237">
        <v>45</v>
      </c>
      <c r="B237">
        <v>2023</v>
      </c>
      <c r="C237">
        <v>1779</v>
      </c>
      <c r="D237">
        <v>92</v>
      </c>
      <c r="E237">
        <v>76</v>
      </c>
      <c r="F237">
        <v>4038.47</v>
      </c>
      <c r="G237">
        <v>4.2721000000000002E-2</v>
      </c>
      <c r="H237">
        <v>12</v>
      </c>
      <c r="I237">
        <v>36</v>
      </c>
      <c r="J237">
        <v>7</v>
      </c>
      <c r="K237">
        <v>5</v>
      </c>
      <c r="L237">
        <v>0</v>
      </c>
      <c r="M237">
        <v>1</v>
      </c>
      <c r="N237">
        <v>2</v>
      </c>
      <c r="O237">
        <v>5</v>
      </c>
      <c r="P237" t="s">
        <v>175</v>
      </c>
      <c r="Q237" t="str">
        <f>VLOOKUP(A237,Cleaned_Seller_Master!$A:$H,2,FALSE)</f>
        <v>True House 045</v>
      </c>
      <c r="R237" t="str">
        <f>VLOOKUP(A237,Cleaned_Seller_Master!$A:$H,4,FALSE)</f>
        <v>Fashion</v>
      </c>
      <c r="S237" t="str">
        <f>VLOOKUP(A237,Cleaned_Seller_Master!$A:$H,5,FALSE)</f>
        <v>East</v>
      </c>
      <c r="T237" t="str">
        <f>VLOOKUP(A237,Cleaned_Seller_Master!$A:$H,8,FALSE)</f>
        <v>Premium</v>
      </c>
      <c r="U237" t="str">
        <f>VLOOKUP(A237,Cleaned_Seller_Master!$A:$H,7,FALSE)</f>
        <v>24-09-2023</v>
      </c>
      <c r="V237">
        <f>IFERROR(INDEX(Violation_Summary_Seller_Year!$C:$C,MATCH(AD237,Violation_Summary_Seller_Year!$K:$K,0)),0)</f>
        <v>1</v>
      </c>
      <c r="W237">
        <f>IFERROR(INDEX(Violation_Summary_Seller_Year!$D:$D,MATCH(AD237,Violation_Summary_Seller_Year!$K:$K,0)),0)</f>
        <v>884.9</v>
      </c>
      <c r="X237">
        <f>IFERROR(INDEX(Violation_Summary_Seller_Year!$E:$E,MATCH(AD237,Violation_Summary_Seller_Year!$K:$K,0)),0)</f>
        <v>0</v>
      </c>
      <c r="Y237">
        <f>IFERROR(INDEX(Violation_Summary_Seller_Year!$F:$F,MATCH(AD237,Violation_Summary_Seller_Year!$K:$K,0)),0)</f>
        <v>0</v>
      </c>
      <c r="Z237">
        <f>IFERROR(INDEX(Violation_Summary_Seller_Year!$G:$G,MATCH(AD237,Violation_Summary_Seller_Year!$K:$K,0)),0)</f>
        <v>1</v>
      </c>
      <c r="AA237">
        <f>IFERROR(INDEX(Violation_Summary_Seller_Year!$H:$H,MATCH(AD237,Violation_Summary_Seller_Year!$K:$K,0)),0)</f>
        <v>0</v>
      </c>
      <c r="AB237">
        <f>IFERROR(INDEX(Violation_Summary_Seller_Year!$I:$I,MATCH(AD237,Violation_Summary_Seller_Year!$K:$K,0)),0)</f>
        <v>1</v>
      </c>
      <c r="AC237">
        <f>IFERROR(INDEX(Violation_Summary_Seller_Year!$J:$J,MATCH(AD237,Violation_Summary_Seller_Year!$K:$K,0)),0)</f>
        <v>9</v>
      </c>
      <c r="AD237" t="str">
        <f t="shared" si="24"/>
        <v>45_2023</v>
      </c>
      <c r="AE237">
        <f t="shared" si="25"/>
        <v>0</v>
      </c>
      <c r="AF237">
        <f t="shared" si="26"/>
        <v>2</v>
      </c>
      <c r="AG237">
        <f t="shared" si="27"/>
        <v>0</v>
      </c>
      <c r="AH237">
        <f t="shared" si="28"/>
        <v>0</v>
      </c>
      <c r="AI237">
        <f t="shared" si="29"/>
        <v>1</v>
      </c>
      <c r="AJ237">
        <f t="shared" si="30"/>
        <v>60</v>
      </c>
      <c r="AK237" t="str">
        <f t="shared" si="31"/>
        <v>Medium</v>
      </c>
    </row>
    <row r="238" spans="1:37" x14ac:dyDescent="0.3">
      <c r="A238">
        <v>46</v>
      </c>
      <c r="B238">
        <v>2023</v>
      </c>
      <c r="C238">
        <v>612</v>
      </c>
      <c r="D238">
        <v>26</v>
      </c>
      <c r="E238">
        <v>22</v>
      </c>
      <c r="F238">
        <v>1076.1500000000001</v>
      </c>
      <c r="G238">
        <v>3.5948000000000001E-2</v>
      </c>
      <c r="H238">
        <v>6</v>
      </c>
      <c r="I238">
        <v>20</v>
      </c>
      <c r="J238">
        <v>5</v>
      </c>
      <c r="K238">
        <v>2</v>
      </c>
      <c r="L238">
        <v>1</v>
      </c>
      <c r="M238">
        <v>2</v>
      </c>
      <c r="N238">
        <v>1</v>
      </c>
      <c r="O238">
        <v>1</v>
      </c>
      <c r="P238" t="s">
        <v>176</v>
      </c>
      <c r="Q238" t="str">
        <f>VLOOKUP(A238,Cleaned_Seller_Master!$A:$H,2,FALSE)</f>
        <v>Core Traders 046</v>
      </c>
      <c r="R238" t="str">
        <f>VLOOKUP(A238,Cleaned_Seller_Master!$A:$H,4,FALSE)</f>
        <v>Home</v>
      </c>
      <c r="S238" t="str">
        <f>VLOOKUP(A238,Cleaned_Seller_Master!$A:$H,5,FALSE)</f>
        <v>East</v>
      </c>
      <c r="T238" t="str">
        <f>VLOOKUP(A238,Cleaned_Seller_Master!$A:$H,8,FALSE)</f>
        <v>Verified</v>
      </c>
      <c r="U238" t="str">
        <f>VLOOKUP(A238,Cleaned_Seller_Master!$A:$H,7,FALSE)</f>
        <v>05-08-2020</v>
      </c>
      <c r="V238">
        <f>IFERROR(INDEX(Violation_Summary_Seller_Year!$C:$C,MATCH(AD238,Violation_Summary_Seller_Year!$K:$K,0)),0)</f>
        <v>2</v>
      </c>
      <c r="W238">
        <f>IFERROR(INDEX(Violation_Summary_Seller_Year!$D:$D,MATCH(AD238,Violation_Summary_Seller_Year!$K:$K,0)),0)</f>
        <v>1801.47</v>
      </c>
      <c r="X238">
        <f>IFERROR(INDEX(Violation_Summary_Seller_Year!$E:$E,MATCH(AD238,Violation_Summary_Seller_Year!$K:$K,0)),0)</f>
        <v>1</v>
      </c>
      <c r="Y238">
        <f>IFERROR(INDEX(Violation_Summary_Seller_Year!$F:$F,MATCH(AD238,Violation_Summary_Seller_Year!$K:$K,0)),0)</f>
        <v>1</v>
      </c>
      <c r="Z238">
        <f>IFERROR(INDEX(Violation_Summary_Seller_Year!$G:$G,MATCH(AD238,Violation_Summary_Seller_Year!$K:$K,0)),0)</f>
        <v>1</v>
      </c>
      <c r="AA238">
        <f>IFERROR(INDEX(Violation_Summary_Seller_Year!$H:$H,MATCH(AD238,Violation_Summary_Seller_Year!$K:$K,0)),0)</f>
        <v>1</v>
      </c>
      <c r="AB238">
        <f>IFERROR(INDEX(Violation_Summary_Seller_Year!$I:$I,MATCH(AD238,Violation_Summary_Seller_Year!$K:$K,0)),0)</f>
        <v>1</v>
      </c>
      <c r="AC238">
        <f>IFERROR(INDEX(Violation_Summary_Seller_Year!$J:$J,MATCH(AD238,Violation_Summary_Seller_Year!$K:$K,0)),0)</f>
        <v>11</v>
      </c>
      <c r="AD238" t="str">
        <f t="shared" si="24"/>
        <v>46_2023</v>
      </c>
      <c r="AE238">
        <f t="shared" si="25"/>
        <v>0</v>
      </c>
      <c r="AF238">
        <f t="shared" si="26"/>
        <v>1</v>
      </c>
      <c r="AG238">
        <f t="shared" si="27"/>
        <v>1</v>
      </c>
      <c r="AH238">
        <f t="shared" si="28"/>
        <v>2</v>
      </c>
      <c r="AI238">
        <f t="shared" si="29"/>
        <v>1</v>
      </c>
      <c r="AJ238">
        <f t="shared" si="30"/>
        <v>95</v>
      </c>
      <c r="AK238" t="str">
        <f t="shared" si="31"/>
        <v>Medium</v>
      </c>
    </row>
    <row r="239" spans="1:37" x14ac:dyDescent="0.3">
      <c r="A239">
        <v>47</v>
      </c>
      <c r="B239">
        <v>2023</v>
      </c>
      <c r="C239">
        <v>2614</v>
      </c>
      <c r="D239">
        <v>262</v>
      </c>
      <c r="E239">
        <v>191</v>
      </c>
      <c r="F239">
        <v>18818.82</v>
      </c>
      <c r="G239">
        <v>7.3067999999999994E-2</v>
      </c>
      <c r="H239">
        <v>36</v>
      </c>
      <c r="I239">
        <v>83</v>
      </c>
      <c r="J239">
        <v>34</v>
      </c>
      <c r="K239">
        <v>22</v>
      </c>
      <c r="L239">
        <v>1</v>
      </c>
      <c r="M239">
        <v>8</v>
      </c>
      <c r="N239">
        <v>12</v>
      </c>
      <c r="O239">
        <v>13</v>
      </c>
      <c r="P239" t="s">
        <v>85</v>
      </c>
      <c r="Q239" t="str">
        <f>VLOOKUP(A239,Cleaned_Seller_Master!$A:$H,2,FALSE)</f>
        <v>Urban Works 047</v>
      </c>
      <c r="R239" t="str">
        <f>VLOOKUP(A239,Cleaned_Seller_Master!$A:$H,4,FALSE)</f>
        <v>Home</v>
      </c>
      <c r="S239" t="str">
        <f>VLOOKUP(A239,Cleaned_Seller_Master!$A:$H,5,FALSE)</f>
        <v>South</v>
      </c>
      <c r="T239" t="str">
        <f>VLOOKUP(A239,Cleaned_Seller_Master!$A:$H,8,FALSE)</f>
        <v>Verified</v>
      </c>
      <c r="U239" t="str">
        <f>VLOOKUP(A239,Cleaned_Seller_Master!$A:$H,7,FALSE)</f>
        <v>09-01-2020</v>
      </c>
      <c r="V239">
        <f>IFERROR(INDEX(Violation_Summary_Seller_Year!$C:$C,MATCH(AD239,Violation_Summary_Seller_Year!$K:$K,0)),0)</f>
        <v>6</v>
      </c>
      <c r="W239">
        <f>IFERROR(INDEX(Violation_Summary_Seller_Year!$D:$D,MATCH(AD239,Violation_Summary_Seller_Year!$K:$K,0)),0)</f>
        <v>17630.37</v>
      </c>
      <c r="X239">
        <f>IFERROR(INDEX(Violation_Summary_Seller_Year!$E:$E,MATCH(AD239,Violation_Summary_Seller_Year!$K:$K,0)),0)</f>
        <v>2</v>
      </c>
      <c r="Y239">
        <f>IFERROR(INDEX(Violation_Summary_Seller_Year!$F:$F,MATCH(AD239,Violation_Summary_Seller_Year!$K:$K,0)),0)</f>
        <v>5</v>
      </c>
      <c r="Z239">
        <f>IFERROR(INDEX(Violation_Summary_Seller_Year!$G:$G,MATCH(AD239,Violation_Summary_Seller_Year!$K:$K,0)),0)</f>
        <v>1</v>
      </c>
      <c r="AA239">
        <f>IFERROR(INDEX(Violation_Summary_Seller_Year!$H:$H,MATCH(AD239,Violation_Summary_Seller_Year!$K:$K,0)),0)</f>
        <v>4</v>
      </c>
      <c r="AB239">
        <f>IFERROR(INDEX(Violation_Summary_Seller_Year!$I:$I,MATCH(AD239,Violation_Summary_Seller_Year!$K:$K,0)),0)</f>
        <v>0</v>
      </c>
      <c r="AC239">
        <f>IFERROR(INDEX(Violation_Summary_Seller_Year!$J:$J,MATCH(AD239,Violation_Summary_Seller_Year!$K:$K,0)),0)</f>
        <v>50</v>
      </c>
      <c r="AD239" t="str">
        <f t="shared" si="24"/>
        <v>47_2023</v>
      </c>
      <c r="AE239">
        <f t="shared" si="25"/>
        <v>1</v>
      </c>
      <c r="AF239">
        <f t="shared" si="26"/>
        <v>2</v>
      </c>
      <c r="AG239">
        <f t="shared" si="27"/>
        <v>2</v>
      </c>
      <c r="AH239">
        <f t="shared" si="28"/>
        <v>2</v>
      </c>
      <c r="AI239">
        <f t="shared" si="29"/>
        <v>2</v>
      </c>
      <c r="AJ239">
        <f t="shared" si="30"/>
        <v>175</v>
      </c>
      <c r="AK239" t="str">
        <f t="shared" si="31"/>
        <v>High</v>
      </c>
    </row>
    <row r="240" spans="1:37" x14ac:dyDescent="0.3">
      <c r="A240">
        <v>48</v>
      </c>
      <c r="B240">
        <v>2023</v>
      </c>
      <c r="C240">
        <v>537</v>
      </c>
      <c r="D240">
        <v>40</v>
      </c>
      <c r="E240">
        <v>37</v>
      </c>
      <c r="F240">
        <v>2032.1</v>
      </c>
      <c r="G240">
        <v>6.8901000000000004E-2</v>
      </c>
      <c r="H240">
        <v>16</v>
      </c>
      <c r="I240">
        <v>19</v>
      </c>
      <c r="J240">
        <v>7</v>
      </c>
      <c r="K240">
        <v>5</v>
      </c>
      <c r="L240">
        <v>1</v>
      </c>
      <c r="M240">
        <v>5</v>
      </c>
      <c r="N240">
        <v>5</v>
      </c>
      <c r="O240">
        <v>1</v>
      </c>
      <c r="P240" t="s">
        <v>85</v>
      </c>
      <c r="Q240" t="str">
        <f>VLOOKUP(A240,Cleaned_Seller_Master!$A:$H,2,FALSE)</f>
        <v>Bright Nest 048</v>
      </c>
      <c r="R240" t="str">
        <f>VLOOKUP(A240,Cleaned_Seller_Master!$A:$H,4,FALSE)</f>
        <v>Home</v>
      </c>
      <c r="S240" t="str">
        <f>VLOOKUP(A240,Cleaned_Seller_Master!$A:$H,5,FALSE)</f>
        <v>East</v>
      </c>
      <c r="T240" t="str">
        <f>VLOOKUP(A240,Cleaned_Seller_Master!$A:$H,8,FALSE)</f>
        <v>Premium</v>
      </c>
      <c r="U240" t="str">
        <f>VLOOKUP(A240,Cleaned_Seller_Master!$A:$H,7,FALSE)</f>
        <v>24-01-2025</v>
      </c>
      <c r="V240">
        <f>IFERROR(INDEX(Violation_Summary_Seller_Year!$C:$C,MATCH(AD240,Violation_Summary_Seller_Year!$K:$K,0)),0)</f>
        <v>4</v>
      </c>
      <c r="W240">
        <f>IFERROR(INDEX(Violation_Summary_Seller_Year!$D:$D,MATCH(AD240,Violation_Summary_Seller_Year!$K:$K,0)),0)</f>
        <v>9543.2200000000012</v>
      </c>
      <c r="X240">
        <f>IFERROR(INDEX(Violation_Summary_Seller_Year!$E:$E,MATCH(AD240,Violation_Summary_Seller_Year!$K:$K,0)),0)</f>
        <v>4</v>
      </c>
      <c r="Y240">
        <f>IFERROR(INDEX(Violation_Summary_Seller_Year!$F:$F,MATCH(AD240,Violation_Summary_Seller_Year!$K:$K,0)),0)</f>
        <v>0</v>
      </c>
      <c r="Z240">
        <f>IFERROR(INDEX(Violation_Summary_Seller_Year!$G:$G,MATCH(AD240,Violation_Summary_Seller_Year!$K:$K,0)),0)</f>
        <v>4</v>
      </c>
      <c r="AA240">
        <f>IFERROR(INDEX(Violation_Summary_Seller_Year!$H:$H,MATCH(AD240,Violation_Summary_Seller_Year!$K:$K,0)),0)</f>
        <v>4</v>
      </c>
      <c r="AB240">
        <f>IFERROR(INDEX(Violation_Summary_Seller_Year!$I:$I,MATCH(AD240,Violation_Summary_Seller_Year!$K:$K,0)),0)</f>
        <v>4</v>
      </c>
      <c r="AC240">
        <f>IFERROR(INDEX(Violation_Summary_Seller_Year!$J:$J,MATCH(AD240,Violation_Summary_Seller_Year!$K:$K,0)),0)</f>
        <v>27</v>
      </c>
      <c r="AD240" t="str">
        <f t="shared" si="24"/>
        <v>48_2023</v>
      </c>
      <c r="AE240">
        <f t="shared" si="25"/>
        <v>1</v>
      </c>
      <c r="AF240">
        <f t="shared" si="26"/>
        <v>2</v>
      </c>
      <c r="AG240">
        <f t="shared" si="27"/>
        <v>2</v>
      </c>
      <c r="AH240">
        <f t="shared" si="28"/>
        <v>2</v>
      </c>
      <c r="AI240">
        <f t="shared" si="29"/>
        <v>2</v>
      </c>
      <c r="AJ240">
        <f t="shared" si="30"/>
        <v>175</v>
      </c>
      <c r="AK240" t="str">
        <f t="shared" si="31"/>
        <v>High</v>
      </c>
    </row>
    <row r="241" spans="1:37" x14ac:dyDescent="0.3">
      <c r="A241">
        <v>49</v>
      </c>
      <c r="B241">
        <v>2023</v>
      </c>
      <c r="C241">
        <v>1110</v>
      </c>
      <c r="D241">
        <v>106</v>
      </c>
      <c r="E241">
        <v>96</v>
      </c>
      <c r="F241">
        <v>6230.63</v>
      </c>
      <c r="G241">
        <v>8.6485999999999993E-2</v>
      </c>
      <c r="H241">
        <v>30</v>
      </c>
      <c r="I241">
        <v>36</v>
      </c>
      <c r="J241">
        <v>10</v>
      </c>
      <c r="K241">
        <v>15</v>
      </c>
      <c r="L241">
        <v>1</v>
      </c>
      <c r="M241">
        <v>7</v>
      </c>
      <c r="N241">
        <v>5</v>
      </c>
      <c r="O241">
        <v>5</v>
      </c>
      <c r="P241" t="s">
        <v>85</v>
      </c>
      <c r="Q241" t="str">
        <f>VLOOKUP(A241,Cleaned_Seller_Master!$A:$H,2,FALSE)</f>
        <v>Golden Hub 049</v>
      </c>
      <c r="R241" t="str">
        <f>VLOOKUP(A241,Cleaned_Seller_Master!$A:$H,4,FALSE)</f>
        <v>Electronics</v>
      </c>
      <c r="S241" t="str">
        <f>VLOOKUP(A241,Cleaned_Seller_Master!$A:$H,5,FALSE)</f>
        <v>South</v>
      </c>
      <c r="T241" t="str">
        <f>VLOOKUP(A241,Cleaned_Seller_Master!$A:$H,8,FALSE)</f>
        <v>Verified</v>
      </c>
      <c r="U241" t="str">
        <f>VLOOKUP(A241,Cleaned_Seller_Master!$A:$H,7,FALSE)</f>
        <v>05-10-2018</v>
      </c>
      <c r="V241">
        <f>IFERROR(INDEX(Violation_Summary_Seller_Year!$C:$C,MATCH(AD241,Violation_Summary_Seller_Year!$K:$K,0)),0)</f>
        <v>5</v>
      </c>
      <c r="W241">
        <f>IFERROR(INDEX(Violation_Summary_Seller_Year!$D:$D,MATCH(AD241,Violation_Summary_Seller_Year!$K:$K,0)),0)</f>
        <v>18778.46</v>
      </c>
      <c r="X241">
        <f>IFERROR(INDEX(Violation_Summary_Seller_Year!$E:$E,MATCH(AD241,Violation_Summary_Seller_Year!$K:$K,0)),0)</f>
        <v>3</v>
      </c>
      <c r="Y241">
        <f>IFERROR(INDEX(Violation_Summary_Seller_Year!$F:$F,MATCH(AD241,Violation_Summary_Seller_Year!$K:$K,0)),0)</f>
        <v>1</v>
      </c>
      <c r="Z241">
        <f>IFERROR(INDEX(Violation_Summary_Seller_Year!$G:$G,MATCH(AD241,Violation_Summary_Seller_Year!$K:$K,0)),0)</f>
        <v>4</v>
      </c>
      <c r="AA241">
        <f>IFERROR(INDEX(Violation_Summary_Seller_Year!$H:$H,MATCH(AD241,Violation_Summary_Seller_Year!$K:$K,0)),0)</f>
        <v>4</v>
      </c>
      <c r="AB241">
        <f>IFERROR(INDEX(Violation_Summary_Seller_Year!$I:$I,MATCH(AD241,Violation_Summary_Seller_Year!$K:$K,0)),0)</f>
        <v>4</v>
      </c>
      <c r="AC241">
        <f>IFERROR(INDEX(Violation_Summary_Seller_Year!$J:$J,MATCH(AD241,Violation_Summary_Seller_Year!$K:$K,0)),0)</f>
        <v>68</v>
      </c>
      <c r="AD241" t="str">
        <f t="shared" si="24"/>
        <v>49_2023</v>
      </c>
      <c r="AE241">
        <f t="shared" si="25"/>
        <v>1</v>
      </c>
      <c r="AF241">
        <f t="shared" si="26"/>
        <v>2</v>
      </c>
      <c r="AG241">
        <f t="shared" si="27"/>
        <v>2</v>
      </c>
      <c r="AH241">
        <f t="shared" si="28"/>
        <v>2</v>
      </c>
      <c r="AI241">
        <f t="shared" si="29"/>
        <v>2</v>
      </c>
      <c r="AJ241">
        <f t="shared" si="30"/>
        <v>175</v>
      </c>
      <c r="AK241" t="str">
        <f t="shared" si="31"/>
        <v>High</v>
      </c>
    </row>
    <row r="242" spans="1:37" x14ac:dyDescent="0.3">
      <c r="A242">
        <v>50</v>
      </c>
      <c r="B242">
        <v>2023</v>
      </c>
      <c r="C242">
        <v>761</v>
      </c>
      <c r="D242">
        <v>45</v>
      </c>
      <c r="E242">
        <v>33</v>
      </c>
      <c r="F242">
        <v>2301.79</v>
      </c>
      <c r="G242">
        <v>4.3364E-2</v>
      </c>
      <c r="H242">
        <v>20</v>
      </c>
      <c r="I242">
        <v>20</v>
      </c>
      <c r="J242">
        <v>7</v>
      </c>
      <c r="K242">
        <v>7</v>
      </c>
      <c r="L242">
        <v>0</v>
      </c>
      <c r="M242">
        <v>1</v>
      </c>
      <c r="N242">
        <v>3</v>
      </c>
      <c r="O242">
        <v>1</v>
      </c>
      <c r="P242" t="s">
        <v>175</v>
      </c>
      <c r="Q242" t="str">
        <f>VLOOKUP(A242,Cleaned_Seller_Master!$A:$H,2,FALSE)</f>
        <v>Ever Merchants 050</v>
      </c>
      <c r="R242" t="str">
        <f>VLOOKUP(A242,Cleaned_Seller_Master!$A:$H,4,FALSE)</f>
        <v>Fashion</v>
      </c>
      <c r="S242" t="str">
        <f>VLOOKUP(A242,Cleaned_Seller_Master!$A:$H,5,FALSE)</f>
        <v>South</v>
      </c>
      <c r="T242" t="str">
        <f>VLOOKUP(A242,Cleaned_Seller_Master!$A:$H,8,FALSE)</f>
        <v>Strategic</v>
      </c>
      <c r="U242" t="str">
        <f>VLOOKUP(A242,Cleaned_Seller_Master!$A:$H,7,FALSE)</f>
        <v>10-03-2019</v>
      </c>
      <c r="V242">
        <f>IFERROR(INDEX(Violation_Summary_Seller_Year!$C:$C,MATCH(AD242,Violation_Summary_Seller_Year!$K:$K,0)),0)</f>
        <v>3</v>
      </c>
      <c r="W242">
        <f>IFERROR(INDEX(Violation_Summary_Seller_Year!$D:$D,MATCH(AD242,Violation_Summary_Seller_Year!$K:$K,0)),0)</f>
        <v>1279.24</v>
      </c>
      <c r="X242">
        <f>IFERROR(INDEX(Violation_Summary_Seller_Year!$E:$E,MATCH(AD242,Violation_Summary_Seller_Year!$K:$K,0)),0)</f>
        <v>0</v>
      </c>
      <c r="Y242">
        <f>IFERROR(INDEX(Violation_Summary_Seller_Year!$F:$F,MATCH(AD242,Violation_Summary_Seller_Year!$K:$K,0)),0)</f>
        <v>2</v>
      </c>
      <c r="Z242">
        <f>IFERROR(INDEX(Violation_Summary_Seller_Year!$G:$G,MATCH(AD242,Violation_Summary_Seller_Year!$K:$K,0)),0)</f>
        <v>1</v>
      </c>
      <c r="AA242">
        <f>IFERROR(INDEX(Violation_Summary_Seller_Year!$H:$H,MATCH(AD242,Violation_Summary_Seller_Year!$K:$K,0)),0)</f>
        <v>0</v>
      </c>
      <c r="AB242">
        <f>IFERROR(INDEX(Violation_Summary_Seller_Year!$I:$I,MATCH(AD242,Violation_Summary_Seller_Year!$K:$K,0)),0)</f>
        <v>1</v>
      </c>
      <c r="AC242">
        <f>IFERROR(INDEX(Violation_Summary_Seller_Year!$J:$J,MATCH(AD242,Violation_Summary_Seller_Year!$K:$K,0)),0)</f>
        <v>26</v>
      </c>
      <c r="AD242" t="str">
        <f t="shared" si="24"/>
        <v>50_2023</v>
      </c>
      <c r="AE242">
        <f t="shared" si="25"/>
        <v>0</v>
      </c>
      <c r="AF242">
        <f t="shared" si="26"/>
        <v>2</v>
      </c>
      <c r="AG242">
        <f t="shared" si="27"/>
        <v>1</v>
      </c>
      <c r="AH242">
        <f t="shared" si="28"/>
        <v>0</v>
      </c>
      <c r="AI242">
        <f t="shared" si="29"/>
        <v>1</v>
      </c>
      <c r="AJ242">
        <f t="shared" si="30"/>
        <v>80</v>
      </c>
      <c r="AK242" t="str">
        <f t="shared" si="31"/>
        <v>Medium</v>
      </c>
    </row>
    <row r="243" spans="1:37" x14ac:dyDescent="0.3">
      <c r="A243">
        <v>51</v>
      </c>
      <c r="B243">
        <v>2023</v>
      </c>
      <c r="C243">
        <v>1780</v>
      </c>
      <c r="D243">
        <v>104</v>
      </c>
      <c r="E243">
        <v>90</v>
      </c>
      <c r="F243">
        <v>6471.19</v>
      </c>
      <c r="G243">
        <v>5.0562000000000003E-2</v>
      </c>
      <c r="H243">
        <v>30</v>
      </c>
      <c r="I243">
        <v>40</v>
      </c>
      <c r="J243">
        <v>13</v>
      </c>
      <c r="K243">
        <v>13</v>
      </c>
      <c r="L243">
        <v>0</v>
      </c>
      <c r="M243">
        <v>4</v>
      </c>
      <c r="N243">
        <v>7</v>
      </c>
      <c r="O243">
        <v>5</v>
      </c>
      <c r="P243" t="s">
        <v>68</v>
      </c>
      <c r="Q243" t="str">
        <f>VLOOKUP(A243,Cleaned_Seller_Master!$A:$H,2,FALSE)</f>
        <v>Orbit Square 051</v>
      </c>
      <c r="R243" t="str">
        <f>VLOOKUP(A243,Cleaned_Seller_Master!$A:$H,4,FALSE)</f>
        <v>Beauty</v>
      </c>
      <c r="S243" t="str">
        <f>VLOOKUP(A243,Cleaned_Seller_Master!$A:$H,5,FALSE)</f>
        <v>North</v>
      </c>
      <c r="T243" t="str">
        <f>VLOOKUP(A243,Cleaned_Seller_Master!$A:$H,8,FALSE)</f>
        <v>Premium</v>
      </c>
      <c r="U243" t="str">
        <f>VLOOKUP(A243,Cleaned_Seller_Master!$A:$H,7,FALSE)</f>
        <v>23-02-2020</v>
      </c>
      <c r="V243">
        <f>IFERROR(INDEX(Violation_Summary_Seller_Year!$C:$C,MATCH(AD243,Violation_Summary_Seller_Year!$K:$K,0)),0)</f>
        <v>1</v>
      </c>
      <c r="W243">
        <f>IFERROR(INDEX(Violation_Summary_Seller_Year!$D:$D,MATCH(AD243,Violation_Summary_Seller_Year!$K:$K,0)),0)</f>
        <v>5495.83</v>
      </c>
      <c r="X243">
        <f>IFERROR(INDEX(Violation_Summary_Seller_Year!$E:$E,MATCH(AD243,Violation_Summary_Seller_Year!$K:$K,0)),0)</f>
        <v>0</v>
      </c>
      <c r="Y243">
        <f>IFERROR(INDEX(Violation_Summary_Seller_Year!$F:$F,MATCH(AD243,Violation_Summary_Seller_Year!$K:$K,0)),0)</f>
        <v>1</v>
      </c>
      <c r="Z243">
        <f>IFERROR(INDEX(Violation_Summary_Seller_Year!$G:$G,MATCH(AD243,Violation_Summary_Seller_Year!$K:$K,0)),0)</f>
        <v>0</v>
      </c>
      <c r="AA243">
        <f>IFERROR(INDEX(Violation_Summary_Seller_Year!$H:$H,MATCH(AD243,Violation_Summary_Seller_Year!$K:$K,0)),0)</f>
        <v>1</v>
      </c>
      <c r="AB243">
        <f>IFERROR(INDEX(Violation_Summary_Seller_Year!$I:$I,MATCH(AD243,Violation_Summary_Seller_Year!$K:$K,0)),0)</f>
        <v>0</v>
      </c>
      <c r="AC243">
        <f>IFERROR(INDEX(Violation_Summary_Seller_Year!$J:$J,MATCH(AD243,Violation_Summary_Seller_Year!$K:$K,0)),0)</f>
        <v>12</v>
      </c>
      <c r="AD243" t="str">
        <f t="shared" si="24"/>
        <v>51_2023</v>
      </c>
      <c r="AE243">
        <f t="shared" si="25"/>
        <v>1</v>
      </c>
      <c r="AF243">
        <f t="shared" si="26"/>
        <v>2</v>
      </c>
      <c r="AG243">
        <f t="shared" si="27"/>
        <v>1</v>
      </c>
      <c r="AH243">
        <f t="shared" si="28"/>
        <v>0</v>
      </c>
      <c r="AI243">
        <f t="shared" si="29"/>
        <v>1</v>
      </c>
      <c r="AJ243">
        <f t="shared" si="30"/>
        <v>105</v>
      </c>
      <c r="AK243" t="str">
        <f t="shared" si="31"/>
        <v>Medium</v>
      </c>
    </row>
    <row r="244" spans="1:37" x14ac:dyDescent="0.3">
      <c r="A244">
        <v>52</v>
      </c>
      <c r="B244">
        <v>2023</v>
      </c>
      <c r="C244">
        <v>687</v>
      </c>
      <c r="D244">
        <v>66</v>
      </c>
      <c r="E244">
        <v>55</v>
      </c>
      <c r="F244">
        <v>3993.65</v>
      </c>
      <c r="G244">
        <v>8.0058000000000004E-2</v>
      </c>
      <c r="H244">
        <v>23</v>
      </c>
      <c r="I244">
        <v>23</v>
      </c>
      <c r="J244">
        <v>12</v>
      </c>
      <c r="K244">
        <v>8</v>
      </c>
      <c r="L244">
        <v>1</v>
      </c>
      <c r="M244">
        <v>5</v>
      </c>
      <c r="N244">
        <v>6</v>
      </c>
      <c r="O244">
        <v>4</v>
      </c>
      <c r="P244" t="s">
        <v>85</v>
      </c>
      <c r="Q244" t="str">
        <f>VLOOKUP(A244,Cleaned_Seller_Master!$A:$H,2,FALSE)</f>
        <v>Pulse Commerce 052</v>
      </c>
      <c r="R244" t="str">
        <f>VLOOKUP(A244,Cleaned_Seller_Master!$A:$H,4,FALSE)</f>
        <v>Fashion</v>
      </c>
      <c r="S244" t="str">
        <f>VLOOKUP(A244,Cleaned_Seller_Master!$A:$H,5,FALSE)</f>
        <v>Southeast Asia</v>
      </c>
      <c r="T244" t="str">
        <f>VLOOKUP(A244,Cleaned_Seller_Master!$A:$H,8,FALSE)</f>
        <v>Standard</v>
      </c>
      <c r="U244" t="str">
        <f>VLOOKUP(A244,Cleaned_Seller_Master!$A:$H,7,FALSE)</f>
        <v>17-02-2023</v>
      </c>
      <c r="V244">
        <f>IFERROR(INDEX(Violation_Summary_Seller_Year!$C:$C,MATCH(AD244,Violation_Summary_Seller_Year!$K:$K,0)),0)</f>
        <v>6</v>
      </c>
      <c r="W244">
        <f>IFERROR(INDEX(Violation_Summary_Seller_Year!$D:$D,MATCH(AD244,Violation_Summary_Seller_Year!$K:$K,0)),0)</f>
        <v>20821.97</v>
      </c>
      <c r="X244">
        <f>IFERROR(INDEX(Violation_Summary_Seller_Year!$E:$E,MATCH(AD244,Violation_Summary_Seller_Year!$K:$K,0)),0)</f>
        <v>4</v>
      </c>
      <c r="Y244">
        <f>IFERROR(INDEX(Violation_Summary_Seller_Year!$F:$F,MATCH(AD244,Violation_Summary_Seller_Year!$K:$K,0)),0)</f>
        <v>3</v>
      </c>
      <c r="Z244">
        <f>IFERROR(INDEX(Violation_Summary_Seller_Year!$G:$G,MATCH(AD244,Violation_Summary_Seller_Year!$K:$K,0)),0)</f>
        <v>3</v>
      </c>
      <c r="AA244">
        <f>IFERROR(INDEX(Violation_Summary_Seller_Year!$H:$H,MATCH(AD244,Violation_Summary_Seller_Year!$K:$K,0)),0)</f>
        <v>4</v>
      </c>
      <c r="AB244">
        <f>IFERROR(INDEX(Violation_Summary_Seller_Year!$I:$I,MATCH(AD244,Violation_Summary_Seller_Year!$K:$K,0)),0)</f>
        <v>3</v>
      </c>
      <c r="AC244">
        <f>IFERROR(INDEX(Violation_Summary_Seller_Year!$J:$J,MATCH(AD244,Violation_Summary_Seller_Year!$K:$K,0)),0)</f>
        <v>65</v>
      </c>
      <c r="AD244" t="str">
        <f t="shared" si="24"/>
        <v>52_2023</v>
      </c>
      <c r="AE244">
        <f t="shared" si="25"/>
        <v>1</v>
      </c>
      <c r="AF244">
        <f t="shared" si="26"/>
        <v>2</v>
      </c>
      <c r="AG244">
        <f t="shared" si="27"/>
        <v>2</v>
      </c>
      <c r="AH244">
        <f t="shared" si="28"/>
        <v>2</v>
      </c>
      <c r="AI244">
        <f t="shared" si="29"/>
        <v>2</v>
      </c>
      <c r="AJ244">
        <f t="shared" si="30"/>
        <v>175</v>
      </c>
      <c r="AK244" t="str">
        <f t="shared" si="31"/>
        <v>High</v>
      </c>
    </row>
    <row r="245" spans="1:37" x14ac:dyDescent="0.3">
      <c r="A245">
        <v>53</v>
      </c>
      <c r="B245">
        <v>2023</v>
      </c>
      <c r="C245">
        <v>705</v>
      </c>
      <c r="D245">
        <v>51</v>
      </c>
      <c r="E245">
        <v>45</v>
      </c>
      <c r="F245">
        <v>3242.24</v>
      </c>
      <c r="G245">
        <v>6.3829999999999998E-2</v>
      </c>
      <c r="H245">
        <v>9</v>
      </c>
      <c r="I245">
        <v>26</v>
      </c>
      <c r="J245">
        <v>8</v>
      </c>
      <c r="K245">
        <v>3</v>
      </c>
      <c r="L245">
        <v>1</v>
      </c>
      <c r="M245">
        <v>3</v>
      </c>
      <c r="N245">
        <v>4</v>
      </c>
      <c r="O245">
        <v>2</v>
      </c>
      <c r="P245" t="s">
        <v>68</v>
      </c>
      <c r="Q245" t="str">
        <f>VLOOKUP(A245,Cleaned_Seller_Master!$A:$H,2,FALSE)</f>
        <v>Summit Bazaar 053</v>
      </c>
      <c r="R245" t="str">
        <f>VLOOKUP(A245,Cleaned_Seller_Master!$A:$H,4,FALSE)</f>
        <v>Home</v>
      </c>
      <c r="S245" t="str">
        <f>VLOOKUP(A245,Cleaned_Seller_Master!$A:$H,5,FALSE)</f>
        <v>South</v>
      </c>
      <c r="T245" t="str">
        <f>VLOOKUP(A245,Cleaned_Seller_Master!$A:$H,8,FALSE)</f>
        <v>Premium</v>
      </c>
      <c r="U245" t="str">
        <f>VLOOKUP(A245,Cleaned_Seller_Master!$A:$H,7,FALSE)</f>
        <v>17-12-2019</v>
      </c>
      <c r="V245">
        <f>IFERROR(INDEX(Violation_Summary_Seller_Year!$C:$C,MATCH(AD245,Violation_Summary_Seller_Year!$K:$K,0)),0)</f>
        <v>3</v>
      </c>
      <c r="W245">
        <f>IFERROR(INDEX(Violation_Summary_Seller_Year!$D:$D,MATCH(AD245,Violation_Summary_Seller_Year!$K:$K,0)),0)</f>
        <v>10879.11</v>
      </c>
      <c r="X245">
        <f>IFERROR(INDEX(Violation_Summary_Seller_Year!$E:$E,MATCH(AD245,Violation_Summary_Seller_Year!$K:$K,0)),0)</f>
        <v>3</v>
      </c>
      <c r="Y245">
        <f>IFERROR(INDEX(Violation_Summary_Seller_Year!$F:$F,MATCH(AD245,Violation_Summary_Seller_Year!$K:$K,0)),0)</f>
        <v>1</v>
      </c>
      <c r="Z245">
        <f>IFERROR(INDEX(Violation_Summary_Seller_Year!$G:$G,MATCH(AD245,Violation_Summary_Seller_Year!$K:$K,0)),0)</f>
        <v>2</v>
      </c>
      <c r="AA245">
        <f>IFERROR(INDEX(Violation_Summary_Seller_Year!$H:$H,MATCH(AD245,Violation_Summary_Seller_Year!$K:$K,0)),0)</f>
        <v>3</v>
      </c>
      <c r="AB245">
        <f>IFERROR(INDEX(Violation_Summary_Seller_Year!$I:$I,MATCH(AD245,Violation_Summary_Seller_Year!$K:$K,0)),0)</f>
        <v>2</v>
      </c>
      <c r="AC245">
        <f>IFERROR(INDEX(Violation_Summary_Seller_Year!$J:$J,MATCH(AD245,Violation_Summary_Seller_Year!$K:$K,0)),0)</f>
        <v>35</v>
      </c>
      <c r="AD245" t="str">
        <f t="shared" si="24"/>
        <v>53_2023</v>
      </c>
      <c r="AE245">
        <f t="shared" si="25"/>
        <v>1</v>
      </c>
      <c r="AF245">
        <f t="shared" si="26"/>
        <v>2</v>
      </c>
      <c r="AG245">
        <f t="shared" si="27"/>
        <v>2</v>
      </c>
      <c r="AH245">
        <f t="shared" si="28"/>
        <v>2</v>
      </c>
      <c r="AI245">
        <f t="shared" si="29"/>
        <v>1</v>
      </c>
      <c r="AJ245">
        <f t="shared" si="30"/>
        <v>165</v>
      </c>
      <c r="AK245" t="str">
        <f t="shared" si="31"/>
        <v>High</v>
      </c>
    </row>
    <row r="246" spans="1:37" x14ac:dyDescent="0.3">
      <c r="A246">
        <v>54</v>
      </c>
      <c r="B246">
        <v>2023</v>
      </c>
      <c r="C246">
        <v>1799</v>
      </c>
      <c r="D246">
        <v>185</v>
      </c>
      <c r="E246">
        <v>144</v>
      </c>
      <c r="F246">
        <v>11074.3</v>
      </c>
      <c r="G246">
        <v>8.0044000000000004E-2</v>
      </c>
      <c r="H246">
        <v>41</v>
      </c>
      <c r="I246">
        <v>60</v>
      </c>
      <c r="J246">
        <v>33</v>
      </c>
      <c r="K246">
        <v>12</v>
      </c>
      <c r="L246">
        <v>1</v>
      </c>
      <c r="M246">
        <v>7</v>
      </c>
      <c r="N246">
        <v>6</v>
      </c>
      <c r="O246">
        <v>10</v>
      </c>
      <c r="P246" t="s">
        <v>85</v>
      </c>
      <c r="Q246" t="str">
        <f>VLOOKUP(A246,Cleaned_Seller_Master!$A:$H,2,FALSE)</f>
        <v>Prime Bridge 054</v>
      </c>
      <c r="R246" t="str">
        <f>VLOOKUP(A246,Cleaned_Seller_Master!$A:$H,4,FALSE)</f>
        <v>Groceries</v>
      </c>
      <c r="S246" t="str">
        <f>VLOOKUP(A246,Cleaned_Seller_Master!$A:$H,5,FALSE)</f>
        <v>East</v>
      </c>
      <c r="T246" t="str">
        <f>VLOOKUP(A246,Cleaned_Seller_Master!$A:$H,8,FALSE)</f>
        <v>Verified</v>
      </c>
      <c r="U246" t="str">
        <f>VLOOKUP(A246,Cleaned_Seller_Master!$A:$H,7,FALSE)</f>
        <v>09-02-2021</v>
      </c>
      <c r="V246">
        <f>IFERROR(INDEX(Violation_Summary_Seller_Year!$C:$C,MATCH(AD246,Violation_Summary_Seller_Year!$K:$K,0)),0)</f>
        <v>4</v>
      </c>
      <c r="W246">
        <f>IFERROR(INDEX(Violation_Summary_Seller_Year!$D:$D,MATCH(AD246,Violation_Summary_Seller_Year!$K:$K,0)),0)</f>
        <v>6678.7300000000005</v>
      </c>
      <c r="X246">
        <f>IFERROR(INDEX(Violation_Summary_Seller_Year!$E:$E,MATCH(AD246,Violation_Summary_Seller_Year!$K:$K,0)),0)</f>
        <v>2</v>
      </c>
      <c r="Y246">
        <f>IFERROR(INDEX(Violation_Summary_Seller_Year!$F:$F,MATCH(AD246,Violation_Summary_Seller_Year!$K:$K,0)),0)</f>
        <v>2</v>
      </c>
      <c r="Z246">
        <f>IFERROR(INDEX(Violation_Summary_Seller_Year!$G:$G,MATCH(AD246,Violation_Summary_Seller_Year!$K:$K,0)),0)</f>
        <v>2</v>
      </c>
      <c r="AA246">
        <f>IFERROR(INDEX(Violation_Summary_Seller_Year!$H:$H,MATCH(AD246,Violation_Summary_Seller_Year!$K:$K,0)),0)</f>
        <v>2</v>
      </c>
      <c r="AB246">
        <f>IFERROR(INDEX(Violation_Summary_Seller_Year!$I:$I,MATCH(AD246,Violation_Summary_Seller_Year!$K:$K,0)),0)</f>
        <v>2</v>
      </c>
      <c r="AC246">
        <f>IFERROR(INDEX(Violation_Summary_Seller_Year!$J:$J,MATCH(AD246,Violation_Summary_Seller_Year!$K:$K,0)),0)</f>
        <v>51</v>
      </c>
      <c r="AD246" t="str">
        <f t="shared" si="24"/>
        <v>54_2023</v>
      </c>
      <c r="AE246">
        <f t="shared" si="25"/>
        <v>1</v>
      </c>
      <c r="AF246">
        <f t="shared" si="26"/>
        <v>2</v>
      </c>
      <c r="AG246">
        <f t="shared" si="27"/>
        <v>2</v>
      </c>
      <c r="AH246">
        <f t="shared" si="28"/>
        <v>2</v>
      </c>
      <c r="AI246">
        <f t="shared" si="29"/>
        <v>2</v>
      </c>
      <c r="AJ246">
        <f t="shared" si="30"/>
        <v>175</v>
      </c>
      <c r="AK246" t="str">
        <f t="shared" si="31"/>
        <v>High</v>
      </c>
    </row>
    <row r="247" spans="1:37" x14ac:dyDescent="0.3">
      <c r="A247">
        <v>55</v>
      </c>
      <c r="B247">
        <v>2023</v>
      </c>
      <c r="C247">
        <v>1116</v>
      </c>
      <c r="D247">
        <v>99</v>
      </c>
      <c r="E247">
        <v>83</v>
      </c>
      <c r="F247">
        <v>3507.6</v>
      </c>
      <c r="G247">
        <v>7.4372999999999995E-2</v>
      </c>
      <c r="H247">
        <v>22</v>
      </c>
      <c r="I247">
        <v>33</v>
      </c>
      <c r="J247">
        <v>15</v>
      </c>
      <c r="K247">
        <v>12</v>
      </c>
      <c r="L247">
        <v>1</v>
      </c>
      <c r="M247">
        <v>6</v>
      </c>
      <c r="N247">
        <v>6</v>
      </c>
      <c r="O247">
        <v>4</v>
      </c>
      <c r="P247" t="s">
        <v>85</v>
      </c>
      <c r="Q247" t="str">
        <f>VLOOKUP(A247,Cleaned_Seller_Master!$A:$H,2,FALSE)</f>
        <v>Apex Retail 055</v>
      </c>
      <c r="R247" t="str">
        <f>VLOOKUP(A247,Cleaned_Seller_Master!$A:$H,4,FALSE)</f>
        <v>Fashion</v>
      </c>
      <c r="S247" t="str">
        <f>VLOOKUP(A247,Cleaned_Seller_Master!$A:$H,5,FALSE)</f>
        <v>South</v>
      </c>
      <c r="T247" t="str">
        <f>VLOOKUP(A247,Cleaned_Seller_Master!$A:$H,8,FALSE)</f>
        <v>Verified</v>
      </c>
      <c r="U247" t="str">
        <f>VLOOKUP(A247,Cleaned_Seller_Master!$A:$H,7,FALSE)</f>
        <v>26-06-2021</v>
      </c>
      <c r="V247">
        <f>IFERROR(INDEX(Violation_Summary_Seller_Year!$C:$C,MATCH(AD247,Violation_Summary_Seller_Year!$K:$K,0)),0)</f>
        <v>5</v>
      </c>
      <c r="W247">
        <f>IFERROR(INDEX(Violation_Summary_Seller_Year!$D:$D,MATCH(AD247,Violation_Summary_Seller_Year!$K:$K,0)),0)</f>
        <v>15119.03</v>
      </c>
      <c r="X247">
        <f>IFERROR(INDEX(Violation_Summary_Seller_Year!$E:$E,MATCH(AD247,Violation_Summary_Seller_Year!$K:$K,0)),0)</f>
        <v>2</v>
      </c>
      <c r="Y247">
        <f>IFERROR(INDEX(Violation_Summary_Seller_Year!$F:$F,MATCH(AD247,Violation_Summary_Seller_Year!$K:$K,0)),0)</f>
        <v>2</v>
      </c>
      <c r="Z247">
        <f>IFERROR(INDEX(Violation_Summary_Seller_Year!$G:$G,MATCH(AD247,Violation_Summary_Seller_Year!$K:$K,0)),0)</f>
        <v>3</v>
      </c>
      <c r="AA247">
        <f>IFERROR(INDEX(Violation_Summary_Seller_Year!$H:$H,MATCH(AD247,Violation_Summary_Seller_Year!$K:$K,0)),0)</f>
        <v>4</v>
      </c>
      <c r="AB247">
        <f>IFERROR(INDEX(Violation_Summary_Seller_Year!$I:$I,MATCH(AD247,Violation_Summary_Seller_Year!$K:$K,0)),0)</f>
        <v>2</v>
      </c>
      <c r="AC247">
        <f>IFERROR(INDEX(Violation_Summary_Seller_Year!$J:$J,MATCH(AD247,Violation_Summary_Seller_Year!$K:$K,0)),0)</f>
        <v>53</v>
      </c>
      <c r="AD247" t="str">
        <f t="shared" si="24"/>
        <v>55_2023</v>
      </c>
      <c r="AE247">
        <f t="shared" si="25"/>
        <v>1</v>
      </c>
      <c r="AF247">
        <f t="shared" si="26"/>
        <v>2</v>
      </c>
      <c r="AG247">
        <f t="shared" si="27"/>
        <v>2</v>
      </c>
      <c r="AH247">
        <f t="shared" si="28"/>
        <v>2</v>
      </c>
      <c r="AI247">
        <f t="shared" si="29"/>
        <v>2</v>
      </c>
      <c r="AJ247">
        <f t="shared" si="30"/>
        <v>175</v>
      </c>
      <c r="AK247" t="str">
        <f t="shared" si="31"/>
        <v>High</v>
      </c>
    </row>
    <row r="248" spans="1:37" x14ac:dyDescent="0.3">
      <c r="A248">
        <v>56</v>
      </c>
      <c r="B248">
        <v>2023</v>
      </c>
      <c r="C248">
        <v>1085</v>
      </c>
      <c r="D248">
        <v>54</v>
      </c>
      <c r="E248">
        <v>41</v>
      </c>
      <c r="F248">
        <v>2779.91</v>
      </c>
      <c r="G248">
        <v>3.7788000000000002E-2</v>
      </c>
      <c r="H248">
        <v>22</v>
      </c>
      <c r="I248">
        <v>28</v>
      </c>
      <c r="J248">
        <v>9</v>
      </c>
      <c r="K248">
        <v>7</v>
      </c>
      <c r="L248">
        <v>1</v>
      </c>
      <c r="M248">
        <v>4</v>
      </c>
      <c r="N248">
        <v>4</v>
      </c>
      <c r="O248">
        <v>4</v>
      </c>
      <c r="P248" t="s">
        <v>85</v>
      </c>
      <c r="Q248" t="str">
        <f>VLOOKUP(A248,Cleaned_Seller_Master!$A:$H,2,FALSE)</f>
        <v>Nimbus Market 056</v>
      </c>
      <c r="R248" t="str">
        <f>VLOOKUP(A248,Cleaned_Seller_Master!$A:$H,4,FALSE)</f>
        <v>Beauty</v>
      </c>
      <c r="S248" t="str">
        <f>VLOOKUP(A248,Cleaned_Seller_Master!$A:$H,5,FALSE)</f>
        <v>North</v>
      </c>
      <c r="T248" t="str">
        <f>VLOOKUP(A248,Cleaned_Seller_Master!$A:$H,8,FALSE)</f>
        <v>Strategic</v>
      </c>
      <c r="U248" t="str">
        <f>VLOOKUP(A248,Cleaned_Seller_Master!$A:$H,7,FALSE)</f>
        <v>18-08-2023</v>
      </c>
      <c r="V248">
        <f>IFERROR(INDEX(Violation_Summary_Seller_Year!$C:$C,MATCH(AD248,Violation_Summary_Seller_Year!$K:$K,0)),0)</f>
        <v>3</v>
      </c>
      <c r="W248">
        <f>IFERROR(INDEX(Violation_Summary_Seller_Year!$D:$D,MATCH(AD248,Violation_Summary_Seller_Year!$K:$K,0)),0)</f>
        <v>8346.9500000000007</v>
      </c>
      <c r="X248">
        <f>IFERROR(INDEX(Violation_Summary_Seller_Year!$E:$E,MATCH(AD248,Violation_Summary_Seller_Year!$K:$K,0)),0)</f>
        <v>2</v>
      </c>
      <c r="Y248">
        <f>IFERROR(INDEX(Violation_Summary_Seller_Year!$F:$F,MATCH(AD248,Violation_Summary_Seller_Year!$K:$K,0)),0)</f>
        <v>1</v>
      </c>
      <c r="Z248">
        <f>IFERROR(INDEX(Violation_Summary_Seller_Year!$G:$G,MATCH(AD248,Violation_Summary_Seller_Year!$K:$K,0)),0)</f>
        <v>2</v>
      </c>
      <c r="AA248">
        <f>IFERROR(INDEX(Violation_Summary_Seller_Year!$H:$H,MATCH(AD248,Violation_Summary_Seller_Year!$K:$K,0)),0)</f>
        <v>3</v>
      </c>
      <c r="AB248">
        <f>IFERROR(INDEX(Violation_Summary_Seller_Year!$I:$I,MATCH(AD248,Violation_Summary_Seller_Year!$K:$K,0)),0)</f>
        <v>0</v>
      </c>
      <c r="AC248">
        <f>IFERROR(INDEX(Violation_Summary_Seller_Year!$J:$J,MATCH(AD248,Violation_Summary_Seller_Year!$K:$K,0)),0)</f>
        <v>23</v>
      </c>
      <c r="AD248" t="str">
        <f t="shared" si="24"/>
        <v>56_2023</v>
      </c>
      <c r="AE248">
        <f t="shared" si="25"/>
        <v>0</v>
      </c>
      <c r="AF248">
        <f t="shared" si="26"/>
        <v>2</v>
      </c>
      <c r="AG248">
        <f t="shared" si="27"/>
        <v>2</v>
      </c>
      <c r="AH248">
        <f t="shared" si="28"/>
        <v>2</v>
      </c>
      <c r="AI248">
        <f t="shared" si="29"/>
        <v>2</v>
      </c>
      <c r="AJ248">
        <f t="shared" si="30"/>
        <v>150</v>
      </c>
      <c r="AK248" t="str">
        <f t="shared" si="31"/>
        <v>High</v>
      </c>
    </row>
    <row r="249" spans="1:37" x14ac:dyDescent="0.3">
      <c r="A249">
        <v>57</v>
      </c>
      <c r="B249">
        <v>2023</v>
      </c>
      <c r="C249">
        <v>787</v>
      </c>
      <c r="D249">
        <v>49</v>
      </c>
      <c r="E249">
        <v>37</v>
      </c>
      <c r="F249">
        <v>3637.13</v>
      </c>
      <c r="G249">
        <v>4.7014E-2</v>
      </c>
      <c r="H249">
        <v>10</v>
      </c>
      <c r="I249">
        <v>20</v>
      </c>
      <c r="J249">
        <v>6</v>
      </c>
      <c r="K249">
        <v>5</v>
      </c>
      <c r="L249">
        <v>1</v>
      </c>
      <c r="M249">
        <v>4</v>
      </c>
      <c r="N249">
        <v>4</v>
      </c>
      <c r="O249">
        <v>3</v>
      </c>
      <c r="P249" t="s">
        <v>85</v>
      </c>
      <c r="Q249" t="str">
        <f>VLOOKUP(A249,Cleaned_Seller_Master!$A:$H,2,FALSE)</f>
        <v>Metro Point 057</v>
      </c>
      <c r="R249" t="str">
        <f>VLOOKUP(A249,Cleaned_Seller_Master!$A:$H,4,FALSE)</f>
        <v>Beauty</v>
      </c>
      <c r="S249" t="str">
        <f>VLOOKUP(A249,Cleaned_Seller_Master!$A:$H,5,FALSE)</f>
        <v>West</v>
      </c>
      <c r="T249" t="str">
        <f>VLOOKUP(A249,Cleaned_Seller_Master!$A:$H,8,FALSE)</f>
        <v>Premium</v>
      </c>
      <c r="U249" t="str">
        <f>VLOOKUP(A249,Cleaned_Seller_Master!$A:$H,7,FALSE)</f>
        <v>19-11-2021</v>
      </c>
      <c r="V249">
        <f>IFERROR(INDEX(Violation_Summary_Seller_Year!$C:$C,MATCH(AD249,Violation_Summary_Seller_Year!$K:$K,0)),0)</f>
        <v>3</v>
      </c>
      <c r="W249">
        <f>IFERROR(INDEX(Violation_Summary_Seller_Year!$D:$D,MATCH(AD249,Violation_Summary_Seller_Year!$K:$K,0)),0)</f>
        <v>7446.26</v>
      </c>
      <c r="X249">
        <f>IFERROR(INDEX(Violation_Summary_Seller_Year!$E:$E,MATCH(AD249,Violation_Summary_Seller_Year!$K:$K,0)),0)</f>
        <v>1</v>
      </c>
      <c r="Y249">
        <f>IFERROR(INDEX(Violation_Summary_Seller_Year!$F:$F,MATCH(AD249,Violation_Summary_Seller_Year!$K:$K,0)),0)</f>
        <v>0</v>
      </c>
      <c r="Z249">
        <f>IFERROR(INDEX(Violation_Summary_Seller_Year!$G:$G,MATCH(AD249,Violation_Summary_Seller_Year!$K:$K,0)),0)</f>
        <v>3</v>
      </c>
      <c r="AA249">
        <f>IFERROR(INDEX(Violation_Summary_Seller_Year!$H:$H,MATCH(AD249,Violation_Summary_Seller_Year!$K:$K,0)),0)</f>
        <v>2</v>
      </c>
      <c r="AB249">
        <f>IFERROR(INDEX(Violation_Summary_Seller_Year!$I:$I,MATCH(AD249,Violation_Summary_Seller_Year!$K:$K,0)),0)</f>
        <v>2</v>
      </c>
      <c r="AC249">
        <f>IFERROR(INDEX(Violation_Summary_Seller_Year!$J:$J,MATCH(AD249,Violation_Summary_Seller_Year!$K:$K,0)),0)</f>
        <v>29</v>
      </c>
      <c r="AD249" t="str">
        <f t="shared" si="24"/>
        <v>57_2023</v>
      </c>
      <c r="AE249">
        <f t="shared" si="25"/>
        <v>0</v>
      </c>
      <c r="AF249">
        <f t="shared" si="26"/>
        <v>2</v>
      </c>
      <c r="AG249">
        <f t="shared" si="27"/>
        <v>2</v>
      </c>
      <c r="AH249">
        <f t="shared" si="28"/>
        <v>2</v>
      </c>
      <c r="AI249">
        <f t="shared" si="29"/>
        <v>2</v>
      </c>
      <c r="AJ249">
        <f t="shared" si="30"/>
        <v>150</v>
      </c>
      <c r="AK249" t="str">
        <f t="shared" si="31"/>
        <v>High</v>
      </c>
    </row>
    <row r="250" spans="1:37" x14ac:dyDescent="0.3">
      <c r="A250">
        <v>58</v>
      </c>
      <c r="B250">
        <v>2023</v>
      </c>
      <c r="C250">
        <v>536</v>
      </c>
      <c r="D250">
        <v>46</v>
      </c>
      <c r="E250">
        <v>35</v>
      </c>
      <c r="F250">
        <v>2828.41</v>
      </c>
      <c r="G250">
        <v>6.5298999999999996E-2</v>
      </c>
      <c r="H250">
        <v>14</v>
      </c>
      <c r="I250">
        <v>22</v>
      </c>
      <c r="J250">
        <v>6</v>
      </c>
      <c r="K250">
        <v>10</v>
      </c>
      <c r="L250">
        <v>1</v>
      </c>
      <c r="M250">
        <v>7</v>
      </c>
      <c r="N250">
        <v>7</v>
      </c>
      <c r="O250">
        <v>3</v>
      </c>
      <c r="P250" t="s">
        <v>85</v>
      </c>
      <c r="Q250" t="str">
        <f>VLOOKUP(A250,Cleaned_Seller_Master!$A:$H,2,FALSE)</f>
        <v>Luna Stores 058</v>
      </c>
      <c r="R250" t="str">
        <f>VLOOKUP(A250,Cleaned_Seller_Master!$A:$H,4,FALSE)</f>
        <v>Home</v>
      </c>
      <c r="S250" t="str">
        <f>VLOOKUP(A250,Cleaned_Seller_Master!$A:$H,5,FALSE)</f>
        <v>East</v>
      </c>
      <c r="T250" t="str">
        <f>VLOOKUP(A250,Cleaned_Seller_Master!$A:$H,8,FALSE)</f>
        <v>Strategic</v>
      </c>
      <c r="U250" t="str">
        <f>VLOOKUP(A250,Cleaned_Seller_Master!$A:$H,7,FALSE)</f>
        <v>04-04-2021</v>
      </c>
      <c r="V250">
        <f>IFERROR(INDEX(Violation_Summary_Seller_Year!$C:$C,MATCH(AD250,Violation_Summary_Seller_Year!$K:$K,0)),0)</f>
        <v>6</v>
      </c>
      <c r="W250">
        <f>IFERROR(INDEX(Violation_Summary_Seller_Year!$D:$D,MATCH(AD250,Violation_Summary_Seller_Year!$K:$K,0)),0)</f>
        <v>27077.46</v>
      </c>
      <c r="X250">
        <f>IFERROR(INDEX(Violation_Summary_Seller_Year!$E:$E,MATCH(AD250,Violation_Summary_Seller_Year!$K:$K,0)),0)</f>
        <v>4</v>
      </c>
      <c r="Y250">
        <f>IFERROR(INDEX(Violation_Summary_Seller_Year!$F:$F,MATCH(AD250,Violation_Summary_Seller_Year!$K:$K,0)),0)</f>
        <v>3</v>
      </c>
      <c r="Z250">
        <f>IFERROR(INDEX(Violation_Summary_Seller_Year!$G:$G,MATCH(AD250,Violation_Summary_Seller_Year!$K:$K,0)),0)</f>
        <v>3</v>
      </c>
      <c r="AA250">
        <f>IFERROR(INDEX(Violation_Summary_Seller_Year!$H:$H,MATCH(AD250,Violation_Summary_Seller_Year!$K:$K,0)),0)</f>
        <v>6</v>
      </c>
      <c r="AB250">
        <f>IFERROR(INDEX(Violation_Summary_Seller_Year!$I:$I,MATCH(AD250,Violation_Summary_Seller_Year!$K:$K,0)),0)</f>
        <v>2</v>
      </c>
      <c r="AC250">
        <f>IFERROR(INDEX(Violation_Summary_Seller_Year!$J:$J,MATCH(AD250,Violation_Summary_Seller_Year!$K:$K,0)),0)</f>
        <v>62</v>
      </c>
      <c r="AD250" t="str">
        <f t="shared" si="24"/>
        <v>58_2023</v>
      </c>
      <c r="AE250">
        <f t="shared" si="25"/>
        <v>1</v>
      </c>
      <c r="AF250">
        <f t="shared" si="26"/>
        <v>2</v>
      </c>
      <c r="AG250">
        <f t="shared" si="27"/>
        <v>2</v>
      </c>
      <c r="AH250">
        <f t="shared" si="28"/>
        <v>2</v>
      </c>
      <c r="AI250">
        <f t="shared" si="29"/>
        <v>2</v>
      </c>
      <c r="AJ250">
        <f t="shared" si="30"/>
        <v>175</v>
      </c>
      <c r="AK250" t="str">
        <f t="shared" si="31"/>
        <v>High</v>
      </c>
    </row>
    <row r="251" spans="1:37" x14ac:dyDescent="0.3">
      <c r="A251">
        <v>59</v>
      </c>
      <c r="B251">
        <v>2023</v>
      </c>
      <c r="C251">
        <v>1046</v>
      </c>
      <c r="D251">
        <v>93</v>
      </c>
      <c r="E251">
        <v>82</v>
      </c>
      <c r="F251">
        <v>7175.16</v>
      </c>
      <c r="G251">
        <v>7.8394000000000005E-2</v>
      </c>
      <c r="H251">
        <v>14</v>
      </c>
      <c r="I251">
        <v>29</v>
      </c>
      <c r="J251">
        <v>9</v>
      </c>
      <c r="K251">
        <v>6</v>
      </c>
      <c r="L251">
        <v>1</v>
      </c>
      <c r="M251">
        <v>4</v>
      </c>
      <c r="N251">
        <v>4</v>
      </c>
      <c r="O251">
        <v>4</v>
      </c>
      <c r="P251" t="s">
        <v>85</v>
      </c>
      <c r="Q251" t="str">
        <f>VLOOKUP(A251,Cleaned_Seller_Master!$A:$H,2,FALSE)</f>
        <v>Elite Link 059</v>
      </c>
      <c r="R251" t="str">
        <f>VLOOKUP(A251,Cleaned_Seller_Master!$A:$H,4,FALSE)</f>
        <v>Home</v>
      </c>
      <c r="S251" t="str">
        <f>VLOOKUP(A251,Cleaned_Seller_Master!$A:$H,5,FALSE)</f>
        <v>East</v>
      </c>
      <c r="T251" t="str">
        <f>VLOOKUP(A251,Cleaned_Seller_Master!$A:$H,8,FALSE)</f>
        <v>Strategic</v>
      </c>
      <c r="U251" t="str">
        <f>VLOOKUP(A251,Cleaned_Seller_Master!$A:$H,7,FALSE)</f>
        <v>27-02-2021</v>
      </c>
      <c r="V251">
        <f>IFERROR(INDEX(Violation_Summary_Seller_Year!$C:$C,MATCH(AD251,Violation_Summary_Seller_Year!$K:$K,0)),0)</f>
        <v>3</v>
      </c>
      <c r="W251">
        <f>IFERROR(INDEX(Violation_Summary_Seller_Year!$D:$D,MATCH(AD251,Violation_Summary_Seller_Year!$K:$K,0)),0)</f>
        <v>19685.349999999999</v>
      </c>
      <c r="X251">
        <f>IFERROR(INDEX(Violation_Summary_Seller_Year!$E:$E,MATCH(AD251,Violation_Summary_Seller_Year!$K:$K,0)),0)</f>
        <v>1</v>
      </c>
      <c r="Y251">
        <f>IFERROR(INDEX(Violation_Summary_Seller_Year!$F:$F,MATCH(AD251,Violation_Summary_Seller_Year!$K:$K,0)),0)</f>
        <v>0</v>
      </c>
      <c r="Z251">
        <f>IFERROR(INDEX(Violation_Summary_Seller_Year!$G:$G,MATCH(AD251,Violation_Summary_Seller_Year!$K:$K,0)),0)</f>
        <v>3</v>
      </c>
      <c r="AA251">
        <f>IFERROR(INDEX(Violation_Summary_Seller_Year!$H:$H,MATCH(AD251,Violation_Summary_Seller_Year!$K:$K,0)),0)</f>
        <v>3</v>
      </c>
      <c r="AB251">
        <f>IFERROR(INDEX(Violation_Summary_Seller_Year!$I:$I,MATCH(AD251,Violation_Summary_Seller_Year!$K:$K,0)),0)</f>
        <v>2</v>
      </c>
      <c r="AC251">
        <f>IFERROR(INDEX(Violation_Summary_Seller_Year!$J:$J,MATCH(AD251,Violation_Summary_Seller_Year!$K:$K,0)),0)</f>
        <v>37</v>
      </c>
      <c r="AD251" t="str">
        <f t="shared" si="24"/>
        <v>59_2023</v>
      </c>
      <c r="AE251">
        <f t="shared" si="25"/>
        <v>1</v>
      </c>
      <c r="AF251">
        <f t="shared" si="26"/>
        <v>2</v>
      </c>
      <c r="AG251">
        <f t="shared" si="27"/>
        <v>2</v>
      </c>
      <c r="AH251">
        <f t="shared" si="28"/>
        <v>2</v>
      </c>
      <c r="AI251">
        <f t="shared" si="29"/>
        <v>2</v>
      </c>
      <c r="AJ251">
        <f t="shared" si="30"/>
        <v>175</v>
      </c>
      <c r="AK251" t="str">
        <f t="shared" si="31"/>
        <v>High</v>
      </c>
    </row>
    <row r="252" spans="1:37" x14ac:dyDescent="0.3">
      <c r="A252">
        <v>60</v>
      </c>
      <c r="B252">
        <v>2023</v>
      </c>
      <c r="C252">
        <v>641</v>
      </c>
      <c r="D252">
        <v>30</v>
      </c>
      <c r="E252">
        <v>22</v>
      </c>
      <c r="F252">
        <v>904.04</v>
      </c>
      <c r="G252">
        <v>3.4320999999999997E-2</v>
      </c>
      <c r="H252">
        <v>9</v>
      </c>
      <c r="I252">
        <v>19</v>
      </c>
      <c r="J252">
        <v>6</v>
      </c>
      <c r="K252">
        <v>3</v>
      </c>
      <c r="L252">
        <v>0</v>
      </c>
      <c r="M252">
        <v>1</v>
      </c>
      <c r="N252">
        <v>2</v>
      </c>
      <c r="O252">
        <v>1</v>
      </c>
      <c r="P252" t="s">
        <v>175</v>
      </c>
      <c r="Q252" t="str">
        <f>VLOOKUP(A252,Cleaned_Seller_Master!$A:$H,2,FALSE)</f>
        <v>Nova Cart 060</v>
      </c>
      <c r="R252" t="str">
        <f>VLOOKUP(A252,Cleaned_Seller_Master!$A:$H,4,FALSE)</f>
        <v>Electronics</v>
      </c>
      <c r="S252" t="str">
        <f>VLOOKUP(A252,Cleaned_Seller_Master!$A:$H,5,FALSE)</f>
        <v>Southeast Asia</v>
      </c>
      <c r="T252" t="str">
        <f>VLOOKUP(A252,Cleaned_Seller_Master!$A:$H,8,FALSE)</f>
        <v>Standard</v>
      </c>
      <c r="U252" t="str">
        <f>VLOOKUP(A252,Cleaned_Seller_Master!$A:$H,7,FALSE)</f>
        <v>28-11-2019</v>
      </c>
      <c r="V252">
        <f>IFERROR(INDEX(Violation_Summary_Seller_Year!$C:$C,MATCH(AD252,Violation_Summary_Seller_Year!$K:$K,0)),0)</f>
        <v>2</v>
      </c>
      <c r="W252">
        <f>IFERROR(INDEX(Violation_Summary_Seller_Year!$D:$D,MATCH(AD252,Violation_Summary_Seller_Year!$K:$K,0)),0)</f>
        <v>2802.3</v>
      </c>
      <c r="X252">
        <f>IFERROR(INDEX(Violation_Summary_Seller_Year!$E:$E,MATCH(AD252,Violation_Summary_Seller_Year!$K:$K,0)),0)</f>
        <v>0</v>
      </c>
      <c r="Y252">
        <f>IFERROR(INDEX(Violation_Summary_Seller_Year!$F:$F,MATCH(AD252,Violation_Summary_Seller_Year!$K:$K,0)),0)</f>
        <v>0</v>
      </c>
      <c r="Z252">
        <f>IFERROR(INDEX(Violation_Summary_Seller_Year!$G:$G,MATCH(AD252,Violation_Summary_Seller_Year!$K:$K,0)),0)</f>
        <v>2</v>
      </c>
      <c r="AA252">
        <f>IFERROR(INDEX(Violation_Summary_Seller_Year!$H:$H,MATCH(AD252,Violation_Summary_Seller_Year!$K:$K,0)),0)</f>
        <v>1</v>
      </c>
      <c r="AB252">
        <f>IFERROR(INDEX(Violation_Summary_Seller_Year!$I:$I,MATCH(AD252,Violation_Summary_Seller_Year!$K:$K,0)),0)</f>
        <v>1</v>
      </c>
      <c r="AC252">
        <f>IFERROR(INDEX(Violation_Summary_Seller_Year!$J:$J,MATCH(AD252,Violation_Summary_Seller_Year!$K:$K,0)),0)</f>
        <v>12</v>
      </c>
      <c r="AD252" t="str">
        <f t="shared" si="24"/>
        <v>60_2023</v>
      </c>
      <c r="AE252">
        <f t="shared" si="25"/>
        <v>0</v>
      </c>
      <c r="AF252">
        <f t="shared" si="26"/>
        <v>2</v>
      </c>
      <c r="AG252">
        <f t="shared" si="27"/>
        <v>1</v>
      </c>
      <c r="AH252">
        <f t="shared" si="28"/>
        <v>0</v>
      </c>
      <c r="AI252">
        <f t="shared" si="29"/>
        <v>1</v>
      </c>
      <c r="AJ252">
        <f t="shared" si="30"/>
        <v>80</v>
      </c>
      <c r="AK252" t="str">
        <f t="shared" si="31"/>
        <v>Medium</v>
      </c>
    </row>
    <row r="253" spans="1:37" x14ac:dyDescent="0.3">
      <c r="A253">
        <v>61</v>
      </c>
      <c r="B253">
        <v>2023</v>
      </c>
      <c r="C253">
        <v>610</v>
      </c>
      <c r="D253">
        <v>31</v>
      </c>
      <c r="E253">
        <v>29</v>
      </c>
      <c r="F253">
        <v>1043.05</v>
      </c>
      <c r="G253">
        <v>4.7541E-2</v>
      </c>
      <c r="H253">
        <v>12</v>
      </c>
      <c r="I253">
        <v>14</v>
      </c>
      <c r="J253">
        <v>4</v>
      </c>
      <c r="K253">
        <v>10</v>
      </c>
      <c r="L253">
        <v>0</v>
      </c>
      <c r="M253">
        <v>3</v>
      </c>
      <c r="N253">
        <v>4</v>
      </c>
      <c r="O253">
        <v>1</v>
      </c>
      <c r="P253" t="s">
        <v>175</v>
      </c>
      <c r="Q253" t="str">
        <f>VLOOKUP(A253,Cleaned_Seller_Master!$A:$H,2,FALSE)</f>
        <v>Swift Goods 061</v>
      </c>
      <c r="R253" t="str">
        <f>VLOOKUP(A253,Cleaned_Seller_Master!$A:$H,4,FALSE)</f>
        <v>Electronics</v>
      </c>
      <c r="S253" t="str">
        <f>VLOOKUP(A253,Cleaned_Seller_Master!$A:$H,5,FALSE)</f>
        <v>East</v>
      </c>
      <c r="T253" t="str">
        <f>VLOOKUP(A253,Cleaned_Seller_Master!$A:$H,8,FALSE)</f>
        <v>Verified</v>
      </c>
      <c r="U253" t="str">
        <f>VLOOKUP(A253,Cleaned_Seller_Master!$A:$H,7,FALSE)</f>
        <v>13-02-2018</v>
      </c>
      <c r="V253">
        <f>IFERROR(INDEX(Violation_Summary_Seller_Year!$C:$C,MATCH(AD253,Violation_Summary_Seller_Year!$K:$K,0)),0)</f>
        <v>1</v>
      </c>
      <c r="W253">
        <f>IFERROR(INDEX(Violation_Summary_Seller_Year!$D:$D,MATCH(AD253,Violation_Summary_Seller_Year!$K:$K,0)),0)</f>
        <v>553.47</v>
      </c>
      <c r="X253">
        <f>IFERROR(INDEX(Violation_Summary_Seller_Year!$E:$E,MATCH(AD253,Violation_Summary_Seller_Year!$K:$K,0)),0)</f>
        <v>0</v>
      </c>
      <c r="Y253">
        <f>IFERROR(INDEX(Violation_Summary_Seller_Year!$F:$F,MATCH(AD253,Violation_Summary_Seller_Year!$K:$K,0)),0)</f>
        <v>1</v>
      </c>
      <c r="Z253">
        <f>IFERROR(INDEX(Violation_Summary_Seller_Year!$G:$G,MATCH(AD253,Violation_Summary_Seller_Year!$K:$K,0)),0)</f>
        <v>0</v>
      </c>
      <c r="AA253">
        <f>IFERROR(INDEX(Violation_Summary_Seller_Year!$H:$H,MATCH(AD253,Violation_Summary_Seller_Year!$K:$K,0)),0)</f>
        <v>0</v>
      </c>
      <c r="AB253">
        <f>IFERROR(INDEX(Violation_Summary_Seller_Year!$I:$I,MATCH(AD253,Violation_Summary_Seller_Year!$K:$K,0)),0)</f>
        <v>0</v>
      </c>
      <c r="AC253">
        <f>IFERROR(INDEX(Violation_Summary_Seller_Year!$J:$J,MATCH(AD253,Violation_Summary_Seller_Year!$K:$K,0)),0)</f>
        <v>1</v>
      </c>
      <c r="AD253" t="str">
        <f t="shared" si="24"/>
        <v>61_2023</v>
      </c>
      <c r="AE253">
        <f t="shared" si="25"/>
        <v>0</v>
      </c>
      <c r="AF253">
        <f t="shared" si="26"/>
        <v>2</v>
      </c>
      <c r="AG253">
        <f t="shared" si="27"/>
        <v>0</v>
      </c>
      <c r="AH253">
        <f t="shared" si="28"/>
        <v>0</v>
      </c>
      <c r="AI253">
        <f t="shared" si="29"/>
        <v>1</v>
      </c>
      <c r="AJ253">
        <f t="shared" si="30"/>
        <v>60</v>
      </c>
      <c r="AK253" t="str">
        <f t="shared" si="31"/>
        <v>Medium</v>
      </c>
    </row>
    <row r="254" spans="1:37" x14ac:dyDescent="0.3">
      <c r="A254">
        <v>62</v>
      </c>
      <c r="B254">
        <v>2023</v>
      </c>
      <c r="C254">
        <v>113</v>
      </c>
      <c r="D254">
        <v>11</v>
      </c>
      <c r="E254">
        <v>9</v>
      </c>
      <c r="F254">
        <v>513.79</v>
      </c>
      <c r="G254">
        <v>7.9645999999999995E-2</v>
      </c>
      <c r="H254">
        <v>11</v>
      </c>
      <c r="I254">
        <v>11</v>
      </c>
      <c r="J254">
        <v>5</v>
      </c>
      <c r="K254">
        <v>4</v>
      </c>
      <c r="L254">
        <v>1</v>
      </c>
      <c r="M254">
        <v>3</v>
      </c>
      <c r="N254">
        <v>3</v>
      </c>
      <c r="O254">
        <v>1</v>
      </c>
      <c r="P254" t="s">
        <v>68</v>
      </c>
      <c r="Q254" t="str">
        <f>VLOOKUP(A254,Cleaned_Seller_Master!$A:$H,2,FALSE)</f>
        <v>Blue Source 062</v>
      </c>
      <c r="R254" t="str">
        <f>VLOOKUP(A254,Cleaned_Seller_Master!$A:$H,4,FALSE)</f>
        <v>Electronics</v>
      </c>
      <c r="S254" t="str">
        <f>VLOOKUP(A254,Cleaned_Seller_Master!$A:$H,5,FALSE)</f>
        <v>South</v>
      </c>
      <c r="T254" t="str">
        <f>VLOOKUP(A254,Cleaned_Seller_Master!$A:$H,8,FALSE)</f>
        <v>Standard</v>
      </c>
      <c r="U254" t="str">
        <f>VLOOKUP(A254,Cleaned_Seller_Master!$A:$H,7,FALSE)</f>
        <v>20-10-2024</v>
      </c>
      <c r="V254">
        <f>IFERROR(INDEX(Violation_Summary_Seller_Year!$C:$C,MATCH(AD254,Violation_Summary_Seller_Year!$K:$K,0)),0)</f>
        <v>3</v>
      </c>
      <c r="W254">
        <f>IFERROR(INDEX(Violation_Summary_Seller_Year!$D:$D,MATCH(AD254,Violation_Summary_Seller_Year!$K:$K,0)),0)</f>
        <v>7817.05</v>
      </c>
      <c r="X254">
        <f>IFERROR(INDEX(Violation_Summary_Seller_Year!$E:$E,MATCH(AD254,Violation_Summary_Seller_Year!$K:$K,0)),0)</f>
        <v>2</v>
      </c>
      <c r="Y254">
        <f>IFERROR(INDEX(Violation_Summary_Seller_Year!$F:$F,MATCH(AD254,Violation_Summary_Seller_Year!$K:$K,0)),0)</f>
        <v>3</v>
      </c>
      <c r="Z254">
        <f>IFERROR(INDEX(Violation_Summary_Seller_Year!$G:$G,MATCH(AD254,Violation_Summary_Seller_Year!$K:$K,0)),0)</f>
        <v>0</v>
      </c>
      <c r="AA254">
        <f>IFERROR(INDEX(Violation_Summary_Seller_Year!$H:$H,MATCH(AD254,Violation_Summary_Seller_Year!$K:$K,0)),0)</f>
        <v>2</v>
      </c>
      <c r="AB254">
        <f>IFERROR(INDEX(Violation_Summary_Seller_Year!$I:$I,MATCH(AD254,Violation_Summary_Seller_Year!$K:$K,0)),0)</f>
        <v>1</v>
      </c>
      <c r="AC254">
        <f>IFERROR(INDEX(Violation_Summary_Seller_Year!$J:$J,MATCH(AD254,Violation_Summary_Seller_Year!$K:$K,0)),0)</f>
        <v>20</v>
      </c>
      <c r="AD254" t="str">
        <f t="shared" si="24"/>
        <v>62_2023</v>
      </c>
      <c r="AE254">
        <f t="shared" si="25"/>
        <v>1</v>
      </c>
      <c r="AF254">
        <f t="shared" si="26"/>
        <v>2</v>
      </c>
      <c r="AG254">
        <f t="shared" si="27"/>
        <v>2</v>
      </c>
      <c r="AH254">
        <f t="shared" si="28"/>
        <v>2</v>
      </c>
      <c r="AI254">
        <f t="shared" si="29"/>
        <v>1</v>
      </c>
      <c r="AJ254">
        <f t="shared" si="30"/>
        <v>165</v>
      </c>
      <c r="AK254" t="str">
        <f t="shared" si="31"/>
        <v>High</v>
      </c>
    </row>
    <row r="255" spans="1:37" x14ac:dyDescent="0.3">
      <c r="A255">
        <v>63</v>
      </c>
      <c r="B255">
        <v>2023</v>
      </c>
      <c r="C255">
        <v>1926</v>
      </c>
      <c r="D255">
        <v>212</v>
      </c>
      <c r="E255">
        <v>196</v>
      </c>
      <c r="F255">
        <v>17109.48</v>
      </c>
      <c r="G255">
        <v>0.10176499999999999</v>
      </c>
      <c r="H255">
        <v>67</v>
      </c>
      <c r="I255">
        <v>67</v>
      </c>
      <c r="J255">
        <v>31</v>
      </c>
      <c r="K255">
        <v>32</v>
      </c>
      <c r="L255">
        <v>1</v>
      </c>
      <c r="M255">
        <v>8</v>
      </c>
      <c r="N255">
        <v>11</v>
      </c>
      <c r="O255">
        <v>15</v>
      </c>
      <c r="P255" t="s">
        <v>85</v>
      </c>
      <c r="Q255" t="str">
        <f>VLOOKUP(A255,Cleaned_Seller_Master!$A:$H,2,FALSE)</f>
        <v>Vertex Supply 063</v>
      </c>
      <c r="R255" t="str">
        <f>VLOOKUP(A255,Cleaned_Seller_Master!$A:$H,4,FALSE)</f>
        <v>Home</v>
      </c>
      <c r="S255" t="str">
        <f>VLOOKUP(A255,Cleaned_Seller_Master!$A:$H,5,FALSE)</f>
        <v>East</v>
      </c>
      <c r="T255" t="str">
        <f>VLOOKUP(A255,Cleaned_Seller_Master!$A:$H,8,FALSE)</f>
        <v>Standard</v>
      </c>
      <c r="U255" t="str">
        <f>VLOOKUP(A255,Cleaned_Seller_Master!$A:$H,7,FALSE)</f>
        <v>24-10-2018</v>
      </c>
      <c r="V255">
        <f>IFERROR(INDEX(Violation_Summary_Seller_Year!$C:$C,MATCH(AD255,Violation_Summary_Seller_Year!$K:$K,0)),0)</f>
        <v>5</v>
      </c>
      <c r="W255">
        <f>IFERROR(INDEX(Violation_Summary_Seller_Year!$D:$D,MATCH(AD255,Violation_Summary_Seller_Year!$K:$K,0)),0)</f>
        <v>6220.53</v>
      </c>
      <c r="X255">
        <f>IFERROR(INDEX(Violation_Summary_Seller_Year!$E:$E,MATCH(AD255,Violation_Summary_Seller_Year!$K:$K,0)),0)</f>
        <v>2</v>
      </c>
      <c r="Y255">
        <f>IFERROR(INDEX(Violation_Summary_Seller_Year!$F:$F,MATCH(AD255,Violation_Summary_Seller_Year!$K:$K,0)),0)</f>
        <v>4</v>
      </c>
      <c r="Z255">
        <f>IFERROR(INDEX(Violation_Summary_Seller_Year!$G:$G,MATCH(AD255,Violation_Summary_Seller_Year!$K:$K,0)),0)</f>
        <v>1</v>
      </c>
      <c r="AA255">
        <f>IFERROR(INDEX(Violation_Summary_Seller_Year!$H:$H,MATCH(AD255,Violation_Summary_Seller_Year!$K:$K,0)),0)</f>
        <v>1</v>
      </c>
      <c r="AB255">
        <f>IFERROR(INDEX(Violation_Summary_Seller_Year!$I:$I,MATCH(AD255,Violation_Summary_Seller_Year!$K:$K,0)),0)</f>
        <v>1</v>
      </c>
      <c r="AC255">
        <f>IFERROR(INDEX(Violation_Summary_Seller_Year!$J:$J,MATCH(AD255,Violation_Summary_Seller_Year!$K:$K,0)),0)</f>
        <v>54</v>
      </c>
      <c r="AD255" t="str">
        <f t="shared" si="24"/>
        <v>63_2023</v>
      </c>
      <c r="AE255">
        <f t="shared" si="25"/>
        <v>2</v>
      </c>
      <c r="AF255">
        <f t="shared" si="26"/>
        <v>2</v>
      </c>
      <c r="AG255">
        <f t="shared" si="27"/>
        <v>2</v>
      </c>
      <c r="AH255">
        <f t="shared" si="28"/>
        <v>2</v>
      </c>
      <c r="AI255">
        <f t="shared" si="29"/>
        <v>2</v>
      </c>
      <c r="AJ255">
        <f t="shared" si="30"/>
        <v>200</v>
      </c>
      <c r="AK255" t="str">
        <f t="shared" si="31"/>
        <v>High</v>
      </c>
    </row>
    <row r="256" spans="1:37" x14ac:dyDescent="0.3">
      <c r="A256">
        <v>64</v>
      </c>
      <c r="B256">
        <v>2023</v>
      </c>
      <c r="C256">
        <v>1767</v>
      </c>
      <c r="D256">
        <v>182</v>
      </c>
      <c r="E256">
        <v>149</v>
      </c>
      <c r="F256">
        <v>8459.07</v>
      </c>
      <c r="G256">
        <v>8.4323999999999996E-2</v>
      </c>
      <c r="H256">
        <v>41</v>
      </c>
      <c r="I256">
        <v>51</v>
      </c>
      <c r="J256">
        <v>32</v>
      </c>
      <c r="K256">
        <v>11</v>
      </c>
      <c r="L256">
        <v>1</v>
      </c>
      <c r="M256">
        <v>6</v>
      </c>
      <c r="N256">
        <v>7</v>
      </c>
      <c r="O256">
        <v>9</v>
      </c>
      <c r="P256" t="s">
        <v>85</v>
      </c>
      <c r="Q256" t="str">
        <f>VLOOKUP(A256,Cleaned_Seller_Master!$A:$H,2,FALSE)</f>
        <v>Zen Mart 064</v>
      </c>
      <c r="R256" t="str">
        <f>VLOOKUP(A256,Cleaned_Seller_Master!$A:$H,4,FALSE)</f>
        <v>Groceries</v>
      </c>
      <c r="S256" t="str">
        <f>VLOOKUP(A256,Cleaned_Seller_Master!$A:$H,5,FALSE)</f>
        <v>North</v>
      </c>
      <c r="T256" t="str">
        <f>VLOOKUP(A256,Cleaned_Seller_Master!$A:$H,8,FALSE)</f>
        <v>Verified</v>
      </c>
      <c r="U256" t="str">
        <f>VLOOKUP(A256,Cleaned_Seller_Master!$A:$H,7,FALSE)</f>
        <v>15-07-2017</v>
      </c>
      <c r="V256">
        <f>IFERROR(INDEX(Violation_Summary_Seller_Year!$C:$C,MATCH(AD256,Violation_Summary_Seller_Year!$K:$K,0)),0)</f>
        <v>6</v>
      </c>
      <c r="W256">
        <f>IFERROR(INDEX(Violation_Summary_Seller_Year!$D:$D,MATCH(AD256,Violation_Summary_Seller_Year!$K:$K,0)),0)</f>
        <v>17356.870000000003</v>
      </c>
      <c r="X256">
        <f>IFERROR(INDEX(Violation_Summary_Seller_Year!$E:$E,MATCH(AD256,Violation_Summary_Seller_Year!$K:$K,0)),0)</f>
        <v>5</v>
      </c>
      <c r="Y256">
        <f>IFERROR(INDEX(Violation_Summary_Seller_Year!$F:$F,MATCH(AD256,Violation_Summary_Seller_Year!$K:$K,0)),0)</f>
        <v>5</v>
      </c>
      <c r="Z256">
        <f>IFERROR(INDEX(Violation_Summary_Seller_Year!$G:$G,MATCH(AD256,Violation_Summary_Seller_Year!$K:$K,0)),0)</f>
        <v>1</v>
      </c>
      <c r="AA256">
        <f>IFERROR(INDEX(Violation_Summary_Seller_Year!$H:$H,MATCH(AD256,Violation_Summary_Seller_Year!$K:$K,0)),0)</f>
        <v>5</v>
      </c>
      <c r="AB256">
        <f>IFERROR(INDEX(Violation_Summary_Seller_Year!$I:$I,MATCH(AD256,Violation_Summary_Seller_Year!$K:$K,0)),0)</f>
        <v>3</v>
      </c>
      <c r="AC256">
        <f>IFERROR(INDEX(Violation_Summary_Seller_Year!$J:$J,MATCH(AD256,Violation_Summary_Seller_Year!$K:$K,0)),0)</f>
        <v>65</v>
      </c>
      <c r="AD256" t="str">
        <f t="shared" si="24"/>
        <v>64_2023</v>
      </c>
      <c r="AE256">
        <f t="shared" si="25"/>
        <v>1</v>
      </c>
      <c r="AF256">
        <f t="shared" si="26"/>
        <v>2</v>
      </c>
      <c r="AG256">
        <f t="shared" si="27"/>
        <v>2</v>
      </c>
      <c r="AH256">
        <f t="shared" si="28"/>
        <v>2</v>
      </c>
      <c r="AI256">
        <f t="shared" si="29"/>
        <v>2</v>
      </c>
      <c r="AJ256">
        <f t="shared" si="30"/>
        <v>175</v>
      </c>
      <c r="AK256" t="str">
        <f t="shared" si="31"/>
        <v>High</v>
      </c>
    </row>
    <row r="257" spans="1:37" x14ac:dyDescent="0.3">
      <c r="A257">
        <v>65</v>
      </c>
      <c r="B257">
        <v>2023</v>
      </c>
      <c r="C257">
        <v>1824</v>
      </c>
      <c r="D257">
        <v>106</v>
      </c>
      <c r="E257">
        <v>80</v>
      </c>
      <c r="F257">
        <v>2914.16</v>
      </c>
      <c r="G257">
        <v>4.3860000000000003E-2</v>
      </c>
      <c r="H257">
        <v>17</v>
      </c>
      <c r="I257">
        <v>43</v>
      </c>
      <c r="J257">
        <v>13</v>
      </c>
      <c r="K257">
        <v>9</v>
      </c>
      <c r="L257">
        <v>0</v>
      </c>
      <c r="M257">
        <v>3</v>
      </c>
      <c r="N257">
        <v>4</v>
      </c>
      <c r="O257">
        <v>5</v>
      </c>
      <c r="P257" t="s">
        <v>175</v>
      </c>
      <c r="Q257" t="str">
        <f>VLOOKUP(A257,Cleaned_Seller_Master!$A:$H,2,FALSE)</f>
        <v>True House 065</v>
      </c>
      <c r="R257" t="str">
        <f>VLOOKUP(A257,Cleaned_Seller_Master!$A:$H,4,FALSE)</f>
        <v>Electronics</v>
      </c>
      <c r="S257" t="str">
        <f>VLOOKUP(A257,Cleaned_Seller_Master!$A:$H,5,FALSE)</f>
        <v>South</v>
      </c>
      <c r="T257" t="str">
        <f>VLOOKUP(A257,Cleaned_Seller_Master!$A:$H,8,FALSE)</f>
        <v>Verified</v>
      </c>
      <c r="U257" t="str">
        <f>VLOOKUP(A257,Cleaned_Seller_Master!$A:$H,7,FALSE)</f>
        <v>04-07-2021</v>
      </c>
      <c r="V257">
        <f>IFERROR(INDEX(Violation_Summary_Seller_Year!$C:$C,MATCH(AD257,Violation_Summary_Seller_Year!$K:$K,0)),0)</f>
        <v>2</v>
      </c>
      <c r="W257">
        <f>IFERROR(INDEX(Violation_Summary_Seller_Year!$D:$D,MATCH(AD257,Violation_Summary_Seller_Year!$K:$K,0)),0)</f>
        <v>227.03</v>
      </c>
      <c r="X257">
        <f>IFERROR(INDEX(Violation_Summary_Seller_Year!$E:$E,MATCH(AD257,Violation_Summary_Seller_Year!$K:$K,0)),0)</f>
        <v>0</v>
      </c>
      <c r="Y257">
        <f>IFERROR(INDEX(Violation_Summary_Seller_Year!$F:$F,MATCH(AD257,Violation_Summary_Seller_Year!$K:$K,0)),0)</f>
        <v>2</v>
      </c>
      <c r="Z257">
        <f>IFERROR(INDEX(Violation_Summary_Seller_Year!$G:$G,MATCH(AD257,Violation_Summary_Seller_Year!$K:$K,0)),0)</f>
        <v>0</v>
      </c>
      <c r="AA257">
        <f>IFERROR(INDEX(Violation_Summary_Seller_Year!$H:$H,MATCH(AD257,Violation_Summary_Seller_Year!$K:$K,0)),0)</f>
        <v>0</v>
      </c>
      <c r="AB257">
        <f>IFERROR(INDEX(Violation_Summary_Seller_Year!$I:$I,MATCH(AD257,Violation_Summary_Seller_Year!$K:$K,0)),0)</f>
        <v>0</v>
      </c>
      <c r="AC257">
        <f>IFERROR(INDEX(Violation_Summary_Seller_Year!$J:$J,MATCH(AD257,Violation_Summary_Seller_Year!$K:$K,0)),0)</f>
        <v>22</v>
      </c>
      <c r="AD257" t="str">
        <f t="shared" si="24"/>
        <v>65_2023</v>
      </c>
      <c r="AE257">
        <f t="shared" si="25"/>
        <v>0</v>
      </c>
      <c r="AF257">
        <f t="shared" si="26"/>
        <v>2</v>
      </c>
      <c r="AG257">
        <f t="shared" si="27"/>
        <v>1</v>
      </c>
      <c r="AH257">
        <f t="shared" si="28"/>
        <v>0</v>
      </c>
      <c r="AI257">
        <f t="shared" si="29"/>
        <v>1</v>
      </c>
      <c r="AJ257">
        <f t="shared" si="30"/>
        <v>80</v>
      </c>
      <c r="AK257" t="str">
        <f t="shared" si="31"/>
        <v>Medium</v>
      </c>
    </row>
    <row r="258" spans="1:37" x14ac:dyDescent="0.3">
      <c r="A258">
        <v>66</v>
      </c>
      <c r="B258">
        <v>2023</v>
      </c>
      <c r="C258">
        <v>388</v>
      </c>
      <c r="D258">
        <v>15</v>
      </c>
      <c r="E258">
        <v>12</v>
      </c>
      <c r="F258">
        <v>298.33</v>
      </c>
      <c r="G258">
        <v>3.0928000000000001E-2</v>
      </c>
      <c r="H258">
        <v>2</v>
      </c>
      <c r="I258">
        <v>14</v>
      </c>
      <c r="J258">
        <v>3</v>
      </c>
      <c r="K258">
        <v>3</v>
      </c>
      <c r="L258">
        <v>1</v>
      </c>
      <c r="M258">
        <v>2</v>
      </c>
      <c r="N258">
        <v>2</v>
      </c>
      <c r="O258">
        <v>1</v>
      </c>
      <c r="P258" t="s">
        <v>68</v>
      </c>
      <c r="Q258" t="str">
        <f>VLOOKUP(A258,Cleaned_Seller_Master!$A:$H,2,FALSE)</f>
        <v>Core Traders 066</v>
      </c>
      <c r="R258" t="str">
        <f>VLOOKUP(A258,Cleaned_Seller_Master!$A:$H,4,FALSE)</f>
        <v>Fashion</v>
      </c>
      <c r="S258" t="str">
        <f>VLOOKUP(A258,Cleaned_Seller_Master!$A:$H,5,FALSE)</f>
        <v>Southeast Asia</v>
      </c>
      <c r="T258" t="str">
        <f>VLOOKUP(A258,Cleaned_Seller_Master!$A:$H,8,FALSE)</f>
        <v>Strategic</v>
      </c>
      <c r="U258" t="str">
        <f>VLOOKUP(A258,Cleaned_Seller_Master!$A:$H,7,FALSE)</f>
        <v>04-08-2021</v>
      </c>
      <c r="V258">
        <f>IFERROR(INDEX(Violation_Summary_Seller_Year!$C:$C,MATCH(AD258,Violation_Summary_Seller_Year!$K:$K,0)),0)</f>
        <v>3</v>
      </c>
      <c r="W258">
        <f>IFERROR(INDEX(Violation_Summary_Seller_Year!$D:$D,MATCH(AD258,Violation_Summary_Seller_Year!$K:$K,0)),0)</f>
        <v>1828</v>
      </c>
      <c r="X258">
        <f>IFERROR(INDEX(Violation_Summary_Seller_Year!$E:$E,MATCH(AD258,Violation_Summary_Seller_Year!$K:$K,0)),0)</f>
        <v>1</v>
      </c>
      <c r="Y258">
        <f>IFERROR(INDEX(Violation_Summary_Seller_Year!$F:$F,MATCH(AD258,Violation_Summary_Seller_Year!$K:$K,0)),0)</f>
        <v>1</v>
      </c>
      <c r="Z258">
        <f>IFERROR(INDEX(Violation_Summary_Seller_Year!$G:$G,MATCH(AD258,Violation_Summary_Seller_Year!$K:$K,0)),0)</f>
        <v>2</v>
      </c>
      <c r="AA258">
        <f>IFERROR(INDEX(Violation_Summary_Seller_Year!$H:$H,MATCH(AD258,Violation_Summary_Seller_Year!$K:$K,0)),0)</f>
        <v>1</v>
      </c>
      <c r="AB258">
        <f>IFERROR(INDEX(Violation_Summary_Seller_Year!$I:$I,MATCH(AD258,Violation_Summary_Seller_Year!$K:$K,0)),0)</f>
        <v>1</v>
      </c>
      <c r="AC258">
        <f>IFERROR(INDEX(Violation_Summary_Seller_Year!$J:$J,MATCH(AD258,Violation_Summary_Seller_Year!$K:$K,0)),0)</f>
        <v>13</v>
      </c>
      <c r="AD258" t="str">
        <f t="shared" ref="AD258:AD321" si="32">A258&amp;"_"&amp;B258</f>
        <v>66_2023</v>
      </c>
      <c r="AE258">
        <f t="shared" ref="AE258:AE321" si="33">IF(G258&gt;=0.1,2,IF(G258&gt;=0.05,1,0))</f>
        <v>0</v>
      </c>
      <c r="AF258">
        <f t="shared" ref="AF258:AF321" si="34">IF(H258&gt;=8,2,IF(H258&gt;=4,1,0))</f>
        <v>0</v>
      </c>
      <c r="AG258">
        <f t="shared" ref="AG258:AG321" si="35">IF(OR(AA258&gt;=2,V258&gt;=5),2,IF(OR(AA258&gt;=1,V258&gt;=2),1,0))</f>
        <v>1</v>
      </c>
      <c r="AH258">
        <f t="shared" ref="AH258:AH321" si="36">IF(OR(L258=1,X258&gt;=2),2,IF(X258&gt;=1,1,0))</f>
        <v>2</v>
      </c>
      <c r="AI258">
        <f t="shared" ref="AI258:AI321" si="37">IF(OR(P258="Suspended",P258="Blocked"),2,IF(OR(P258="Under Review",P258="Warning",P258="Review Required",P258="Restricted",P258="Watchlist"),1,0))</f>
        <v>1</v>
      </c>
      <c r="AJ258">
        <f t="shared" ref="AJ258:AJ321" si="38">(AE258*25)+(AF258*25)+(AG258*20)+(AH258*20)+(AI258*10)</f>
        <v>70</v>
      </c>
      <c r="AK258" t="str">
        <f t="shared" ref="AK258:AK321" si="39">IF(AJ258&gt;=120,"High",IF(AJ258&gt;=60,"Medium","Low"))</f>
        <v>Medium</v>
      </c>
    </row>
    <row r="259" spans="1:37" x14ac:dyDescent="0.3">
      <c r="A259">
        <v>67</v>
      </c>
      <c r="B259">
        <v>2023</v>
      </c>
      <c r="C259">
        <v>582</v>
      </c>
      <c r="D259">
        <v>27</v>
      </c>
      <c r="E259">
        <v>26</v>
      </c>
      <c r="F259">
        <v>2564.4699999999998</v>
      </c>
      <c r="G259">
        <v>4.4673999999999998E-2</v>
      </c>
      <c r="H259">
        <v>12</v>
      </c>
      <c r="I259">
        <v>17</v>
      </c>
      <c r="J259">
        <v>6</v>
      </c>
      <c r="K259">
        <v>7</v>
      </c>
      <c r="L259">
        <v>0</v>
      </c>
      <c r="M259">
        <v>2</v>
      </c>
      <c r="N259">
        <v>3</v>
      </c>
      <c r="O259">
        <v>1</v>
      </c>
      <c r="P259" t="s">
        <v>175</v>
      </c>
      <c r="Q259" t="str">
        <f>VLOOKUP(A259,Cleaned_Seller_Master!$A:$H,2,FALSE)</f>
        <v>Urban Works 067</v>
      </c>
      <c r="R259" t="str">
        <f>VLOOKUP(A259,Cleaned_Seller_Master!$A:$H,4,FALSE)</f>
        <v>Groceries</v>
      </c>
      <c r="S259" t="str">
        <f>VLOOKUP(A259,Cleaned_Seller_Master!$A:$H,5,FALSE)</f>
        <v>North</v>
      </c>
      <c r="T259" t="str">
        <f>VLOOKUP(A259,Cleaned_Seller_Master!$A:$H,8,FALSE)</f>
        <v>Verified</v>
      </c>
      <c r="U259" t="str">
        <f>VLOOKUP(A259,Cleaned_Seller_Master!$A:$H,7,FALSE)</f>
        <v>09-10-2022</v>
      </c>
      <c r="V259">
        <f>IFERROR(INDEX(Violation_Summary_Seller_Year!$C:$C,MATCH(AD259,Violation_Summary_Seller_Year!$K:$K,0)),0)</f>
        <v>2</v>
      </c>
      <c r="W259">
        <f>IFERROR(INDEX(Violation_Summary_Seller_Year!$D:$D,MATCH(AD259,Violation_Summary_Seller_Year!$K:$K,0)),0)</f>
        <v>2037.1200000000001</v>
      </c>
      <c r="X259">
        <f>IFERROR(INDEX(Violation_Summary_Seller_Year!$E:$E,MATCH(AD259,Violation_Summary_Seller_Year!$K:$K,0)),0)</f>
        <v>0</v>
      </c>
      <c r="Y259">
        <f>IFERROR(INDEX(Violation_Summary_Seller_Year!$F:$F,MATCH(AD259,Violation_Summary_Seller_Year!$K:$K,0)),0)</f>
        <v>2</v>
      </c>
      <c r="Z259">
        <f>IFERROR(INDEX(Violation_Summary_Seller_Year!$G:$G,MATCH(AD259,Violation_Summary_Seller_Year!$K:$K,0)),0)</f>
        <v>0</v>
      </c>
      <c r="AA259">
        <f>IFERROR(INDEX(Violation_Summary_Seller_Year!$H:$H,MATCH(AD259,Violation_Summary_Seller_Year!$K:$K,0)),0)</f>
        <v>1</v>
      </c>
      <c r="AB259">
        <f>IFERROR(INDEX(Violation_Summary_Seller_Year!$I:$I,MATCH(AD259,Violation_Summary_Seller_Year!$K:$K,0)),0)</f>
        <v>0</v>
      </c>
      <c r="AC259">
        <f>IFERROR(INDEX(Violation_Summary_Seller_Year!$J:$J,MATCH(AD259,Violation_Summary_Seller_Year!$K:$K,0)),0)</f>
        <v>13</v>
      </c>
      <c r="AD259" t="str">
        <f t="shared" si="32"/>
        <v>67_2023</v>
      </c>
      <c r="AE259">
        <f t="shared" si="33"/>
        <v>0</v>
      </c>
      <c r="AF259">
        <f t="shared" si="34"/>
        <v>2</v>
      </c>
      <c r="AG259">
        <f t="shared" si="35"/>
        <v>1</v>
      </c>
      <c r="AH259">
        <f t="shared" si="36"/>
        <v>0</v>
      </c>
      <c r="AI259">
        <f t="shared" si="37"/>
        <v>1</v>
      </c>
      <c r="AJ259">
        <f t="shared" si="38"/>
        <v>80</v>
      </c>
      <c r="AK259" t="str">
        <f t="shared" si="39"/>
        <v>Medium</v>
      </c>
    </row>
    <row r="260" spans="1:37" x14ac:dyDescent="0.3">
      <c r="A260">
        <v>68</v>
      </c>
      <c r="B260">
        <v>2023</v>
      </c>
      <c r="C260">
        <v>686</v>
      </c>
      <c r="D260">
        <v>75</v>
      </c>
      <c r="E260">
        <v>67</v>
      </c>
      <c r="F260">
        <v>7603.41</v>
      </c>
      <c r="G260">
        <v>9.7668000000000005E-2</v>
      </c>
      <c r="H260">
        <v>19</v>
      </c>
      <c r="I260">
        <v>30</v>
      </c>
      <c r="J260">
        <v>14</v>
      </c>
      <c r="K260">
        <v>11</v>
      </c>
      <c r="L260">
        <v>1</v>
      </c>
      <c r="M260">
        <v>5</v>
      </c>
      <c r="N260">
        <v>8</v>
      </c>
      <c r="O260">
        <v>4</v>
      </c>
      <c r="P260" t="s">
        <v>85</v>
      </c>
      <c r="Q260" t="str">
        <f>VLOOKUP(A260,Cleaned_Seller_Master!$A:$H,2,FALSE)</f>
        <v>Bright Nest 068</v>
      </c>
      <c r="R260" t="str">
        <f>VLOOKUP(A260,Cleaned_Seller_Master!$A:$H,4,FALSE)</f>
        <v>Fashion</v>
      </c>
      <c r="S260" t="str">
        <f>VLOOKUP(A260,Cleaned_Seller_Master!$A:$H,5,FALSE)</f>
        <v>Southeast Asia</v>
      </c>
      <c r="T260" t="str">
        <f>VLOOKUP(A260,Cleaned_Seller_Master!$A:$H,8,FALSE)</f>
        <v>Premium</v>
      </c>
      <c r="U260" t="str">
        <f>VLOOKUP(A260,Cleaned_Seller_Master!$A:$H,7,FALSE)</f>
        <v>17-08-2020</v>
      </c>
      <c r="V260">
        <f>IFERROR(INDEX(Violation_Summary_Seller_Year!$C:$C,MATCH(AD260,Violation_Summary_Seller_Year!$K:$K,0)),0)</f>
        <v>4</v>
      </c>
      <c r="W260">
        <f>IFERROR(INDEX(Violation_Summary_Seller_Year!$D:$D,MATCH(AD260,Violation_Summary_Seller_Year!$K:$K,0)),0)</f>
        <v>9873.66</v>
      </c>
      <c r="X260">
        <f>IFERROR(INDEX(Violation_Summary_Seller_Year!$E:$E,MATCH(AD260,Violation_Summary_Seller_Year!$K:$K,0)),0)</f>
        <v>2</v>
      </c>
      <c r="Y260">
        <f>IFERROR(INDEX(Violation_Summary_Seller_Year!$F:$F,MATCH(AD260,Violation_Summary_Seller_Year!$K:$K,0)),0)</f>
        <v>0</v>
      </c>
      <c r="Z260">
        <f>IFERROR(INDEX(Violation_Summary_Seller_Year!$G:$G,MATCH(AD260,Violation_Summary_Seller_Year!$K:$K,0)),0)</f>
        <v>4</v>
      </c>
      <c r="AA260">
        <f>IFERROR(INDEX(Violation_Summary_Seller_Year!$H:$H,MATCH(AD260,Violation_Summary_Seller_Year!$K:$K,0)),0)</f>
        <v>2</v>
      </c>
      <c r="AB260">
        <f>IFERROR(INDEX(Violation_Summary_Seller_Year!$I:$I,MATCH(AD260,Violation_Summary_Seller_Year!$K:$K,0)),0)</f>
        <v>2</v>
      </c>
      <c r="AC260">
        <f>IFERROR(INDEX(Violation_Summary_Seller_Year!$J:$J,MATCH(AD260,Violation_Summary_Seller_Year!$K:$K,0)),0)</f>
        <v>47</v>
      </c>
      <c r="AD260" t="str">
        <f t="shared" si="32"/>
        <v>68_2023</v>
      </c>
      <c r="AE260">
        <f t="shared" si="33"/>
        <v>1</v>
      </c>
      <c r="AF260">
        <f t="shared" si="34"/>
        <v>2</v>
      </c>
      <c r="AG260">
        <f t="shared" si="35"/>
        <v>2</v>
      </c>
      <c r="AH260">
        <f t="shared" si="36"/>
        <v>2</v>
      </c>
      <c r="AI260">
        <f t="shared" si="37"/>
        <v>2</v>
      </c>
      <c r="AJ260">
        <f t="shared" si="38"/>
        <v>175</v>
      </c>
      <c r="AK260" t="str">
        <f t="shared" si="39"/>
        <v>High</v>
      </c>
    </row>
    <row r="261" spans="1:37" x14ac:dyDescent="0.3">
      <c r="A261">
        <v>69</v>
      </c>
      <c r="B261">
        <v>2023</v>
      </c>
      <c r="C261">
        <v>1542</v>
      </c>
      <c r="D261">
        <v>134</v>
      </c>
      <c r="E261">
        <v>99</v>
      </c>
      <c r="F261">
        <v>9993.89</v>
      </c>
      <c r="G261">
        <v>6.4201999999999995E-2</v>
      </c>
      <c r="H261">
        <v>18</v>
      </c>
      <c r="I261">
        <v>46</v>
      </c>
      <c r="J261">
        <v>14</v>
      </c>
      <c r="K261">
        <v>12</v>
      </c>
      <c r="L261">
        <v>1</v>
      </c>
      <c r="M261">
        <v>4</v>
      </c>
      <c r="N261">
        <v>7</v>
      </c>
      <c r="O261">
        <v>6</v>
      </c>
      <c r="P261" t="s">
        <v>85</v>
      </c>
      <c r="Q261" t="str">
        <f>VLOOKUP(A261,Cleaned_Seller_Master!$A:$H,2,FALSE)</f>
        <v>Golden Hub 069</v>
      </c>
      <c r="R261" t="str">
        <f>VLOOKUP(A261,Cleaned_Seller_Master!$A:$H,4,FALSE)</f>
        <v>Electronics</v>
      </c>
      <c r="S261" t="str">
        <f>VLOOKUP(A261,Cleaned_Seller_Master!$A:$H,5,FALSE)</f>
        <v>West</v>
      </c>
      <c r="T261" t="str">
        <f>VLOOKUP(A261,Cleaned_Seller_Master!$A:$H,8,FALSE)</f>
        <v>Verified</v>
      </c>
      <c r="U261" t="str">
        <f>VLOOKUP(A261,Cleaned_Seller_Master!$A:$H,7,FALSE)</f>
        <v>11-06-2024</v>
      </c>
      <c r="V261">
        <f>IFERROR(INDEX(Violation_Summary_Seller_Year!$C:$C,MATCH(AD261,Violation_Summary_Seller_Year!$K:$K,0)),0)</f>
        <v>3</v>
      </c>
      <c r="W261">
        <f>IFERROR(INDEX(Violation_Summary_Seller_Year!$D:$D,MATCH(AD261,Violation_Summary_Seller_Year!$K:$K,0)),0)</f>
        <v>8036.29</v>
      </c>
      <c r="X261">
        <f>IFERROR(INDEX(Violation_Summary_Seller_Year!$E:$E,MATCH(AD261,Violation_Summary_Seller_Year!$K:$K,0)),0)</f>
        <v>0</v>
      </c>
      <c r="Y261">
        <f>IFERROR(INDEX(Violation_Summary_Seller_Year!$F:$F,MATCH(AD261,Violation_Summary_Seller_Year!$K:$K,0)),0)</f>
        <v>0</v>
      </c>
      <c r="Z261">
        <f>IFERROR(INDEX(Violation_Summary_Seller_Year!$G:$G,MATCH(AD261,Violation_Summary_Seller_Year!$K:$K,0)),0)</f>
        <v>3</v>
      </c>
      <c r="AA261">
        <f>IFERROR(INDEX(Violation_Summary_Seller_Year!$H:$H,MATCH(AD261,Violation_Summary_Seller_Year!$K:$K,0)),0)</f>
        <v>3</v>
      </c>
      <c r="AB261">
        <f>IFERROR(INDEX(Violation_Summary_Seller_Year!$I:$I,MATCH(AD261,Violation_Summary_Seller_Year!$K:$K,0)),0)</f>
        <v>1</v>
      </c>
      <c r="AC261">
        <f>IFERROR(INDEX(Violation_Summary_Seller_Year!$J:$J,MATCH(AD261,Violation_Summary_Seller_Year!$K:$K,0)),0)</f>
        <v>30</v>
      </c>
      <c r="AD261" t="str">
        <f t="shared" si="32"/>
        <v>69_2023</v>
      </c>
      <c r="AE261">
        <f t="shared" si="33"/>
        <v>1</v>
      </c>
      <c r="AF261">
        <f t="shared" si="34"/>
        <v>2</v>
      </c>
      <c r="AG261">
        <f t="shared" si="35"/>
        <v>2</v>
      </c>
      <c r="AH261">
        <f t="shared" si="36"/>
        <v>2</v>
      </c>
      <c r="AI261">
        <f t="shared" si="37"/>
        <v>2</v>
      </c>
      <c r="AJ261">
        <f t="shared" si="38"/>
        <v>175</v>
      </c>
      <c r="AK261" t="str">
        <f t="shared" si="39"/>
        <v>High</v>
      </c>
    </row>
    <row r="262" spans="1:37" x14ac:dyDescent="0.3">
      <c r="A262">
        <v>70</v>
      </c>
      <c r="B262">
        <v>2023</v>
      </c>
      <c r="C262">
        <v>1070</v>
      </c>
      <c r="D262">
        <v>98</v>
      </c>
      <c r="E262">
        <v>86</v>
      </c>
      <c r="F262">
        <v>7498.62</v>
      </c>
      <c r="G262">
        <v>8.0374000000000001E-2</v>
      </c>
      <c r="H262">
        <v>19</v>
      </c>
      <c r="I262">
        <v>40</v>
      </c>
      <c r="J262">
        <v>20</v>
      </c>
      <c r="K262">
        <v>8</v>
      </c>
      <c r="L262">
        <v>1</v>
      </c>
      <c r="M262">
        <v>5</v>
      </c>
      <c r="N262">
        <v>5</v>
      </c>
      <c r="O262">
        <v>2</v>
      </c>
      <c r="P262" t="s">
        <v>85</v>
      </c>
      <c r="Q262" t="str">
        <f>VLOOKUP(A262,Cleaned_Seller_Master!$A:$H,2,FALSE)</f>
        <v>Ever Merchants 070</v>
      </c>
      <c r="R262" t="str">
        <f>VLOOKUP(A262,Cleaned_Seller_Master!$A:$H,4,FALSE)</f>
        <v>Groceries</v>
      </c>
      <c r="S262" t="str">
        <f>VLOOKUP(A262,Cleaned_Seller_Master!$A:$H,5,FALSE)</f>
        <v>North</v>
      </c>
      <c r="T262" t="str">
        <f>VLOOKUP(A262,Cleaned_Seller_Master!$A:$H,8,FALSE)</f>
        <v>Premium</v>
      </c>
      <c r="U262" t="str">
        <f>VLOOKUP(A262,Cleaned_Seller_Master!$A:$H,7,FALSE)</f>
        <v>09-06-2019</v>
      </c>
      <c r="V262">
        <f>IFERROR(INDEX(Violation_Summary_Seller_Year!$C:$C,MATCH(AD262,Violation_Summary_Seller_Year!$K:$K,0)),0)</f>
        <v>4</v>
      </c>
      <c r="W262">
        <f>IFERROR(INDEX(Violation_Summary_Seller_Year!$D:$D,MATCH(AD262,Violation_Summary_Seller_Year!$K:$K,0)),0)</f>
        <v>17922.72</v>
      </c>
      <c r="X262">
        <f>IFERROR(INDEX(Violation_Summary_Seller_Year!$E:$E,MATCH(AD262,Violation_Summary_Seller_Year!$K:$K,0)),0)</f>
        <v>2</v>
      </c>
      <c r="Y262">
        <f>IFERROR(INDEX(Violation_Summary_Seller_Year!$F:$F,MATCH(AD262,Violation_Summary_Seller_Year!$K:$K,0)),0)</f>
        <v>3</v>
      </c>
      <c r="Z262">
        <f>IFERROR(INDEX(Violation_Summary_Seller_Year!$G:$G,MATCH(AD262,Violation_Summary_Seller_Year!$K:$K,0)),0)</f>
        <v>1</v>
      </c>
      <c r="AA262">
        <f>IFERROR(INDEX(Violation_Summary_Seller_Year!$H:$H,MATCH(AD262,Violation_Summary_Seller_Year!$K:$K,0)),0)</f>
        <v>3</v>
      </c>
      <c r="AB262">
        <f>IFERROR(INDEX(Violation_Summary_Seller_Year!$I:$I,MATCH(AD262,Violation_Summary_Seller_Year!$K:$K,0)),0)</f>
        <v>2</v>
      </c>
      <c r="AC262">
        <f>IFERROR(INDEX(Violation_Summary_Seller_Year!$J:$J,MATCH(AD262,Violation_Summary_Seller_Year!$K:$K,0)),0)</f>
        <v>28</v>
      </c>
      <c r="AD262" t="str">
        <f t="shared" si="32"/>
        <v>70_2023</v>
      </c>
      <c r="AE262">
        <f t="shared" si="33"/>
        <v>1</v>
      </c>
      <c r="AF262">
        <f t="shared" si="34"/>
        <v>2</v>
      </c>
      <c r="AG262">
        <f t="shared" si="35"/>
        <v>2</v>
      </c>
      <c r="AH262">
        <f t="shared" si="36"/>
        <v>2</v>
      </c>
      <c r="AI262">
        <f t="shared" si="37"/>
        <v>2</v>
      </c>
      <c r="AJ262">
        <f t="shared" si="38"/>
        <v>175</v>
      </c>
      <c r="AK262" t="str">
        <f t="shared" si="39"/>
        <v>High</v>
      </c>
    </row>
    <row r="263" spans="1:37" x14ac:dyDescent="0.3">
      <c r="A263">
        <v>72</v>
      </c>
      <c r="B263">
        <v>2023</v>
      </c>
      <c r="C263">
        <v>894</v>
      </c>
      <c r="D263">
        <v>54</v>
      </c>
      <c r="E263">
        <v>47</v>
      </c>
      <c r="F263">
        <v>4664.16</v>
      </c>
      <c r="G263">
        <v>5.2573000000000002E-2</v>
      </c>
      <c r="H263">
        <v>32</v>
      </c>
      <c r="I263">
        <v>32</v>
      </c>
      <c r="J263">
        <v>7</v>
      </c>
      <c r="K263">
        <v>11</v>
      </c>
      <c r="L263">
        <v>0</v>
      </c>
      <c r="M263">
        <v>4</v>
      </c>
      <c r="N263">
        <v>6</v>
      </c>
      <c r="O263">
        <v>3</v>
      </c>
      <c r="P263" t="s">
        <v>175</v>
      </c>
      <c r="Q263" t="str">
        <f>VLOOKUP(A263,Cleaned_Seller_Master!$A:$H,2,FALSE)</f>
        <v>Pulse Commerce 072</v>
      </c>
      <c r="R263" t="str">
        <f>VLOOKUP(A263,Cleaned_Seller_Master!$A:$H,4,FALSE)</f>
        <v>Fashion</v>
      </c>
      <c r="S263" t="str">
        <f>VLOOKUP(A263,Cleaned_Seller_Master!$A:$H,5,FALSE)</f>
        <v>West</v>
      </c>
      <c r="T263" t="str">
        <f>VLOOKUP(A263,Cleaned_Seller_Master!$A:$H,8,FALSE)</f>
        <v>Premium</v>
      </c>
      <c r="U263" t="str">
        <f>VLOOKUP(A263,Cleaned_Seller_Master!$A:$H,7,FALSE)</f>
        <v>21-01-2018</v>
      </c>
      <c r="V263">
        <f>IFERROR(INDEX(Violation_Summary_Seller_Year!$C:$C,MATCH(AD263,Violation_Summary_Seller_Year!$K:$K,0)),0)</f>
        <v>3</v>
      </c>
      <c r="W263">
        <f>IFERROR(INDEX(Violation_Summary_Seller_Year!$D:$D,MATCH(AD263,Violation_Summary_Seller_Year!$K:$K,0)),0)</f>
        <v>3173.48</v>
      </c>
      <c r="X263">
        <f>IFERROR(INDEX(Violation_Summary_Seller_Year!$E:$E,MATCH(AD263,Violation_Summary_Seller_Year!$K:$K,0)),0)</f>
        <v>0</v>
      </c>
      <c r="Y263">
        <f>IFERROR(INDEX(Violation_Summary_Seller_Year!$F:$F,MATCH(AD263,Violation_Summary_Seller_Year!$K:$K,0)),0)</f>
        <v>2</v>
      </c>
      <c r="Z263">
        <f>IFERROR(INDEX(Violation_Summary_Seller_Year!$G:$G,MATCH(AD263,Violation_Summary_Seller_Year!$K:$K,0)),0)</f>
        <v>1</v>
      </c>
      <c r="AA263">
        <f>IFERROR(INDEX(Violation_Summary_Seller_Year!$H:$H,MATCH(AD263,Violation_Summary_Seller_Year!$K:$K,0)),0)</f>
        <v>1</v>
      </c>
      <c r="AB263">
        <f>IFERROR(INDEX(Violation_Summary_Seller_Year!$I:$I,MATCH(AD263,Violation_Summary_Seller_Year!$K:$K,0)),0)</f>
        <v>1</v>
      </c>
      <c r="AC263">
        <f>IFERROR(INDEX(Violation_Summary_Seller_Year!$J:$J,MATCH(AD263,Violation_Summary_Seller_Year!$K:$K,0)),0)</f>
        <v>15</v>
      </c>
      <c r="AD263" t="str">
        <f t="shared" si="32"/>
        <v>72_2023</v>
      </c>
      <c r="AE263">
        <f t="shared" si="33"/>
        <v>1</v>
      </c>
      <c r="AF263">
        <f t="shared" si="34"/>
        <v>2</v>
      </c>
      <c r="AG263">
        <f t="shared" si="35"/>
        <v>1</v>
      </c>
      <c r="AH263">
        <f t="shared" si="36"/>
        <v>0</v>
      </c>
      <c r="AI263">
        <f t="shared" si="37"/>
        <v>1</v>
      </c>
      <c r="AJ263">
        <f t="shared" si="38"/>
        <v>105</v>
      </c>
      <c r="AK263" t="str">
        <f t="shared" si="39"/>
        <v>Medium</v>
      </c>
    </row>
    <row r="264" spans="1:37" x14ac:dyDescent="0.3">
      <c r="A264">
        <v>73</v>
      </c>
      <c r="B264">
        <v>2023</v>
      </c>
      <c r="C264">
        <v>455</v>
      </c>
      <c r="D264">
        <v>43</v>
      </c>
      <c r="E264">
        <v>33</v>
      </c>
      <c r="F264">
        <v>2711.6</v>
      </c>
      <c r="G264">
        <v>7.2526999999999994E-2</v>
      </c>
      <c r="H264">
        <v>26</v>
      </c>
      <c r="I264">
        <v>26</v>
      </c>
      <c r="J264">
        <v>8</v>
      </c>
      <c r="K264">
        <v>13</v>
      </c>
      <c r="L264">
        <v>1</v>
      </c>
      <c r="M264">
        <v>5</v>
      </c>
      <c r="N264">
        <v>4</v>
      </c>
      <c r="O264">
        <v>2</v>
      </c>
      <c r="P264" t="s">
        <v>85</v>
      </c>
      <c r="Q264" t="str">
        <f>VLOOKUP(A264,Cleaned_Seller_Master!$A:$H,2,FALSE)</f>
        <v>Summit Bazaar 073</v>
      </c>
      <c r="R264" t="str">
        <f>VLOOKUP(A264,Cleaned_Seller_Master!$A:$H,4,FALSE)</f>
        <v>Electronics</v>
      </c>
      <c r="S264" t="str">
        <f>VLOOKUP(A264,Cleaned_Seller_Master!$A:$H,5,FALSE)</f>
        <v>West</v>
      </c>
      <c r="T264" t="str">
        <f>VLOOKUP(A264,Cleaned_Seller_Master!$A:$H,8,FALSE)</f>
        <v>Verified</v>
      </c>
      <c r="U264" t="str">
        <f>VLOOKUP(A264,Cleaned_Seller_Master!$A:$H,7,FALSE)</f>
        <v>23-08-2020</v>
      </c>
      <c r="V264">
        <f>IFERROR(INDEX(Violation_Summary_Seller_Year!$C:$C,MATCH(AD264,Violation_Summary_Seller_Year!$K:$K,0)),0)</f>
        <v>6</v>
      </c>
      <c r="W264">
        <f>IFERROR(INDEX(Violation_Summary_Seller_Year!$D:$D,MATCH(AD264,Violation_Summary_Seller_Year!$K:$K,0)),0)</f>
        <v>16468.11</v>
      </c>
      <c r="X264">
        <f>IFERROR(INDEX(Violation_Summary_Seller_Year!$E:$E,MATCH(AD264,Violation_Summary_Seller_Year!$K:$K,0)),0)</f>
        <v>1</v>
      </c>
      <c r="Y264">
        <f>IFERROR(INDEX(Violation_Summary_Seller_Year!$F:$F,MATCH(AD264,Violation_Summary_Seller_Year!$K:$K,0)),0)</f>
        <v>4</v>
      </c>
      <c r="Z264">
        <f>IFERROR(INDEX(Violation_Summary_Seller_Year!$G:$G,MATCH(AD264,Violation_Summary_Seller_Year!$K:$K,0)),0)</f>
        <v>2</v>
      </c>
      <c r="AA264">
        <f>IFERROR(INDEX(Violation_Summary_Seller_Year!$H:$H,MATCH(AD264,Violation_Summary_Seller_Year!$K:$K,0)),0)</f>
        <v>4</v>
      </c>
      <c r="AB264">
        <f>IFERROR(INDEX(Violation_Summary_Seller_Year!$I:$I,MATCH(AD264,Violation_Summary_Seller_Year!$K:$K,0)),0)</f>
        <v>2</v>
      </c>
      <c r="AC264">
        <f>IFERROR(INDEX(Violation_Summary_Seller_Year!$J:$J,MATCH(AD264,Violation_Summary_Seller_Year!$K:$K,0)),0)</f>
        <v>60</v>
      </c>
      <c r="AD264" t="str">
        <f t="shared" si="32"/>
        <v>73_2023</v>
      </c>
      <c r="AE264">
        <f t="shared" si="33"/>
        <v>1</v>
      </c>
      <c r="AF264">
        <f t="shared" si="34"/>
        <v>2</v>
      </c>
      <c r="AG264">
        <f t="shared" si="35"/>
        <v>2</v>
      </c>
      <c r="AH264">
        <f t="shared" si="36"/>
        <v>2</v>
      </c>
      <c r="AI264">
        <f t="shared" si="37"/>
        <v>2</v>
      </c>
      <c r="AJ264">
        <f t="shared" si="38"/>
        <v>175</v>
      </c>
      <c r="AK264" t="str">
        <f t="shared" si="39"/>
        <v>High</v>
      </c>
    </row>
    <row r="265" spans="1:37" x14ac:dyDescent="0.3">
      <c r="A265">
        <v>74</v>
      </c>
      <c r="B265">
        <v>2023</v>
      </c>
      <c r="C265">
        <v>695</v>
      </c>
      <c r="D265">
        <v>56</v>
      </c>
      <c r="E265">
        <v>50</v>
      </c>
      <c r="F265">
        <v>5215.5</v>
      </c>
      <c r="G265">
        <v>7.1942000000000006E-2</v>
      </c>
      <c r="H265">
        <v>17</v>
      </c>
      <c r="I265">
        <v>21</v>
      </c>
      <c r="J265">
        <v>10</v>
      </c>
      <c r="K265">
        <v>12</v>
      </c>
      <c r="L265">
        <v>1</v>
      </c>
      <c r="M265">
        <v>4</v>
      </c>
      <c r="N265">
        <v>5</v>
      </c>
      <c r="O265">
        <v>3</v>
      </c>
      <c r="P265" t="s">
        <v>85</v>
      </c>
      <c r="Q265" t="str">
        <f>VLOOKUP(A265,Cleaned_Seller_Master!$A:$H,2,FALSE)</f>
        <v>Prime Bridge 074</v>
      </c>
      <c r="R265" t="str">
        <f>VLOOKUP(A265,Cleaned_Seller_Master!$A:$H,4,FALSE)</f>
        <v>Beauty</v>
      </c>
      <c r="S265" t="str">
        <f>VLOOKUP(A265,Cleaned_Seller_Master!$A:$H,5,FALSE)</f>
        <v>West</v>
      </c>
      <c r="T265" t="str">
        <f>VLOOKUP(A265,Cleaned_Seller_Master!$A:$H,8,FALSE)</f>
        <v>Premium</v>
      </c>
      <c r="U265" t="str">
        <f>VLOOKUP(A265,Cleaned_Seller_Master!$A:$H,7,FALSE)</f>
        <v>09-02-2019</v>
      </c>
      <c r="V265">
        <f>IFERROR(INDEX(Violation_Summary_Seller_Year!$C:$C,MATCH(AD265,Violation_Summary_Seller_Year!$K:$K,0)),0)</f>
        <v>5</v>
      </c>
      <c r="W265">
        <f>IFERROR(INDEX(Violation_Summary_Seller_Year!$D:$D,MATCH(AD265,Violation_Summary_Seller_Year!$K:$K,0)),0)</f>
        <v>12513.31</v>
      </c>
      <c r="X265">
        <f>IFERROR(INDEX(Violation_Summary_Seller_Year!$E:$E,MATCH(AD265,Violation_Summary_Seller_Year!$K:$K,0)),0)</f>
        <v>2</v>
      </c>
      <c r="Y265">
        <f>IFERROR(INDEX(Violation_Summary_Seller_Year!$F:$F,MATCH(AD265,Violation_Summary_Seller_Year!$K:$K,0)),0)</f>
        <v>3</v>
      </c>
      <c r="Z265">
        <f>IFERROR(INDEX(Violation_Summary_Seller_Year!$G:$G,MATCH(AD265,Violation_Summary_Seller_Year!$K:$K,0)),0)</f>
        <v>2</v>
      </c>
      <c r="AA265">
        <f>IFERROR(INDEX(Violation_Summary_Seller_Year!$H:$H,MATCH(AD265,Violation_Summary_Seller_Year!$K:$K,0)),0)</f>
        <v>3</v>
      </c>
      <c r="AB265">
        <f>IFERROR(INDEX(Violation_Summary_Seller_Year!$I:$I,MATCH(AD265,Violation_Summary_Seller_Year!$K:$K,0)),0)</f>
        <v>1</v>
      </c>
      <c r="AC265">
        <f>IFERROR(INDEX(Violation_Summary_Seller_Year!$J:$J,MATCH(AD265,Violation_Summary_Seller_Year!$K:$K,0)),0)</f>
        <v>44</v>
      </c>
      <c r="AD265" t="str">
        <f t="shared" si="32"/>
        <v>74_2023</v>
      </c>
      <c r="AE265">
        <f t="shared" si="33"/>
        <v>1</v>
      </c>
      <c r="AF265">
        <f t="shared" si="34"/>
        <v>2</v>
      </c>
      <c r="AG265">
        <f t="shared" si="35"/>
        <v>2</v>
      </c>
      <c r="AH265">
        <f t="shared" si="36"/>
        <v>2</v>
      </c>
      <c r="AI265">
        <f t="shared" si="37"/>
        <v>2</v>
      </c>
      <c r="AJ265">
        <f t="shared" si="38"/>
        <v>175</v>
      </c>
      <c r="AK265" t="str">
        <f t="shared" si="39"/>
        <v>High</v>
      </c>
    </row>
    <row r="266" spans="1:37" x14ac:dyDescent="0.3">
      <c r="A266">
        <v>76</v>
      </c>
      <c r="B266">
        <v>2023</v>
      </c>
      <c r="C266">
        <v>1281</v>
      </c>
      <c r="D266">
        <v>124</v>
      </c>
      <c r="E266">
        <v>107</v>
      </c>
      <c r="F266">
        <v>11240.78</v>
      </c>
      <c r="G266">
        <v>8.3528000000000005E-2</v>
      </c>
      <c r="H266">
        <v>33</v>
      </c>
      <c r="I266">
        <v>41</v>
      </c>
      <c r="J266">
        <v>21</v>
      </c>
      <c r="K266">
        <v>18</v>
      </c>
      <c r="L266">
        <v>1</v>
      </c>
      <c r="M266">
        <v>5</v>
      </c>
      <c r="N266">
        <v>8</v>
      </c>
      <c r="O266">
        <v>3</v>
      </c>
      <c r="P266" t="s">
        <v>85</v>
      </c>
      <c r="Q266" t="str">
        <f>VLOOKUP(A266,Cleaned_Seller_Master!$A:$H,2,FALSE)</f>
        <v>Nimbus Market 076</v>
      </c>
      <c r="R266" t="str">
        <f>VLOOKUP(A266,Cleaned_Seller_Master!$A:$H,4,FALSE)</f>
        <v>Beauty</v>
      </c>
      <c r="S266" t="str">
        <f>VLOOKUP(A266,Cleaned_Seller_Master!$A:$H,5,FALSE)</f>
        <v>South</v>
      </c>
      <c r="T266" t="str">
        <f>VLOOKUP(A266,Cleaned_Seller_Master!$A:$H,8,FALSE)</f>
        <v>Premium</v>
      </c>
      <c r="U266" t="str">
        <f>VLOOKUP(A266,Cleaned_Seller_Master!$A:$H,7,FALSE)</f>
        <v>28-04-2023</v>
      </c>
      <c r="V266">
        <f>IFERROR(INDEX(Violation_Summary_Seller_Year!$C:$C,MATCH(AD266,Violation_Summary_Seller_Year!$K:$K,0)),0)</f>
        <v>5</v>
      </c>
      <c r="W266">
        <f>IFERROR(INDEX(Violation_Summary_Seller_Year!$D:$D,MATCH(AD266,Violation_Summary_Seller_Year!$K:$K,0)),0)</f>
        <v>9751.41</v>
      </c>
      <c r="X266">
        <f>IFERROR(INDEX(Violation_Summary_Seller_Year!$E:$E,MATCH(AD266,Violation_Summary_Seller_Year!$K:$K,0)),0)</f>
        <v>2</v>
      </c>
      <c r="Y266">
        <f>IFERROR(INDEX(Violation_Summary_Seller_Year!$F:$F,MATCH(AD266,Violation_Summary_Seller_Year!$K:$K,0)),0)</f>
        <v>3</v>
      </c>
      <c r="Z266">
        <f>IFERROR(INDEX(Violation_Summary_Seller_Year!$G:$G,MATCH(AD266,Violation_Summary_Seller_Year!$K:$K,0)),0)</f>
        <v>2</v>
      </c>
      <c r="AA266">
        <f>IFERROR(INDEX(Violation_Summary_Seller_Year!$H:$H,MATCH(AD266,Violation_Summary_Seller_Year!$K:$K,0)),0)</f>
        <v>3</v>
      </c>
      <c r="AB266">
        <f>IFERROR(INDEX(Violation_Summary_Seller_Year!$I:$I,MATCH(AD266,Violation_Summary_Seller_Year!$K:$K,0)),0)</f>
        <v>2</v>
      </c>
      <c r="AC266">
        <f>IFERROR(INDEX(Violation_Summary_Seller_Year!$J:$J,MATCH(AD266,Violation_Summary_Seller_Year!$K:$K,0)),0)</f>
        <v>52</v>
      </c>
      <c r="AD266" t="str">
        <f t="shared" si="32"/>
        <v>76_2023</v>
      </c>
      <c r="AE266">
        <f t="shared" si="33"/>
        <v>1</v>
      </c>
      <c r="AF266">
        <f t="shared" si="34"/>
        <v>2</v>
      </c>
      <c r="AG266">
        <f t="shared" si="35"/>
        <v>2</v>
      </c>
      <c r="AH266">
        <f t="shared" si="36"/>
        <v>2</v>
      </c>
      <c r="AI266">
        <f t="shared" si="37"/>
        <v>2</v>
      </c>
      <c r="AJ266">
        <f t="shared" si="38"/>
        <v>175</v>
      </c>
      <c r="AK266" t="str">
        <f t="shared" si="39"/>
        <v>High</v>
      </c>
    </row>
    <row r="267" spans="1:37" x14ac:dyDescent="0.3">
      <c r="A267">
        <v>77</v>
      </c>
      <c r="B267">
        <v>2023</v>
      </c>
      <c r="C267">
        <v>1944</v>
      </c>
      <c r="D267">
        <v>125</v>
      </c>
      <c r="E267">
        <v>110</v>
      </c>
      <c r="F267">
        <v>8151.46</v>
      </c>
      <c r="G267">
        <v>5.6584000000000002E-2</v>
      </c>
      <c r="H267">
        <v>19</v>
      </c>
      <c r="I267">
        <v>42</v>
      </c>
      <c r="J267">
        <v>11</v>
      </c>
      <c r="K267">
        <v>11</v>
      </c>
      <c r="L267">
        <v>0</v>
      </c>
      <c r="M267">
        <v>2</v>
      </c>
      <c r="N267">
        <v>4</v>
      </c>
      <c r="O267">
        <v>9</v>
      </c>
      <c r="P267" t="s">
        <v>175</v>
      </c>
      <c r="Q267" t="str">
        <f>VLOOKUP(A267,Cleaned_Seller_Master!$A:$H,2,FALSE)</f>
        <v>Metro Point 077</v>
      </c>
      <c r="R267" t="str">
        <f>VLOOKUP(A267,Cleaned_Seller_Master!$A:$H,4,FALSE)</f>
        <v>Beauty</v>
      </c>
      <c r="S267" t="str">
        <f>VLOOKUP(A267,Cleaned_Seller_Master!$A:$H,5,FALSE)</f>
        <v>West</v>
      </c>
      <c r="T267" t="str">
        <f>VLOOKUP(A267,Cleaned_Seller_Master!$A:$H,8,FALSE)</f>
        <v>Premium</v>
      </c>
      <c r="U267" t="str">
        <f>VLOOKUP(A267,Cleaned_Seller_Master!$A:$H,7,FALSE)</f>
        <v>19-09-2019</v>
      </c>
      <c r="V267">
        <f>IFERROR(INDEX(Violation_Summary_Seller_Year!$C:$C,MATCH(AD267,Violation_Summary_Seller_Year!$K:$K,0)),0)</f>
        <v>1</v>
      </c>
      <c r="W267">
        <f>IFERROR(INDEX(Violation_Summary_Seller_Year!$D:$D,MATCH(AD267,Violation_Summary_Seller_Year!$K:$K,0)),0)</f>
        <v>2331.91</v>
      </c>
      <c r="X267">
        <f>IFERROR(INDEX(Violation_Summary_Seller_Year!$E:$E,MATCH(AD267,Violation_Summary_Seller_Year!$K:$K,0)),0)</f>
        <v>0</v>
      </c>
      <c r="Y267">
        <f>IFERROR(INDEX(Violation_Summary_Seller_Year!$F:$F,MATCH(AD267,Violation_Summary_Seller_Year!$K:$K,0)),0)</f>
        <v>1</v>
      </c>
      <c r="Z267">
        <f>IFERROR(INDEX(Violation_Summary_Seller_Year!$G:$G,MATCH(AD267,Violation_Summary_Seller_Year!$K:$K,0)),0)</f>
        <v>0</v>
      </c>
      <c r="AA267">
        <f>IFERROR(INDEX(Violation_Summary_Seller_Year!$H:$H,MATCH(AD267,Violation_Summary_Seller_Year!$K:$K,0)),0)</f>
        <v>1</v>
      </c>
      <c r="AB267">
        <f>IFERROR(INDEX(Violation_Summary_Seller_Year!$I:$I,MATCH(AD267,Violation_Summary_Seller_Year!$K:$K,0)),0)</f>
        <v>1</v>
      </c>
      <c r="AC267">
        <f>IFERROR(INDEX(Violation_Summary_Seller_Year!$J:$J,MATCH(AD267,Violation_Summary_Seller_Year!$K:$K,0)),0)</f>
        <v>11</v>
      </c>
      <c r="AD267" t="str">
        <f t="shared" si="32"/>
        <v>77_2023</v>
      </c>
      <c r="AE267">
        <f t="shared" si="33"/>
        <v>1</v>
      </c>
      <c r="AF267">
        <f t="shared" si="34"/>
        <v>2</v>
      </c>
      <c r="AG267">
        <f t="shared" si="35"/>
        <v>1</v>
      </c>
      <c r="AH267">
        <f t="shared" si="36"/>
        <v>0</v>
      </c>
      <c r="AI267">
        <f t="shared" si="37"/>
        <v>1</v>
      </c>
      <c r="AJ267">
        <f t="shared" si="38"/>
        <v>105</v>
      </c>
      <c r="AK267" t="str">
        <f t="shared" si="39"/>
        <v>Medium</v>
      </c>
    </row>
    <row r="268" spans="1:37" x14ac:dyDescent="0.3">
      <c r="A268">
        <v>78</v>
      </c>
      <c r="B268">
        <v>2023</v>
      </c>
      <c r="C268">
        <v>573</v>
      </c>
      <c r="D268">
        <v>38</v>
      </c>
      <c r="E268">
        <v>28</v>
      </c>
      <c r="F268">
        <v>1016.42</v>
      </c>
      <c r="G268">
        <v>4.8866E-2</v>
      </c>
      <c r="H268">
        <v>15</v>
      </c>
      <c r="I268">
        <v>22</v>
      </c>
      <c r="J268">
        <v>4</v>
      </c>
      <c r="K268">
        <v>6</v>
      </c>
      <c r="L268">
        <v>1</v>
      </c>
      <c r="M268">
        <v>4</v>
      </c>
      <c r="N268">
        <v>2</v>
      </c>
      <c r="O268">
        <v>1</v>
      </c>
      <c r="P268" t="s">
        <v>85</v>
      </c>
      <c r="Q268" t="str">
        <f>VLOOKUP(A268,Cleaned_Seller_Master!$A:$H,2,FALSE)</f>
        <v>Luna Stores 078</v>
      </c>
      <c r="R268" t="str">
        <f>VLOOKUP(A268,Cleaned_Seller_Master!$A:$H,4,FALSE)</f>
        <v>Beauty</v>
      </c>
      <c r="S268" t="str">
        <f>VLOOKUP(A268,Cleaned_Seller_Master!$A:$H,5,FALSE)</f>
        <v>West</v>
      </c>
      <c r="T268" t="str">
        <f>VLOOKUP(A268,Cleaned_Seller_Master!$A:$H,8,FALSE)</f>
        <v>Standard</v>
      </c>
      <c r="U268" t="str">
        <f>VLOOKUP(A268,Cleaned_Seller_Master!$A:$H,7,FALSE)</f>
        <v>26-08-2019</v>
      </c>
      <c r="V268">
        <f>IFERROR(INDEX(Violation_Summary_Seller_Year!$C:$C,MATCH(AD268,Violation_Summary_Seller_Year!$K:$K,0)),0)</f>
        <v>5</v>
      </c>
      <c r="W268">
        <f>IFERROR(INDEX(Violation_Summary_Seller_Year!$D:$D,MATCH(AD268,Violation_Summary_Seller_Year!$K:$K,0)),0)</f>
        <v>13240.21</v>
      </c>
      <c r="X268">
        <f>IFERROR(INDEX(Violation_Summary_Seller_Year!$E:$E,MATCH(AD268,Violation_Summary_Seller_Year!$K:$K,0)),0)</f>
        <v>1</v>
      </c>
      <c r="Y268">
        <f>IFERROR(INDEX(Violation_Summary_Seller_Year!$F:$F,MATCH(AD268,Violation_Summary_Seller_Year!$K:$K,0)),0)</f>
        <v>4</v>
      </c>
      <c r="Z268">
        <f>IFERROR(INDEX(Violation_Summary_Seller_Year!$G:$G,MATCH(AD268,Violation_Summary_Seller_Year!$K:$K,0)),0)</f>
        <v>1</v>
      </c>
      <c r="AA268">
        <f>IFERROR(INDEX(Violation_Summary_Seller_Year!$H:$H,MATCH(AD268,Violation_Summary_Seller_Year!$K:$K,0)),0)</f>
        <v>3</v>
      </c>
      <c r="AB268">
        <f>IFERROR(INDEX(Violation_Summary_Seller_Year!$I:$I,MATCH(AD268,Violation_Summary_Seller_Year!$K:$K,0)),0)</f>
        <v>3</v>
      </c>
      <c r="AC268">
        <f>IFERROR(INDEX(Violation_Summary_Seller_Year!$J:$J,MATCH(AD268,Violation_Summary_Seller_Year!$K:$K,0)),0)</f>
        <v>64</v>
      </c>
      <c r="AD268" t="str">
        <f t="shared" si="32"/>
        <v>78_2023</v>
      </c>
      <c r="AE268">
        <f t="shared" si="33"/>
        <v>0</v>
      </c>
      <c r="AF268">
        <f t="shared" si="34"/>
        <v>2</v>
      </c>
      <c r="AG268">
        <f t="shared" si="35"/>
        <v>2</v>
      </c>
      <c r="AH268">
        <f t="shared" si="36"/>
        <v>2</v>
      </c>
      <c r="AI268">
        <f t="shared" si="37"/>
        <v>2</v>
      </c>
      <c r="AJ268">
        <f t="shared" si="38"/>
        <v>150</v>
      </c>
      <c r="AK268" t="str">
        <f t="shared" si="39"/>
        <v>High</v>
      </c>
    </row>
    <row r="269" spans="1:37" x14ac:dyDescent="0.3">
      <c r="A269">
        <v>80</v>
      </c>
      <c r="B269">
        <v>2023</v>
      </c>
      <c r="C269">
        <v>749</v>
      </c>
      <c r="D269">
        <v>39</v>
      </c>
      <c r="E269">
        <v>29</v>
      </c>
      <c r="F269">
        <v>1891.16</v>
      </c>
      <c r="G269">
        <v>3.8718000000000002E-2</v>
      </c>
      <c r="H269">
        <v>13</v>
      </c>
      <c r="I269">
        <v>15</v>
      </c>
      <c r="J269">
        <v>6</v>
      </c>
      <c r="K269">
        <v>7</v>
      </c>
      <c r="L269">
        <v>0</v>
      </c>
      <c r="M269">
        <v>2</v>
      </c>
      <c r="N269">
        <v>3</v>
      </c>
      <c r="O269">
        <v>2</v>
      </c>
      <c r="P269" t="s">
        <v>175</v>
      </c>
      <c r="Q269" t="str">
        <f>VLOOKUP(A269,Cleaned_Seller_Master!$A:$H,2,FALSE)</f>
        <v>Nova Cart 080</v>
      </c>
      <c r="R269" t="str">
        <f>VLOOKUP(A269,Cleaned_Seller_Master!$A:$H,4,FALSE)</f>
        <v>Electronics</v>
      </c>
      <c r="S269" t="str">
        <f>VLOOKUP(A269,Cleaned_Seller_Master!$A:$H,5,FALSE)</f>
        <v>North</v>
      </c>
      <c r="T269" t="str">
        <f>VLOOKUP(A269,Cleaned_Seller_Master!$A:$H,8,FALSE)</f>
        <v>Verified</v>
      </c>
      <c r="U269" t="str">
        <f>VLOOKUP(A269,Cleaned_Seller_Master!$A:$H,7,FALSE)</f>
        <v>10-12-2019</v>
      </c>
      <c r="V269">
        <f>IFERROR(INDEX(Violation_Summary_Seller_Year!$C:$C,MATCH(AD269,Violation_Summary_Seller_Year!$K:$K,0)),0)</f>
        <v>1</v>
      </c>
      <c r="W269">
        <f>IFERROR(INDEX(Violation_Summary_Seller_Year!$D:$D,MATCH(AD269,Violation_Summary_Seller_Year!$K:$K,0)),0)</f>
        <v>227.3</v>
      </c>
      <c r="X269">
        <f>IFERROR(INDEX(Violation_Summary_Seller_Year!$E:$E,MATCH(AD269,Violation_Summary_Seller_Year!$K:$K,0)),0)</f>
        <v>0</v>
      </c>
      <c r="Y269">
        <f>IFERROR(INDEX(Violation_Summary_Seller_Year!$F:$F,MATCH(AD269,Violation_Summary_Seller_Year!$K:$K,0)),0)</f>
        <v>0</v>
      </c>
      <c r="Z269">
        <f>IFERROR(INDEX(Violation_Summary_Seller_Year!$G:$G,MATCH(AD269,Violation_Summary_Seller_Year!$K:$K,0)),0)</f>
        <v>1</v>
      </c>
      <c r="AA269">
        <f>IFERROR(INDEX(Violation_Summary_Seller_Year!$H:$H,MATCH(AD269,Violation_Summary_Seller_Year!$K:$K,0)),0)</f>
        <v>0</v>
      </c>
      <c r="AB269">
        <f>IFERROR(INDEX(Violation_Summary_Seller_Year!$I:$I,MATCH(AD269,Violation_Summary_Seller_Year!$K:$K,0)),0)</f>
        <v>0</v>
      </c>
      <c r="AC269">
        <f>IFERROR(INDEX(Violation_Summary_Seller_Year!$J:$J,MATCH(AD269,Violation_Summary_Seller_Year!$K:$K,0)),0)</f>
        <v>11</v>
      </c>
      <c r="AD269" t="str">
        <f t="shared" si="32"/>
        <v>80_2023</v>
      </c>
      <c r="AE269">
        <f t="shared" si="33"/>
        <v>0</v>
      </c>
      <c r="AF269">
        <f t="shared" si="34"/>
        <v>2</v>
      </c>
      <c r="AG269">
        <f t="shared" si="35"/>
        <v>0</v>
      </c>
      <c r="AH269">
        <f t="shared" si="36"/>
        <v>0</v>
      </c>
      <c r="AI269">
        <f t="shared" si="37"/>
        <v>1</v>
      </c>
      <c r="AJ269">
        <f t="shared" si="38"/>
        <v>60</v>
      </c>
      <c r="AK269" t="str">
        <f t="shared" si="39"/>
        <v>Medium</v>
      </c>
    </row>
    <row r="270" spans="1:37" x14ac:dyDescent="0.3">
      <c r="A270">
        <v>81</v>
      </c>
      <c r="B270">
        <v>2023</v>
      </c>
      <c r="C270">
        <v>258</v>
      </c>
      <c r="D270">
        <v>10</v>
      </c>
      <c r="E270">
        <v>8</v>
      </c>
      <c r="F270">
        <v>671.93</v>
      </c>
      <c r="G270">
        <v>3.1008000000000001E-2</v>
      </c>
      <c r="H270">
        <v>12</v>
      </c>
      <c r="I270">
        <v>12</v>
      </c>
      <c r="J270">
        <v>2</v>
      </c>
      <c r="K270">
        <v>6</v>
      </c>
      <c r="L270">
        <v>0</v>
      </c>
      <c r="M270">
        <v>1</v>
      </c>
      <c r="N270">
        <v>2</v>
      </c>
      <c r="O270">
        <v>0</v>
      </c>
      <c r="P270" t="s">
        <v>175</v>
      </c>
      <c r="Q270" t="str">
        <f>VLOOKUP(A270,Cleaned_Seller_Master!$A:$H,2,FALSE)</f>
        <v>Swift Goods 081</v>
      </c>
      <c r="R270" t="str">
        <f>VLOOKUP(A270,Cleaned_Seller_Master!$A:$H,4,FALSE)</f>
        <v>Groceries</v>
      </c>
      <c r="S270" t="str">
        <f>VLOOKUP(A270,Cleaned_Seller_Master!$A:$H,5,FALSE)</f>
        <v>West</v>
      </c>
      <c r="T270" t="str">
        <f>VLOOKUP(A270,Cleaned_Seller_Master!$A:$H,8,FALSE)</f>
        <v>Verified</v>
      </c>
      <c r="U270" t="str">
        <f>VLOOKUP(A270,Cleaned_Seller_Master!$A:$H,7,FALSE)</f>
        <v>06-03-2019</v>
      </c>
      <c r="V270">
        <f>IFERROR(INDEX(Violation_Summary_Seller_Year!$C:$C,MATCH(AD270,Violation_Summary_Seller_Year!$K:$K,0)),0)</f>
        <v>3</v>
      </c>
      <c r="W270">
        <f>IFERROR(INDEX(Violation_Summary_Seller_Year!$D:$D,MATCH(AD270,Violation_Summary_Seller_Year!$K:$K,0)),0)</f>
        <v>776.73</v>
      </c>
      <c r="X270">
        <f>IFERROR(INDEX(Violation_Summary_Seller_Year!$E:$E,MATCH(AD270,Violation_Summary_Seller_Year!$K:$K,0)),0)</f>
        <v>0</v>
      </c>
      <c r="Y270">
        <f>IFERROR(INDEX(Violation_Summary_Seller_Year!$F:$F,MATCH(AD270,Violation_Summary_Seller_Year!$K:$K,0)),0)</f>
        <v>3</v>
      </c>
      <c r="Z270">
        <f>IFERROR(INDEX(Violation_Summary_Seller_Year!$G:$G,MATCH(AD270,Violation_Summary_Seller_Year!$K:$K,0)),0)</f>
        <v>0</v>
      </c>
      <c r="AA270">
        <f>IFERROR(INDEX(Violation_Summary_Seller_Year!$H:$H,MATCH(AD270,Violation_Summary_Seller_Year!$K:$K,0)),0)</f>
        <v>0</v>
      </c>
      <c r="AB270">
        <f>IFERROR(INDEX(Violation_Summary_Seller_Year!$I:$I,MATCH(AD270,Violation_Summary_Seller_Year!$K:$K,0)),0)</f>
        <v>0</v>
      </c>
      <c r="AC270">
        <f>IFERROR(INDEX(Violation_Summary_Seller_Year!$J:$J,MATCH(AD270,Violation_Summary_Seller_Year!$K:$K,0)),0)</f>
        <v>21</v>
      </c>
      <c r="AD270" t="str">
        <f t="shared" si="32"/>
        <v>81_2023</v>
      </c>
      <c r="AE270">
        <f t="shared" si="33"/>
        <v>0</v>
      </c>
      <c r="AF270">
        <f t="shared" si="34"/>
        <v>2</v>
      </c>
      <c r="AG270">
        <f t="shared" si="35"/>
        <v>1</v>
      </c>
      <c r="AH270">
        <f t="shared" si="36"/>
        <v>0</v>
      </c>
      <c r="AI270">
        <f t="shared" si="37"/>
        <v>1</v>
      </c>
      <c r="AJ270">
        <f t="shared" si="38"/>
        <v>80</v>
      </c>
      <c r="AK270" t="str">
        <f t="shared" si="39"/>
        <v>Medium</v>
      </c>
    </row>
    <row r="271" spans="1:37" x14ac:dyDescent="0.3">
      <c r="A271">
        <v>82</v>
      </c>
      <c r="B271">
        <v>2023</v>
      </c>
      <c r="C271">
        <v>292</v>
      </c>
      <c r="D271">
        <v>24</v>
      </c>
      <c r="E271">
        <v>20</v>
      </c>
      <c r="F271">
        <v>2014.53</v>
      </c>
      <c r="G271">
        <v>6.8492999999999998E-2</v>
      </c>
      <c r="H271">
        <v>9</v>
      </c>
      <c r="I271">
        <v>17</v>
      </c>
      <c r="J271">
        <v>6</v>
      </c>
      <c r="K271">
        <v>5</v>
      </c>
      <c r="L271">
        <v>1</v>
      </c>
      <c r="M271">
        <v>5</v>
      </c>
      <c r="N271">
        <v>5</v>
      </c>
      <c r="O271">
        <v>2</v>
      </c>
      <c r="P271" t="s">
        <v>85</v>
      </c>
      <c r="Q271" t="str">
        <f>VLOOKUP(A271,Cleaned_Seller_Master!$A:$H,2,FALSE)</f>
        <v>Blue Source 082</v>
      </c>
      <c r="R271" t="str">
        <f>VLOOKUP(A271,Cleaned_Seller_Master!$A:$H,4,FALSE)</f>
        <v>Home</v>
      </c>
      <c r="S271" t="str">
        <f>VLOOKUP(A271,Cleaned_Seller_Master!$A:$H,5,FALSE)</f>
        <v>East</v>
      </c>
      <c r="T271" t="str">
        <f>VLOOKUP(A271,Cleaned_Seller_Master!$A:$H,8,FALSE)</f>
        <v>Verified</v>
      </c>
      <c r="U271" t="str">
        <f>VLOOKUP(A271,Cleaned_Seller_Master!$A:$H,7,FALSE)</f>
        <v>01-11-2021</v>
      </c>
      <c r="V271">
        <f>IFERROR(INDEX(Violation_Summary_Seller_Year!$C:$C,MATCH(AD271,Violation_Summary_Seller_Year!$K:$K,0)),0)</f>
        <v>5</v>
      </c>
      <c r="W271">
        <f>IFERROR(INDEX(Violation_Summary_Seller_Year!$D:$D,MATCH(AD271,Violation_Summary_Seller_Year!$K:$K,0)),0)</f>
        <v>14091.029999999999</v>
      </c>
      <c r="X271">
        <f>IFERROR(INDEX(Violation_Summary_Seller_Year!$E:$E,MATCH(AD271,Violation_Summary_Seller_Year!$K:$K,0)),0)</f>
        <v>3</v>
      </c>
      <c r="Y271">
        <f>IFERROR(INDEX(Violation_Summary_Seller_Year!$F:$F,MATCH(AD271,Violation_Summary_Seller_Year!$K:$K,0)),0)</f>
        <v>2</v>
      </c>
      <c r="Z271">
        <f>IFERROR(INDEX(Violation_Summary_Seller_Year!$G:$G,MATCH(AD271,Violation_Summary_Seller_Year!$K:$K,0)),0)</f>
        <v>3</v>
      </c>
      <c r="AA271">
        <f>IFERROR(INDEX(Violation_Summary_Seller_Year!$H:$H,MATCH(AD271,Violation_Summary_Seller_Year!$K:$K,0)),0)</f>
        <v>4</v>
      </c>
      <c r="AB271">
        <f>IFERROR(INDEX(Violation_Summary_Seller_Year!$I:$I,MATCH(AD271,Violation_Summary_Seller_Year!$K:$K,0)),0)</f>
        <v>2</v>
      </c>
      <c r="AC271">
        <f>IFERROR(INDEX(Violation_Summary_Seller_Year!$J:$J,MATCH(AD271,Violation_Summary_Seller_Year!$K:$K,0)),0)</f>
        <v>34</v>
      </c>
      <c r="AD271" t="str">
        <f t="shared" si="32"/>
        <v>82_2023</v>
      </c>
      <c r="AE271">
        <f t="shared" si="33"/>
        <v>1</v>
      </c>
      <c r="AF271">
        <f t="shared" si="34"/>
        <v>2</v>
      </c>
      <c r="AG271">
        <f t="shared" si="35"/>
        <v>2</v>
      </c>
      <c r="AH271">
        <f t="shared" si="36"/>
        <v>2</v>
      </c>
      <c r="AI271">
        <f t="shared" si="37"/>
        <v>2</v>
      </c>
      <c r="AJ271">
        <f t="shared" si="38"/>
        <v>175</v>
      </c>
      <c r="AK271" t="str">
        <f t="shared" si="39"/>
        <v>High</v>
      </c>
    </row>
    <row r="272" spans="1:37" x14ac:dyDescent="0.3">
      <c r="A272">
        <v>83</v>
      </c>
      <c r="B272">
        <v>2023</v>
      </c>
      <c r="C272">
        <v>587</v>
      </c>
      <c r="D272">
        <v>60</v>
      </c>
      <c r="E272">
        <v>52</v>
      </c>
      <c r="F272">
        <v>4947.55</v>
      </c>
      <c r="G272">
        <v>8.8585999999999998E-2</v>
      </c>
      <c r="H272">
        <v>20</v>
      </c>
      <c r="I272">
        <v>21</v>
      </c>
      <c r="J272">
        <v>9</v>
      </c>
      <c r="K272">
        <v>6</v>
      </c>
      <c r="L272">
        <v>1</v>
      </c>
      <c r="M272">
        <v>5</v>
      </c>
      <c r="N272">
        <v>5</v>
      </c>
      <c r="O272">
        <v>2</v>
      </c>
      <c r="P272" t="s">
        <v>85</v>
      </c>
      <c r="Q272" t="str">
        <f>VLOOKUP(A272,Cleaned_Seller_Master!$A:$H,2,FALSE)</f>
        <v>Vertex Supply 083</v>
      </c>
      <c r="R272" t="str">
        <f>VLOOKUP(A272,Cleaned_Seller_Master!$A:$H,4,FALSE)</f>
        <v>Groceries</v>
      </c>
      <c r="S272" t="str">
        <f>VLOOKUP(A272,Cleaned_Seller_Master!$A:$H,5,FALSE)</f>
        <v>East</v>
      </c>
      <c r="T272" t="str">
        <f>VLOOKUP(A272,Cleaned_Seller_Master!$A:$H,8,FALSE)</f>
        <v>Verified</v>
      </c>
      <c r="U272" t="str">
        <f>VLOOKUP(A272,Cleaned_Seller_Master!$A:$H,7,FALSE)</f>
        <v>28-08-2022</v>
      </c>
      <c r="V272">
        <f>IFERROR(INDEX(Violation_Summary_Seller_Year!$C:$C,MATCH(AD272,Violation_Summary_Seller_Year!$K:$K,0)),0)</f>
        <v>3</v>
      </c>
      <c r="W272">
        <f>IFERROR(INDEX(Violation_Summary_Seller_Year!$D:$D,MATCH(AD272,Violation_Summary_Seller_Year!$K:$K,0)),0)</f>
        <v>10527.35</v>
      </c>
      <c r="X272">
        <f>IFERROR(INDEX(Violation_Summary_Seller_Year!$E:$E,MATCH(AD272,Violation_Summary_Seller_Year!$K:$K,0)),0)</f>
        <v>3</v>
      </c>
      <c r="Y272">
        <f>IFERROR(INDEX(Violation_Summary_Seller_Year!$F:$F,MATCH(AD272,Violation_Summary_Seller_Year!$K:$K,0)),0)</f>
        <v>1</v>
      </c>
      <c r="Z272">
        <f>IFERROR(INDEX(Violation_Summary_Seller_Year!$G:$G,MATCH(AD272,Violation_Summary_Seller_Year!$K:$K,0)),0)</f>
        <v>2</v>
      </c>
      <c r="AA272">
        <f>IFERROR(INDEX(Violation_Summary_Seller_Year!$H:$H,MATCH(AD272,Violation_Summary_Seller_Year!$K:$K,0)),0)</f>
        <v>3</v>
      </c>
      <c r="AB272">
        <f>IFERROR(INDEX(Violation_Summary_Seller_Year!$I:$I,MATCH(AD272,Violation_Summary_Seller_Year!$K:$K,0)),0)</f>
        <v>1</v>
      </c>
      <c r="AC272">
        <f>IFERROR(INDEX(Violation_Summary_Seller_Year!$J:$J,MATCH(AD272,Violation_Summary_Seller_Year!$K:$K,0)),0)</f>
        <v>15</v>
      </c>
      <c r="AD272" t="str">
        <f t="shared" si="32"/>
        <v>83_2023</v>
      </c>
      <c r="AE272">
        <f t="shared" si="33"/>
        <v>1</v>
      </c>
      <c r="AF272">
        <f t="shared" si="34"/>
        <v>2</v>
      </c>
      <c r="AG272">
        <f t="shared" si="35"/>
        <v>2</v>
      </c>
      <c r="AH272">
        <f t="shared" si="36"/>
        <v>2</v>
      </c>
      <c r="AI272">
        <f t="shared" si="37"/>
        <v>2</v>
      </c>
      <c r="AJ272">
        <f t="shared" si="38"/>
        <v>175</v>
      </c>
      <c r="AK272" t="str">
        <f t="shared" si="39"/>
        <v>High</v>
      </c>
    </row>
    <row r="273" spans="1:37" x14ac:dyDescent="0.3">
      <c r="A273">
        <v>84</v>
      </c>
      <c r="B273">
        <v>2023</v>
      </c>
      <c r="C273">
        <v>365</v>
      </c>
      <c r="D273">
        <v>31</v>
      </c>
      <c r="E273">
        <v>23</v>
      </c>
      <c r="F273">
        <v>1246.75</v>
      </c>
      <c r="G273">
        <v>6.3014000000000001E-2</v>
      </c>
      <c r="H273">
        <v>12</v>
      </c>
      <c r="I273">
        <v>19</v>
      </c>
      <c r="J273">
        <v>6</v>
      </c>
      <c r="K273">
        <v>8</v>
      </c>
      <c r="L273">
        <v>1</v>
      </c>
      <c r="M273">
        <v>3</v>
      </c>
      <c r="N273">
        <v>4</v>
      </c>
      <c r="O273">
        <v>2</v>
      </c>
      <c r="P273" t="s">
        <v>85</v>
      </c>
      <c r="Q273" t="str">
        <f>VLOOKUP(A273,Cleaned_Seller_Master!$A:$H,2,FALSE)</f>
        <v>Zen Mart 084</v>
      </c>
      <c r="R273" t="str">
        <f>VLOOKUP(A273,Cleaned_Seller_Master!$A:$H,4,FALSE)</f>
        <v>Fashion</v>
      </c>
      <c r="S273" t="str">
        <f>VLOOKUP(A273,Cleaned_Seller_Master!$A:$H,5,FALSE)</f>
        <v>East</v>
      </c>
      <c r="T273" t="str">
        <f>VLOOKUP(A273,Cleaned_Seller_Master!$A:$H,8,FALSE)</f>
        <v>Verified</v>
      </c>
      <c r="U273" t="str">
        <f>VLOOKUP(A273,Cleaned_Seller_Master!$A:$H,7,FALSE)</f>
        <v>01-05-2023</v>
      </c>
      <c r="V273">
        <f>IFERROR(INDEX(Violation_Summary_Seller_Year!$C:$C,MATCH(AD273,Violation_Summary_Seller_Year!$K:$K,0)),0)</f>
        <v>4</v>
      </c>
      <c r="W273">
        <f>IFERROR(INDEX(Violation_Summary_Seller_Year!$D:$D,MATCH(AD273,Violation_Summary_Seller_Year!$K:$K,0)),0)</f>
        <v>11760.07</v>
      </c>
      <c r="X273">
        <f>IFERROR(INDEX(Violation_Summary_Seller_Year!$E:$E,MATCH(AD273,Violation_Summary_Seller_Year!$K:$K,0)),0)</f>
        <v>1</v>
      </c>
      <c r="Y273">
        <f>IFERROR(INDEX(Violation_Summary_Seller_Year!$F:$F,MATCH(AD273,Violation_Summary_Seller_Year!$K:$K,0)),0)</f>
        <v>0</v>
      </c>
      <c r="Z273">
        <f>IFERROR(INDEX(Violation_Summary_Seller_Year!$G:$G,MATCH(AD273,Violation_Summary_Seller_Year!$K:$K,0)),0)</f>
        <v>4</v>
      </c>
      <c r="AA273">
        <f>IFERROR(INDEX(Violation_Summary_Seller_Year!$H:$H,MATCH(AD273,Violation_Summary_Seller_Year!$K:$K,0)),0)</f>
        <v>2</v>
      </c>
      <c r="AB273">
        <f>IFERROR(INDEX(Violation_Summary_Seller_Year!$I:$I,MATCH(AD273,Violation_Summary_Seller_Year!$K:$K,0)),0)</f>
        <v>1</v>
      </c>
      <c r="AC273">
        <f>IFERROR(INDEX(Violation_Summary_Seller_Year!$J:$J,MATCH(AD273,Violation_Summary_Seller_Year!$K:$K,0)),0)</f>
        <v>37</v>
      </c>
      <c r="AD273" t="str">
        <f t="shared" si="32"/>
        <v>84_2023</v>
      </c>
      <c r="AE273">
        <f t="shared" si="33"/>
        <v>1</v>
      </c>
      <c r="AF273">
        <f t="shared" si="34"/>
        <v>2</v>
      </c>
      <c r="AG273">
        <f t="shared" si="35"/>
        <v>2</v>
      </c>
      <c r="AH273">
        <f t="shared" si="36"/>
        <v>2</v>
      </c>
      <c r="AI273">
        <f t="shared" si="37"/>
        <v>2</v>
      </c>
      <c r="AJ273">
        <f t="shared" si="38"/>
        <v>175</v>
      </c>
      <c r="AK273" t="str">
        <f t="shared" si="39"/>
        <v>High</v>
      </c>
    </row>
    <row r="274" spans="1:37" x14ac:dyDescent="0.3">
      <c r="A274">
        <v>85</v>
      </c>
      <c r="B274">
        <v>2023</v>
      </c>
      <c r="C274">
        <v>919</v>
      </c>
      <c r="D274">
        <v>50</v>
      </c>
      <c r="E274">
        <v>47</v>
      </c>
      <c r="F274">
        <v>4719.0200000000004</v>
      </c>
      <c r="G274">
        <v>5.1143000000000001E-2</v>
      </c>
      <c r="H274">
        <v>26</v>
      </c>
      <c r="I274">
        <v>26</v>
      </c>
      <c r="J274">
        <v>8</v>
      </c>
      <c r="K274">
        <v>10</v>
      </c>
      <c r="L274">
        <v>0</v>
      </c>
      <c r="M274">
        <v>2</v>
      </c>
      <c r="N274">
        <v>6</v>
      </c>
      <c r="O274">
        <v>1</v>
      </c>
      <c r="P274" t="s">
        <v>175</v>
      </c>
      <c r="Q274" t="str">
        <f>VLOOKUP(A274,Cleaned_Seller_Master!$A:$H,2,FALSE)</f>
        <v>True House 085</v>
      </c>
      <c r="R274" t="str">
        <f>VLOOKUP(A274,Cleaned_Seller_Master!$A:$H,4,FALSE)</f>
        <v>Fashion</v>
      </c>
      <c r="S274" t="str">
        <f>VLOOKUP(A274,Cleaned_Seller_Master!$A:$H,5,FALSE)</f>
        <v>South</v>
      </c>
      <c r="T274" t="str">
        <f>VLOOKUP(A274,Cleaned_Seller_Master!$A:$H,8,FALSE)</f>
        <v>Standard</v>
      </c>
      <c r="U274" t="str">
        <f>VLOOKUP(A274,Cleaned_Seller_Master!$A:$H,7,FALSE)</f>
        <v>21-04-2022</v>
      </c>
      <c r="V274">
        <f>IFERROR(INDEX(Violation_Summary_Seller_Year!$C:$C,MATCH(AD274,Violation_Summary_Seller_Year!$K:$K,0)),0)</f>
        <v>2</v>
      </c>
      <c r="W274">
        <f>IFERROR(INDEX(Violation_Summary_Seller_Year!$D:$D,MATCH(AD274,Violation_Summary_Seller_Year!$K:$K,0)),0)</f>
        <v>1019.9</v>
      </c>
      <c r="X274">
        <f>IFERROR(INDEX(Violation_Summary_Seller_Year!$E:$E,MATCH(AD274,Violation_Summary_Seller_Year!$K:$K,0)),0)</f>
        <v>0</v>
      </c>
      <c r="Y274">
        <f>IFERROR(INDEX(Violation_Summary_Seller_Year!$F:$F,MATCH(AD274,Violation_Summary_Seller_Year!$K:$K,0)),0)</f>
        <v>1</v>
      </c>
      <c r="Z274">
        <f>IFERROR(INDEX(Violation_Summary_Seller_Year!$G:$G,MATCH(AD274,Violation_Summary_Seller_Year!$K:$K,0)),0)</f>
        <v>1</v>
      </c>
      <c r="AA274">
        <f>IFERROR(INDEX(Violation_Summary_Seller_Year!$H:$H,MATCH(AD274,Violation_Summary_Seller_Year!$K:$K,0)),0)</f>
        <v>0</v>
      </c>
      <c r="AB274">
        <f>IFERROR(INDEX(Violation_Summary_Seller_Year!$I:$I,MATCH(AD274,Violation_Summary_Seller_Year!$K:$K,0)),0)</f>
        <v>1</v>
      </c>
      <c r="AC274">
        <f>IFERROR(INDEX(Violation_Summary_Seller_Year!$J:$J,MATCH(AD274,Violation_Summary_Seller_Year!$K:$K,0)),0)</f>
        <v>24</v>
      </c>
      <c r="AD274" t="str">
        <f t="shared" si="32"/>
        <v>85_2023</v>
      </c>
      <c r="AE274">
        <f t="shared" si="33"/>
        <v>1</v>
      </c>
      <c r="AF274">
        <f t="shared" si="34"/>
        <v>2</v>
      </c>
      <c r="AG274">
        <f t="shared" si="35"/>
        <v>1</v>
      </c>
      <c r="AH274">
        <f t="shared" si="36"/>
        <v>0</v>
      </c>
      <c r="AI274">
        <f t="shared" si="37"/>
        <v>1</v>
      </c>
      <c r="AJ274">
        <f t="shared" si="38"/>
        <v>105</v>
      </c>
      <c r="AK274" t="str">
        <f t="shared" si="39"/>
        <v>Medium</v>
      </c>
    </row>
    <row r="275" spans="1:37" x14ac:dyDescent="0.3">
      <c r="A275">
        <v>86</v>
      </c>
      <c r="B275">
        <v>2023</v>
      </c>
      <c r="C275">
        <v>1559</v>
      </c>
      <c r="D275">
        <v>130</v>
      </c>
      <c r="E275">
        <v>99</v>
      </c>
      <c r="F275">
        <v>9656.85</v>
      </c>
      <c r="G275">
        <v>6.3502000000000003E-2</v>
      </c>
      <c r="H275">
        <v>25</v>
      </c>
      <c r="I275">
        <v>53</v>
      </c>
      <c r="J275">
        <v>16</v>
      </c>
      <c r="K275">
        <v>15</v>
      </c>
      <c r="L275">
        <v>1</v>
      </c>
      <c r="M275">
        <v>7</v>
      </c>
      <c r="N275">
        <v>7</v>
      </c>
      <c r="O275">
        <v>5</v>
      </c>
      <c r="P275" t="s">
        <v>85</v>
      </c>
      <c r="Q275" t="str">
        <f>VLOOKUP(A275,Cleaned_Seller_Master!$A:$H,2,FALSE)</f>
        <v>Core Traders 086</v>
      </c>
      <c r="R275" t="str">
        <f>VLOOKUP(A275,Cleaned_Seller_Master!$A:$H,4,FALSE)</f>
        <v>Electronics</v>
      </c>
      <c r="S275" t="str">
        <f>VLOOKUP(A275,Cleaned_Seller_Master!$A:$H,5,FALSE)</f>
        <v>North</v>
      </c>
      <c r="T275" t="str">
        <f>VLOOKUP(A275,Cleaned_Seller_Master!$A:$H,8,FALSE)</f>
        <v>Premium</v>
      </c>
      <c r="U275" t="str">
        <f>VLOOKUP(A275,Cleaned_Seller_Master!$A:$H,7,FALSE)</f>
        <v>19-01-2025</v>
      </c>
      <c r="V275">
        <f>IFERROR(INDEX(Violation_Summary_Seller_Year!$C:$C,MATCH(AD275,Violation_Summary_Seller_Year!$K:$K,0)),0)</f>
        <v>4</v>
      </c>
      <c r="W275">
        <f>IFERROR(INDEX(Violation_Summary_Seller_Year!$D:$D,MATCH(AD275,Violation_Summary_Seller_Year!$K:$K,0)),0)</f>
        <v>18986.509999999998</v>
      </c>
      <c r="X275">
        <f>IFERROR(INDEX(Violation_Summary_Seller_Year!$E:$E,MATCH(AD275,Violation_Summary_Seller_Year!$K:$K,0)),0)</f>
        <v>4</v>
      </c>
      <c r="Y275">
        <f>IFERROR(INDEX(Violation_Summary_Seller_Year!$F:$F,MATCH(AD275,Violation_Summary_Seller_Year!$K:$K,0)),0)</f>
        <v>3</v>
      </c>
      <c r="Z275">
        <f>IFERROR(INDEX(Violation_Summary_Seller_Year!$G:$G,MATCH(AD275,Violation_Summary_Seller_Year!$K:$K,0)),0)</f>
        <v>1</v>
      </c>
      <c r="AA275">
        <f>IFERROR(INDEX(Violation_Summary_Seller_Year!$H:$H,MATCH(AD275,Violation_Summary_Seller_Year!$K:$K,0)),0)</f>
        <v>3</v>
      </c>
      <c r="AB275">
        <f>IFERROR(INDEX(Violation_Summary_Seller_Year!$I:$I,MATCH(AD275,Violation_Summary_Seller_Year!$K:$K,0)),0)</f>
        <v>1</v>
      </c>
      <c r="AC275">
        <f>IFERROR(INDEX(Violation_Summary_Seller_Year!$J:$J,MATCH(AD275,Violation_Summary_Seller_Year!$K:$K,0)),0)</f>
        <v>32</v>
      </c>
      <c r="AD275" t="str">
        <f t="shared" si="32"/>
        <v>86_2023</v>
      </c>
      <c r="AE275">
        <f t="shared" si="33"/>
        <v>1</v>
      </c>
      <c r="AF275">
        <f t="shared" si="34"/>
        <v>2</v>
      </c>
      <c r="AG275">
        <f t="shared" si="35"/>
        <v>2</v>
      </c>
      <c r="AH275">
        <f t="shared" si="36"/>
        <v>2</v>
      </c>
      <c r="AI275">
        <f t="shared" si="37"/>
        <v>2</v>
      </c>
      <c r="AJ275">
        <f t="shared" si="38"/>
        <v>175</v>
      </c>
      <c r="AK275" t="str">
        <f t="shared" si="39"/>
        <v>High</v>
      </c>
    </row>
    <row r="276" spans="1:37" x14ac:dyDescent="0.3">
      <c r="A276">
        <v>87</v>
      </c>
      <c r="B276">
        <v>2023</v>
      </c>
      <c r="C276">
        <v>777</v>
      </c>
      <c r="D276">
        <v>83</v>
      </c>
      <c r="E276">
        <v>70</v>
      </c>
      <c r="F276">
        <v>3585.12</v>
      </c>
      <c r="G276">
        <v>9.0090000000000003E-2</v>
      </c>
      <c r="H276">
        <v>23</v>
      </c>
      <c r="I276">
        <v>26</v>
      </c>
      <c r="J276">
        <v>15</v>
      </c>
      <c r="K276">
        <v>9</v>
      </c>
      <c r="L276">
        <v>1</v>
      </c>
      <c r="M276">
        <v>7</v>
      </c>
      <c r="N276">
        <v>6</v>
      </c>
      <c r="O276">
        <v>2</v>
      </c>
      <c r="P276" t="s">
        <v>85</v>
      </c>
      <c r="Q276" t="str">
        <f>VLOOKUP(A276,Cleaned_Seller_Master!$A:$H,2,FALSE)</f>
        <v>Urban Works 087</v>
      </c>
      <c r="R276" t="str">
        <f>VLOOKUP(A276,Cleaned_Seller_Master!$A:$H,4,FALSE)</f>
        <v>Groceries</v>
      </c>
      <c r="S276" t="str">
        <f>VLOOKUP(A276,Cleaned_Seller_Master!$A:$H,5,FALSE)</f>
        <v>East</v>
      </c>
      <c r="T276" t="str">
        <f>VLOOKUP(A276,Cleaned_Seller_Master!$A:$H,8,FALSE)</f>
        <v>Standard</v>
      </c>
      <c r="U276" t="str">
        <f>VLOOKUP(A276,Cleaned_Seller_Master!$A:$H,7,FALSE)</f>
        <v>09-03-2022</v>
      </c>
      <c r="V276">
        <f>IFERROR(INDEX(Violation_Summary_Seller_Year!$C:$C,MATCH(AD276,Violation_Summary_Seller_Year!$K:$K,0)),0)</f>
        <v>6</v>
      </c>
      <c r="W276">
        <f>IFERROR(INDEX(Violation_Summary_Seller_Year!$D:$D,MATCH(AD276,Violation_Summary_Seller_Year!$K:$K,0)),0)</f>
        <v>23770.98</v>
      </c>
      <c r="X276">
        <f>IFERROR(INDEX(Violation_Summary_Seller_Year!$E:$E,MATCH(AD276,Violation_Summary_Seller_Year!$K:$K,0)),0)</f>
        <v>1</v>
      </c>
      <c r="Y276">
        <f>IFERROR(INDEX(Violation_Summary_Seller_Year!$F:$F,MATCH(AD276,Violation_Summary_Seller_Year!$K:$K,0)),0)</f>
        <v>2</v>
      </c>
      <c r="Z276">
        <f>IFERROR(INDEX(Violation_Summary_Seller_Year!$G:$G,MATCH(AD276,Violation_Summary_Seller_Year!$K:$K,0)),0)</f>
        <v>4</v>
      </c>
      <c r="AA276">
        <f>IFERROR(INDEX(Violation_Summary_Seller_Year!$H:$H,MATCH(AD276,Violation_Summary_Seller_Year!$K:$K,0)),0)</f>
        <v>6</v>
      </c>
      <c r="AB276">
        <f>IFERROR(INDEX(Violation_Summary_Seller_Year!$I:$I,MATCH(AD276,Violation_Summary_Seller_Year!$K:$K,0)),0)</f>
        <v>2</v>
      </c>
      <c r="AC276">
        <f>IFERROR(INDEX(Violation_Summary_Seller_Year!$J:$J,MATCH(AD276,Violation_Summary_Seller_Year!$K:$K,0)),0)</f>
        <v>86</v>
      </c>
      <c r="AD276" t="str">
        <f t="shared" si="32"/>
        <v>87_2023</v>
      </c>
      <c r="AE276">
        <f t="shared" si="33"/>
        <v>1</v>
      </c>
      <c r="AF276">
        <f t="shared" si="34"/>
        <v>2</v>
      </c>
      <c r="AG276">
        <f t="shared" si="35"/>
        <v>2</v>
      </c>
      <c r="AH276">
        <f t="shared" si="36"/>
        <v>2</v>
      </c>
      <c r="AI276">
        <f t="shared" si="37"/>
        <v>2</v>
      </c>
      <c r="AJ276">
        <f t="shared" si="38"/>
        <v>175</v>
      </c>
      <c r="AK276" t="str">
        <f t="shared" si="39"/>
        <v>High</v>
      </c>
    </row>
    <row r="277" spans="1:37" x14ac:dyDescent="0.3">
      <c r="A277">
        <v>88</v>
      </c>
      <c r="B277">
        <v>2023</v>
      </c>
      <c r="C277">
        <v>853</v>
      </c>
      <c r="D277">
        <v>46</v>
      </c>
      <c r="E277">
        <v>34</v>
      </c>
      <c r="F277">
        <v>3459.02</v>
      </c>
      <c r="G277">
        <v>3.9858999999999999E-2</v>
      </c>
      <c r="H277">
        <v>14</v>
      </c>
      <c r="I277">
        <v>18</v>
      </c>
      <c r="J277">
        <v>7</v>
      </c>
      <c r="K277">
        <v>6</v>
      </c>
      <c r="L277">
        <v>0</v>
      </c>
      <c r="M277">
        <v>1</v>
      </c>
      <c r="N277">
        <v>3</v>
      </c>
      <c r="O277">
        <v>2</v>
      </c>
      <c r="P277" t="s">
        <v>175</v>
      </c>
      <c r="Q277" t="str">
        <f>VLOOKUP(A277,Cleaned_Seller_Master!$A:$H,2,FALSE)</f>
        <v>Bright Nest 088</v>
      </c>
      <c r="R277" t="str">
        <f>VLOOKUP(A277,Cleaned_Seller_Master!$A:$H,4,FALSE)</f>
        <v>Home</v>
      </c>
      <c r="S277" t="str">
        <f>VLOOKUP(A277,Cleaned_Seller_Master!$A:$H,5,FALSE)</f>
        <v>North</v>
      </c>
      <c r="T277" t="str">
        <f>VLOOKUP(A277,Cleaned_Seller_Master!$A:$H,8,FALSE)</f>
        <v>Verified</v>
      </c>
      <c r="U277" t="str">
        <f>VLOOKUP(A277,Cleaned_Seller_Master!$A:$H,7,FALSE)</f>
        <v>24-11-2020</v>
      </c>
      <c r="V277">
        <f>IFERROR(INDEX(Violation_Summary_Seller_Year!$C:$C,MATCH(AD277,Violation_Summary_Seller_Year!$K:$K,0)),0)</f>
        <v>1</v>
      </c>
      <c r="W277">
        <f>IFERROR(INDEX(Violation_Summary_Seller_Year!$D:$D,MATCH(AD277,Violation_Summary_Seller_Year!$K:$K,0)),0)</f>
        <v>356.62</v>
      </c>
      <c r="X277">
        <f>IFERROR(INDEX(Violation_Summary_Seller_Year!$E:$E,MATCH(AD277,Violation_Summary_Seller_Year!$K:$K,0)),0)</f>
        <v>0</v>
      </c>
      <c r="Y277">
        <f>IFERROR(INDEX(Violation_Summary_Seller_Year!$F:$F,MATCH(AD277,Violation_Summary_Seller_Year!$K:$K,0)),0)</f>
        <v>1</v>
      </c>
      <c r="Z277">
        <f>IFERROR(INDEX(Violation_Summary_Seller_Year!$G:$G,MATCH(AD277,Violation_Summary_Seller_Year!$K:$K,0)),0)</f>
        <v>0</v>
      </c>
      <c r="AA277">
        <f>IFERROR(INDEX(Violation_Summary_Seller_Year!$H:$H,MATCH(AD277,Violation_Summary_Seller_Year!$K:$K,0)),0)</f>
        <v>0</v>
      </c>
      <c r="AB277">
        <f>IFERROR(INDEX(Violation_Summary_Seller_Year!$I:$I,MATCH(AD277,Violation_Summary_Seller_Year!$K:$K,0)),0)</f>
        <v>0</v>
      </c>
      <c r="AC277">
        <f>IFERROR(INDEX(Violation_Summary_Seller_Year!$J:$J,MATCH(AD277,Violation_Summary_Seller_Year!$K:$K,0)),0)</f>
        <v>7</v>
      </c>
      <c r="AD277" t="str">
        <f t="shared" si="32"/>
        <v>88_2023</v>
      </c>
      <c r="AE277">
        <f t="shared" si="33"/>
        <v>0</v>
      </c>
      <c r="AF277">
        <f t="shared" si="34"/>
        <v>2</v>
      </c>
      <c r="AG277">
        <f t="shared" si="35"/>
        <v>0</v>
      </c>
      <c r="AH277">
        <f t="shared" si="36"/>
        <v>0</v>
      </c>
      <c r="AI277">
        <f t="shared" si="37"/>
        <v>1</v>
      </c>
      <c r="AJ277">
        <f t="shared" si="38"/>
        <v>60</v>
      </c>
      <c r="AK277" t="str">
        <f t="shared" si="39"/>
        <v>Medium</v>
      </c>
    </row>
    <row r="278" spans="1:37" x14ac:dyDescent="0.3">
      <c r="A278">
        <v>89</v>
      </c>
      <c r="B278">
        <v>2023</v>
      </c>
      <c r="C278">
        <v>260</v>
      </c>
      <c r="D278">
        <v>10</v>
      </c>
      <c r="E278">
        <v>9</v>
      </c>
      <c r="F278">
        <v>480.6</v>
      </c>
      <c r="G278">
        <v>3.4615E-2</v>
      </c>
      <c r="H278">
        <v>7</v>
      </c>
      <c r="I278">
        <v>7</v>
      </c>
      <c r="J278">
        <v>2</v>
      </c>
      <c r="K278">
        <v>5</v>
      </c>
      <c r="L278">
        <v>0</v>
      </c>
      <c r="M278">
        <v>1</v>
      </c>
      <c r="N278">
        <v>2</v>
      </c>
      <c r="O278">
        <v>1</v>
      </c>
      <c r="P278" t="s">
        <v>175</v>
      </c>
      <c r="Q278" t="str">
        <f>VLOOKUP(A278,Cleaned_Seller_Master!$A:$H,2,FALSE)</f>
        <v>Golden Hub 089</v>
      </c>
      <c r="R278" t="str">
        <f>VLOOKUP(A278,Cleaned_Seller_Master!$A:$H,4,FALSE)</f>
        <v>Fashion</v>
      </c>
      <c r="S278" t="str">
        <f>VLOOKUP(A278,Cleaned_Seller_Master!$A:$H,5,FALSE)</f>
        <v>Southeast Asia</v>
      </c>
      <c r="T278" t="str">
        <f>VLOOKUP(A278,Cleaned_Seller_Master!$A:$H,8,FALSE)</f>
        <v>Verified</v>
      </c>
      <c r="U278" t="str">
        <f>VLOOKUP(A278,Cleaned_Seller_Master!$A:$H,7,FALSE)</f>
        <v>22-06-2025</v>
      </c>
      <c r="V278">
        <f>IFERROR(INDEX(Violation_Summary_Seller_Year!$C:$C,MATCH(AD278,Violation_Summary_Seller_Year!$K:$K,0)),0)</f>
        <v>1</v>
      </c>
      <c r="W278">
        <f>IFERROR(INDEX(Violation_Summary_Seller_Year!$D:$D,MATCH(AD278,Violation_Summary_Seller_Year!$K:$K,0)),0)</f>
        <v>1095.73</v>
      </c>
      <c r="X278">
        <f>IFERROR(INDEX(Violation_Summary_Seller_Year!$E:$E,MATCH(AD278,Violation_Summary_Seller_Year!$K:$K,0)),0)</f>
        <v>0</v>
      </c>
      <c r="Y278">
        <f>IFERROR(INDEX(Violation_Summary_Seller_Year!$F:$F,MATCH(AD278,Violation_Summary_Seller_Year!$K:$K,0)),0)</f>
        <v>1</v>
      </c>
      <c r="Z278">
        <f>IFERROR(INDEX(Violation_Summary_Seller_Year!$G:$G,MATCH(AD278,Violation_Summary_Seller_Year!$K:$K,0)),0)</f>
        <v>0</v>
      </c>
      <c r="AA278">
        <f>IFERROR(INDEX(Violation_Summary_Seller_Year!$H:$H,MATCH(AD278,Violation_Summary_Seller_Year!$K:$K,0)),0)</f>
        <v>0</v>
      </c>
      <c r="AB278">
        <f>IFERROR(INDEX(Violation_Summary_Seller_Year!$I:$I,MATCH(AD278,Violation_Summary_Seller_Year!$K:$K,0)),0)</f>
        <v>0</v>
      </c>
      <c r="AC278">
        <f>IFERROR(INDEX(Violation_Summary_Seller_Year!$J:$J,MATCH(AD278,Violation_Summary_Seller_Year!$K:$K,0)),0)</f>
        <v>8</v>
      </c>
      <c r="AD278" t="str">
        <f t="shared" si="32"/>
        <v>89_2023</v>
      </c>
      <c r="AE278">
        <f t="shared" si="33"/>
        <v>0</v>
      </c>
      <c r="AF278">
        <f t="shared" si="34"/>
        <v>1</v>
      </c>
      <c r="AG278">
        <f t="shared" si="35"/>
        <v>0</v>
      </c>
      <c r="AH278">
        <f t="shared" si="36"/>
        <v>0</v>
      </c>
      <c r="AI278">
        <f t="shared" si="37"/>
        <v>1</v>
      </c>
      <c r="AJ278">
        <f t="shared" si="38"/>
        <v>35</v>
      </c>
      <c r="AK278" t="str">
        <f t="shared" si="39"/>
        <v>Low</v>
      </c>
    </row>
    <row r="279" spans="1:37" x14ac:dyDescent="0.3">
      <c r="A279">
        <v>90</v>
      </c>
      <c r="B279">
        <v>2023</v>
      </c>
      <c r="C279">
        <v>405</v>
      </c>
      <c r="D279">
        <v>22</v>
      </c>
      <c r="E279">
        <v>18</v>
      </c>
      <c r="F279">
        <v>581.51</v>
      </c>
      <c r="G279">
        <v>4.4443999999999997E-2</v>
      </c>
      <c r="H279">
        <v>8</v>
      </c>
      <c r="I279">
        <v>11</v>
      </c>
      <c r="J279">
        <v>4</v>
      </c>
      <c r="K279">
        <v>4</v>
      </c>
      <c r="L279">
        <v>1</v>
      </c>
      <c r="M279">
        <v>4</v>
      </c>
      <c r="N279">
        <v>3</v>
      </c>
      <c r="O279">
        <v>3</v>
      </c>
      <c r="P279" t="s">
        <v>68</v>
      </c>
      <c r="Q279" t="str">
        <f>VLOOKUP(A279,Cleaned_Seller_Master!$A:$H,2,FALSE)</f>
        <v>Ever Merchants 090</v>
      </c>
      <c r="R279" t="str">
        <f>VLOOKUP(A279,Cleaned_Seller_Master!$A:$H,4,FALSE)</f>
        <v>Home</v>
      </c>
      <c r="S279" t="str">
        <f>VLOOKUP(A279,Cleaned_Seller_Master!$A:$H,5,FALSE)</f>
        <v>North</v>
      </c>
      <c r="T279" t="str">
        <f>VLOOKUP(A279,Cleaned_Seller_Master!$A:$H,8,FALSE)</f>
        <v>Premium</v>
      </c>
      <c r="U279" t="str">
        <f>VLOOKUP(A279,Cleaned_Seller_Master!$A:$H,7,FALSE)</f>
        <v>08-10-2022</v>
      </c>
      <c r="V279">
        <f>IFERROR(INDEX(Violation_Summary_Seller_Year!$C:$C,MATCH(AD279,Violation_Summary_Seller_Year!$K:$K,0)),0)</f>
        <v>3</v>
      </c>
      <c r="W279">
        <f>IFERROR(INDEX(Violation_Summary_Seller_Year!$D:$D,MATCH(AD279,Violation_Summary_Seller_Year!$K:$K,0)),0)</f>
        <v>4325.7299999999996</v>
      </c>
      <c r="X279">
        <f>IFERROR(INDEX(Violation_Summary_Seller_Year!$E:$E,MATCH(AD279,Violation_Summary_Seller_Year!$K:$K,0)),0)</f>
        <v>1</v>
      </c>
      <c r="Y279">
        <f>IFERROR(INDEX(Violation_Summary_Seller_Year!$F:$F,MATCH(AD279,Violation_Summary_Seller_Year!$K:$K,0)),0)</f>
        <v>1</v>
      </c>
      <c r="Z279">
        <f>IFERROR(INDEX(Violation_Summary_Seller_Year!$G:$G,MATCH(AD279,Violation_Summary_Seller_Year!$K:$K,0)),0)</f>
        <v>2</v>
      </c>
      <c r="AA279">
        <f>IFERROR(INDEX(Violation_Summary_Seller_Year!$H:$H,MATCH(AD279,Violation_Summary_Seller_Year!$K:$K,0)),0)</f>
        <v>1</v>
      </c>
      <c r="AB279">
        <f>IFERROR(INDEX(Violation_Summary_Seller_Year!$I:$I,MATCH(AD279,Violation_Summary_Seller_Year!$K:$K,0)),0)</f>
        <v>2</v>
      </c>
      <c r="AC279">
        <f>IFERROR(INDEX(Violation_Summary_Seller_Year!$J:$J,MATCH(AD279,Violation_Summary_Seller_Year!$K:$K,0)),0)</f>
        <v>31</v>
      </c>
      <c r="AD279" t="str">
        <f t="shared" si="32"/>
        <v>90_2023</v>
      </c>
      <c r="AE279">
        <f t="shared" si="33"/>
        <v>0</v>
      </c>
      <c r="AF279">
        <f t="shared" si="34"/>
        <v>2</v>
      </c>
      <c r="AG279">
        <f t="shared" si="35"/>
        <v>1</v>
      </c>
      <c r="AH279">
        <f t="shared" si="36"/>
        <v>2</v>
      </c>
      <c r="AI279">
        <f t="shared" si="37"/>
        <v>1</v>
      </c>
      <c r="AJ279">
        <f t="shared" si="38"/>
        <v>120</v>
      </c>
      <c r="AK279" t="str">
        <f t="shared" si="39"/>
        <v>High</v>
      </c>
    </row>
    <row r="280" spans="1:37" x14ac:dyDescent="0.3">
      <c r="A280">
        <v>91</v>
      </c>
      <c r="B280">
        <v>2023</v>
      </c>
      <c r="C280">
        <v>80</v>
      </c>
      <c r="D280">
        <v>8</v>
      </c>
      <c r="E280">
        <v>7</v>
      </c>
      <c r="F280">
        <v>428.79</v>
      </c>
      <c r="G280">
        <v>8.7499999999999994E-2</v>
      </c>
      <c r="H280">
        <v>11</v>
      </c>
      <c r="I280">
        <v>11</v>
      </c>
      <c r="J280">
        <v>3</v>
      </c>
      <c r="K280">
        <v>7</v>
      </c>
      <c r="L280">
        <v>1</v>
      </c>
      <c r="M280">
        <v>4</v>
      </c>
      <c r="N280">
        <v>5</v>
      </c>
      <c r="O280">
        <v>1</v>
      </c>
      <c r="P280" t="s">
        <v>85</v>
      </c>
      <c r="Q280" t="str">
        <f>VLOOKUP(A280,Cleaned_Seller_Master!$A:$H,2,FALSE)</f>
        <v>Orbit Square 091</v>
      </c>
      <c r="R280" t="str">
        <f>VLOOKUP(A280,Cleaned_Seller_Master!$A:$H,4,FALSE)</f>
        <v>Electronics</v>
      </c>
      <c r="S280" t="str">
        <f>VLOOKUP(A280,Cleaned_Seller_Master!$A:$H,5,FALSE)</f>
        <v>North</v>
      </c>
      <c r="T280" t="str">
        <f>VLOOKUP(A280,Cleaned_Seller_Master!$A:$H,8,FALSE)</f>
        <v>Premium</v>
      </c>
      <c r="U280" t="str">
        <f>VLOOKUP(A280,Cleaned_Seller_Master!$A:$H,7,FALSE)</f>
        <v>04-02-2025</v>
      </c>
      <c r="V280">
        <f>IFERROR(INDEX(Violation_Summary_Seller_Year!$C:$C,MATCH(AD280,Violation_Summary_Seller_Year!$K:$K,0)),0)</f>
        <v>3</v>
      </c>
      <c r="W280">
        <f>IFERROR(INDEX(Violation_Summary_Seller_Year!$D:$D,MATCH(AD280,Violation_Summary_Seller_Year!$K:$K,0)),0)</f>
        <v>8756.36</v>
      </c>
      <c r="X280">
        <f>IFERROR(INDEX(Violation_Summary_Seller_Year!$E:$E,MATCH(AD280,Violation_Summary_Seller_Year!$K:$K,0)),0)</f>
        <v>2</v>
      </c>
      <c r="Y280">
        <f>IFERROR(INDEX(Violation_Summary_Seller_Year!$F:$F,MATCH(AD280,Violation_Summary_Seller_Year!$K:$K,0)),0)</f>
        <v>0</v>
      </c>
      <c r="Z280">
        <f>IFERROR(INDEX(Violation_Summary_Seller_Year!$G:$G,MATCH(AD280,Violation_Summary_Seller_Year!$K:$K,0)),0)</f>
        <v>3</v>
      </c>
      <c r="AA280">
        <f>IFERROR(INDEX(Violation_Summary_Seller_Year!$H:$H,MATCH(AD280,Violation_Summary_Seller_Year!$K:$K,0)),0)</f>
        <v>3</v>
      </c>
      <c r="AB280">
        <f>IFERROR(INDEX(Violation_Summary_Seller_Year!$I:$I,MATCH(AD280,Violation_Summary_Seller_Year!$K:$K,0)),0)</f>
        <v>3</v>
      </c>
      <c r="AC280">
        <f>IFERROR(INDEX(Violation_Summary_Seller_Year!$J:$J,MATCH(AD280,Violation_Summary_Seller_Year!$K:$K,0)),0)</f>
        <v>35</v>
      </c>
      <c r="AD280" t="str">
        <f t="shared" si="32"/>
        <v>91_2023</v>
      </c>
      <c r="AE280">
        <f t="shared" si="33"/>
        <v>1</v>
      </c>
      <c r="AF280">
        <f t="shared" si="34"/>
        <v>2</v>
      </c>
      <c r="AG280">
        <f t="shared" si="35"/>
        <v>2</v>
      </c>
      <c r="AH280">
        <f t="shared" si="36"/>
        <v>2</v>
      </c>
      <c r="AI280">
        <f t="shared" si="37"/>
        <v>2</v>
      </c>
      <c r="AJ280">
        <f t="shared" si="38"/>
        <v>175</v>
      </c>
      <c r="AK280" t="str">
        <f t="shared" si="39"/>
        <v>High</v>
      </c>
    </row>
    <row r="281" spans="1:37" x14ac:dyDescent="0.3">
      <c r="A281">
        <v>92</v>
      </c>
      <c r="B281">
        <v>2023</v>
      </c>
      <c r="C281">
        <v>1310</v>
      </c>
      <c r="D281">
        <v>99</v>
      </c>
      <c r="E281">
        <v>77</v>
      </c>
      <c r="F281">
        <v>4908.8599999999997</v>
      </c>
      <c r="G281">
        <v>5.8778999999999998E-2</v>
      </c>
      <c r="H281">
        <v>26</v>
      </c>
      <c r="I281">
        <v>35</v>
      </c>
      <c r="J281">
        <v>10</v>
      </c>
      <c r="K281">
        <v>19</v>
      </c>
      <c r="L281">
        <v>1</v>
      </c>
      <c r="M281">
        <v>7</v>
      </c>
      <c r="N281">
        <v>7</v>
      </c>
      <c r="O281">
        <v>5</v>
      </c>
      <c r="P281" t="s">
        <v>85</v>
      </c>
      <c r="Q281" t="str">
        <f>VLOOKUP(A281,Cleaned_Seller_Master!$A:$H,2,FALSE)</f>
        <v>Pulse Commerce 092</v>
      </c>
      <c r="R281" t="str">
        <f>VLOOKUP(A281,Cleaned_Seller_Master!$A:$H,4,FALSE)</f>
        <v>Groceries</v>
      </c>
      <c r="S281" t="str">
        <f>VLOOKUP(A281,Cleaned_Seller_Master!$A:$H,5,FALSE)</f>
        <v>West</v>
      </c>
      <c r="T281" t="str">
        <f>VLOOKUP(A281,Cleaned_Seller_Master!$A:$H,8,FALSE)</f>
        <v>Verified</v>
      </c>
      <c r="U281" t="str">
        <f>VLOOKUP(A281,Cleaned_Seller_Master!$A:$H,7,FALSE)</f>
        <v>21-07-2020</v>
      </c>
      <c r="V281">
        <f>IFERROR(INDEX(Violation_Summary_Seller_Year!$C:$C,MATCH(AD281,Violation_Summary_Seller_Year!$K:$K,0)),0)</f>
        <v>2</v>
      </c>
      <c r="W281">
        <f>IFERROR(INDEX(Violation_Summary_Seller_Year!$D:$D,MATCH(AD281,Violation_Summary_Seller_Year!$K:$K,0)),0)</f>
        <v>8140.87</v>
      </c>
      <c r="X281">
        <f>IFERROR(INDEX(Violation_Summary_Seller_Year!$E:$E,MATCH(AD281,Violation_Summary_Seller_Year!$K:$K,0)),0)</f>
        <v>1</v>
      </c>
      <c r="Y281">
        <f>IFERROR(INDEX(Violation_Summary_Seller_Year!$F:$F,MATCH(AD281,Violation_Summary_Seller_Year!$K:$K,0)),0)</f>
        <v>0</v>
      </c>
      <c r="Z281">
        <f>IFERROR(INDEX(Violation_Summary_Seller_Year!$G:$G,MATCH(AD281,Violation_Summary_Seller_Year!$K:$K,0)),0)</f>
        <v>2</v>
      </c>
      <c r="AA281">
        <f>IFERROR(INDEX(Violation_Summary_Seller_Year!$H:$H,MATCH(AD281,Violation_Summary_Seller_Year!$K:$K,0)),0)</f>
        <v>2</v>
      </c>
      <c r="AB281">
        <f>IFERROR(INDEX(Violation_Summary_Seller_Year!$I:$I,MATCH(AD281,Violation_Summary_Seller_Year!$K:$K,0)),0)</f>
        <v>1</v>
      </c>
      <c r="AC281">
        <f>IFERROR(INDEX(Violation_Summary_Seller_Year!$J:$J,MATCH(AD281,Violation_Summary_Seller_Year!$K:$K,0)),0)</f>
        <v>17</v>
      </c>
      <c r="AD281" t="str">
        <f t="shared" si="32"/>
        <v>92_2023</v>
      </c>
      <c r="AE281">
        <f t="shared" si="33"/>
        <v>1</v>
      </c>
      <c r="AF281">
        <f t="shared" si="34"/>
        <v>2</v>
      </c>
      <c r="AG281">
        <f t="shared" si="35"/>
        <v>2</v>
      </c>
      <c r="AH281">
        <f t="shared" si="36"/>
        <v>2</v>
      </c>
      <c r="AI281">
        <f t="shared" si="37"/>
        <v>2</v>
      </c>
      <c r="AJ281">
        <f t="shared" si="38"/>
        <v>175</v>
      </c>
      <c r="AK281" t="str">
        <f t="shared" si="39"/>
        <v>High</v>
      </c>
    </row>
    <row r="282" spans="1:37" x14ac:dyDescent="0.3">
      <c r="A282">
        <v>93</v>
      </c>
      <c r="B282">
        <v>2023</v>
      </c>
      <c r="C282">
        <v>1353</v>
      </c>
      <c r="D282">
        <v>77</v>
      </c>
      <c r="E282">
        <v>67</v>
      </c>
      <c r="F282">
        <v>3495.82</v>
      </c>
      <c r="G282">
        <v>4.9520000000000002E-2</v>
      </c>
      <c r="H282">
        <v>19</v>
      </c>
      <c r="I282">
        <v>29</v>
      </c>
      <c r="J282">
        <v>10</v>
      </c>
      <c r="K282">
        <v>11</v>
      </c>
      <c r="L282">
        <v>0</v>
      </c>
      <c r="M282">
        <v>1</v>
      </c>
      <c r="N282">
        <v>5</v>
      </c>
      <c r="O282">
        <v>3</v>
      </c>
      <c r="P282" t="s">
        <v>175</v>
      </c>
      <c r="Q282" t="str">
        <f>VLOOKUP(A282,Cleaned_Seller_Master!$A:$H,2,FALSE)</f>
        <v>Summit Bazaar 093</v>
      </c>
      <c r="R282" t="str">
        <f>VLOOKUP(A282,Cleaned_Seller_Master!$A:$H,4,FALSE)</f>
        <v>Home</v>
      </c>
      <c r="S282" t="str">
        <f>VLOOKUP(A282,Cleaned_Seller_Master!$A:$H,5,FALSE)</f>
        <v>West</v>
      </c>
      <c r="T282" t="str">
        <f>VLOOKUP(A282,Cleaned_Seller_Master!$A:$H,8,FALSE)</f>
        <v>Strategic</v>
      </c>
      <c r="U282" t="str">
        <f>VLOOKUP(A282,Cleaned_Seller_Master!$A:$H,7,FALSE)</f>
        <v>22-02-2023</v>
      </c>
      <c r="V282">
        <f>IFERROR(INDEX(Violation_Summary_Seller_Year!$C:$C,MATCH(AD282,Violation_Summary_Seller_Year!$K:$K,0)),0)</f>
        <v>2</v>
      </c>
      <c r="W282">
        <f>IFERROR(INDEX(Violation_Summary_Seller_Year!$D:$D,MATCH(AD282,Violation_Summary_Seller_Year!$K:$K,0)),0)</f>
        <v>1062.46</v>
      </c>
      <c r="X282">
        <f>IFERROR(INDEX(Violation_Summary_Seller_Year!$E:$E,MATCH(AD282,Violation_Summary_Seller_Year!$K:$K,0)),0)</f>
        <v>0</v>
      </c>
      <c r="Y282">
        <f>IFERROR(INDEX(Violation_Summary_Seller_Year!$F:$F,MATCH(AD282,Violation_Summary_Seller_Year!$K:$K,0)),0)</f>
        <v>2</v>
      </c>
      <c r="Z282">
        <f>IFERROR(INDEX(Violation_Summary_Seller_Year!$G:$G,MATCH(AD282,Violation_Summary_Seller_Year!$K:$K,0)),0)</f>
        <v>0</v>
      </c>
      <c r="AA282">
        <f>IFERROR(INDEX(Violation_Summary_Seller_Year!$H:$H,MATCH(AD282,Violation_Summary_Seller_Year!$K:$K,0)),0)</f>
        <v>0</v>
      </c>
      <c r="AB282">
        <f>IFERROR(INDEX(Violation_Summary_Seller_Year!$I:$I,MATCH(AD282,Violation_Summary_Seller_Year!$K:$K,0)),0)</f>
        <v>0</v>
      </c>
      <c r="AC282">
        <f>IFERROR(INDEX(Violation_Summary_Seller_Year!$J:$J,MATCH(AD282,Violation_Summary_Seller_Year!$K:$K,0)),0)</f>
        <v>4</v>
      </c>
      <c r="AD282" t="str">
        <f t="shared" si="32"/>
        <v>93_2023</v>
      </c>
      <c r="AE282">
        <f t="shared" si="33"/>
        <v>0</v>
      </c>
      <c r="AF282">
        <f t="shared" si="34"/>
        <v>2</v>
      </c>
      <c r="AG282">
        <f t="shared" si="35"/>
        <v>1</v>
      </c>
      <c r="AH282">
        <f t="shared" si="36"/>
        <v>0</v>
      </c>
      <c r="AI282">
        <f t="shared" si="37"/>
        <v>1</v>
      </c>
      <c r="AJ282">
        <f t="shared" si="38"/>
        <v>80</v>
      </c>
      <c r="AK282" t="str">
        <f t="shared" si="39"/>
        <v>Medium</v>
      </c>
    </row>
    <row r="283" spans="1:37" x14ac:dyDescent="0.3">
      <c r="A283">
        <v>94</v>
      </c>
      <c r="B283">
        <v>2023</v>
      </c>
      <c r="C283">
        <v>531</v>
      </c>
      <c r="D283">
        <v>22</v>
      </c>
      <c r="E283">
        <v>17</v>
      </c>
      <c r="F283">
        <v>729.53</v>
      </c>
      <c r="G283">
        <v>3.2015000000000002E-2</v>
      </c>
      <c r="H283">
        <v>8</v>
      </c>
      <c r="I283">
        <v>18</v>
      </c>
      <c r="J283">
        <v>4</v>
      </c>
      <c r="K283">
        <v>3</v>
      </c>
      <c r="L283">
        <v>0</v>
      </c>
      <c r="M283">
        <v>1</v>
      </c>
      <c r="N283">
        <v>2</v>
      </c>
      <c r="O283">
        <v>1</v>
      </c>
      <c r="P283" t="s">
        <v>68</v>
      </c>
      <c r="Q283" t="str">
        <f>VLOOKUP(A283,Cleaned_Seller_Master!$A:$H,2,FALSE)</f>
        <v>Prime Bridge 094</v>
      </c>
      <c r="R283" t="str">
        <f>VLOOKUP(A283,Cleaned_Seller_Master!$A:$H,4,FALSE)</f>
        <v>Home</v>
      </c>
      <c r="S283" t="str">
        <f>VLOOKUP(A283,Cleaned_Seller_Master!$A:$H,5,FALSE)</f>
        <v>North</v>
      </c>
      <c r="T283" t="str">
        <f>VLOOKUP(A283,Cleaned_Seller_Master!$A:$H,8,FALSE)</f>
        <v>Standard</v>
      </c>
      <c r="U283" t="str">
        <f>VLOOKUP(A283,Cleaned_Seller_Master!$A:$H,7,FALSE)</f>
        <v>26-01-2017</v>
      </c>
      <c r="V283">
        <f>IFERROR(INDEX(Violation_Summary_Seller_Year!$C:$C,MATCH(AD283,Violation_Summary_Seller_Year!$K:$K,0)),0)</f>
        <v>3</v>
      </c>
      <c r="W283">
        <f>IFERROR(INDEX(Violation_Summary_Seller_Year!$D:$D,MATCH(AD283,Violation_Summary_Seller_Year!$K:$K,0)),0)</f>
        <v>6660.9000000000005</v>
      </c>
      <c r="X283">
        <f>IFERROR(INDEX(Violation_Summary_Seller_Year!$E:$E,MATCH(AD283,Violation_Summary_Seller_Year!$K:$K,0)),0)</f>
        <v>0</v>
      </c>
      <c r="Y283">
        <f>IFERROR(INDEX(Violation_Summary_Seller_Year!$F:$F,MATCH(AD283,Violation_Summary_Seller_Year!$K:$K,0)),0)</f>
        <v>0</v>
      </c>
      <c r="Z283">
        <f>IFERROR(INDEX(Violation_Summary_Seller_Year!$G:$G,MATCH(AD283,Violation_Summary_Seller_Year!$K:$K,0)),0)</f>
        <v>3</v>
      </c>
      <c r="AA283">
        <f>IFERROR(INDEX(Violation_Summary_Seller_Year!$H:$H,MATCH(AD283,Violation_Summary_Seller_Year!$K:$K,0)),0)</f>
        <v>2</v>
      </c>
      <c r="AB283">
        <f>IFERROR(INDEX(Violation_Summary_Seller_Year!$I:$I,MATCH(AD283,Violation_Summary_Seller_Year!$K:$K,0)),0)</f>
        <v>2</v>
      </c>
      <c r="AC283">
        <f>IFERROR(INDEX(Violation_Summary_Seller_Year!$J:$J,MATCH(AD283,Violation_Summary_Seller_Year!$K:$K,0)),0)</f>
        <v>19</v>
      </c>
      <c r="AD283" t="str">
        <f t="shared" si="32"/>
        <v>94_2023</v>
      </c>
      <c r="AE283">
        <f t="shared" si="33"/>
        <v>0</v>
      </c>
      <c r="AF283">
        <f t="shared" si="34"/>
        <v>2</v>
      </c>
      <c r="AG283">
        <f t="shared" si="35"/>
        <v>2</v>
      </c>
      <c r="AH283">
        <f t="shared" si="36"/>
        <v>0</v>
      </c>
      <c r="AI283">
        <f t="shared" si="37"/>
        <v>1</v>
      </c>
      <c r="AJ283">
        <f t="shared" si="38"/>
        <v>100</v>
      </c>
      <c r="AK283" t="str">
        <f t="shared" si="39"/>
        <v>Medium</v>
      </c>
    </row>
    <row r="284" spans="1:37" x14ac:dyDescent="0.3">
      <c r="A284">
        <v>95</v>
      </c>
      <c r="B284">
        <v>2023</v>
      </c>
      <c r="C284">
        <v>676</v>
      </c>
      <c r="D284">
        <v>37</v>
      </c>
      <c r="E284">
        <v>33</v>
      </c>
      <c r="F284">
        <v>2982.38</v>
      </c>
      <c r="G284">
        <v>4.8816999999999999E-2</v>
      </c>
      <c r="H284">
        <v>13</v>
      </c>
      <c r="I284">
        <v>16</v>
      </c>
      <c r="J284">
        <v>4</v>
      </c>
      <c r="K284">
        <v>7</v>
      </c>
      <c r="L284">
        <v>0</v>
      </c>
      <c r="M284">
        <v>2</v>
      </c>
      <c r="N284">
        <v>2</v>
      </c>
      <c r="O284">
        <v>2</v>
      </c>
      <c r="P284" t="s">
        <v>68</v>
      </c>
      <c r="Q284" t="str">
        <f>VLOOKUP(A284,Cleaned_Seller_Master!$A:$H,2,FALSE)</f>
        <v>Apex Retail 095</v>
      </c>
      <c r="R284" t="str">
        <f>VLOOKUP(A284,Cleaned_Seller_Master!$A:$H,4,FALSE)</f>
        <v>Groceries</v>
      </c>
      <c r="S284" t="str">
        <f>VLOOKUP(A284,Cleaned_Seller_Master!$A:$H,5,FALSE)</f>
        <v>South</v>
      </c>
      <c r="T284" t="str">
        <f>VLOOKUP(A284,Cleaned_Seller_Master!$A:$H,8,FALSE)</f>
        <v>Verified</v>
      </c>
      <c r="U284" t="str">
        <f>VLOOKUP(A284,Cleaned_Seller_Master!$A:$H,7,FALSE)</f>
        <v>26-03-2022</v>
      </c>
      <c r="V284">
        <f>IFERROR(INDEX(Violation_Summary_Seller_Year!$C:$C,MATCH(AD284,Violation_Summary_Seller_Year!$K:$K,0)),0)</f>
        <v>3</v>
      </c>
      <c r="W284">
        <f>IFERROR(INDEX(Violation_Summary_Seller_Year!$D:$D,MATCH(AD284,Violation_Summary_Seller_Year!$K:$K,0)),0)</f>
        <v>7629.52</v>
      </c>
      <c r="X284">
        <f>IFERROR(INDEX(Violation_Summary_Seller_Year!$E:$E,MATCH(AD284,Violation_Summary_Seller_Year!$K:$K,0)),0)</f>
        <v>0</v>
      </c>
      <c r="Y284">
        <f>IFERROR(INDEX(Violation_Summary_Seller_Year!$F:$F,MATCH(AD284,Violation_Summary_Seller_Year!$K:$K,0)),0)</f>
        <v>2</v>
      </c>
      <c r="Z284">
        <f>IFERROR(INDEX(Violation_Summary_Seller_Year!$G:$G,MATCH(AD284,Violation_Summary_Seller_Year!$K:$K,0)),0)</f>
        <v>1</v>
      </c>
      <c r="AA284">
        <f>IFERROR(INDEX(Violation_Summary_Seller_Year!$H:$H,MATCH(AD284,Violation_Summary_Seller_Year!$K:$K,0)),0)</f>
        <v>2</v>
      </c>
      <c r="AB284">
        <f>IFERROR(INDEX(Violation_Summary_Seller_Year!$I:$I,MATCH(AD284,Violation_Summary_Seller_Year!$K:$K,0)),0)</f>
        <v>2</v>
      </c>
      <c r="AC284">
        <f>IFERROR(INDEX(Violation_Summary_Seller_Year!$J:$J,MATCH(AD284,Violation_Summary_Seller_Year!$K:$K,0)),0)</f>
        <v>22</v>
      </c>
      <c r="AD284" t="str">
        <f t="shared" si="32"/>
        <v>95_2023</v>
      </c>
      <c r="AE284">
        <f t="shared" si="33"/>
        <v>0</v>
      </c>
      <c r="AF284">
        <f t="shared" si="34"/>
        <v>2</v>
      </c>
      <c r="AG284">
        <f t="shared" si="35"/>
        <v>2</v>
      </c>
      <c r="AH284">
        <f t="shared" si="36"/>
        <v>0</v>
      </c>
      <c r="AI284">
        <f t="shared" si="37"/>
        <v>1</v>
      </c>
      <c r="AJ284">
        <f t="shared" si="38"/>
        <v>100</v>
      </c>
      <c r="AK284" t="str">
        <f t="shared" si="39"/>
        <v>Medium</v>
      </c>
    </row>
    <row r="285" spans="1:37" x14ac:dyDescent="0.3">
      <c r="A285">
        <v>96</v>
      </c>
      <c r="B285">
        <v>2023</v>
      </c>
      <c r="C285">
        <v>1070</v>
      </c>
      <c r="D285">
        <v>88</v>
      </c>
      <c r="E285">
        <v>76</v>
      </c>
      <c r="F285">
        <v>8557.0400000000009</v>
      </c>
      <c r="G285">
        <v>7.1027999999999994E-2</v>
      </c>
      <c r="H285">
        <v>18</v>
      </c>
      <c r="I285">
        <v>31</v>
      </c>
      <c r="J285">
        <v>19</v>
      </c>
      <c r="K285">
        <v>7</v>
      </c>
      <c r="L285">
        <v>1</v>
      </c>
      <c r="M285">
        <v>4</v>
      </c>
      <c r="N285">
        <v>5</v>
      </c>
      <c r="O285">
        <v>5</v>
      </c>
      <c r="P285" t="s">
        <v>85</v>
      </c>
      <c r="Q285" t="str">
        <f>VLOOKUP(A285,Cleaned_Seller_Master!$A:$H,2,FALSE)</f>
        <v>Nimbus Market 096</v>
      </c>
      <c r="R285" t="str">
        <f>VLOOKUP(A285,Cleaned_Seller_Master!$A:$H,4,FALSE)</f>
        <v>Beauty</v>
      </c>
      <c r="S285" t="str">
        <f>VLOOKUP(A285,Cleaned_Seller_Master!$A:$H,5,FALSE)</f>
        <v>North</v>
      </c>
      <c r="T285" t="str">
        <f>VLOOKUP(A285,Cleaned_Seller_Master!$A:$H,8,FALSE)</f>
        <v>Verified</v>
      </c>
      <c r="U285" t="str">
        <f>VLOOKUP(A285,Cleaned_Seller_Master!$A:$H,7,FALSE)</f>
        <v>12-01-2019</v>
      </c>
      <c r="V285">
        <f>IFERROR(INDEX(Violation_Summary_Seller_Year!$C:$C,MATCH(AD285,Violation_Summary_Seller_Year!$K:$K,0)),0)</f>
        <v>3</v>
      </c>
      <c r="W285">
        <f>IFERROR(INDEX(Violation_Summary_Seller_Year!$D:$D,MATCH(AD285,Violation_Summary_Seller_Year!$K:$K,0)),0)</f>
        <v>11775.939999999999</v>
      </c>
      <c r="X285">
        <f>IFERROR(INDEX(Violation_Summary_Seller_Year!$E:$E,MATCH(AD285,Violation_Summary_Seller_Year!$K:$K,0)),0)</f>
        <v>2</v>
      </c>
      <c r="Y285">
        <f>IFERROR(INDEX(Violation_Summary_Seller_Year!$F:$F,MATCH(AD285,Violation_Summary_Seller_Year!$K:$K,0)),0)</f>
        <v>2</v>
      </c>
      <c r="Z285">
        <f>IFERROR(INDEX(Violation_Summary_Seller_Year!$G:$G,MATCH(AD285,Violation_Summary_Seller_Year!$K:$K,0)),0)</f>
        <v>1</v>
      </c>
      <c r="AA285">
        <f>IFERROR(INDEX(Violation_Summary_Seller_Year!$H:$H,MATCH(AD285,Violation_Summary_Seller_Year!$K:$K,0)),0)</f>
        <v>3</v>
      </c>
      <c r="AB285">
        <f>IFERROR(INDEX(Violation_Summary_Seller_Year!$I:$I,MATCH(AD285,Violation_Summary_Seller_Year!$K:$K,0)),0)</f>
        <v>2</v>
      </c>
      <c r="AC285">
        <f>IFERROR(INDEX(Violation_Summary_Seller_Year!$J:$J,MATCH(AD285,Violation_Summary_Seller_Year!$K:$K,0)),0)</f>
        <v>29</v>
      </c>
      <c r="AD285" t="str">
        <f t="shared" si="32"/>
        <v>96_2023</v>
      </c>
      <c r="AE285">
        <f t="shared" si="33"/>
        <v>1</v>
      </c>
      <c r="AF285">
        <f t="shared" si="34"/>
        <v>2</v>
      </c>
      <c r="AG285">
        <f t="shared" si="35"/>
        <v>2</v>
      </c>
      <c r="AH285">
        <f t="shared" si="36"/>
        <v>2</v>
      </c>
      <c r="AI285">
        <f t="shared" si="37"/>
        <v>2</v>
      </c>
      <c r="AJ285">
        <f t="shared" si="38"/>
        <v>175</v>
      </c>
      <c r="AK285" t="str">
        <f t="shared" si="39"/>
        <v>High</v>
      </c>
    </row>
    <row r="286" spans="1:37" x14ac:dyDescent="0.3">
      <c r="A286">
        <v>97</v>
      </c>
      <c r="B286">
        <v>2023</v>
      </c>
      <c r="C286">
        <v>170</v>
      </c>
      <c r="D286">
        <v>15</v>
      </c>
      <c r="E286">
        <v>14</v>
      </c>
      <c r="F286">
        <v>1114.6400000000001</v>
      </c>
      <c r="G286">
        <v>8.2352999999999996E-2</v>
      </c>
      <c r="H286">
        <v>16</v>
      </c>
      <c r="I286">
        <v>16</v>
      </c>
      <c r="J286">
        <v>4</v>
      </c>
      <c r="K286">
        <v>7</v>
      </c>
      <c r="L286">
        <v>1</v>
      </c>
      <c r="M286">
        <v>6</v>
      </c>
      <c r="N286">
        <v>6</v>
      </c>
      <c r="O286">
        <v>2</v>
      </c>
      <c r="P286" t="s">
        <v>85</v>
      </c>
      <c r="Q286" t="str">
        <f>VLOOKUP(A286,Cleaned_Seller_Master!$A:$H,2,FALSE)</f>
        <v>Metro Point 097</v>
      </c>
      <c r="R286" t="str">
        <f>VLOOKUP(A286,Cleaned_Seller_Master!$A:$H,4,FALSE)</f>
        <v>Groceries</v>
      </c>
      <c r="S286" t="str">
        <f>VLOOKUP(A286,Cleaned_Seller_Master!$A:$H,5,FALSE)</f>
        <v>North</v>
      </c>
      <c r="T286" t="str">
        <f>VLOOKUP(A286,Cleaned_Seller_Master!$A:$H,8,FALSE)</f>
        <v>Standard</v>
      </c>
      <c r="U286" t="str">
        <f>VLOOKUP(A286,Cleaned_Seller_Master!$A:$H,7,FALSE)</f>
        <v>25-08-2025</v>
      </c>
      <c r="V286">
        <f>IFERROR(INDEX(Violation_Summary_Seller_Year!$C:$C,MATCH(AD286,Violation_Summary_Seller_Year!$K:$K,0)),0)</f>
        <v>5</v>
      </c>
      <c r="W286">
        <f>IFERROR(INDEX(Violation_Summary_Seller_Year!$D:$D,MATCH(AD286,Violation_Summary_Seller_Year!$K:$K,0)),0)</f>
        <v>20553.490000000002</v>
      </c>
      <c r="X286">
        <f>IFERROR(INDEX(Violation_Summary_Seller_Year!$E:$E,MATCH(AD286,Violation_Summary_Seller_Year!$K:$K,0)),0)</f>
        <v>3</v>
      </c>
      <c r="Y286">
        <f>IFERROR(INDEX(Violation_Summary_Seller_Year!$F:$F,MATCH(AD286,Violation_Summary_Seller_Year!$K:$K,0)),0)</f>
        <v>1</v>
      </c>
      <c r="Z286">
        <f>IFERROR(INDEX(Violation_Summary_Seller_Year!$G:$G,MATCH(AD286,Violation_Summary_Seller_Year!$K:$K,0)),0)</f>
        <v>4</v>
      </c>
      <c r="AA286">
        <f>IFERROR(INDEX(Violation_Summary_Seller_Year!$H:$H,MATCH(AD286,Violation_Summary_Seller_Year!$K:$K,0)),0)</f>
        <v>5</v>
      </c>
      <c r="AB286">
        <f>IFERROR(INDEX(Violation_Summary_Seller_Year!$I:$I,MATCH(AD286,Violation_Summary_Seller_Year!$K:$K,0)),0)</f>
        <v>3</v>
      </c>
      <c r="AC286">
        <f>IFERROR(INDEX(Violation_Summary_Seller_Year!$J:$J,MATCH(AD286,Violation_Summary_Seller_Year!$K:$K,0)),0)</f>
        <v>52</v>
      </c>
      <c r="AD286" t="str">
        <f t="shared" si="32"/>
        <v>97_2023</v>
      </c>
      <c r="AE286">
        <f t="shared" si="33"/>
        <v>1</v>
      </c>
      <c r="AF286">
        <f t="shared" si="34"/>
        <v>2</v>
      </c>
      <c r="AG286">
        <f t="shared" si="35"/>
        <v>2</v>
      </c>
      <c r="AH286">
        <f t="shared" si="36"/>
        <v>2</v>
      </c>
      <c r="AI286">
        <f t="shared" si="37"/>
        <v>2</v>
      </c>
      <c r="AJ286">
        <f t="shared" si="38"/>
        <v>175</v>
      </c>
      <c r="AK286" t="str">
        <f t="shared" si="39"/>
        <v>High</v>
      </c>
    </row>
    <row r="287" spans="1:37" x14ac:dyDescent="0.3">
      <c r="A287">
        <v>98</v>
      </c>
      <c r="B287">
        <v>2023</v>
      </c>
      <c r="C287">
        <v>457</v>
      </c>
      <c r="D287">
        <v>41</v>
      </c>
      <c r="E287">
        <v>33</v>
      </c>
      <c r="F287">
        <v>3184.11</v>
      </c>
      <c r="G287">
        <v>7.2209999999999996E-2</v>
      </c>
      <c r="H287">
        <v>17</v>
      </c>
      <c r="I287">
        <v>17</v>
      </c>
      <c r="J287">
        <v>9</v>
      </c>
      <c r="K287">
        <v>8</v>
      </c>
      <c r="L287">
        <v>1</v>
      </c>
      <c r="M287">
        <v>5</v>
      </c>
      <c r="N287">
        <v>3</v>
      </c>
      <c r="O287">
        <v>1</v>
      </c>
      <c r="P287" t="s">
        <v>85</v>
      </c>
      <c r="Q287" t="str">
        <f>VLOOKUP(A287,Cleaned_Seller_Master!$A:$H,2,FALSE)</f>
        <v>Luna Stores 098</v>
      </c>
      <c r="R287" t="str">
        <f>VLOOKUP(A287,Cleaned_Seller_Master!$A:$H,4,FALSE)</f>
        <v>Groceries</v>
      </c>
      <c r="S287" t="str">
        <f>VLOOKUP(A287,Cleaned_Seller_Master!$A:$H,5,FALSE)</f>
        <v>East</v>
      </c>
      <c r="T287" t="str">
        <f>VLOOKUP(A287,Cleaned_Seller_Master!$A:$H,8,FALSE)</f>
        <v>Verified</v>
      </c>
      <c r="U287" t="str">
        <f>VLOOKUP(A287,Cleaned_Seller_Master!$A:$H,7,FALSE)</f>
        <v>16-01-2017</v>
      </c>
      <c r="V287">
        <f>IFERROR(INDEX(Violation_Summary_Seller_Year!$C:$C,MATCH(AD287,Violation_Summary_Seller_Year!$K:$K,0)),0)</f>
        <v>6</v>
      </c>
      <c r="W287">
        <f>IFERROR(INDEX(Violation_Summary_Seller_Year!$D:$D,MATCH(AD287,Violation_Summary_Seller_Year!$K:$K,0)),0)</f>
        <v>21353.66</v>
      </c>
      <c r="X287">
        <f>IFERROR(INDEX(Violation_Summary_Seller_Year!$E:$E,MATCH(AD287,Violation_Summary_Seller_Year!$K:$K,0)),0)</f>
        <v>1</v>
      </c>
      <c r="Y287">
        <f>IFERROR(INDEX(Violation_Summary_Seller_Year!$F:$F,MATCH(AD287,Violation_Summary_Seller_Year!$K:$K,0)),0)</f>
        <v>5</v>
      </c>
      <c r="Z287">
        <f>IFERROR(INDEX(Violation_Summary_Seller_Year!$G:$G,MATCH(AD287,Violation_Summary_Seller_Year!$K:$K,0)),0)</f>
        <v>1</v>
      </c>
      <c r="AA287">
        <f>IFERROR(INDEX(Violation_Summary_Seller_Year!$H:$H,MATCH(AD287,Violation_Summary_Seller_Year!$K:$K,0)),0)</f>
        <v>4</v>
      </c>
      <c r="AB287">
        <f>IFERROR(INDEX(Violation_Summary_Seller_Year!$I:$I,MATCH(AD287,Violation_Summary_Seller_Year!$K:$K,0)),0)</f>
        <v>2</v>
      </c>
      <c r="AC287">
        <f>IFERROR(INDEX(Violation_Summary_Seller_Year!$J:$J,MATCH(AD287,Violation_Summary_Seller_Year!$K:$K,0)),0)</f>
        <v>50</v>
      </c>
      <c r="AD287" t="str">
        <f t="shared" si="32"/>
        <v>98_2023</v>
      </c>
      <c r="AE287">
        <f t="shared" si="33"/>
        <v>1</v>
      </c>
      <c r="AF287">
        <f t="shared" si="34"/>
        <v>2</v>
      </c>
      <c r="AG287">
        <f t="shared" si="35"/>
        <v>2</v>
      </c>
      <c r="AH287">
        <f t="shared" si="36"/>
        <v>2</v>
      </c>
      <c r="AI287">
        <f t="shared" si="37"/>
        <v>2</v>
      </c>
      <c r="AJ287">
        <f t="shared" si="38"/>
        <v>175</v>
      </c>
      <c r="AK287" t="str">
        <f t="shared" si="39"/>
        <v>High</v>
      </c>
    </row>
    <row r="288" spans="1:37" x14ac:dyDescent="0.3">
      <c r="A288">
        <v>99</v>
      </c>
      <c r="B288">
        <v>2023</v>
      </c>
      <c r="C288">
        <v>174</v>
      </c>
      <c r="D288">
        <v>13</v>
      </c>
      <c r="E288">
        <v>9</v>
      </c>
      <c r="F288">
        <v>421.1</v>
      </c>
      <c r="G288">
        <v>5.1723999999999999E-2</v>
      </c>
      <c r="H288">
        <v>11</v>
      </c>
      <c r="I288">
        <v>11</v>
      </c>
      <c r="J288">
        <v>3</v>
      </c>
      <c r="K288">
        <v>6</v>
      </c>
      <c r="L288">
        <v>1</v>
      </c>
      <c r="M288">
        <v>6</v>
      </c>
      <c r="N288">
        <v>4</v>
      </c>
      <c r="O288">
        <v>2</v>
      </c>
      <c r="P288" t="s">
        <v>85</v>
      </c>
      <c r="Q288" t="str">
        <f>VLOOKUP(A288,Cleaned_Seller_Master!$A:$H,2,FALSE)</f>
        <v>Elite Link 099</v>
      </c>
      <c r="R288" t="str">
        <f>VLOOKUP(A288,Cleaned_Seller_Master!$A:$H,4,FALSE)</f>
        <v>Fashion</v>
      </c>
      <c r="S288" t="str">
        <f>VLOOKUP(A288,Cleaned_Seller_Master!$A:$H,5,FALSE)</f>
        <v>Southeast Asia</v>
      </c>
      <c r="T288" t="str">
        <f>VLOOKUP(A288,Cleaned_Seller_Master!$A:$H,8,FALSE)</f>
        <v>Premium</v>
      </c>
      <c r="U288" t="str">
        <f>VLOOKUP(A288,Cleaned_Seller_Master!$A:$H,7,FALSE)</f>
        <v>09-03-2018</v>
      </c>
      <c r="V288">
        <f>IFERROR(INDEX(Violation_Summary_Seller_Year!$C:$C,MATCH(AD288,Violation_Summary_Seller_Year!$K:$K,0)),0)</f>
        <v>6</v>
      </c>
      <c r="W288">
        <f>IFERROR(INDEX(Violation_Summary_Seller_Year!$D:$D,MATCH(AD288,Violation_Summary_Seller_Year!$K:$K,0)),0)</f>
        <v>19743.989999999998</v>
      </c>
      <c r="X288">
        <f>IFERROR(INDEX(Violation_Summary_Seller_Year!$E:$E,MATCH(AD288,Violation_Summary_Seller_Year!$K:$K,0)),0)</f>
        <v>3</v>
      </c>
      <c r="Y288">
        <f>IFERROR(INDEX(Violation_Summary_Seller_Year!$F:$F,MATCH(AD288,Violation_Summary_Seller_Year!$K:$K,0)),0)</f>
        <v>2</v>
      </c>
      <c r="Z288">
        <f>IFERROR(INDEX(Violation_Summary_Seller_Year!$G:$G,MATCH(AD288,Violation_Summary_Seller_Year!$K:$K,0)),0)</f>
        <v>4</v>
      </c>
      <c r="AA288">
        <f>IFERROR(INDEX(Violation_Summary_Seller_Year!$H:$H,MATCH(AD288,Violation_Summary_Seller_Year!$K:$K,0)),0)</f>
        <v>5</v>
      </c>
      <c r="AB288">
        <f>IFERROR(INDEX(Violation_Summary_Seller_Year!$I:$I,MATCH(AD288,Violation_Summary_Seller_Year!$K:$K,0)),0)</f>
        <v>2</v>
      </c>
      <c r="AC288">
        <f>IFERROR(INDEX(Violation_Summary_Seller_Year!$J:$J,MATCH(AD288,Violation_Summary_Seller_Year!$K:$K,0)),0)</f>
        <v>51</v>
      </c>
      <c r="AD288" t="str">
        <f t="shared" si="32"/>
        <v>99_2023</v>
      </c>
      <c r="AE288">
        <f t="shared" si="33"/>
        <v>1</v>
      </c>
      <c r="AF288">
        <f t="shared" si="34"/>
        <v>2</v>
      </c>
      <c r="AG288">
        <f t="shared" si="35"/>
        <v>2</v>
      </c>
      <c r="AH288">
        <f t="shared" si="36"/>
        <v>2</v>
      </c>
      <c r="AI288">
        <f t="shared" si="37"/>
        <v>2</v>
      </c>
      <c r="AJ288">
        <f t="shared" si="38"/>
        <v>175</v>
      </c>
      <c r="AK288" t="str">
        <f t="shared" si="39"/>
        <v>High</v>
      </c>
    </row>
    <row r="289" spans="1:37" x14ac:dyDescent="0.3">
      <c r="A289">
        <v>100</v>
      </c>
      <c r="B289">
        <v>2023</v>
      </c>
      <c r="C289">
        <v>1110</v>
      </c>
      <c r="D289">
        <v>72</v>
      </c>
      <c r="E289">
        <v>64</v>
      </c>
      <c r="F289">
        <v>5043.08</v>
      </c>
      <c r="G289">
        <v>5.7658000000000001E-2</v>
      </c>
      <c r="H289">
        <v>20</v>
      </c>
      <c r="I289">
        <v>26</v>
      </c>
      <c r="J289">
        <v>10</v>
      </c>
      <c r="K289">
        <v>10</v>
      </c>
      <c r="L289">
        <v>0</v>
      </c>
      <c r="M289">
        <v>3</v>
      </c>
      <c r="N289">
        <v>4</v>
      </c>
      <c r="O289">
        <v>4</v>
      </c>
      <c r="P289" t="s">
        <v>175</v>
      </c>
      <c r="Q289" t="str">
        <f>VLOOKUP(A289,Cleaned_Seller_Master!$A:$H,2,FALSE)</f>
        <v>Nova Cart 100</v>
      </c>
      <c r="R289" t="str">
        <f>VLOOKUP(A289,Cleaned_Seller_Master!$A:$H,4,FALSE)</f>
        <v>Groceries</v>
      </c>
      <c r="S289" t="str">
        <f>VLOOKUP(A289,Cleaned_Seller_Master!$A:$H,5,FALSE)</f>
        <v>Southeast Asia</v>
      </c>
      <c r="T289" t="str">
        <f>VLOOKUP(A289,Cleaned_Seller_Master!$A:$H,8,FALSE)</f>
        <v>Verified</v>
      </c>
      <c r="U289" t="str">
        <f>VLOOKUP(A289,Cleaned_Seller_Master!$A:$H,7,FALSE)</f>
        <v>04-12-2018</v>
      </c>
      <c r="V289">
        <f>IFERROR(INDEX(Violation_Summary_Seller_Year!$C:$C,MATCH(AD289,Violation_Summary_Seller_Year!$K:$K,0)),0)</f>
        <v>1</v>
      </c>
      <c r="W289">
        <f>IFERROR(INDEX(Violation_Summary_Seller_Year!$D:$D,MATCH(AD289,Violation_Summary_Seller_Year!$K:$K,0)),0)</f>
        <v>539.64</v>
      </c>
      <c r="X289">
        <f>IFERROR(INDEX(Violation_Summary_Seller_Year!$E:$E,MATCH(AD289,Violation_Summary_Seller_Year!$K:$K,0)),0)</f>
        <v>0</v>
      </c>
      <c r="Y289">
        <f>IFERROR(INDEX(Violation_Summary_Seller_Year!$F:$F,MATCH(AD289,Violation_Summary_Seller_Year!$K:$K,0)),0)</f>
        <v>1</v>
      </c>
      <c r="Z289">
        <f>IFERROR(INDEX(Violation_Summary_Seller_Year!$G:$G,MATCH(AD289,Violation_Summary_Seller_Year!$K:$K,0)),0)</f>
        <v>0</v>
      </c>
      <c r="AA289">
        <f>IFERROR(INDEX(Violation_Summary_Seller_Year!$H:$H,MATCH(AD289,Violation_Summary_Seller_Year!$K:$K,0)),0)</f>
        <v>0</v>
      </c>
      <c r="AB289">
        <f>IFERROR(INDEX(Violation_Summary_Seller_Year!$I:$I,MATCH(AD289,Violation_Summary_Seller_Year!$K:$K,0)),0)</f>
        <v>0</v>
      </c>
      <c r="AC289">
        <f>IFERROR(INDEX(Violation_Summary_Seller_Year!$J:$J,MATCH(AD289,Violation_Summary_Seller_Year!$K:$K,0)),0)</f>
        <v>7</v>
      </c>
      <c r="AD289" t="str">
        <f t="shared" si="32"/>
        <v>100_2023</v>
      </c>
      <c r="AE289">
        <f t="shared" si="33"/>
        <v>1</v>
      </c>
      <c r="AF289">
        <f t="shared" si="34"/>
        <v>2</v>
      </c>
      <c r="AG289">
        <f t="shared" si="35"/>
        <v>0</v>
      </c>
      <c r="AH289">
        <f t="shared" si="36"/>
        <v>0</v>
      </c>
      <c r="AI289">
        <f t="shared" si="37"/>
        <v>1</v>
      </c>
      <c r="AJ289">
        <f t="shared" si="38"/>
        <v>85</v>
      </c>
      <c r="AK289" t="str">
        <f t="shared" si="39"/>
        <v>Medium</v>
      </c>
    </row>
    <row r="290" spans="1:37" x14ac:dyDescent="0.3">
      <c r="A290">
        <v>1</v>
      </c>
      <c r="B290">
        <v>2024</v>
      </c>
      <c r="C290">
        <v>80</v>
      </c>
      <c r="D290">
        <v>2</v>
      </c>
      <c r="E290">
        <v>2</v>
      </c>
      <c r="F290">
        <v>92.54</v>
      </c>
      <c r="G290">
        <v>2.5000000000000001E-2</v>
      </c>
      <c r="H290">
        <v>1</v>
      </c>
      <c r="I290">
        <v>1</v>
      </c>
      <c r="J290">
        <v>1</v>
      </c>
      <c r="K290">
        <v>1</v>
      </c>
      <c r="L290">
        <v>0</v>
      </c>
      <c r="M290">
        <v>0</v>
      </c>
      <c r="N290">
        <v>1</v>
      </c>
      <c r="O290">
        <v>0</v>
      </c>
      <c r="P290" t="s">
        <v>176</v>
      </c>
      <c r="Q290" t="str">
        <f>VLOOKUP(A290,Cleaned_Seller_Master!$A:$H,2,FALSE)</f>
        <v>Swift Goods 001</v>
      </c>
      <c r="R290" t="str">
        <f>VLOOKUP(A290,Cleaned_Seller_Master!$A:$H,4,FALSE)</f>
        <v>Electronics</v>
      </c>
      <c r="S290" t="str">
        <f>VLOOKUP(A290,Cleaned_Seller_Master!$A:$H,5,FALSE)</f>
        <v>Southeast Asia</v>
      </c>
      <c r="T290" t="str">
        <f>VLOOKUP(A290,Cleaned_Seller_Master!$A:$H,8,FALSE)</f>
        <v>Standard</v>
      </c>
      <c r="U290" t="str">
        <f>VLOOKUP(A290,Cleaned_Seller_Master!$A:$H,7,FALSE)</f>
        <v>01-01-2023</v>
      </c>
      <c r="V290">
        <f>IFERROR(INDEX(Violation_Summary_Seller_Year!$C:$C,MATCH(AD290,Violation_Summary_Seller_Year!$K:$K,0)),0)</f>
        <v>1</v>
      </c>
      <c r="W290">
        <f>IFERROR(INDEX(Violation_Summary_Seller_Year!$D:$D,MATCH(AD290,Violation_Summary_Seller_Year!$K:$K,0)),0)</f>
        <v>1362.14</v>
      </c>
      <c r="X290">
        <f>IFERROR(INDEX(Violation_Summary_Seller_Year!$E:$E,MATCH(AD290,Violation_Summary_Seller_Year!$K:$K,0)),0)</f>
        <v>0</v>
      </c>
      <c r="Y290">
        <f>IFERROR(INDEX(Violation_Summary_Seller_Year!$F:$F,MATCH(AD290,Violation_Summary_Seller_Year!$K:$K,0)),0)</f>
        <v>0</v>
      </c>
      <c r="Z290">
        <f>IFERROR(INDEX(Violation_Summary_Seller_Year!$G:$G,MATCH(AD290,Violation_Summary_Seller_Year!$K:$K,0)),0)</f>
        <v>1</v>
      </c>
      <c r="AA290">
        <f>IFERROR(INDEX(Violation_Summary_Seller_Year!$H:$H,MATCH(AD290,Violation_Summary_Seller_Year!$K:$K,0)),0)</f>
        <v>0</v>
      </c>
      <c r="AB290">
        <f>IFERROR(INDEX(Violation_Summary_Seller_Year!$I:$I,MATCH(AD290,Violation_Summary_Seller_Year!$K:$K,0)),0)</f>
        <v>0</v>
      </c>
      <c r="AC290">
        <f>IFERROR(INDEX(Violation_Summary_Seller_Year!$J:$J,MATCH(AD290,Violation_Summary_Seller_Year!$K:$K,0)),0)</f>
        <v>5</v>
      </c>
      <c r="AD290" t="str">
        <f t="shared" si="32"/>
        <v>1_2024</v>
      </c>
      <c r="AE290">
        <f t="shared" si="33"/>
        <v>0</v>
      </c>
      <c r="AF290">
        <f t="shared" si="34"/>
        <v>0</v>
      </c>
      <c r="AG290">
        <f t="shared" si="35"/>
        <v>0</v>
      </c>
      <c r="AH290">
        <f t="shared" si="36"/>
        <v>0</v>
      </c>
      <c r="AI290">
        <f t="shared" si="37"/>
        <v>1</v>
      </c>
      <c r="AJ290">
        <f t="shared" si="38"/>
        <v>10</v>
      </c>
      <c r="AK290" t="str">
        <f t="shared" si="39"/>
        <v>Low</v>
      </c>
    </row>
    <row r="291" spans="1:37" x14ac:dyDescent="0.3">
      <c r="A291">
        <v>2</v>
      </c>
      <c r="B291">
        <v>2024</v>
      </c>
      <c r="C291">
        <v>715</v>
      </c>
      <c r="D291">
        <v>67</v>
      </c>
      <c r="E291">
        <v>61</v>
      </c>
      <c r="F291">
        <v>6166.17</v>
      </c>
      <c r="G291">
        <v>8.5315000000000002E-2</v>
      </c>
      <c r="H291">
        <v>16</v>
      </c>
      <c r="I291">
        <v>21</v>
      </c>
      <c r="J291">
        <v>9</v>
      </c>
      <c r="K291">
        <v>8</v>
      </c>
      <c r="L291">
        <v>0</v>
      </c>
      <c r="M291">
        <v>2</v>
      </c>
      <c r="N291">
        <v>4</v>
      </c>
      <c r="O291">
        <v>4</v>
      </c>
      <c r="P291" t="s">
        <v>68</v>
      </c>
      <c r="Q291" t="str">
        <f>VLOOKUP(A291,Cleaned_Seller_Master!$A:$H,2,FALSE)</f>
        <v>Blue Source 002</v>
      </c>
      <c r="R291" t="str">
        <f>VLOOKUP(A291,Cleaned_Seller_Master!$A:$H,4,FALSE)</f>
        <v>Home</v>
      </c>
      <c r="S291" t="str">
        <f>VLOOKUP(A291,Cleaned_Seller_Master!$A:$H,5,FALSE)</f>
        <v>South</v>
      </c>
      <c r="T291" t="str">
        <f>VLOOKUP(A291,Cleaned_Seller_Master!$A:$H,8,FALSE)</f>
        <v>Verified</v>
      </c>
      <c r="U291" t="str">
        <f>VLOOKUP(A291,Cleaned_Seller_Master!$A:$H,7,FALSE)</f>
        <v>25-01-2022</v>
      </c>
      <c r="V291">
        <f>IFERROR(INDEX(Violation_Summary_Seller_Year!$C:$C,MATCH(AD291,Violation_Summary_Seller_Year!$K:$K,0)),0)</f>
        <v>4</v>
      </c>
      <c r="W291">
        <f>IFERROR(INDEX(Violation_Summary_Seller_Year!$D:$D,MATCH(AD291,Violation_Summary_Seller_Year!$K:$K,0)),0)</f>
        <v>4292.62</v>
      </c>
      <c r="X291">
        <f>IFERROR(INDEX(Violation_Summary_Seller_Year!$E:$E,MATCH(AD291,Violation_Summary_Seller_Year!$K:$K,0)),0)</f>
        <v>0</v>
      </c>
      <c r="Y291">
        <f>IFERROR(INDEX(Violation_Summary_Seller_Year!$F:$F,MATCH(AD291,Violation_Summary_Seller_Year!$K:$K,0)),0)</f>
        <v>2</v>
      </c>
      <c r="Z291">
        <f>IFERROR(INDEX(Violation_Summary_Seller_Year!$G:$G,MATCH(AD291,Violation_Summary_Seller_Year!$K:$K,0)),0)</f>
        <v>2</v>
      </c>
      <c r="AA291">
        <f>IFERROR(INDEX(Violation_Summary_Seller_Year!$H:$H,MATCH(AD291,Violation_Summary_Seller_Year!$K:$K,0)),0)</f>
        <v>2</v>
      </c>
      <c r="AB291">
        <f>IFERROR(INDEX(Violation_Summary_Seller_Year!$I:$I,MATCH(AD291,Violation_Summary_Seller_Year!$K:$K,0)),0)</f>
        <v>1</v>
      </c>
      <c r="AC291">
        <f>IFERROR(INDEX(Violation_Summary_Seller_Year!$J:$J,MATCH(AD291,Violation_Summary_Seller_Year!$K:$K,0)),0)</f>
        <v>20</v>
      </c>
      <c r="AD291" t="str">
        <f t="shared" si="32"/>
        <v>2_2024</v>
      </c>
      <c r="AE291">
        <f t="shared" si="33"/>
        <v>1</v>
      </c>
      <c r="AF291">
        <f t="shared" si="34"/>
        <v>2</v>
      </c>
      <c r="AG291">
        <f t="shared" si="35"/>
        <v>2</v>
      </c>
      <c r="AH291">
        <f t="shared" si="36"/>
        <v>0</v>
      </c>
      <c r="AI291">
        <f t="shared" si="37"/>
        <v>1</v>
      </c>
      <c r="AJ291">
        <f t="shared" si="38"/>
        <v>125</v>
      </c>
      <c r="AK291" t="str">
        <f t="shared" si="39"/>
        <v>High</v>
      </c>
    </row>
    <row r="292" spans="1:37" x14ac:dyDescent="0.3">
      <c r="A292">
        <v>3</v>
      </c>
      <c r="B292">
        <v>2024</v>
      </c>
      <c r="C292">
        <v>1520</v>
      </c>
      <c r="D292">
        <v>154</v>
      </c>
      <c r="E292">
        <v>141</v>
      </c>
      <c r="F292">
        <v>12904.42</v>
      </c>
      <c r="G292">
        <v>9.2762999999999998E-2</v>
      </c>
      <c r="H292">
        <v>42</v>
      </c>
      <c r="I292">
        <v>51</v>
      </c>
      <c r="J292">
        <v>27</v>
      </c>
      <c r="K292">
        <v>16</v>
      </c>
      <c r="L292">
        <v>1</v>
      </c>
      <c r="M292">
        <v>7</v>
      </c>
      <c r="N292">
        <v>7</v>
      </c>
      <c r="O292">
        <v>12</v>
      </c>
      <c r="P292" t="s">
        <v>85</v>
      </c>
      <c r="Q292" t="str">
        <f>VLOOKUP(A292,Cleaned_Seller_Master!$A:$H,2,FALSE)</f>
        <v>Vertex Supply 003</v>
      </c>
      <c r="R292" t="str">
        <f>VLOOKUP(A292,Cleaned_Seller_Master!$A:$H,4,FALSE)</f>
        <v>Electronics</v>
      </c>
      <c r="S292" t="str">
        <f>VLOOKUP(A292,Cleaned_Seller_Master!$A:$H,5,FALSE)</f>
        <v>West</v>
      </c>
      <c r="T292" t="str">
        <f>VLOOKUP(A292,Cleaned_Seller_Master!$A:$H,8,FALSE)</f>
        <v>Standard</v>
      </c>
      <c r="U292" t="str">
        <f>VLOOKUP(A292,Cleaned_Seller_Master!$A:$H,7,FALSE)</f>
        <v>20-06-2023</v>
      </c>
      <c r="V292">
        <f>IFERROR(INDEX(Violation_Summary_Seller_Year!$C:$C,MATCH(AD292,Violation_Summary_Seller_Year!$K:$K,0)),0)</f>
        <v>6</v>
      </c>
      <c r="W292">
        <f>IFERROR(INDEX(Violation_Summary_Seller_Year!$D:$D,MATCH(AD292,Violation_Summary_Seller_Year!$K:$K,0)),0)</f>
        <v>15444.659999999998</v>
      </c>
      <c r="X292">
        <f>IFERROR(INDEX(Violation_Summary_Seller_Year!$E:$E,MATCH(AD292,Violation_Summary_Seller_Year!$K:$K,0)),0)</f>
        <v>4</v>
      </c>
      <c r="Y292">
        <f>IFERROR(INDEX(Violation_Summary_Seller_Year!$F:$F,MATCH(AD292,Violation_Summary_Seller_Year!$K:$K,0)),0)</f>
        <v>5</v>
      </c>
      <c r="Z292">
        <f>IFERROR(INDEX(Violation_Summary_Seller_Year!$G:$G,MATCH(AD292,Violation_Summary_Seller_Year!$K:$K,0)),0)</f>
        <v>1</v>
      </c>
      <c r="AA292">
        <f>IFERROR(INDEX(Violation_Summary_Seller_Year!$H:$H,MATCH(AD292,Violation_Summary_Seller_Year!$K:$K,0)),0)</f>
        <v>6</v>
      </c>
      <c r="AB292">
        <f>IFERROR(INDEX(Violation_Summary_Seller_Year!$I:$I,MATCH(AD292,Violation_Summary_Seller_Year!$K:$K,0)),0)</f>
        <v>3</v>
      </c>
      <c r="AC292">
        <f>IFERROR(INDEX(Violation_Summary_Seller_Year!$J:$J,MATCH(AD292,Violation_Summary_Seller_Year!$K:$K,0)),0)</f>
        <v>64</v>
      </c>
      <c r="AD292" t="str">
        <f t="shared" si="32"/>
        <v>3_2024</v>
      </c>
      <c r="AE292">
        <f t="shared" si="33"/>
        <v>1</v>
      </c>
      <c r="AF292">
        <f t="shared" si="34"/>
        <v>2</v>
      </c>
      <c r="AG292">
        <f t="shared" si="35"/>
        <v>2</v>
      </c>
      <c r="AH292">
        <f t="shared" si="36"/>
        <v>2</v>
      </c>
      <c r="AI292">
        <f t="shared" si="37"/>
        <v>2</v>
      </c>
      <c r="AJ292">
        <f t="shared" si="38"/>
        <v>175</v>
      </c>
      <c r="AK292" t="str">
        <f t="shared" si="39"/>
        <v>High</v>
      </c>
    </row>
    <row r="293" spans="1:37" x14ac:dyDescent="0.3">
      <c r="A293">
        <v>4</v>
      </c>
      <c r="B293">
        <v>2024</v>
      </c>
      <c r="C293">
        <v>1520</v>
      </c>
      <c r="D293">
        <v>82</v>
      </c>
      <c r="E293">
        <v>65</v>
      </c>
      <c r="F293">
        <v>6104.62</v>
      </c>
      <c r="G293">
        <v>4.2763000000000002E-2</v>
      </c>
      <c r="H293">
        <v>24</v>
      </c>
      <c r="I293">
        <v>32</v>
      </c>
      <c r="J293">
        <v>13</v>
      </c>
      <c r="K293">
        <v>10</v>
      </c>
      <c r="L293">
        <v>1</v>
      </c>
      <c r="M293">
        <v>3</v>
      </c>
      <c r="N293">
        <v>7</v>
      </c>
      <c r="O293">
        <v>4</v>
      </c>
      <c r="P293" t="s">
        <v>85</v>
      </c>
      <c r="Q293" t="str">
        <f>VLOOKUP(A293,Cleaned_Seller_Master!$A:$H,2,FALSE)</f>
        <v>Zen Mart 004</v>
      </c>
      <c r="R293" t="str">
        <f>VLOOKUP(A293,Cleaned_Seller_Master!$A:$H,4,FALSE)</f>
        <v>Fashion</v>
      </c>
      <c r="S293" t="str">
        <f>VLOOKUP(A293,Cleaned_Seller_Master!$A:$H,5,FALSE)</f>
        <v>Southeast Asia</v>
      </c>
      <c r="T293" t="str">
        <f>VLOOKUP(A293,Cleaned_Seller_Master!$A:$H,8,FALSE)</f>
        <v>Standard</v>
      </c>
      <c r="U293" t="str">
        <f>VLOOKUP(A293,Cleaned_Seller_Master!$A:$H,7,FALSE)</f>
        <v>03-12-2021</v>
      </c>
      <c r="V293">
        <f>IFERROR(INDEX(Violation_Summary_Seller_Year!$C:$C,MATCH(AD293,Violation_Summary_Seller_Year!$K:$K,0)),0)</f>
        <v>2</v>
      </c>
      <c r="W293">
        <f>IFERROR(INDEX(Violation_Summary_Seller_Year!$D:$D,MATCH(AD293,Violation_Summary_Seller_Year!$K:$K,0)),0)</f>
        <v>810.68</v>
      </c>
      <c r="X293">
        <f>IFERROR(INDEX(Violation_Summary_Seller_Year!$E:$E,MATCH(AD293,Violation_Summary_Seller_Year!$K:$K,0)),0)</f>
        <v>1</v>
      </c>
      <c r="Y293">
        <f>IFERROR(INDEX(Violation_Summary_Seller_Year!$F:$F,MATCH(AD293,Violation_Summary_Seller_Year!$K:$K,0)),0)</f>
        <v>1</v>
      </c>
      <c r="Z293">
        <f>IFERROR(INDEX(Violation_Summary_Seller_Year!$G:$G,MATCH(AD293,Violation_Summary_Seller_Year!$K:$K,0)),0)</f>
        <v>1</v>
      </c>
      <c r="AA293">
        <f>IFERROR(INDEX(Violation_Summary_Seller_Year!$H:$H,MATCH(AD293,Violation_Summary_Seller_Year!$K:$K,0)),0)</f>
        <v>0</v>
      </c>
      <c r="AB293">
        <f>IFERROR(INDEX(Violation_Summary_Seller_Year!$I:$I,MATCH(AD293,Violation_Summary_Seller_Year!$K:$K,0)),0)</f>
        <v>0</v>
      </c>
      <c r="AC293">
        <f>IFERROR(INDEX(Violation_Summary_Seller_Year!$J:$J,MATCH(AD293,Violation_Summary_Seller_Year!$K:$K,0)),0)</f>
        <v>21</v>
      </c>
      <c r="AD293" t="str">
        <f t="shared" si="32"/>
        <v>4_2024</v>
      </c>
      <c r="AE293">
        <f t="shared" si="33"/>
        <v>0</v>
      </c>
      <c r="AF293">
        <f t="shared" si="34"/>
        <v>2</v>
      </c>
      <c r="AG293">
        <f t="shared" si="35"/>
        <v>1</v>
      </c>
      <c r="AH293">
        <f t="shared" si="36"/>
        <v>2</v>
      </c>
      <c r="AI293">
        <f t="shared" si="37"/>
        <v>2</v>
      </c>
      <c r="AJ293">
        <f t="shared" si="38"/>
        <v>130</v>
      </c>
      <c r="AK293" t="str">
        <f t="shared" si="39"/>
        <v>High</v>
      </c>
    </row>
    <row r="294" spans="1:37" x14ac:dyDescent="0.3">
      <c r="A294">
        <v>5</v>
      </c>
      <c r="B294">
        <v>2024</v>
      </c>
      <c r="C294">
        <v>1146</v>
      </c>
      <c r="D294">
        <v>96</v>
      </c>
      <c r="E294">
        <v>92</v>
      </c>
      <c r="F294">
        <v>6953.46</v>
      </c>
      <c r="G294">
        <v>8.0279000000000003E-2</v>
      </c>
      <c r="H294">
        <v>21</v>
      </c>
      <c r="I294">
        <v>40</v>
      </c>
      <c r="J294">
        <v>16</v>
      </c>
      <c r="K294">
        <v>11</v>
      </c>
      <c r="L294">
        <v>0</v>
      </c>
      <c r="M294">
        <v>1</v>
      </c>
      <c r="N294">
        <v>6</v>
      </c>
      <c r="O294">
        <v>2</v>
      </c>
      <c r="P294" t="s">
        <v>68</v>
      </c>
      <c r="Q294" t="str">
        <f>VLOOKUP(A294,Cleaned_Seller_Master!$A:$H,2,FALSE)</f>
        <v>True House 005</v>
      </c>
      <c r="R294" t="str">
        <f>VLOOKUP(A294,Cleaned_Seller_Master!$A:$H,4,FALSE)</f>
        <v>Fashion</v>
      </c>
      <c r="S294" t="str">
        <f>VLOOKUP(A294,Cleaned_Seller_Master!$A:$H,5,FALSE)</f>
        <v>West</v>
      </c>
      <c r="T294" t="str">
        <f>VLOOKUP(A294,Cleaned_Seller_Master!$A:$H,8,FALSE)</f>
        <v>Standard</v>
      </c>
      <c r="U294" t="str">
        <f>VLOOKUP(A294,Cleaned_Seller_Master!$A:$H,7,FALSE)</f>
        <v>12-06-2020</v>
      </c>
      <c r="V294">
        <f>IFERROR(INDEX(Violation_Summary_Seller_Year!$C:$C,MATCH(AD294,Violation_Summary_Seller_Year!$K:$K,0)),0)</f>
        <v>4</v>
      </c>
      <c r="W294">
        <f>IFERROR(INDEX(Violation_Summary_Seller_Year!$D:$D,MATCH(AD294,Violation_Summary_Seller_Year!$K:$K,0)),0)</f>
        <v>9883.9</v>
      </c>
      <c r="X294">
        <f>IFERROR(INDEX(Violation_Summary_Seller_Year!$E:$E,MATCH(AD294,Violation_Summary_Seller_Year!$K:$K,0)),0)</f>
        <v>0</v>
      </c>
      <c r="Y294">
        <f>IFERROR(INDEX(Violation_Summary_Seller_Year!$F:$F,MATCH(AD294,Violation_Summary_Seller_Year!$K:$K,0)),0)</f>
        <v>1</v>
      </c>
      <c r="Z294">
        <f>IFERROR(INDEX(Violation_Summary_Seller_Year!$G:$G,MATCH(AD294,Violation_Summary_Seller_Year!$K:$K,0)),0)</f>
        <v>3</v>
      </c>
      <c r="AA294">
        <f>IFERROR(INDEX(Violation_Summary_Seller_Year!$H:$H,MATCH(AD294,Violation_Summary_Seller_Year!$K:$K,0)),0)</f>
        <v>1</v>
      </c>
      <c r="AB294">
        <f>IFERROR(INDEX(Violation_Summary_Seller_Year!$I:$I,MATCH(AD294,Violation_Summary_Seller_Year!$K:$K,0)),0)</f>
        <v>2</v>
      </c>
      <c r="AC294">
        <f>IFERROR(INDEX(Violation_Summary_Seller_Year!$J:$J,MATCH(AD294,Violation_Summary_Seller_Year!$K:$K,0)),0)</f>
        <v>29</v>
      </c>
      <c r="AD294" t="str">
        <f t="shared" si="32"/>
        <v>5_2024</v>
      </c>
      <c r="AE294">
        <f t="shared" si="33"/>
        <v>1</v>
      </c>
      <c r="AF294">
        <f t="shared" si="34"/>
        <v>2</v>
      </c>
      <c r="AG294">
        <f t="shared" si="35"/>
        <v>1</v>
      </c>
      <c r="AH294">
        <f t="shared" si="36"/>
        <v>0</v>
      </c>
      <c r="AI294">
        <f t="shared" si="37"/>
        <v>1</v>
      </c>
      <c r="AJ294">
        <f t="shared" si="38"/>
        <v>105</v>
      </c>
      <c r="AK294" t="str">
        <f t="shared" si="39"/>
        <v>Medium</v>
      </c>
    </row>
    <row r="295" spans="1:37" x14ac:dyDescent="0.3">
      <c r="A295">
        <v>6</v>
      </c>
      <c r="B295">
        <v>2024</v>
      </c>
      <c r="C295">
        <v>142</v>
      </c>
      <c r="D295">
        <v>3</v>
      </c>
      <c r="E295">
        <v>3</v>
      </c>
      <c r="F295">
        <v>68.150000000000006</v>
      </c>
      <c r="G295">
        <v>2.1127E-2</v>
      </c>
      <c r="H295">
        <v>4</v>
      </c>
      <c r="I295">
        <v>5</v>
      </c>
      <c r="J295">
        <v>1</v>
      </c>
      <c r="K295">
        <v>3</v>
      </c>
      <c r="L295">
        <v>0</v>
      </c>
      <c r="M295">
        <v>0</v>
      </c>
      <c r="N295">
        <v>1</v>
      </c>
      <c r="O295">
        <v>0</v>
      </c>
      <c r="P295" t="s">
        <v>175</v>
      </c>
      <c r="Q295" t="str">
        <f>VLOOKUP(A295,Cleaned_Seller_Master!$A:$H,2,FALSE)</f>
        <v>Core Traders 006</v>
      </c>
      <c r="R295" t="str">
        <f>VLOOKUP(A295,Cleaned_Seller_Master!$A:$H,4,FALSE)</f>
        <v>Beauty</v>
      </c>
      <c r="S295" t="str">
        <f>VLOOKUP(A295,Cleaned_Seller_Master!$A:$H,5,FALSE)</f>
        <v>South</v>
      </c>
      <c r="T295" t="str">
        <f>VLOOKUP(A295,Cleaned_Seller_Master!$A:$H,8,FALSE)</f>
        <v>Premium</v>
      </c>
      <c r="U295" t="str">
        <f>VLOOKUP(A295,Cleaned_Seller_Master!$A:$H,7,FALSE)</f>
        <v>21-05-2023</v>
      </c>
      <c r="V295">
        <f>IFERROR(INDEX(Violation_Summary_Seller_Year!$C:$C,MATCH(AD295,Violation_Summary_Seller_Year!$K:$K,0)),0)</f>
        <v>3</v>
      </c>
      <c r="W295">
        <f>IFERROR(INDEX(Violation_Summary_Seller_Year!$D:$D,MATCH(AD295,Violation_Summary_Seller_Year!$K:$K,0)),0)</f>
        <v>2094.23</v>
      </c>
      <c r="X295">
        <f>IFERROR(INDEX(Violation_Summary_Seller_Year!$E:$E,MATCH(AD295,Violation_Summary_Seller_Year!$K:$K,0)),0)</f>
        <v>0</v>
      </c>
      <c r="Y295">
        <f>IFERROR(INDEX(Violation_Summary_Seller_Year!$F:$F,MATCH(AD295,Violation_Summary_Seller_Year!$K:$K,0)),0)</f>
        <v>2</v>
      </c>
      <c r="Z295">
        <f>IFERROR(INDEX(Violation_Summary_Seller_Year!$G:$G,MATCH(AD295,Violation_Summary_Seller_Year!$K:$K,0)),0)</f>
        <v>1</v>
      </c>
      <c r="AA295">
        <f>IFERROR(INDEX(Violation_Summary_Seller_Year!$H:$H,MATCH(AD295,Violation_Summary_Seller_Year!$K:$K,0)),0)</f>
        <v>0</v>
      </c>
      <c r="AB295">
        <f>IFERROR(INDEX(Violation_Summary_Seller_Year!$I:$I,MATCH(AD295,Violation_Summary_Seller_Year!$K:$K,0)),0)</f>
        <v>0</v>
      </c>
      <c r="AC295">
        <f>IFERROR(INDEX(Violation_Summary_Seller_Year!$J:$J,MATCH(AD295,Violation_Summary_Seller_Year!$K:$K,0)),0)</f>
        <v>11</v>
      </c>
      <c r="AD295" t="str">
        <f t="shared" si="32"/>
        <v>6_2024</v>
      </c>
      <c r="AE295">
        <f t="shared" si="33"/>
        <v>0</v>
      </c>
      <c r="AF295">
        <f t="shared" si="34"/>
        <v>1</v>
      </c>
      <c r="AG295">
        <f t="shared" si="35"/>
        <v>1</v>
      </c>
      <c r="AH295">
        <f t="shared" si="36"/>
        <v>0</v>
      </c>
      <c r="AI295">
        <f t="shared" si="37"/>
        <v>1</v>
      </c>
      <c r="AJ295">
        <f t="shared" si="38"/>
        <v>55</v>
      </c>
      <c r="AK295" t="str">
        <f t="shared" si="39"/>
        <v>Low</v>
      </c>
    </row>
    <row r="296" spans="1:37" x14ac:dyDescent="0.3">
      <c r="A296">
        <v>7</v>
      </c>
      <c r="B296">
        <v>2024</v>
      </c>
      <c r="C296">
        <v>979</v>
      </c>
      <c r="D296">
        <v>45</v>
      </c>
      <c r="E296">
        <v>35</v>
      </c>
      <c r="F296">
        <v>1568.86</v>
      </c>
      <c r="G296">
        <v>3.5750999999999998E-2</v>
      </c>
      <c r="H296">
        <v>9</v>
      </c>
      <c r="I296">
        <v>19</v>
      </c>
      <c r="J296">
        <v>6</v>
      </c>
      <c r="K296">
        <v>7</v>
      </c>
      <c r="L296">
        <v>0</v>
      </c>
      <c r="M296">
        <v>3</v>
      </c>
      <c r="N296">
        <v>3</v>
      </c>
      <c r="O296">
        <v>2</v>
      </c>
      <c r="P296" t="s">
        <v>175</v>
      </c>
      <c r="Q296" t="str">
        <f>VLOOKUP(A296,Cleaned_Seller_Master!$A:$H,2,FALSE)</f>
        <v>Urban Works 007</v>
      </c>
      <c r="R296" t="str">
        <f>VLOOKUP(A296,Cleaned_Seller_Master!$A:$H,4,FALSE)</f>
        <v>Fashion</v>
      </c>
      <c r="S296" t="str">
        <f>VLOOKUP(A296,Cleaned_Seller_Master!$A:$H,5,FALSE)</f>
        <v>West</v>
      </c>
      <c r="T296" t="str">
        <f>VLOOKUP(A296,Cleaned_Seller_Master!$A:$H,8,FALSE)</f>
        <v>Premium</v>
      </c>
      <c r="U296" t="str">
        <f>VLOOKUP(A296,Cleaned_Seller_Master!$A:$H,7,FALSE)</f>
        <v>19-04-2018</v>
      </c>
      <c r="V296">
        <f>IFERROR(INDEX(Violation_Summary_Seller_Year!$C:$C,MATCH(AD296,Violation_Summary_Seller_Year!$K:$K,0)),0)</f>
        <v>1</v>
      </c>
      <c r="W296">
        <f>IFERROR(INDEX(Violation_Summary_Seller_Year!$D:$D,MATCH(AD296,Violation_Summary_Seller_Year!$K:$K,0)),0)</f>
        <v>838.12</v>
      </c>
      <c r="X296">
        <f>IFERROR(INDEX(Violation_Summary_Seller_Year!$E:$E,MATCH(AD296,Violation_Summary_Seller_Year!$K:$K,0)),0)</f>
        <v>0</v>
      </c>
      <c r="Y296">
        <f>IFERROR(INDEX(Violation_Summary_Seller_Year!$F:$F,MATCH(AD296,Violation_Summary_Seller_Year!$K:$K,0)),0)</f>
        <v>1</v>
      </c>
      <c r="Z296">
        <f>IFERROR(INDEX(Violation_Summary_Seller_Year!$G:$G,MATCH(AD296,Violation_Summary_Seller_Year!$K:$K,0)),0)</f>
        <v>0</v>
      </c>
      <c r="AA296">
        <f>IFERROR(INDEX(Violation_Summary_Seller_Year!$H:$H,MATCH(AD296,Violation_Summary_Seller_Year!$K:$K,0)),0)</f>
        <v>0</v>
      </c>
      <c r="AB296">
        <f>IFERROR(INDEX(Violation_Summary_Seller_Year!$I:$I,MATCH(AD296,Violation_Summary_Seller_Year!$K:$K,0)),0)</f>
        <v>0</v>
      </c>
      <c r="AC296">
        <f>IFERROR(INDEX(Violation_Summary_Seller_Year!$J:$J,MATCH(AD296,Violation_Summary_Seller_Year!$K:$K,0)),0)</f>
        <v>1</v>
      </c>
      <c r="AD296" t="str">
        <f t="shared" si="32"/>
        <v>7_2024</v>
      </c>
      <c r="AE296">
        <f t="shared" si="33"/>
        <v>0</v>
      </c>
      <c r="AF296">
        <f t="shared" si="34"/>
        <v>2</v>
      </c>
      <c r="AG296">
        <f t="shared" si="35"/>
        <v>0</v>
      </c>
      <c r="AH296">
        <f t="shared" si="36"/>
        <v>0</v>
      </c>
      <c r="AI296">
        <f t="shared" si="37"/>
        <v>1</v>
      </c>
      <c r="AJ296">
        <f t="shared" si="38"/>
        <v>60</v>
      </c>
      <c r="AK296" t="str">
        <f t="shared" si="39"/>
        <v>Medium</v>
      </c>
    </row>
    <row r="297" spans="1:37" x14ac:dyDescent="0.3">
      <c r="A297">
        <v>8</v>
      </c>
      <c r="B297">
        <v>2024</v>
      </c>
      <c r="C297">
        <v>862</v>
      </c>
      <c r="D297">
        <v>80</v>
      </c>
      <c r="E297">
        <v>73</v>
      </c>
      <c r="F297">
        <v>5984.42</v>
      </c>
      <c r="G297">
        <v>8.4686999999999998E-2</v>
      </c>
      <c r="H297">
        <v>26</v>
      </c>
      <c r="I297">
        <v>29</v>
      </c>
      <c r="J297">
        <v>10</v>
      </c>
      <c r="K297">
        <v>11</v>
      </c>
      <c r="L297">
        <v>1</v>
      </c>
      <c r="M297">
        <v>5</v>
      </c>
      <c r="N297">
        <v>6</v>
      </c>
      <c r="O297">
        <v>2</v>
      </c>
      <c r="P297" t="s">
        <v>85</v>
      </c>
      <c r="Q297" t="str">
        <f>VLOOKUP(A297,Cleaned_Seller_Master!$A:$H,2,FALSE)</f>
        <v>Bright Nest 008</v>
      </c>
      <c r="R297" t="str">
        <f>VLOOKUP(A297,Cleaned_Seller_Master!$A:$H,4,FALSE)</f>
        <v>Fashion</v>
      </c>
      <c r="S297" t="str">
        <f>VLOOKUP(A297,Cleaned_Seller_Master!$A:$H,5,FALSE)</f>
        <v>South</v>
      </c>
      <c r="T297" t="str">
        <f>VLOOKUP(A297,Cleaned_Seller_Master!$A:$H,8,FALSE)</f>
        <v>Verified</v>
      </c>
      <c r="U297" t="str">
        <f>VLOOKUP(A297,Cleaned_Seller_Master!$A:$H,7,FALSE)</f>
        <v>19-12-2021</v>
      </c>
      <c r="V297">
        <f>IFERROR(INDEX(Violation_Summary_Seller_Year!$C:$C,MATCH(AD297,Violation_Summary_Seller_Year!$K:$K,0)),0)</f>
        <v>5</v>
      </c>
      <c r="W297">
        <f>IFERROR(INDEX(Violation_Summary_Seller_Year!$D:$D,MATCH(AD297,Violation_Summary_Seller_Year!$K:$K,0)),0)</f>
        <v>14535.04</v>
      </c>
      <c r="X297">
        <f>IFERROR(INDEX(Violation_Summary_Seller_Year!$E:$E,MATCH(AD297,Violation_Summary_Seller_Year!$K:$K,0)),0)</f>
        <v>2</v>
      </c>
      <c r="Y297">
        <f>IFERROR(INDEX(Violation_Summary_Seller_Year!$F:$F,MATCH(AD297,Violation_Summary_Seller_Year!$K:$K,0)),0)</f>
        <v>4</v>
      </c>
      <c r="Z297">
        <f>IFERROR(INDEX(Violation_Summary_Seller_Year!$G:$G,MATCH(AD297,Violation_Summary_Seller_Year!$K:$K,0)),0)</f>
        <v>1</v>
      </c>
      <c r="AA297">
        <f>IFERROR(INDEX(Violation_Summary_Seller_Year!$H:$H,MATCH(AD297,Violation_Summary_Seller_Year!$K:$K,0)),0)</f>
        <v>3</v>
      </c>
      <c r="AB297">
        <f>IFERROR(INDEX(Violation_Summary_Seller_Year!$I:$I,MATCH(AD297,Violation_Summary_Seller_Year!$K:$K,0)),0)</f>
        <v>1</v>
      </c>
      <c r="AC297">
        <f>IFERROR(INDEX(Violation_Summary_Seller_Year!$J:$J,MATCH(AD297,Violation_Summary_Seller_Year!$K:$K,0)),0)</f>
        <v>46</v>
      </c>
      <c r="AD297" t="str">
        <f t="shared" si="32"/>
        <v>8_2024</v>
      </c>
      <c r="AE297">
        <f t="shared" si="33"/>
        <v>1</v>
      </c>
      <c r="AF297">
        <f t="shared" si="34"/>
        <v>2</v>
      </c>
      <c r="AG297">
        <f t="shared" si="35"/>
        <v>2</v>
      </c>
      <c r="AH297">
        <f t="shared" si="36"/>
        <v>2</v>
      </c>
      <c r="AI297">
        <f t="shared" si="37"/>
        <v>2</v>
      </c>
      <c r="AJ297">
        <f t="shared" si="38"/>
        <v>175</v>
      </c>
      <c r="AK297" t="str">
        <f t="shared" si="39"/>
        <v>High</v>
      </c>
    </row>
    <row r="298" spans="1:37" x14ac:dyDescent="0.3">
      <c r="A298">
        <v>9</v>
      </c>
      <c r="B298">
        <v>2024</v>
      </c>
      <c r="C298">
        <v>891</v>
      </c>
      <c r="D298">
        <v>57</v>
      </c>
      <c r="E298">
        <v>54</v>
      </c>
      <c r="F298">
        <v>4553.0200000000004</v>
      </c>
      <c r="G298">
        <v>6.0606E-2</v>
      </c>
      <c r="H298">
        <v>14</v>
      </c>
      <c r="I298">
        <v>25</v>
      </c>
      <c r="J298">
        <v>10</v>
      </c>
      <c r="K298">
        <v>7</v>
      </c>
      <c r="L298">
        <v>0</v>
      </c>
      <c r="M298">
        <v>2</v>
      </c>
      <c r="N298">
        <v>2</v>
      </c>
      <c r="O298">
        <v>1</v>
      </c>
      <c r="P298" t="s">
        <v>175</v>
      </c>
      <c r="Q298" t="str">
        <f>VLOOKUP(A298,Cleaned_Seller_Master!$A:$H,2,FALSE)</f>
        <v>Golden Hub 009</v>
      </c>
      <c r="R298" t="str">
        <f>VLOOKUP(A298,Cleaned_Seller_Master!$A:$H,4,FALSE)</f>
        <v>Electronics</v>
      </c>
      <c r="S298" t="str">
        <f>VLOOKUP(A298,Cleaned_Seller_Master!$A:$H,5,FALSE)</f>
        <v>North</v>
      </c>
      <c r="T298" t="str">
        <f>VLOOKUP(A298,Cleaned_Seller_Master!$A:$H,8,FALSE)</f>
        <v>Strategic</v>
      </c>
      <c r="U298" t="str">
        <f>VLOOKUP(A298,Cleaned_Seller_Master!$A:$H,7,FALSE)</f>
        <v>14-11-2020</v>
      </c>
      <c r="V298">
        <f>IFERROR(INDEX(Violation_Summary_Seller_Year!$C:$C,MATCH(AD298,Violation_Summary_Seller_Year!$K:$K,0)),0)</f>
        <v>2</v>
      </c>
      <c r="W298">
        <f>IFERROR(INDEX(Violation_Summary_Seller_Year!$D:$D,MATCH(AD298,Violation_Summary_Seller_Year!$K:$K,0)),0)</f>
        <v>2341.4699999999998</v>
      </c>
      <c r="X298">
        <f>IFERROR(INDEX(Violation_Summary_Seller_Year!$E:$E,MATCH(AD298,Violation_Summary_Seller_Year!$K:$K,0)),0)</f>
        <v>0</v>
      </c>
      <c r="Y298">
        <f>IFERROR(INDEX(Violation_Summary_Seller_Year!$F:$F,MATCH(AD298,Violation_Summary_Seller_Year!$K:$K,0)),0)</f>
        <v>2</v>
      </c>
      <c r="Z298">
        <f>IFERROR(INDEX(Violation_Summary_Seller_Year!$G:$G,MATCH(AD298,Violation_Summary_Seller_Year!$K:$K,0)),0)</f>
        <v>0</v>
      </c>
      <c r="AA298">
        <f>IFERROR(INDEX(Violation_Summary_Seller_Year!$H:$H,MATCH(AD298,Violation_Summary_Seller_Year!$K:$K,0)),0)</f>
        <v>1</v>
      </c>
      <c r="AB298">
        <f>IFERROR(INDEX(Violation_Summary_Seller_Year!$I:$I,MATCH(AD298,Violation_Summary_Seller_Year!$K:$K,0)),0)</f>
        <v>0</v>
      </c>
      <c r="AC298">
        <f>IFERROR(INDEX(Violation_Summary_Seller_Year!$J:$J,MATCH(AD298,Violation_Summary_Seller_Year!$K:$K,0)),0)</f>
        <v>23</v>
      </c>
      <c r="AD298" t="str">
        <f t="shared" si="32"/>
        <v>9_2024</v>
      </c>
      <c r="AE298">
        <f t="shared" si="33"/>
        <v>1</v>
      </c>
      <c r="AF298">
        <f t="shared" si="34"/>
        <v>2</v>
      </c>
      <c r="AG298">
        <f t="shared" si="35"/>
        <v>1</v>
      </c>
      <c r="AH298">
        <f t="shared" si="36"/>
        <v>0</v>
      </c>
      <c r="AI298">
        <f t="shared" si="37"/>
        <v>1</v>
      </c>
      <c r="AJ298">
        <f t="shared" si="38"/>
        <v>105</v>
      </c>
      <c r="AK298" t="str">
        <f t="shared" si="39"/>
        <v>Medium</v>
      </c>
    </row>
    <row r="299" spans="1:37" x14ac:dyDescent="0.3">
      <c r="A299">
        <v>10</v>
      </c>
      <c r="B299">
        <v>2024</v>
      </c>
      <c r="C299">
        <v>483</v>
      </c>
      <c r="D299">
        <v>41</v>
      </c>
      <c r="E299">
        <v>31</v>
      </c>
      <c r="F299">
        <v>1964.53</v>
      </c>
      <c r="G299">
        <v>6.4182000000000003E-2</v>
      </c>
      <c r="H299">
        <v>20</v>
      </c>
      <c r="I299">
        <v>20</v>
      </c>
      <c r="J299">
        <v>9</v>
      </c>
      <c r="K299">
        <v>11</v>
      </c>
      <c r="L299">
        <v>1</v>
      </c>
      <c r="M299">
        <v>7</v>
      </c>
      <c r="N299">
        <v>6</v>
      </c>
      <c r="O299">
        <v>1</v>
      </c>
      <c r="P299" t="s">
        <v>85</v>
      </c>
      <c r="Q299" t="str">
        <f>VLOOKUP(A299,Cleaned_Seller_Master!$A:$H,2,FALSE)</f>
        <v>Ever Merchants 010</v>
      </c>
      <c r="R299" t="str">
        <f>VLOOKUP(A299,Cleaned_Seller_Master!$A:$H,4,FALSE)</f>
        <v>Electronics</v>
      </c>
      <c r="S299" t="str">
        <f>VLOOKUP(A299,Cleaned_Seller_Master!$A:$H,5,FALSE)</f>
        <v>North</v>
      </c>
      <c r="T299" t="str">
        <f>VLOOKUP(A299,Cleaned_Seller_Master!$A:$H,8,FALSE)</f>
        <v>Standard</v>
      </c>
      <c r="U299" t="str">
        <f>VLOOKUP(A299,Cleaned_Seller_Master!$A:$H,7,FALSE)</f>
        <v>11-11-2022</v>
      </c>
      <c r="V299">
        <f>IFERROR(INDEX(Violation_Summary_Seller_Year!$C:$C,MATCH(AD299,Violation_Summary_Seller_Year!$K:$K,0)),0)</f>
        <v>6</v>
      </c>
      <c r="W299">
        <f>IFERROR(INDEX(Violation_Summary_Seller_Year!$D:$D,MATCH(AD299,Violation_Summary_Seller_Year!$K:$K,0)),0)</f>
        <v>18139.02</v>
      </c>
      <c r="X299">
        <f>IFERROR(INDEX(Violation_Summary_Seller_Year!$E:$E,MATCH(AD299,Violation_Summary_Seller_Year!$K:$K,0)),0)</f>
        <v>5</v>
      </c>
      <c r="Y299">
        <f>IFERROR(INDEX(Violation_Summary_Seller_Year!$F:$F,MATCH(AD299,Violation_Summary_Seller_Year!$K:$K,0)),0)</f>
        <v>4</v>
      </c>
      <c r="Z299">
        <f>IFERROR(INDEX(Violation_Summary_Seller_Year!$G:$G,MATCH(AD299,Violation_Summary_Seller_Year!$K:$K,0)),0)</f>
        <v>2</v>
      </c>
      <c r="AA299">
        <f>IFERROR(INDEX(Violation_Summary_Seller_Year!$H:$H,MATCH(AD299,Violation_Summary_Seller_Year!$K:$K,0)),0)</f>
        <v>6</v>
      </c>
      <c r="AB299">
        <f>IFERROR(INDEX(Violation_Summary_Seller_Year!$I:$I,MATCH(AD299,Violation_Summary_Seller_Year!$K:$K,0)),0)</f>
        <v>4</v>
      </c>
      <c r="AC299">
        <f>IFERROR(INDEX(Violation_Summary_Seller_Year!$J:$J,MATCH(AD299,Violation_Summary_Seller_Year!$K:$K,0)),0)</f>
        <v>52</v>
      </c>
      <c r="AD299" t="str">
        <f t="shared" si="32"/>
        <v>10_2024</v>
      </c>
      <c r="AE299">
        <f t="shared" si="33"/>
        <v>1</v>
      </c>
      <c r="AF299">
        <f t="shared" si="34"/>
        <v>2</v>
      </c>
      <c r="AG299">
        <f t="shared" si="35"/>
        <v>2</v>
      </c>
      <c r="AH299">
        <f t="shared" si="36"/>
        <v>2</v>
      </c>
      <c r="AI299">
        <f t="shared" si="37"/>
        <v>2</v>
      </c>
      <c r="AJ299">
        <f t="shared" si="38"/>
        <v>175</v>
      </c>
      <c r="AK299" t="str">
        <f t="shared" si="39"/>
        <v>High</v>
      </c>
    </row>
    <row r="300" spans="1:37" x14ac:dyDescent="0.3">
      <c r="A300">
        <v>11</v>
      </c>
      <c r="B300">
        <v>2024</v>
      </c>
      <c r="C300">
        <v>1441</v>
      </c>
      <c r="D300">
        <v>92</v>
      </c>
      <c r="E300">
        <v>88</v>
      </c>
      <c r="F300">
        <v>5349.04</v>
      </c>
      <c r="G300">
        <v>6.1068999999999998E-2</v>
      </c>
      <c r="H300">
        <v>35</v>
      </c>
      <c r="I300">
        <v>40</v>
      </c>
      <c r="J300">
        <v>13</v>
      </c>
      <c r="K300">
        <v>15</v>
      </c>
      <c r="L300">
        <v>0</v>
      </c>
      <c r="M300">
        <v>4</v>
      </c>
      <c r="N300">
        <v>5</v>
      </c>
      <c r="O300">
        <v>5</v>
      </c>
      <c r="P300" t="s">
        <v>175</v>
      </c>
      <c r="Q300" t="str">
        <f>VLOOKUP(A300,Cleaned_Seller_Master!$A:$H,2,FALSE)</f>
        <v>Orbit Square 011</v>
      </c>
      <c r="R300" t="str">
        <f>VLOOKUP(A300,Cleaned_Seller_Master!$A:$H,4,FALSE)</f>
        <v>Groceries</v>
      </c>
      <c r="S300" t="str">
        <f>VLOOKUP(A300,Cleaned_Seller_Master!$A:$H,5,FALSE)</f>
        <v>South</v>
      </c>
      <c r="T300" t="str">
        <f>VLOOKUP(A300,Cleaned_Seller_Master!$A:$H,8,FALSE)</f>
        <v>Strategic</v>
      </c>
      <c r="U300" t="str">
        <f>VLOOKUP(A300,Cleaned_Seller_Master!$A:$H,7,FALSE)</f>
        <v>10-11-2018</v>
      </c>
      <c r="V300">
        <f>IFERROR(INDEX(Violation_Summary_Seller_Year!$C:$C,MATCH(AD300,Violation_Summary_Seller_Year!$K:$K,0)),0)</f>
        <v>2</v>
      </c>
      <c r="W300">
        <f>IFERROR(INDEX(Violation_Summary_Seller_Year!$D:$D,MATCH(AD300,Violation_Summary_Seller_Year!$K:$K,0)),0)</f>
        <v>3036.39</v>
      </c>
      <c r="X300">
        <f>IFERROR(INDEX(Violation_Summary_Seller_Year!$E:$E,MATCH(AD300,Violation_Summary_Seller_Year!$K:$K,0)),0)</f>
        <v>0</v>
      </c>
      <c r="Y300">
        <f>IFERROR(INDEX(Violation_Summary_Seller_Year!$F:$F,MATCH(AD300,Violation_Summary_Seller_Year!$K:$K,0)),0)</f>
        <v>2</v>
      </c>
      <c r="Z300">
        <f>IFERROR(INDEX(Violation_Summary_Seller_Year!$G:$G,MATCH(AD300,Violation_Summary_Seller_Year!$K:$K,0)),0)</f>
        <v>0</v>
      </c>
      <c r="AA300">
        <f>IFERROR(INDEX(Violation_Summary_Seller_Year!$H:$H,MATCH(AD300,Violation_Summary_Seller_Year!$K:$K,0)),0)</f>
        <v>1</v>
      </c>
      <c r="AB300">
        <f>IFERROR(INDEX(Violation_Summary_Seller_Year!$I:$I,MATCH(AD300,Violation_Summary_Seller_Year!$K:$K,0)),0)</f>
        <v>1</v>
      </c>
      <c r="AC300">
        <f>IFERROR(INDEX(Violation_Summary_Seller_Year!$J:$J,MATCH(AD300,Violation_Summary_Seller_Year!$K:$K,0)),0)</f>
        <v>11</v>
      </c>
      <c r="AD300" t="str">
        <f t="shared" si="32"/>
        <v>11_2024</v>
      </c>
      <c r="AE300">
        <f t="shared" si="33"/>
        <v>1</v>
      </c>
      <c r="AF300">
        <f t="shared" si="34"/>
        <v>2</v>
      </c>
      <c r="AG300">
        <f t="shared" si="35"/>
        <v>1</v>
      </c>
      <c r="AH300">
        <f t="shared" si="36"/>
        <v>0</v>
      </c>
      <c r="AI300">
        <f t="shared" si="37"/>
        <v>1</v>
      </c>
      <c r="AJ300">
        <f t="shared" si="38"/>
        <v>105</v>
      </c>
      <c r="AK300" t="str">
        <f t="shared" si="39"/>
        <v>Medium</v>
      </c>
    </row>
    <row r="301" spans="1:37" x14ac:dyDescent="0.3">
      <c r="A301">
        <v>13</v>
      </c>
      <c r="B301">
        <v>2024</v>
      </c>
      <c r="C301">
        <v>676</v>
      </c>
      <c r="D301">
        <v>71</v>
      </c>
      <c r="E301">
        <v>67</v>
      </c>
      <c r="F301">
        <v>5673.45</v>
      </c>
      <c r="G301">
        <v>9.9112000000000006E-2</v>
      </c>
      <c r="H301">
        <v>39</v>
      </c>
      <c r="I301">
        <v>39</v>
      </c>
      <c r="J301">
        <v>9</v>
      </c>
      <c r="K301">
        <v>21</v>
      </c>
      <c r="L301">
        <v>1</v>
      </c>
      <c r="M301">
        <v>6</v>
      </c>
      <c r="N301">
        <v>11</v>
      </c>
      <c r="O301">
        <v>4</v>
      </c>
      <c r="P301" t="s">
        <v>85</v>
      </c>
      <c r="Q301" t="str">
        <f>VLOOKUP(A301,Cleaned_Seller_Master!$A:$H,2,FALSE)</f>
        <v>Summit Bazaar 013</v>
      </c>
      <c r="R301" t="str">
        <f>VLOOKUP(A301,Cleaned_Seller_Master!$A:$H,4,FALSE)</f>
        <v>Groceries</v>
      </c>
      <c r="S301" t="str">
        <f>VLOOKUP(A301,Cleaned_Seller_Master!$A:$H,5,FALSE)</f>
        <v>North</v>
      </c>
      <c r="T301" t="str">
        <f>VLOOKUP(A301,Cleaned_Seller_Master!$A:$H,8,FALSE)</f>
        <v>Premium</v>
      </c>
      <c r="U301" t="str">
        <f>VLOOKUP(A301,Cleaned_Seller_Master!$A:$H,7,FALSE)</f>
        <v>25-02-2025</v>
      </c>
      <c r="V301">
        <f>IFERROR(INDEX(Violation_Summary_Seller_Year!$C:$C,MATCH(AD301,Violation_Summary_Seller_Year!$K:$K,0)),0)</f>
        <v>6</v>
      </c>
      <c r="W301">
        <f>IFERROR(INDEX(Violation_Summary_Seller_Year!$D:$D,MATCH(AD301,Violation_Summary_Seller_Year!$K:$K,0)),0)</f>
        <v>17789.759999999998</v>
      </c>
      <c r="X301">
        <f>IFERROR(INDEX(Violation_Summary_Seller_Year!$E:$E,MATCH(AD301,Violation_Summary_Seller_Year!$K:$K,0)),0)</f>
        <v>2</v>
      </c>
      <c r="Y301">
        <f>IFERROR(INDEX(Violation_Summary_Seller_Year!$F:$F,MATCH(AD301,Violation_Summary_Seller_Year!$K:$K,0)),0)</f>
        <v>2</v>
      </c>
      <c r="Z301">
        <f>IFERROR(INDEX(Violation_Summary_Seller_Year!$G:$G,MATCH(AD301,Violation_Summary_Seller_Year!$K:$K,0)),0)</f>
        <v>4</v>
      </c>
      <c r="AA301">
        <f>IFERROR(INDEX(Violation_Summary_Seller_Year!$H:$H,MATCH(AD301,Violation_Summary_Seller_Year!$K:$K,0)),0)</f>
        <v>5</v>
      </c>
      <c r="AB301">
        <f>IFERROR(INDEX(Violation_Summary_Seller_Year!$I:$I,MATCH(AD301,Violation_Summary_Seller_Year!$K:$K,0)),0)</f>
        <v>0</v>
      </c>
      <c r="AC301">
        <f>IFERROR(INDEX(Violation_Summary_Seller_Year!$J:$J,MATCH(AD301,Violation_Summary_Seller_Year!$K:$K,0)),0)</f>
        <v>94</v>
      </c>
      <c r="AD301" t="str">
        <f t="shared" si="32"/>
        <v>13_2024</v>
      </c>
      <c r="AE301">
        <f t="shared" si="33"/>
        <v>1</v>
      </c>
      <c r="AF301">
        <f t="shared" si="34"/>
        <v>2</v>
      </c>
      <c r="AG301">
        <f t="shared" si="35"/>
        <v>2</v>
      </c>
      <c r="AH301">
        <f t="shared" si="36"/>
        <v>2</v>
      </c>
      <c r="AI301">
        <f t="shared" si="37"/>
        <v>2</v>
      </c>
      <c r="AJ301">
        <f t="shared" si="38"/>
        <v>175</v>
      </c>
      <c r="AK301" t="str">
        <f t="shared" si="39"/>
        <v>High</v>
      </c>
    </row>
    <row r="302" spans="1:37" x14ac:dyDescent="0.3">
      <c r="A302">
        <v>14</v>
      </c>
      <c r="B302">
        <v>2024</v>
      </c>
      <c r="C302">
        <v>421</v>
      </c>
      <c r="D302">
        <v>19</v>
      </c>
      <c r="E302">
        <v>15</v>
      </c>
      <c r="F302">
        <v>1390.97</v>
      </c>
      <c r="G302">
        <v>3.5629000000000001E-2</v>
      </c>
      <c r="H302">
        <v>8</v>
      </c>
      <c r="I302">
        <v>14</v>
      </c>
      <c r="J302">
        <v>2</v>
      </c>
      <c r="K302">
        <v>6</v>
      </c>
      <c r="L302">
        <v>0</v>
      </c>
      <c r="M302">
        <v>2</v>
      </c>
      <c r="N302">
        <v>2</v>
      </c>
      <c r="O302">
        <v>1</v>
      </c>
      <c r="P302" t="s">
        <v>175</v>
      </c>
      <c r="Q302" t="str">
        <f>VLOOKUP(A302,Cleaned_Seller_Master!$A:$H,2,FALSE)</f>
        <v>Prime Bridge 014</v>
      </c>
      <c r="R302" t="str">
        <f>VLOOKUP(A302,Cleaned_Seller_Master!$A:$H,4,FALSE)</f>
        <v>Groceries</v>
      </c>
      <c r="S302" t="str">
        <f>VLOOKUP(A302,Cleaned_Seller_Master!$A:$H,5,FALSE)</f>
        <v>West</v>
      </c>
      <c r="T302" t="str">
        <f>VLOOKUP(A302,Cleaned_Seller_Master!$A:$H,8,FALSE)</f>
        <v>Strategic</v>
      </c>
      <c r="U302" t="str">
        <f>VLOOKUP(A302,Cleaned_Seller_Master!$A:$H,7,FALSE)</f>
        <v>10-12-2020</v>
      </c>
      <c r="V302">
        <f>IFERROR(INDEX(Violation_Summary_Seller_Year!$C:$C,MATCH(AD302,Violation_Summary_Seller_Year!$K:$K,0)),0)</f>
        <v>1</v>
      </c>
      <c r="W302">
        <f>IFERROR(INDEX(Violation_Summary_Seller_Year!$D:$D,MATCH(AD302,Violation_Summary_Seller_Year!$K:$K,0)),0)</f>
        <v>1449.09</v>
      </c>
      <c r="X302">
        <f>IFERROR(INDEX(Violation_Summary_Seller_Year!$E:$E,MATCH(AD302,Violation_Summary_Seller_Year!$K:$K,0)),0)</f>
        <v>0</v>
      </c>
      <c r="Y302">
        <f>IFERROR(INDEX(Violation_Summary_Seller_Year!$F:$F,MATCH(AD302,Violation_Summary_Seller_Year!$K:$K,0)),0)</f>
        <v>0</v>
      </c>
      <c r="Z302">
        <f>IFERROR(INDEX(Violation_Summary_Seller_Year!$G:$G,MATCH(AD302,Violation_Summary_Seller_Year!$K:$K,0)),0)</f>
        <v>1</v>
      </c>
      <c r="AA302">
        <f>IFERROR(INDEX(Violation_Summary_Seller_Year!$H:$H,MATCH(AD302,Violation_Summary_Seller_Year!$K:$K,0)),0)</f>
        <v>0</v>
      </c>
      <c r="AB302">
        <f>IFERROR(INDEX(Violation_Summary_Seller_Year!$I:$I,MATCH(AD302,Violation_Summary_Seller_Year!$K:$K,0)),0)</f>
        <v>1</v>
      </c>
      <c r="AC302">
        <f>IFERROR(INDEX(Violation_Summary_Seller_Year!$J:$J,MATCH(AD302,Violation_Summary_Seller_Year!$K:$K,0)),0)</f>
        <v>5</v>
      </c>
      <c r="AD302" t="str">
        <f t="shared" si="32"/>
        <v>14_2024</v>
      </c>
      <c r="AE302">
        <f t="shared" si="33"/>
        <v>0</v>
      </c>
      <c r="AF302">
        <f t="shared" si="34"/>
        <v>2</v>
      </c>
      <c r="AG302">
        <f t="shared" si="35"/>
        <v>0</v>
      </c>
      <c r="AH302">
        <f t="shared" si="36"/>
        <v>0</v>
      </c>
      <c r="AI302">
        <f t="shared" si="37"/>
        <v>1</v>
      </c>
      <c r="AJ302">
        <f t="shared" si="38"/>
        <v>60</v>
      </c>
      <c r="AK302" t="str">
        <f t="shared" si="39"/>
        <v>Medium</v>
      </c>
    </row>
    <row r="303" spans="1:37" x14ac:dyDescent="0.3">
      <c r="A303">
        <v>15</v>
      </c>
      <c r="B303">
        <v>2024</v>
      </c>
      <c r="C303">
        <v>1910</v>
      </c>
      <c r="D303">
        <v>194</v>
      </c>
      <c r="E303">
        <v>146</v>
      </c>
      <c r="F303">
        <v>9294.44</v>
      </c>
      <c r="G303">
        <v>7.6439999999999994E-2</v>
      </c>
      <c r="H303">
        <v>31</v>
      </c>
      <c r="I303">
        <v>55</v>
      </c>
      <c r="J303">
        <v>20</v>
      </c>
      <c r="K303">
        <v>15</v>
      </c>
      <c r="L303">
        <v>1</v>
      </c>
      <c r="M303">
        <v>4</v>
      </c>
      <c r="N303">
        <v>7</v>
      </c>
      <c r="O303">
        <v>6</v>
      </c>
      <c r="P303" t="s">
        <v>85</v>
      </c>
      <c r="Q303" t="str">
        <f>VLOOKUP(A303,Cleaned_Seller_Master!$A:$H,2,FALSE)</f>
        <v>Apex Retail 015</v>
      </c>
      <c r="R303" t="str">
        <f>VLOOKUP(A303,Cleaned_Seller_Master!$A:$H,4,FALSE)</f>
        <v>Electronics</v>
      </c>
      <c r="S303" t="str">
        <f>VLOOKUP(A303,Cleaned_Seller_Master!$A:$H,5,FALSE)</f>
        <v>East</v>
      </c>
      <c r="T303" t="str">
        <f>VLOOKUP(A303,Cleaned_Seller_Master!$A:$H,8,FALSE)</f>
        <v>Premium</v>
      </c>
      <c r="U303" t="str">
        <f>VLOOKUP(A303,Cleaned_Seller_Master!$A:$H,7,FALSE)</f>
        <v>08-10-2021</v>
      </c>
      <c r="V303">
        <f>IFERROR(INDEX(Violation_Summary_Seller_Year!$C:$C,MATCH(AD303,Violation_Summary_Seller_Year!$K:$K,0)),0)</f>
        <v>5</v>
      </c>
      <c r="W303">
        <f>IFERROR(INDEX(Violation_Summary_Seller_Year!$D:$D,MATCH(AD303,Violation_Summary_Seller_Year!$K:$K,0)),0)</f>
        <v>15609.21</v>
      </c>
      <c r="X303">
        <f>IFERROR(INDEX(Violation_Summary_Seller_Year!$E:$E,MATCH(AD303,Violation_Summary_Seller_Year!$K:$K,0)),0)</f>
        <v>1</v>
      </c>
      <c r="Y303">
        <f>IFERROR(INDEX(Violation_Summary_Seller_Year!$F:$F,MATCH(AD303,Violation_Summary_Seller_Year!$K:$K,0)),0)</f>
        <v>0</v>
      </c>
      <c r="Z303">
        <f>IFERROR(INDEX(Violation_Summary_Seller_Year!$G:$G,MATCH(AD303,Violation_Summary_Seller_Year!$K:$K,0)),0)</f>
        <v>5</v>
      </c>
      <c r="AA303">
        <f>IFERROR(INDEX(Violation_Summary_Seller_Year!$H:$H,MATCH(AD303,Violation_Summary_Seller_Year!$K:$K,0)),0)</f>
        <v>3</v>
      </c>
      <c r="AB303">
        <f>IFERROR(INDEX(Violation_Summary_Seller_Year!$I:$I,MATCH(AD303,Violation_Summary_Seller_Year!$K:$K,0)),0)</f>
        <v>2</v>
      </c>
      <c r="AC303">
        <f>IFERROR(INDEX(Violation_Summary_Seller_Year!$J:$J,MATCH(AD303,Violation_Summary_Seller_Year!$K:$K,0)),0)</f>
        <v>47</v>
      </c>
      <c r="AD303" t="str">
        <f t="shared" si="32"/>
        <v>15_2024</v>
      </c>
      <c r="AE303">
        <f t="shared" si="33"/>
        <v>1</v>
      </c>
      <c r="AF303">
        <f t="shared" si="34"/>
        <v>2</v>
      </c>
      <c r="AG303">
        <f t="shared" si="35"/>
        <v>2</v>
      </c>
      <c r="AH303">
        <f t="shared" si="36"/>
        <v>2</v>
      </c>
      <c r="AI303">
        <f t="shared" si="37"/>
        <v>2</v>
      </c>
      <c r="AJ303">
        <f t="shared" si="38"/>
        <v>175</v>
      </c>
      <c r="AK303" t="str">
        <f t="shared" si="39"/>
        <v>High</v>
      </c>
    </row>
    <row r="304" spans="1:37" x14ac:dyDescent="0.3">
      <c r="A304">
        <v>16</v>
      </c>
      <c r="B304">
        <v>2024</v>
      </c>
      <c r="C304">
        <v>1014</v>
      </c>
      <c r="D304">
        <v>98</v>
      </c>
      <c r="E304">
        <v>81</v>
      </c>
      <c r="F304">
        <v>7626.47</v>
      </c>
      <c r="G304">
        <v>7.9881999999999995E-2</v>
      </c>
      <c r="H304">
        <v>23</v>
      </c>
      <c r="I304">
        <v>33</v>
      </c>
      <c r="J304">
        <v>18</v>
      </c>
      <c r="K304">
        <v>8</v>
      </c>
      <c r="L304">
        <v>0</v>
      </c>
      <c r="M304">
        <v>2</v>
      </c>
      <c r="N304">
        <v>5</v>
      </c>
      <c r="O304">
        <v>2</v>
      </c>
      <c r="P304" t="s">
        <v>85</v>
      </c>
      <c r="Q304" t="str">
        <f>VLOOKUP(A304,Cleaned_Seller_Master!$A:$H,2,FALSE)</f>
        <v>Nimbus Market 016</v>
      </c>
      <c r="R304" t="str">
        <f>VLOOKUP(A304,Cleaned_Seller_Master!$A:$H,4,FALSE)</f>
        <v>Groceries</v>
      </c>
      <c r="S304" t="str">
        <f>VLOOKUP(A304,Cleaned_Seller_Master!$A:$H,5,FALSE)</f>
        <v>South</v>
      </c>
      <c r="T304" t="str">
        <f>VLOOKUP(A304,Cleaned_Seller_Master!$A:$H,8,FALSE)</f>
        <v>Standard</v>
      </c>
      <c r="U304" t="str">
        <f>VLOOKUP(A304,Cleaned_Seller_Master!$A:$H,7,FALSE)</f>
        <v>18-04-2025</v>
      </c>
      <c r="V304">
        <f>IFERROR(INDEX(Violation_Summary_Seller_Year!$C:$C,MATCH(AD304,Violation_Summary_Seller_Year!$K:$K,0)),0)</f>
        <v>3</v>
      </c>
      <c r="W304">
        <f>IFERROR(INDEX(Violation_Summary_Seller_Year!$D:$D,MATCH(AD304,Violation_Summary_Seller_Year!$K:$K,0)),0)</f>
        <v>10733.58</v>
      </c>
      <c r="X304">
        <f>IFERROR(INDEX(Violation_Summary_Seller_Year!$E:$E,MATCH(AD304,Violation_Summary_Seller_Year!$K:$K,0)),0)</f>
        <v>0</v>
      </c>
      <c r="Y304">
        <f>IFERROR(INDEX(Violation_Summary_Seller_Year!$F:$F,MATCH(AD304,Violation_Summary_Seller_Year!$K:$K,0)),0)</f>
        <v>2</v>
      </c>
      <c r="Z304">
        <f>IFERROR(INDEX(Violation_Summary_Seller_Year!$G:$G,MATCH(AD304,Violation_Summary_Seller_Year!$K:$K,0)),0)</f>
        <v>1</v>
      </c>
      <c r="AA304">
        <f>IFERROR(INDEX(Violation_Summary_Seller_Year!$H:$H,MATCH(AD304,Violation_Summary_Seller_Year!$K:$K,0)),0)</f>
        <v>3</v>
      </c>
      <c r="AB304">
        <f>IFERROR(INDEX(Violation_Summary_Seller_Year!$I:$I,MATCH(AD304,Violation_Summary_Seller_Year!$K:$K,0)),0)</f>
        <v>1</v>
      </c>
      <c r="AC304">
        <f>IFERROR(INDEX(Violation_Summary_Seller_Year!$J:$J,MATCH(AD304,Violation_Summary_Seller_Year!$K:$K,0)),0)</f>
        <v>33</v>
      </c>
      <c r="AD304" t="str">
        <f t="shared" si="32"/>
        <v>16_2024</v>
      </c>
      <c r="AE304">
        <f t="shared" si="33"/>
        <v>1</v>
      </c>
      <c r="AF304">
        <f t="shared" si="34"/>
        <v>2</v>
      </c>
      <c r="AG304">
        <f t="shared" si="35"/>
        <v>2</v>
      </c>
      <c r="AH304">
        <f t="shared" si="36"/>
        <v>0</v>
      </c>
      <c r="AI304">
        <f t="shared" si="37"/>
        <v>2</v>
      </c>
      <c r="AJ304">
        <f t="shared" si="38"/>
        <v>135</v>
      </c>
      <c r="AK304" t="str">
        <f t="shared" si="39"/>
        <v>High</v>
      </c>
    </row>
    <row r="305" spans="1:37" x14ac:dyDescent="0.3">
      <c r="A305">
        <v>17</v>
      </c>
      <c r="B305">
        <v>2024</v>
      </c>
      <c r="C305">
        <v>1152</v>
      </c>
      <c r="D305">
        <v>105</v>
      </c>
      <c r="E305">
        <v>83</v>
      </c>
      <c r="F305">
        <v>4842.93</v>
      </c>
      <c r="G305">
        <v>7.2049000000000002E-2</v>
      </c>
      <c r="H305">
        <v>24</v>
      </c>
      <c r="I305">
        <v>32</v>
      </c>
      <c r="J305">
        <v>14</v>
      </c>
      <c r="K305">
        <v>12</v>
      </c>
      <c r="L305">
        <v>0</v>
      </c>
      <c r="M305">
        <v>3</v>
      </c>
      <c r="N305">
        <v>6</v>
      </c>
      <c r="O305">
        <v>3</v>
      </c>
      <c r="P305" t="s">
        <v>68</v>
      </c>
      <c r="Q305" t="str">
        <f>VLOOKUP(A305,Cleaned_Seller_Master!$A:$H,2,FALSE)</f>
        <v>Metro Point 017</v>
      </c>
      <c r="R305" t="str">
        <f>VLOOKUP(A305,Cleaned_Seller_Master!$A:$H,4,FALSE)</f>
        <v>Beauty</v>
      </c>
      <c r="S305" t="str">
        <f>VLOOKUP(A305,Cleaned_Seller_Master!$A:$H,5,FALSE)</f>
        <v>North</v>
      </c>
      <c r="T305" t="str">
        <f>VLOOKUP(A305,Cleaned_Seller_Master!$A:$H,8,FALSE)</f>
        <v>Premium</v>
      </c>
      <c r="U305" t="str">
        <f>VLOOKUP(A305,Cleaned_Seller_Master!$A:$H,7,FALSE)</f>
        <v>14-06-2023</v>
      </c>
      <c r="V305">
        <f>IFERROR(INDEX(Violation_Summary_Seller_Year!$C:$C,MATCH(AD305,Violation_Summary_Seller_Year!$K:$K,0)),0)</f>
        <v>4</v>
      </c>
      <c r="W305">
        <f>IFERROR(INDEX(Violation_Summary_Seller_Year!$D:$D,MATCH(AD305,Violation_Summary_Seller_Year!$K:$K,0)),0)</f>
        <v>7977.3900000000012</v>
      </c>
      <c r="X305">
        <f>IFERROR(INDEX(Violation_Summary_Seller_Year!$E:$E,MATCH(AD305,Violation_Summary_Seller_Year!$K:$K,0)),0)</f>
        <v>0</v>
      </c>
      <c r="Y305">
        <f>IFERROR(INDEX(Violation_Summary_Seller_Year!$F:$F,MATCH(AD305,Violation_Summary_Seller_Year!$K:$K,0)),0)</f>
        <v>3</v>
      </c>
      <c r="Z305">
        <f>IFERROR(INDEX(Violation_Summary_Seller_Year!$G:$G,MATCH(AD305,Violation_Summary_Seller_Year!$K:$K,0)),0)</f>
        <v>1</v>
      </c>
      <c r="AA305">
        <f>IFERROR(INDEX(Violation_Summary_Seller_Year!$H:$H,MATCH(AD305,Violation_Summary_Seller_Year!$K:$K,0)),0)</f>
        <v>2</v>
      </c>
      <c r="AB305">
        <f>IFERROR(INDEX(Violation_Summary_Seller_Year!$I:$I,MATCH(AD305,Violation_Summary_Seller_Year!$K:$K,0)),0)</f>
        <v>2</v>
      </c>
      <c r="AC305">
        <f>IFERROR(INDEX(Violation_Summary_Seller_Year!$J:$J,MATCH(AD305,Violation_Summary_Seller_Year!$K:$K,0)),0)</f>
        <v>29</v>
      </c>
      <c r="AD305" t="str">
        <f t="shared" si="32"/>
        <v>17_2024</v>
      </c>
      <c r="AE305">
        <f t="shared" si="33"/>
        <v>1</v>
      </c>
      <c r="AF305">
        <f t="shared" si="34"/>
        <v>2</v>
      </c>
      <c r="AG305">
        <f t="shared" si="35"/>
        <v>2</v>
      </c>
      <c r="AH305">
        <f t="shared" si="36"/>
        <v>0</v>
      </c>
      <c r="AI305">
        <f t="shared" si="37"/>
        <v>1</v>
      </c>
      <c r="AJ305">
        <f t="shared" si="38"/>
        <v>125</v>
      </c>
      <c r="AK305" t="str">
        <f t="shared" si="39"/>
        <v>High</v>
      </c>
    </row>
    <row r="306" spans="1:37" x14ac:dyDescent="0.3">
      <c r="A306">
        <v>18</v>
      </c>
      <c r="B306">
        <v>2024</v>
      </c>
      <c r="C306">
        <v>827</v>
      </c>
      <c r="D306">
        <v>38</v>
      </c>
      <c r="E306">
        <v>33</v>
      </c>
      <c r="F306">
        <v>3090.15</v>
      </c>
      <c r="G306">
        <v>3.9903000000000001E-2</v>
      </c>
      <c r="H306">
        <v>10</v>
      </c>
      <c r="I306">
        <v>19</v>
      </c>
      <c r="J306">
        <v>5</v>
      </c>
      <c r="K306">
        <v>9</v>
      </c>
      <c r="L306">
        <v>0</v>
      </c>
      <c r="M306">
        <v>3</v>
      </c>
      <c r="N306">
        <v>4</v>
      </c>
      <c r="O306">
        <v>2</v>
      </c>
      <c r="P306" t="s">
        <v>175</v>
      </c>
      <c r="Q306" t="str">
        <f>VLOOKUP(A306,Cleaned_Seller_Master!$A:$H,2,FALSE)</f>
        <v>Luna Stores 018</v>
      </c>
      <c r="R306" t="str">
        <f>VLOOKUP(A306,Cleaned_Seller_Master!$A:$H,4,FALSE)</f>
        <v>Fashion</v>
      </c>
      <c r="S306" t="str">
        <f>VLOOKUP(A306,Cleaned_Seller_Master!$A:$H,5,FALSE)</f>
        <v>North</v>
      </c>
      <c r="T306" t="str">
        <f>VLOOKUP(A306,Cleaned_Seller_Master!$A:$H,8,FALSE)</f>
        <v>Premium</v>
      </c>
      <c r="U306" t="str">
        <f>VLOOKUP(A306,Cleaned_Seller_Master!$A:$H,7,FALSE)</f>
        <v>18-04-2020</v>
      </c>
      <c r="V306">
        <f>IFERROR(INDEX(Violation_Summary_Seller_Year!$C:$C,MATCH(AD306,Violation_Summary_Seller_Year!$K:$K,0)),0)</f>
        <v>3</v>
      </c>
      <c r="W306">
        <f>IFERROR(INDEX(Violation_Summary_Seller_Year!$D:$D,MATCH(AD306,Violation_Summary_Seller_Year!$K:$K,0)),0)</f>
        <v>2324.5500000000002</v>
      </c>
      <c r="X306">
        <f>IFERROR(INDEX(Violation_Summary_Seller_Year!$E:$E,MATCH(AD306,Violation_Summary_Seller_Year!$K:$K,0)),0)</f>
        <v>0</v>
      </c>
      <c r="Y306">
        <f>IFERROR(INDEX(Violation_Summary_Seller_Year!$F:$F,MATCH(AD306,Violation_Summary_Seller_Year!$K:$K,0)),0)</f>
        <v>2</v>
      </c>
      <c r="Z306">
        <f>IFERROR(INDEX(Violation_Summary_Seller_Year!$G:$G,MATCH(AD306,Violation_Summary_Seller_Year!$K:$K,0)),0)</f>
        <v>1</v>
      </c>
      <c r="AA306">
        <f>IFERROR(INDEX(Violation_Summary_Seller_Year!$H:$H,MATCH(AD306,Violation_Summary_Seller_Year!$K:$K,0)),0)</f>
        <v>1</v>
      </c>
      <c r="AB306">
        <f>IFERROR(INDEX(Violation_Summary_Seller_Year!$I:$I,MATCH(AD306,Violation_Summary_Seller_Year!$K:$K,0)),0)</f>
        <v>1</v>
      </c>
      <c r="AC306">
        <f>IFERROR(INDEX(Violation_Summary_Seller_Year!$J:$J,MATCH(AD306,Violation_Summary_Seller_Year!$K:$K,0)),0)</f>
        <v>24</v>
      </c>
      <c r="AD306" t="str">
        <f t="shared" si="32"/>
        <v>18_2024</v>
      </c>
      <c r="AE306">
        <f t="shared" si="33"/>
        <v>0</v>
      </c>
      <c r="AF306">
        <f t="shared" si="34"/>
        <v>2</v>
      </c>
      <c r="AG306">
        <f t="shared" si="35"/>
        <v>1</v>
      </c>
      <c r="AH306">
        <f t="shared" si="36"/>
        <v>0</v>
      </c>
      <c r="AI306">
        <f t="shared" si="37"/>
        <v>1</v>
      </c>
      <c r="AJ306">
        <f t="shared" si="38"/>
        <v>80</v>
      </c>
      <c r="AK306" t="str">
        <f t="shared" si="39"/>
        <v>Medium</v>
      </c>
    </row>
    <row r="307" spans="1:37" x14ac:dyDescent="0.3">
      <c r="A307">
        <v>19</v>
      </c>
      <c r="B307">
        <v>2024</v>
      </c>
      <c r="C307">
        <v>2185</v>
      </c>
      <c r="D307">
        <v>248</v>
      </c>
      <c r="E307">
        <v>188</v>
      </c>
      <c r="F307">
        <v>14317.93</v>
      </c>
      <c r="G307">
        <v>8.6041000000000006E-2</v>
      </c>
      <c r="H307">
        <v>52</v>
      </c>
      <c r="I307">
        <v>80</v>
      </c>
      <c r="J307">
        <v>20</v>
      </c>
      <c r="K307">
        <v>15</v>
      </c>
      <c r="L307">
        <v>1</v>
      </c>
      <c r="M307">
        <v>5</v>
      </c>
      <c r="N307">
        <v>10</v>
      </c>
      <c r="O307">
        <v>7</v>
      </c>
      <c r="P307" t="s">
        <v>85</v>
      </c>
      <c r="Q307" t="str">
        <f>VLOOKUP(A307,Cleaned_Seller_Master!$A:$H,2,FALSE)</f>
        <v>Elite Link 019</v>
      </c>
      <c r="R307" t="str">
        <f>VLOOKUP(A307,Cleaned_Seller_Master!$A:$H,4,FALSE)</f>
        <v>Groceries</v>
      </c>
      <c r="S307" t="str">
        <f>VLOOKUP(A307,Cleaned_Seller_Master!$A:$H,5,FALSE)</f>
        <v>North</v>
      </c>
      <c r="T307" t="str">
        <f>VLOOKUP(A307,Cleaned_Seller_Master!$A:$H,8,FALSE)</f>
        <v>Standard</v>
      </c>
      <c r="U307" t="str">
        <f>VLOOKUP(A307,Cleaned_Seller_Master!$A:$H,7,FALSE)</f>
        <v>25-02-2018</v>
      </c>
      <c r="V307">
        <f>IFERROR(INDEX(Violation_Summary_Seller_Year!$C:$C,MATCH(AD307,Violation_Summary_Seller_Year!$K:$K,0)),0)</f>
        <v>6</v>
      </c>
      <c r="W307">
        <f>IFERROR(INDEX(Violation_Summary_Seller_Year!$D:$D,MATCH(AD307,Violation_Summary_Seller_Year!$K:$K,0)),0)</f>
        <v>14407.199999999999</v>
      </c>
      <c r="X307">
        <f>IFERROR(INDEX(Violation_Summary_Seller_Year!$E:$E,MATCH(AD307,Violation_Summary_Seller_Year!$K:$K,0)),0)</f>
        <v>1</v>
      </c>
      <c r="Y307">
        <f>IFERROR(INDEX(Violation_Summary_Seller_Year!$F:$F,MATCH(AD307,Violation_Summary_Seller_Year!$K:$K,0)),0)</f>
        <v>2</v>
      </c>
      <c r="Z307">
        <f>IFERROR(INDEX(Violation_Summary_Seller_Year!$G:$G,MATCH(AD307,Violation_Summary_Seller_Year!$K:$K,0)),0)</f>
        <v>4</v>
      </c>
      <c r="AA307">
        <f>IFERROR(INDEX(Violation_Summary_Seller_Year!$H:$H,MATCH(AD307,Violation_Summary_Seller_Year!$K:$K,0)),0)</f>
        <v>4</v>
      </c>
      <c r="AB307">
        <f>IFERROR(INDEX(Violation_Summary_Seller_Year!$I:$I,MATCH(AD307,Violation_Summary_Seller_Year!$K:$K,0)),0)</f>
        <v>4</v>
      </c>
      <c r="AC307">
        <f>IFERROR(INDEX(Violation_Summary_Seller_Year!$J:$J,MATCH(AD307,Violation_Summary_Seller_Year!$K:$K,0)),0)</f>
        <v>56</v>
      </c>
      <c r="AD307" t="str">
        <f t="shared" si="32"/>
        <v>19_2024</v>
      </c>
      <c r="AE307">
        <f t="shared" si="33"/>
        <v>1</v>
      </c>
      <c r="AF307">
        <f t="shared" si="34"/>
        <v>2</v>
      </c>
      <c r="AG307">
        <f t="shared" si="35"/>
        <v>2</v>
      </c>
      <c r="AH307">
        <f t="shared" si="36"/>
        <v>2</v>
      </c>
      <c r="AI307">
        <f t="shared" si="37"/>
        <v>2</v>
      </c>
      <c r="AJ307">
        <f t="shared" si="38"/>
        <v>175</v>
      </c>
      <c r="AK307" t="str">
        <f t="shared" si="39"/>
        <v>High</v>
      </c>
    </row>
    <row r="308" spans="1:37" x14ac:dyDescent="0.3">
      <c r="A308">
        <v>20</v>
      </c>
      <c r="B308">
        <v>2024</v>
      </c>
      <c r="C308">
        <v>1108</v>
      </c>
      <c r="D308">
        <v>84</v>
      </c>
      <c r="E308">
        <v>80</v>
      </c>
      <c r="F308">
        <v>6114.36</v>
      </c>
      <c r="G308">
        <v>7.2202000000000002E-2</v>
      </c>
      <c r="H308">
        <v>18</v>
      </c>
      <c r="I308">
        <v>36</v>
      </c>
      <c r="J308">
        <v>10</v>
      </c>
      <c r="K308">
        <v>5</v>
      </c>
      <c r="L308">
        <v>0</v>
      </c>
      <c r="M308">
        <v>1</v>
      </c>
      <c r="N308">
        <v>3</v>
      </c>
      <c r="O308">
        <v>3</v>
      </c>
      <c r="P308" t="s">
        <v>68</v>
      </c>
      <c r="Q308" t="str">
        <f>VLOOKUP(A308,Cleaned_Seller_Master!$A:$H,2,FALSE)</f>
        <v>Nova Cart 020</v>
      </c>
      <c r="R308" t="str">
        <f>VLOOKUP(A308,Cleaned_Seller_Master!$A:$H,4,FALSE)</f>
        <v>Home</v>
      </c>
      <c r="S308" t="str">
        <f>VLOOKUP(A308,Cleaned_Seller_Master!$A:$H,5,FALSE)</f>
        <v>North</v>
      </c>
      <c r="T308" t="str">
        <f>VLOOKUP(A308,Cleaned_Seller_Master!$A:$H,8,FALSE)</f>
        <v>Verified</v>
      </c>
      <c r="U308" t="str">
        <f>VLOOKUP(A308,Cleaned_Seller_Master!$A:$H,7,FALSE)</f>
        <v>10-08-2021</v>
      </c>
      <c r="V308">
        <f>IFERROR(INDEX(Violation_Summary_Seller_Year!$C:$C,MATCH(AD308,Violation_Summary_Seller_Year!$K:$K,0)),0)</f>
        <v>5</v>
      </c>
      <c r="W308">
        <f>IFERROR(INDEX(Violation_Summary_Seller_Year!$D:$D,MATCH(AD308,Violation_Summary_Seller_Year!$K:$K,0)),0)</f>
        <v>6356.09</v>
      </c>
      <c r="X308">
        <f>IFERROR(INDEX(Violation_Summary_Seller_Year!$E:$E,MATCH(AD308,Violation_Summary_Seller_Year!$K:$K,0)),0)</f>
        <v>0</v>
      </c>
      <c r="Y308">
        <f>IFERROR(INDEX(Violation_Summary_Seller_Year!$F:$F,MATCH(AD308,Violation_Summary_Seller_Year!$K:$K,0)),0)</f>
        <v>4</v>
      </c>
      <c r="Z308">
        <f>IFERROR(INDEX(Violation_Summary_Seller_Year!$G:$G,MATCH(AD308,Violation_Summary_Seller_Year!$K:$K,0)),0)</f>
        <v>1</v>
      </c>
      <c r="AA308">
        <f>IFERROR(INDEX(Violation_Summary_Seller_Year!$H:$H,MATCH(AD308,Violation_Summary_Seller_Year!$K:$K,0)),0)</f>
        <v>2</v>
      </c>
      <c r="AB308">
        <f>IFERROR(INDEX(Violation_Summary_Seller_Year!$I:$I,MATCH(AD308,Violation_Summary_Seller_Year!$K:$K,0)),0)</f>
        <v>2</v>
      </c>
      <c r="AC308">
        <f>IFERROR(INDEX(Violation_Summary_Seller_Year!$J:$J,MATCH(AD308,Violation_Summary_Seller_Year!$K:$K,0)),0)</f>
        <v>54</v>
      </c>
      <c r="AD308" t="str">
        <f t="shared" si="32"/>
        <v>20_2024</v>
      </c>
      <c r="AE308">
        <f t="shared" si="33"/>
        <v>1</v>
      </c>
      <c r="AF308">
        <f t="shared" si="34"/>
        <v>2</v>
      </c>
      <c r="AG308">
        <f t="shared" si="35"/>
        <v>2</v>
      </c>
      <c r="AH308">
        <f t="shared" si="36"/>
        <v>0</v>
      </c>
      <c r="AI308">
        <f t="shared" si="37"/>
        <v>1</v>
      </c>
      <c r="AJ308">
        <f t="shared" si="38"/>
        <v>125</v>
      </c>
      <c r="AK308" t="str">
        <f t="shared" si="39"/>
        <v>High</v>
      </c>
    </row>
    <row r="309" spans="1:37" x14ac:dyDescent="0.3">
      <c r="A309">
        <v>21</v>
      </c>
      <c r="B309">
        <v>2024</v>
      </c>
      <c r="C309">
        <v>1962</v>
      </c>
      <c r="D309">
        <v>181</v>
      </c>
      <c r="E309">
        <v>169</v>
      </c>
      <c r="F309">
        <v>16802.5</v>
      </c>
      <c r="G309">
        <v>8.6137000000000005E-2</v>
      </c>
      <c r="H309">
        <v>27</v>
      </c>
      <c r="I309">
        <v>58</v>
      </c>
      <c r="J309">
        <v>26</v>
      </c>
      <c r="K309">
        <v>12</v>
      </c>
      <c r="L309">
        <v>1</v>
      </c>
      <c r="M309">
        <v>7</v>
      </c>
      <c r="N309">
        <v>7</v>
      </c>
      <c r="O309">
        <v>13</v>
      </c>
      <c r="P309" t="s">
        <v>85</v>
      </c>
      <c r="Q309" t="str">
        <f>VLOOKUP(A309,Cleaned_Seller_Master!$A:$H,2,FALSE)</f>
        <v>Swift Goods 021</v>
      </c>
      <c r="R309" t="str">
        <f>VLOOKUP(A309,Cleaned_Seller_Master!$A:$H,4,FALSE)</f>
        <v>Fashion</v>
      </c>
      <c r="S309" t="str">
        <f>VLOOKUP(A309,Cleaned_Seller_Master!$A:$H,5,FALSE)</f>
        <v>South</v>
      </c>
      <c r="T309" t="str">
        <f>VLOOKUP(A309,Cleaned_Seller_Master!$A:$H,8,FALSE)</f>
        <v>Verified</v>
      </c>
      <c r="U309" t="str">
        <f>VLOOKUP(A309,Cleaned_Seller_Master!$A:$H,7,FALSE)</f>
        <v>11-12-2018</v>
      </c>
      <c r="V309">
        <f>IFERROR(INDEX(Violation_Summary_Seller_Year!$C:$C,MATCH(AD309,Violation_Summary_Seller_Year!$K:$K,0)),0)</f>
        <v>6</v>
      </c>
      <c r="W309">
        <f>IFERROR(INDEX(Violation_Summary_Seller_Year!$D:$D,MATCH(AD309,Violation_Summary_Seller_Year!$K:$K,0)),0)</f>
        <v>23401.57</v>
      </c>
      <c r="X309">
        <f>IFERROR(INDEX(Violation_Summary_Seller_Year!$E:$E,MATCH(AD309,Violation_Summary_Seller_Year!$K:$K,0)),0)</f>
        <v>4</v>
      </c>
      <c r="Y309">
        <f>IFERROR(INDEX(Violation_Summary_Seller_Year!$F:$F,MATCH(AD309,Violation_Summary_Seller_Year!$K:$K,0)),0)</f>
        <v>2</v>
      </c>
      <c r="Z309">
        <f>IFERROR(INDEX(Violation_Summary_Seller_Year!$G:$G,MATCH(AD309,Violation_Summary_Seller_Year!$K:$K,0)),0)</f>
        <v>4</v>
      </c>
      <c r="AA309">
        <f>IFERROR(INDEX(Violation_Summary_Seller_Year!$H:$H,MATCH(AD309,Violation_Summary_Seller_Year!$K:$K,0)),0)</f>
        <v>6</v>
      </c>
      <c r="AB309">
        <f>IFERROR(INDEX(Violation_Summary_Seller_Year!$I:$I,MATCH(AD309,Violation_Summary_Seller_Year!$K:$K,0)),0)</f>
        <v>2</v>
      </c>
      <c r="AC309">
        <f>IFERROR(INDEX(Violation_Summary_Seller_Year!$J:$J,MATCH(AD309,Violation_Summary_Seller_Year!$K:$K,0)),0)</f>
        <v>55</v>
      </c>
      <c r="AD309" t="str">
        <f t="shared" si="32"/>
        <v>21_2024</v>
      </c>
      <c r="AE309">
        <f t="shared" si="33"/>
        <v>1</v>
      </c>
      <c r="AF309">
        <f t="shared" si="34"/>
        <v>2</v>
      </c>
      <c r="AG309">
        <f t="shared" si="35"/>
        <v>2</v>
      </c>
      <c r="AH309">
        <f t="shared" si="36"/>
        <v>2</v>
      </c>
      <c r="AI309">
        <f t="shared" si="37"/>
        <v>2</v>
      </c>
      <c r="AJ309">
        <f t="shared" si="38"/>
        <v>175</v>
      </c>
      <c r="AK309" t="str">
        <f t="shared" si="39"/>
        <v>High</v>
      </c>
    </row>
    <row r="310" spans="1:37" x14ac:dyDescent="0.3">
      <c r="A310">
        <v>22</v>
      </c>
      <c r="B310">
        <v>2024</v>
      </c>
      <c r="C310">
        <v>723</v>
      </c>
      <c r="D310">
        <v>38</v>
      </c>
      <c r="E310">
        <v>31</v>
      </c>
      <c r="F310">
        <v>2303.17</v>
      </c>
      <c r="G310">
        <v>4.2876999999999998E-2</v>
      </c>
      <c r="H310">
        <v>12</v>
      </c>
      <c r="I310">
        <v>18</v>
      </c>
      <c r="J310">
        <v>4</v>
      </c>
      <c r="K310">
        <v>7</v>
      </c>
      <c r="L310">
        <v>1</v>
      </c>
      <c r="M310">
        <v>4</v>
      </c>
      <c r="N310">
        <v>4</v>
      </c>
      <c r="O310">
        <v>3</v>
      </c>
      <c r="P310" t="s">
        <v>85</v>
      </c>
      <c r="Q310" t="str">
        <f>VLOOKUP(A310,Cleaned_Seller_Master!$A:$H,2,FALSE)</f>
        <v>Blue Source 022</v>
      </c>
      <c r="R310" t="str">
        <f>VLOOKUP(A310,Cleaned_Seller_Master!$A:$H,4,FALSE)</f>
        <v>Electronics</v>
      </c>
      <c r="S310" t="str">
        <f>VLOOKUP(A310,Cleaned_Seller_Master!$A:$H,5,FALSE)</f>
        <v>South</v>
      </c>
      <c r="T310" t="str">
        <f>VLOOKUP(A310,Cleaned_Seller_Master!$A:$H,8,FALSE)</f>
        <v>Strategic</v>
      </c>
      <c r="U310" t="str">
        <f>VLOOKUP(A310,Cleaned_Seller_Master!$A:$H,7,FALSE)</f>
        <v>28-11-2018</v>
      </c>
      <c r="V310">
        <f>IFERROR(INDEX(Violation_Summary_Seller_Year!$C:$C,MATCH(AD310,Violation_Summary_Seller_Year!$K:$K,0)),0)</f>
        <v>1</v>
      </c>
      <c r="W310">
        <f>IFERROR(INDEX(Violation_Summary_Seller_Year!$D:$D,MATCH(AD310,Violation_Summary_Seller_Year!$K:$K,0)),0)</f>
        <v>6316.69</v>
      </c>
      <c r="X310">
        <f>IFERROR(INDEX(Violation_Summary_Seller_Year!$E:$E,MATCH(AD310,Violation_Summary_Seller_Year!$K:$K,0)),0)</f>
        <v>1</v>
      </c>
      <c r="Y310">
        <f>IFERROR(INDEX(Violation_Summary_Seller_Year!$F:$F,MATCH(AD310,Violation_Summary_Seller_Year!$K:$K,0)),0)</f>
        <v>1</v>
      </c>
      <c r="Z310">
        <f>IFERROR(INDEX(Violation_Summary_Seller_Year!$G:$G,MATCH(AD310,Violation_Summary_Seller_Year!$K:$K,0)),0)</f>
        <v>0</v>
      </c>
      <c r="AA310">
        <f>IFERROR(INDEX(Violation_Summary_Seller_Year!$H:$H,MATCH(AD310,Violation_Summary_Seller_Year!$K:$K,0)),0)</f>
        <v>1</v>
      </c>
      <c r="AB310">
        <f>IFERROR(INDEX(Violation_Summary_Seller_Year!$I:$I,MATCH(AD310,Violation_Summary_Seller_Year!$K:$K,0)),0)</f>
        <v>0</v>
      </c>
      <c r="AC310">
        <f>IFERROR(INDEX(Violation_Summary_Seller_Year!$J:$J,MATCH(AD310,Violation_Summary_Seller_Year!$K:$K,0)),0)</f>
        <v>9</v>
      </c>
      <c r="AD310" t="str">
        <f t="shared" si="32"/>
        <v>22_2024</v>
      </c>
      <c r="AE310">
        <f t="shared" si="33"/>
        <v>0</v>
      </c>
      <c r="AF310">
        <f t="shared" si="34"/>
        <v>2</v>
      </c>
      <c r="AG310">
        <f t="shared" si="35"/>
        <v>1</v>
      </c>
      <c r="AH310">
        <f t="shared" si="36"/>
        <v>2</v>
      </c>
      <c r="AI310">
        <f t="shared" si="37"/>
        <v>2</v>
      </c>
      <c r="AJ310">
        <f t="shared" si="38"/>
        <v>130</v>
      </c>
      <c r="AK310" t="str">
        <f t="shared" si="39"/>
        <v>High</v>
      </c>
    </row>
    <row r="311" spans="1:37" x14ac:dyDescent="0.3">
      <c r="A311">
        <v>23</v>
      </c>
      <c r="B311">
        <v>2024</v>
      </c>
      <c r="C311">
        <v>426</v>
      </c>
      <c r="D311">
        <v>21</v>
      </c>
      <c r="E311">
        <v>20</v>
      </c>
      <c r="F311">
        <v>1925.98</v>
      </c>
      <c r="G311">
        <v>4.6947999999999997E-2</v>
      </c>
      <c r="H311">
        <v>15</v>
      </c>
      <c r="I311">
        <v>15</v>
      </c>
      <c r="J311">
        <v>4</v>
      </c>
      <c r="K311">
        <v>5</v>
      </c>
      <c r="L311">
        <v>1</v>
      </c>
      <c r="M311">
        <v>2</v>
      </c>
      <c r="N311">
        <v>3</v>
      </c>
      <c r="O311">
        <v>1</v>
      </c>
      <c r="P311" t="s">
        <v>85</v>
      </c>
      <c r="Q311" t="str">
        <f>VLOOKUP(A311,Cleaned_Seller_Master!$A:$H,2,FALSE)</f>
        <v>Vertex Supply 023</v>
      </c>
      <c r="R311" t="str">
        <f>VLOOKUP(A311,Cleaned_Seller_Master!$A:$H,4,FALSE)</f>
        <v>Home</v>
      </c>
      <c r="S311" t="str">
        <f>VLOOKUP(A311,Cleaned_Seller_Master!$A:$H,5,FALSE)</f>
        <v>Southeast Asia</v>
      </c>
      <c r="T311" t="str">
        <f>VLOOKUP(A311,Cleaned_Seller_Master!$A:$H,8,FALSE)</f>
        <v>Standard</v>
      </c>
      <c r="U311" t="str">
        <f>VLOOKUP(A311,Cleaned_Seller_Master!$A:$H,7,FALSE)</f>
        <v>07-05-2023</v>
      </c>
      <c r="V311">
        <f>IFERROR(INDEX(Violation_Summary_Seller_Year!$C:$C,MATCH(AD311,Violation_Summary_Seller_Year!$K:$K,0)),0)</f>
        <v>1</v>
      </c>
      <c r="W311">
        <f>IFERROR(INDEX(Violation_Summary_Seller_Year!$D:$D,MATCH(AD311,Violation_Summary_Seller_Year!$K:$K,0)),0)</f>
        <v>3138.49</v>
      </c>
      <c r="X311">
        <f>IFERROR(INDEX(Violation_Summary_Seller_Year!$E:$E,MATCH(AD311,Violation_Summary_Seller_Year!$K:$K,0)),0)</f>
        <v>1</v>
      </c>
      <c r="Y311">
        <f>IFERROR(INDEX(Violation_Summary_Seller_Year!$F:$F,MATCH(AD311,Violation_Summary_Seller_Year!$K:$K,0)),0)</f>
        <v>1</v>
      </c>
      <c r="Z311">
        <f>IFERROR(INDEX(Violation_Summary_Seller_Year!$G:$G,MATCH(AD311,Violation_Summary_Seller_Year!$K:$K,0)),0)</f>
        <v>0</v>
      </c>
      <c r="AA311">
        <f>IFERROR(INDEX(Violation_Summary_Seller_Year!$H:$H,MATCH(AD311,Violation_Summary_Seller_Year!$K:$K,0)),0)</f>
        <v>1</v>
      </c>
      <c r="AB311">
        <f>IFERROR(INDEX(Violation_Summary_Seller_Year!$I:$I,MATCH(AD311,Violation_Summary_Seller_Year!$K:$K,0)),0)</f>
        <v>1</v>
      </c>
      <c r="AC311">
        <f>IFERROR(INDEX(Violation_Summary_Seller_Year!$J:$J,MATCH(AD311,Violation_Summary_Seller_Year!$K:$K,0)),0)</f>
        <v>3</v>
      </c>
      <c r="AD311" t="str">
        <f t="shared" si="32"/>
        <v>23_2024</v>
      </c>
      <c r="AE311">
        <f t="shared" si="33"/>
        <v>0</v>
      </c>
      <c r="AF311">
        <f t="shared" si="34"/>
        <v>2</v>
      </c>
      <c r="AG311">
        <f t="shared" si="35"/>
        <v>1</v>
      </c>
      <c r="AH311">
        <f t="shared" si="36"/>
        <v>2</v>
      </c>
      <c r="AI311">
        <f t="shared" si="37"/>
        <v>2</v>
      </c>
      <c r="AJ311">
        <f t="shared" si="38"/>
        <v>130</v>
      </c>
      <c r="AK311" t="str">
        <f t="shared" si="39"/>
        <v>High</v>
      </c>
    </row>
    <row r="312" spans="1:37" x14ac:dyDescent="0.3">
      <c r="A312">
        <v>24</v>
      </c>
      <c r="B312">
        <v>2024</v>
      </c>
      <c r="C312">
        <v>872</v>
      </c>
      <c r="D312">
        <v>49</v>
      </c>
      <c r="E312">
        <v>45</v>
      </c>
      <c r="F312">
        <v>3543.49</v>
      </c>
      <c r="G312">
        <v>5.1605999999999999E-2</v>
      </c>
      <c r="H312">
        <v>15</v>
      </c>
      <c r="I312">
        <v>18</v>
      </c>
      <c r="J312">
        <v>5</v>
      </c>
      <c r="K312">
        <v>8</v>
      </c>
      <c r="L312">
        <v>0</v>
      </c>
      <c r="M312">
        <v>2</v>
      </c>
      <c r="N312">
        <v>2</v>
      </c>
      <c r="O312">
        <v>3</v>
      </c>
      <c r="P312" t="s">
        <v>175</v>
      </c>
      <c r="Q312" t="str">
        <f>VLOOKUP(A312,Cleaned_Seller_Master!$A:$H,2,FALSE)</f>
        <v>Zen Mart 024</v>
      </c>
      <c r="R312" t="str">
        <f>VLOOKUP(A312,Cleaned_Seller_Master!$A:$H,4,FALSE)</f>
        <v>Electronics</v>
      </c>
      <c r="S312" t="str">
        <f>VLOOKUP(A312,Cleaned_Seller_Master!$A:$H,5,FALSE)</f>
        <v>North</v>
      </c>
      <c r="T312" t="str">
        <f>VLOOKUP(A312,Cleaned_Seller_Master!$A:$H,8,FALSE)</f>
        <v>Verified</v>
      </c>
      <c r="U312" t="str">
        <f>VLOOKUP(A312,Cleaned_Seller_Master!$A:$H,7,FALSE)</f>
        <v>18-02-2018</v>
      </c>
      <c r="V312">
        <f>IFERROR(INDEX(Violation_Summary_Seller_Year!$C:$C,MATCH(AD312,Violation_Summary_Seller_Year!$K:$K,0)),0)</f>
        <v>1</v>
      </c>
      <c r="W312">
        <f>IFERROR(INDEX(Violation_Summary_Seller_Year!$D:$D,MATCH(AD312,Violation_Summary_Seller_Year!$K:$K,0)),0)</f>
        <v>187.83</v>
      </c>
      <c r="X312">
        <f>IFERROR(INDEX(Violation_Summary_Seller_Year!$E:$E,MATCH(AD312,Violation_Summary_Seller_Year!$K:$K,0)),0)</f>
        <v>0</v>
      </c>
      <c r="Y312">
        <f>IFERROR(INDEX(Violation_Summary_Seller_Year!$F:$F,MATCH(AD312,Violation_Summary_Seller_Year!$K:$K,0)),0)</f>
        <v>1</v>
      </c>
      <c r="Z312">
        <f>IFERROR(INDEX(Violation_Summary_Seller_Year!$G:$G,MATCH(AD312,Violation_Summary_Seller_Year!$K:$K,0)),0)</f>
        <v>0</v>
      </c>
      <c r="AA312">
        <f>IFERROR(INDEX(Violation_Summary_Seller_Year!$H:$H,MATCH(AD312,Violation_Summary_Seller_Year!$K:$K,0)),0)</f>
        <v>0</v>
      </c>
      <c r="AB312">
        <f>IFERROR(INDEX(Violation_Summary_Seller_Year!$I:$I,MATCH(AD312,Violation_Summary_Seller_Year!$K:$K,0)),0)</f>
        <v>0</v>
      </c>
      <c r="AC312">
        <f>IFERROR(INDEX(Violation_Summary_Seller_Year!$J:$J,MATCH(AD312,Violation_Summary_Seller_Year!$K:$K,0)),0)</f>
        <v>12</v>
      </c>
      <c r="AD312" t="str">
        <f t="shared" si="32"/>
        <v>24_2024</v>
      </c>
      <c r="AE312">
        <f t="shared" si="33"/>
        <v>1</v>
      </c>
      <c r="AF312">
        <f t="shared" si="34"/>
        <v>2</v>
      </c>
      <c r="AG312">
        <f t="shared" si="35"/>
        <v>0</v>
      </c>
      <c r="AH312">
        <f t="shared" si="36"/>
        <v>0</v>
      </c>
      <c r="AI312">
        <f t="shared" si="37"/>
        <v>1</v>
      </c>
      <c r="AJ312">
        <f t="shared" si="38"/>
        <v>85</v>
      </c>
      <c r="AK312" t="str">
        <f t="shared" si="39"/>
        <v>Medium</v>
      </c>
    </row>
    <row r="313" spans="1:37" x14ac:dyDescent="0.3">
      <c r="A313">
        <v>25</v>
      </c>
      <c r="B313">
        <v>2024</v>
      </c>
      <c r="C313">
        <v>1583</v>
      </c>
      <c r="D313">
        <v>109</v>
      </c>
      <c r="E313">
        <v>96</v>
      </c>
      <c r="F313">
        <v>7518.14</v>
      </c>
      <c r="G313">
        <v>6.0644000000000003E-2</v>
      </c>
      <c r="H313">
        <v>18</v>
      </c>
      <c r="I313">
        <v>40</v>
      </c>
      <c r="J313">
        <v>11</v>
      </c>
      <c r="K313">
        <v>18</v>
      </c>
      <c r="L313">
        <v>1</v>
      </c>
      <c r="M313">
        <v>6</v>
      </c>
      <c r="N313">
        <v>9</v>
      </c>
      <c r="O313">
        <v>8</v>
      </c>
      <c r="P313" t="s">
        <v>85</v>
      </c>
      <c r="Q313" t="str">
        <f>VLOOKUP(A313,Cleaned_Seller_Master!$A:$H,2,FALSE)</f>
        <v>True House 025</v>
      </c>
      <c r="R313" t="str">
        <f>VLOOKUP(A313,Cleaned_Seller_Master!$A:$H,4,FALSE)</f>
        <v>Beauty</v>
      </c>
      <c r="S313" t="str">
        <f>VLOOKUP(A313,Cleaned_Seller_Master!$A:$H,5,FALSE)</f>
        <v>West</v>
      </c>
      <c r="T313" t="str">
        <f>VLOOKUP(A313,Cleaned_Seller_Master!$A:$H,8,FALSE)</f>
        <v>Strategic</v>
      </c>
      <c r="U313" t="str">
        <f>VLOOKUP(A313,Cleaned_Seller_Master!$A:$H,7,FALSE)</f>
        <v>26-10-2021</v>
      </c>
      <c r="V313">
        <f>IFERROR(INDEX(Violation_Summary_Seller_Year!$C:$C,MATCH(AD313,Violation_Summary_Seller_Year!$K:$K,0)),0)</f>
        <v>2</v>
      </c>
      <c r="W313">
        <f>IFERROR(INDEX(Violation_Summary_Seller_Year!$D:$D,MATCH(AD313,Violation_Summary_Seller_Year!$K:$K,0)),0)</f>
        <v>8220.9</v>
      </c>
      <c r="X313">
        <f>IFERROR(INDEX(Violation_Summary_Seller_Year!$E:$E,MATCH(AD313,Violation_Summary_Seller_Year!$K:$K,0)),0)</f>
        <v>1</v>
      </c>
      <c r="Y313">
        <f>IFERROR(INDEX(Violation_Summary_Seller_Year!$F:$F,MATCH(AD313,Violation_Summary_Seller_Year!$K:$K,0)),0)</f>
        <v>0</v>
      </c>
      <c r="Z313">
        <f>IFERROR(INDEX(Violation_Summary_Seller_Year!$G:$G,MATCH(AD313,Violation_Summary_Seller_Year!$K:$K,0)),0)</f>
        <v>2</v>
      </c>
      <c r="AA313">
        <f>IFERROR(INDEX(Violation_Summary_Seller_Year!$H:$H,MATCH(AD313,Violation_Summary_Seller_Year!$K:$K,0)),0)</f>
        <v>1</v>
      </c>
      <c r="AB313">
        <f>IFERROR(INDEX(Violation_Summary_Seller_Year!$I:$I,MATCH(AD313,Violation_Summary_Seller_Year!$K:$K,0)),0)</f>
        <v>2</v>
      </c>
      <c r="AC313">
        <f>IFERROR(INDEX(Violation_Summary_Seller_Year!$J:$J,MATCH(AD313,Violation_Summary_Seller_Year!$K:$K,0)),0)</f>
        <v>14</v>
      </c>
      <c r="AD313" t="str">
        <f t="shared" si="32"/>
        <v>25_2024</v>
      </c>
      <c r="AE313">
        <f t="shared" si="33"/>
        <v>1</v>
      </c>
      <c r="AF313">
        <f t="shared" si="34"/>
        <v>2</v>
      </c>
      <c r="AG313">
        <f t="shared" si="35"/>
        <v>1</v>
      </c>
      <c r="AH313">
        <f t="shared" si="36"/>
        <v>2</v>
      </c>
      <c r="AI313">
        <f t="shared" si="37"/>
        <v>2</v>
      </c>
      <c r="AJ313">
        <f t="shared" si="38"/>
        <v>155</v>
      </c>
      <c r="AK313" t="str">
        <f t="shared" si="39"/>
        <v>High</v>
      </c>
    </row>
    <row r="314" spans="1:37" x14ac:dyDescent="0.3">
      <c r="A314">
        <v>26</v>
      </c>
      <c r="B314">
        <v>2024</v>
      </c>
      <c r="C314">
        <v>892</v>
      </c>
      <c r="D314">
        <v>91</v>
      </c>
      <c r="E314">
        <v>66</v>
      </c>
      <c r="F314">
        <v>3591.2</v>
      </c>
      <c r="G314">
        <v>7.3991000000000001E-2</v>
      </c>
      <c r="H314">
        <v>29</v>
      </c>
      <c r="I314">
        <v>34</v>
      </c>
      <c r="J314">
        <v>10</v>
      </c>
      <c r="K314">
        <v>10</v>
      </c>
      <c r="L314">
        <v>0</v>
      </c>
      <c r="M314">
        <v>3</v>
      </c>
      <c r="N314">
        <v>6</v>
      </c>
      <c r="O314">
        <v>2</v>
      </c>
      <c r="P314" t="s">
        <v>68</v>
      </c>
      <c r="Q314" t="str">
        <f>VLOOKUP(A314,Cleaned_Seller_Master!$A:$H,2,FALSE)</f>
        <v>Core Traders 026</v>
      </c>
      <c r="R314" t="str">
        <f>VLOOKUP(A314,Cleaned_Seller_Master!$A:$H,4,FALSE)</f>
        <v>Beauty</v>
      </c>
      <c r="S314" t="str">
        <f>VLOOKUP(A314,Cleaned_Seller_Master!$A:$H,5,FALSE)</f>
        <v>East</v>
      </c>
      <c r="T314" t="str">
        <f>VLOOKUP(A314,Cleaned_Seller_Master!$A:$H,8,FALSE)</f>
        <v>Standard</v>
      </c>
      <c r="U314" t="str">
        <f>VLOOKUP(A314,Cleaned_Seller_Master!$A:$H,7,FALSE)</f>
        <v>18-12-2019</v>
      </c>
      <c r="V314">
        <f>IFERROR(INDEX(Violation_Summary_Seller_Year!$C:$C,MATCH(AD314,Violation_Summary_Seller_Year!$K:$K,0)),0)</f>
        <v>4</v>
      </c>
      <c r="W314">
        <f>IFERROR(INDEX(Violation_Summary_Seller_Year!$D:$D,MATCH(AD314,Violation_Summary_Seller_Year!$K:$K,0)),0)</f>
        <v>5583.71</v>
      </c>
      <c r="X314">
        <f>IFERROR(INDEX(Violation_Summary_Seller_Year!$E:$E,MATCH(AD314,Violation_Summary_Seller_Year!$K:$K,0)),0)</f>
        <v>0</v>
      </c>
      <c r="Y314">
        <f>IFERROR(INDEX(Violation_Summary_Seller_Year!$F:$F,MATCH(AD314,Violation_Summary_Seller_Year!$K:$K,0)),0)</f>
        <v>3</v>
      </c>
      <c r="Z314">
        <f>IFERROR(INDEX(Violation_Summary_Seller_Year!$G:$G,MATCH(AD314,Violation_Summary_Seller_Year!$K:$K,0)),0)</f>
        <v>1</v>
      </c>
      <c r="AA314">
        <f>IFERROR(INDEX(Violation_Summary_Seller_Year!$H:$H,MATCH(AD314,Violation_Summary_Seller_Year!$K:$K,0)),0)</f>
        <v>2</v>
      </c>
      <c r="AB314">
        <f>IFERROR(INDEX(Violation_Summary_Seller_Year!$I:$I,MATCH(AD314,Violation_Summary_Seller_Year!$K:$K,0)),0)</f>
        <v>0</v>
      </c>
      <c r="AC314">
        <f>IFERROR(INDEX(Violation_Summary_Seller_Year!$J:$J,MATCH(AD314,Violation_Summary_Seller_Year!$K:$K,0)),0)</f>
        <v>23</v>
      </c>
      <c r="AD314" t="str">
        <f t="shared" si="32"/>
        <v>26_2024</v>
      </c>
      <c r="AE314">
        <f t="shared" si="33"/>
        <v>1</v>
      </c>
      <c r="AF314">
        <f t="shared" si="34"/>
        <v>2</v>
      </c>
      <c r="AG314">
        <f t="shared" si="35"/>
        <v>2</v>
      </c>
      <c r="AH314">
        <f t="shared" si="36"/>
        <v>0</v>
      </c>
      <c r="AI314">
        <f t="shared" si="37"/>
        <v>1</v>
      </c>
      <c r="AJ314">
        <f t="shared" si="38"/>
        <v>125</v>
      </c>
      <c r="AK314" t="str">
        <f t="shared" si="39"/>
        <v>High</v>
      </c>
    </row>
    <row r="315" spans="1:37" x14ac:dyDescent="0.3">
      <c r="A315">
        <v>27</v>
      </c>
      <c r="B315">
        <v>2024</v>
      </c>
      <c r="C315">
        <v>603</v>
      </c>
      <c r="D315">
        <v>56</v>
      </c>
      <c r="E315">
        <v>46</v>
      </c>
      <c r="F315">
        <v>1951.27</v>
      </c>
      <c r="G315">
        <v>7.6285000000000006E-2</v>
      </c>
      <c r="H315">
        <v>18</v>
      </c>
      <c r="I315">
        <v>23</v>
      </c>
      <c r="J315">
        <v>7</v>
      </c>
      <c r="K315">
        <v>8</v>
      </c>
      <c r="L315">
        <v>1</v>
      </c>
      <c r="M315">
        <v>5</v>
      </c>
      <c r="N315">
        <v>6</v>
      </c>
      <c r="O315">
        <v>5</v>
      </c>
      <c r="P315" t="s">
        <v>85</v>
      </c>
      <c r="Q315" t="str">
        <f>VLOOKUP(A315,Cleaned_Seller_Master!$A:$H,2,FALSE)</f>
        <v>Urban Works 027</v>
      </c>
      <c r="R315" t="str">
        <f>VLOOKUP(A315,Cleaned_Seller_Master!$A:$H,4,FALSE)</f>
        <v>Groceries</v>
      </c>
      <c r="S315" t="str">
        <f>VLOOKUP(A315,Cleaned_Seller_Master!$A:$H,5,FALSE)</f>
        <v>West</v>
      </c>
      <c r="T315" t="str">
        <f>VLOOKUP(A315,Cleaned_Seller_Master!$A:$H,8,FALSE)</f>
        <v>Standard</v>
      </c>
      <c r="U315" t="str">
        <f>VLOOKUP(A315,Cleaned_Seller_Master!$A:$H,7,FALSE)</f>
        <v>21-02-2018</v>
      </c>
      <c r="V315">
        <f>IFERROR(INDEX(Violation_Summary_Seller_Year!$C:$C,MATCH(AD315,Violation_Summary_Seller_Year!$K:$K,0)),0)</f>
        <v>3</v>
      </c>
      <c r="W315">
        <f>IFERROR(INDEX(Violation_Summary_Seller_Year!$D:$D,MATCH(AD315,Violation_Summary_Seller_Year!$K:$K,0)),0)</f>
        <v>7507.29</v>
      </c>
      <c r="X315">
        <f>IFERROR(INDEX(Violation_Summary_Seller_Year!$E:$E,MATCH(AD315,Violation_Summary_Seller_Year!$K:$K,0)),0)</f>
        <v>2</v>
      </c>
      <c r="Y315">
        <f>IFERROR(INDEX(Violation_Summary_Seller_Year!$F:$F,MATCH(AD315,Violation_Summary_Seller_Year!$K:$K,0)),0)</f>
        <v>0</v>
      </c>
      <c r="Z315">
        <f>IFERROR(INDEX(Violation_Summary_Seller_Year!$G:$G,MATCH(AD315,Violation_Summary_Seller_Year!$K:$K,0)),0)</f>
        <v>3</v>
      </c>
      <c r="AA315">
        <f>IFERROR(INDEX(Violation_Summary_Seller_Year!$H:$H,MATCH(AD315,Violation_Summary_Seller_Year!$K:$K,0)),0)</f>
        <v>2</v>
      </c>
      <c r="AB315">
        <f>IFERROR(INDEX(Violation_Summary_Seller_Year!$I:$I,MATCH(AD315,Violation_Summary_Seller_Year!$K:$K,0)),0)</f>
        <v>3</v>
      </c>
      <c r="AC315">
        <f>IFERROR(INDEX(Violation_Summary_Seller_Year!$J:$J,MATCH(AD315,Violation_Summary_Seller_Year!$K:$K,0)),0)</f>
        <v>51</v>
      </c>
      <c r="AD315" t="str">
        <f t="shared" si="32"/>
        <v>27_2024</v>
      </c>
      <c r="AE315">
        <f t="shared" si="33"/>
        <v>1</v>
      </c>
      <c r="AF315">
        <f t="shared" si="34"/>
        <v>2</v>
      </c>
      <c r="AG315">
        <f t="shared" si="35"/>
        <v>2</v>
      </c>
      <c r="AH315">
        <f t="shared" si="36"/>
        <v>2</v>
      </c>
      <c r="AI315">
        <f t="shared" si="37"/>
        <v>2</v>
      </c>
      <c r="AJ315">
        <f t="shared" si="38"/>
        <v>175</v>
      </c>
      <c r="AK315" t="str">
        <f t="shared" si="39"/>
        <v>High</v>
      </c>
    </row>
    <row r="316" spans="1:37" x14ac:dyDescent="0.3">
      <c r="A316">
        <v>29</v>
      </c>
      <c r="B316">
        <v>2024</v>
      </c>
      <c r="C316">
        <v>251</v>
      </c>
      <c r="D316">
        <v>12</v>
      </c>
      <c r="E316">
        <v>11</v>
      </c>
      <c r="F316">
        <v>987.38</v>
      </c>
      <c r="G316">
        <v>4.3825000000000003E-2</v>
      </c>
      <c r="H316">
        <v>11</v>
      </c>
      <c r="I316">
        <v>11</v>
      </c>
      <c r="J316">
        <v>2</v>
      </c>
      <c r="K316">
        <v>5</v>
      </c>
      <c r="L316">
        <v>0</v>
      </c>
      <c r="M316">
        <v>1</v>
      </c>
      <c r="N316">
        <v>3</v>
      </c>
      <c r="O316">
        <v>1</v>
      </c>
      <c r="P316" t="s">
        <v>68</v>
      </c>
      <c r="Q316" t="str">
        <f>VLOOKUP(A316,Cleaned_Seller_Master!$A:$H,2,FALSE)</f>
        <v>Golden Hub 029</v>
      </c>
      <c r="R316" t="str">
        <f>VLOOKUP(A316,Cleaned_Seller_Master!$A:$H,4,FALSE)</f>
        <v>Home</v>
      </c>
      <c r="S316" t="str">
        <f>VLOOKUP(A316,Cleaned_Seller_Master!$A:$H,5,FALSE)</f>
        <v>South</v>
      </c>
      <c r="T316" t="str">
        <f>VLOOKUP(A316,Cleaned_Seller_Master!$A:$H,8,FALSE)</f>
        <v>Standard</v>
      </c>
      <c r="U316" t="str">
        <f>VLOOKUP(A316,Cleaned_Seller_Master!$A:$H,7,FALSE)</f>
        <v>26-06-2021</v>
      </c>
      <c r="V316">
        <f>IFERROR(INDEX(Violation_Summary_Seller_Year!$C:$C,MATCH(AD316,Violation_Summary_Seller_Year!$K:$K,0)),0)</f>
        <v>3</v>
      </c>
      <c r="W316">
        <f>IFERROR(INDEX(Violation_Summary_Seller_Year!$D:$D,MATCH(AD316,Violation_Summary_Seller_Year!$K:$K,0)),0)</f>
        <v>6866.51</v>
      </c>
      <c r="X316">
        <f>IFERROR(INDEX(Violation_Summary_Seller_Year!$E:$E,MATCH(AD316,Violation_Summary_Seller_Year!$K:$K,0)),0)</f>
        <v>0</v>
      </c>
      <c r="Y316">
        <f>IFERROR(INDEX(Violation_Summary_Seller_Year!$F:$F,MATCH(AD316,Violation_Summary_Seller_Year!$K:$K,0)),0)</f>
        <v>0</v>
      </c>
      <c r="Z316">
        <f>IFERROR(INDEX(Violation_Summary_Seller_Year!$G:$G,MATCH(AD316,Violation_Summary_Seller_Year!$K:$K,0)),0)</f>
        <v>3</v>
      </c>
      <c r="AA316">
        <f>IFERROR(INDEX(Violation_Summary_Seller_Year!$H:$H,MATCH(AD316,Violation_Summary_Seller_Year!$K:$K,0)),0)</f>
        <v>2</v>
      </c>
      <c r="AB316">
        <f>IFERROR(INDEX(Violation_Summary_Seller_Year!$I:$I,MATCH(AD316,Violation_Summary_Seller_Year!$K:$K,0)),0)</f>
        <v>2</v>
      </c>
      <c r="AC316">
        <f>IFERROR(INDEX(Violation_Summary_Seller_Year!$J:$J,MATCH(AD316,Violation_Summary_Seller_Year!$K:$K,0)),0)</f>
        <v>17</v>
      </c>
      <c r="AD316" t="str">
        <f t="shared" si="32"/>
        <v>29_2024</v>
      </c>
      <c r="AE316">
        <f t="shared" si="33"/>
        <v>0</v>
      </c>
      <c r="AF316">
        <f t="shared" si="34"/>
        <v>2</v>
      </c>
      <c r="AG316">
        <f t="shared" si="35"/>
        <v>2</v>
      </c>
      <c r="AH316">
        <f t="shared" si="36"/>
        <v>0</v>
      </c>
      <c r="AI316">
        <f t="shared" si="37"/>
        <v>1</v>
      </c>
      <c r="AJ316">
        <f t="shared" si="38"/>
        <v>100</v>
      </c>
      <c r="AK316" t="str">
        <f t="shared" si="39"/>
        <v>Medium</v>
      </c>
    </row>
    <row r="317" spans="1:37" x14ac:dyDescent="0.3">
      <c r="A317">
        <v>30</v>
      </c>
      <c r="B317">
        <v>2024</v>
      </c>
      <c r="C317">
        <v>208</v>
      </c>
      <c r="D317">
        <v>10</v>
      </c>
      <c r="E317">
        <v>8</v>
      </c>
      <c r="F317">
        <v>722.6</v>
      </c>
      <c r="G317">
        <v>3.8462000000000003E-2</v>
      </c>
      <c r="H317">
        <v>17</v>
      </c>
      <c r="I317">
        <v>17</v>
      </c>
      <c r="J317">
        <v>2</v>
      </c>
      <c r="K317">
        <v>6</v>
      </c>
      <c r="L317">
        <v>0</v>
      </c>
      <c r="M317">
        <v>2</v>
      </c>
      <c r="N317">
        <v>3</v>
      </c>
      <c r="O317">
        <v>0</v>
      </c>
      <c r="P317" t="s">
        <v>175</v>
      </c>
      <c r="Q317" t="str">
        <f>VLOOKUP(A317,Cleaned_Seller_Master!$A:$H,2,FALSE)</f>
        <v>Ever Merchants 030</v>
      </c>
      <c r="R317" t="str">
        <f>VLOOKUP(A317,Cleaned_Seller_Master!$A:$H,4,FALSE)</f>
        <v>Groceries</v>
      </c>
      <c r="S317" t="str">
        <f>VLOOKUP(A317,Cleaned_Seller_Master!$A:$H,5,FALSE)</f>
        <v>West</v>
      </c>
      <c r="T317" t="str">
        <f>VLOOKUP(A317,Cleaned_Seller_Master!$A:$H,8,FALSE)</f>
        <v>Premium</v>
      </c>
      <c r="U317" t="str">
        <f>VLOOKUP(A317,Cleaned_Seller_Master!$A:$H,7,FALSE)</f>
        <v>28-04-2019</v>
      </c>
      <c r="V317">
        <f>IFERROR(INDEX(Violation_Summary_Seller_Year!$C:$C,MATCH(AD317,Violation_Summary_Seller_Year!$K:$K,0)),0)</f>
        <v>1</v>
      </c>
      <c r="W317">
        <f>IFERROR(INDEX(Violation_Summary_Seller_Year!$D:$D,MATCH(AD317,Violation_Summary_Seller_Year!$K:$K,0)),0)</f>
        <v>927.46</v>
      </c>
      <c r="X317">
        <f>IFERROR(INDEX(Violation_Summary_Seller_Year!$E:$E,MATCH(AD317,Violation_Summary_Seller_Year!$K:$K,0)),0)</f>
        <v>0</v>
      </c>
      <c r="Y317">
        <f>IFERROR(INDEX(Violation_Summary_Seller_Year!$F:$F,MATCH(AD317,Violation_Summary_Seller_Year!$K:$K,0)),0)</f>
        <v>1</v>
      </c>
      <c r="Z317">
        <f>IFERROR(INDEX(Violation_Summary_Seller_Year!$G:$G,MATCH(AD317,Violation_Summary_Seller_Year!$K:$K,0)),0)</f>
        <v>0</v>
      </c>
      <c r="AA317">
        <f>IFERROR(INDEX(Violation_Summary_Seller_Year!$H:$H,MATCH(AD317,Violation_Summary_Seller_Year!$K:$K,0)),0)</f>
        <v>0</v>
      </c>
      <c r="AB317">
        <f>IFERROR(INDEX(Violation_Summary_Seller_Year!$I:$I,MATCH(AD317,Violation_Summary_Seller_Year!$K:$K,0)),0)</f>
        <v>0</v>
      </c>
      <c r="AC317">
        <f>IFERROR(INDEX(Violation_Summary_Seller_Year!$J:$J,MATCH(AD317,Violation_Summary_Seller_Year!$K:$K,0)),0)</f>
        <v>7</v>
      </c>
      <c r="AD317" t="str">
        <f t="shared" si="32"/>
        <v>30_2024</v>
      </c>
      <c r="AE317">
        <f t="shared" si="33"/>
        <v>0</v>
      </c>
      <c r="AF317">
        <f t="shared" si="34"/>
        <v>2</v>
      </c>
      <c r="AG317">
        <f t="shared" si="35"/>
        <v>0</v>
      </c>
      <c r="AH317">
        <f t="shared" si="36"/>
        <v>0</v>
      </c>
      <c r="AI317">
        <f t="shared" si="37"/>
        <v>1</v>
      </c>
      <c r="AJ317">
        <f t="shared" si="38"/>
        <v>60</v>
      </c>
      <c r="AK317" t="str">
        <f t="shared" si="39"/>
        <v>Medium</v>
      </c>
    </row>
    <row r="318" spans="1:37" x14ac:dyDescent="0.3">
      <c r="A318">
        <v>31</v>
      </c>
      <c r="B318">
        <v>2024</v>
      </c>
      <c r="C318">
        <v>725</v>
      </c>
      <c r="D318">
        <v>45</v>
      </c>
      <c r="E318">
        <v>34</v>
      </c>
      <c r="F318">
        <v>1994.8</v>
      </c>
      <c r="G318">
        <v>4.6897000000000001E-2</v>
      </c>
      <c r="H318">
        <v>24</v>
      </c>
      <c r="I318">
        <v>24</v>
      </c>
      <c r="J318">
        <v>6</v>
      </c>
      <c r="K318">
        <v>10</v>
      </c>
      <c r="L318">
        <v>0</v>
      </c>
      <c r="M318">
        <v>4</v>
      </c>
      <c r="N318">
        <v>6</v>
      </c>
      <c r="O318">
        <v>2</v>
      </c>
      <c r="P318" t="s">
        <v>175</v>
      </c>
      <c r="Q318" t="str">
        <f>VLOOKUP(A318,Cleaned_Seller_Master!$A:$H,2,FALSE)</f>
        <v>Orbit Square 031</v>
      </c>
      <c r="R318" t="str">
        <f>VLOOKUP(A318,Cleaned_Seller_Master!$A:$H,4,FALSE)</f>
        <v>Home</v>
      </c>
      <c r="S318" t="str">
        <f>VLOOKUP(A318,Cleaned_Seller_Master!$A:$H,5,FALSE)</f>
        <v>South</v>
      </c>
      <c r="T318" t="str">
        <f>VLOOKUP(A318,Cleaned_Seller_Master!$A:$H,8,FALSE)</f>
        <v>Verified</v>
      </c>
      <c r="U318" t="str">
        <f>VLOOKUP(A318,Cleaned_Seller_Master!$A:$H,7,FALSE)</f>
        <v>04-12-2020</v>
      </c>
      <c r="V318">
        <f>IFERROR(INDEX(Violation_Summary_Seller_Year!$C:$C,MATCH(AD318,Violation_Summary_Seller_Year!$K:$K,0)),0)</f>
        <v>2</v>
      </c>
      <c r="W318">
        <f>IFERROR(INDEX(Violation_Summary_Seller_Year!$D:$D,MATCH(AD318,Violation_Summary_Seller_Year!$K:$K,0)),0)</f>
        <v>1718.5900000000001</v>
      </c>
      <c r="X318">
        <f>IFERROR(INDEX(Violation_Summary_Seller_Year!$E:$E,MATCH(AD318,Violation_Summary_Seller_Year!$K:$K,0)),0)</f>
        <v>0</v>
      </c>
      <c r="Y318">
        <f>IFERROR(INDEX(Violation_Summary_Seller_Year!$F:$F,MATCH(AD318,Violation_Summary_Seller_Year!$K:$K,0)),0)</f>
        <v>1</v>
      </c>
      <c r="Z318">
        <f>IFERROR(INDEX(Violation_Summary_Seller_Year!$G:$G,MATCH(AD318,Violation_Summary_Seller_Year!$K:$K,0)),0)</f>
        <v>1</v>
      </c>
      <c r="AA318">
        <f>IFERROR(INDEX(Violation_Summary_Seller_Year!$H:$H,MATCH(AD318,Violation_Summary_Seller_Year!$K:$K,0)),0)</f>
        <v>0</v>
      </c>
      <c r="AB318">
        <f>IFERROR(INDEX(Violation_Summary_Seller_Year!$I:$I,MATCH(AD318,Violation_Summary_Seller_Year!$K:$K,0)),0)</f>
        <v>1</v>
      </c>
      <c r="AC318">
        <f>IFERROR(INDEX(Violation_Summary_Seller_Year!$J:$J,MATCH(AD318,Violation_Summary_Seller_Year!$K:$K,0)),0)</f>
        <v>13</v>
      </c>
      <c r="AD318" t="str">
        <f t="shared" si="32"/>
        <v>31_2024</v>
      </c>
      <c r="AE318">
        <f t="shared" si="33"/>
        <v>0</v>
      </c>
      <c r="AF318">
        <f t="shared" si="34"/>
        <v>2</v>
      </c>
      <c r="AG318">
        <f t="shared" si="35"/>
        <v>1</v>
      </c>
      <c r="AH318">
        <f t="shared" si="36"/>
        <v>0</v>
      </c>
      <c r="AI318">
        <f t="shared" si="37"/>
        <v>1</v>
      </c>
      <c r="AJ318">
        <f t="shared" si="38"/>
        <v>80</v>
      </c>
      <c r="AK318" t="str">
        <f t="shared" si="39"/>
        <v>Medium</v>
      </c>
    </row>
    <row r="319" spans="1:37" x14ac:dyDescent="0.3">
      <c r="A319">
        <v>32</v>
      </c>
      <c r="B319">
        <v>2024</v>
      </c>
      <c r="C319">
        <v>1320</v>
      </c>
      <c r="D319">
        <v>79</v>
      </c>
      <c r="E319">
        <v>72</v>
      </c>
      <c r="F319">
        <v>3602.38</v>
      </c>
      <c r="G319">
        <v>5.4545000000000003E-2</v>
      </c>
      <c r="H319">
        <v>19</v>
      </c>
      <c r="I319">
        <v>34</v>
      </c>
      <c r="J319">
        <v>11</v>
      </c>
      <c r="K319">
        <v>11</v>
      </c>
      <c r="L319">
        <v>0</v>
      </c>
      <c r="M319">
        <v>2</v>
      </c>
      <c r="N319">
        <v>3</v>
      </c>
      <c r="O319">
        <v>5</v>
      </c>
      <c r="P319" t="s">
        <v>175</v>
      </c>
      <c r="Q319" t="str">
        <f>VLOOKUP(A319,Cleaned_Seller_Master!$A:$H,2,FALSE)</f>
        <v>Pulse Commerce 032</v>
      </c>
      <c r="R319" t="str">
        <f>VLOOKUP(A319,Cleaned_Seller_Master!$A:$H,4,FALSE)</f>
        <v>Beauty</v>
      </c>
      <c r="S319" t="str">
        <f>VLOOKUP(A319,Cleaned_Seller_Master!$A:$H,5,FALSE)</f>
        <v>South</v>
      </c>
      <c r="T319" t="str">
        <f>VLOOKUP(A319,Cleaned_Seller_Master!$A:$H,8,FALSE)</f>
        <v>Verified</v>
      </c>
      <c r="U319" t="str">
        <f>VLOOKUP(A319,Cleaned_Seller_Master!$A:$H,7,FALSE)</f>
        <v>11-07-2020</v>
      </c>
      <c r="V319">
        <f>IFERROR(INDEX(Violation_Summary_Seller_Year!$C:$C,MATCH(AD319,Violation_Summary_Seller_Year!$K:$K,0)),0)</f>
        <v>3</v>
      </c>
      <c r="W319">
        <f>IFERROR(INDEX(Violation_Summary_Seller_Year!$D:$D,MATCH(AD319,Violation_Summary_Seller_Year!$K:$K,0)),0)</f>
        <v>1772.7499999999998</v>
      </c>
      <c r="X319">
        <f>IFERROR(INDEX(Violation_Summary_Seller_Year!$E:$E,MATCH(AD319,Violation_Summary_Seller_Year!$K:$K,0)),0)</f>
        <v>0</v>
      </c>
      <c r="Y319">
        <f>IFERROR(INDEX(Violation_Summary_Seller_Year!$F:$F,MATCH(AD319,Violation_Summary_Seller_Year!$K:$K,0)),0)</f>
        <v>2</v>
      </c>
      <c r="Z319">
        <f>IFERROR(INDEX(Violation_Summary_Seller_Year!$G:$G,MATCH(AD319,Violation_Summary_Seller_Year!$K:$K,0)),0)</f>
        <v>1</v>
      </c>
      <c r="AA319">
        <f>IFERROR(INDEX(Violation_Summary_Seller_Year!$H:$H,MATCH(AD319,Violation_Summary_Seller_Year!$K:$K,0)),0)</f>
        <v>0</v>
      </c>
      <c r="AB319">
        <f>IFERROR(INDEX(Violation_Summary_Seller_Year!$I:$I,MATCH(AD319,Violation_Summary_Seller_Year!$K:$K,0)),0)</f>
        <v>2</v>
      </c>
      <c r="AC319">
        <f>IFERROR(INDEX(Violation_Summary_Seller_Year!$J:$J,MATCH(AD319,Violation_Summary_Seller_Year!$K:$K,0)),0)</f>
        <v>23</v>
      </c>
      <c r="AD319" t="str">
        <f t="shared" si="32"/>
        <v>32_2024</v>
      </c>
      <c r="AE319">
        <f t="shared" si="33"/>
        <v>1</v>
      </c>
      <c r="AF319">
        <f t="shared" si="34"/>
        <v>2</v>
      </c>
      <c r="AG319">
        <f t="shared" si="35"/>
        <v>1</v>
      </c>
      <c r="AH319">
        <f t="shared" si="36"/>
        <v>0</v>
      </c>
      <c r="AI319">
        <f t="shared" si="37"/>
        <v>1</v>
      </c>
      <c r="AJ319">
        <f t="shared" si="38"/>
        <v>105</v>
      </c>
      <c r="AK319" t="str">
        <f t="shared" si="39"/>
        <v>Medium</v>
      </c>
    </row>
    <row r="320" spans="1:37" x14ac:dyDescent="0.3">
      <c r="A320">
        <v>33</v>
      </c>
      <c r="B320">
        <v>2024</v>
      </c>
      <c r="C320">
        <v>663</v>
      </c>
      <c r="D320">
        <v>29</v>
      </c>
      <c r="E320">
        <v>21</v>
      </c>
      <c r="F320">
        <v>1984.94</v>
      </c>
      <c r="G320">
        <v>3.1674000000000001E-2</v>
      </c>
      <c r="H320">
        <v>7</v>
      </c>
      <c r="I320">
        <v>16</v>
      </c>
      <c r="J320">
        <v>5</v>
      </c>
      <c r="K320">
        <v>3</v>
      </c>
      <c r="L320">
        <v>0</v>
      </c>
      <c r="M320">
        <v>1</v>
      </c>
      <c r="N320">
        <v>1</v>
      </c>
      <c r="O320">
        <v>2</v>
      </c>
      <c r="P320" t="s">
        <v>175</v>
      </c>
      <c r="Q320" t="str">
        <f>VLOOKUP(A320,Cleaned_Seller_Master!$A:$H,2,FALSE)</f>
        <v>Summit Bazaar 033</v>
      </c>
      <c r="R320" t="str">
        <f>VLOOKUP(A320,Cleaned_Seller_Master!$A:$H,4,FALSE)</f>
        <v>Groceries</v>
      </c>
      <c r="S320" t="str">
        <f>VLOOKUP(A320,Cleaned_Seller_Master!$A:$H,5,FALSE)</f>
        <v>East</v>
      </c>
      <c r="T320" t="str">
        <f>VLOOKUP(A320,Cleaned_Seller_Master!$A:$H,8,FALSE)</f>
        <v>Standard</v>
      </c>
      <c r="U320" t="str">
        <f>VLOOKUP(A320,Cleaned_Seller_Master!$A:$H,7,FALSE)</f>
        <v>06-05-2019</v>
      </c>
      <c r="V320">
        <f>IFERROR(INDEX(Violation_Summary_Seller_Year!$C:$C,MATCH(AD320,Violation_Summary_Seller_Year!$K:$K,0)),0)</f>
        <v>2</v>
      </c>
      <c r="W320">
        <f>IFERROR(INDEX(Violation_Summary_Seller_Year!$D:$D,MATCH(AD320,Violation_Summary_Seller_Year!$K:$K,0)),0)</f>
        <v>1064.0999999999999</v>
      </c>
      <c r="X320">
        <f>IFERROR(INDEX(Violation_Summary_Seller_Year!$E:$E,MATCH(AD320,Violation_Summary_Seller_Year!$K:$K,0)),0)</f>
        <v>0</v>
      </c>
      <c r="Y320">
        <f>IFERROR(INDEX(Violation_Summary_Seller_Year!$F:$F,MATCH(AD320,Violation_Summary_Seller_Year!$K:$K,0)),0)</f>
        <v>1</v>
      </c>
      <c r="Z320">
        <f>IFERROR(INDEX(Violation_Summary_Seller_Year!$G:$G,MATCH(AD320,Violation_Summary_Seller_Year!$K:$K,0)),0)</f>
        <v>1</v>
      </c>
      <c r="AA320">
        <f>IFERROR(INDEX(Violation_Summary_Seller_Year!$H:$H,MATCH(AD320,Violation_Summary_Seller_Year!$K:$K,0)),0)</f>
        <v>0</v>
      </c>
      <c r="AB320">
        <f>IFERROR(INDEX(Violation_Summary_Seller_Year!$I:$I,MATCH(AD320,Violation_Summary_Seller_Year!$K:$K,0)),0)</f>
        <v>0</v>
      </c>
      <c r="AC320">
        <f>IFERROR(INDEX(Violation_Summary_Seller_Year!$J:$J,MATCH(AD320,Violation_Summary_Seller_Year!$K:$K,0)),0)</f>
        <v>10</v>
      </c>
      <c r="AD320" t="str">
        <f t="shared" si="32"/>
        <v>33_2024</v>
      </c>
      <c r="AE320">
        <f t="shared" si="33"/>
        <v>0</v>
      </c>
      <c r="AF320">
        <f t="shared" si="34"/>
        <v>1</v>
      </c>
      <c r="AG320">
        <f t="shared" si="35"/>
        <v>1</v>
      </c>
      <c r="AH320">
        <f t="shared" si="36"/>
        <v>0</v>
      </c>
      <c r="AI320">
        <f t="shared" si="37"/>
        <v>1</v>
      </c>
      <c r="AJ320">
        <f t="shared" si="38"/>
        <v>55</v>
      </c>
      <c r="AK320" t="str">
        <f t="shared" si="39"/>
        <v>Low</v>
      </c>
    </row>
    <row r="321" spans="1:37" x14ac:dyDescent="0.3">
      <c r="A321">
        <v>34</v>
      </c>
      <c r="B321">
        <v>2024</v>
      </c>
      <c r="C321">
        <v>1130</v>
      </c>
      <c r="D321">
        <v>117</v>
      </c>
      <c r="E321">
        <v>100</v>
      </c>
      <c r="F321">
        <v>5153.66</v>
      </c>
      <c r="G321">
        <v>8.8496000000000005E-2</v>
      </c>
      <c r="H321">
        <v>20</v>
      </c>
      <c r="I321">
        <v>41</v>
      </c>
      <c r="J321">
        <v>18</v>
      </c>
      <c r="K321">
        <v>17</v>
      </c>
      <c r="L321">
        <v>1</v>
      </c>
      <c r="M321">
        <v>8</v>
      </c>
      <c r="N321">
        <v>8</v>
      </c>
      <c r="O321">
        <v>5</v>
      </c>
      <c r="P321" t="s">
        <v>85</v>
      </c>
      <c r="Q321" t="str">
        <f>VLOOKUP(A321,Cleaned_Seller_Master!$A:$H,2,FALSE)</f>
        <v>Prime Bridge 034</v>
      </c>
      <c r="R321" t="str">
        <f>VLOOKUP(A321,Cleaned_Seller_Master!$A:$H,4,FALSE)</f>
        <v>Home</v>
      </c>
      <c r="S321" t="str">
        <f>VLOOKUP(A321,Cleaned_Seller_Master!$A:$H,5,FALSE)</f>
        <v>Southeast Asia</v>
      </c>
      <c r="T321" t="str">
        <f>VLOOKUP(A321,Cleaned_Seller_Master!$A:$H,8,FALSE)</f>
        <v>Verified</v>
      </c>
      <c r="U321" t="str">
        <f>VLOOKUP(A321,Cleaned_Seller_Master!$A:$H,7,FALSE)</f>
        <v>19-07-2019</v>
      </c>
      <c r="V321">
        <f>IFERROR(INDEX(Violation_Summary_Seller_Year!$C:$C,MATCH(AD321,Violation_Summary_Seller_Year!$K:$K,0)),0)</f>
        <v>3</v>
      </c>
      <c r="W321">
        <f>IFERROR(INDEX(Violation_Summary_Seller_Year!$D:$D,MATCH(AD321,Violation_Summary_Seller_Year!$K:$K,0)),0)</f>
        <v>7894.91</v>
      </c>
      <c r="X321">
        <f>IFERROR(INDEX(Violation_Summary_Seller_Year!$E:$E,MATCH(AD321,Violation_Summary_Seller_Year!$K:$K,0)),0)</f>
        <v>2</v>
      </c>
      <c r="Y321">
        <f>IFERROR(INDEX(Violation_Summary_Seller_Year!$F:$F,MATCH(AD321,Violation_Summary_Seller_Year!$K:$K,0)),0)</f>
        <v>1</v>
      </c>
      <c r="Z321">
        <f>IFERROR(INDEX(Violation_Summary_Seller_Year!$G:$G,MATCH(AD321,Violation_Summary_Seller_Year!$K:$K,0)),0)</f>
        <v>2</v>
      </c>
      <c r="AA321">
        <f>IFERROR(INDEX(Violation_Summary_Seller_Year!$H:$H,MATCH(AD321,Violation_Summary_Seller_Year!$K:$K,0)),0)</f>
        <v>2</v>
      </c>
      <c r="AB321">
        <f>IFERROR(INDEX(Violation_Summary_Seller_Year!$I:$I,MATCH(AD321,Violation_Summary_Seller_Year!$K:$K,0)),0)</f>
        <v>2</v>
      </c>
      <c r="AC321">
        <f>IFERROR(INDEX(Violation_Summary_Seller_Year!$J:$J,MATCH(AD321,Violation_Summary_Seller_Year!$K:$K,0)),0)</f>
        <v>23</v>
      </c>
      <c r="AD321" t="str">
        <f t="shared" si="32"/>
        <v>34_2024</v>
      </c>
      <c r="AE321">
        <f t="shared" si="33"/>
        <v>1</v>
      </c>
      <c r="AF321">
        <f t="shared" si="34"/>
        <v>2</v>
      </c>
      <c r="AG321">
        <f t="shared" si="35"/>
        <v>2</v>
      </c>
      <c r="AH321">
        <f t="shared" si="36"/>
        <v>2</v>
      </c>
      <c r="AI321">
        <f t="shared" si="37"/>
        <v>2</v>
      </c>
      <c r="AJ321">
        <f t="shared" si="38"/>
        <v>175</v>
      </c>
      <c r="AK321" t="str">
        <f t="shared" si="39"/>
        <v>High</v>
      </c>
    </row>
    <row r="322" spans="1:37" x14ac:dyDescent="0.3">
      <c r="A322">
        <v>35</v>
      </c>
      <c r="B322">
        <v>2024</v>
      </c>
      <c r="C322">
        <v>493</v>
      </c>
      <c r="D322">
        <v>43</v>
      </c>
      <c r="E322">
        <v>31</v>
      </c>
      <c r="F322">
        <v>2454.1799999999998</v>
      </c>
      <c r="G322">
        <v>6.2880000000000005E-2</v>
      </c>
      <c r="H322">
        <v>12</v>
      </c>
      <c r="I322">
        <v>20</v>
      </c>
      <c r="J322">
        <v>7</v>
      </c>
      <c r="K322">
        <v>7</v>
      </c>
      <c r="L322">
        <v>1</v>
      </c>
      <c r="M322">
        <v>6</v>
      </c>
      <c r="N322">
        <v>6</v>
      </c>
      <c r="O322">
        <v>1</v>
      </c>
      <c r="P322" t="s">
        <v>85</v>
      </c>
      <c r="Q322" t="str">
        <f>VLOOKUP(A322,Cleaned_Seller_Master!$A:$H,2,FALSE)</f>
        <v>Apex Retail 035</v>
      </c>
      <c r="R322" t="str">
        <f>VLOOKUP(A322,Cleaned_Seller_Master!$A:$H,4,FALSE)</f>
        <v>Beauty</v>
      </c>
      <c r="S322" t="str">
        <f>VLOOKUP(A322,Cleaned_Seller_Master!$A:$H,5,FALSE)</f>
        <v>East</v>
      </c>
      <c r="T322" t="str">
        <f>VLOOKUP(A322,Cleaned_Seller_Master!$A:$H,8,FALSE)</f>
        <v>Verified</v>
      </c>
      <c r="U322" t="str">
        <f>VLOOKUP(A322,Cleaned_Seller_Master!$A:$H,7,FALSE)</f>
        <v>11-11-2019</v>
      </c>
      <c r="V322">
        <f>IFERROR(INDEX(Violation_Summary_Seller_Year!$C:$C,MATCH(AD322,Violation_Summary_Seller_Year!$K:$K,0)),0)</f>
        <v>6</v>
      </c>
      <c r="W322">
        <f>IFERROR(INDEX(Violation_Summary_Seller_Year!$D:$D,MATCH(AD322,Violation_Summary_Seller_Year!$K:$K,0)),0)</f>
        <v>29197.22</v>
      </c>
      <c r="X322">
        <f>IFERROR(INDEX(Violation_Summary_Seller_Year!$E:$E,MATCH(AD322,Violation_Summary_Seller_Year!$K:$K,0)),0)</f>
        <v>3</v>
      </c>
      <c r="Y322">
        <f>IFERROR(INDEX(Violation_Summary_Seller_Year!$F:$F,MATCH(AD322,Violation_Summary_Seller_Year!$K:$K,0)),0)</f>
        <v>4</v>
      </c>
      <c r="Z322">
        <f>IFERROR(INDEX(Violation_Summary_Seller_Year!$G:$G,MATCH(AD322,Violation_Summary_Seller_Year!$K:$K,0)),0)</f>
        <v>2</v>
      </c>
      <c r="AA322">
        <f>IFERROR(INDEX(Violation_Summary_Seller_Year!$H:$H,MATCH(AD322,Violation_Summary_Seller_Year!$K:$K,0)),0)</f>
        <v>5</v>
      </c>
      <c r="AB322">
        <f>IFERROR(INDEX(Violation_Summary_Seller_Year!$I:$I,MATCH(AD322,Violation_Summary_Seller_Year!$K:$K,0)),0)</f>
        <v>1</v>
      </c>
      <c r="AC322">
        <f>IFERROR(INDEX(Violation_Summary_Seller_Year!$J:$J,MATCH(AD322,Violation_Summary_Seller_Year!$K:$K,0)),0)</f>
        <v>68</v>
      </c>
      <c r="AD322" t="str">
        <f t="shared" ref="AD322:AD385" si="40">A322&amp;"_"&amp;B322</f>
        <v>35_2024</v>
      </c>
      <c r="AE322">
        <f t="shared" ref="AE322:AE385" si="41">IF(G322&gt;=0.1,2,IF(G322&gt;=0.05,1,0))</f>
        <v>1</v>
      </c>
      <c r="AF322">
        <f t="shared" ref="AF322:AF385" si="42">IF(H322&gt;=8,2,IF(H322&gt;=4,1,0))</f>
        <v>2</v>
      </c>
      <c r="AG322">
        <f t="shared" ref="AG322:AG385" si="43">IF(OR(AA322&gt;=2,V322&gt;=5),2,IF(OR(AA322&gt;=1,V322&gt;=2),1,0))</f>
        <v>2</v>
      </c>
      <c r="AH322">
        <f t="shared" ref="AH322:AH385" si="44">IF(OR(L322=1,X322&gt;=2),2,IF(X322&gt;=1,1,0))</f>
        <v>2</v>
      </c>
      <c r="AI322">
        <f t="shared" ref="AI322:AI385" si="45">IF(OR(P322="Suspended",P322="Blocked"),2,IF(OR(P322="Under Review",P322="Warning",P322="Review Required",P322="Restricted",P322="Watchlist"),1,0))</f>
        <v>2</v>
      </c>
      <c r="AJ322">
        <f t="shared" ref="AJ322:AJ385" si="46">(AE322*25)+(AF322*25)+(AG322*20)+(AH322*20)+(AI322*10)</f>
        <v>175</v>
      </c>
      <c r="AK322" t="str">
        <f t="shared" ref="AK322:AK385" si="47">IF(AJ322&gt;=120,"High",IF(AJ322&gt;=60,"Medium","Low"))</f>
        <v>High</v>
      </c>
    </row>
    <row r="323" spans="1:37" x14ac:dyDescent="0.3">
      <c r="A323">
        <v>36</v>
      </c>
      <c r="B323">
        <v>2024</v>
      </c>
      <c r="C323">
        <v>1291</v>
      </c>
      <c r="D323">
        <v>67</v>
      </c>
      <c r="E323">
        <v>62</v>
      </c>
      <c r="F323">
        <v>1917.7</v>
      </c>
      <c r="G323">
        <v>4.8024999999999998E-2</v>
      </c>
      <c r="H323">
        <v>15</v>
      </c>
      <c r="I323">
        <v>31</v>
      </c>
      <c r="J323">
        <v>8</v>
      </c>
      <c r="K323">
        <v>12</v>
      </c>
      <c r="L323">
        <v>1</v>
      </c>
      <c r="M323">
        <v>4</v>
      </c>
      <c r="N323">
        <v>5</v>
      </c>
      <c r="O323">
        <v>5</v>
      </c>
      <c r="P323" t="s">
        <v>85</v>
      </c>
      <c r="Q323" t="str">
        <f>VLOOKUP(A323,Cleaned_Seller_Master!$A:$H,2,FALSE)</f>
        <v>Nimbus Market 036</v>
      </c>
      <c r="R323" t="str">
        <f>VLOOKUP(A323,Cleaned_Seller_Master!$A:$H,4,FALSE)</f>
        <v>Fashion</v>
      </c>
      <c r="S323" t="str">
        <f>VLOOKUP(A323,Cleaned_Seller_Master!$A:$H,5,FALSE)</f>
        <v>West</v>
      </c>
      <c r="T323" t="str">
        <f>VLOOKUP(A323,Cleaned_Seller_Master!$A:$H,8,FALSE)</f>
        <v>Strategic</v>
      </c>
      <c r="U323" t="str">
        <f>VLOOKUP(A323,Cleaned_Seller_Master!$A:$H,7,FALSE)</f>
        <v>14-04-2020</v>
      </c>
      <c r="V323">
        <f>IFERROR(INDEX(Violation_Summary_Seller_Year!$C:$C,MATCH(AD323,Violation_Summary_Seller_Year!$K:$K,0)),0)</f>
        <v>1</v>
      </c>
      <c r="W323">
        <f>IFERROR(INDEX(Violation_Summary_Seller_Year!$D:$D,MATCH(AD323,Violation_Summary_Seller_Year!$K:$K,0)),0)</f>
        <v>3808.85</v>
      </c>
      <c r="X323">
        <f>IFERROR(INDEX(Violation_Summary_Seller_Year!$E:$E,MATCH(AD323,Violation_Summary_Seller_Year!$K:$K,0)),0)</f>
        <v>1</v>
      </c>
      <c r="Y323">
        <f>IFERROR(INDEX(Violation_Summary_Seller_Year!$F:$F,MATCH(AD323,Violation_Summary_Seller_Year!$K:$K,0)),0)</f>
        <v>0</v>
      </c>
      <c r="Z323">
        <f>IFERROR(INDEX(Violation_Summary_Seller_Year!$G:$G,MATCH(AD323,Violation_Summary_Seller_Year!$K:$K,0)),0)</f>
        <v>1</v>
      </c>
      <c r="AA323">
        <f>IFERROR(INDEX(Violation_Summary_Seller_Year!$H:$H,MATCH(AD323,Violation_Summary_Seller_Year!$K:$K,0)),0)</f>
        <v>1</v>
      </c>
      <c r="AB323">
        <f>IFERROR(INDEX(Violation_Summary_Seller_Year!$I:$I,MATCH(AD323,Violation_Summary_Seller_Year!$K:$K,0)),0)</f>
        <v>1</v>
      </c>
      <c r="AC323">
        <f>IFERROR(INDEX(Violation_Summary_Seller_Year!$J:$J,MATCH(AD323,Violation_Summary_Seller_Year!$K:$K,0)),0)</f>
        <v>10</v>
      </c>
      <c r="AD323" t="str">
        <f t="shared" si="40"/>
        <v>36_2024</v>
      </c>
      <c r="AE323">
        <f t="shared" si="41"/>
        <v>0</v>
      </c>
      <c r="AF323">
        <f t="shared" si="42"/>
        <v>2</v>
      </c>
      <c r="AG323">
        <f t="shared" si="43"/>
        <v>1</v>
      </c>
      <c r="AH323">
        <f t="shared" si="44"/>
        <v>2</v>
      </c>
      <c r="AI323">
        <f t="shared" si="45"/>
        <v>2</v>
      </c>
      <c r="AJ323">
        <f t="shared" si="46"/>
        <v>130</v>
      </c>
      <c r="AK323" t="str">
        <f t="shared" si="47"/>
        <v>High</v>
      </c>
    </row>
    <row r="324" spans="1:37" x14ac:dyDescent="0.3">
      <c r="A324">
        <v>37</v>
      </c>
      <c r="B324">
        <v>2024</v>
      </c>
      <c r="C324">
        <v>556</v>
      </c>
      <c r="D324">
        <v>26</v>
      </c>
      <c r="E324">
        <v>21</v>
      </c>
      <c r="F324">
        <v>812.81</v>
      </c>
      <c r="G324">
        <v>3.7769999999999998E-2</v>
      </c>
      <c r="H324">
        <v>15</v>
      </c>
      <c r="I324">
        <v>15</v>
      </c>
      <c r="J324">
        <v>5</v>
      </c>
      <c r="K324">
        <v>6</v>
      </c>
      <c r="L324">
        <v>0</v>
      </c>
      <c r="M324">
        <v>1</v>
      </c>
      <c r="N324">
        <v>3</v>
      </c>
      <c r="O324">
        <v>1</v>
      </c>
      <c r="P324" t="s">
        <v>175</v>
      </c>
      <c r="Q324" t="str">
        <f>VLOOKUP(A324,Cleaned_Seller_Master!$A:$H,2,FALSE)</f>
        <v>Metro Point 037</v>
      </c>
      <c r="R324" t="str">
        <f>VLOOKUP(A324,Cleaned_Seller_Master!$A:$H,4,FALSE)</f>
        <v>Electronics</v>
      </c>
      <c r="S324" t="str">
        <f>VLOOKUP(A324,Cleaned_Seller_Master!$A:$H,5,FALSE)</f>
        <v>East</v>
      </c>
      <c r="T324" t="str">
        <f>VLOOKUP(A324,Cleaned_Seller_Master!$A:$H,8,FALSE)</f>
        <v>Standard</v>
      </c>
      <c r="U324" t="str">
        <f>VLOOKUP(A324,Cleaned_Seller_Master!$A:$H,7,FALSE)</f>
        <v>26-07-2021</v>
      </c>
      <c r="V324">
        <f>IFERROR(INDEX(Violation_Summary_Seller_Year!$C:$C,MATCH(AD324,Violation_Summary_Seller_Year!$K:$K,0)),0)</f>
        <v>1</v>
      </c>
      <c r="W324">
        <f>IFERROR(INDEX(Violation_Summary_Seller_Year!$D:$D,MATCH(AD324,Violation_Summary_Seller_Year!$K:$K,0)),0)</f>
        <v>299.29000000000002</v>
      </c>
      <c r="X324">
        <f>IFERROR(INDEX(Violation_Summary_Seller_Year!$E:$E,MATCH(AD324,Violation_Summary_Seller_Year!$K:$K,0)),0)</f>
        <v>0</v>
      </c>
      <c r="Y324">
        <f>IFERROR(INDEX(Violation_Summary_Seller_Year!$F:$F,MATCH(AD324,Violation_Summary_Seller_Year!$K:$K,0)),0)</f>
        <v>1</v>
      </c>
      <c r="Z324">
        <f>IFERROR(INDEX(Violation_Summary_Seller_Year!$G:$G,MATCH(AD324,Violation_Summary_Seller_Year!$K:$K,0)),0)</f>
        <v>0</v>
      </c>
      <c r="AA324">
        <f>IFERROR(INDEX(Violation_Summary_Seller_Year!$H:$H,MATCH(AD324,Violation_Summary_Seller_Year!$K:$K,0)),0)</f>
        <v>0</v>
      </c>
      <c r="AB324">
        <f>IFERROR(INDEX(Violation_Summary_Seller_Year!$I:$I,MATCH(AD324,Violation_Summary_Seller_Year!$K:$K,0)),0)</f>
        <v>0</v>
      </c>
      <c r="AC324">
        <f>IFERROR(INDEX(Violation_Summary_Seller_Year!$J:$J,MATCH(AD324,Violation_Summary_Seller_Year!$K:$K,0)),0)</f>
        <v>10</v>
      </c>
      <c r="AD324" t="str">
        <f t="shared" si="40"/>
        <v>37_2024</v>
      </c>
      <c r="AE324">
        <f t="shared" si="41"/>
        <v>0</v>
      </c>
      <c r="AF324">
        <f t="shared" si="42"/>
        <v>2</v>
      </c>
      <c r="AG324">
        <f t="shared" si="43"/>
        <v>0</v>
      </c>
      <c r="AH324">
        <f t="shared" si="44"/>
        <v>0</v>
      </c>
      <c r="AI324">
        <f t="shared" si="45"/>
        <v>1</v>
      </c>
      <c r="AJ324">
        <f t="shared" si="46"/>
        <v>60</v>
      </c>
      <c r="AK324" t="str">
        <f t="shared" si="47"/>
        <v>Medium</v>
      </c>
    </row>
    <row r="325" spans="1:37" x14ac:dyDescent="0.3">
      <c r="A325">
        <v>38</v>
      </c>
      <c r="B325">
        <v>2024</v>
      </c>
      <c r="C325">
        <v>722</v>
      </c>
      <c r="D325">
        <v>37</v>
      </c>
      <c r="E325">
        <v>29</v>
      </c>
      <c r="F325">
        <v>1688.51</v>
      </c>
      <c r="G325">
        <v>4.0166E-2</v>
      </c>
      <c r="H325">
        <v>7</v>
      </c>
      <c r="I325">
        <v>13</v>
      </c>
      <c r="J325">
        <v>5</v>
      </c>
      <c r="K325">
        <v>6</v>
      </c>
      <c r="L325">
        <v>0</v>
      </c>
      <c r="M325">
        <v>2</v>
      </c>
      <c r="N325">
        <v>3</v>
      </c>
      <c r="O325">
        <v>2</v>
      </c>
      <c r="P325" t="s">
        <v>175</v>
      </c>
      <c r="Q325" t="str">
        <f>VLOOKUP(A325,Cleaned_Seller_Master!$A:$H,2,FALSE)</f>
        <v>Luna Stores 038</v>
      </c>
      <c r="R325" t="str">
        <f>VLOOKUP(A325,Cleaned_Seller_Master!$A:$H,4,FALSE)</f>
        <v>Beauty</v>
      </c>
      <c r="S325" t="str">
        <f>VLOOKUP(A325,Cleaned_Seller_Master!$A:$H,5,FALSE)</f>
        <v>North</v>
      </c>
      <c r="T325" t="str">
        <f>VLOOKUP(A325,Cleaned_Seller_Master!$A:$H,8,FALSE)</f>
        <v>Verified</v>
      </c>
      <c r="U325" t="str">
        <f>VLOOKUP(A325,Cleaned_Seller_Master!$A:$H,7,FALSE)</f>
        <v>27-02-2022</v>
      </c>
      <c r="V325">
        <f>IFERROR(INDEX(Violation_Summary_Seller_Year!$C:$C,MATCH(AD325,Violation_Summary_Seller_Year!$K:$K,0)),0)</f>
        <v>3</v>
      </c>
      <c r="W325">
        <f>IFERROR(INDEX(Violation_Summary_Seller_Year!$D:$D,MATCH(AD325,Violation_Summary_Seller_Year!$K:$K,0)),0)</f>
        <v>3133.3500000000004</v>
      </c>
      <c r="X325">
        <f>IFERROR(INDEX(Violation_Summary_Seller_Year!$E:$E,MATCH(AD325,Violation_Summary_Seller_Year!$K:$K,0)),0)</f>
        <v>0</v>
      </c>
      <c r="Y325">
        <f>IFERROR(INDEX(Violation_Summary_Seller_Year!$F:$F,MATCH(AD325,Violation_Summary_Seller_Year!$K:$K,0)),0)</f>
        <v>2</v>
      </c>
      <c r="Z325">
        <f>IFERROR(INDEX(Violation_Summary_Seller_Year!$G:$G,MATCH(AD325,Violation_Summary_Seller_Year!$K:$K,0)),0)</f>
        <v>1</v>
      </c>
      <c r="AA325">
        <f>IFERROR(INDEX(Violation_Summary_Seller_Year!$H:$H,MATCH(AD325,Violation_Summary_Seller_Year!$K:$K,0)),0)</f>
        <v>1</v>
      </c>
      <c r="AB325">
        <f>IFERROR(INDEX(Violation_Summary_Seller_Year!$I:$I,MATCH(AD325,Violation_Summary_Seller_Year!$K:$K,0)),0)</f>
        <v>2</v>
      </c>
      <c r="AC325">
        <f>IFERROR(INDEX(Violation_Summary_Seller_Year!$J:$J,MATCH(AD325,Violation_Summary_Seller_Year!$K:$K,0)),0)</f>
        <v>20</v>
      </c>
      <c r="AD325" t="str">
        <f t="shared" si="40"/>
        <v>38_2024</v>
      </c>
      <c r="AE325">
        <f t="shared" si="41"/>
        <v>0</v>
      </c>
      <c r="AF325">
        <f t="shared" si="42"/>
        <v>1</v>
      </c>
      <c r="AG325">
        <f t="shared" si="43"/>
        <v>1</v>
      </c>
      <c r="AH325">
        <f t="shared" si="44"/>
        <v>0</v>
      </c>
      <c r="AI325">
        <f t="shared" si="45"/>
        <v>1</v>
      </c>
      <c r="AJ325">
        <f t="shared" si="46"/>
        <v>55</v>
      </c>
      <c r="AK325" t="str">
        <f t="shared" si="47"/>
        <v>Low</v>
      </c>
    </row>
    <row r="326" spans="1:37" x14ac:dyDescent="0.3">
      <c r="A326">
        <v>39</v>
      </c>
      <c r="B326">
        <v>2024</v>
      </c>
      <c r="C326">
        <v>1168</v>
      </c>
      <c r="D326">
        <v>112</v>
      </c>
      <c r="E326">
        <v>94</v>
      </c>
      <c r="F326">
        <v>10694.74</v>
      </c>
      <c r="G326">
        <v>8.0478999999999995E-2</v>
      </c>
      <c r="H326">
        <v>24</v>
      </c>
      <c r="I326">
        <v>34</v>
      </c>
      <c r="J326">
        <v>13</v>
      </c>
      <c r="K326">
        <v>9</v>
      </c>
      <c r="L326">
        <v>1</v>
      </c>
      <c r="M326">
        <v>5</v>
      </c>
      <c r="N326">
        <v>6</v>
      </c>
      <c r="O326">
        <v>6</v>
      </c>
      <c r="P326" t="s">
        <v>85</v>
      </c>
      <c r="Q326" t="str">
        <f>VLOOKUP(A326,Cleaned_Seller_Master!$A:$H,2,FALSE)</f>
        <v>Elite Link 039</v>
      </c>
      <c r="R326" t="str">
        <f>VLOOKUP(A326,Cleaned_Seller_Master!$A:$H,4,FALSE)</f>
        <v>Home</v>
      </c>
      <c r="S326" t="str">
        <f>VLOOKUP(A326,Cleaned_Seller_Master!$A:$H,5,FALSE)</f>
        <v>Southeast Asia</v>
      </c>
      <c r="T326" t="str">
        <f>VLOOKUP(A326,Cleaned_Seller_Master!$A:$H,8,FALSE)</f>
        <v>Premium</v>
      </c>
      <c r="U326" t="str">
        <f>VLOOKUP(A326,Cleaned_Seller_Master!$A:$H,7,FALSE)</f>
        <v>21-07-2025</v>
      </c>
      <c r="V326">
        <f>IFERROR(INDEX(Violation_Summary_Seller_Year!$C:$C,MATCH(AD326,Violation_Summary_Seller_Year!$K:$K,0)),0)</f>
        <v>6</v>
      </c>
      <c r="W326">
        <f>IFERROR(INDEX(Violation_Summary_Seller_Year!$D:$D,MATCH(AD326,Violation_Summary_Seller_Year!$K:$K,0)),0)</f>
        <v>11899.800000000001</v>
      </c>
      <c r="X326">
        <f>IFERROR(INDEX(Violation_Summary_Seller_Year!$E:$E,MATCH(AD326,Violation_Summary_Seller_Year!$K:$K,0)),0)</f>
        <v>4</v>
      </c>
      <c r="Y326">
        <f>IFERROR(INDEX(Violation_Summary_Seller_Year!$F:$F,MATCH(AD326,Violation_Summary_Seller_Year!$K:$K,0)),0)</f>
        <v>5</v>
      </c>
      <c r="Z326">
        <f>IFERROR(INDEX(Violation_Summary_Seller_Year!$G:$G,MATCH(AD326,Violation_Summary_Seller_Year!$K:$K,0)),0)</f>
        <v>1</v>
      </c>
      <c r="AA326">
        <f>IFERROR(INDEX(Violation_Summary_Seller_Year!$H:$H,MATCH(AD326,Violation_Summary_Seller_Year!$K:$K,0)),0)</f>
        <v>3</v>
      </c>
      <c r="AB326">
        <f>IFERROR(INDEX(Violation_Summary_Seller_Year!$I:$I,MATCH(AD326,Violation_Summary_Seller_Year!$K:$K,0)),0)</f>
        <v>1</v>
      </c>
      <c r="AC326">
        <f>IFERROR(INDEX(Violation_Summary_Seller_Year!$J:$J,MATCH(AD326,Violation_Summary_Seller_Year!$K:$K,0)),0)</f>
        <v>48</v>
      </c>
      <c r="AD326" t="str">
        <f t="shared" si="40"/>
        <v>39_2024</v>
      </c>
      <c r="AE326">
        <f t="shared" si="41"/>
        <v>1</v>
      </c>
      <c r="AF326">
        <f t="shared" si="42"/>
        <v>2</v>
      </c>
      <c r="AG326">
        <f t="shared" si="43"/>
        <v>2</v>
      </c>
      <c r="AH326">
        <f t="shared" si="44"/>
        <v>2</v>
      </c>
      <c r="AI326">
        <f t="shared" si="45"/>
        <v>2</v>
      </c>
      <c r="AJ326">
        <f t="shared" si="46"/>
        <v>175</v>
      </c>
      <c r="AK326" t="str">
        <f t="shared" si="47"/>
        <v>High</v>
      </c>
    </row>
    <row r="327" spans="1:37" x14ac:dyDescent="0.3">
      <c r="A327">
        <v>40</v>
      </c>
      <c r="B327">
        <v>2024</v>
      </c>
      <c r="C327">
        <v>859</v>
      </c>
      <c r="D327">
        <v>48</v>
      </c>
      <c r="E327">
        <v>38</v>
      </c>
      <c r="F327">
        <v>2955.94</v>
      </c>
      <c r="G327">
        <v>4.4236999999999999E-2</v>
      </c>
      <c r="H327">
        <v>16</v>
      </c>
      <c r="I327">
        <v>18</v>
      </c>
      <c r="J327">
        <v>9</v>
      </c>
      <c r="K327">
        <v>9</v>
      </c>
      <c r="L327">
        <v>1</v>
      </c>
      <c r="M327">
        <v>2</v>
      </c>
      <c r="N327">
        <v>2</v>
      </c>
      <c r="O327">
        <v>1</v>
      </c>
      <c r="P327" t="s">
        <v>85</v>
      </c>
      <c r="Q327" t="str">
        <f>VLOOKUP(A327,Cleaned_Seller_Master!$A:$H,2,FALSE)</f>
        <v>Nova Cart 040</v>
      </c>
      <c r="R327" t="str">
        <f>VLOOKUP(A327,Cleaned_Seller_Master!$A:$H,4,FALSE)</f>
        <v>Electronics</v>
      </c>
      <c r="S327" t="str">
        <f>VLOOKUP(A327,Cleaned_Seller_Master!$A:$H,5,FALSE)</f>
        <v>West</v>
      </c>
      <c r="T327" t="str">
        <f>VLOOKUP(A327,Cleaned_Seller_Master!$A:$H,8,FALSE)</f>
        <v>Standard</v>
      </c>
      <c r="U327" t="str">
        <f>VLOOKUP(A327,Cleaned_Seller_Master!$A:$H,7,FALSE)</f>
        <v>17-12-2020</v>
      </c>
      <c r="V327">
        <f>IFERROR(INDEX(Violation_Summary_Seller_Year!$C:$C,MATCH(AD327,Violation_Summary_Seller_Year!$K:$K,0)),0)</f>
        <v>1</v>
      </c>
      <c r="W327">
        <f>IFERROR(INDEX(Violation_Summary_Seller_Year!$D:$D,MATCH(AD327,Violation_Summary_Seller_Year!$K:$K,0)),0)</f>
        <v>26.47</v>
      </c>
      <c r="X327">
        <f>IFERROR(INDEX(Violation_Summary_Seller_Year!$E:$E,MATCH(AD327,Violation_Summary_Seller_Year!$K:$K,0)),0)</f>
        <v>1</v>
      </c>
      <c r="Y327">
        <f>IFERROR(INDEX(Violation_Summary_Seller_Year!$F:$F,MATCH(AD327,Violation_Summary_Seller_Year!$K:$K,0)),0)</f>
        <v>1</v>
      </c>
      <c r="Z327">
        <f>IFERROR(INDEX(Violation_Summary_Seller_Year!$G:$G,MATCH(AD327,Violation_Summary_Seller_Year!$K:$K,0)),0)</f>
        <v>0</v>
      </c>
      <c r="AA327">
        <f>IFERROR(INDEX(Violation_Summary_Seller_Year!$H:$H,MATCH(AD327,Violation_Summary_Seller_Year!$K:$K,0)),0)</f>
        <v>0</v>
      </c>
      <c r="AB327">
        <f>IFERROR(INDEX(Violation_Summary_Seller_Year!$I:$I,MATCH(AD327,Violation_Summary_Seller_Year!$K:$K,0)),0)</f>
        <v>0</v>
      </c>
      <c r="AC327">
        <f>IFERROR(INDEX(Violation_Summary_Seller_Year!$J:$J,MATCH(AD327,Violation_Summary_Seller_Year!$K:$K,0)),0)</f>
        <v>3</v>
      </c>
      <c r="AD327" t="str">
        <f t="shared" si="40"/>
        <v>40_2024</v>
      </c>
      <c r="AE327">
        <f t="shared" si="41"/>
        <v>0</v>
      </c>
      <c r="AF327">
        <f t="shared" si="42"/>
        <v>2</v>
      </c>
      <c r="AG327">
        <f t="shared" si="43"/>
        <v>0</v>
      </c>
      <c r="AH327">
        <f t="shared" si="44"/>
        <v>2</v>
      </c>
      <c r="AI327">
        <f t="shared" si="45"/>
        <v>2</v>
      </c>
      <c r="AJ327">
        <f t="shared" si="46"/>
        <v>110</v>
      </c>
      <c r="AK327" t="str">
        <f t="shared" si="47"/>
        <v>Medium</v>
      </c>
    </row>
    <row r="328" spans="1:37" x14ac:dyDescent="0.3">
      <c r="A328">
        <v>41</v>
      </c>
      <c r="B328">
        <v>2024</v>
      </c>
      <c r="C328">
        <v>1781</v>
      </c>
      <c r="D328">
        <v>112</v>
      </c>
      <c r="E328">
        <v>92</v>
      </c>
      <c r="F328">
        <v>5141.79</v>
      </c>
      <c r="G328">
        <v>5.1656000000000001E-2</v>
      </c>
      <c r="H328">
        <v>30</v>
      </c>
      <c r="I328">
        <v>41</v>
      </c>
      <c r="J328">
        <v>14</v>
      </c>
      <c r="K328">
        <v>17</v>
      </c>
      <c r="L328">
        <v>0</v>
      </c>
      <c r="M328">
        <v>4</v>
      </c>
      <c r="N328">
        <v>7</v>
      </c>
      <c r="O328">
        <v>3</v>
      </c>
      <c r="P328" t="s">
        <v>175</v>
      </c>
      <c r="Q328" t="str">
        <f>VLOOKUP(A328,Cleaned_Seller_Master!$A:$H,2,FALSE)</f>
        <v>Swift Goods 041</v>
      </c>
      <c r="R328" t="str">
        <f>VLOOKUP(A328,Cleaned_Seller_Master!$A:$H,4,FALSE)</f>
        <v>Groceries</v>
      </c>
      <c r="S328" t="str">
        <f>VLOOKUP(A328,Cleaned_Seller_Master!$A:$H,5,FALSE)</f>
        <v>Southeast Asia</v>
      </c>
      <c r="T328" t="str">
        <f>VLOOKUP(A328,Cleaned_Seller_Master!$A:$H,8,FALSE)</f>
        <v>Standard</v>
      </c>
      <c r="U328" t="str">
        <f>VLOOKUP(A328,Cleaned_Seller_Master!$A:$H,7,FALSE)</f>
        <v>20-08-2023</v>
      </c>
      <c r="V328">
        <f>IFERROR(INDEX(Violation_Summary_Seller_Year!$C:$C,MATCH(AD328,Violation_Summary_Seller_Year!$K:$K,0)),0)</f>
        <v>1</v>
      </c>
      <c r="W328">
        <f>IFERROR(INDEX(Violation_Summary_Seller_Year!$D:$D,MATCH(AD328,Violation_Summary_Seller_Year!$K:$K,0)),0)</f>
        <v>3654.85</v>
      </c>
      <c r="X328">
        <f>IFERROR(INDEX(Violation_Summary_Seller_Year!$E:$E,MATCH(AD328,Violation_Summary_Seller_Year!$K:$K,0)),0)</f>
        <v>0</v>
      </c>
      <c r="Y328">
        <f>IFERROR(INDEX(Violation_Summary_Seller_Year!$F:$F,MATCH(AD328,Violation_Summary_Seller_Year!$K:$K,0)),0)</f>
        <v>1</v>
      </c>
      <c r="Z328">
        <f>IFERROR(INDEX(Violation_Summary_Seller_Year!$G:$G,MATCH(AD328,Violation_Summary_Seller_Year!$K:$K,0)),0)</f>
        <v>0</v>
      </c>
      <c r="AA328">
        <f>IFERROR(INDEX(Violation_Summary_Seller_Year!$H:$H,MATCH(AD328,Violation_Summary_Seller_Year!$K:$K,0)),0)</f>
        <v>1</v>
      </c>
      <c r="AB328">
        <f>IFERROR(INDEX(Violation_Summary_Seller_Year!$I:$I,MATCH(AD328,Violation_Summary_Seller_Year!$K:$K,0)),0)</f>
        <v>0</v>
      </c>
      <c r="AC328">
        <f>IFERROR(INDEX(Violation_Summary_Seller_Year!$J:$J,MATCH(AD328,Violation_Summary_Seller_Year!$K:$K,0)),0)</f>
        <v>8</v>
      </c>
      <c r="AD328" t="str">
        <f t="shared" si="40"/>
        <v>41_2024</v>
      </c>
      <c r="AE328">
        <f t="shared" si="41"/>
        <v>1</v>
      </c>
      <c r="AF328">
        <f t="shared" si="42"/>
        <v>2</v>
      </c>
      <c r="AG328">
        <f t="shared" si="43"/>
        <v>1</v>
      </c>
      <c r="AH328">
        <f t="shared" si="44"/>
        <v>0</v>
      </c>
      <c r="AI328">
        <f t="shared" si="45"/>
        <v>1</v>
      </c>
      <c r="AJ328">
        <f t="shared" si="46"/>
        <v>105</v>
      </c>
      <c r="AK328" t="str">
        <f t="shared" si="47"/>
        <v>Medium</v>
      </c>
    </row>
    <row r="329" spans="1:37" x14ac:dyDescent="0.3">
      <c r="A329">
        <v>42</v>
      </c>
      <c r="B329">
        <v>2024</v>
      </c>
      <c r="C329">
        <v>745</v>
      </c>
      <c r="D329">
        <v>53</v>
      </c>
      <c r="E329">
        <v>46</v>
      </c>
      <c r="F329">
        <v>2766.77</v>
      </c>
      <c r="G329">
        <v>6.1745000000000001E-2</v>
      </c>
      <c r="H329">
        <v>14</v>
      </c>
      <c r="I329">
        <v>21</v>
      </c>
      <c r="J329">
        <v>6</v>
      </c>
      <c r="K329">
        <v>9</v>
      </c>
      <c r="L329">
        <v>1</v>
      </c>
      <c r="M329">
        <v>4</v>
      </c>
      <c r="N329">
        <v>5</v>
      </c>
      <c r="O329">
        <v>1</v>
      </c>
      <c r="P329" t="s">
        <v>85</v>
      </c>
      <c r="Q329" t="str">
        <f>VLOOKUP(A329,Cleaned_Seller_Master!$A:$H,2,FALSE)</f>
        <v>Blue Source 042</v>
      </c>
      <c r="R329" t="str">
        <f>VLOOKUP(A329,Cleaned_Seller_Master!$A:$H,4,FALSE)</f>
        <v>Home</v>
      </c>
      <c r="S329" t="str">
        <f>VLOOKUP(A329,Cleaned_Seller_Master!$A:$H,5,FALSE)</f>
        <v>West</v>
      </c>
      <c r="T329" t="str">
        <f>VLOOKUP(A329,Cleaned_Seller_Master!$A:$H,8,FALSE)</f>
        <v>Strategic</v>
      </c>
      <c r="U329" t="str">
        <f>VLOOKUP(A329,Cleaned_Seller_Master!$A:$H,7,FALSE)</f>
        <v>09-11-2020</v>
      </c>
      <c r="V329">
        <f>IFERROR(INDEX(Violation_Summary_Seller_Year!$C:$C,MATCH(AD329,Violation_Summary_Seller_Year!$K:$K,0)),0)</f>
        <v>4</v>
      </c>
      <c r="W329">
        <f>IFERROR(INDEX(Violation_Summary_Seller_Year!$D:$D,MATCH(AD329,Violation_Summary_Seller_Year!$K:$K,0)),0)</f>
        <v>6031.8200000000006</v>
      </c>
      <c r="X329">
        <f>IFERROR(INDEX(Violation_Summary_Seller_Year!$E:$E,MATCH(AD329,Violation_Summary_Seller_Year!$K:$K,0)),0)</f>
        <v>3</v>
      </c>
      <c r="Y329">
        <f>IFERROR(INDEX(Violation_Summary_Seller_Year!$F:$F,MATCH(AD329,Violation_Summary_Seller_Year!$K:$K,0)),0)</f>
        <v>3</v>
      </c>
      <c r="Z329">
        <f>IFERROR(INDEX(Violation_Summary_Seller_Year!$G:$G,MATCH(AD329,Violation_Summary_Seller_Year!$K:$K,0)),0)</f>
        <v>1</v>
      </c>
      <c r="AA329">
        <f>IFERROR(INDEX(Violation_Summary_Seller_Year!$H:$H,MATCH(AD329,Violation_Summary_Seller_Year!$K:$K,0)),0)</f>
        <v>1</v>
      </c>
      <c r="AB329">
        <f>IFERROR(INDEX(Violation_Summary_Seller_Year!$I:$I,MATCH(AD329,Violation_Summary_Seller_Year!$K:$K,0)),0)</f>
        <v>2</v>
      </c>
      <c r="AC329">
        <f>IFERROR(INDEX(Violation_Summary_Seller_Year!$J:$J,MATCH(AD329,Violation_Summary_Seller_Year!$K:$K,0)),0)</f>
        <v>34</v>
      </c>
      <c r="AD329" t="str">
        <f t="shared" si="40"/>
        <v>42_2024</v>
      </c>
      <c r="AE329">
        <f t="shared" si="41"/>
        <v>1</v>
      </c>
      <c r="AF329">
        <f t="shared" si="42"/>
        <v>2</v>
      </c>
      <c r="AG329">
        <f t="shared" si="43"/>
        <v>1</v>
      </c>
      <c r="AH329">
        <f t="shared" si="44"/>
        <v>2</v>
      </c>
      <c r="AI329">
        <f t="shared" si="45"/>
        <v>2</v>
      </c>
      <c r="AJ329">
        <f t="shared" si="46"/>
        <v>155</v>
      </c>
      <c r="AK329" t="str">
        <f t="shared" si="47"/>
        <v>High</v>
      </c>
    </row>
    <row r="330" spans="1:37" x14ac:dyDescent="0.3">
      <c r="A330">
        <v>43</v>
      </c>
      <c r="B330">
        <v>2024</v>
      </c>
      <c r="C330">
        <v>415</v>
      </c>
      <c r="D330">
        <v>32</v>
      </c>
      <c r="E330">
        <v>26</v>
      </c>
      <c r="F330">
        <v>2153.7199999999998</v>
      </c>
      <c r="G330">
        <v>6.2650999999999998E-2</v>
      </c>
      <c r="H330">
        <v>12</v>
      </c>
      <c r="I330">
        <v>20</v>
      </c>
      <c r="J330">
        <v>5</v>
      </c>
      <c r="K330">
        <v>6</v>
      </c>
      <c r="L330">
        <v>0</v>
      </c>
      <c r="M330">
        <v>1</v>
      </c>
      <c r="N330">
        <v>3</v>
      </c>
      <c r="O330">
        <v>1</v>
      </c>
      <c r="P330" t="s">
        <v>68</v>
      </c>
      <c r="Q330" t="str">
        <f>VLOOKUP(A330,Cleaned_Seller_Master!$A:$H,2,FALSE)</f>
        <v>Vertex Supply 043</v>
      </c>
      <c r="R330" t="str">
        <f>VLOOKUP(A330,Cleaned_Seller_Master!$A:$H,4,FALSE)</f>
        <v>Fashion</v>
      </c>
      <c r="S330" t="str">
        <f>VLOOKUP(A330,Cleaned_Seller_Master!$A:$H,5,FALSE)</f>
        <v>East</v>
      </c>
      <c r="T330" t="str">
        <f>VLOOKUP(A330,Cleaned_Seller_Master!$A:$H,8,FALSE)</f>
        <v>Verified</v>
      </c>
      <c r="U330" t="str">
        <f>VLOOKUP(A330,Cleaned_Seller_Master!$A:$H,7,FALSE)</f>
        <v>05-03-2018</v>
      </c>
      <c r="V330">
        <f>IFERROR(INDEX(Violation_Summary_Seller_Year!$C:$C,MATCH(AD330,Violation_Summary_Seller_Year!$K:$K,0)),0)</f>
        <v>4</v>
      </c>
      <c r="W330">
        <f>IFERROR(INDEX(Violation_Summary_Seller_Year!$D:$D,MATCH(AD330,Violation_Summary_Seller_Year!$K:$K,0)),0)</f>
        <v>9020.07</v>
      </c>
      <c r="X330">
        <f>IFERROR(INDEX(Violation_Summary_Seller_Year!$E:$E,MATCH(AD330,Violation_Summary_Seller_Year!$K:$K,0)),0)</f>
        <v>0</v>
      </c>
      <c r="Y330">
        <f>IFERROR(INDEX(Violation_Summary_Seller_Year!$F:$F,MATCH(AD330,Violation_Summary_Seller_Year!$K:$K,0)),0)</f>
        <v>1</v>
      </c>
      <c r="Z330">
        <f>IFERROR(INDEX(Violation_Summary_Seller_Year!$G:$G,MATCH(AD330,Violation_Summary_Seller_Year!$K:$K,0)),0)</f>
        <v>3</v>
      </c>
      <c r="AA330">
        <f>IFERROR(INDEX(Violation_Summary_Seller_Year!$H:$H,MATCH(AD330,Violation_Summary_Seller_Year!$K:$K,0)),0)</f>
        <v>2</v>
      </c>
      <c r="AB330">
        <f>IFERROR(INDEX(Violation_Summary_Seller_Year!$I:$I,MATCH(AD330,Violation_Summary_Seller_Year!$K:$K,0)),0)</f>
        <v>1</v>
      </c>
      <c r="AC330">
        <f>IFERROR(INDEX(Violation_Summary_Seller_Year!$J:$J,MATCH(AD330,Violation_Summary_Seller_Year!$K:$K,0)),0)</f>
        <v>33</v>
      </c>
      <c r="AD330" t="str">
        <f t="shared" si="40"/>
        <v>43_2024</v>
      </c>
      <c r="AE330">
        <f t="shared" si="41"/>
        <v>1</v>
      </c>
      <c r="AF330">
        <f t="shared" si="42"/>
        <v>2</v>
      </c>
      <c r="AG330">
        <f t="shared" si="43"/>
        <v>2</v>
      </c>
      <c r="AH330">
        <f t="shared" si="44"/>
        <v>0</v>
      </c>
      <c r="AI330">
        <f t="shared" si="45"/>
        <v>1</v>
      </c>
      <c r="AJ330">
        <f t="shared" si="46"/>
        <v>125</v>
      </c>
      <c r="AK330" t="str">
        <f t="shared" si="47"/>
        <v>High</v>
      </c>
    </row>
    <row r="331" spans="1:37" x14ac:dyDescent="0.3">
      <c r="A331">
        <v>44</v>
      </c>
      <c r="B331">
        <v>2024</v>
      </c>
      <c r="C331">
        <v>544</v>
      </c>
      <c r="D331">
        <v>44</v>
      </c>
      <c r="E331">
        <v>40</v>
      </c>
      <c r="F331">
        <v>1780.4</v>
      </c>
      <c r="G331">
        <v>7.3528999999999997E-2</v>
      </c>
      <c r="H331">
        <v>18</v>
      </c>
      <c r="I331">
        <v>24</v>
      </c>
      <c r="J331">
        <v>10</v>
      </c>
      <c r="K331">
        <v>10</v>
      </c>
      <c r="L331">
        <v>1</v>
      </c>
      <c r="M331">
        <v>4</v>
      </c>
      <c r="N331">
        <v>5</v>
      </c>
      <c r="O331">
        <v>2</v>
      </c>
      <c r="P331" t="s">
        <v>85</v>
      </c>
      <c r="Q331" t="str">
        <f>VLOOKUP(A331,Cleaned_Seller_Master!$A:$H,2,FALSE)</f>
        <v>Zen Mart 044</v>
      </c>
      <c r="R331" t="str">
        <f>VLOOKUP(A331,Cleaned_Seller_Master!$A:$H,4,FALSE)</f>
        <v>Home</v>
      </c>
      <c r="S331" t="str">
        <f>VLOOKUP(A331,Cleaned_Seller_Master!$A:$H,5,FALSE)</f>
        <v>North</v>
      </c>
      <c r="T331" t="str">
        <f>VLOOKUP(A331,Cleaned_Seller_Master!$A:$H,8,FALSE)</f>
        <v>Standard</v>
      </c>
      <c r="U331" t="str">
        <f>VLOOKUP(A331,Cleaned_Seller_Master!$A:$H,7,FALSE)</f>
        <v>25-07-2023</v>
      </c>
      <c r="V331">
        <f>IFERROR(INDEX(Violation_Summary_Seller_Year!$C:$C,MATCH(AD331,Violation_Summary_Seller_Year!$K:$K,0)),0)</f>
        <v>4</v>
      </c>
      <c r="W331">
        <f>IFERROR(INDEX(Violation_Summary_Seller_Year!$D:$D,MATCH(AD331,Violation_Summary_Seller_Year!$K:$K,0)),0)</f>
        <v>14752.98</v>
      </c>
      <c r="X331">
        <f>IFERROR(INDEX(Violation_Summary_Seller_Year!$E:$E,MATCH(AD331,Violation_Summary_Seller_Year!$K:$K,0)),0)</f>
        <v>1</v>
      </c>
      <c r="Y331">
        <f>IFERROR(INDEX(Violation_Summary_Seller_Year!$F:$F,MATCH(AD331,Violation_Summary_Seller_Year!$K:$K,0)),0)</f>
        <v>2</v>
      </c>
      <c r="Z331">
        <f>IFERROR(INDEX(Violation_Summary_Seller_Year!$G:$G,MATCH(AD331,Violation_Summary_Seller_Year!$K:$K,0)),0)</f>
        <v>2</v>
      </c>
      <c r="AA331">
        <f>IFERROR(INDEX(Violation_Summary_Seller_Year!$H:$H,MATCH(AD331,Violation_Summary_Seller_Year!$K:$K,0)),0)</f>
        <v>3</v>
      </c>
      <c r="AB331">
        <f>IFERROR(INDEX(Violation_Summary_Seller_Year!$I:$I,MATCH(AD331,Violation_Summary_Seller_Year!$K:$K,0)),0)</f>
        <v>1</v>
      </c>
      <c r="AC331">
        <f>IFERROR(INDEX(Violation_Summary_Seller_Year!$J:$J,MATCH(AD331,Violation_Summary_Seller_Year!$K:$K,0)),0)</f>
        <v>35</v>
      </c>
      <c r="AD331" t="str">
        <f t="shared" si="40"/>
        <v>44_2024</v>
      </c>
      <c r="AE331">
        <f t="shared" si="41"/>
        <v>1</v>
      </c>
      <c r="AF331">
        <f t="shared" si="42"/>
        <v>2</v>
      </c>
      <c r="AG331">
        <f t="shared" si="43"/>
        <v>2</v>
      </c>
      <c r="AH331">
        <f t="shared" si="44"/>
        <v>2</v>
      </c>
      <c r="AI331">
        <f t="shared" si="45"/>
        <v>2</v>
      </c>
      <c r="AJ331">
        <f t="shared" si="46"/>
        <v>175</v>
      </c>
      <c r="AK331" t="str">
        <f t="shared" si="47"/>
        <v>High</v>
      </c>
    </row>
    <row r="332" spans="1:37" x14ac:dyDescent="0.3">
      <c r="A332">
        <v>45</v>
      </c>
      <c r="B332">
        <v>2024</v>
      </c>
      <c r="C332">
        <v>1117</v>
      </c>
      <c r="D332">
        <v>62</v>
      </c>
      <c r="E332">
        <v>46</v>
      </c>
      <c r="F332">
        <v>1406.23</v>
      </c>
      <c r="G332">
        <v>4.1182000000000003E-2</v>
      </c>
      <c r="H332">
        <v>23</v>
      </c>
      <c r="I332">
        <v>28</v>
      </c>
      <c r="J332">
        <v>10</v>
      </c>
      <c r="K332">
        <v>10</v>
      </c>
      <c r="L332">
        <v>1</v>
      </c>
      <c r="M332">
        <v>4</v>
      </c>
      <c r="N332">
        <v>4</v>
      </c>
      <c r="O332">
        <v>3</v>
      </c>
      <c r="P332" t="s">
        <v>85</v>
      </c>
      <c r="Q332" t="str">
        <f>VLOOKUP(A332,Cleaned_Seller_Master!$A:$H,2,FALSE)</f>
        <v>True House 045</v>
      </c>
      <c r="R332" t="str">
        <f>VLOOKUP(A332,Cleaned_Seller_Master!$A:$H,4,FALSE)</f>
        <v>Fashion</v>
      </c>
      <c r="S332" t="str">
        <f>VLOOKUP(A332,Cleaned_Seller_Master!$A:$H,5,FALSE)</f>
        <v>East</v>
      </c>
      <c r="T332" t="str">
        <f>VLOOKUP(A332,Cleaned_Seller_Master!$A:$H,8,FALSE)</f>
        <v>Premium</v>
      </c>
      <c r="U332" t="str">
        <f>VLOOKUP(A332,Cleaned_Seller_Master!$A:$H,7,FALSE)</f>
        <v>24-09-2023</v>
      </c>
      <c r="V332">
        <f>IFERROR(INDEX(Violation_Summary_Seller_Year!$C:$C,MATCH(AD332,Violation_Summary_Seller_Year!$K:$K,0)),0)</f>
        <v>3</v>
      </c>
      <c r="W332">
        <f>IFERROR(INDEX(Violation_Summary_Seller_Year!$D:$D,MATCH(AD332,Violation_Summary_Seller_Year!$K:$K,0)),0)</f>
        <v>4599.2599999999993</v>
      </c>
      <c r="X332">
        <f>IFERROR(INDEX(Violation_Summary_Seller_Year!$E:$E,MATCH(AD332,Violation_Summary_Seller_Year!$K:$K,0)),0)</f>
        <v>3</v>
      </c>
      <c r="Y332">
        <f>IFERROR(INDEX(Violation_Summary_Seller_Year!$F:$F,MATCH(AD332,Violation_Summary_Seller_Year!$K:$K,0)),0)</f>
        <v>1</v>
      </c>
      <c r="Z332">
        <f>IFERROR(INDEX(Violation_Summary_Seller_Year!$G:$G,MATCH(AD332,Violation_Summary_Seller_Year!$K:$K,0)),0)</f>
        <v>2</v>
      </c>
      <c r="AA332">
        <f>IFERROR(INDEX(Violation_Summary_Seller_Year!$H:$H,MATCH(AD332,Violation_Summary_Seller_Year!$K:$K,0)),0)</f>
        <v>2</v>
      </c>
      <c r="AB332">
        <f>IFERROR(INDEX(Violation_Summary_Seller_Year!$I:$I,MATCH(AD332,Violation_Summary_Seller_Year!$K:$K,0)),0)</f>
        <v>2</v>
      </c>
      <c r="AC332">
        <f>IFERROR(INDEX(Violation_Summary_Seller_Year!$J:$J,MATCH(AD332,Violation_Summary_Seller_Year!$K:$K,0)),0)</f>
        <v>21</v>
      </c>
      <c r="AD332" t="str">
        <f t="shared" si="40"/>
        <v>45_2024</v>
      </c>
      <c r="AE332">
        <f t="shared" si="41"/>
        <v>0</v>
      </c>
      <c r="AF332">
        <f t="shared" si="42"/>
        <v>2</v>
      </c>
      <c r="AG332">
        <f t="shared" si="43"/>
        <v>2</v>
      </c>
      <c r="AH332">
        <f t="shared" si="44"/>
        <v>2</v>
      </c>
      <c r="AI332">
        <f t="shared" si="45"/>
        <v>2</v>
      </c>
      <c r="AJ332">
        <f t="shared" si="46"/>
        <v>150</v>
      </c>
      <c r="AK332" t="str">
        <f t="shared" si="47"/>
        <v>High</v>
      </c>
    </row>
    <row r="333" spans="1:37" x14ac:dyDescent="0.3">
      <c r="A333">
        <v>46</v>
      </c>
      <c r="B333">
        <v>2024</v>
      </c>
      <c r="C333">
        <v>617</v>
      </c>
      <c r="D333">
        <v>34</v>
      </c>
      <c r="E333">
        <v>26</v>
      </c>
      <c r="F333">
        <v>1002.68</v>
      </c>
      <c r="G333">
        <v>4.2139000000000003E-2</v>
      </c>
      <c r="H333">
        <v>17</v>
      </c>
      <c r="I333">
        <v>19</v>
      </c>
      <c r="J333">
        <v>6</v>
      </c>
      <c r="K333">
        <v>6</v>
      </c>
      <c r="L333">
        <v>0</v>
      </c>
      <c r="M333">
        <v>2</v>
      </c>
      <c r="N333">
        <v>5</v>
      </c>
      <c r="O333">
        <v>2</v>
      </c>
      <c r="P333" t="s">
        <v>175</v>
      </c>
      <c r="Q333" t="str">
        <f>VLOOKUP(A333,Cleaned_Seller_Master!$A:$H,2,FALSE)</f>
        <v>Core Traders 046</v>
      </c>
      <c r="R333" t="str">
        <f>VLOOKUP(A333,Cleaned_Seller_Master!$A:$H,4,FALSE)</f>
        <v>Home</v>
      </c>
      <c r="S333" t="str">
        <f>VLOOKUP(A333,Cleaned_Seller_Master!$A:$H,5,FALSE)</f>
        <v>East</v>
      </c>
      <c r="T333" t="str">
        <f>VLOOKUP(A333,Cleaned_Seller_Master!$A:$H,8,FALSE)</f>
        <v>Verified</v>
      </c>
      <c r="U333" t="str">
        <f>VLOOKUP(A333,Cleaned_Seller_Master!$A:$H,7,FALSE)</f>
        <v>05-08-2020</v>
      </c>
      <c r="V333">
        <f>IFERROR(INDEX(Violation_Summary_Seller_Year!$C:$C,MATCH(AD333,Violation_Summary_Seller_Year!$K:$K,0)),0)</f>
        <v>1</v>
      </c>
      <c r="W333">
        <f>IFERROR(INDEX(Violation_Summary_Seller_Year!$D:$D,MATCH(AD333,Violation_Summary_Seller_Year!$K:$K,0)),0)</f>
        <v>106.58</v>
      </c>
      <c r="X333">
        <f>IFERROR(INDEX(Violation_Summary_Seller_Year!$E:$E,MATCH(AD333,Violation_Summary_Seller_Year!$K:$K,0)),0)</f>
        <v>0</v>
      </c>
      <c r="Y333">
        <f>IFERROR(INDEX(Violation_Summary_Seller_Year!$F:$F,MATCH(AD333,Violation_Summary_Seller_Year!$K:$K,0)),0)</f>
        <v>1</v>
      </c>
      <c r="Z333">
        <f>IFERROR(INDEX(Violation_Summary_Seller_Year!$G:$G,MATCH(AD333,Violation_Summary_Seller_Year!$K:$K,0)),0)</f>
        <v>0</v>
      </c>
      <c r="AA333">
        <f>IFERROR(INDEX(Violation_Summary_Seller_Year!$H:$H,MATCH(AD333,Violation_Summary_Seller_Year!$K:$K,0)),0)</f>
        <v>0</v>
      </c>
      <c r="AB333">
        <f>IFERROR(INDEX(Violation_Summary_Seller_Year!$I:$I,MATCH(AD333,Violation_Summary_Seller_Year!$K:$K,0)),0)</f>
        <v>0</v>
      </c>
      <c r="AC333">
        <f>IFERROR(INDEX(Violation_Summary_Seller_Year!$J:$J,MATCH(AD333,Violation_Summary_Seller_Year!$K:$K,0)),0)</f>
        <v>8</v>
      </c>
      <c r="AD333" t="str">
        <f t="shared" si="40"/>
        <v>46_2024</v>
      </c>
      <c r="AE333">
        <f t="shared" si="41"/>
        <v>0</v>
      </c>
      <c r="AF333">
        <f t="shared" si="42"/>
        <v>2</v>
      </c>
      <c r="AG333">
        <f t="shared" si="43"/>
        <v>0</v>
      </c>
      <c r="AH333">
        <f t="shared" si="44"/>
        <v>0</v>
      </c>
      <c r="AI333">
        <f t="shared" si="45"/>
        <v>1</v>
      </c>
      <c r="AJ333">
        <f t="shared" si="46"/>
        <v>60</v>
      </c>
      <c r="AK333" t="str">
        <f t="shared" si="47"/>
        <v>Medium</v>
      </c>
    </row>
    <row r="334" spans="1:37" x14ac:dyDescent="0.3">
      <c r="A334">
        <v>47</v>
      </c>
      <c r="B334">
        <v>2024</v>
      </c>
      <c r="C334">
        <v>2029</v>
      </c>
      <c r="D334">
        <v>197</v>
      </c>
      <c r="E334">
        <v>177</v>
      </c>
      <c r="F334">
        <v>14862.3</v>
      </c>
      <c r="G334">
        <v>8.7234999999999993E-2</v>
      </c>
      <c r="H334">
        <v>34</v>
      </c>
      <c r="I334">
        <v>67</v>
      </c>
      <c r="J334">
        <v>18</v>
      </c>
      <c r="K334">
        <v>13</v>
      </c>
      <c r="L334">
        <v>1</v>
      </c>
      <c r="M334">
        <v>5</v>
      </c>
      <c r="N334">
        <v>8</v>
      </c>
      <c r="O334">
        <v>5</v>
      </c>
      <c r="P334" t="s">
        <v>85</v>
      </c>
      <c r="Q334" t="str">
        <f>VLOOKUP(A334,Cleaned_Seller_Master!$A:$H,2,FALSE)</f>
        <v>Urban Works 047</v>
      </c>
      <c r="R334" t="str">
        <f>VLOOKUP(A334,Cleaned_Seller_Master!$A:$H,4,FALSE)</f>
        <v>Home</v>
      </c>
      <c r="S334" t="str">
        <f>VLOOKUP(A334,Cleaned_Seller_Master!$A:$H,5,FALSE)</f>
        <v>South</v>
      </c>
      <c r="T334" t="str">
        <f>VLOOKUP(A334,Cleaned_Seller_Master!$A:$H,8,FALSE)</f>
        <v>Verified</v>
      </c>
      <c r="U334" t="str">
        <f>VLOOKUP(A334,Cleaned_Seller_Master!$A:$H,7,FALSE)</f>
        <v>09-01-2020</v>
      </c>
      <c r="V334">
        <f>IFERROR(INDEX(Violation_Summary_Seller_Year!$C:$C,MATCH(AD334,Violation_Summary_Seller_Year!$K:$K,0)),0)</f>
        <v>6</v>
      </c>
      <c r="W334">
        <f>IFERROR(INDEX(Violation_Summary_Seller_Year!$D:$D,MATCH(AD334,Violation_Summary_Seller_Year!$K:$K,0)),0)</f>
        <v>15585.03</v>
      </c>
      <c r="X334">
        <f>IFERROR(INDEX(Violation_Summary_Seller_Year!$E:$E,MATCH(AD334,Violation_Summary_Seller_Year!$K:$K,0)),0)</f>
        <v>4</v>
      </c>
      <c r="Y334">
        <f>IFERROR(INDEX(Violation_Summary_Seller_Year!$F:$F,MATCH(AD334,Violation_Summary_Seller_Year!$K:$K,0)),0)</f>
        <v>3</v>
      </c>
      <c r="Z334">
        <f>IFERROR(INDEX(Violation_Summary_Seller_Year!$G:$G,MATCH(AD334,Violation_Summary_Seller_Year!$K:$K,0)),0)</f>
        <v>3</v>
      </c>
      <c r="AA334">
        <f>IFERROR(INDEX(Violation_Summary_Seller_Year!$H:$H,MATCH(AD334,Violation_Summary_Seller_Year!$K:$K,0)),0)</f>
        <v>3</v>
      </c>
      <c r="AB334">
        <f>IFERROR(INDEX(Violation_Summary_Seller_Year!$I:$I,MATCH(AD334,Violation_Summary_Seller_Year!$K:$K,0)),0)</f>
        <v>4</v>
      </c>
      <c r="AC334">
        <f>IFERROR(INDEX(Violation_Summary_Seller_Year!$J:$J,MATCH(AD334,Violation_Summary_Seller_Year!$K:$K,0)),0)</f>
        <v>64</v>
      </c>
      <c r="AD334" t="str">
        <f t="shared" si="40"/>
        <v>47_2024</v>
      </c>
      <c r="AE334">
        <f t="shared" si="41"/>
        <v>1</v>
      </c>
      <c r="AF334">
        <f t="shared" si="42"/>
        <v>2</v>
      </c>
      <c r="AG334">
        <f t="shared" si="43"/>
        <v>2</v>
      </c>
      <c r="AH334">
        <f t="shared" si="44"/>
        <v>2</v>
      </c>
      <c r="AI334">
        <f t="shared" si="45"/>
        <v>2</v>
      </c>
      <c r="AJ334">
        <f t="shared" si="46"/>
        <v>175</v>
      </c>
      <c r="AK334" t="str">
        <f t="shared" si="47"/>
        <v>High</v>
      </c>
    </row>
    <row r="335" spans="1:37" x14ac:dyDescent="0.3">
      <c r="A335">
        <v>48</v>
      </c>
      <c r="B335">
        <v>2024</v>
      </c>
      <c r="C335">
        <v>608</v>
      </c>
      <c r="D335">
        <v>58</v>
      </c>
      <c r="E335">
        <v>51</v>
      </c>
      <c r="F335">
        <v>5216</v>
      </c>
      <c r="G335">
        <v>8.3881999999999998E-2</v>
      </c>
      <c r="H335">
        <v>18</v>
      </c>
      <c r="I335">
        <v>26</v>
      </c>
      <c r="J335">
        <v>7</v>
      </c>
      <c r="K335">
        <v>9</v>
      </c>
      <c r="L335">
        <v>1</v>
      </c>
      <c r="M335">
        <v>5</v>
      </c>
      <c r="N335">
        <v>6</v>
      </c>
      <c r="O335">
        <v>2</v>
      </c>
      <c r="P335" t="s">
        <v>85</v>
      </c>
      <c r="Q335" t="str">
        <f>VLOOKUP(A335,Cleaned_Seller_Master!$A:$H,2,FALSE)</f>
        <v>Bright Nest 048</v>
      </c>
      <c r="R335" t="str">
        <f>VLOOKUP(A335,Cleaned_Seller_Master!$A:$H,4,FALSE)</f>
        <v>Home</v>
      </c>
      <c r="S335" t="str">
        <f>VLOOKUP(A335,Cleaned_Seller_Master!$A:$H,5,FALSE)</f>
        <v>East</v>
      </c>
      <c r="T335" t="str">
        <f>VLOOKUP(A335,Cleaned_Seller_Master!$A:$H,8,FALSE)</f>
        <v>Premium</v>
      </c>
      <c r="U335" t="str">
        <f>VLOOKUP(A335,Cleaned_Seller_Master!$A:$H,7,FALSE)</f>
        <v>24-01-2025</v>
      </c>
      <c r="V335">
        <f>IFERROR(INDEX(Violation_Summary_Seller_Year!$C:$C,MATCH(AD335,Violation_Summary_Seller_Year!$K:$K,0)),0)</f>
        <v>5</v>
      </c>
      <c r="W335">
        <f>IFERROR(INDEX(Violation_Summary_Seller_Year!$D:$D,MATCH(AD335,Violation_Summary_Seller_Year!$K:$K,0)),0)</f>
        <v>15460.46</v>
      </c>
      <c r="X335">
        <f>IFERROR(INDEX(Violation_Summary_Seller_Year!$E:$E,MATCH(AD335,Violation_Summary_Seller_Year!$K:$K,0)),0)</f>
        <v>2</v>
      </c>
      <c r="Y335">
        <f>IFERROR(INDEX(Violation_Summary_Seller_Year!$F:$F,MATCH(AD335,Violation_Summary_Seller_Year!$K:$K,0)),0)</f>
        <v>3</v>
      </c>
      <c r="Z335">
        <f>IFERROR(INDEX(Violation_Summary_Seller_Year!$G:$G,MATCH(AD335,Violation_Summary_Seller_Year!$K:$K,0)),0)</f>
        <v>2</v>
      </c>
      <c r="AA335">
        <f>IFERROR(INDEX(Violation_Summary_Seller_Year!$H:$H,MATCH(AD335,Violation_Summary_Seller_Year!$K:$K,0)),0)</f>
        <v>4</v>
      </c>
      <c r="AB335">
        <f>IFERROR(INDEX(Violation_Summary_Seller_Year!$I:$I,MATCH(AD335,Violation_Summary_Seller_Year!$K:$K,0)),0)</f>
        <v>3</v>
      </c>
      <c r="AC335">
        <f>IFERROR(INDEX(Violation_Summary_Seller_Year!$J:$J,MATCH(AD335,Violation_Summary_Seller_Year!$K:$K,0)),0)</f>
        <v>52</v>
      </c>
      <c r="AD335" t="str">
        <f t="shared" si="40"/>
        <v>48_2024</v>
      </c>
      <c r="AE335">
        <f t="shared" si="41"/>
        <v>1</v>
      </c>
      <c r="AF335">
        <f t="shared" si="42"/>
        <v>2</v>
      </c>
      <c r="AG335">
        <f t="shared" si="43"/>
        <v>2</v>
      </c>
      <c r="AH335">
        <f t="shared" si="44"/>
        <v>2</v>
      </c>
      <c r="AI335">
        <f t="shared" si="45"/>
        <v>2</v>
      </c>
      <c r="AJ335">
        <f t="shared" si="46"/>
        <v>175</v>
      </c>
      <c r="AK335" t="str">
        <f t="shared" si="47"/>
        <v>High</v>
      </c>
    </row>
    <row r="336" spans="1:37" x14ac:dyDescent="0.3">
      <c r="A336">
        <v>49</v>
      </c>
      <c r="B336">
        <v>2024</v>
      </c>
      <c r="C336">
        <v>1661</v>
      </c>
      <c r="D336">
        <v>161</v>
      </c>
      <c r="E336">
        <v>135</v>
      </c>
      <c r="F336">
        <v>11874.48</v>
      </c>
      <c r="G336">
        <v>8.1276000000000001E-2</v>
      </c>
      <c r="H336">
        <v>31</v>
      </c>
      <c r="I336">
        <v>53</v>
      </c>
      <c r="J336">
        <v>20</v>
      </c>
      <c r="K336">
        <v>14</v>
      </c>
      <c r="L336">
        <v>1</v>
      </c>
      <c r="M336">
        <v>7</v>
      </c>
      <c r="N336">
        <v>8</v>
      </c>
      <c r="O336">
        <v>7</v>
      </c>
      <c r="P336" t="s">
        <v>85</v>
      </c>
      <c r="Q336" t="str">
        <f>VLOOKUP(A336,Cleaned_Seller_Master!$A:$H,2,FALSE)</f>
        <v>Golden Hub 049</v>
      </c>
      <c r="R336" t="str">
        <f>VLOOKUP(A336,Cleaned_Seller_Master!$A:$H,4,FALSE)</f>
        <v>Electronics</v>
      </c>
      <c r="S336" t="str">
        <f>VLOOKUP(A336,Cleaned_Seller_Master!$A:$H,5,FALSE)</f>
        <v>South</v>
      </c>
      <c r="T336" t="str">
        <f>VLOOKUP(A336,Cleaned_Seller_Master!$A:$H,8,FALSE)</f>
        <v>Verified</v>
      </c>
      <c r="U336" t="str">
        <f>VLOOKUP(A336,Cleaned_Seller_Master!$A:$H,7,FALSE)</f>
        <v>05-10-2018</v>
      </c>
      <c r="V336">
        <f>IFERROR(INDEX(Violation_Summary_Seller_Year!$C:$C,MATCH(AD336,Violation_Summary_Seller_Year!$K:$K,0)),0)</f>
        <v>5</v>
      </c>
      <c r="W336">
        <f>IFERROR(INDEX(Violation_Summary_Seller_Year!$D:$D,MATCH(AD336,Violation_Summary_Seller_Year!$K:$K,0)),0)</f>
        <v>14289.91</v>
      </c>
      <c r="X336">
        <f>IFERROR(INDEX(Violation_Summary_Seller_Year!$E:$E,MATCH(AD336,Violation_Summary_Seller_Year!$K:$K,0)),0)</f>
        <v>3</v>
      </c>
      <c r="Y336">
        <f>IFERROR(INDEX(Violation_Summary_Seller_Year!$F:$F,MATCH(AD336,Violation_Summary_Seller_Year!$K:$K,0)),0)</f>
        <v>3</v>
      </c>
      <c r="Z336">
        <f>IFERROR(INDEX(Violation_Summary_Seller_Year!$G:$G,MATCH(AD336,Violation_Summary_Seller_Year!$K:$K,0)),0)</f>
        <v>2</v>
      </c>
      <c r="AA336">
        <f>IFERROR(INDEX(Violation_Summary_Seller_Year!$H:$H,MATCH(AD336,Violation_Summary_Seller_Year!$K:$K,0)),0)</f>
        <v>4</v>
      </c>
      <c r="AB336">
        <f>IFERROR(INDEX(Violation_Summary_Seller_Year!$I:$I,MATCH(AD336,Violation_Summary_Seller_Year!$K:$K,0)),0)</f>
        <v>2</v>
      </c>
      <c r="AC336">
        <f>IFERROR(INDEX(Violation_Summary_Seller_Year!$J:$J,MATCH(AD336,Violation_Summary_Seller_Year!$K:$K,0)),0)</f>
        <v>36</v>
      </c>
      <c r="AD336" t="str">
        <f t="shared" si="40"/>
        <v>49_2024</v>
      </c>
      <c r="AE336">
        <f t="shared" si="41"/>
        <v>1</v>
      </c>
      <c r="AF336">
        <f t="shared" si="42"/>
        <v>2</v>
      </c>
      <c r="AG336">
        <f t="shared" si="43"/>
        <v>2</v>
      </c>
      <c r="AH336">
        <f t="shared" si="44"/>
        <v>2</v>
      </c>
      <c r="AI336">
        <f t="shared" si="45"/>
        <v>2</v>
      </c>
      <c r="AJ336">
        <f t="shared" si="46"/>
        <v>175</v>
      </c>
      <c r="AK336" t="str">
        <f t="shared" si="47"/>
        <v>High</v>
      </c>
    </row>
    <row r="337" spans="1:37" x14ac:dyDescent="0.3">
      <c r="A337">
        <v>50</v>
      </c>
      <c r="B337">
        <v>2024</v>
      </c>
      <c r="C337">
        <v>130</v>
      </c>
      <c r="D337">
        <v>10</v>
      </c>
      <c r="E337">
        <v>8</v>
      </c>
      <c r="F337">
        <v>398.78</v>
      </c>
      <c r="G337">
        <v>6.1538000000000002E-2</v>
      </c>
      <c r="H337">
        <v>9</v>
      </c>
      <c r="I337">
        <v>9</v>
      </c>
      <c r="J337">
        <v>3</v>
      </c>
      <c r="K337">
        <v>6</v>
      </c>
      <c r="L337">
        <v>1</v>
      </c>
      <c r="M337">
        <v>6</v>
      </c>
      <c r="N337">
        <v>4</v>
      </c>
      <c r="O337">
        <v>1</v>
      </c>
      <c r="P337" t="s">
        <v>85</v>
      </c>
      <c r="Q337" t="str">
        <f>VLOOKUP(A337,Cleaned_Seller_Master!$A:$H,2,FALSE)</f>
        <v>Ever Merchants 050</v>
      </c>
      <c r="R337" t="str">
        <f>VLOOKUP(A337,Cleaned_Seller_Master!$A:$H,4,FALSE)</f>
        <v>Fashion</v>
      </c>
      <c r="S337" t="str">
        <f>VLOOKUP(A337,Cleaned_Seller_Master!$A:$H,5,FALSE)</f>
        <v>South</v>
      </c>
      <c r="T337" t="str">
        <f>VLOOKUP(A337,Cleaned_Seller_Master!$A:$H,8,FALSE)</f>
        <v>Strategic</v>
      </c>
      <c r="U337" t="str">
        <f>VLOOKUP(A337,Cleaned_Seller_Master!$A:$H,7,FALSE)</f>
        <v>10-03-2019</v>
      </c>
      <c r="V337">
        <f>IFERROR(INDEX(Violation_Summary_Seller_Year!$C:$C,MATCH(AD337,Violation_Summary_Seller_Year!$K:$K,0)),0)</f>
        <v>6</v>
      </c>
      <c r="W337">
        <f>IFERROR(INDEX(Violation_Summary_Seller_Year!$D:$D,MATCH(AD337,Violation_Summary_Seller_Year!$K:$K,0)),0)</f>
        <v>20803.93</v>
      </c>
      <c r="X337">
        <f>IFERROR(INDEX(Violation_Summary_Seller_Year!$E:$E,MATCH(AD337,Violation_Summary_Seller_Year!$K:$K,0)),0)</f>
        <v>4</v>
      </c>
      <c r="Y337">
        <f>IFERROR(INDEX(Violation_Summary_Seller_Year!$F:$F,MATCH(AD337,Violation_Summary_Seller_Year!$K:$K,0)),0)</f>
        <v>3</v>
      </c>
      <c r="Z337">
        <f>IFERROR(INDEX(Violation_Summary_Seller_Year!$G:$G,MATCH(AD337,Violation_Summary_Seller_Year!$K:$K,0)),0)</f>
        <v>3</v>
      </c>
      <c r="AA337">
        <f>IFERROR(INDEX(Violation_Summary_Seller_Year!$H:$H,MATCH(AD337,Violation_Summary_Seller_Year!$K:$K,0)),0)</f>
        <v>5</v>
      </c>
      <c r="AB337">
        <f>IFERROR(INDEX(Violation_Summary_Seller_Year!$I:$I,MATCH(AD337,Violation_Summary_Seller_Year!$K:$K,0)),0)</f>
        <v>5</v>
      </c>
      <c r="AC337">
        <f>IFERROR(INDEX(Violation_Summary_Seller_Year!$J:$J,MATCH(AD337,Violation_Summary_Seller_Year!$K:$K,0)),0)</f>
        <v>49</v>
      </c>
      <c r="AD337" t="str">
        <f t="shared" si="40"/>
        <v>50_2024</v>
      </c>
      <c r="AE337">
        <f t="shared" si="41"/>
        <v>1</v>
      </c>
      <c r="AF337">
        <f t="shared" si="42"/>
        <v>2</v>
      </c>
      <c r="AG337">
        <f t="shared" si="43"/>
        <v>2</v>
      </c>
      <c r="AH337">
        <f t="shared" si="44"/>
        <v>2</v>
      </c>
      <c r="AI337">
        <f t="shared" si="45"/>
        <v>2</v>
      </c>
      <c r="AJ337">
        <f t="shared" si="46"/>
        <v>175</v>
      </c>
      <c r="AK337" t="str">
        <f t="shared" si="47"/>
        <v>High</v>
      </c>
    </row>
    <row r="338" spans="1:37" x14ac:dyDescent="0.3">
      <c r="A338">
        <v>51</v>
      </c>
      <c r="B338">
        <v>2024</v>
      </c>
      <c r="C338">
        <v>1246</v>
      </c>
      <c r="D338">
        <v>109</v>
      </c>
      <c r="E338">
        <v>94</v>
      </c>
      <c r="F338">
        <v>6908.62</v>
      </c>
      <c r="G338">
        <v>7.5440999999999994E-2</v>
      </c>
      <c r="H338">
        <v>22</v>
      </c>
      <c r="I338">
        <v>42</v>
      </c>
      <c r="J338">
        <v>12</v>
      </c>
      <c r="K338">
        <v>12</v>
      </c>
      <c r="L338">
        <v>1</v>
      </c>
      <c r="M338">
        <v>5</v>
      </c>
      <c r="N338">
        <v>7</v>
      </c>
      <c r="O338">
        <v>6</v>
      </c>
      <c r="P338" t="s">
        <v>85</v>
      </c>
      <c r="Q338" t="str">
        <f>VLOOKUP(A338,Cleaned_Seller_Master!$A:$H,2,FALSE)</f>
        <v>Orbit Square 051</v>
      </c>
      <c r="R338" t="str">
        <f>VLOOKUP(A338,Cleaned_Seller_Master!$A:$H,4,FALSE)</f>
        <v>Beauty</v>
      </c>
      <c r="S338" t="str">
        <f>VLOOKUP(A338,Cleaned_Seller_Master!$A:$H,5,FALSE)</f>
        <v>North</v>
      </c>
      <c r="T338" t="str">
        <f>VLOOKUP(A338,Cleaned_Seller_Master!$A:$H,8,FALSE)</f>
        <v>Premium</v>
      </c>
      <c r="U338" t="str">
        <f>VLOOKUP(A338,Cleaned_Seller_Master!$A:$H,7,FALSE)</f>
        <v>23-02-2020</v>
      </c>
      <c r="V338">
        <f>IFERROR(INDEX(Violation_Summary_Seller_Year!$C:$C,MATCH(AD338,Violation_Summary_Seller_Year!$K:$K,0)),0)</f>
        <v>5</v>
      </c>
      <c r="W338">
        <f>IFERROR(INDEX(Violation_Summary_Seller_Year!$D:$D,MATCH(AD338,Violation_Summary_Seller_Year!$K:$K,0)),0)</f>
        <v>12582.78</v>
      </c>
      <c r="X338">
        <f>IFERROR(INDEX(Violation_Summary_Seller_Year!$E:$E,MATCH(AD338,Violation_Summary_Seller_Year!$K:$K,0)),0)</f>
        <v>3</v>
      </c>
      <c r="Y338">
        <f>IFERROR(INDEX(Violation_Summary_Seller_Year!$F:$F,MATCH(AD338,Violation_Summary_Seller_Year!$K:$K,0)),0)</f>
        <v>2</v>
      </c>
      <c r="Z338">
        <f>IFERROR(INDEX(Violation_Summary_Seller_Year!$G:$G,MATCH(AD338,Violation_Summary_Seller_Year!$K:$K,0)),0)</f>
        <v>3</v>
      </c>
      <c r="AA338">
        <f>IFERROR(INDEX(Violation_Summary_Seller_Year!$H:$H,MATCH(AD338,Violation_Summary_Seller_Year!$K:$K,0)),0)</f>
        <v>4</v>
      </c>
      <c r="AB338">
        <f>IFERROR(INDEX(Violation_Summary_Seller_Year!$I:$I,MATCH(AD338,Violation_Summary_Seller_Year!$K:$K,0)),0)</f>
        <v>2</v>
      </c>
      <c r="AC338">
        <f>IFERROR(INDEX(Violation_Summary_Seller_Year!$J:$J,MATCH(AD338,Violation_Summary_Seller_Year!$K:$K,0)),0)</f>
        <v>39</v>
      </c>
      <c r="AD338" t="str">
        <f t="shared" si="40"/>
        <v>51_2024</v>
      </c>
      <c r="AE338">
        <f t="shared" si="41"/>
        <v>1</v>
      </c>
      <c r="AF338">
        <f t="shared" si="42"/>
        <v>2</v>
      </c>
      <c r="AG338">
        <f t="shared" si="43"/>
        <v>2</v>
      </c>
      <c r="AH338">
        <f t="shared" si="44"/>
        <v>2</v>
      </c>
      <c r="AI338">
        <f t="shared" si="45"/>
        <v>2</v>
      </c>
      <c r="AJ338">
        <f t="shared" si="46"/>
        <v>175</v>
      </c>
      <c r="AK338" t="str">
        <f t="shared" si="47"/>
        <v>High</v>
      </c>
    </row>
    <row r="339" spans="1:37" x14ac:dyDescent="0.3">
      <c r="A339">
        <v>52</v>
      </c>
      <c r="B339">
        <v>2024</v>
      </c>
      <c r="C339">
        <v>2555</v>
      </c>
      <c r="D339">
        <v>269</v>
      </c>
      <c r="E339">
        <v>231</v>
      </c>
      <c r="F339">
        <v>24837.49</v>
      </c>
      <c r="G339">
        <v>9.0411000000000005E-2</v>
      </c>
      <c r="H339">
        <v>32</v>
      </c>
      <c r="I339">
        <v>84</v>
      </c>
      <c r="J339">
        <v>35</v>
      </c>
      <c r="K339">
        <v>19</v>
      </c>
      <c r="L339">
        <v>1</v>
      </c>
      <c r="M339">
        <v>10</v>
      </c>
      <c r="N339">
        <v>8</v>
      </c>
      <c r="O339">
        <v>14</v>
      </c>
      <c r="P339" t="s">
        <v>85</v>
      </c>
      <c r="Q339" t="str">
        <f>VLOOKUP(A339,Cleaned_Seller_Master!$A:$H,2,FALSE)</f>
        <v>Pulse Commerce 052</v>
      </c>
      <c r="R339" t="str">
        <f>VLOOKUP(A339,Cleaned_Seller_Master!$A:$H,4,FALSE)</f>
        <v>Fashion</v>
      </c>
      <c r="S339" t="str">
        <f>VLOOKUP(A339,Cleaned_Seller_Master!$A:$H,5,FALSE)</f>
        <v>Southeast Asia</v>
      </c>
      <c r="T339" t="str">
        <f>VLOOKUP(A339,Cleaned_Seller_Master!$A:$H,8,FALSE)</f>
        <v>Standard</v>
      </c>
      <c r="U339" t="str">
        <f>VLOOKUP(A339,Cleaned_Seller_Master!$A:$H,7,FALSE)</f>
        <v>17-02-2023</v>
      </c>
      <c r="V339">
        <f>IFERROR(INDEX(Violation_Summary_Seller_Year!$C:$C,MATCH(AD339,Violation_Summary_Seller_Year!$K:$K,0)),0)</f>
        <v>4</v>
      </c>
      <c r="W339">
        <f>IFERROR(INDEX(Violation_Summary_Seller_Year!$D:$D,MATCH(AD339,Violation_Summary_Seller_Year!$K:$K,0)),0)</f>
        <v>10436.17</v>
      </c>
      <c r="X339">
        <f>IFERROR(INDEX(Violation_Summary_Seller_Year!$E:$E,MATCH(AD339,Violation_Summary_Seller_Year!$K:$K,0)),0)</f>
        <v>3</v>
      </c>
      <c r="Y339">
        <f>IFERROR(INDEX(Violation_Summary_Seller_Year!$F:$F,MATCH(AD339,Violation_Summary_Seller_Year!$K:$K,0)),0)</f>
        <v>3</v>
      </c>
      <c r="Z339">
        <f>IFERROR(INDEX(Violation_Summary_Seller_Year!$G:$G,MATCH(AD339,Violation_Summary_Seller_Year!$K:$K,0)),0)</f>
        <v>1</v>
      </c>
      <c r="AA339">
        <f>IFERROR(INDEX(Violation_Summary_Seller_Year!$H:$H,MATCH(AD339,Violation_Summary_Seller_Year!$K:$K,0)),0)</f>
        <v>3</v>
      </c>
      <c r="AB339">
        <f>IFERROR(INDEX(Violation_Summary_Seller_Year!$I:$I,MATCH(AD339,Violation_Summary_Seller_Year!$K:$K,0)),0)</f>
        <v>2</v>
      </c>
      <c r="AC339">
        <f>IFERROR(INDEX(Violation_Summary_Seller_Year!$J:$J,MATCH(AD339,Violation_Summary_Seller_Year!$K:$K,0)),0)</f>
        <v>50</v>
      </c>
      <c r="AD339" t="str">
        <f t="shared" si="40"/>
        <v>52_2024</v>
      </c>
      <c r="AE339">
        <f t="shared" si="41"/>
        <v>1</v>
      </c>
      <c r="AF339">
        <f t="shared" si="42"/>
        <v>2</v>
      </c>
      <c r="AG339">
        <f t="shared" si="43"/>
        <v>2</v>
      </c>
      <c r="AH339">
        <f t="shared" si="44"/>
        <v>2</v>
      </c>
      <c r="AI339">
        <f t="shared" si="45"/>
        <v>2</v>
      </c>
      <c r="AJ339">
        <f t="shared" si="46"/>
        <v>175</v>
      </c>
      <c r="AK339" t="str">
        <f t="shared" si="47"/>
        <v>High</v>
      </c>
    </row>
    <row r="340" spans="1:37" x14ac:dyDescent="0.3">
      <c r="A340">
        <v>53</v>
      </c>
      <c r="B340">
        <v>2024</v>
      </c>
      <c r="C340">
        <v>1719</v>
      </c>
      <c r="D340">
        <v>154</v>
      </c>
      <c r="E340">
        <v>124</v>
      </c>
      <c r="F340">
        <v>10715.34</v>
      </c>
      <c r="G340">
        <v>7.2135000000000005E-2</v>
      </c>
      <c r="H340">
        <v>27</v>
      </c>
      <c r="I340">
        <v>46</v>
      </c>
      <c r="J340">
        <v>15</v>
      </c>
      <c r="K340">
        <v>10</v>
      </c>
      <c r="L340">
        <v>1</v>
      </c>
      <c r="M340">
        <v>6</v>
      </c>
      <c r="N340">
        <v>6</v>
      </c>
      <c r="O340">
        <v>6</v>
      </c>
      <c r="P340" t="s">
        <v>85</v>
      </c>
      <c r="Q340" t="str">
        <f>VLOOKUP(A340,Cleaned_Seller_Master!$A:$H,2,FALSE)</f>
        <v>Summit Bazaar 053</v>
      </c>
      <c r="R340" t="str">
        <f>VLOOKUP(A340,Cleaned_Seller_Master!$A:$H,4,FALSE)</f>
        <v>Home</v>
      </c>
      <c r="S340" t="str">
        <f>VLOOKUP(A340,Cleaned_Seller_Master!$A:$H,5,FALSE)</f>
        <v>South</v>
      </c>
      <c r="T340" t="str">
        <f>VLOOKUP(A340,Cleaned_Seller_Master!$A:$H,8,FALSE)</f>
        <v>Premium</v>
      </c>
      <c r="U340" t="str">
        <f>VLOOKUP(A340,Cleaned_Seller_Master!$A:$H,7,FALSE)</f>
        <v>17-12-2019</v>
      </c>
      <c r="V340">
        <f>IFERROR(INDEX(Violation_Summary_Seller_Year!$C:$C,MATCH(AD340,Violation_Summary_Seller_Year!$K:$K,0)),0)</f>
        <v>6</v>
      </c>
      <c r="W340">
        <f>IFERROR(INDEX(Violation_Summary_Seller_Year!$D:$D,MATCH(AD340,Violation_Summary_Seller_Year!$K:$K,0)),0)</f>
        <v>18018.46</v>
      </c>
      <c r="X340">
        <f>IFERROR(INDEX(Violation_Summary_Seller_Year!$E:$E,MATCH(AD340,Violation_Summary_Seller_Year!$K:$K,0)),0)</f>
        <v>4</v>
      </c>
      <c r="Y340">
        <f>IFERROR(INDEX(Violation_Summary_Seller_Year!$F:$F,MATCH(AD340,Violation_Summary_Seller_Year!$K:$K,0)),0)</f>
        <v>5</v>
      </c>
      <c r="Z340">
        <f>IFERROR(INDEX(Violation_Summary_Seller_Year!$G:$G,MATCH(AD340,Violation_Summary_Seller_Year!$K:$K,0)),0)</f>
        <v>1</v>
      </c>
      <c r="AA340">
        <f>IFERROR(INDEX(Violation_Summary_Seller_Year!$H:$H,MATCH(AD340,Violation_Summary_Seller_Year!$K:$K,0)),0)</f>
        <v>5</v>
      </c>
      <c r="AB340">
        <f>IFERROR(INDEX(Violation_Summary_Seller_Year!$I:$I,MATCH(AD340,Violation_Summary_Seller_Year!$K:$K,0)),0)</f>
        <v>3</v>
      </c>
      <c r="AC340">
        <f>IFERROR(INDEX(Violation_Summary_Seller_Year!$J:$J,MATCH(AD340,Violation_Summary_Seller_Year!$K:$K,0)),0)</f>
        <v>73</v>
      </c>
      <c r="AD340" t="str">
        <f t="shared" si="40"/>
        <v>53_2024</v>
      </c>
      <c r="AE340">
        <f t="shared" si="41"/>
        <v>1</v>
      </c>
      <c r="AF340">
        <f t="shared" si="42"/>
        <v>2</v>
      </c>
      <c r="AG340">
        <f t="shared" si="43"/>
        <v>2</v>
      </c>
      <c r="AH340">
        <f t="shared" si="44"/>
        <v>2</v>
      </c>
      <c r="AI340">
        <f t="shared" si="45"/>
        <v>2</v>
      </c>
      <c r="AJ340">
        <f t="shared" si="46"/>
        <v>175</v>
      </c>
      <c r="AK340" t="str">
        <f t="shared" si="47"/>
        <v>High</v>
      </c>
    </row>
    <row r="341" spans="1:37" x14ac:dyDescent="0.3">
      <c r="A341">
        <v>54</v>
      </c>
      <c r="B341">
        <v>2024</v>
      </c>
      <c r="C341">
        <v>645</v>
      </c>
      <c r="D341">
        <v>34</v>
      </c>
      <c r="E341">
        <v>27</v>
      </c>
      <c r="F341">
        <v>1584.8</v>
      </c>
      <c r="G341">
        <v>4.1860000000000001E-2</v>
      </c>
      <c r="H341">
        <v>17</v>
      </c>
      <c r="I341">
        <v>19</v>
      </c>
      <c r="J341">
        <v>5</v>
      </c>
      <c r="K341">
        <v>6</v>
      </c>
      <c r="L341">
        <v>0</v>
      </c>
      <c r="M341">
        <v>1</v>
      </c>
      <c r="N341">
        <v>3</v>
      </c>
      <c r="O341">
        <v>2</v>
      </c>
      <c r="P341" t="s">
        <v>175</v>
      </c>
      <c r="Q341" t="str">
        <f>VLOOKUP(A341,Cleaned_Seller_Master!$A:$H,2,FALSE)</f>
        <v>Prime Bridge 054</v>
      </c>
      <c r="R341" t="str">
        <f>VLOOKUP(A341,Cleaned_Seller_Master!$A:$H,4,FALSE)</f>
        <v>Groceries</v>
      </c>
      <c r="S341" t="str">
        <f>VLOOKUP(A341,Cleaned_Seller_Master!$A:$H,5,FALSE)</f>
        <v>East</v>
      </c>
      <c r="T341" t="str">
        <f>VLOOKUP(A341,Cleaned_Seller_Master!$A:$H,8,FALSE)</f>
        <v>Verified</v>
      </c>
      <c r="U341" t="str">
        <f>VLOOKUP(A341,Cleaned_Seller_Master!$A:$H,7,FALSE)</f>
        <v>09-02-2021</v>
      </c>
      <c r="V341">
        <f>IFERROR(INDEX(Violation_Summary_Seller_Year!$C:$C,MATCH(AD341,Violation_Summary_Seller_Year!$K:$K,0)),0)</f>
        <v>1</v>
      </c>
      <c r="W341">
        <f>IFERROR(INDEX(Violation_Summary_Seller_Year!$D:$D,MATCH(AD341,Violation_Summary_Seller_Year!$K:$K,0)),0)</f>
        <v>1268.2</v>
      </c>
      <c r="X341">
        <f>IFERROR(INDEX(Violation_Summary_Seller_Year!$E:$E,MATCH(AD341,Violation_Summary_Seller_Year!$K:$K,0)),0)</f>
        <v>0</v>
      </c>
      <c r="Y341">
        <f>IFERROR(INDEX(Violation_Summary_Seller_Year!$F:$F,MATCH(AD341,Violation_Summary_Seller_Year!$K:$K,0)),0)</f>
        <v>0</v>
      </c>
      <c r="Z341">
        <f>IFERROR(INDEX(Violation_Summary_Seller_Year!$G:$G,MATCH(AD341,Violation_Summary_Seller_Year!$K:$K,0)),0)</f>
        <v>1</v>
      </c>
      <c r="AA341">
        <f>IFERROR(INDEX(Violation_Summary_Seller_Year!$H:$H,MATCH(AD341,Violation_Summary_Seller_Year!$K:$K,0)),0)</f>
        <v>0</v>
      </c>
      <c r="AB341">
        <f>IFERROR(INDEX(Violation_Summary_Seller_Year!$I:$I,MATCH(AD341,Violation_Summary_Seller_Year!$K:$K,0)),0)</f>
        <v>1</v>
      </c>
      <c r="AC341">
        <f>IFERROR(INDEX(Violation_Summary_Seller_Year!$J:$J,MATCH(AD341,Violation_Summary_Seller_Year!$K:$K,0)),0)</f>
        <v>9</v>
      </c>
      <c r="AD341" t="str">
        <f t="shared" si="40"/>
        <v>54_2024</v>
      </c>
      <c r="AE341">
        <f t="shared" si="41"/>
        <v>0</v>
      </c>
      <c r="AF341">
        <f t="shared" si="42"/>
        <v>2</v>
      </c>
      <c r="AG341">
        <f t="shared" si="43"/>
        <v>0</v>
      </c>
      <c r="AH341">
        <f t="shared" si="44"/>
        <v>0</v>
      </c>
      <c r="AI341">
        <f t="shared" si="45"/>
        <v>1</v>
      </c>
      <c r="AJ341">
        <f t="shared" si="46"/>
        <v>60</v>
      </c>
      <c r="AK341" t="str">
        <f t="shared" si="47"/>
        <v>Medium</v>
      </c>
    </row>
    <row r="342" spans="1:37" x14ac:dyDescent="0.3">
      <c r="A342">
        <v>55</v>
      </c>
      <c r="B342">
        <v>2024</v>
      </c>
      <c r="C342">
        <v>1354</v>
      </c>
      <c r="D342">
        <v>80</v>
      </c>
      <c r="E342">
        <v>74</v>
      </c>
      <c r="F342">
        <v>2951.3</v>
      </c>
      <c r="G342">
        <v>5.4653E-2</v>
      </c>
      <c r="H342">
        <v>20</v>
      </c>
      <c r="I342">
        <v>35</v>
      </c>
      <c r="J342">
        <v>7</v>
      </c>
      <c r="K342">
        <v>6</v>
      </c>
      <c r="L342">
        <v>0</v>
      </c>
      <c r="M342">
        <v>1</v>
      </c>
      <c r="N342">
        <v>3</v>
      </c>
      <c r="O342">
        <v>2</v>
      </c>
      <c r="P342" t="s">
        <v>175</v>
      </c>
      <c r="Q342" t="str">
        <f>VLOOKUP(A342,Cleaned_Seller_Master!$A:$H,2,FALSE)</f>
        <v>Apex Retail 055</v>
      </c>
      <c r="R342" t="str">
        <f>VLOOKUP(A342,Cleaned_Seller_Master!$A:$H,4,FALSE)</f>
        <v>Fashion</v>
      </c>
      <c r="S342" t="str">
        <f>VLOOKUP(A342,Cleaned_Seller_Master!$A:$H,5,FALSE)</f>
        <v>South</v>
      </c>
      <c r="T342" t="str">
        <f>VLOOKUP(A342,Cleaned_Seller_Master!$A:$H,8,FALSE)</f>
        <v>Verified</v>
      </c>
      <c r="U342" t="str">
        <f>VLOOKUP(A342,Cleaned_Seller_Master!$A:$H,7,FALSE)</f>
        <v>26-06-2021</v>
      </c>
      <c r="V342">
        <f>IFERROR(INDEX(Violation_Summary_Seller_Year!$C:$C,MATCH(AD342,Violation_Summary_Seller_Year!$K:$K,0)),0)</f>
        <v>2</v>
      </c>
      <c r="W342">
        <f>IFERROR(INDEX(Violation_Summary_Seller_Year!$D:$D,MATCH(AD342,Violation_Summary_Seller_Year!$K:$K,0)),0)</f>
        <v>631.53</v>
      </c>
      <c r="X342">
        <f>IFERROR(INDEX(Violation_Summary_Seller_Year!$E:$E,MATCH(AD342,Violation_Summary_Seller_Year!$K:$K,0)),0)</f>
        <v>0</v>
      </c>
      <c r="Y342">
        <f>IFERROR(INDEX(Violation_Summary_Seller_Year!$F:$F,MATCH(AD342,Violation_Summary_Seller_Year!$K:$K,0)),0)</f>
        <v>1</v>
      </c>
      <c r="Z342">
        <f>IFERROR(INDEX(Violation_Summary_Seller_Year!$G:$G,MATCH(AD342,Violation_Summary_Seller_Year!$K:$K,0)),0)</f>
        <v>1</v>
      </c>
      <c r="AA342">
        <f>IFERROR(INDEX(Violation_Summary_Seller_Year!$H:$H,MATCH(AD342,Violation_Summary_Seller_Year!$K:$K,0)),0)</f>
        <v>0</v>
      </c>
      <c r="AB342">
        <f>IFERROR(INDEX(Violation_Summary_Seller_Year!$I:$I,MATCH(AD342,Violation_Summary_Seller_Year!$K:$K,0)),0)</f>
        <v>1</v>
      </c>
      <c r="AC342">
        <f>IFERROR(INDEX(Violation_Summary_Seller_Year!$J:$J,MATCH(AD342,Violation_Summary_Seller_Year!$K:$K,0)),0)</f>
        <v>18</v>
      </c>
      <c r="AD342" t="str">
        <f t="shared" si="40"/>
        <v>55_2024</v>
      </c>
      <c r="AE342">
        <f t="shared" si="41"/>
        <v>1</v>
      </c>
      <c r="AF342">
        <f t="shared" si="42"/>
        <v>2</v>
      </c>
      <c r="AG342">
        <f t="shared" si="43"/>
        <v>1</v>
      </c>
      <c r="AH342">
        <f t="shared" si="44"/>
        <v>0</v>
      </c>
      <c r="AI342">
        <f t="shared" si="45"/>
        <v>1</v>
      </c>
      <c r="AJ342">
        <f t="shared" si="46"/>
        <v>105</v>
      </c>
      <c r="AK342" t="str">
        <f t="shared" si="47"/>
        <v>Medium</v>
      </c>
    </row>
    <row r="343" spans="1:37" x14ac:dyDescent="0.3">
      <c r="A343">
        <v>56</v>
      </c>
      <c r="B343">
        <v>2024</v>
      </c>
      <c r="C343">
        <v>612</v>
      </c>
      <c r="D343">
        <v>32</v>
      </c>
      <c r="E343">
        <v>25</v>
      </c>
      <c r="F343">
        <v>1035.3</v>
      </c>
      <c r="G343">
        <v>4.0849999999999997E-2</v>
      </c>
      <c r="H343">
        <v>17</v>
      </c>
      <c r="I343">
        <v>17</v>
      </c>
      <c r="J343">
        <v>6</v>
      </c>
      <c r="K343">
        <v>6</v>
      </c>
      <c r="L343">
        <v>0</v>
      </c>
      <c r="M343">
        <v>2</v>
      </c>
      <c r="N343">
        <v>3</v>
      </c>
      <c r="O343">
        <v>1</v>
      </c>
      <c r="P343" t="s">
        <v>68</v>
      </c>
      <c r="Q343" t="str">
        <f>VLOOKUP(A343,Cleaned_Seller_Master!$A:$H,2,FALSE)</f>
        <v>Nimbus Market 056</v>
      </c>
      <c r="R343" t="str">
        <f>VLOOKUP(A343,Cleaned_Seller_Master!$A:$H,4,FALSE)</f>
        <v>Beauty</v>
      </c>
      <c r="S343" t="str">
        <f>VLOOKUP(A343,Cleaned_Seller_Master!$A:$H,5,FALSE)</f>
        <v>North</v>
      </c>
      <c r="T343" t="str">
        <f>VLOOKUP(A343,Cleaned_Seller_Master!$A:$H,8,FALSE)</f>
        <v>Strategic</v>
      </c>
      <c r="U343" t="str">
        <f>VLOOKUP(A343,Cleaned_Seller_Master!$A:$H,7,FALSE)</f>
        <v>18-08-2023</v>
      </c>
      <c r="V343">
        <f>IFERROR(INDEX(Violation_Summary_Seller_Year!$C:$C,MATCH(AD343,Violation_Summary_Seller_Year!$K:$K,0)),0)</f>
        <v>1</v>
      </c>
      <c r="W343">
        <f>IFERROR(INDEX(Violation_Summary_Seller_Year!$D:$D,MATCH(AD343,Violation_Summary_Seller_Year!$K:$K,0)),0)</f>
        <v>5109.3900000000003</v>
      </c>
      <c r="X343">
        <f>IFERROR(INDEX(Violation_Summary_Seller_Year!$E:$E,MATCH(AD343,Violation_Summary_Seller_Year!$K:$K,0)),0)</f>
        <v>0</v>
      </c>
      <c r="Y343">
        <f>IFERROR(INDEX(Violation_Summary_Seller_Year!$F:$F,MATCH(AD343,Violation_Summary_Seller_Year!$K:$K,0)),0)</f>
        <v>1</v>
      </c>
      <c r="Z343">
        <f>IFERROR(INDEX(Violation_Summary_Seller_Year!$G:$G,MATCH(AD343,Violation_Summary_Seller_Year!$K:$K,0)),0)</f>
        <v>0</v>
      </c>
      <c r="AA343">
        <f>IFERROR(INDEX(Violation_Summary_Seller_Year!$H:$H,MATCH(AD343,Violation_Summary_Seller_Year!$K:$K,0)),0)</f>
        <v>1</v>
      </c>
      <c r="AB343">
        <f>IFERROR(INDEX(Violation_Summary_Seller_Year!$I:$I,MATCH(AD343,Violation_Summary_Seller_Year!$K:$K,0)),0)</f>
        <v>0</v>
      </c>
      <c r="AC343">
        <f>IFERROR(INDEX(Violation_Summary_Seller_Year!$J:$J,MATCH(AD343,Violation_Summary_Seller_Year!$K:$K,0)),0)</f>
        <v>3</v>
      </c>
      <c r="AD343" t="str">
        <f t="shared" si="40"/>
        <v>56_2024</v>
      </c>
      <c r="AE343">
        <f t="shared" si="41"/>
        <v>0</v>
      </c>
      <c r="AF343">
        <f t="shared" si="42"/>
        <v>2</v>
      </c>
      <c r="AG343">
        <f t="shared" si="43"/>
        <v>1</v>
      </c>
      <c r="AH343">
        <f t="shared" si="44"/>
        <v>0</v>
      </c>
      <c r="AI343">
        <f t="shared" si="45"/>
        <v>1</v>
      </c>
      <c r="AJ343">
        <f t="shared" si="46"/>
        <v>80</v>
      </c>
      <c r="AK343" t="str">
        <f t="shared" si="47"/>
        <v>Medium</v>
      </c>
    </row>
    <row r="344" spans="1:37" x14ac:dyDescent="0.3">
      <c r="A344">
        <v>57</v>
      </c>
      <c r="B344">
        <v>2024</v>
      </c>
      <c r="C344">
        <v>391</v>
      </c>
      <c r="D344">
        <v>38</v>
      </c>
      <c r="E344">
        <v>33</v>
      </c>
      <c r="F344">
        <v>3377.7</v>
      </c>
      <c r="G344">
        <v>8.4399000000000002E-2</v>
      </c>
      <c r="H344">
        <v>8</v>
      </c>
      <c r="I344">
        <v>18</v>
      </c>
      <c r="J344">
        <v>8</v>
      </c>
      <c r="K344">
        <v>4</v>
      </c>
      <c r="L344">
        <v>1</v>
      </c>
      <c r="M344">
        <v>4</v>
      </c>
      <c r="N344">
        <v>3</v>
      </c>
      <c r="O344">
        <v>3</v>
      </c>
      <c r="P344" t="s">
        <v>68</v>
      </c>
      <c r="Q344" t="str">
        <f>VLOOKUP(A344,Cleaned_Seller_Master!$A:$H,2,FALSE)</f>
        <v>Metro Point 057</v>
      </c>
      <c r="R344" t="str">
        <f>VLOOKUP(A344,Cleaned_Seller_Master!$A:$H,4,FALSE)</f>
        <v>Beauty</v>
      </c>
      <c r="S344" t="str">
        <f>VLOOKUP(A344,Cleaned_Seller_Master!$A:$H,5,FALSE)</f>
        <v>West</v>
      </c>
      <c r="T344" t="str">
        <f>VLOOKUP(A344,Cleaned_Seller_Master!$A:$H,8,FALSE)</f>
        <v>Premium</v>
      </c>
      <c r="U344" t="str">
        <f>VLOOKUP(A344,Cleaned_Seller_Master!$A:$H,7,FALSE)</f>
        <v>19-11-2021</v>
      </c>
      <c r="V344">
        <f>IFERROR(INDEX(Violation_Summary_Seller_Year!$C:$C,MATCH(AD344,Violation_Summary_Seller_Year!$K:$K,0)),0)</f>
        <v>4</v>
      </c>
      <c r="W344">
        <f>IFERROR(INDEX(Violation_Summary_Seller_Year!$D:$D,MATCH(AD344,Violation_Summary_Seller_Year!$K:$K,0)),0)</f>
        <v>6697.8900000000012</v>
      </c>
      <c r="X344">
        <f>IFERROR(INDEX(Violation_Summary_Seller_Year!$E:$E,MATCH(AD344,Violation_Summary_Seller_Year!$K:$K,0)),0)</f>
        <v>0</v>
      </c>
      <c r="Y344">
        <f>IFERROR(INDEX(Violation_Summary_Seller_Year!$F:$F,MATCH(AD344,Violation_Summary_Seller_Year!$K:$K,0)),0)</f>
        <v>3</v>
      </c>
      <c r="Z344">
        <f>IFERROR(INDEX(Violation_Summary_Seller_Year!$G:$G,MATCH(AD344,Violation_Summary_Seller_Year!$K:$K,0)),0)</f>
        <v>1</v>
      </c>
      <c r="AA344">
        <f>IFERROR(INDEX(Violation_Summary_Seller_Year!$H:$H,MATCH(AD344,Violation_Summary_Seller_Year!$K:$K,0)),0)</f>
        <v>3</v>
      </c>
      <c r="AB344">
        <f>IFERROR(INDEX(Violation_Summary_Seller_Year!$I:$I,MATCH(AD344,Violation_Summary_Seller_Year!$K:$K,0)),0)</f>
        <v>1</v>
      </c>
      <c r="AC344">
        <f>IFERROR(INDEX(Violation_Summary_Seller_Year!$J:$J,MATCH(AD344,Violation_Summary_Seller_Year!$K:$K,0)),0)</f>
        <v>40</v>
      </c>
      <c r="AD344" t="str">
        <f t="shared" si="40"/>
        <v>57_2024</v>
      </c>
      <c r="AE344">
        <f t="shared" si="41"/>
        <v>1</v>
      </c>
      <c r="AF344">
        <f t="shared" si="42"/>
        <v>2</v>
      </c>
      <c r="AG344">
        <f t="shared" si="43"/>
        <v>2</v>
      </c>
      <c r="AH344">
        <f t="shared" si="44"/>
        <v>2</v>
      </c>
      <c r="AI344">
        <f t="shared" si="45"/>
        <v>1</v>
      </c>
      <c r="AJ344">
        <f t="shared" si="46"/>
        <v>165</v>
      </c>
      <c r="AK344" t="str">
        <f t="shared" si="47"/>
        <v>High</v>
      </c>
    </row>
    <row r="345" spans="1:37" x14ac:dyDescent="0.3">
      <c r="A345">
        <v>58</v>
      </c>
      <c r="B345">
        <v>2024</v>
      </c>
      <c r="C345">
        <v>1367</v>
      </c>
      <c r="D345">
        <v>116</v>
      </c>
      <c r="E345">
        <v>102</v>
      </c>
      <c r="F345">
        <v>6078.7</v>
      </c>
      <c r="G345">
        <v>7.4616000000000002E-2</v>
      </c>
      <c r="H345">
        <v>12</v>
      </c>
      <c r="I345">
        <v>41</v>
      </c>
      <c r="J345">
        <v>17</v>
      </c>
      <c r="K345">
        <v>6</v>
      </c>
      <c r="L345">
        <v>1</v>
      </c>
      <c r="M345">
        <v>5</v>
      </c>
      <c r="N345">
        <v>5</v>
      </c>
      <c r="O345">
        <v>9</v>
      </c>
      <c r="P345" t="s">
        <v>85</v>
      </c>
      <c r="Q345" t="str">
        <f>VLOOKUP(A345,Cleaned_Seller_Master!$A:$H,2,FALSE)</f>
        <v>Luna Stores 058</v>
      </c>
      <c r="R345" t="str">
        <f>VLOOKUP(A345,Cleaned_Seller_Master!$A:$H,4,FALSE)</f>
        <v>Home</v>
      </c>
      <c r="S345" t="str">
        <f>VLOOKUP(A345,Cleaned_Seller_Master!$A:$H,5,FALSE)</f>
        <v>East</v>
      </c>
      <c r="T345" t="str">
        <f>VLOOKUP(A345,Cleaned_Seller_Master!$A:$H,8,FALSE)</f>
        <v>Strategic</v>
      </c>
      <c r="U345" t="str">
        <f>VLOOKUP(A345,Cleaned_Seller_Master!$A:$H,7,FALSE)</f>
        <v>04-04-2021</v>
      </c>
      <c r="V345">
        <f>IFERROR(INDEX(Violation_Summary_Seller_Year!$C:$C,MATCH(AD345,Violation_Summary_Seller_Year!$K:$K,0)),0)</f>
        <v>4</v>
      </c>
      <c r="W345">
        <f>IFERROR(INDEX(Violation_Summary_Seller_Year!$D:$D,MATCH(AD345,Violation_Summary_Seller_Year!$K:$K,0)),0)</f>
        <v>23420.469999999998</v>
      </c>
      <c r="X345">
        <f>IFERROR(INDEX(Violation_Summary_Seller_Year!$E:$E,MATCH(AD345,Violation_Summary_Seller_Year!$K:$K,0)),0)</f>
        <v>2</v>
      </c>
      <c r="Y345">
        <f>IFERROR(INDEX(Violation_Summary_Seller_Year!$F:$F,MATCH(AD345,Violation_Summary_Seller_Year!$K:$K,0)),0)</f>
        <v>2</v>
      </c>
      <c r="Z345">
        <f>IFERROR(INDEX(Violation_Summary_Seller_Year!$G:$G,MATCH(AD345,Violation_Summary_Seller_Year!$K:$K,0)),0)</f>
        <v>2</v>
      </c>
      <c r="AA345">
        <f>IFERROR(INDEX(Violation_Summary_Seller_Year!$H:$H,MATCH(AD345,Violation_Summary_Seller_Year!$K:$K,0)),0)</f>
        <v>4</v>
      </c>
      <c r="AB345">
        <f>IFERROR(INDEX(Violation_Summary_Seller_Year!$I:$I,MATCH(AD345,Violation_Summary_Seller_Year!$K:$K,0)),0)</f>
        <v>3</v>
      </c>
      <c r="AC345">
        <f>IFERROR(INDEX(Violation_Summary_Seller_Year!$J:$J,MATCH(AD345,Violation_Summary_Seller_Year!$K:$K,0)),0)</f>
        <v>40</v>
      </c>
      <c r="AD345" t="str">
        <f t="shared" si="40"/>
        <v>58_2024</v>
      </c>
      <c r="AE345">
        <f t="shared" si="41"/>
        <v>1</v>
      </c>
      <c r="AF345">
        <f t="shared" si="42"/>
        <v>2</v>
      </c>
      <c r="AG345">
        <f t="shared" si="43"/>
        <v>2</v>
      </c>
      <c r="AH345">
        <f t="shared" si="44"/>
        <v>2</v>
      </c>
      <c r="AI345">
        <f t="shared" si="45"/>
        <v>2</v>
      </c>
      <c r="AJ345">
        <f t="shared" si="46"/>
        <v>175</v>
      </c>
      <c r="AK345" t="str">
        <f t="shared" si="47"/>
        <v>High</v>
      </c>
    </row>
    <row r="346" spans="1:37" x14ac:dyDescent="0.3">
      <c r="A346">
        <v>59</v>
      </c>
      <c r="B346">
        <v>2024</v>
      </c>
      <c r="C346">
        <v>197</v>
      </c>
      <c r="D346">
        <v>7</v>
      </c>
      <c r="E346">
        <v>7</v>
      </c>
      <c r="F346">
        <v>380.42</v>
      </c>
      <c r="G346">
        <v>3.5533000000000002E-2</v>
      </c>
      <c r="H346">
        <v>6</v>
      </c>
      <c r="I346">
        <v>6</v>
      </c>
      <c r="J346">
        <v>2</v>
      </c>
      <c r="K346">
        <v>2</v>
      </c>
      <c r="L346">
        <v>1</v>
      </c>
      <c r="M346">
        <v>4</v>
      </c>
      <c r="N346">
        <v>3</v>
      </c>
      <c r="O346">
        <v>2</v>
      </c>
      <c r="P346" t="s">
        <v>175</v>
      </c>
      <c r="Q346" t="str">
        <f>VLOOKUP(A346,Cleaned_Seller_Master!$A:$H,2,FALSE)</f>
        <v>Elite Link 059</v>
      </c>
      <c r="R346" t="str">
        <f>VLOOKUP(A346,Cleaned_Seller_Master!$A:$H,4,FALSE)</f>
        <v>Home</v>
      </c>
      <c r="S346" t="str">
        <f>VLOOKUP(A346,Cleaned_Seller_Master!$A:$H,5,FALSE)</f>
        <v>East</v>
      </c>
      <c r="T346" t="str">
        <f>VLOOKUP(A346,Cleaned_Seller_Master!$A:$H,8,FALSE)</f>
        <v>Strategic</v>
      </c>
      <c r="U346" t="str">
        <f>VLOOKUP(A346,Cleaned_Seller_Master!$A:$H,7,FALSE)</f>
        <v>27-02-2021</v>
      </c>
      <c r="V346">
        <f>IFERROR(INDEX(Violation_Summary_Seller_Year!$C:$C,MATCH(AD346,Violation_Summary_Seller_Year!$K:$K,0)),0)</f>
        <v>1</v>
      </c>
      <c r="W346">
        <f>IFERROR(INDEX(Violation_Summary_Seller_Year!$D:$D,MATCH(AD346,Violation_Summary_Seller_Year!$K:$K,0)),0)</f>
        <v>30.97</v>
      </c>
      <c r="X346">
        <f>IFERROR(INDEX(Violation_Summary_Seller_Year!$E:$E,MATCH(AD346,Violation_Summary_Seller_Year!$K:$K,0)),0)</f>
        <v>0</v>
      </c>
      <c r="Y346">
        <f>IFERROR(INDEX(Violation_Summary_Seller_Year!$F:$F,MATCH(AD346,Violation_Summary_Seller_Year!$K:$K,0)),0)</f>
        <v>0</v>
      </c>
      <c r="Z346">
        <f>IFERROR(INDEX(Violation_Summary_Seller_Year!$G:$G,MATCH(AD346,Violation_Summary_Seller_Year!$K:$K,0)),0)</f>
        <v>1</v>
      </c>
      <c r="AA346">
        <f>IFERROR(INDEX(Violation_Summary_Seller_Year!$H:$H,MATCH(AD346,Violation_Summary_Seller_Year!$K:$K,0)),0)</f>
        <v>0</v>
      </c>
      <c r="AB346">
        <f>IFERROR(INDEX(Violation_Summary_Seller_Year!$I:$I,MATCH(AD346,Violation_Summary_Seller_Year!$K:$K,0)),0)</f>
        <v>0</v>
      </c>
      <c r="AC346">
        <f>IFERROR(INDEX(Violation_Summary_Seller_Year!$J:$J,MATCH(AD346,Violation_Summary_Seller_Year!$K:$K,0)),0)</f>
        <v>5</v>
      </c>
      <c r="AD346" t="str">
        <f t="shared" si="40"/>
        <v>59_2024</v>
      </c>
      <c r="AE346">
        <f t="shared" si="41"/>
        <v>0</v>
      </c>
      <c r="AF346">
        <f t="shared" si="42"/>
        <v>1</v>
      </c>
      <c r="AG346">
        <f t="shared" si="43"/>
        <v>0</v>
      </c>
      <c r="AH346">
        <f t="shared" si="44"/>
        <v>2</v>
      </c>
      <c r="AI346">
        <f t="shared" si="45"/>
        <v>1</v>
      </c>
      <c r="AJ346">
        <f t="shared" si="46"/>
        <v>75</v>
      </c>
      <c r="AK346" t="str">
        <f t="shared" si="47"/>
        <v>Medium</v>
      </c>
    </row>
    <row r="347" spans="1:37" x14ac:dyDescent="0.3">
      <c r="A347">
        <v>60</v>
      </c>
      <c r="B347">
        <v>2024</v>
      </c>
      <c r="C347">
        <v>1063</v>
      </c>
      <c r="D347">
        <v>89</v>
      </c>
      <c r="E347">
        <v>72</v>
      </c>
      <c r="F347">
        <v>5845.79</v>
      </c>
      <c r="G347">
        <v>6.7733000000000002E-2</v>
      </c>
      <c r="H347">
        <v>18</v>
      </c>
      <c r="I347">
        <v>38</v>
      </c>
      <c r="J347">
        <v>17</v>
      </c>
      <c r="K347">
        <v>9</v>
      </c>
      <c r="L347">
        <v>1</v>
      </c>
      <c r="M347">
        <v>3</v>
      </c>
      <c r="N347">
        <v>5</v>
      </c>
      <c r="O347">
        <v>6</v>
      </c>
      <c r="P347" t="s">
        <v>85</v>
      </c>
      <c r="Q347" t="str">
        <f>VLOOKUP(A347,Cleaned_Seller_Master!$A:$H,2,FALSE)</f>
        <v>Nova Cart 060</v>
      </c>
      <c r="R347" t="str">
        <f>VLOOKUP(A347,Cleaned_Seller_Master!$A:$H,4,FALSE)</f>
        <v>Electronics</v>
      </c>
      <c r="S347" t="str">
        <f>VLOOKUP(A347,Cleaned_Seller_Master!$A:$H,5,FALSE)</f>
        <v>Southeast Asia</v>
      </c>
      <c r="T347" t="str">
        <f>VLOOKUP(A347,Cleaned_Seller_Master!$A:$H,8,FALSE)</f>
        <v>Standard</v>
      </c>
      <c r="U347" t="str">
        <f>VLOOKUP(A347,Cleaned_Seller_Master!$A:$H,7,FALSE)</f>
        <v>28-11-2019</v>
      </c>
      <c r="V347">
        <f>IFERROR(INDEX(Violation_Summary_Seller_Year!$C:$C,MATCH(AD347,Violation_Summary_Seller_Year!$K:$K,0)),0)</f>
        <v>3</v>
      </c>
      <c r="W347">
        <f>IFERROR(INDEX(Violation_Summary_Seller_Year!$D:$D,MATCH(AD347,Violation_Summary_Seller_Year!$K:$K,0)),0)</f>
        <v>5485.2</v>
      </c>
      <c r="X347">
        <f>IFERROR(INDEX(Violation_Summary_Seller_Year!$E:$E,MATCH(AD347,Violation_Summary_Seller_Year!$K:$K,0)),0)</f>
        <v>2</v>
      </c>
      <c r="Y347">
        <f>IFERROR(INDEX(Violation_Summary_Seller_Year!$F:$F,MATCH(AD347,Violation_Summary_Seller_Year!$K:$K,0)),0)</f>
        <v>2</v>
      </c>
      <c r="Z347">
        <f>IFERROR(INDEX(Violation_Summary_Seller_Year!$G:$G,MATCH(AD347,Violation_Summary_Seller_Year!$K:$K,0)),0)</f>
        <v>1</v>
      </c>
      <c r="AA347">
        <f>IFERROR(INDEX(Violation_Summary_Seller_Year!$H:$H,MATCH(AD347,Violation_Summary_Seller_Year!$K:$K,0)),0)</f>
        <v>2</v>
      </c>
      <c r="AB347">
        <f>IFERROR(INDEX(Violation_Summary_Seller_Year!$I:$I,MATCH(AD347,Violation_Summary_Seller_Year!$K:$K,0)),0)</f>
        <v>1</v>
      </c>
      <c r="AC347">
        <f>IFERROR(INDEX(Violation_Summary_Seller_Year!$J:$J,MATCH(AD347,Violation_Summary_Seller_Year!$K:$K,0)),0)</f>
        <v>33</v>
      </c>
      <c r="AD347" t="str">
        <f t="shared" si="40"/>
        <v>60_2024</v>
      </c>
      <c r="AE347">
        <f t="shared" si="41"/>
        <v>1</v>
      </c>
      <c r="AF347">
        <f t="shared" si="42"/>
        <v>2</v>
      </c>
      <c r="AG347">
        <f t="shared" si="43"/>
        <v>2</v>
      </c>
      <c r="AH347">
        <f t="shared" si="44"/>
        <v>2</v>
      </c>
      <c r="AI347">
        <f t="shared" si="45"/>
        <v>2</v>
      </c>
      <c r="AJ347">
        <f t="shared" si="46"/>
        <v>175</v>
      </c>
      <c r="AK347" t="str">
        <f t="shared" si="47"/>
        <v>High</v>
      </c>
    </row>
    <row r="348" spans="1:37" x14ac:dyDescent="0.3">
      <c r="A348">
        <v>61</v>
      </c>
      <c r="B348">
        <v>2024</v>
      </c>
      <c r="C348">
        <v>1481</v>
      </c>
      <c r="D348">
        <v>168</v>
      </c>
      <c r="E348">
        <v>140</v>
      </c>
      <c r="F348">
        <v>9353.26</v>
      </c>
      <c r="G348">
        <v>9.4531000000000004E-2</v>
      </c>
      <c r="H348">
        <v>25</v>
      </c>
      <c r="I348">
        <v>54</v>
      </c>
      <c r="J348">
        <v>31</v>
      </c>
      <c r="K348">
        <v>13</v>
      </c>
      <c r="L348">
        <v>0</v>
      </c>
      <c r="M348">
        <v>3</v>
      </c>
      <c r="N348">
        <v>6</v>
      </c>
      <c r="O348">
        <v>10</v>
      </c>
      <c r="P348" t="s">
        <v>175</v>
      </c>
      <c r="Q348" t="str">
        <f>VLOOKUP(A348,Cleaned_Seller_Master!$A:$H,2,FALSE)</f>
        <v>Swift Goods 061</v>
      </c>
      <c r="R348" t="str">
        <f>VLOOKUP(A348,Cleaned_Seller_Master!$A:$H,4,FALSE)</f>
        <v>Electronics</v>
      </c>
      <c r="S348" t="str">
        <f>VLOOKUP(A348,Cleaned_Seller_Master!$A:$H,5,FALSE)</f>
        <v>East</v>
      </c>
      <c r="T348" t="str">
        <f>VLOOKUP(A348,Cleaned_Seller_Master!$A:$H,8,FALSE)</f>
        <v>Verified</v>
      </c>
      <c r="U348" t="str">
        <f>VLOOKUP(A348,Cleaned_Seller_Master!$A:$H,7,FALSE)</f>
        <v>13-02-2018</v>
      </c>
      <c r="V348">
        <f>IFERROR(INDEX(Violation_Summary_Seller_Year!$C:$C,MATCH(AD348,Violation_Summary_Seller_Year!$K:$K,0)),0)</f>
        <v>6</v>
      </c>
      <c r="W348">
        <f>IFERROR(INDEX(Violation_Summary_Seller_Year!$D:$D,MATCH(AD348,Violation_Summary_Seller_Year!$K:$K,0)),0)</f>
        <v>6439.3899999999994</v>
      </c>
      <c r="X348">
        <f>IFERROR(INDEX(Violation_Summary_Seller_Year!$E:$E,MATCH(AD348,Violation_Summary_Seller_Year!$K:$K,0)),0)</f>
        <v>0</v>
      </c>
      <c r="Y348">
        <f>IFERROR(INDEX(Violation_Summary_Seller_Year!$F:$F,MATCH(AD348,Violation_Summary_Seller_Year!$K:$K,0)),0)</f>
        <v>4</v>
      </c>
      <c r="Z348">
        <f>IFERROR(INDEX(Violation_Summary_Seller_Year!$G:$G,MATCH(AD348,Violation_Summary_Seller_Year!$K:$K,0)),0)</f>
        <v>2</v>
      </c>
      <c r="AA348">
        <f>IFERROR(INDEX(Violation_Summary_Seller_Year!$H:$H,MATCH(AD348,Violation_Summary_Seller_Year!$K:$K,0)),0)</f>
        <v>1</v>
      </c>
      <c r="AB348">
        <f>IFERROR(INDEX(Violation_Summary_Seller_Year!$I:$I,MATCH(AD348,Violation_Summary_Seller_Year!$K:$K,0)),0)</f>
        <v>3</v>
      </c>
      <c r="AC348">
        <f>IFERROR(INDEX(Violation_Summary_Seller_Year!$J:$J,MATCH(AD348,Violation_Summary_Seller_Year!$K:$K,0)),0)</f>
        <v>44</v>
      </c>
      <c r="AD348" t="str">
        <f t="shared" si="40"/>
        <v>61_2024</v>
      </c>
      <c r="AE348">
        <f t="shared" si="41"/>
        <v>1</v>
      </c>
      <c r="AF348">
        <f t="shared" si="42"/>
        <v>2</v>
      </c>
      <c r="AG348">
        <f t="shared" si="43"/>
        <v>2</v>
      </c>
      <c r="AH348">
        <f t="shared" si="44"/>
        <v>0</v>
      </c>
      <c r="AI348">
        <f t="shared" si="45"/>
        <v>1</v>
      </c>
      <c r="AJ348">
        <f t="shared" si="46"/>
        <v>125</v>
      </c>
      <c r="AK348" t="str">
        <f t="shared" si="47"/>
        <v>High</v>
      </c>
    </row>
    <row r="349" spans="1:37" x14ac:dyDescent="0.3">
      <c r="A349">
        <v>62</v>
      </c>
      <c r="B349">
        <v>2024</v>
      </c>
      <c r="C349">
        <v>1390</v>
      </c>
      <c r="D349">
        <v>96</v>
      </c>
      <c r="E349">
        <v>92</v>
      </c>
      <c r="F349">
        <v>6211.99</v>
      </c>
      <c r="G349">
        <v>6.6186999999999996E-2</v>
      </c>
      <c r="H349">
        <v>38</v>
      </c>
      <c r="I349">
        <v>38</v>
      </c>
      <c r="J349">
        <v>20</v>
      </c>
      <c r="K349">
        <v>13</v>
      </c>
      <c r="L349">
        <v>1</v>
      </c>
      <c r="M349">
        <v>7</v>
      </c>
      <c r="N349">
        <v>8</v>
      </c>
      <c r="O349">
        <v>5</v>
      </c>
      <c r="P349" t="s">
        <v>85</v>
      </c>
      <c r="Q349" t="str">
        <f>VLOOKUP(A349,Cleaned_Seller_Master!$A:$H,2,FALSE)</f>
        <v>Blue Source 062</v>
      </c>
      <c r="R349" t="str">
        <f>VLOOKUP(A349,Cleaned_Seller_Master!$A:$H,4,FALSE)</f>
        <v>Electronics</v>
      </c>
      <c r="S349" t="str">
        <f>VLOOKUP(A349,Cleaned_Seller_Master!$A:$H,5,FALSE)</f>
        <v>South</v>
      </c>
      <c r="T349" t="str">
        <f>VLOOKUP(A349,Cleaned_Seller_Master!$A:$H,8,FALSE)</f>
        <v>Standard</v>
      </c>
      <c r="U349" t="str">
        <f>VLOOKUP(A349,Cleaned_Seller_Master!$A:$H,7,FALSE)</f>
        <v>20-10-2024</v>
      </c>
      <c r="V349">
        <f>IFERROR(INDEX(Violation_Summary_Seller_Year!$C:$C,MATCH(AD349,Violation_Summary_Seller_Year!$K:$K,0)),0)</f>
        <v>2</v>
      </c>
      <c r="W349">
        <f>IFERROR(INDEX(Violation_Summary_Seller_Year!$D:$D,MATCH(AD349,Violation_Summary_Seller_Year!$K:$K,0)),0)</f>
        <v>2921.3700000000003</v>
      </c>
      <c r="X349">
        <f>IFERROR(INDEX(Violation_Summary_Seller_Year!$E:$E,MATCH(AD349,Violation_Summary_Seller_Year!$K:$K,0)),0)</f>
        <v>2</v>
      </c>
      <c r="Y349">
        <f>IFERROR(INDEX(Violation_Summary_Seller_Year!$F:$F,MATCH(AD349,Violation_Summary_Seller_Year!$K:$K,0)),0)</f>
        <v>0</v>
      </c>
      <c r="Z349">
        <f>IFERROR(INDEX(Violation_Summary_Seller_Year!$G:$G,MATCH(AD349,Violation_Summary_Seller_Year!$K:$K,0)),0)</f>
        <v>2</v>
      </c>
      <c r="AA349">
        <f>IFERROR(INDEX(Violation_Summary_Seller_Year!$H:$H,MATCH(AD349,Violation_Summary_Seller_Year!$K:$K,0)),0)</f>
        <v>1</v>
      </c>
      <c r="AB349">
        <f>IFERROR(INDEX(Violation_Summary_Seller_Year!$I:$I,MATCH(AD349,Violation_Summary_Seller_Year!$K:$K,0)),0)</f>
        <v>0</v>
      </c>
      <c r="AC349">
        <f>IFERROR(INDEX(Violation_Summary_Seller_Year!$J:$J,MATCH(AD349,Violation_Summary_Seller_Year!$K:$K,0)),0)</f>
        <v>18</v>
      </c>
      <c r="AD349" t="str">
        <f t="shared" si="40"/>
        <v>62_2024</v>
      </c>
      <c r="AE349">
        <f t="shared" si="41"/>
        <v>1</v>
      </c>
      <c r="AF349">
        <f t="shared" si="42"/>
        <v>2</v>
      </c>
      <c r="AG349">
        <f t="shared" si="43"/>
        <v>1</v>
      </c>
      <c r="AH349">
        <f t="shared" si="44"/>
        <v>2</v>
      </c>
      <c r="AI349">
        <f t="shared" si="45"/>
        <v>2</v>
      </c>
      <c r="AJ349">
        <f t="shared" si="46"/>
        <v>155</v>
      </c>
      <c r="AK349" t="str">
        <f t="shared" si="47"/>
        <v>High</v>
      </c>
    </row>
    <row r="350" spans="1:37" x14ac:dyDescent="0.3">
      <c r="A350">
        <v>63</v>
      </c>
      <c r="B350">
        <v>2024</v>
      </c>
      <c r="C350">
        <v>1336</v>
      </c>
      <c r="D350">
        <v>123</v>
      </c>
      <c r="E350">
        <v>110</v>
      </c>
      <c r="F350">
        <v>8661.51</v>
      </c>
      <c r="G350">
        <v>8.2335000000000005E-2</v>
      </c>
      <c r="H350">
        <v>22</v>
      </c>
      <c r="I350">
        <v>47</v>
      </c>
      <c r="J350">
        <v>22</v>
      </c>
      <c r="K350">
        <v>15</v>
      </c>
      <c r="L350">
        <v>1</v>
      </c>
      <c r="M350">
        <v>6</v>
      </c>
      <c r="N350">
        <v>7</v>
      </c>
      <c r="O350">
        <v>10</v>
      </c>
      <c r="P350" t="s">
        <v>85</v>
      </c>
      <c r="Q350" t="str">
        <f>VLOOKUP(A350,Cleaned_Seller_Master!$A:$H,2,FALSE)</f>
        <v>Vertex Supply 063</v>
      </c>
      <c r="R350" t="str">
        <f>VLOOKUP(A350,Cleaned_Seller_Master!$A:$H,4,FALSE)</f>
        <v>Home</v>
      </c>
      <c r="S350" t="str">
        <f>VLOOKUP(A350,Cleaned_Seller_Master!$A:$H,5,FALSE)</f>
        <v>East</v>
      </c>
      <c r="T350" t="str">
        <f>VLOOKUP(A350,Cleaned_Seller_Master!$A:$H,8,FALSE)</f>
        <v>Standard</v>
      </c>
      <c r="U350" t="str">
        <f>VLOOKUP(A350,Cleaned_Seller_Master!$A:$H,7,FALSE)</f>
        <v>24-10-2018</v>
      </c>
      <c r="V350">
        <f>IFERROR(INDEX(Violation_Summary_Seller_Year!$C:$C,MATCH(AD350,Violation_Summary_Seller_Year!$K:$K,0)),0)</f>
        <v>4</v>
      </c>
      <c r="W350">
        <f>IFERROR(INDEX(Violation_Summary_Seller_Year!$D:$D,MATCH(AD350,Violation_Summary_Seller_Year!$K:$K,0)),0)</f>
        <v>18510.25</v>
      </c>
      <c r="X350">
        <f>IFERROR(INDEX(Violation_Summary_Seller_Year!$E:$E,MATCH(AD350,Violation_Summary_Seller_Year!$K:$K,0)),0)</f>
        <v>2</v>
      </c>
      <c r="Y350">
        <f>IFERROR(INDEX(Violation_Summary_Seller_Year!$F:$F,MATCH(AD350,Violation_Summary_Seller_Year!$K:$K,0)),0)</f>
        <v>1</v>
      </c>
      <c r="Z350">
        <f>IFERROR(INDEX(Violation_Summary_Seller_Year!$G:$G,MATCH(AD350,Violation_Summary_Seller_Year!$K:$K,0)),0)</f>
        <v>3</v>
      </c>
      <c r="AA350">
        <f>IFERROR(INDEX(Violation_Summary_Seller_Year!$H:$H,MATCH(AD350,Violation_Summary_Seller_Year!$K:$K,0)),0)</f>
        <v>3</v>
      </c>
      <c r="AB350">
        <f>IFERROR(INDEX(Violation_Summary_Seller_Year!$I:$I,MATCH(AD350,Violation_Summary_Seller_Year!$K:$K,0)),0)</f>
        <v>1</v>
      </c>
      <c r="AC350">
        <f>IFERROR(INDEX(Violation_Summary_Seller_Year!$J:$J,MATCH(AD350,Violation_Summary_Seller_Year!$K:$K,0)),0)</f>
        <v>34</v>
      </c>
      <c r="AD350" t="str">
        <f t="shared" si="40"/>
        <v>63_2024</v>
      </c>
      <c r="AE350">
        <f t="shared" si="41"/>
        <v>1</v>
      </c>
      <c r="AF350">
        <f t="shared" si="42"/>
        <v>2</v>
      </c>
      <c r="AG350">
        <f t="shared" si="43"/>
        <v>2</v>
      </c>
      <c r="AH350">
        <f t="shared" si="44"/>
        <v>2</v>
      </c>
      <c r="AI350">
        <f t="shared" si="45"/>
        <v>2</v>
      </c>
      <c r="AJ350">
        <f t="shared" si="46"/>
        <v>175</v>
      </c>
      <c r="AK350" t="str">
        <f t="shared" si="47"/>
        <v>High</v>
      </c>
    </row>
    <row r="351" spans="1:37" x14ac:dyDescent="0.3">
      <c r="A351">
        <v>64</v>
      </c>
      <c r="B351">
        <v>2024</v>
      </c>
      <c r="C351">
        <v>445</v>
      </c>
      <c r="D351">
        <v>24</v>
      </c>
      <c r="E351">
        <v>18</v>
      </c>
      <c r="F351">
        <v>1051.6099999999999</v>
      </c>
      <c r="G351">
        <v>4.0448999999999999E-2</v>
      </c>
      <c r="H351">
        <v>9</v>
      </c>
      <c r="I351">
        <v>13</v>
      </c>
      <c r="J351">
        <v>4</v>
      </c>
      <c r="K351">
        <v>3</v>
      </c>
      <c r="L351">
        <v>1</v>
      </c>
      <c r="M351">
        <v>4</v>
      </c>
      <c r="N351">
        <v>3</v>
      </c>
      <c r="O351">
        <v>2</v>
      </c>
      <c r="P351" t="s">
        <v>68</v>
      </c>
      <c r="Q351" t="str">
        <f>VLOOKUP(A351,Cleaned_Seller_Master!$A:$H,2,FALSE)</f>
        <v>Zen Mart 064</v>
      </c>
      <c r="R351" t="str">
        <f>VLOOKUP(A351,Cleaned_Seller_Master!$A:$H,4,FALSE)</f>
        <v>Groceries</v>
      </c>
      <c r="S351" t="str">
        <f>VLOOKUP(A351,Cleaned_Seller_Master!$A:$H,5,FALSE)</f>
        <v>North</v>
      </c>
      <c r="T351" t="str">
        <f>VLOOKUP(A351,Cleaned_Seller_Master!$A:$H,8,FALSE)</f>
        <v>Verified</v>
      </c>
      <c r="U351" t="str">
        <f>VLOOKUP(A351,Cleaned_Seller_Master!$A:$H,7,FALSE)</f>
        <v>15-07-2017</v>
      </c>
      <c r="V351">
        <f>IFERROR(INDEX(Violation_Summary_Seller_Year!$C:$C,MATCH(AD351,Violation_Summary_Seller_Year!$K:$K,0)),0)</f>
        <v>3</v>
      </c>
      <c r="W351">
        <f>IFERROR(INDEX(Violation_Summary_Seller_Year!$D:$D,MATCH(AD351,Violation_Summary_Seller_Year!$K:$K,0)),0)</f>
        <v>5983.31</v>
      </c>
      <c r="X351">
        <f>IFERROR(INDEX(Violation_Summary_Seller_Year!$E:$E,MATCH(AD351,Violation_Summary_Seller_Year!$K:$K,0)),0)</f>
        <v>1</v>
      </c>
      <c r="Y351">
        <f>IFERROR(INDEX(Violation_Summary_Seller_Year!$F:$F,MATCH(AD351,Violation_Summary_Seller_Year!$K:$K,0)),0)</f>
        <v>2</v>
      </c>
      <c r="Z351">
        <f>IFERROR(INDEX(Violation_Summary_Seller_Year!$G:$G,MATCH(AD351,Violation_Summary_Seller_Year!$K:$K,0)),0)</f>
        <v>1</v>
      </c>
      <c r="AA351">
        <f>IFERROR(INDEX(Violation_Summary_Seller_Year!$H:$H,MATCH(AD351,Violation_Summary_Seller_Year!$K:$K,0)),0)</f>
        <v>1</v>
      </c>
      <c r="AB351">
        <f>IFERROR(INDEX(Violation_Summary_Seller_Year!$I:$I,MATCH(AD351,Violation_Summary_Seller_Year!$K:$K,0)),0)</f>
        <v>1</v>
      </c>
      <c r="AC351">
        <f>IFERROR(INDEX(Violation_Summary_Seller_Year!$J:$J,MATCH(AD351,Violation_Summary_Seller_Year!$K:$K,0)),0)</f>
        <v>13</v>
      </c>
      <c r="AD351" t="str">
        <f t="shared" si="40"/>
        <v>64_2024</v>
      </c>
      <c r="AE351">
        <f t="shared" si="41"/>
        <v>0</v>
      </c>
      <c r="AF351">
        <f t="shared" si="42"/>
        <v>2</v>
      </c>
      <c r="AG351">
        <f t="shared" si="43"/>
        <v>1</v>
      </c>
      <c r="AH351">
        <f t="shared" si="44"/>
        <v>2</v>
      </c>
      <c r="AI351">
        <f t="shared" si="45"/>
        <v>1</v>
      </c>
      <c r="AJ351">
        <f t="shared" si="46"/>
        <v>120</v>
      </c>
      <c r="AK351" t="str">
        <f t="shared" si="47"/>
        <v>High</v>
      </c>
    </row>
    <row r="352" spans="1:37" x14ac:dyDescent="0.3">
      <c r="A352">
        <v>65</v>
      </c>
      <c r="B352">
        <v>2024</v>
      </c>
      <c r="C352">
        <v>638</v>
      </c>
      <c r="D352">
        <v>60</v>
      </c>
      <c r="E352">
        <v>47</v>
      </c>
      <c r="F352">
        <v>3329.97</v>
      </c>
      <c r="G352">
        <v>7.3667999999999997E-2</v>
      </c>
      <c r="H352">
        <v>17</v>
      </c>
      <c r="I352">
        <v>19</v>
      </c>
      <c r="J352">
        <v>12</v>
      </c>
      <c r="K352">
        <v>9</v>
      </c>
      <c r="L352">
        <v>1</v>
      </c>
      <c r="M352">
        <v>4</v>
      </c>
      <c r="N352">
        <v>6</v>
      </c>
      <c r="O352">
        <v>4</v>
      </c>
      <c r="P352" t="s">
        <v>85</v>
      </c>
      <c r="Q352" t="str">
        <f>VLOOKUP(A352,Cleaned_Seller_Master!$A:$H,2,FALSE)</f>
        <v>True House 065</v>
      </c>
      <c r="R352" t="str">
        <f>VLOOKUP(A352,Cleaned_Seller_Master!$A:$H,4,FALSE)</f>
        <v>Electronics</v>
      </c>
      <c r="S352" t="str">
        <f>VLOOKUP(A352,Cleaned_Seller_Master!$A:$H,5,FALSE)</f>
        <v>South</v>
      </c>
      <c r="T352" t="str">
        <f>VLOOKUP(A352,Cleaned_Seller_Master!$A:$H,8,FALSE)</f>
        <v>Verified</v>
      </c>
      <c r="U352" t="str">
        <f>VLOOKUP(A352,Cleaned_Seller_Master!$A:$H,7,FALSE)</f>
        <v>04-07-2021</v>
      </c>
      <c r="V352">
        <f>IFERROR(INDEX(Violation_Summary_Seller_Year!$C:$C,MATCH(AD352,Violation_Summary_Seller_Year!$K:$K,0)),0)</f>
        <v>3</v>
      </c>
      <c r="W352">
        <f>IFERROR(INDEX(Violation_Summary_Seller_Year!$D:$D,MATCH(AD352,Violation_Summary_Seller_Year!$K:$K,0)),0)</f>
        <v>5604.67</v>
      </c>
      <c r="X352">
        <f>IFERROR(INDEX(Violation_Summary_Seller_Year!$E:$E,MATCH(AD352,Violation_Summary_Seller_Year!$K:$K,0)),0)</f>
        <v>1</v>
      </c>
      <c r="Y352">
        <f>IFERROR(INDEX(Violation_Summary_Seller_Year!$F:$F,MATCH(AD352,Violation_Summary_Seller_Year!$K:$K,0)),0)</f>
        <v>2</v>
      </c>
      <c r="Z352">
        <f>IFERROR(INDEX(Violation_Summary_Seller_Year!$G:$G,MATCH(AD352,Violation_Summary_Seller_Year!$K:$K,0)),0)</f>
        <v>1</v>
      </c>
      <c r="AA352">
        <f>IFERROR(INDEX(Violation_Summary_Seller_Year!$H:$H,MATCH(AD352,Violation_Summary_Seller_Year!$K:$K,0)),0)</f>
        <v>2</v>
      </c>
      <c r="AB352">
        <f>IFERROR(INDEX(Violation_Summary_Seller_Year!$I:$I,MATCH(AD352,Violation_Summary_Seller_Year!$K:$K,0)),0)</f>
        <v>2</v>
      </c>
      <c r="AC352">
        <f>IFERROR(INDEX(Violation_Summary_Seller_Year!$J:$J,MATCH(AD352,Violation_Summary_Seller_Year!$K:$K,0)),0)</f>
        <v>22</v>
      </c>
      <c r="AD352" t="str">
        <f t="shared" si="40"/>
        <v>65_2024</v>
      </c>
      <c r="AE352">
        <f t="shared" si="41"/>
        <v>1</v>
      </c>
      <c r="AF352">
        <f t="shared" si="42"/>
        <v>2</v>
      </c>
      <c r="AG352">
        <f t="shared" si="43"/>
        <v>2</v>
      </c>
      <c r="AH352">
        <f t="shared" si="44"/>
        <v>2</v>
      </c>
      <c r="AI352">
        <f t="shared" si="45"/>
        <v>2</v>
      </c>
      <c r="AJ352">
        <f t="shared" si="46"/>
        <v>175</v>
      </c>
      <c r="AK352" t="str">
        <f t="shared" si="47"/>
        <v>High</v>
      </c>
    </row>
    <row r="353" spans="1:37" x14ac:dyDescent="0.3">
      <c r="A353">
        <v>66</v>
      </c>
      <c r="B353">
        <v>2024</v>
      </c>
      <c r="C353">
        <v>987</v>
      </c>
      <c r="D353">
        <v>100</v>
      </c>
      <c r="E353">
        <v>90</v>
      </c>
      <c r="F353">
        <v>6731.54</v>
      </c>
      <c r="G353">
        <v>9.1185000000000002E-2</v>
      </c>
      <c r="H353">
        <v>16</v>
      </c>
      <c r="I353">
        <v>29</v>
      </c>
      <c r="J353">
        <v>18</v>
      </c>
      <c r="K353">
        <v>10</v>
      </c>
      <c r="L353">
        <v>0</v>
      </c>
      <c r="M353">
        <v>1</v>
      </c>
      <c r="N353">
        <v>4</v>
      </c>
      <c r="O353">
        <v>3</v>
      </c>
      <c r="P353" t="s">
        <v>85</v>
      </c>
      <c r="Q353" t="str">
        <f>VLOOKUP(A353,Cleaned_Seller_Master!$A:$H,2,FALSE)</f>
        <v>Core Traders 066</v>
      </c>
      <c r="R353" t="str">
        <f>VLOOKUP(A353,Cleaned_Seller_Master!$A:$H,4,FALSE)</f>
        <v>Fashion</v>
      </c>
      <c r="S353" t="str">
        <f>VLOOKUP(A353,Cleaned_Seller_Master!$A:$H,5,FALSE)</f>
        <v>Southeast Asia</v>
      </c>
      <c r="T353" t="str">
        <f>VLOOKUP(A353,Cleaned_Seller_Master!$A:$H,8,FALSE)</f>
        <v>Strategic</v>
      </c>
      <c r="U353" t="str">
        <f>VLOOKUP(A353,Cleaned_Seller_Master!$A:$H,7,FALSE)</f>
        <v>04-08-2021</v>
      </c>
      <c r="V353">
        <f>IFERROR(INDEX(Violation_Summary_Seller_Year!$C:$C,MATCH(AD353,Violation_Summary_Seller_Year!$K:$K,0)),0)</f>
        <v>3</v>
      </c>
      <c r="W353">
        <f>IFERROR(INDEX(Violation_Summary_Seller_Year!$D:$D,MATCH(AD353,Violation_Summary_Seller_Year!$K:$K,0)),0)</f>
        <v>14301.119999999999</v>
      </c>
      <c r="X353">
        <f>IFERROR(INDEX(Violation_Summary_Seller_Year!$E:$E,MATCH(AD353,Violation_Summary_Seller_Year!$K:$K,0)),0)</f>
        <v>0</v>
      </c>
      <c r="Y353">
        <f>IFERROR(INDEX(Violation_Summary_Seller_Year!$F:$F,MATCH(AD353,Violation_Summary_Seller_Year!$K:$K,0)),0)</f>
        <v>3</v>
      </c>
      <c r="Z353">
        <f>IFERROR(INDEX(Violation_Summary_Seller_Year!$G:$G,MATCH(AD353,Violation_Summary_Seller_Year!$K:$K,0)),0)</f>
        <v>0</v>
      </c>
      <c r="AA353">
        <f>IFERROR(INDEX(Violation_Summary_Seller_Year!$H:$H,MATCH(AD353,Violation_Summary_Seller_Year!$K:$K,0)),0)</f>
        <v>2</v>
      </c>
      <c r="AB353">
        <f>IFERROR(INDEX(Violation_Summary_Seller_Year!$I:$I,MATCH(AD353,Violation_Summary_Seller_Year!$K:$K,0)),0)</f>
        <v>1</v>
      </c>
      <c r="AC353">
        <f>IFERROR(INDEX(Violation_Summary_Seller_Year!$J:$J,MATCH(AD353,Violation_Summary_Seller_Year!$K:$K,0)),0)</f>
        <v>14</v>
      </c>
      <c r="AD353" t="str">
        <f t="shared" si="40"/>
        <v>66_2024</v>
      </c>
      <c r="AE353">
        <f t="shared" si="41"/>
        <v>1</v>
      </c>
      <c r="AF353">
        <f t="shared" si="42"/>
        <v>2</v>
      </c>
      <c r="AG353">
        <f t="shared" si="43"/>
        <v>2</v>
      </c>
      <c r="AH353">
        <f t="shared" si="44"/>
        <v>0</v>
      </c>
      <c r="AI353">
        <f t="shared" si="45"/>
        <v>2</v>
      </c>
      <c r="AJ353">
        <f t="shared" si="46"/>
        <v>135</v>
      </c>
      <c r="AK353" t="str">
        <f t="shared" si="47"/>
        <v>High</v>
      </c>
    </row>
    <row r="354" spans="1:37" x14ac:dyDescent="0.3">
      <c r="A354">
        <v>67</v>
      </c>
      <c r="B354">
        <v>2024</v>
      </c>
      <c r="C354">
        <v>1359</v>
      </c>
      <c r="D354">
        <v>87</v>
      </c>
      <c r="E354">
        <v>72</v>
      </c>
      <c r="F354">
        <v>7231.03</v>
      </c>
      <c r="G354">
        <v>5.2979999999999999E-2</v>
      </c>
      <c r="H354">
        <v>23</v>
      </c>
      <c r="I354">
        <v>34</v>
      </c>
      <c r="J354">
        <v>8</v>
      </c>
      <c r="K354">
        <v>14</v>
      </c>
      <c r="L354">
        <v>0</v>
      </c>
      <c r="M354">
        <v>5</v>
      </c>
      <c r="N354">
        <v>5</v>
      </c>
      <c r="O354">
        <v>5</v>
      </c>
      <c r="P354" t="s">
        <v>175</v>
      </c>
      <c r="Q354" t="str">
        <f>VLOOKUP(A354,Cleaned_Seller_Master!$A:$H,2,FALSE)</f>
        <v>Urban Works 067</v>
      </c>
      <c r="R354" t="str">
        <f>VLOOKUP(A354,Cleaned_Seller_Master!$A:$H,4,FALSE)</f>
        <v>Groceries</v>
      </c>
      <c r="S354" t="str">
        <f>VLOOKUP(A354,Cleaned_Seller_Master!$A:$H,5,FALSE)</f>
        <v>North</v>
      </c>
      <c r="T354" t="str">
        <f>VLOOKUP(A354,Cleaned_Seller_Master!$A:$H,8,FALSE)</f>
        <v>Verified</v>
      </c>
      <c r="U354" t="str">
        <f>VLOOKUP(A354,Cleaned_Seller_Master!$A:$H,7,FALSE)</f>
        <v>09-10-2022</v>
      </c>
      <c r="V354">
        <f>IFERROR(INDEX(Violation_Summary_Seller_Year!$C:$C,MATCH(AD354,Violation_Summary_Seller_Year!$K:$K,0)),0)</f>
        <v>2</v>
      </c>
      <c r="W354">
        <f>IFERROR(INDEX(Violation_Summary_Seller_Year!$D:$D,MATCH(AD354,Violation_Summary_Seller_Year!$K:$K,0)),0)</f>
        <v>4174.09</v>
      </c>
      <c r="X354">
        <f>IFERROR(INDEX(Violation_Summary_Seller_Year!$E:$E,MATCH(AD354,Violation_Summary_Seller_Year!$K:$K,0)),0)</f>
        <v>0</v>
      </c>
      <c r="Y354">
        <f>IFERROR(INDEX(Violation_Summary_Seller_Year!$F:$F,MATCH(AD354,Violation_Summary_Seller_Year!$K:$K,0)),0)</f>
        <v>1</v>
      </c>
      <c r="Z354">
        <f>IFERROR(INDEX(Violation_Summary_Seller_Year!$G:$G,MATCH(AD354,Violation_Summary_Seller_Year!$K:$K,0)),0)</f>
        <v>1</v>
      </c>
      <c r="AA354">
        <f>IFERROR(INDEX(Violation_Summary_Seller_Year!$H:$H,MATCH(AD354,Violation_Summary_Seller_Year!$K:$K,0)),0)</f>
        <v>1</v>
      </c>
      <c r="AB354">
        <f>IFERROR(INDEX(Violation_Summary_Seller_Year!$I:$I,MATCH(AD354,Violation_Summary_Seller_Year!$K:$K,0)),0)</f>
        <v>1</v>
      </c>
      <c r="AC354">
        <f>IFERROR(INDEX(Violation_Summary_Seller_Year!$J:$J,MATCH(AD354,Violation_Summary_Seller_Year!$K:$K,0)),0)</f>
        <v>14</v>
      </c>
      <c r="AD354" t="str">
        <f t="shared" si="40"/>
        <v>67_2024</v>
      </c>
      <c r="AE354">
        <f t="shared" si="41"/>
        <v>1</v>
      </c>
      <c r="AF354">
        <f t="shared" si="42"/>
        <v>2</v>
      </c>
      <c r="AG354">
        <f t="shared" si="43"/>
        <v>1</v>
      </c>
      <c r="AH354">
        <f t="shared" si="44"/>
        <v>0</v>
      </c>
      <c r="AI354">
        <f t="shared" si="45"/>
        <v>1</v>
      </c>
      <c r="AJ354">
        <f t="shared" si="46"/>
        <v>105</v>
      </c>
      <c r="AK354" t="str">
        <f t="shared" si="47"/>
        <v>Medium</v>
      </c>
    </row>
    <row r="355" spans="1:37" x14ac:dyDescent="0.3">
      <c r="A355">
        <v>68</v>
      </c>
      <c r="B355">
        <v>2024</v>
      </c>
      <c r="C355">
        <v>893</v>
      </c>
      <c r="D355">
        <v>76</v>
      </c>
      <c r="E355">
        <v>57</v>
      </c>
      <c r="F355">
        <v>3265.75</v>
      </c>
      <c r="G355">
        <v>6.3829999999999998E-2</v>
      </c>
      <c r="H355">
        <v>22</v>
      </c>
      <c r="I355">
        <v>28</v>
      </c>
      <c r="J355">
        <v>13</v>
      </c>
      <c r="K355">
        <v>14</v>
      </c>
      <c r="L355">
        <v>0</v>
      </c>
      <c r="M355">
        <v>5</v>
      </c>
      <c r="N355">
        <v>6</v>
      </c>
      <c r="O355">
        <v>3</v>
      </c>
      <c r="P355" t="s">
        <v>85</v>
      </c>
      <c r="Q355" t="str">
        <f>VLOOKUP(A355,Cleaned_Seller_Master!$A:$H,2,FALSE)</f>
        <v>Bright Nest 068</v>
      </c>
      <c r="R355" t="str">
        <f>VLOOKUP(A355,Cleaned_Seller_Master!$A:$H,4,FALSE)</f>
        <v>Fashion</v>
      </c>
      <c r="S355" t="str">
        <f>VLOOKUP(A355,Cleaned_Seller_Master!$A:$H,5,FALSE)</f>
        <v>Southeast Asia</v>
      </c>
      <c r="T355" t="str">
        <f>VLOOKUP(A355,Cleaned_Seller_Master!$A:$H,8,FALSE)</f>
        <v>Premium</v>
      </c>
      <c r="U355" t="str">
        <f>VLOOKUP(A355,Cleaned_Seller_Master!$A:$H,7,FALSE)</f>
        <v>17-08-2020</v>
      </c>
      <c r="V355">
        <f>IFERROR(INDEX(Violation_Summary_Seller_Year!$C:$C,MATCH(AD355,Violation_Summary_Seller_Year!$K:$K,0)),0)</f>
        <v>6</v>
      </c>
      <c r="W355">
        <f>IFERROR(INDEX(Violation_Summary_Seller_Year!$D:$D,MATCH(AD355,Violation_Summary_Seller_Year!$K:$K,0)),0)</f>
        <v>16639.05</v>
      </c>
      <c r="X355">
        <f>IFERROR(INDEX(Violation_Summary_Seller_Year!$E:$E,MATCH(AD355,Violation_Summary_Seller_Year!$K:$K,0)),0)</f>
        <v>0</v>
      </c>
      <c r="Y355">
        <f>IFERROR(INDEX(Violation_Summary_Seller_Year!$F:$F,MATCH(AD355,Violation_Summary_Seller_Year!$K:$K,0)),0)</f>
        <v>2</v>
      </c>
      <c r="Z355">
        <f>IFERROR(INDEX(Violation_Summary_Seller_Year!$G:$G,MATCH(AD355,Violation_Summary_Seller_Year!$K:$K,0)),0)</f>
        <v>4</v>
      </c>
      <c r="AA355">
        <f>IFERROR(INDEX(Violation_Summary_Seller_Year!$H:$H,MATCH(AD355,Violation_Summary_Seller_Year!$K:$K,0)),0)</f>
        <v>3</v>
      </c>
      <c r="AB355">
        <f>IFERROR(INDEX(Violation_Summary_Seller_Year!$I:$I,MATCH(AD355,Violation_Summary_Seller_Year!$K:$K,0)),0)</f>
        <v>2</v>
      </c>
      <c r="AC355">
        <f>IFERROR(INDEX(Violation_Summary_Seller_Year!$J:$J,MATCH(AD355,Violation_Summary_Seller_Year!$K:$K,0)),0)</f>
        <v>56</v>
      </c>
      <c r="AD355" t="str">
        <f t="shared" si="40"/>
        <v>68_2024</v>
      </c>
      <c r="AE355">
        <f t="shared" si="41"/>
        <v>1</v>
      </c>
      <c r="AF355">
        <f t="shared" si="42"/>
        <v>2</v>
      </c>
      <c r="AG355">
        <f t="shared" si="43"/>
        <v>2</v>
      </c>
      <c r="AH355">
        <f t="shared" si="44"/>
        <v>0</v>
      </c>
      <c r="AI355">
        <f t="shared" si="45"/>
        <v>2</v>
      </c>
      <c r="AJ355">
        <f t="shared" si="46"/>
        <v>135</v>
      </c>
      <c r="AK355" t="str">
        <f t="shared" si="47"/>
        <v>High</v>
      </c>
    </row>
    <row r="356" spans="1:37" x14ac:dyDescent="0.3">
      <c r="A356">
        <v>69</v>
      </c>
      <c r="B356">
        <v>2024</v>
      </c>
      <c r="C356">
        <v>1270</v>
      </c>
      <c r="D356">
        <v>125</v>
      </c>
      <c r="E356">
        <v>105</v>
      </c>
      <c r="F356">
        <v>11444.19</v>
      </c>
      <c r="G356">
        <v>8.2677E-2</v>
      </c>
      <c r="H356">
        <v>32</v>
      </c>
      <c r="I356">
        <v>43</v>
      </c>
      <c r="J356">
        <v>17</v>
      </c>
      <c r="K356">
        <v>18</v>
      </c>
      <c r="L356">
        <v>1</v>
      </c>
      <c r="M356">
        <v>5</v>
      </c>
      <c r="N356">
        <v>5</v>
      </c>
      <c r="O356">
        <v>5</v>
      </c>
      <c r="P356" t="s">
        <v>85</v>
      </c>
      <c r="Q356" t="str">
        <f>VLOOKUP(A356,Cleaned_Seller_Master!$A:$H,2,FALSE)</f>
        <v>Golden Hub 069</v>
      </c>
      <c r="R356" t="str">
        <f>VLOOKUP(A356,Cleaned_Seller_Master!$A:$H,4,FALSE)</f>
        <v>Electronics</v>
      </c>
      <c r="S356" t="str">
        <f>VLOOKUP(A356,Cleaned_Seller_Master!$A:$H,5,FALSE)</f>
        <v>West</v>
      </c>
      <c r="T356" t="str">
        <f>VLOOKUP(A356,Cleaned_Seller_Master!$A:$H,8,FALSE)</f>
        <v>Verified</v>
      </c>
      <c r="U356" t="str">
        <f>VLOOKUP(A356,Cleaned_Seller_Master!$A:$H,7,FALSE)</f>
        <v>11-06-2024</v>
      </c>
      <c r="V356">
        <f>IFERROR(INDEX(Violation_Summary_Seller_Year!$C:$C,MATCH(AD356,Violation_Summary_Seller_Year!$K:$K,0)),0)</f>
        <v>4</v>
      </c>
      <c r="W356">
        <f>IFERROR(INDEX(Violation_Summary_Seller_Year!$D:$D,MATCH(AD356,Violation_Summary_Seller_Year!$K:$K,0)),0)</f>
        <v>11931.11</v>
      </c>
      <c r="X356">
        <f>IFERROR(INDEX(Violation_Summary_Seller_Year!$E:$E,MATCH(AD356,Violation_Summary_Seller_Year!$K:$K,0)),0)</f>
        <v>1</v>
      </c>
      <c r="Y356">
        <f>IFERROR(INDEX(Violation_Summary_Seller_Year!$F:$F,MATCH(AD356,Violation_Summary_Seller_Year!$K:$K,0)),0)</f>
        <v>2</v>
      </c>
      <c r="Z356">
        <f>IFERROR(INDEX(Violation_Summary_Seller_Year!$G:$G,MATCH(AD356,Violation_Summary_Seller_Year!$K:$K,0)),0)</f>
        <v>2</v>
      </c>
      <c r="AA356">
        <f>IFERROR(INDEX(Violation_Summary_Seller_Year!$H:$H,MATCH(AD356,Violation_Summary_Seller_Year!$K:$K,0)),0)</f>
        <v>4</v>
      </c>
      <c r="AB356">
        <f>IFERROR(INDEX(Violation_Summary_Seller_Year!$I:$I,MATCH(AD356,Violation_Summary_Seller_Year!$K:$K,0)),0)</f>
        <v>2</v>
      </c>
      <c r="AC356">
        <f>IFERROR(INDEX(Violation_Summary_Seller_Year!$J:$J,MATCH(AD356,Violation_Summary_Seller_Year!$K:$K,0)),0)</f>
        <v>37</v>
      </c>
      <c r="AD356" t="str">
        <f t="shared" si="40"/>
        <v>69_2024</v>
      </c>
      <c r="AE356">
        <f t="shared" si="41"/>
        <v>1</v>
      </c>
      <c r="AF356">
        <f t="shared" si="42"/>
        <v>2</v>
      </c>
      <c r="AG356">
        <f t="shared" si="43"/>
        <v>2</v>
      </c>
      <c r="AH356">
        <f t="shared" si="44"/>
        <v>2</v>
      </c>
      <c r="AI356">
        <f t="shared" si="45"/>
        <v>2</v>
      </c>
      <c r="AJ356">
        <f t="shared" si="46"/>
        <v>175</v>
      </c>
      <c r="AK356" t="str">
        <f t="shared" si="47"/>
        <v>High</v>
      </c>
    </row>
    <row r="357" spans="1:37" x14ac:dyDescent="0.3">
      <c r="A357">
        <v>70</v>
      </c>
      <c r="B357">
        <v>2024</v>
      </c>
      <c r="C357">
        <v>216</v>
      </c>
      <c r="D357">
        <v>11</v>
      </c>
      <c r="E357">
        <v>10</v>
      </c>
      <c r="F357">
        <v>1000.53</v>
      </c>
      <c r="G357">
        <v>4.6295999999999997E-2</v>
      </c>
      <c r="H357">
        <v>9</v>
      </c>
      <c r="I357">
        <v>9</v>
      </c>
      <c r="J357">
        <v>3</v>
      </c>
      <c r="K357">
        <v>5</v>
      </c>
      <c r="L357">
        <v>0</v>
      </c>
      <c r="M357">
        <v>2</v>
      </c>
      <c r="N357">
        <v>2</v>
      </c>
      <c r="O357">
        <v>0</v>
      </c>
      <c r="P357" t="s">
        <v>175</v>
      </c>
      <c r="Q357" t="str">
        <f>VLOOKUP(A357,Cleaned_Seller_Master!$A:$H,2,FALSE)</f>
        <v>Ever Merchants 070</v>
      </c>
      <c r="R357" t="str">
        <f>VLOOKUP(A357,Cleaned_Seller_Master!$A:$H,4,FALSE)</f>
        <v>Groceries</v>
      </c>
      <c r="S357" t="str">
        <f>VLOOKUP(A357,Cleaned_Seller_Master!$A:$H,5,FALSE)</f>
        <v>North</v>
      </c>
      <c r="T357" t="str">
        <f>VLOOKUP(A357,Cleaned_Seller_Master!$A:$H,8,FALSE)</f>
        <v>Premium</v>
      </c>
      <c r="U357" t="str">
        <f>VLOOKUP(A357,Cleaned_Seller_Master!$A:$H,7,FALSE)</f>
        <v>09-06-2019</v>
      </c>
      <c r="V357">
        <f>IFERROR(INDEX(Violation_Summary_Seller_Year!$C:$C,MATCH(AD357,Violation_Summary_Seller_Year!$K:$K,0)),0)</f>
        <v>2</v>
      </c>
      <c r="W357">
        <f>IFERROR(INDEX(Violation_Summary_Seller_Year!$D:$D,MATCH(AD357,Violation_Summary_Seller_Year!$K:$K,0)),0)</f>
        <v>1861.48</v>
      </c>
      <c r="X357">
        <f>IFERROR(INDEX(Violation_Summary_Seller_Year!$E:$E,MATCH(AD357,Violation_Summary_Seller_Year!$K:$K,0)),0)</f>
        <v>0</v>
      </c>
      <c r="Y357">
        <f>IFERROR(INDEX(Violation_Summary_Seller_Year!$F:$F,MATCH(AD357,Violation_Summary_Seller_Year!$K:$K,0)),0)</f>
        <v>1</v>
      </c>
      <c r="Z357">
        <f>IFERROR(INDEX(Violation_Summary_Seller_Year!$G:$G,MATCH(AD357,Violation_Summary_Seller_Year!$K:$K,0)),0)</f>
        <v>1</v>
      </c>
      <c r="AA357">
        <f>IFERROR(INDEX(Violation_Summary_Seller_Year!$H:$H,MATCH(AD357,Violation_Summary_Seller_Year!$K:$K,0)),0)</f>
        <v>0</v>
      </c>
      <c r="AB357">
        <f>IFERROR(INDEX(Violation_Summary_Seller_Year!$I:$I,MATCH(AD357,Violation_Summary_Seller_Year!$K:$K,0)),0)</f>
        <v>1</v>
      </c>
      <c r="AC357">
        <f>IFERROR(INDEX(Violation_Summary_Seller_Year!$J:$J,MATCH(AD357,Violation_Summary_Seller_Year!$K:$K,0)),0)</f>
        <v>9</v>
      </c>
      <c r="AD357" t="str">
        <f t="shared" si="40"/>
        <v>70_2024</v>
      </c>
      <c r="AE357">
        <f t="shared" si="41"/>
        <v>0</v>
      </c>
      <c r="AF357">
        <f t="shared" si="42"/>
        <v>2</v>
      </c>
      <c r="AG357">
        <f t="shared" si="43"/>
        <v>1</v>
      </c>
      <c r="AH357">
        <f t="shared" si="44"/>
        <v>0</v>
      </c>
      <c r="AI357">
        <f t="shared" si="45"/>
        <v>1</v>
      </c>
      <c r="AJ357">
        <f t="shared" si="46"/>
        <v>80</v>
      </c>
      <c r="AK357" t="str">
        <f t="shared" si="47"/>
        <v>Medium</v>
      </c>
    </row>
    <row r="358" spans="1:37" x14ac:dyDescent="0.3">
      <c r="A358">
        <v>71</v>
      </c>
      <c r="B358">
        <v>2024</v>
      </c>
      <c r="C358">
        <v>844</v>
      </c>
      <c r="D358">
        <v>54</v>
      </c>
      <c r="E358">
        <v>43</v>
      </c>
      <c r="F358">
        <v>2079.11</v>
      </c>
      <c r="G358">
        <v>5.0948E-2</v>
      </c>
      <c r="H358">
        <v>13</v>
      </c>
      <c r="I358">
        <v>22</v>
      </c>
      <c r="J358">
        <v>7</v>
      </c>
      <c r="K358">
        <v>7</v>
      </c>
      <c r="L358">
        <v>1</v>
      </c>
      <c r="M358">
        <v>5</v>
      </c>
      <c r="N358">
        <v>4</v>
      </c>
      <c r="O358">
        <v>5</v>
      </c>
      <c r="P358" t="s">
        <v>85</v>
      </c>
      <c r="Q358" t="str">
        <f>VLOOKUP(A358,Cleaned_Seller_Master!$A:$H,2,FALSE)</f>
        <v>Orbit Square 071</v>
      </c>
      <c r="R358" t="str">
        <f>VLOOKUP(A358,Cleaned_Seller_Master!$A:$H,4,FALSE)</f>
        <v>Groceries</v>
      </c>
      <c r="S358" t="str">
        <f>VLOOKUP(A358,Cleaned_Seller_Master!$A:$H,5,FALSE)</f>
        <v>West</v>
      </c>
      <c r="T358" t="str">
        <f>VLOOKUP(A358,Cleaned_Seller_Master!$A:$H,8,FALSE)</f>
        <v>Premium</v>
      </c>
      <c r="U358" t="str">
        <f>VLOOKUP(A358,Cleaned_Seller_Master!$A:$H,7,FALSE)</f>
        <v>17-04-2017</v>
      </c>
      <c r="V358">
        <f>IFERROR(INDEX(Violation_Summary_Seller_Year!$C:$C,MATCH(AD358,Violation_Summary_Seller_Year!$K:$K,0)),0)</f>
        <v>4</v>
      </c>
      <c r="W358">
        <f>IFERROR(INDEX(Violation_Summary_Seller_Year!$D:$D,MATCH(AD358,Violation_Summary_Seller_Year!$K:$K,0)),0)</f>
        <v>8029.36</v>
      </c>
      <c r="X358">
        <f>IFERROR(INDEX(Violation_Summary_Seller_Year!$E:$E,MATCH(AD358,Violation_Summary_Seller_Year!$K:$K,0)),0)</f>
        <v>3</v>
      </c>
      <c r="Y358">
        <f>IFERROR(INDEX(Violation_Summary_Seller_Year!$F:$F,MATCH(AD358,Violation_Summary_Seller_Year!$K:$K,0)),0)</f>
        <v>3</v>
      </c>
      <c r="Z358">
        <f>IFERROR(INDEX(Violation_Summary_Seller_Year!$G:$G,MATCH(AD358,Violation_Summary_Seller_Year!$K:$K,0)),0)</f>
        <v>1</v>
      </c>
      <c r="AA358">
        <f>IFERROR(INDEX(Violation_Summary_Seller_Year!$H:$H,MATCH(AD358,Violation_Summary_Seller_Year!$K:$K,0)),0)</f>
        <v>2</v>
      </c>
      <c r="AB358">
        <f>IFERROR(INDEX(Violation_Summary_Seller_Year!$I:$I,MATCH(AD358,Violation_Summary_Seller_Year!$K:$K,0)),0)</f>
        <v>3</v>
      </c>
      <c r="AC358">
        <f>IFERROR(INDEX(Violation_Summary_Seller_Year!$J:$J,MATCH(AD358,Violation_Summary_Seller_Year!$K:$K,0)),0)</f>
        <v>31</v>
      </c>
      <c r="AD358" t="str">
        <f t="shared" si="40"/>
        <v>71_2024</v>
      </c>
      <c r="AE358">
        <f t="shared" si="41"/>
        <v>1</v>
      </c>
      <c r="AF358">
        <f t="shared" si="42"/>
        <v>2</v>
      </c>
      <c r="AG358">
        <f t="shared" si="43"/>
        <v>2</v>
      </c>
      <c r="AH358">
        <f t="shared" si="44"/>
        <v>2</v>
      </c>
      <c r="AI358">
        <f t="shared" si="45"/>
        <v>2</v>
      </c>
      <c r="AJ358">
        <f t="shared" si="46"/>
        <v>175</v>
      </c>
      <c r="AK358" t="str">
        <f t="shared" si="47"/>
        <v>High</v>
      </c>
    </row>
    <row r="359" spans="1:37" x14ac:dyDescent="0.3">
      <c r="A359">
        <v>72</v>
      </c>
      <c r="B359">
        <v>2024</v>
      </c>
      <c r="C359">
        <v>570</v>
      </c>
      <c r="D359">
        <v>38</v>
      </c>
      <c r="E359">
        <v>35</v>
      </c>
      <c r="F359">
        <v>2073.23</v>
      </c>
      <c r="G359">
        <v>6.1404E-2</v>
      </c>
      <c r="H359">
        <v>18</v>
      </c>
      <c r="I359">
        <v>18</v>
      </c>
      <c r="J359">
        <v>6</v>
      </c>
      <c r="K359">
        <v>9</v>
      </c>
      <c r="L359">
        <v>1</v>
      </c>
      <c r="M359">
        <v>4</v>
      </c>
      <c r="N359">
        <v>5</v>
      </c>
      <c r="O359">
        <v>3</v>
      </c>
      <c r="P359" t="s">
        <v>85</v>
      </c>
      <c r="Q359" t="str">
        <f>VLOOKUP(A359,Cleaned_Seller_Master!$A:$H,2,FALSE)</f>
        <v>Pulse Commerce 072</v>
      </c>
      <c r="R359" t="str">
        <f>VLOOKUP(A359,Cleaned_Seller_Master!$A:$H,4,FALSE)</f>
        <v>Fashion</v>
      </c>
      <c r="S359" t="str">
        <f>VLOOKUP(A359,Cleaned_Seller_Master!$A:$H,5,FALSE)</f>
        <v>West</v>
      </c>
      <c r="T359" t="str">
        <f>VLOOKUP(A359,Cleaned_Seller_Master!$A:$H,8,FALSE)</f>
        <v>Premium</v>
      </c>
      <c r="U359" t="str">
        <f>VLOOKUP(A359,Cleaned_Seller_Master!$A:$H,7,FALSE)</f>
        <v>21-01-2018</v>
      </c>
      <c r="V359">
        <f>IFERROR(INDEX(Violation_Summary_Seller_Year!$C:$C,MATCH(AD359,Violation_Summary_Seller_Year!$K:$K,0)),0)</f>
        <v>4</v>
      </c>
      <c r="W359">
        <f>IFERROR(INDEX(Violation_Summary_Seller_Year!$D:$D,MATCH(AD359,Violation_Summary_Seller_Year!$K:$K,0)),0)</f>
        <v>7723.9400000000005</v>
      </c>
      <c r="X359">
        <f>IFERROR(INDEX(Violation_Summary_Seller_Year!$E:$E,MATCH(AD359,Violation_Summary_Seller_Year!$K:$K,0)),0)</f>
        <v>3</v>
      </c>
      <c r="Y359">
        <f>IFERROR(INDEX(Violation_Summary_Seller_Year!$F:$F,MATCH(AD359,Violation_Summary_Seller_Year!$K:$K,0)),0)</f>
        <v>4</v>
      </c>
      <c r="Z359">
        <f>IFERROR(INDEX(Violation_Summary_Seller_Year!$G:$G,MATCH(AD359,Violation_Summary_Seller_Year!$K:$K,0)),0)</f>
        <v>0</v>
      </c>
      <c r="AA359">
        <f>IFERROR(INDEX(Violation_Summary_Seller_Year!$H:$H,MATCH(AD359,Violation_Summary_Seller_Year!$K:$K,0)),0)</f>
        <v>3</v>
      </c>
      <c r="AB359">
        <f>IFERROR(INDEX(Violation_Summary_Seller_Year!$I:$I,MATCH(AD359,Violation_Summary_Seller_Year!$K:$K,0)),0)</f>
        <v>2</v>
      </c>
      <c r="AC359">
        <f>IFERROR(INDEX(Violation_Summary_Seller_Year!$J:$J,MATCH(AD359,Violation_Summary_Seller_Year!$K:$K,0)),0)</f>
        <v>34</v>
      </c>
      <c r="AD359" t="str">
        <f t="shared" si="40"/>
        <v>72_2024</v>
      </c>
      <c r="AE359">
        <f t="shared" si="41"/>
        <v>1</v>
      </c>
      <c r="AF359">
        <f t="shared" si="42"/>
        <v>2</v>
      </c>
      <c r="AG359">
        <f t="shared" si="43"/>
        <v>2</v>
      </c>
      <c r="AH359">
        <f t="shared" si="44"/>
        <v>2</v>
      </c>
      <c r="AI359">
        <f t="shared" si="45"/>
        <v>2</v>
      </c>
      <c r="AJ359">
        <f t="shared" si="46"/>
        <v>175</v>
      </c>
      <c r="AK359" t="str">
        <f t="shared" si="47"/>
        <v>High</v>
      </c>
    </row>
    <row r="360" spans="1:37" x14ac:dyDescent="0.3">
      <c r="A360">
        <v>73</v>
      </c>
      <c r="B360">
        <v>2024</v>
      </c>
      <c r="C360">
        <v>362</v>
      </c>
      <c r="D360">
        <v>14</v>
      </c>
      <c r="E360">
        <v>10</v>
      </c>
      <c r="F360">
        <v>669.17</v>
      </c>
      <c r="G360">
        <v>2.7623999999999999E-2</v>
      </c>
      <c r="H360">
        <v>3</v>
      </c>
      <c r="I360">
        <v>13</v>
      </c>
      <c r="J360">
        <v>2</v>
      </c>
      <c r="K360">
        <v>3</v>
      </c>
      <c r="L360">
        <v>0</v>
      </c>
      <c r="M360">
        <v>0</v>
      </c>
      <c r="N360">
        <v>2</v>
      </c>
      <c r="O360">
        <v>0</v>
      </c>
      <c r="P360" t="s">
        <v>68</v>
      </c>
      <c r="Q360" t="str">
        <f>VLOOKUP(A360,Cleaned_Seller_Master!$A:$H,2,FALSE)</f>
        <v>Summit Bazaar 073</v>
      </c>
      <c r="R360" t="str">
        <f>VLOOKUP(A360,Cleaned_Seller_Master!$A:$H,4,FALSE)</f>
        <v>Electronics</v>
      </c>
      <c r="S360" t="str">
        <f>VLOOKUP(A360,Cleaned_Seller_Master!$A:$H,5,FALSE)</f>
        <v>West</v>
      </c>
      <c r="T360" t="str">
        <f>VLOOKUP(A360,Cleaned_Seller_Master!$A:$H,8,FALSE)</f>
        <v>Verified</v>
      </c>
      <c r="U360" t="str">
        <f>VLOOKUP(A360,Cleaned_Seller_Master!$A:$H,7,FALSE)</f>
        <v>23-08-2020</v>
      </c>
      <c r="V360">
        <f>IFERROR(INDEX(Violation_Summary_Seller_Year!$C:$C,MATCH(AD360,Violation_Summary_Seller_Year!$K:$K,0)),0)</f>
        <v>3</v>
      </c>
      <c r="W360">
        <f>IFERROR(INDEX(Violation_Summary_Seller_Year!$D:$D,MATCH(AD360,Violation_Summary_Seller_Year!$K:$K,0)),0)</f>
        <v>7273.3099999999995</v>
      </c>
      <c r="X360">
        <f>IFERROR(INDEX(Violation_Summary_Seller_Year!$E:$E,MATCH(AD360,Violation_Summary_Seller_Year!$K:$K,0)),0)</f>
        <v>0</v>
      </c>
      <c r="Y360">
        <f>IFERROR(INDEX(Violation_Summary_Seller_Year!$F:$F,MATCH(AD360,Violation_Summary_Seller_Year!$K:$K,0)),0)</f>
        <v>1</v>
      </c>
      <c r="Z360">
        <f>IFERROR(INDEX(Violation_Summary_Seller_Year!$G:$G,MATCH(AD360,Violation_Summary_Seller_Year!$K:$K,0)),0)</f>
        <v>2</v>
      </c>
      <c r="AA360">
        <f>IFERROR(INDEX(Violation_Summary_Seller_Year!$H:$H,MATCH(AD360,Violation_Summary_Seller_Year!$K:$K,0)),0)</f>
        <v>2</v>
      </c>
      <c r="AB360">
        <f>IFERROR(INDEX(Violation_Summary_Seller_Year!$I:$I,MATCH(AD360,Violation_Summary_Seller_Year!$K:$K,0)),0)</f>
        <v>3</v>
      </c>
      <c r="AC360">
        <f>IFERROR(INDEX(Violation_Summary_Seller_Year!$J:$J,MATCH(AD360,Violation_Summary_Seller_Year!$K:$K,0)),0)</f>
        <v>17</v>
      </c>
      <c r="AD360" t="str">
        <f t="shared" si="40"/>
        <v>73_2024</v>
      </c>
      <c r="AE360">
        <f t="shared" si="41"/>
        <v>0</v>
      </c>
      <c r="AF360">
        <f t="shared" si="42"/>
        <v>0</v>
      </c>
      <c r="AG360">
        <f t="shared" si="43"/>
        <v>2</v>
      </c>
      <c r="AH360">
        <f t="shared" si="44"/>
        <v>0</v>
      </c>
      <c r="AI360">
        <f t="shared" si="45"/>
        <v>1</v>
      </c>
      <c r="AJ360">
        <f t="shared" si="46"/>
        <v>50</v>
      </c>
      <c r="AK360" t="str">
        <f t="shared" si="47"/>
        <v>Low</v>
      </c>
    </row>
    <row r="361" spans="1:37" x14ac:dyDescent="0.3">
      <c r="A361">
        <v>74</v>
      </c>
      <c r="B361">
        <v>2024</v>
      </c>
      <c r="C361">
        <v>456</v>
      </c>
      <c r="D361">
        <v>24</v>
      </c>
      <c r="E361">
        <v>19</v>
      </c>
      <c r="F361">
        <v>1173.6500000000001</v>
      </c>
      <c r="G361">
        <v>4.1667000000000003E-2</v>
      </c>
      <c r="H361">
        <v>12</v>
      </c>
      <c r="I361">
        <v>12</v>
      </c>
      <c r="J361">
        <v>4</v>
      </c>
      <c r="K361">
        <v>3</v>
      </c>
      <c r="L361">
        <v>0</v>
      </c>
      <c r="M361">
        <v>1</v>
      </c>
      <c r="N361">
        <v>2</v>
      </c>
      <c r="O361">
        <v>1</v>
      </c>
      <c r="P361" t="s">
        <v>175</v>
      </c>
      <c r="Q361" t="str">
        <f>VLOOKUP(A361,Cleaned_Seller_Master!$A:$H,2,FALSE)</f>
        <v>Prime Bridge 074</v>
      </c>
      <c r="R361" t="str">
        <f>VLOOKUP(A361,Cleaned_Seller_Master!$A:$H,4,FALSE)</f>
        <v>Beauty</v>
      </c>
      <c r="S361" t="str">
        <f>VLOOKUP(A361,Cleaned_Seller_Master!$A:$H,5,FALSE)</f>
        <v>West</v>
      </c>
      <c r="T361" t="str">
        <f>VLOOKUP(A361,Cleaned_Seller_Master!$A:$H,8,FALSE)</f>
        <v>Premium</v>
      </c>
      <c r="U361" t="str">
        <f>VLOOKUP(A361,Cleaned_Seller_Master!$A:$H,7,FALSE)</f>
        <v>09-02-2019</v>
      </c>
      <c r="V361">
        <f>IFERROR(INDEX(Violation_Summary_Seller_Year!$C:$C,MATCH(AD361,Violation_Summary_Seller_Year!$K:$K,0)),0)</f>
        <v>3</v>
      </c>
      <c r="W361">
        <f>IFERROR(INDEX(Violation_Summary_Seller_Year!$D:$D,MATCH(AD361,Violation_Summary_Seller_Year!$K:$K,0)),0)</f>
        <v>2136.14</v>
      </c>
      <c r="X361">
        <f>IFERROR(INDEX(Violation_Summary_Seller_Year!$E:$E,MATCH(AD361,Violation_Summary_Seller_Year!$K:$K,0)),0)</f>
        <v>0</v>
      </c>
      <c r="Y361">
        <f>IFERROR(INDEX(Violation_Summary_Seller_Year!$F:$F,MATCH(AD361,Violation_Summary_Seller_Year!$K:$K,0)),0)</f>
        <v>2</v>
      </c>
      <c r="Z361">
        <f>IFERROR(INDEX(Violation_Summary_Seller_Year!$G:$G,MATCH(AD361,Violation_Summary_Seller_Year!$K:$K,0)),0)</f>
        <v>1</v>
      </c>
      <c r="AA361">
        <f>IFERROR(INDEX(Violation_Summary_Seller_Year!$H:$H,MATCH(AD361,Violation_Summary_Seller_Year!$K:$K,0)),0)</f>
        <v>0</v>
      </c>
      <c r="AB361">
        <f>IFERROR(INDEX(Violation_Summary_Seller_Year!$I:$I,MATCH(AD361,Violation_Summary_Seller_Year!$K:$K,0)),0)</f>
        <v>1</v>
      </c>
      <c r="AC361">
        <f>IFERROR(INDEX(Violation_Summary_Seller_Year!$J:$J,MATCH(AD361,Violation_Summary_Seller_Year!$K:$K,0)),0)</f>
        <v>19</v>
      </c>
      <c r="AD361" t="str">
        <f t="shared" si="40"/>
        <v>74_2024</v>
      </c>
      <c r="AE361">
        <f t="shared" si="41"/>
        <v>0</v>
      </c>
      <c r="AF361">
        <f t="shared" si="42"/>
        <v>2</v>
      </c>
      <c r="AG361">
        <f t="shared" si="43"/>
        <v>1</v>
      </c>
      <c r="AH361">
        <f t="shared" si="44"/>
        <v>0</v>
      </c>
      <c r="AI361">
        <f t="shared" si="45"/>
        <v>1</v>
      </c>
      <c r="AJ361">
        <f t="shared" si="46"/>
        <v>80</v>
      </c>
      <c r="AK361" t="str">
        <f t="shared" si="47"/>
        <v>Medium</v>
      </c>
    </row>
    <row r="362" spans="1:37" x14ac:dyDescent="0.3">
      <c r="A362">
        <v>75</v>
      </c>
      <c r="B362">
        <v>2024</v>
      </c>
      <c r="C362">
        <v>80</v>
      </c>
      <c r="D362">
        <v>7</v>
      </c>
      <c r="E362">
        <v>6</v>
      </c>
      <c r="F362">
        <v>249.77</v>
      </c>
      <c r="G362">
        <v>7.4999999999999997E-2</v>
      </c>
      <c r="H362">
        <v>11</v>
      </c>
      <c r="I362">
        <v>11</v>
      </c>
      <c r="J362">
        <v>4</v>
      </c>
      <c r="K362">
        <v>6</v>
      </c>
      <c r="L362">
        <v>1</v>
      </c>
      <c r="M362">
        <v>4</v>
      </c>
      <c r="N362">
        <v>3</v>
      </c>
      <c r="O362">
        <v>1</v>
      </c>
      <c r="P362" t="s">
        <v>85</v>
      </c>
      <c r="Q362" t="str">
        <f>VLOOKUP(A362,Cleaned_Seller_Master!$A:$H,2,FALSE)</f>
        <v>Apex Retail 075</v>
      </c>
      <c r="R362" t="str">
        <f>VLOOKUP(A362,Cleaned_Seller_Master!$A:$H,4,FALSE)</f>
        <v>Fashion</v>
      </c>
      <c r="S362" t="str">
        <f>VLOOKUP(A362,Cleaned_Seller_Master!$A:$H,5,FALSE)</f>
        <v>Southeast Asia</v>
      </c>
      <c r="T362" t="str">
        <f>VLOOKUP(A362,Cleaned_Seller_Master!$A:$H,8,FALSE)</f>
        <v>Verified</v>
      </c>
      <c r="U362" t="str">
        <f>VLOOKUP(A362,Cleaned_Seller_Master!$A:$H,7,FALSE)</f>
        <v>15-03-2025</v>
      </c>
      <c r="V362">
        <f>IFERROR(INDEX(Violation_Summary_Seller_Year!$C:$C,MATCH(AD362,Violation_Summary_Seller_Year!$K:$K,0)),0)</f>
        <v>6</v>
      </c>
      <c r="W362">
        <f>IFERROR(INDEX(Violation_Summary_Seller_Year!$D:$D,MATCH(AD362,Violation_Summary_Seller_Year!$K:$K,0)),0)</f>
        <v>13334.420000000002</v>
      </c>
      <c r="X362">
        <f>IFERROR(INDEX(Violation_Summary_Seller_Year!$E:$E,MATCH(AD362,Violation_Summary_Seller_Year!$K:$K,0)),0)</f>
        <v>3</v>
      </c>
      <c r="Y362">
        <f>IFERROR(INDEX(Violation_Summary_Seller_Year!$F:$F,MATCH(AD362,Violation_Summary_Seller_Year!$K:$K,0)),0)</f>
        <v>5</v>
      </c>
      <c r="Z362">
        <f>IFERROR(INDEX(Violation_Summary_Seller_Year!$G:$G,MATCH(AD362,Violation_Summary_Seller_Year!$K:$K,0)),0)</f>
        <v>1</v>
      </c>
      <c r="AA362">
        <f>IFERROR(INDEX(Violation_Summary_Seller_Year!$H:$H,MATCH(AD362,Violation_Summary_Seller_Year!$K:$K,0)),0)</f>
        <v>3</v>
      </c>
      <c r="AB362">
        <f>IFERROR(INDEX(Violation_Summary_Seller_Year!$I:$I,MATCH(AD362,Violation_Summary_Seller_Year!$K:$K,0)),0)</f>
        <v>2</v>
      </c>
      <c r="AC362">
        <f>IFERROR(INDEX(Violation_Summary_Seller_Year!$J:$J,MATCH(AD362,Violation_Summary_Seller_Year!$K:$K,0)),0)</f>
        <v>79</v>
      </c>
      <c r="AD362" t="str">
        <f t="shared" si="40"/>
        <v>75_2024</v>
      </c>
      <c r="AE362">
        <f t="shared" si="41"/>
        <v>1</v>
      </c>
      <c r="AF362">
        <f t="shared" si="42"/>
        <v>2</v>
      </c>
      <c r="AG362">
        <f t="shared" si="43"/>
        <v>2</v>
      </c>
      <c r="AH362">
        <f t="shared" si="44"/>
        <v>2</v>
      </c>
      <c r="AI362">
        <f t="shared" si="45"/>
        <v>2</v>
      </c>
      <c r="AJ362">
        <f t="shared" si="46"/>
        <v>175</v>
      </c>
      <c r="AK362" t="str">
        <f t="shared" si="47"/>
        <v>High</v>
      </c>
    </row>
    <row r="363" spans="1:37" x14ac:dyDescent="0.3">
      <c r="A363">
        <v>76</v>
      </c>
      <c r="B363">
        <v>2024</v>
      </c>
      <c r="C363">
        <v>387</v>
      </c>
      <c r="D363">
        <v>11</v>
      </c>
      <c r="E363">
        <v>10</v>
      </c>
      <c r="F363">
        <v>947.46</v>
      </c>
      <c r="G363">
        <v>2.5839999999999998E-2</v>
      </c>
      <c r="H363">
        <v>3</v>
      </c>
      <c r="I363">
        <v>12</v>
      </c>
      <c r="J363">
        <v>2</v>
      </c>
      <c r="K363">
        <v>1</v>
      </c>
      <c r="L363">
        <v>0</v>
      </c>
      <c r="M363">
        <v>0</v>
      </c>
      <c r="N363">
        <v>1</v>
      </c>
      <c r="O363">
        <v>1</v>
      </c>
      <c r="P363" t="s">
        <v>176</v>
      </c>
      <c r="Q363" t="str">
        <f>VLOOKUP(A363,Cleaned_Seller_Master!$A:$H,2,FALSE)</f>
        <v>Nimbus Market 076</v>
      </c>
      <c r="R363" t="str">
        <f>VLOOKUP(A363,Cleaned_Seller_Master!$A:$H,4,FALSE)</f>
        <v>Beauty</v>
      </c>
      <c r="S363" t="str">
        <f>VLOOKUP(A363,Cleaned_Seller_Master!$A:$H,5,FALSE)</f>
        <v>South</v>
      </c>
      <c r="T363" t="str">
        <f>VLOOKUP(A363,Cleaned_Seller_Master!$A:$H,8,FALSE)</f>
        <v>Premium</v>
      </c>
      <c r="U363" t="str">
        <f>VLOOKUP(A363,Cleaned_Seller_Master!$A:$H,7,FALSE)</f>
        <v>28-04-2023</v>
      </c>
      <c r="V363">
        <f>IFERROR(INDEX(Violation_Summary_Seller_Year!$C:$C,MATCH(AD363,Violation_Summary_Seller_Year!$K:$K,0)),0)</f>
        <v>1</v>
      </c>
      <c r="W363">
        <f>IFERROR(INDEX(Violation_Summary_Seller_Year!$D:$D,MATCH(AD363,Violation_Summary_Seller_Year!$K:$K,0)),0)</f>
        <v>947.28</v>
      </c>
      <c r="X363">
        <f>IFERROR(INDEX(Violation_Summary_Seller_Year!$E:$E,MATCH(AD363,Violation_Summary_Seller_Year!$K:$K,0)),0)</f>
        <v>0</v>
      </c>
      <c r="Y363">
        <f>IFERROR(INDEX(Violation_Summary_Seller_Year!$F:$F,MATCH(AD363,Violation_Summary_Seller_Year!$K:$K,0)),0)</f>
        <v>0</v>
      </c>
      <c r="Z363">
        <f>IFERROR(INDEX(Violation_Summary_Seller_Year!$G:$G,MATCH(AD363,Violation_Summary_Seller_Year!$K:$K,0)),0)</f>
        <v>1</v>
      </c>
      <c r="AA363">
        <f>IFERROR(INDEX(Violation_Summary_Seller_Year!$H:$H,MATCH(AD363,Violation_Summary_Seller_Year!$K:$K,0)),0)</f>
        <v>0</v>
      </c>
      <c r="AB363">
        <f>IFERROR(INDEX(Violation_Summary_Seller_Year!$I:$I,MATCH(AD363,Violation_Summary_Seller_Year!$K:$K,0)),0)</f>
        <v>0</v>
      </c>
      <c r="AC363">
        <f>IFERROR(INDEX(Violation_Summary_Seller_Year!$J:$J,MATCH(AD363,Violation_Summary_Seller_Year!$K:$K,0)),0)</f>
        <v>5</v>
      </c>
      <c r="AD363" t="str">
        <f t="shared" si="40"/>
        <v>76_2024</v>
      </c>
      <c r="AE363">
        <f t="shared" si="41"/>
        <v>0</v>
      </c>
      <c r="AF363">
        <f t="shared" si="42"/>
        <v>0</v>
      </c>
      <c r="AG363">
        <f t="shared" si="43"/>
        <v>0</v>
      </c>
      <c r="AH363">
        <f t="shared" si="44"/>
        <v>0</v>
      </c>
      <c r="AI363">
        <f t="shared" si="45"/>
        <v>1</v>
      </c>
      <c r="AJ363">
        <f t="shared" si="46"/>
        <v>10</v>
      </c>
      <c r="AK363" t="str">
        <f t="shared" si="47"/>
        <v>Low</v>
      </c>
    </row>
    <row r="364" spans="1:37" x14ac:dyDescent="0.3">
      <c r="A364">
        <v>77</v>
      </c>
      <c r="B364">
        <v>2024</v>
      </c>
      <c r="C364">
        <v>193</v>
      </c>
      <c r="D364">
        <v>15</v>
      </c>
      <c r="E364">
        <v>12</v>
      </c>
      <c r="F364">
        <v>1285.21</v>
      </c>
      <c r="G364">
        <v>6.2176000000000002E-2</v>
      </c>
      <c r="H364">
        <v>13</v>
      </c>
      <c r="I364">
        <v>14</v>
      </c>
      <c r="J364">
        <v>3</v>
      </c>
      <c r="K364">
        <v>6</v>
      </c>
      <c r="L364">
        <v>1</v>
      </c>
      <c r="M364">
        <v>4</v>
      </c>
      <c r="N364">
        <v>4</v>
      </c>
      <c r="O364">
        <v>3</v>
      </c>
      <c r="P364" t="s">
        <v>85</v>
      </c>
      <c r="Q364" t="str">
        <f>VLOOKUP(A364,Cleaned_Seller_Master!$A:$H,2,FALSE)</f>
        <v>Metro Point 077</v>
      </c>
      <c r="R364" t="str">
        <f>VLOOKUP(A364,Cleaned_Seller_Master!$A:$H,4,FALSE)</f>
        <v>Beauty</v>
      </c>
      <c r="S364" t="str">
        <f>VLOOKUP(A364,Cleaned_Seller_Master!$A:$H,5,FALSE)</f>
        <v>West</v>
      </c>
      <c r="T364" t="str">
        <f>VLOOKUP(A364,Cleaned_Seller_Master!$A:$H,8,FALSE)</f>
        <v>Premium</v>
      </c>
      <c r="U364" t="str">
        <f>VLOOKUP(A364,Cleaned_Seller_Master!$A:$H,7,FALSE)</f>
        <v>19-09-2019</v>
      </c>
      <c r="V364">
        <f>IFERROR(INDEX(Violation_Summary_Seller_Year!$C:$C,MATCH(AD364,Violation_Summary_Seller_Year!$K:$K,0)),0)</f>
        <v>3</v>
      </c>
      <c r="W364">
        <f>IFERROR(INDEX(Violation_Summary_Seller_Year!$D:$D,MATCH(AD364,Violation_Summary_Seller_Year!$K:$K,0)),0)</f>
        <v>4771.1399999999994</v>
      </c>
      <c r="X364">
        <f>IFERROR(INDEX(Violation_Summary_Seller_Year!$E:$E,MATCH(AD364,Violation_Summary_Seller_Year!$K:$K,0)),0)</f>
        <v>0</v>
      </c>
      <c r="Y364">
        <f>IFERROR(INDEX(Violation_Summary_Seller_Year!$F:$F,MATCH(AD364,Violation_Summary_Seller_Year!$K:$K,0)),0)</f>
        <v>2</v>
      </c>
      <c r="Z364">
        <f>IFERROR(INDEX(Violation_Summary_Seller_Year!$G:$G,MATCH(AD364,Violation_Summary_Seller_Year!$K:$K,0)),0)</f>
        <v>1</v>
      </c>
      <c r="AA364">
        <f>IFERROR(INDEX(Violation_Summary_Seller_Year!$H:$H,MATCH(AD364,Violation_Summary_Seller_Year!$K:$K,0)),0)</f>
        <v>1</v>
      </c>
      <c r="AB364">
        <f>IFERROR(INDEX(Violation_Summary_Seller_Year!$I:$I,MATCH(AD364,Violation_Summary_Seller_Year!$K:$K,0)),0)</f>
        <v>1</v>
      </c>
      <c r="AC364">
        <f>IFERROR(INDEX(Violation_Summary_Seller_Year!$J:$J,MATCH(AD364,Violation_Summary_Seller_Year!$K:$K,0)),0)</f>
        <v>28</v>
      </c>
      <c r="AD364" t="str">
        <f t="shared" si="40"/>
        <v>77_2024</v>
      </c>
      <c r="AE364">
        <f t="shared" si="41"/>
        <v>1</v>
      </c>
      <c r="AF364">
        <f t="shared" si="42"/>
        <v>2</v>
      </c>
      <c r="AG364">
        <f t="shared" si="43"/>
        <v>1</v>
      </c>
      <c r="AH364">
        <f t="shared" si="44"/>
        <v>2</v>
      </c>
      <c r="AI364">
        <f t="shared" si="45"/>
        <v>2</v>
      </c>
      <c r="AJ364">
        <f t="shared" si="46"/>
        <v>155</v>
      </c>
      <c r="AK364" t="str">
        <f t="shared" si="47"/>
        <v>High</v>
      </c>
    </row>
    <row r="365" spans="1:37" x14ac:dyDescent="0.3">
      <c r="A365">
        <v>78</v>
      </c>
      <c r="B365">
        <v>2024</v>
      </c>
      <c r="C365">
        <v>759</v>
      </c>
      <c r="D365">
        <v>46</v>
      </c>
      <c r="E365">
        <v>36</v>
      </c>
      <c r="F365">
        <v>2681.63</v>
      </c>
      <c r="G365">
        <v>4.7431000000000001E-2</v>
      </c>
      <c r="H365">
        <v>19</v>
      </c>
      <c r="I365">
        <v>19</v>
      </c>
      <c r="J365">
        <v>6</v>
      </c>
      <c r="K365">
        <v>10</v>
      </c>
      <c r="L365">
        <v>0</v>
      </c>
      <c r="M365">
        <v>3</v>
      </c>
      <c r="N365">
        <v>6</v>
      </c>
      <c r="O365">
        <v>1</v>
      </c>
      <c r="P365" t="s">
        <v>68</v>
      </c>
      <c r="Q365" t="str">
        <f>VLOOKUP(A365,Cleaned_Seller_Master!$A:$H,2,FALSE)</f>
        <v>Luna Stores 078</v>
      </c>
      <c r="R365" t="str">
        <f>VLOOKUP(A365,Cleaned_Seller_Master!$A:$H,4,FALSE)</f>
        <v>Beauty</v>
      </c>
      <c r="S365" t="str">
        <f>VLOOKUP(A365,Cleaned_Seller_Master!$A:$H,5,FALSE)</f>
        <v>West</v>
      </c>
      <c r="T365" t="str">
        <f>VLOOKUP(A365,Cleaned_Seller_Master!$A:$H,8,FALSE)</f>
        <v>Standard</v>
      </c>
      <c r="U365" t="str">
        <f>VLOOKUP(A365,Cleaned_Seller_Master!$A:$H,7,FALSE)</f>
        <v>26-08-2019</v>
      </c>
      <c r="V365">
        <f>IFERROR(INDEX(Violation_Summary_Seller_Year!$C:$C,MATCH(AD365,Violation_Summary_Seller_Year!$K:$K,0)),0)</f>
        <v>1</v>
      </c>
      <c r="W365">
        <f>IFERROR(INDEX(Violation_Summary_Seller_Year!$D:$D,MATCH(AD365,Violation_Summary_Seller_Year!$K:$K,0)),0)</f>
        <v>2717.9</v>
      </c>
      <c r="X365">
        <f>IFERROR(INDEX(Violation_Summary_Seller_Year!$E:$E,MATCH(AD365,Violation_Summary_Seller_Year!$K:$K,0)),0)</f>
        <v>0</v>
      </c>
      <c r="Y365">
        <f>IFERROR(INDEX(Violation_Summary_Seller_Year!$F:$F,MATCH(AD365,Violation_Summary_Seller_Year!$K:$K,0)),0)</f>
        <v>0</v>
      </c>
      <c r="Z365">
        <f>IFERROR(INDEX(Violation_Summary_Seller_Year!$G:$G,MATCH(AD365,Violation_Summary_Seller_Year!$K:$K,0)),0)</f>
        <v>1</v>
      </c>
      <c r="AA365">
        <f>IFERROR(INDEX(Violation_Summary_Seller_Year!$H:$H,MATCH(AD365,Violation_Summary_Seller_Year!$K:$K,0)),0)</f>
        <v>1</v>
      </c>
      <c r="AB365">
        <f>IFERROR(INDEX(Violation_Summary_Seller_Year!$I:$I,MATCH(AD365,Violation_Summary_Seller_Year!$K:$K,0)),0)</f>
        <v>0</v>
      </c>
      <c r="AC365">
        <f>IFERROR(INDEX(Violation_Summary_Seller_Year!$J:$J,MATCH(AD365,Violation_Summary_Seller_Year!$K:$K,0)),0)</f>
        <v>4</v>
      </c>
      <c r="AD365" t="str">
        <f t="shared" si="40"/>
        <v>78_2024</v>
      </c>
      <c r="AE365">
        <f t="shared" si="41"/>
        <v>0</v>
      </c>
      <c r="AF365">
        <f t="shared" si="42"/>
        <v>2</v>
      </c>
      <c r="AG365">
        <f t="shared" si="43"/>
        <v>1</v>
      </c>
      <c r="AH365">
        <f t="shared" si="44"/>
        <v>0</v>
      </c>
      <c r="AI365">
        <f t="shared" si="45"/>
        <v>1</v>
      </c>
      <c r="AJ365">
        <f t="shared" si="46"/>
        <v>80</v>
      </c>
      <c r="AK365" t="str">
        <f t="shared" si="47"/>
        <v>Medium</v>
      </c>
    </row>
    <row r="366" spans="1:37" x14ac:dyDescent="0.3">
      <c r="A366">
        <v>79</v>
      </c>
      <c r="B366">
        <v>2024</v>
      </c>
      <c r="C366">
        <v>81</v>
      </c>
      <c r="D366">
        <v>6</v>
      </c>
      <c r="E366">
        <v>5</v>
      </c>
      <c r="F366">
        <v>423.65</v>
      </c>
      <c r="G366">
        <v>6.1727999999999998E-2</v>
      </c>
      <c r="H366">
        <v>8</v>
      </c>
      <c r="I366">
        <v>9</v>
      </c>
      <c r="J366">
        <v>3</v>
      </c>
      <c r="K366">
        <v>3</v>
      </c>
      <c r="L366">
        <v>0</v>
      </c>
      <c r="M366">
        <v>0</v>
      </c>
      <c r="N366">
        <v>2</v>
      </c>
      <c r="O366">
        <v>0</v>
      </c>
      <c r="P366" t="s">
        <v>68</v>
      </c>
      <c r="Q366" t="str">
        <f>VLOOKUP(A366,Cleaned_Seller_Master!$A:$H,2,FALSE)</f>
        <v>Elite Link 079</v>
      </c>
      <c r="R366" t="str">
        <f>VLOOKUP(A366,Cleaned_Seller_Master!$A:$H,4,FALSE)</f>
        <v>Groceries</v>
      </c>
      <c r="S366" t="str">
        <f>VLOOKUP(A366,Cleaned_Seller_Master!$A:$H,5,FALSE)</f>
        <v>West</v>
      </c>
      <c r="T366" t="str">
        <f>VLOOKUP(A366,Cleaned_Seller_Master!$A:$H,8,FALSE)</f>
        <v>Verified</v>
      </c>
      <c r="U366" t="str">
        <f>VLOOKUP(A366,Cleaned_Seller_Master!$A:$H,7,FALSE)</f>
        <v>02-09-2025</v>
      </c>
      <c r="V366">
        <f>IFERROR(INDEX(Violation_Summary_Seller_Year!$C:$C,MATCH(AD366,Violation_Summary_Seller_Year!$K:$K,0)),0)</f>
        <v>3</v>
      </c>
      <c r="W366">
        <f>IFERROR(INDEX(Violation_Summary_Seller_Year!$D:$D,MATCH(AD366,Violation_Summary_Seller_Year!$K:$K,0)),0)</f>
        <v>9491.67</v>
      </c>
      <c r="X366">
        <f>IFERROR(INDEX(Violation_Summary_Seller_Year!$E:$E,MATCH(AD366,Violation_Summary_Seller_Year!$K:$K,0)),0)</f>
        <v>0</v>
      </c>
      <c r="Y366">
        <f>IFERROR(INDEX(Violation_Summary_Seller_Year!$F:$F,MATCH(AD366,Violation_Summary_Seller_Year!$K:$K,0)),0)</f>
        <v>2</v>
      </c>
      <c r="Z366">
        <f>IFERROR(INDEX(Violation_Summary_Seller_Year!$G:$G,MATCH(AD366,Violation_Summary_Seller_Year!$K:$K,0)),0)</f>
        <v>1</v>
      </c>
      <c r="AA366">
        <f>IFERROR(INDEX(Violation_Summary_Seller_Year!$H:$H,MATCH(AD366,Violation_Summary_Seller_Year!$K:$K,0)),0)</f>
        <v>2</v>
      </c>
      <c r="AB366">
        <f>IFERROR(INDEX(Violation_Summary_Seller_Year!$I:$I,MATCH(AD366,Violation_Summary_Seller_Year!$K:$K,0)),0)</f>
        <v>2</v>
      </c>
      <c r="AC366">
        <f>IFERROR(INDEX(Violation_Summary_Seller_Year!$J:$J,MATCH(AD366,Violation_Summary_Seller_Year!$K:$K,0)),0)</f>
        <v>41</v>
      </c>
      <c r="AD366" t="str">
        <f t="shared" si="40"/>
        <v>79_2024</v>
      </c>
      <c r="AE366">
        <f t="shared" si="41"/>
        <v>1</v>
      </c>
      <c r="AF366">
        <f t="shared" si="42"/>
        <v>2</v>
      </c>
      <c r="AG366">
        <f t="shared" si="43"/>
        <v>2</v>
      </c>
      <c r="AH366">
        <f t="shared" si="44"/>
        <v>0</v>
      </c>
      <c r="AI366">
        <f t="shared" si="45"/>
        <v>1</v>
      </c>
      <c r="AJ366">
        <f t="shared" si="46"/>
        <v>125</v>
      </c>
      <c r="AK366" t="str">
        <f t="shared" si="47"/>
        <v>High</v>
      </c>
    </row>
    <row r="367" spans="1:37" x14ac:dyDescent="0.3">
      <c r="A367">
        <v>80</v>
      </c>
      <c r="B367">
        <v>2024</v>
      </c>
      <c r="C367">
        <v>107</v>
      </c>
      <c r="D367">
        <v>9</v>
      </c>
      <c r="E367">
        <v>8</v>
      </c>
      <c r="F367">
        <v>663.75</v>
      </c>
      <c r="G367">
        <v>7.4765999999999999E-2</v>
      </c>
      <c r="H367">
        <v>8</v>
      </c>
      <c r="I367">
        <v>8</v>
      </c>
      <c r="J367">
        <v>3</v>
      </c>
      <c r="K367">
        <v>5</v>
      </c>
      <c r="L367">
        <v>1</v>
      </c>
      <c r="M367">
        <v>5</v>
      </c>
      <c r="N367">
        <v>3</v>
      </c>
      <c r="O367">
        <v>1</v>
      </c>
      <c r="P367" t="s">
        <v>85</v>
      </c>
      <c r="Q367" t="str">
        <f>VLOOKUP(A367,Cleaned_Seller_Master!$A:$H,2,FALSE)</f>
        <v>Nova Cart 080</v>
      </c>
      <c r="R367" t="str">
        <f>VLOOKUP(A367,Cleaned_Seller_Master!$A:$H,4,FALSE)</f>
        <v>Electronics</v>
      </c>
      <c r="S367" t="str">
        <f>VLOOKUP(A367,Cleaned_Seller_Master!$A:$H,5,FALSE)</f>
        <v>North</v>
      </c>
      <c r="T367" t="str">
        <f>VLOOKUP(A367,Cleaned_Seller_Master!$A:$H,8,FALSE)</f>
        <v>Verified</v>
      </c>
      <c r="U367" t="str">
        <f>VLOOKUP(A367,Cleaned_Seller_Master!$A:$H,7,FALSE)</f>
        <v>10-12-2019</v>
      </c>
      <c r="V367">
        <f>IFERROR(INDEX(Violation_Summary_Seller_Year!$C:$C,MATCH(AD367,Violation_Summary_Seller_Year!$K:$K,0)),0)</f>
        <v>5</v>
      </c>
      <c r="W367">
        <f>IFERROR(INDEX(Violation_Summary_Seller_Year!$D:$D,MATCH(AD367,Violation_Summary_Seller_Year!$K:$K,0)),0)</f>
        <v>14764.08</v>
      </c>
      <c r="X367">
        <f>IFERROR(INDEX(Violation_Summary_Seller_Year!$E:$E,MATCH(AD367,Violation_Summary_Seller_Year!$K:$K,0)),0)</f>
        <v>2</v>
      </c>
      <c r="Y367">
        <f>IFERROR(INDEX(Violation_Summary_Seller_Year!$F:$F,MATCH(AD367,Violation_Summary_Seller_Year!$K:$K,0)),0)</f>
        <v>3</v>
      </c>
      <c r="Z367">
        <f>IFERROR(INDEX(Violation_Summary_Seller_Year!$G:$G,MATCH(AD367,Violation_Summary_Seller_Year!$K:$K,0)),0)</f>
        <v>2</v>
      </c>
      <c r="AA367">
        <f>IFERROR(INDEX(Violation_Summary_Seller_Year!$H:$H,MATCH(AD367,Violation_Summary_Seller_Year!$K:$K,0)),0)</f>
        <v>4</v>
      </c>
      <c r="AB367">
        <f>IFERROR(INDEX(Violation_Summary_Seller_Year!$I:$I,MATCH(AD367,Violation_Summary_Seller_Year!$K:$K,0)),0)</f>
        <v>1</v>
      </c>
      <c r="AC367">
        <f>IFERROR(INDEX(Violation_Summary_Seller_Year!$J:$J,MATCH(AD367,Violation_Summary_Seller_Year!$K:$K,0)),0)</f>
        <v>56</v>
      </c>
      <c r="AD367" t="str">
        <f t="shared" si="40"/>
        <v>80_2024</v>
      </c>
      <c r="AE367">
        <f t="shared" si="41"/>
        <v>1</v>
      </c>
      <c r="AF367">
        <f t="shared" si="42"/>
        <v>2</v>
      </c>
      <c r="AG367">
        <f t="shared" si="43"/>
        <v>2</v>
      </c>
      <c r="AH367">
        <f t="shared" si="44"/>
        <v>2</v>
      </c>
      <c r="AI367">
        <f t="shared" si="45"/>
        <v>2</v>
      </c>
      <c r="AJ367">
        <f t="shared" si="46"/>
        <v>175</v>
      </c>
      <c r="AK367" t="str">
        <f t="shared" si="47"/>
        <v>High</v>
      </c>
    </row>
    <row r="368" spans="1:37" x14ac:dyDescent="0.3">
      <c r="A368">
        <v>81</v>
      </c>
      <c r="B368">
        <v>2024</v>
      </c>
      <c r="C368">
        <v>438</v>
      </c>
      <c r="D368">
        <v>24</v>
      </c>
      <c r="E368">
        <v>17</v>
      </c>
      <c r="F368">
        <v>1496.69</v>
      </c>
      <c r="G368">
        <v>3.8813E-2</v>
      </c>
      <c r="H368">
        <v>15</v>
      </c>
      <c r="I368">
        <v>15</v>
      </c>
      <c r="J368">
        <v>3</v>
      </c>
      <c r="K368">
        <v>7</v>
      </c>
      <c r="L368">
        <v>0</v>
      </c>
      <c r="M368">
        <v>2</v>
      </c>
      <c r="N368">
        <v>2</v>
      </c>
      <c r="O368">
        <v>1</v>
      </c>
      <c r="P368" t="s">
        <v>175</v>
      </c>
      <c r="Q368" t="str">
        <f>VLOOKUP(A368,Cleaned_Seller_Master!$A:$H,2,FALSE)</f>
        <v>Swift Goods 081</v>
      </c>
      <c r="R368" t="str">
        <f>VLOOKUP(A368,Cleaned_Seller_Master!$A:$H,4,FALSE)</f>
        <v>Groceries</v>
      </c>
      <c r="S368" t="str">
        <f>VLOOKUP(A368,Cleaned_Seller_Master!$A:$H,5,FALSE)</f>
        <v>West</v>
      </c>
      <c r="T368" t="str">
        <f>VLOOKUP(A368,Cleaned_Seller_Master!$A:$H,8,FALSE)</f>
        <v>Verified</v>
      </c>
      <c r="U368" t="str">
        <f>VLOOKUP(A368,Cleaned_Seller_Master!$A:$H,7,FALSE)</f>
        <v>06-03-2019</v>
      </c>
      <c r="V368">
        <f>IFERROR(INDEX(Violation_Summary_Seller_Year!$C:$C,MATCH(AD368,Violation_Summary_Seller_Year!$K:$K,0)),0)</f>
        <v>3</v>
      </c>
      <c r="W368">
        <f>IFERROR(INDEX(Violation_Summary_Seller_Year!$D:$D,MATCH(AD368,Violation_Summary_Seller_Year!$K:$K,0)),0)</f>
        <v>1416.12</v>
      </c>
      <c r="X368">
        <f>IFERROR(INDEX(Violation_Summary_Seller_Year!$E:$E,MATCH(AD368,Violation_Summary_Seller_Year!$K:$K,0)),0)</f>
        <v>0</v>
      </c>
      <c r="Y368">
        <f>IFERROR(INDEX(Violation_Summary_Seller_Year!$F:$F,MATCH(AD368,Violation_Summary_Seller_Year!$K:$K,0)),0)</f>
        <v>2</v>
      </c>
      <c r="Z368">
        <f>IFERROR(INDEX(Violation_Summary_Seller_Year!$G:$G,MATCH(AD368,Violation_Summary_Seller_Year!$K:$K,0)),0)</f>
        <v>1</v>
      </c>
      <c r="AA368">
        <f>IFERROR(INDEX(Violation_Summary_Seller_Year!$H:$H,MATCH(AD368,Violation_Summary_Seller_Year!$K:$K,0)),0)</f>
        <v>0</v>
      </c>
      <c r="AB368">
        <f>IFERROR(INDEX(Violation_Summary_Seller_Year!$I:$I,MATCH(AD368,Violation_Summary_Seller_Year!$K:$K,0)),0)</f>
        <v>1</v>
      </c>
      <c r="AC368">
        <f>IFERROR(INDEX(Violation_Summary_Seller_Year!$J:$J,MATCH(AD368,Violation_Summary_Seller_Year!$K:$K,0)),0)</f>
        <v>16</v>
      </c>
      <c r="AD368" t="str">
        <f t="shared" si="40"/>
        <v>81_2024</v>
      </c>
      <c r="AE368">
        <f t="shared" si="41"/>
        <v>0</v>
      </c>
      <c r="AF368">
        <f t="shared" si="42"/>
        <v>2</v>
      </c>
      <c r="AG368">
        <f t="shared" si="43"/>
        <v>1</v>
      </c>
      <c r="AH368">
        <f t="shared" si="44"/>
        <v>0</v>
      </c>
      <c r="AI368">
        <f t="shared" si="45"/>
        <v>1</v>
      </c>
      <c r="AJ368">
        <f t="shared" si="46"/>
        <v>80</v>
      </c>
      <c r="AK368" t="str">
        <f t="shared" si="47"/>
        <v>Medium</v>
      </c>
    </row>
    <row r="369" spans="1:37" x14ac:dyDescent="0.3">
      <c r="A369">
        <v>82</v>
      </c>
      <c r="B369">
        <v>2024</v>
      </c>
      <c r="C369">
        <v>650</v>
      </c>
      <c r="D369">
        <v>43</v>
      </c>
      <c r="E369">
        <v>34</v>
      </c>
      <c r="F369">
        <v>3496.23</v>
      </c>
      <c r="G369">
        <v>5.2308E-2</v>
      </c>
      <c r="H369">
        <v>17</v>
      </c>
      <c r="I369">
        <v>20</v>
      </c>
      <c r="J369">
        <v>9</v>
      </c>
      <c r="K369">
        <v>5</v>
      </c>
      <c r="L369">
        <v>1</v>
      </c>
      <c r="M369">
        <v>4</v>
      </c>
      <c r="N369">
        <v>4</v>
      </c>
      <c r="O369">
        <v>3</v>
      </c>
      <c r="P369" t="s">
        <v>85</v>
      </c>
      <c r="Q369" t="str">
        <f>VLOOKUP(A369,Cleaned_Seller_Master!$A:$H,2,FALSE)</f>
        <v>Blue Source 082</v>
      </c>
      <c r="R369" t="str">
        <f>VLOOKUP(A369,Cleaned_Seller_Master!$A:$H,4,FALSE)</f>
        <v>Home</v>
      </c>
      <c r="S369" t="str">
        <f>VLOOKUP(A369,Cleaned_Seller_Master!$A:$H,5,FALSE)</f>
        <v>East</v>
      </c>
      <c r="T369" t="str">
        <f>VLOOKUP(A369,Cleaned_Seller_Master!$A:$H,8,FALSE)</f>
        <v>Verified</v>
      </c>
      <c r="U369" t="str">
        <f>VLOOKUP(A369,Cleaned_Seller_Master!$A:$H,7,FALSE)</f>
        <v>01-11-2021</v>
      </c>
      <c r="V369">
        <f>IFERROR(INDEX(Violation_Summary_Seller_Year!$C:$C,MATCH(AD369,Violation_Summary_Seller_Year!$K:$K,0)),0)</f>
        <v>4</v>
      </c>
      <c r="W369">
        <f>IFERROR(INDEX(Violation_Summary_Seller_Year!$D:$D,MATCH(AD369,Violation_Summary_Seller_Year!$K:$K,0)),0)</f>
        <v>12409.63</v>
      </c>
      <c r="X369">
        <f>IFERROR(INDEX(Violation_Summary_Seller_Year!$E:$E,MATCH(AD369,Violation_Summary_Seller_Year!$K:$K,0)),0)</f>
        <v>4</v>
      </c>
      <c r="Y369">
        <f>IFERROR(INDEX(Violation_Summary_Seller_Year!$F:$F,MATCH(AD369,Violation_Summary_Seller_Year!$K:$K,0)),0)</f>
        <v>2</v>
      </c>
      <c r="Z369">
        <f>IFERROR(INDEX(Violation_Summary_Seller_Year!$G:$G,MATCH(AD369,Violation_Summary_Seller_Year!$K:$K,0)),0)</f>
        <v>2</v>
      </c>
      <c r="AA369">
        <f>IFERROR(INDEX(Violation_Summary_Seller_Year!$H:$H,MATCH(AD369,Violation_Summary_Seller_Year!$K:$K,0)),0)</f>
        <v>3</v>
      </c>
      <c r="AB369">
        <f>IFERROR(INDEX(Violation_Summary_Seller_Year!$I:$I,MATCH(AD369,Violation_Summary_Seller_Year!$K:$K,0)),0)</f>
        <v>1</v>
      </c>
      <c r="AC369">
        <f>IFERROR(INDEX(Violation_Summary_Seller_Year!$J:$J,MATCH(AD369,Violation_Summary_Seller_Year!$K:$K,0)),0)</f>
        <v>39</v>
      </c>
      <c r="AD369" t="str">
        <f t="shared" si="40"/>
        <v>82_2024</v>
      </c>
      <c r="AE369">
        <f t="shared" si="41"/>
        <v>1</v>
      </c>
      <c r="AF369">
        <f t="shared" si="42"/>
        <v>2</v>
      </c>
      <c r="AG369">
        <f t="shared" si="43"/>
        <v>2</v>
      </c>
      <c r="AH369">
        <f t="shared" si="44"/>
        <v>2</v>
      </c>
      <c r="AI369">
        <f t="shared" si="45"/>
        <v>2</v>
      </c>
      <c r="AJ369">
        <f t="shared" si="46"/>
        <v>175</v>
      </c>
      <c r="AK369" t="str">
        <f t="shared" si="47"/>
        <v>High</v>
      </c>
    </row>
    <row r="370" spans="1:37" x14ac:dyDescent="0.3">
      <c r="A370">
        <v>83</v>
      </c>
      <c r="B370">
        <v>2024</v>
      </c>
      <c r="C370">
        <v>1395</v>
      </c>
      <c r="D370">
        <v>111</v>
      </c>
      <c r="E370">
        <v>98</v>
      </c>
      <c r="F370">
        <v>5300.06</v>
      </c>
      <c r="G370">
        <v>7.0250999999999994E-2</v>
      </c>
      <c r="H370">
        <v>32</v>
      </c>
      <c r="I370">
        <v>45</v>
      </c>
      <c r="J370">
        <v>21</v>
      </c>
      <c r="K370">
        <v>9</v>
      </c>
      <c r="L370">
        <v>1</v>
      </c>
      <c r="M370">
        <v>7</v>
      </c>
      <c r="N370">
        <v>6</v>
      </c>
      <c r="O370">
        <v>4</v>
      </c>
      <c r="P370" t="s">
        <v>85</v>
      </c>
      <c r="Q370" t="str">
        <f>VLOOKUP(A370,Cleaned_Seller_Master!$A:$H,2,FALSE)</f>
        <v>Vertex Supply 083</v>
      </c>
      <c r="R370" t="str">
        <f>VLOOKUP(A370,Cleaned_Seller_Master!$A:$H,4,FALSE)</f>
        <v>Groceries</v>
      </c>
      <c r="S370" t="str">
        <f>VLOOKUP(A370,Cleaned_Seller_Master!$A:$H,5,FALSE)</f>
        <v>East</v>
      </c>
      <c r="T370" t="str">
        <f>VLOOKUP(A370,Cleaned_Seller_Master!$A:$H,8,FALSE)</f>
        <v>Verified</v>
      </c>
      <c r="U370" t="str">
        <f>VLOOKUP(A370,Cleaned_Seller_Master!$A:$H,7,FALSE)</f>
        <v>28-08-2022</v>
      </c>
      <c r="V370">
        <f>IFERROR(INDEX(Violation_Summary_Seller_Year!$C:$C,MATCH(AD370,Violation_Summary_Seller_Year!$K:$K,0)),0)</f>
        <v>6</v>
      </c>
      <c r="W370">
        <f>IFERROR(INDEX(Violation_Summary_Seller_Year!$D:$D,MATCH(AD370,Violation_Summary_Seller_Year!$K:$K,0)),0)</f>
        <v>14147.520000000002</v>
      </c>
      <c r="X370">
        <f>IFERROR(INDEX(Violation_Summary_Seller_Year!$E:$E,MATCH(AD370,Violation_Summary_Seller_Year!$K:$K,0)),0)</f>
        <v>4</v>
      </c>
      <c r="Y370">
        <f>IFERROR(INDEX(Violation_Summary_Seller_Year!$F:$F,MATCH(AD370,Violation_Summary_Seller_Year!$K:$K,0)),0)</f>
        <v>2</v>
      </c>
      <c r="Z370">
        <f>IFERROR(INDEX(Violation_Summary_Seller_Year!$G:$G,MATCH(AD370,Violation_Summary_Seller_Year!$K:$K,0)),0)</f>
        <v>4</v>
      </c>
      <c r="AA370">
        <f>IFERROR(INDEX(Violation_Summary_Seller_Year!$H:$H,MATCH(AD370,Violation_Summary_Seller_Year!$K:$K,0)),0)</f>
        <v>6</v>
      </c>
      <c r="AB370">
        <f>IFERROR(INDEX(Violation_Summary_Seller_Year!$I:$I,MATCH(AD370,Violation_Summary_Seller_Year!$K:$K,0)),0)</f>
        <v>3</v>
      </c>
      <c r="AC370">
        <f>IFERROR(INDEX(Violation_Summary_Seller_Year!$J:$J,MATCH(AD370,Violation_Summary_Seller_Year!$K:$K,0)),0)</f>
        <v>50</v>
      </c>
      <c r="AD370" t="str">
        <f t="shared" si="40"/>
        <v>83_2024</v>
      </c>
      <c r="AE370">
        <f t="shared" si="41"/>
        <v>1</v>
      </c>
      <c r="AF370">
        <f t="shared" si="42"/>
        <v>2</v>
      </c>
      <c r="AG370">
        <f t="shared" si="43"/>
        <v>2</v>
      </c>
      <c r="AH370">
        <f t="shared" si="44"/>
        <v>2</v>
      </c>
      <c r="AI370">
        <f t="shared" si="45"/>
        <v>2</v>
      </c>
      <c r="AJ370">
        <f t="shared" si="46"/>
        <v>175</v>
      </c>
      <c r="AK370" t="str">
        <f t="shared" si="47"/>
        <v>High</v>
      </c>
    </row>
    <row r="371" spans="1:37" x14ac:dyDescent="0.3">
      <c r="A371">
        <v>84</v>
      </c>
      <c r="B371">
        <v>2024</v>
      </c>
      <c r="C371">
        <v>563</v>
      </c>
      <c r="D371">
        <v>34</v>
      </c>
      <c r="E371">
        <v>27</v>
      </c>
      <c r="F371">
        <v>1258.5</v>
      </c>
      <c r="G371">
        <v>4.7957E-2</v>
      </c>
      <c r="H371">
        <v>17</v>
      </c>
      <c r="I371">
        <v>20</v>
      </c>
      <c r="J371">
        <v>6</v>
      </c>
      <c r="K371">
        <v>6</v>
      </c>
      <c r="L371">
        <v>0</v>
      </c>
      <c r="M371">
        <v>2</v>
      </c>
      <c r="N371">
        <v>3</v>
      </c>
      <c r="O371">
        <v>1</v>
      </c>
      <c r="P371" t="s">
        <v>175</v>
      </c>
      <c r="Q371" t="str">
        <f>VLOOKUP(A371,Cleaned_Seller_Master!$A:$H,2,FALSE)</f>
        <v>Zen Mart 084</v>
      </c>
      <c r="R371" t="str">
        <f>VLOOKUP(A371,Cleaned_Seller_Master!$A:$H,4,FALSE)</f>
        <v>Fashion</v>
      </c>
      <c r="S371" t="str">
        <f>VLOOKUP(A371,Cleaned_Seller_Master!$A:$H,5,FALSE)</f>
        <v>East</v>
      </c>
      <c r="T371" t="str">
        <f>VLOOKUP(A371,Cleaned_Seller_Master!$A:$H,8,FALSE)</f>
        <v>Verified</v>
      </c>
      <c r="U371" t="str">
        <f>VLOOKUP(A371,Cleaned_Seller_Master!$A:$H,7,FALSE)</f>
        <v>01-05-2023</v>
      </c>
      <c r="V371">
        <f>IFERROR(INDEX(Violation_Summary_Seller_Year!$C:$C,MATCH(AD371,Violation_Summary_Seller_Year!$K:$K,0)),0)</f>
        <v>1</v>
      </c>
      <c r="W371">
        <f>IFERROR(INDEX(Violation_Summary_Seller_Year!$D:$D,MATCH(AD371,Violation_Summary_Seller_Year!$K:$K,0)),0)</f>
        <v>1386.98</v>
      </c>
      <c r="X371">
        <f>IFERROR(INDEX(Violation_Summary_Seller_Year!$E:$E,MATCH(AD371,Violation_Summary_Seller_Year!$K:$K,0)),0)</f>
        <v>0</v>
      </c>
      <c r="Y371">
        <f>IFERROR(INDEX(Violation_Summary_Seller_Year!$F:$F,MATCH(AD371,Violation_Summary_Seller_Year!$K:$K,0)),0)</f>
        <v>0</v>
      </c>
      <c r="Z371">
        <f>IFERROR(INDEX(Violation_Summary_Seller_Year!$G:$G,MATCH(AD371,Violation_Summary_Seller_Year!$K:$K,0)),0)</f>
        <v>1</v>
      </c>
      <c r="AA371">
        <f>IFERROR(INDEX(Violation_Summary_Seller_Year!$H:$H,MATCH(AD371,Violation_Summary_Seller_Year!$K:$K,0)),0)</f>
        <v>0</v>
      </c>
      <c r="AB371">
        <f>IFERROR(INDEX(Violation_Summary_Seller_Year!$I:$I,MATCH(AD371,Violation_Summary_Seller_Year!$K:$K,0)),0)</f>
        <v>0</v>
      </c>
      <c r="AC371">
        <f>IFERROR(INDEX(Violation_Summary_Seller_Year!$J:$J,MATCH(AD371,Violation_Summary_Seller_Year!$K:$K,0)),0)</f>
        <v>11</v>
      </c>
      <c r="AD371" t="str">
        <f t="shared" si="40"/>
        <v>84_2024</v>
      </c>
      <c r="AE371">
        <f t="shared" si="41"/>
        <v>0</v>
      </c>
      <c r="AF371">
        <f t="shared" si="42"/>
        <v>2</v>
      </c>
      <c r="AG371">
        <f t="shared" si="43"/>
        <v>0</v>
      </c>
      <c r="AH371">
        <f t="shared" si="44"/>
        <v>0</v>
      </c>
      <c r="AI371">
        <f t="shared" si="45"/>
        <v>1</v>
      </c>
      <c r="AJ371">
        <f t="shared" si="46"/>
        <v>60</v>
      </c>
      <c r="AK371" t="str">
        <f t="shared" si="47"/>
        <v>Medium</v>
      </c>
    </row>
    <row r="372" spans="1:37" x14ac:dyDescent="0.3">
      <c r="A372">
        <v>85</v>
      </c>
      <c r="B372">
        <v>2024</v>
      </c>
      <c r="C372">
        <v>1196</v>
      </c>
      <c r="D372">
        <v>108</v>
      </c>
      <c r="E372">
        <v>91</v>
      </c>
      <c r="F372">
        <v>6808.59</v>
      </c>
      <c r="G372">
        <v>7.6087000000000002E-2</v>
      </c>
      <c r="H372">
        <v>23</v>
      </c>
      <c r="I372">
        <v>39</v>
      </c>
      <c r="J372">
        <v>18</v>
      </c>
      <c r="K372">
        <v>12</v>
      </c>
      <c r="L372">
        <v>0</v>
      </c>
      <c r="M372">
        <v>2</v>
      </c>
      <c r="N372">
        <v>6</v>
      </c>
      <c r="O372">
        <v>6</v>
      </c>
      <c r="P372" t="s">
        <v>85</v>
      </c>
      <c r="Q372" t="str">
        <f>VLOOKUP(A372,Cleaned_Seller_Master!$A:$H,2,FALSE)</f>
        <v>True House 085</v>
      </c>
      <c r="R372" t="str">
        <f>VLOOKUP(A372,Cleaned_Seller_Master!$A:$H,4,FALSE)</f>
        <v>Fashion</v>
      </c>
      <c r="S372" t="str">
        <f>VLOOKUP(A372,Cleaned_Seller_Master!$A:$H,5,FALSE)</f>
        <v>South</v>
      </c>
      <c r="T372" t="str">
        <f>VLOOKUP(A372,Cleaned_Seller_Master!$A:$H,8,FALSE)</f>
        <v>Standard</v>
      </c>
      <c r="U372" t="str">
        <f>VLOOKUP(A372,Cleaned_Seller_Master!$A:$H,7,FALSE)</f>
        <v>21-04-2022</v>
      </c>
      <c r="V372">
        <f>IFERROR(INDEX(Violation_Summary_Seller_Year!$C:$C,MATCH(AD372,Violation_Summary_Seller_Year!$K:$K,0)),0)</f>
        <v>5</v>
      </c>
      <c r="W372">
        <f>IFERROR(INDEX(Violation_Summary_Seller_Year!$D:$D,MATCH(AD372,Violation_Summary_Seller_Year!$K:$K,0)),0)</f>
        <v>16749.29</v>
      </c>
      <c r="X372">
        <f>IFERROR(INDEX(Violation_Summary_Seller_Year!$E:$E,MATCH(AD372,Violation_Summary_Seller_Year!$K:$K,0)),0)</f>
        <v>0</v>
      </c>
      <c r="Y372">
        <f>IFERROR(INDEX(Violation_Summary_Seller_Year!$F:$F,MATCH(AD372,Violation_Summary_Seller_Year!$K:$K,0)),0)</f>
        <v>4</v>
      </c>
      <c r="Z372">
        <f>IFERROR(INDEX(Violation_Summary_Seller_Year!$G:$G,MATCH(AD372,Violation_Summary_Seller_Year!$K:$K,0)),0)</f>
        <v>1</v>
      </c>
      <c r="AA372">
        <f>IFERROR(INDEX(Violation_Summary_Seller_Year!$H:$H,MATCH(AD372,Violation_Summary_Seller_Year!$K:$K,0)),0)</f>
        <v>3</v>
      </c>
      <c r="AB372">
        <f>IFERROR(INDEX(Violation_Summary_Seller_Year!$I:$I,MATCH(AD372,Violation_Summary_Seller_Year!$K:$K,0)),0)</f>
        <v>2</v>
      </c>
      <c r="AC372">
        <f>IFERROR(INDEX(Violation_Summary_Seller_Year!$J:$J,MATCH(AD372,Violation_Summary_Seller_Year!$K:$K,0)),0)</f>
        <v>54</v>
      </c>
      <c r="AD372" t="str">
        <f t="shared" si="40"/>
        <v>85_2024</v>
      </c>
      <c r="AE372">
        <f t="shared" si="41"/>
        <v>1</v>
      </c>
      <c r="AF372">
        <f t="shared" si="42"/>
        <v>2</v>
      </c>
      <c r="AG372">
        <f t="shared" si="43"/>
        <v>2</v>
      </c>
      <c r="AH372">
        <f t="shared" si="44"/>
        <v>0</v>
      </c>
      <c r="AI372">
        <f t="shared" si="45"/>
        <v>2</v>
      </c>
      <c r="AJ372">
        <f t="shared" si="46"/>
        <v>135</v>
      </c>
      <c r="AK372" t="str">
        <f t="shared" si="47"/>
        <v>High</v>
      </c>
    </row>
    <row r="373" spans="1:37" x14ac:dyDescent="0.3">
      <c r="A373">
        <v>86</v>
      </c>
      <c r="B373">
        <v>2024</v>
      </c>
      <c r="C373">
        <v>156</v>
      </c>
      <c r="D373">
        <v>7</v>
      </c>
      <c r="E373">
        <v>5</v>
      </c>
      <c r="F373">
        <v>422.91</v>
      </c>
      <c r="G373">
        <v>3.2051000000000003E-2</v>
      </c>
      <c r="H373">
        <v>5</v>
      </c>
      <c r="I373">
        <v>9</v>
      </c>
      <c r="J373">
        <v>2</v>
      </c>
      <c r="K373">
        <v>2</v>
      </c>
      <c r="L373">
        <v>0</v>
      </c>
      <c r="M373">
        <v>0</v>
      </c>
      <c r="N373">
        <v>1</v>
      </c>
      <c r="O373">
        <v>0</v>
      </c>
      <c r="P373" t="s">
        <v>176</v>
      </c>
      <c r="Q373" t="str">
        <f>VLOOKUP(A373,Cleaned_Seller_Master!$A:$H,2,FALSE)</f>
        <v>Core Traders 086</v>
      </c>
      <c r="R373" t="str">
        <f>VLOOKUP(A373,Cleaned_Seller_Master!$A:$H,4,FALSE)</f>
        <v>Electronics</v>
      </c>
      <c r="S373" t="str">
        <f>VLOOKUP(A373,Cleaned_Seller_Master!$A:$H,5,FALSE)</f>
        <v>North</v>
      </c>
      <c r="T373" t="str">
        <f>VLOOKUP(A373,Cleaned_Seller_Master!$A:$H,8,FALSE)</f>
        <v>Premium</v>
      </c>
      <c r="U373" t="str">
        <f>VLOOKUP(A373,Cleaned_Seller_Master!$A:$H,7,FALSE)</f>
        <v>19-01-2025</v>
      </c>
      <c r="V373">
        <f>IFERROR(INDEX(Violation_Summary_Seller_Year!$C:$C,MATCH(AD373,Violation_Summary_Seller_Year!$K:$K,0)),0)</f>
        <v>2</v>
      </c>
      <c r="W373">
        <f>IFERROR(INDEX(Violation_Summary_Seller_Year!$D:$D,MATCH(AD373,Violation_Summary_Seller_Year!$K:$K,0)),0)</f>
        <v>3062.21</v>
      </c>
      <c r="X373">
        <f>IFERROR(INDEX(Violation_Summary_Seller_Year!$E:$E,MATCH(AD373,Violation_Summary_Seller_Year!$K:$K,0)),0)</f>
        <v>0</v>
      </c>
      <c r="Y373">
        <f>IFERROR(INDEX(Violation_Summary_Seller_Year!$F:$F,MATCH(AD373,Violation_Summary_Seller_Year!$K:$K,0)),0)</f>
        <v>2</v>
      </c>
      <c r="Z373">
        <f>IFERROR(INDEX(Violation_Summary_Seller_Year!$G:$G,MATCH(AD373,Violation_Summary_Seller_Year!$K:$K,0)),0)</f>
        <v>0</v>
      </c>
      <c r="AA373">
        <f>IFERROR(INDEX(Violation_Summary_Seller_Year!$H:$H,MATCH(AD373,Violation_Summary_Seller_Year!$K:$K,0)),0)</f>
        <v>1</v>
      </c>
      <c r="AB373">
        <f>IFERROR(INDEX(Violation_Summary_Seller_Year!$I:$I,MATCH(AD373,Violation_Summary_Seller_Year!$K:$K,0)),0)</f>
        <v>1</v>
      </c>
      <c r="AC373">
        <f>IFERROR(INDEX(Violation_Summary_Seller_Year!$J:$J,MATCH(AD373,Violation_Summary_Seller_Year!$K:$K,0)),0)</f>
        <v>15</v>
      </c>
      <c r="AD373" t="str">
        <f t="shared" si="40"/>
        <v>86_2024</v>
      </c>
      <c r="AE373">
        <f t="shared" si="41"/>
        <v>0</v>
      </c>
      <c r="AF373">
        <f t="shared" si="42"/>
        <v>1</v>
      </c>
      <c r="AG373">
        <f t="shared" si="43"/>
        <v>1</v>
      </c>
      <c r="AH373">
        <f t="shared" si="44"/>
        <v>0</v>
      </c>
      <c r="AI373">
        <f t="shared" si="45"/>
        <v>1</v>
      </c>
      <c r="AJ373">
        <f t="shared" si="46"/>
        <v>55</v>
      </c>
      <c r="AK373" t="str">
        <f t="shared" si="47"/>
        <v>Low</v>
      </c>
    </row>
    <row r="374" spans="1:37" x14ac:dyDescent="0.3">
      <c r="A374">
        <v>87</v>
      </c>
      <c r="B374">
        <v>2024</v>
      </c>
      <c r="C374">
        <v>332</v>
      </c>
      <c r="D374">
        <v>33</v>
      </c>
      <c r="E374">
        <v>29</v>
      </c>
      <c r="F374">
        <v>1566.39</v>
      </c>
      <c r="G374">
        <v>8.7348999999999996E-2</v>
      </c>
      <c r="H374">
        <v>27</v>
      </c>
      <c r="I374">
        <v>27</v>
      </c>
      <c r="J374">
        <v>8</v>
      </c>
      <c r="K374">
        <v>8</v>
      </c>
      <c r="L374">
        <v>1</v>
      </c>
      <c r="M374">
        <v>5</v>
      </c>
      <c r="N374">
        <v>4</v>
      </c>
      <c r="O374">
        <v>2</v>
      </c>
      <c r="P374" t="s">
        <v>85</v>
      </c>
      <c r="Q374" t="str">
        <f>VLOOKUP(A374,Cleaned_Seller_Master!$A:$H,2,FALSE)</f>
        <v>Urban Works 087</v>
      </c>
      <c r="R374" t="str">
        <f>VLOOKUP(A374,Cleaned_Seller_Master!$A:$H,4,FALSE)</f>
        <v>Groceries</v>
      </c>
      <c r="S374" t="str">
        <f>VLOOKUP(A374,Cleaned_Seller_Master!$A:$H,5,FALSE)</f>
        <v>East</v>
      </c>
      <c r="T374" t="str">
        <f>VLOOKUP(A374,Cleaned_Seller_Master!$A:$H,8,FALSE)</f>
        <v>Standard</v>
      </c>
      <c r="U374" t="str">
        <f>VLOOKUP(A374,Cleaned_Seller_Master!$A:$H,7,FALSE)</f>
        <v>09-03-2022</v>
      </c>
      <c r="V374">
        <f>IFERROR(INDEX(Violation_Summary_Seller_Year!$C:$C,MATCH(AD374,Violation_Summary_Seller_Year!$K:$K,0)),0)</f>
        <v>3</v>
      </c>
      <c r="W374">
        <f>IFERROR(INDEX(Violation_Summary_Seller_Year!$D:$D,MATCH(AD374,Violation_Summary_Seller_Year!$K:$K,0)),0)</f>
        <v>10990.960000000001</v>
      </c>
      <c r="X374">
        <f>IFERROR(INDEX(Violation_Summary_Seller_Year!$E:$E,MATCH(AD374,Violation_Summary_Seller_Year!$K:$K,0)),0)</f>
        <v>2</v>
      </c>
      <c r="Y374">
        <f>IFERROR(INDEX(Violation_Summary_Seller_Year!$F:$F,MATCH(AD374,Violation_Summary_Seller_Year!$K:$K,0)),0)</f>
        <v>2</v>
      </c>
      <c r="Z374">
        <f>IFERROR(INDEX(Violation_Summary_Seller_Year!$G:$G,MATCH(AD374,Violation_Summary_Seller_Year!$K:$K,0)),0)</f>
        <v>1</v>
      </c>
      <c r="AA374">
        <f>IFERROR(INDEX(Violation_Summary_Seller_Year!$H:$H,MATCH(AD374,Violation_Summary_Seller_Year!$K:$K,0)),0)</f>
        <v>2</v>
      </c>
      <c r="AB374">
        <f>IFERROR(INDEX(Violation_Summary_Seller_Year!$I:$I,MATCH(AD374,Violation_Summary_Seller_Year!$K:$K,0)),0)</f>
        <v>1</v>
      </c>
      <c r="AC374">
        <f>IFERROR(INDEX(Violation_Summary_Seller_Year!$J:$J,MATCH(AD374,Violation_Summary_Seller_Year!$K:$K,0)),0)</f>
        <v>52</v>
      </c>
      <c r="AD374" t="str">
        <f t="shared" si="40"/>
        <v>87_2024</v>
      </c>
      <c r="AE374">
        <f t="shared" si="41"/>
        <v>1</v>
      </c>
      <c r="AF374">
        <f t="shared" si="42"/>
        <v>2</v>
      </c>
      <c r="AG374">
        <f t="shared" si="43"/>
        <v>2</v>
      </c>
      <c r="AH374">
        <f t="shared" si="44"/>
        <v>2</v>
      </c>
      <c r="AI374">
        <f t="shared" si="45"/>
        <v>2</v>
      </c>
      <c r="AJ374">
        <f t="shared" si="46"/>
        <v>175</v>
      </c>
      <c r="AK374" t="str">
        <f t="shared" si="47"/>
        <v>High</v>
      </c>
    </row>
    <row r="375" spans="1:37" x14ac:dyDescent="0.3">
      <c r="A375">
        <v>88</v>
      </c>
      <c r="B375">
        <v>2024</v>
      </c>
      <c r="C375">
        <v>416</v>
      </c>
      <c r="D375">
        <v>15</v>
      </c>
      <c r="E375">
        <v>11</v>
      </c>
      <c r="F375">
        <v>640.12</v>
      </c>
      <c r="G375">
        <v>2.6442E-2</v>
      </c>
      <c r="H375">
        <v>7</v>
      </c>
      <c r="I375">
        <v>15</v>
      </c>
      <c r="J375">
        <v>2</v>
      </c>
      <c r="K375">
        <v>5</v>
      </c>
      <c r="L375">
        <v>0</v>
      </c>
      <c r="M375">
        <v>1</v>
      </c>
      <c r="N375">
        <v>3</v>
      </c>
      <c r="O375">
        <v>0</v>
      </c>
      <c r="P375" t="s">
        <v>175</v>
      </c>
      <c r="Q375" t="str">
        <f>VLOOKUP(A375,Cleaned_Seller_Master!$A:$H,2,FALSE)</f>
        <v>Bright Nest 088</v>
      </c>
      <c r="R375" t="str">
        <f>VLOOKUP(A375,Cleaned_Seller_Master!$A:$H,4,FALSE)</f>
        <v>Home</v>
      </c>
      <c r="S375" t="str">
        <f>VLOOKUP(A375,Cleaned_Seller_Master!$A:$H,5,FALSE)</f>
        <v>North</v>
      </c>
      <c r="T375" t="str">
        <f>VLOOKUP(A375,Cleaned_Seller_Master!$A:$H,8,FALSE)</f>
        <v>Verified</v>
      </c>
      <c r="U375" t="str">
        <f>VLOOKUP(A375,Cleaned_Seller_Master!$A:$H,7,FALSE)</f>
        <v>24-11-2020</v>
      </c>
      <c r="V375">
        <f>IFERROR(INDEX(Violation_Summary_Seller_Year!$C:$C,MATCH(AD375,Violation_Summary_Seller_Year!$K:$K,0)),0)</f>
        <v>2</v>
      </c>
      <c r="W375">
        <f>IFERROR(INDEX(Violation_Summary_Seller_Year!$D:$D,MATCH(AD375,Violation_Summary_Seller_Year!$K:$K,0)),0)</f>
        <v>870.9</v>
      </c>
      <c r="X375">
        <f>IFERROR(INDEX(Violation_Summary_Seller_Year!$E:$E,MATCH(AD375,Violation_Summary_Seller_Year!$K:$K,0)),0)</f>
        <v>0</v>
      </c>
      <c r="Y375">
        <f>IFERROR(INDEX(Violation_Summary_Seller_Year!$F:$F,MATCH(AD375,Violation_Summary_Seller_Year!$K:$K,0)),0)</f>
        <v>1</v>
      </c>
      <c r="Z375">
        <f>IFERROR(INDEX(Violation_Summary_Seller_Year!$G:$G,MATCH(AD375,Violation_Summary_Seller_Year!$K:$K,0)),0)</f>
        <v>1</v>
      </c>
      <c r="AA375">
        <f>IFERROR(INDEX(Violation_Summary_Seller_Year!$H:$H,MATCH(AD375,Violation_Summary_Seller_Year!$K:$K,0)),0)</f>
        <v>0</v>
      </c>
      <c r="AB375">
        <f>IFERROR(INDEX(Violation_Summary_Seller_Year!$I:$I,MATCH(AD375,Violation_Summary_Seller_Year!$K:$K,0)),0)</f>
        <v>1</v>
      </c>
      <c r="AC375">
        <f>IFERROR(INDEX(Violation_Summary_Seller_Year!$J:$J,MATCH(AD375,Violation_Summary_Seller_Year!$K:$K,0)),0)</f>
        <v>10</v>
      </c>
      <c r="AD375" t="str">
        <f t="shared" si="40"/>
        <v>88_2024</v>
      </c>
      <c r="AE375">
        <f t="shared" si="41"/>
        <v>0</v>
      </c>
      <c r="AF375">
        <f t="shared" si="42"/>
        <v>1</v>
      </c>
      <c r="AG375">
        <f t="shared" si="43"/>
        <v>1</v>
      </c>
      <c r="AH375">
        <f t="shared" si="44"/>
        <v>0</v>
      </c>
      <c r="AI375">
        <f t="shared" si="45"/>
        <v>1</v>
      </c>
      <c r="AJ375">
        <f t="shared" si="46"/>
        <v>55</v>
      </c>
      <c r="AK375" t="str">
        <f t="shared" si="47"/>
        <v>Low</v>
      </c>
    </row>
    <row r="376" spans="1:37" x14ac:dyDescent="0.3">
      <c r="A376">
        <v>89</v>
      </c>
      <c r="B376">
        <v>2024</v>
      </c>
      <c r="C376">
        <v>765</v>
      </c>
      <c r="D376">
        <v>57</v>
      </c>
      <c r="E376">
        <v>49</v>
      </c>
      <c r="F376">
        <v>2047.67</v>
      </c>
      <c r="G376">
        <v>6.4051999999999998E-2</v>
      </c>
      <c r="H376">
        <v>20</v>
      </c>
      <c r="I376">
        <v>27</v>
      </c>
      <c r="J376">
        <v>11</v>
      </c>
      <c r="K376">
        <v>10</v>
      </c>
      <c r="L376">
        <v>0</v>
      </c>
      <c r="M376">
        <v>1</v>
      </c>
      <c r="N376">
        <v>6</v>
      </c>
      <c r="O376">
        <v>3</v>
      </c>
      <c r="P376" t="s">
        <v>68</v>
      </c>
      <c r="Q376" t="str">
        <f>VLOOKUP(A376,Cleaned_Seller_Master!$A:$H,2,FALSE)</f>
        <v>Golden Hub 089</v>
      </c>
      <c r="R376" t="str">
        <f>VLOOKUP(A376,Cleaned_Seller_Master!$A:$H,4,FALSE)</f>
        <v>Fashion</v>
      </c>
      <c r="S376" t="str">
        <f>VLOOKUP(A376,Cleaned_Seller_Master!$A:$H,5,FALSE)</f>
        <v>Southeast Asia</v>
      </c>
      <c r="T376" t="str">
        <f>VLOOKUP(A376,Cleaned_Seller_Master!$A:$H,8,FALSE)</f>
        <v>Verified</v>
      </c>
      <c r="U376" t="str">
        <f>VLOOKUP(A376,Cleaned_Seller_Master!$A:$H,7,FALSE)</f>
        <v>22-06-2025</v>
      </c>
      <c r="V376">
        <f>IFERROR(INDEX(Violation_Summary_Seller_Year!$C:$C,MATCH(AD376,Violation_Summary_Seller_Year!$K:$K,0)),0)</f>
        <v>2</v>
      </c>
      <c r="W376">
        <f>IFERROR(INDEX(Violation_Summary_Seller_Year!$D:$D,MATCH(AD376,Violation_Summary_Seller_Year!$K:$K,0)),0)</f>
        <v>4263.45</v>
      </c>
      <c r="X376">
        <f>IFERROR(INDEX(Violation_Summary_Seller_Year!$E:$E,MATCH(AD376,Violation_Summary_Seller_Year!$K:$K,0)),0)</f>
        <v>0</v>
      </c>
      <c r="Y376">
        <f>IFERROR(INDEX(Violation_Summary_Seller_Year!$F:$F,MATCH(AD376,Violation_Summary_Seller_Year!$K:$K,0)),0)</f>
        <v>1</v>
      </c>
      <c r="Z376">
        <f>IFERROR(INDEX(Violation_Summary_Seller_Year!$G:$G,MATCH(AD376,Violation_Summary_Seller_Year!$K:$K,0)),0)</f>
        <v>1</v>
      </c>
      <c r="AA376">
        <f>IFERROR(INDEX(Violation_Summary_Seller_Year!$H:$H,MATCH(AD376,Violation_Summary_Seller_Year!$K:$K,0)),0)</f>
        <v>1</v>
      </c>
      <c r="AB376">
        <f>IFERROR(INDEX(Violation_Summary_Seller_Year!$I:$I,MATCH(AD376,Violation_Summary_Seller_Year!$K:$K,0)),0)</f>
        <v>1</v>
      </c>
      <c r="AC376">
        <f>IFERROR(INDEX(Violation_Summary_Seller_Year!$J:$J,MATCH(AD376,Violation_Summary_Seller_Year!$K:$K,0)),0)</f>
        <v>19</v>
      </c>
      <c r="AD376" t="str">
        <f t="shared" si="40"/>
        <v>89_2024</v>
      </c>
      <c r="AE376">
        <f t="shared" si="41"/>
        <v>1</v>
      </c>
      <c r="AF376">
        <f t="shared" si="42"/>
        <v>2</v>
      </c>
      <c r="AG376">
        <f t="shared" si="43"/>
        <v>1</v>
      </c>
      <c r="AH376">
        <f t="shared" si="44"/>
        <v>0</v>
      </c>
      <c r="AI376">
        <f t="shared" si="45"/>
        <v>1</v>
      </c>
      <c r="AJ376">
        <f t="shared" si="46"/>
        <v>105</v>
      </c>
      <c r="AK376" t="str">
        <f t="shared" si="47"/>
        <v>Medium</v>
      </c>
    </row>
    <row r="377" spans="1:37" x14ac:dyDescent="0.3">
      <c r="A377">
        <v>90</v>
      </c>
      <c r="B377">
        <v>2024</v>
      </c>
      <c r="C377">
        <v>1390</v>
      </c>
      <c r="D377">
        <v>85</v>
      </c>
      <c r="E377">
        <v>81</v>
      </c>
      <c r="F377">
        <v>5303.8</v>
      </c>
      <c r="G377">
        <v>5.8272999999999998E-2</v>
      </c>
      <c r="H377">
        <v>15</v>
      </c>
      <c r="I377">
        <v>37</v>
      </c>
      <c r="J377">
        <v>9</v>
      </c>
      <c r="K377">
        <v>7</v>
      </c>
      <c r="L377">
        <v>1</v>
      </c>
      <c r="M377">
        <v>3</v>
      </c>
      <c r="N377">
        <v>4</v>
      </c>
      <c r="O377">
        <v>5</v>
      </c>
      <c r="P377" t="s">
        <v>85</v>
      </c>
      <c r="Q377" t="str">
        <f>VLOOKUP(A377,Cleaned_Seller_Master!$A:$H,2,FALSE)</f>
        <v>Ever Merchants 090</v>
      </c>
      <c r="R377" t="str">
        <f>VLOOKUP(A377,Cleaned_Seller_Master!$A:$H,4,FALSE)</f>
        <v>Home</v>
      </c>
      <c r="S377" t="str">
        <f>VLOOKUP(A377,Cleaned_Seller_Master!$A:$H,5,FALSE)</f>
        <v>North</v>
      </c>
      <c r="T377" t="str">
        <f>VLOOKUP(A377,Cleaned_Seller_Master!$A:$H,8,FALSE)</f>
        <v>Premium</v>
      </c>
      <c r="U377" t="str">
        <f>VLOOKUP(A377,Cleaned_Seller_Master!$A:$H,7,FALSE)</f>
        <v>08-10-2022</v>
      </c>
      <c r="V377">
        <f>IFERROR(INDEX(Violation_Summary_Seller_Year!$C:$C,MATCH(AD377,Violation_Summary_Seller_Year!$K:$K,0)),0)</f>
        <v>3</v>
      </c>
      <c r="W377">
        <f>IFERROR(INDEX(Violation_Summary_Seller_Year!$D:$D,MATCH(AD377,Violation_Summary_Seller_Year!$K:$K,0)),0)</f>
        <v>3972.97</v>
      </c>
      <c r="X377">
        <f>IFERROR(INDEX(Violation_Summary_Seller_Year!$E:$E,MATCH(AD377,Violation_Summary_Seller_Year!$K:$K,0)),0)</f>
        <v>1</v>
      </c>
      <c r="Y377">
        <f>IFERROR(INDEX(Violation_Summary_Seller_Year!$F:$F,MATCH(AD377,Violation_Summary_Seller_Year!$K:$K,0)),0)</f>
        <v>1</v>
      </c>
      <c r="Z377">
        <f>IFERROR(INDEX(Violation_Summary_Seller_Year!$G:$G,MATCH(AD377,Violation_Summary_Seller_Year!$K:$K,0)),0)</f>
        <v>2</v>
      </c>
      <c r="AA377">
        <f>IFERROR(INDEX(Violation_Summary_Seller_Year!$H:$H,MATCH(AD377,Violation_Summary_Seller_Year!$K:$K,0)),0)</f>
        <v>2</v>
      </c>
      <c r="AB377">
        <f>IFERROR(INDEX(Violation_Summary_Seller_Year!$I:$I,MATCH(AD377,Violation_Summary_Seller_Year!$K:$K,0)),0)</f>
        <v>1</v>
      </c>
      <c r="AC377">
        <f>IFERROR(INDEX(Violation_Summary_Seller_Year!$J:$J,MATCH(AD377,Violation_Summary_Seller_Year!$K:$K,0)),0)</f>
        <v>27</v>
      </c>
      <c r="AD377" t="str">
        <f t="shared" si="40"/>
        <v>90_2024</v>
      </c>
      <c r="AE377">
        <f t="shared" si="41"/>
        <v>1</v>
      </c>
      <c r="AF377">
        <f t="shared" si="42"/>
        <v>2</v>
      </c>
      <c r="AG377">
        <f t="shared" si="43"/>
        <v>2</v>
      </c>
      <c r="AH377">
        <f t="shared" si="44"/>
        <v>2</v>
      </c>
      <c r="AI377">
        <f t="shared" si="45"/>
        <v>2</v>
      </c>
      <c r="AJ377">
        <f t="shared" si="46"/>
        <v>175</v>
      </c>
      <c r="AK377" t="str">
        <f t="shared" si="47"/>
        <v>High</v>
      </c>
    </row>
    <row r="378" spans="1:37" x14ac:dyDescent="0.3">
      <c r="A378">
        <v>91</v>
      </c>
      <c r="B378">
        <v>2024</v>
      </c>
      <c r="C378">
        <v>1217</v>
      </c>
      <c r="D378">
        <v>64</v>
      </c>
      <c r="E378">
        <v>54</v>
      </c>
      <c r="F378">
        <v>5647.25</v>
      </c>
      <c r="G378">
        <v>4.4371000000000001E-2</v>
      </c>
      <c r="H378">
        <v>14</v>
      </c>
      <c r="I378">
        <v>29</v>
      </c>
      <c r="J378">
        <v>8</v>
      </c>
      <c r="K378">
        <v>6</v>
      </c>
      <c r="L378">
        <v>0</v>
      </c>
      <c r="M378">
        <v>2</v>
      </c>
      <c r="N378">
        <v>4</v>
      </c>
      <c r="O378">
        <v>3</v>
      </c>
      <c r="P378" t="s">
        <v>175</v>
      </c>
      <c r="Q378" t="str">
        <f>VLOOKUP(A378,Cleaned_Seller_Master!$A:$H,2,FALSE)</f>
        <v>Orbit Square 091</v>
      </c>
      <c r="R378" t="str">
        <f>VLOOKUP(A378,Cleaned_Seller_Master!$A:$H,4,FALSE)</f>
        <v>Electronics</v>
      </c>
      <c r="S378" t="str">
        <f>VLOOKUP(A378,Cleaned_Seller_Master!$A:$H,5,FALSE)</f>
        <v>North</v>
      </c>
      <c r="T378" t="str">
        <f>VLOOKUP(A378,Cleaned_Seller_Master!$A:$H,8,FALSE)</f>
        <v>Premium</v>
      </c>
      <c r="U378" t="str">
        <f>VLOOKUP(A378,Cleaned_Seller_Master!$A:$H,7,FALSE)</f>
        <v>04-02-2025</v>
      </c>
      <c r="V378">
        <f>IFERROR(INDEX(Violation_Summary_Seller_Year!$C:$C,MATCH(AD378,Violation_Summary_Seller_Year!$K:$K,0)),0)</f>
        <v>3</v>
      </c>
      <c r="W378">
        <f>IFERROR(INDEX(Violation_Summary_Seller_Year!$D:$D,MATCH(AD378,Violation_Summary_Seller_Year!$K:$K,0)),0)</f>
        <v>2042.26</v>
      </c>
      <c r="X378">
        <f>IFERROR(INDEX(Violation_Summary_Seller_Year!$E:$E,MATCH(AD378,Violation_Summary_Seller_Year!$K:$K,0)),0)</f>
        <v>0</v>
      </c>
      <c r="Y378">
        <f>IFERROR(INDEX(Violation_Summary_Seller_Year!$F:$F,MATCH(AD378,Violation_Summary_Seller_Year!$K:$K,0)),0)</f>
        <v>3</v>
      </c>
      <c r="Z378">
        <f>IFERROR(INDEX(Violation_Summary_Seller_Year!$G:$G,MATCH(AD378,Violation_Summary_Seller_Year!$K:$K,0)),0)</f>
        <v>0</v>
      </c>
      <c r="AA378">
        <f>IFERROR(INDEX(Violation_Summary_Seller_Year!$H:$H,MATCH(AD378,Violation_Summary_Seller_Year!$K:$K,0)),0)</f>
        <v>0</v>
      </c>
      <c r="AB378">
        <f>IFERROR(INDEX(Violation_Summary_Seller_Year!$I:$I,MATCH(AD378,Violation_Summary_Seller_Year!$K:$K,0)),0)</f>
        <v>1</v>
      </c>
      <c r="AC378">
        <f>IFERROR(INDEX(Violation_Summary_Seller_Year!$J:$J,MATCH(AD378,Violation_Summary_Seller_Year!$K:$K,0)),0)</f>
        <v>29</v>
      </c>
      <c r="AD378" t="str">
        <f t="shared" si="40"/>
        <v>91_2024</v>
      </c>
      <c r="AE378">
        <f t="shared" si="41"/>
        <v>0</v>
      </c>
      <c r="AF378">
        <f t="shared" si="42"/>
        <v>2</v>
      </c>
      <c r="AG378">
        <f t="shared" si="43"/>
        <v>1</v>
      </c>
      <c r="AH378">
        <f t="shared" si="44"/>
        <v>0</v>
      </c>
      <c r="AI378">
        <f t="shared" si="45"/>
        <v>1</v>
      </c>
      <c r="AJ378">
        <f t="shared" si="46"/>
        <v>80</v>
      </c>
      <c r="AK378" t="str">
        <f t="shared" si="47"/>
        <v>Medium</v>
      </c>
    </row>
    <row r="379" spans="1:37" x14ac:dyDescent="0.3">
      <c r="A379">
        <v>92</v>
      </c>
      <c r="B379">
        <v>2024</v>
      </c>
      <c r="C379">
        <v>598</v>
      </c>
      <c r="D379">
        <v>29</v>
      </c>
      <c r="E379">
        <v>24</v>
      </c>
      <c r="F379">
        <v>2070.17</v>
      </c>
      <c r="G379">
        <v>4.0134000000000003E-2</v>
      </c>
      <c r="H379">
        <v>19</v>
      </c>
      <c r="I379">
        <v>19</v>
      </c>
      <c r="J379">
        <v>4</v>
      </c>
      <c r="K379">
        <v>7</v>
      </c>
      <c r="L379">
        <v>0</v>
      </c>
      <c r="M379">
        <v>1</v>
      </c>
      <c r="N379">
        <v>4</v>
      </c>
      <c r="O379">
        <v>1</v>
      </c>
      <c r="P379" t="s">
        <v>175</v>
      </c>
      <c r="Q379" t="str">
        <f>VLOOKUP(A379,Cleaned_Seller_Master!$A:$H,2,FALSE)</f>
        <v>Pulse Commerce 092</v>
      </c>
      <c r="R379" t="str">
        <f>VLOOKUP(A379,Cleaned_Seller_Master!$A:$H,4,FALSE)</f>
        <v>Groceries</v>
      </c>
      <c r="S379" t="str">
        <f>VLOOKUP(A379,Cleaned_Seller_Master!$A:$H,5,FALSE)</f>
        <v>West</v>
      </c>
      <c r="T379" t="str">
        <f>VLOOKUP(A379,Cleaned_Seller_Master!$A:$H,8,FALSE)</f>
        <v>Verified</v>
      </c>
      <c r="U379" t="str">
        <f>VLOOKUP(A379,Cleaned_Seller_Master!$A:$H,7,FALSE)</f>
        <v>21-07-2020</v>
      </c>
      <c r="V379">
        <f>IFERROR(INDEX(Violation_Summary_Seller_Year!$C:$C,MATCH(AD379,Violation_Summary_Seller_Year!$K:$K,0)),0)</f>
        <v>1</v>
      </c>
      <c r="W379">
        <f>IFERROR(INDEX(Violation_Summary_Seller_Year!$D:$D,MATCH(AD379,Violation_Summary_Seller_Year!$K:$K,0)),0)</f>
        <v>519.15</v>
      </c>
      <c r="X379">
        <f>IFERROR(INDEX(Violation_Summary_Seller_Year!$E:$E,MATCH(AD379,Violation_Summary_Seller_Year!$K:$K,0)),0)</f>
        <v>0</v>
      </c>
      <c r="Y379">
        <f>IFERROR(INDEX(Violation_Summary_Seller_Year!$F:$F,MATCH(AD379,Violation_Summary_Seller_Year!$K:$K,0)),0)</f>
        <v>1</v>
      </c>
      <c r="Z379">
        <f>IFERROR(INDEX(Violation_Summary_Seller_Year!$G:$G,MATCH(AD379,Violation_Summary_Seller_Year!$K:$K,0)),0)</f>
        <v>0</v>
      </c>
      <c r="AA379">
        <f>IFERROR(INDEX(Violation_Summary_Seller_Year!$H:$H,MATCH(AD379,Violation_Summary_Seller_Year!$K:$K,0)),0)</f>
        <v>0</v>
      </c>
      <c r="AB379">
        <f>IFERROR(INDEX(Violation_Summary_Seller_Year!$I:$I,MATCH(AD379,Violation_Summary_Seller_Year!$K:$K,0)),0)</f>
        <v>0</v>
      </c>
      <c r="AC379">
        <f>IFERROR(INDEX(Violation_Summary_Seller_Year!$J:$J,MATCH(AD379,Violation_Summary_Seller_Year!$K:$K,0)),0)</f>
        <v>12</v>
      </c>
      <c r="AD379" t="str">
        <f t="shared" si="40"/>
        <v>92_2024</v>
      </c>
      <c r="AE379">
        <f t="shared" si="41"/>
        <v>0</v>
      </c>
      <c r="AF379">
        <f t="shared" si="42"/>
        <v>2</v>
      </c>
      <c r="AG379">
        <f t="shared" si="43"/>
        <v>0</v>
      </c>
      <c r="AH379">
        <f t="shared" si="44"/>
        <v>0</v>
      </c>
      <c r="AI379">
        <f t="shared" si="45"/>
        <v>1</v>
      </c>
      <c r="AJ379">
        <f t="shared" si="46"/>
        <v>60</v>
      </c>
      <c r="AK379" t="str">
        <f t="shared" si="47"/>
        <v>Medium</v>
      </c>
    </row>
    <row r="380" spans="1:37" x14ac:dyDescent="0.3">
      <c r="A380">
        <v>93</v>
      </c>
      <c r="B380">
        <v>2024</v>
      </c>
      <c r="C380">
        <v>666</v>
      </c>
      <c r="D380">
        <v>67</v>
      </c>
      <c r="E380">
        <v>54</v>
      </c>
      <c r="F380">
        <v>3361.17</v>
      </c>
      <c r="G380">
        <v>8.1081E-2</v>
      </c>
      <c r="H380">
        <v>18</v>
      </c>
      <c r="I380">
        <v>19</v>
      </c>
      <c r="J380">
        <v>11</v>
      </c>
      <c r="K380">
        <v>13</v>
      </c>
      <c r="L380">
        <v>1</v>
      </c>
      <c r="M380">
        <v>6</v>
      </c>
      <c r="N380">
        <v>7</v>
      </c>
      <c r="O380">
        <v>4</v>
      </c>
      <c r="P380" t="s">
        <v>85</v>
      </c>
      <c r="Q380" t="str">
        <f>VLOOKUP(A380,Cleaned_Seller_Master!$A:$H,2,FALSE)</f>
        <v>Summit Bazaar 093</v>
      </c>
      <c r="R380" t="str">
        <f>VLOOKUP(A380,Cleaned_Seller_Master!$A:$H,4,FALSE)</f>
        <v>Home</v>
      </c>
      <c r="S380" t="str">
        <f>VLOOKUP(A380,Cleaned_Seller_Master!$A:$H,5,FALSE)</f>
        <v>West</v>
      </c>
      <c r="T380" t="str">
        <f>VLOOKUP(A380,Cleaned_Seller_Master!$A:$H,8,FALSE)</f>
        <v>Strategic</v>
      </c>
      <c r="U380" t="str">
        <f>VLOOKUP(A380,Cleaned_Seller_Master!$A:$H,7,FALSE)</f>
        <v>22-02-2023</v>
      </c>
      <c r="V380">
        <f>IFERROR(INDEX(Violation_Summary_Seller_Year!$C:$C,MATCH(AD380,Violation_Summary_Seller_Year!$K:$K,0)),0)</f>
        <v>4</v>
      </c>
      <c r="W380">
        <f>IFERROR(INDEX(Violation_Summary_Seller_Year!$D:$D,MATCH(AD380,Violation_Summary_Seller_Year!$K:$K,0)),0)</f>
        <v>13481.099999999999</v>
      </c>
      <c r="X380">
        <f>IFERROR(INDEX(Violation_Summary_Seller_Year!$E:$E,MATCH(AD380,Violation_Summary_Seller_Year!$K:$K,0)),0)</f>
        <v>2</v>
      </c>
      <c r="Y380">
        <f>IFERROR(INDEX(Violation_Summary_Seller_Year!$F:$F,MATCH(AD380,Violation_Summary_Seller_Year!$K:$K,0)),0)</f>
        <v>2</v>
      </c>
      <c r="Z380">
        <f>IFERROR(INDEX(Violation_Summary_Seller_Year!$G:$G,MATCH(AD380,Violation_Summary_Seller_Year!$K:$K,0)),0)</f>
        <v>2</v>
      </c>
      <c r="AA380">
        <f>IFERROR(INDEX(Violation_Summary_Seller_Year!$H:$H,MATCH(AD380,Violation_Summary_Seller_Year!$K:$K,0)),0)</f>
        <v>3</v>
      </c>
      <c r="AB380">
        <f>IFERROR(INDEX(Violation_Summary_Seller_Year!$I:$I,MATCH(AD380,Violation_Summary_Seller_Year!$K:$K,0)),0)</f>
        <v>4</v>
      </c>
      <c r="AC380">
        <f>IFERROR(INDEX(Violation_Summary_Seller_Year!$J:$J,MATCH(AD380,Violation_Summary_Seller_Year!$K:$K,0)),0)</f>
        <v>25</v>
      </c>
      <c r="AD380" t="str">
        <f t="shared" si="40"/>
        <v>93_2024</v>
      </c>
      <c r="AE380">
        <f t="shared" si="41"/>
        <v>1</v>
      </c>
      <c r="AF380">
        <f t="shared" si="42"/>
        <v>2</v>
      </c>
      <c r="AG380">
        <f t="shared" si="43"/>
        <v>2</v>
      </c>
      <c r="AH380">
        <f t="shared" si="44"/>
        <v>2</v>
      </c>
      <c r="AI380">
        <f t="shared" si="45"/>
        <v>2</v>
      </c>
      <c r="AJ380">
        <f t="shared" si="46"/>
        <v>175</v>
      </c>
      <c r="AK380" t="str">
        <f t="shared" si="47"/>
        <v>High</v>
      </c>
    </row>
    <row r="381" spans="1:37" x14ac:dyDescent="0.3">
      <c r="A381">
        <v>94</v>
      </c>
      <c r="B381">
        <v>2024</v>
      </c>
      <c r="C381">
        <v>294</v>
      </c>
      <c r="D381">
        <v>23</v>
      </c>
      <c r="E381">
        <v>21</v>
      </c>
      <c r="F381">
        <v>2284.83</v>
      </c>
      <c r="G381">
        <v>7.1429000000000006E-2</v>
      </c>
      <c r="H381">
        <v>12</v>
      </c>
      <c r="I381">
        <v>16</v>
      </c>
      <c r="J381">
        <v>6</v>
      </c>
      <c r="K381">
        <v>5</v>
      </c>
      <c r="L381">
        <v>1</v>
      </c>
      <c r="M381">
        <v>5</v>
      </c>
      <c r="N381">
        <v>5</v>
      </c>
      <c r="O381">
        <v>1</v>
      </c>
      <c r="P381" t="s">
        <v>85</v>
      </c>
      <c r="Q381" t="str">
        <f>VLOOKUP(A381,Cleaned_Seller_Master!$A:$H,2,FALSE)</f>
        <v>Prime Bridge 094</v>
      </c>
      <c r="R381" t="str">
        <f>VLOOKUP(A381,Cleaned_Seller_Master!$A:$H,4,FALSE)</f>
        <v>Home</v>
      </c>
      <c r="S381" t="str">
        <f>VLOOKUP(A381,Cleaned_Seller_Master!$A:$H,5,FALSE)</f>
        <v>North</v>
      </c>
      <c r="T381" t="str">
        <f>VLOOKUP(A381,Cleaned_Seller_Master!$A:$H,8,FALSE)</f>
        <v>Standard</v>
      </c>
      <c r="U381" t="str">
        <f>VLOOKUP(A381,Cleaned_Seller_Master!$A:$H,7,FALSE)</f>
        <v>26-01-2017</v>
      </c>
      <c r="V381">
        <f>IFERROR(INDEX(Violation_Summary_Seller_Year!$C:$C,MATCH(AD381,Violation_Summary_Seller_Year!$K:$K,0)),0)</f>
        <v>5</v>
      </c>
      <c r="W381">
        <f>IFERROR(INDEX(Violation_Summary_Seller_Year!$D:$D,MATCH(AD381,Violation_Summary_Seller_Year!$K:$K,0)),0)</f>
        <v>23480.42</v>
      </c>
      <c r="X381">
        <f>IFERROR(INDEX(Violation_Summary_Seller_Year!$E:$E,MATCH(AD381,Violation_Summary_Seller_Year!$K:$K,0)),0)</f>
        <v>1</v>
      </c>
      <c r="Y381">
        <f>IFERROR(INDEX(Violation_Summary_Seller_Year!$F:$F,MATCH(AD381,Violation_Summary_Seller_Year!$K:$K,0)),0)</f>
        <v>1</v>
      </c>
      <c r="Z381">
        <f>IFERROR(INDEX(Violation_Summary_Seller_Year!$G:$G,MATCH(AD381,Violation_Summary_Seller_Year!$K:$K,0)),0)</f>
        <v>4</v>
      </c>
      <c r="AA381">
        <f>IFERROR(INDEX(Violation_Summary_Seller_Year!$H:$H,MATCH(AD381,Violation_Summary_Seller_Year!$K:$K,0)),0)</f>
        <v>4</v>
      </c>
      <c r="AB381">
        <f>IFERROR(INDEX(Violation_Summary_Seller_Year!$I:$I,MATCH(AD381,Violation_Summary_Seller_Year!$K:$K,0)),0)</f>
        <v>2</v>
      </c>
      <c r="AC381">
        <f>IFERROR(INDEX(Violation_Summary_Seller_Year!$J:$J,MATCH(AD381,Violation_Summary_Seller_Year!$K:$K,0)),0)</f>
        <v>42</v>
      </c>
      <c r="AD381" t="str">
        <f t="shared" si="40"/>
        <v>94_2024</v>
      </c>
      <c r="AE381">
        <f t="shared" si="41"/>
        <v>1</v>
      </c>
      <c r="AF381">
        <f t="shared" si="42"/>
        <v>2</v>
      </c>
      <c r="AG381">
        <f t="shared" si="43"/>
        <v>2</v>
      </c>
      <c r="AH381">
        <f t="shared" si="44"/>
        <v>2</v>
      </c>
      <c r="AI381">
        <f t="shared" si="45"/>
        <v>2</v>
      </c>
      <c r="AJ381">
        <f t="shared" si="46"/>
        <v>175</v>
      </c>
      <c r="AK381" t="str">
        <f t="shared" si="47"/>
        <v>High</v>
      </c>
    </row>
    <row r="382" spans="1:37" x14ac:dyDescent="0.3">
      <c r="A382">
        <v>95</v>
      </c>
      <c r="B382">
        <v>2024</v>
      </c>
      <c r="C382">
        <v>455</v>
      </c>
      <c r="D382">
        <v>37</v>
      </c>
      <c r="E382">
        <v>33</v>
      </c>
      <c r="F382">
        <v>2124.9499999999998</v>
      </c>
      <c r="G382">
        <v>7.2526999999999994E-2</v>
      </c>
      <c r="H382">
        <v>19</v>
      </c>
      <c r="I382">
        <v>19</v>
      </c>
      <c r="J382">
        <v>7</v>
      </c>
      <c r="K382">
        <v>8</v>
      </c>
      <c r="L382">
        <v>1</v>
      </c>
      <c r="M382">
        <v>4</v>
      </c>
      <c r="N382">
        <v>4</v>
      </c>
      <c r="O382">
        <v>2</v>
      </c>
      <c r="P382" t="s">
        <v>85</v>
      </c>
      <c r="Q382" t="str">
        <f>VLOOKUP(A382,Cleaned_Seller_Master!$A:$H,2,FALSE)</f>
        <v>Apex Retail 095</v>
      </c>
      <c r="R382" t="str">
        <f>VLOOKUP(A382,Cleaned_Seller_Master!$A:$H,4,FALSE)</f>
        <v>Groceries</v>
      </c>
      <c r="S382" t="str">
        <f>VLOOKUP(A382,Cleaned_Seller_Master!$A:$H,5,FALSE)</f>
        <v>South</v>
      </c>
      <c r="T382" t="str">
        <f>VLOOKUP(A382,Cleaned_Seller_Master!$A:$H,8,FALSE)</f>
        <v>Verified</v>
      </c>
      <c r="U382" t="str">
        <f>VLOOKUP(A382,Cleaned_Seller_Master!$A:$H,7,FALSE)</f>
        <v>26-03-2022</v>
      </c>
      <c r="V382">
        <f>IFERROR(INDEX(Violation_Summary_Seller_Year!$C:$C,MATCH(AD382,Violation_Summary_Seller_Year!$K:$K,0)),0)</f>
        <v>6</v>
      </c>
      <c r="W382">
        <f>IFERROR(INDEX(Violation_Summary_Seller_Year!$D:$D,MATCH(AD382,Violation_Summary_Seller_Year!$K:$K,0)),0)</f>
        <v>8735.42</v>
      </c>
      <c r="X382">
        <f>IFERROR(INDEX(Violation_Summary_Seller_Year!$E:$E,MATCH(AD382,Violation_Summary_Seller_Year!$K:$K,0)),0)</f>
        <v>3</v>
      </c>
      <c r="Y382">
        <f>IFERROR(INDEX(Violation_Summary_Seller_Year!$F:$F,MATCH(AD382,Violation_Summary_Seller_Year!$K:$K,0)),0)</f>
        <v>4</v>
      </c>
      <c r="Z382">
        <f>IFERROR(INDEX(Violation_Summary_Seller_Year!$G:$G,MATCH(AD382,Violation_Summary_Seller_Year!$K:$K,0)),0)</f>
        <v>2</v>
      </c>
      <c r="AA382">
        <f>IFERROR(INDEX(Violation_Summary_Seller_Year!$H:$H,MATCH(AD382,Violation_Summary_Seller_Year!$K:$K,0)),0)</f>
        <v>3</v>
      </c>
      <c r="AB382">
        <f>IFERROR(INDEX(Violation_Summary_Seller_Year!$I:$I,MATCH(AD382,Violation_Summary_Seller_Year!$K:$K,0)),0)</f>
        <v>3</v>
      </c>
      <c r="AC382">
        <f>IFERROR(INDEX(Violation_Summary_Seller_Year!$J:$J,MATCH(AD382,Violation_Summary_Seller_Year!$K:$K,0)),0)</f>
        <v>67</v>
      </c>
      <c r="AD382" t="str">
        <f t="shared" si="40"/>
        <v>95_2024</v>
      </c>
      <c r="AE382">
        <f t="shared" si="41"/>
        <v>1</v>
      </c>
      <c r="AF382">
        <f t="shared" si="42"/>
        <v>2</v>
      </c>
      <c r="AG382">
        <f t="shared" si="43"/>
        <v>2</v>
      </c>
      <c r="AH382">
        <f t="shared" si="44"/>
        <v>2</v>
      </c>
      <c r="AI382">
        <f t="shared" si="45"/>
        <v>2</v>
      </c>
      <c r="AJ382">
        <f t="shared" si="46"/>
        <v>175</v>
      </c>
      <c r="AK382" t="str">
        <f t="shared" si="47"/>
        <v>High</v>
      </c>
    </row>
    <row r="383" spans="1:37" x14ac:dyDescent="0.3">
      <c r="A383">
        <v>96</v>
      </c>
      <c r="B383">
        <v>2024</v>
      </c>
      <c r="C383">
        <v>810</v>
      </c>
      <c r="D383">
        <v>64</v>
      </c>
      <c r="E383">
        <v>54</v>
      </c>
      <c r="F383">
        <v>4156.21</v>
      </c>
      <c r="G383">
        <v>6.6667000000000004E-2</v>
      </c>
      <c r="H383">
        <v>16</v>
      </c>
      <c r="I383">
        <v>29</v>
      </c>
      <c r="J383">
        <v>9</v>
      </c>
      <c r="K383">
        <v>7</v>
      </c>
      <c r="L383">
        <v>1</v>
      </c>
      <c r="M383">
        <v>4</v>
      </c>
      <c r="N383">
        <v>5</v>
      </c>
      <c r="O383">
        <v>3</v>
      </c>
      <c r="P383" t="s">
        <v>85</v>
      </c>
      <c r="Q383" t="str">
        <f>VLOOKUP(A383,Cleaned_Seller_Master!$A:$H,2,FALSE)</f>
        <v>Nimbus Market 096</v>
      </c>
      <c r="R383" t="str">
        <f>VLOOKUP(A383,Cleaned_Seller_Master!$A:$H,4,FALSE)</f>
        <v>Beauty</v>
      </c>
      <c r="S383" t="str">
        <f>VLOOKUP(A383,Cleaned_Seller_Master!$A:$H,5,FALSE)</f>
        <v>North</v>
      </c>
      <c r="T383" t="str">
        <f>VLOOKUP(A383,Cleaned_Seller_Master!$A:$H,8,FALSE)</f>
        <v>Verified</v>
      </c>
      <c r="U383" t="str">
        <f>VLOOKUP(A383,Cleaned_Seller_Master!$A:$H,7,FALSE)</f>
        <v>12-01-2019</v>
      </c>
      <c r="V383">
        <f>IFERROR(INDEX(Violation_Summary_Seller_Year!$C:$C,MATCH(AD383,Violation_Summary_Seller_Year!$K:$K,0)),0)</f>
        <v>4</v>
      </c>
      <c r="W383">
        <f>IFERROR(INDEX(Violation_Summary_Seller_Year!$D:$D,MATCH(AD383,Violation_Summary_Seller_Year!$K:$K,0)),0)</f>
        <v>10738.89</v>
      </c>
      <c r="X383">
        <f>IFERROR(INDEX(Violation_Summary_Seller_Year!$E:$E,MATCH(AD383,Violation_Summary_Seller_Year!$K:$K,0)),0)</f>
        <v>3</v>
      </c>
      <c r="Y383">
        <f>IFERROR(INDEX(Violation_Summary_Seller_Year!$F:$F,MATCH(AD383,Violation_Summary_Seller_Year!$K:$K,0)),0)</f>
        <v>1</v>
      </c>
      <c r="Z383">
        <f>IFERROR(INDEX(Violation_Summary_Seller_Year!$G:$G,MATCH(AD383,Violation_Summary_Seller_Year!$K:$K,0)),0)</f>
        <v>3</v>
      </c>
      <c r="AA383">
        <f>IFERROR(INDEX(Violation_Summary_Seller_Year!$H:$H,MATCH(AD383,Violation_Summary_Seller_Year!$K:$K,0)),0)</f>
        <v>3</v>
      </c>
      <c r="AB383">
        <f>IFERROR(INDEX(Violation_Summary_Seller_Year!$I:$I,MATCH(AD383,Violation_Summary_Seller_Year!$K:$K,0)),0)</f>
        <v>2</v>
      </c>
      <c r="AC383">
        <f>IFERROR(INDEX(Violation_Summary_Seller_Year!$J:$J,MATCH(AD383,Violation_Summary_Seller_Year!$K:$K,0)),0)</f>
        <v>32</v>
      </c>
      <c r="AD383" t="str">
        <f t="shared" si="40"/>
        <v>96_2024</v>
      </c>
      <c r="AE383">
        <f t="shared" si="41"/>
        <v>1</v>
      </c>
      <c r="AF383">
        <f t="shared" si="42"/>
        <v>2</v>
      </c>
      <c r="AG383">
        <f t="shared" si="43"/>
        <v>2</v>
      </c>
      <c r="AH383">
        <f t="shared" si="44"/>
        <v>2</v>
      </c>
      <c r="AI383">
        <f t="shared" si="45"/>
        <v>2</v>
      </c>
      <c r="AJ383">
        <f t="shared" si="46"/>
        <v>175</v>
      </c>
      <c r="AK383" t="str">
        <f t="shared" si="47"/>
        <v>High</v>
      </c>
    </row>
    <row r="384" spans="1:37" x14ac:dyDescent="0.3">
      <c r="A384">
        <v>97</v>
      </c>
      <c r="B384">
        <v>2024</v>
      </c>
      <c r="C384">
        <v>1033</v>
      </c>
      <c r="D384">
        <v>101</v>
      </c>
      <c r="E384">
        <v>86</v>
      </c>
      <c r="F384">
        <v>8953.68</v>
      </c>
      <c r="G384">
        <v>8.3252999999999994E-2</v>
      </c>
      <c r="H384">
        <v>31</v>
      </c>
      <c r="I384">
        <v>34</v>
      </c>
      <c r="J384">
        <v>13</v>
      </c>
      <c r="K384">
        <v>13</v>
      </c>
      <c r="L384">
        <v>0</v>
      </c>
      <c r="M384">
        <v>2</v>
      </c>
      <c r="N384">
        <v>5</v>
      </c>
      <c r="O384">
        <v>2</v>
      </c>
      <c r="P384" t="s">
        <v>85</v>
      </c>
      <c r="Q384" t="str">
        <f>VLOOKUP(A384,Cleaned_Seller_Master!$A:$H,2,FALSE)</f>
        <v>Metro Point 097</v>
      </c>
      <c r="R384" t="str">
        <f>VLOOKUP(A384,Cleaned_Seller_Master!$A:$H,4,FALSE)</f>
        <v>Groceries</v>
      </c>
      <c r="S384" t="str">
        <f>VLOOKUP(A384,Cleaned_Seller_Master!$A:$H,5,FALSE)</f>
        <v>North</v>
      </c>
      <c r="T384" t="str">
        <f>VLOOKUP(A384,Cleaned_Seller_Master!$A:$H,8,FALSE)</f>
        <v>Standard</v>
      </c>
      <c r="U384" t="str">
        <f>VLOOKUP(A384,Cleaned_Seller_Master!$A:$H,7,FALSE)</f>
        <v>25-08-2025</v>
      </c>
      <c r="V384">
        <f>IFERROR(INDEX(Violation_Summary_Seller_Year!$C:$C,MATCH(AD384,Violation_Summary_Seller_Year!$K:$K,0)),0)</f>
        <v>4</v>
      </c>
      <c r="W384">
        <f>IFERROR(INDEX(Violation_Summary_Seller_Year!$D:$D,MATCH(AD384,Violation_Summary_Seller_Year!$K:$K,0)),0)</f>
        <v>12123.759999999998</v>
      </c>
      <c r="X384">
        <f>IFERROR(INDEX(Violation_Summary_Seller_Year!$E:$E,MATCH(AD384,Violation_Summary_Seller_Year!$K:$K,0)),0)</f>
        <v>0</v>
      </c>
      <c r="Y384">
        <f>IFERROR(INDEX(Violation_Summary_Seller_Year!$F:$F,MATCH(AD384,Violation_Summary_Seller_Year!$K:$K,0)),0)</f>
        <v>2</v>
      </c>
      <c r="Z384">
        <f>IFERROR(INDEX(Violation_Summary_Seller_Year!$G:$G,MATCH(AD384,Violation_Summary_Seller_Year!$K:$K,0)),0)</f>
        <v>2</v>
      </c>
      <c r="AA384">
        <f>IFERROR(INDEX(Violation_Summary_Seller_Year!$H:$H,MATCH(AD384,Violation_Summary_Seller_Year!$K:$K,0)),0)</f>
        <v>3</v>
      </c>
      <c r="AB384">
        <f>IFERROR(INDEX(Violation_Summary_Seller_Year!$I:$I,MATCH(AD384,Violation_Summary_Seller_Year!$K:$K,0)),0)</f>
        <v>2</v>
      </c>
      <c r="AC384">
        <f>IFERROR(INDEX(Violation_Summary_Seller_Year!$J:$J,MATCH(AD384,Violation_Summary_Seller_Year!$K:$K,0)),0)</f>
        <v>60</v>
      </c>
      <c r="AD384" t="str">
        <f t="shared" si="40"/>
        <v>97_2024</v>
      </c>
      <c r="AE384">
        <f t="shared" si="41"/>
        <v>1</v>
      </c>
      <c r="AF384">
        <f t="shared" si="42"/>
        <v>2</v>
      </c>
      <c r="AG384">
        <f t="shared" si="43"/>
        <v>2</v>
      </c>
      <c r="AH384">
        <f t="shared" si="44"/>
        <v>0</v>
      </c>
      <c r="AI384">
        <f t="shared" si="45"/>
        <v>2</v>
      </c>
      <c r="AJ384">
        <f t="shared" si="46"/>
        <v>135</v>
      </c>
      <c r="AK384" t="str">
        <f t="shared" si="47"/>
        <v>High</v>
      </c>
    </row>
    <row r="385" spans="1:37" x14ac:dyDescent="0.3">
      <c r="A385">
        <v>98</v>
      </c>
      <c r="B385">
        <v>2024</v>
      </c>
      <c r="C385">
        <v>1511</v>
      </c>
      <c r="D385">
        <v>141</v>
      </c>
      <c r="E385">
        <v>131</v>
      </c>
      <c r="F385">
        <v>10953.71</v>
      </c>
      <c r="G385">
        <v>8.6697999999999997E-2</v>
      </c>
      <c r="H385">
        <v>37</v>
      </c>
      <c r="I385">
        <v>53</v>
      </c>
      <c r="J385">
        <v>15</v>
      </c>
      <c r="K385">
        <v>9</v>
      </c>
      <c r="L385">
        <v>1</v>
      </c>
      <c r="M385">
        <v>5</v>
      </c>
      <c r="N385">
        <v>5</v>
      </c>
      <c r="O385">
        <v>6</v>
      </c>
      <c r="P385" t="s">
        <v>85</v>
      </c>
      <c r="Q385" t="str">
        <f>VLOOKUP(A385,Cleaned_Seller_Master!$A:$H,2,FALSE)</f>
        <v>Luna Stores 098</v>
      </c>
      <c r="R385" t="str">
        <f>VLOOKUP(A385,Cleaned_Seller_Master!$A:$H,4,FALSE)</f>
        <v>Groceries</v>
      </c>
      <c r="S385" t="str">
        <f>VLOOKUP(A385,Cleaned_Seller_Master!$A:$H,5,FALSE)</f>
        <v>East</v>
      </c>
      <c r="T385" t="str">
        <f>VLOOKUP(A385,Cleaned_Seller_Master!$A:$H,8,FALSE)</f>
        <v>Verified</v>
      </c>
      <c r="U385" t="str">
        <f>VLOOKUP(A385,Cleaned_Seller_Master!$A:$H,7,FALSE)</f>
        <v>16-01-2017</v>
      </c>
      <c r="V385">
        <f>IFERROR(INDEX(Violation_Summary_Seller_Year!$C:$C,MATCH(AD385,Violation_Summary_Seller_Year!$K:$K,0)),0)</f>
        <v>5</v>
      </c>
      <c r="W385">
        <f>IFERROR(INDEX(Violation_Summary_Seller_Year!$D:$D,MATCH(AD385,Violation_Summary_Seller_Year!$K:$K,0)),0)</f>
        <v>17434.04</v>
      </c>
      <c r="X385">
        <f>IFERROR(INDEX(Violation_Summary_Seller_Year!$E:$E,MATCH(AD385,Violation_Summary_Seller_Year!$K:$K,0)),0)</f>
        <v>3</v>
      </c>
      <c r="Y385">
        <f>IFERROR(INDEX(Violation_Summary_Seller_Year!$F:$F,MATCH(AD385,Violation_Summary_Seller_Year!$K:$K,0)),0)</f>
        <v>3</v>
      </c>
      <c r="Z385">
        <f>IFERROR(INDEX(Violation_Summary_Seller_Year!$G:$G,MATCH(AD385,Violation_Summary_Seller_Year!$K:$K,0)),0)</f>
        <v>2</v>
      </c>
      <c r="AA385">
        <f>IFERROR(INDEX(Violation_Summary_Seller_Year!$H:$H,MATCH(AD385,Violation_Summary_Seller_Year!$K:$K,0)),0)</f>
        <v>4</v>
      </c>
      <c r="AB385">
        <f>IFERROR(INDEX(Violation_Summary_Seller_Year!$I:$I,MATCH(AD385,Violation_Summary_Seller_Year!$K:$K,0)),0)</f>
        <v>1</v>
      </c>
      <c r="AC385">
        <f>IFERROR(INDEX(Violation_Summary_Seller_Year!$J:$J,MATCH(AD385,Violation_Summary_Seller_Year!$K:$K,0)),0)</f>
        <v>39</v>
      </c>
      <c r="AD385" t="str">
        <f t="shared" si="40"/>
        <v>98_2024</v>
      </c>
      <c r="AE385">
        <f t="shared" si="41"/>
        <v>1</v>
      </c>
      <c r="AF385">
        <f t="shared" si="42"/>
        <v>2</v>
      </c>
      <c r="AG385">
        <f t="shared" si="43"/>
        <v>2</v>
      </c>
      <c r="AH385">
        <f t="shared" si="44"/>
        <v>2</v>
      </c>
      <c r="AI385">
        <f t="shared" si="45"/>
        <v>2</v>
      </c>
      <c r="AJ385">
        <f t="shared" si="46"/>
        <v>175</v>
      </c>
      <c r="AK385" t="str">
        <f t="shared" si="47"/>
        <v>High</v>
      </c>
    </row>
    <row r="386" spans="1:37" x14ac:dyDescent="0.3">
      <c r="A386">
        <v>99</v>
      </c>
      <c r="B386">
        <v>2024</v>
      </c>
      <c r="C386">
        <v>1653</v>
      </c>
      <c r="D386">
        <v>175</v>
      </c>
      <c r="E386">
        <v>153</v>
      </c>
      <c r="F386">
        <v>7777.68</v>
      </c>
      <c r="G386">
        <v>9.2559000000000002E-2</v>
      </c>
      <c r="H386">
        <v>29</v>
      </c>
      <c r="I386">
        <v>58</v>
      </c>
      <c r="J386">
        <v>22</v>
      </c>
      <c r="K386">
        <v>22</v>
      </c>
      <c r="L386">
        <v>0</v>
      </c>
      <c r="M386">
        <v>6</v>
      </c>
      <c r="N386">
        <v>10</v>
      </c>
      <c r="O386">
        <v>11</v>
      </c>
      <c r="P386" t="s">
        <v>85</v>
      </c>
      <c r="Q386" t="str">
        <f>VLOOKUP(A386,Cleaned_Seller_Master!$A:$H,2,FALSE)</f>
        <v>Elite Link 099</v>
      </c>
      <c r="R386" t="str">
        <f>VLOOKUP(A386,Cleaned_Seller_Master!$A:$H,4,FALSE)</f>
        <v>Fashion</v>
      </c>
      <c r="S386" t="str">
        <f>VLOOKUP(A386,Cleaned_Seller_Master!$A:$H,5,FALSE)</f>
        <v>Southeast Asia</v>
      </c>
      <c r="T386" t="str">
        <f>VLOOKUP(A386,Cleaned_Seller_Master!$A:$H,8,FALSE)</f>
        <v>Premium</v>
      </c>
      <c r="U386" t="str">
        <f>VLOOKUP(A386,Cleaned_Seller_Master!$A:$H,7,FALSE)</f>
        <v>09-03-2018</v>
      </c>
      <c r="V386">
        <f>IFERROR(INDEX(Violation_Summary_Seller_Year!$C:$C,MATCH(AD386,Violation_Summary_Seller_Year!$K:$K,0)),0)</f>
        <v>4</v>
      </c>
      <c r="W386">
        <f>IFERROR(INDEX(Violation_Summary_Seller_Year!$D:$D,MATCH(AD386,Violation_Summary_Seller_Year!$K:$K,0)),0)</f>
        <v>11568.22</v>
      </c>
      <c r="X386">
        <f>IFERROR(INDEX(Violation_Summary_Seller_Year!$E:$E,MATCH(AD386,Violation_Summary_Seller_Year!$K:$K,0)),0)</f>
        <v>0</v>
      </c>
      <c r="Y386">
        <f>IFERROR(INDEX(Violation_Summary_Seller_Year!$F:$F,MATCH(AD386,Violation_Summary_Seller_Year!$K:$K,0)),0)</f>
        <v>3</v>
      </c>
      <c r="Z386">
        <f>IFERROR(INDEX(Violation_Summary_Seller_Year!$G:$G,MATCH(AD386,Violation_Summary_Seller_Year!$K:$K,0)),0)</f>
        <v>1</v>
      </c>
      <c r="AA386">
        <f>IFERROR(INDEX(Violation_Summary_Seller_Year!$H:$H,MATCH(AD386,Violation_Summary_Seller_Year!$K:$K,0)),0)</f>
        <v>4</v>
      </c>
      <c r="AB386">
        <f>IFERROR(INDEX(Violation_Summary_Seller_Year!$I:$I,MATCH(AD386,Violation_Summary_Seller_Year!$K:$K,0)),0)</f>
        <v>0</v>
      </c>
      <c r="AC386">
        <f>IFERROR(INDEX(Violation_Summary_Seller_Year!$J:$J,MATCH(AD386,Violation_Summary_Seller_Year!$K:$K,0)),0)</f>
        <v>44</v>
      </c>
      <c r="AD386" t="str">
        <f t="shared" ref="AD386:AD449" si="48">A386&amp;"_"&amp;B386</f>
        <v>99_2024</v>
      </c>
      <c r="AE386">
        <f t="shared" ref="AE386:AE449" si="49">IF(G386&gt;=0.1,2,IF(G386&gt;=0.05,1,0))</f>
        <v>1</v>
      </c>
      <c r="AF386">
        <f t="shared" ref="AF386:AF449" si="50">IF(H386&gt;=8,2,IF(H386&gt;=4,1,0))</f>
        <v>2</v>
      </c>
      <c r="AG386">
        <f t="shared" ref="AG386:AG449" si="51">IF(OR(AA386&gt;=2,V386&gt;=5),2,IF(OR(AA386&gt;=1,V386&gt;=2),1,0))</f>
        <v>2</v>
      </c>
      <c r="AH386">
        <f t="shared" ref="AH386:AH449" si="52">IF(OR(L386=1,X386&gt;=2),2,IF(X386&gt;=1,1,0))</f>
        <v>0</v>
      </c>
      <c r="AI386">
        <f t="shared" ref="AI386:AI449" si="53">IF(OR(P386="Suspended",P386="Blocked"),2,IF(OR(P386="Under Review",P386="Warning",P386="Review Required",P386="Restricted",P386="Watchlist"),1,0))</f>
        <v>2</v>
      </c>
      <c r="AJ386">
        <f t="shared" ref="AJ386:AJ449" si="54">(AE386*25)+(AF386*25)+(AG386*20)+(AH386*20)+(AI386*10)</f>
        <v>135</v>
      </c>
      <c r="AK386" t="str">
        <f t="shared" ref="AK386:AK449" si="55">IF(AJ386&gt;=120,"High",IF(AJ386&gt;=60,"Medium","Low"))</f>
        <v>High</v>
      </c>
    </row>
    <row r="387" spans="1:37" x14ac:dyDescent="0.3">
      <c r="A387">
        <v>1</v>
      </c>
      <c r="B387">
        <v>2025</v>
      </c>
      <c r="C387">
        <v>791</v>
      </c>
      <c r="D387">
        <v>65</v>
      </c>
      <c r="E387">
        <v>56</v>
      </c>
      <c r="F387">
        <v>2300.1</v>
      </c>
      <c r="G387">
        <v>7.0795999999999998E-2</v>
      </c>
      <c r="H387">
        <v>12</v>
      </c>
      <c r="I387">
        <v>21</v>
      </c>
      <c r="J387">
        <v>11</v>
      </c>
      <c r="K387">
        <v>7</v>
      </c>
      <c r="L387">
        <v>1</v>
      </c>
      <c r="M387">
        <v>5</v>
      </c>
      <c r="N387">
        <v>4</v>
      </c>
      <c r="O387">
        <v>2</v>
      </c>
      <c r="P387" t="s">
        <v>85</v>
      </c>
      <c r="Q387" t="str">
        <f>VLOOKUP(A387,Cleaned_Seller_Master!$A:$H,2,FALSE)</f>
        <v>Swift Goods 001</v>
      </c>
      <c r="R387" t="str">
        <f>VLOOKUP(A387,Cleaned_Seller_Master!$A:$H,4,FALSE)</f>
        <v>Electronics</v>
      </c>
      <c r="S387" t="str">
        <f>VLOOKUP(A387,Cleaned_Seller_Master!$A:$H,5,FALSE)</f>
        <v>Southeast Asia</v>
      </c>
      <c r="T387" t="str">
        <f>VLOOKUP(A387,Cleaned_Seller_Master!$A:$H,8,FALSE)</f>
        <v>Standard</v>
      </c>
      <c r="U387" t="str">
        <f>VLOOKUP(A387,Cleaned_Seller_Master!$A:$H,7,FALSE)</f>
        <v>01-01-2023</v>
      </c>
      <c r="V387">
        <f>IFERROR(INDEX(Violation_Summary_Seller_Year!$C:$C,MATCH(AD387,Violation_Summary_Seller_Year!$K:$K,0)),0)</f>
        <v>5</v>
      </c>
      <c r="W387">
        <f>IFERROR(INDEX(Violation_Summary_Seller_Year!$D:$D,MATCH(AD387,Violation_Summary_Seller_Year!$K:$K,0)),0)</f>
        <v>17489.86</v>
      </c>
      <c r="X387">
        <f>IFERROR(INDEX(Violation_Summary_Seller_Year!$E:$E,MATCH(AD387,Violation_Summary_Seller_Year!$K:$K,0)),0)</f>
        <v>4</v>
      </c>
      <c r="Y387">
        <f>IFERROR(INDEX(Violation_Summary_Seller_Year!$F:$F,MATCH(AD387,Violation_Summary_Seller_Year!$K:$K,0)),0)</f>
        <v>1</v>
      </c>
      <c r="Z387">
        <f>IFERROR(INDEX(Violation_Summary_Seller_Year!$G:$G,MATCH(AD387,Violation_Summary_Seller_Year!$K:$K,0)),0)</f>
        <v>4</v>
      </c>
      <c r="AA387">
        <f>IFERROR(INDEX(Violation_Summary_Seller_Year!$H:$H,MATCH(AD387,Violation_Summary_Seller_Year!$K:$K,0)),0)</f>
        <v>4</v>
      </c>
      <c r="AB387">
        <f>IFERROR(INDEX(Violation_Summary_Seller_Year!$I:$I,MATCH(AD387,Violation_Summary_Seller_Year!$K:$K,0)),0)</f>
        <v>1</v>
      </c>
      <c r="AC387">
        <f>IFERROR(INDEX(Violation_Summary_Seller_Year!$J:$J,MATCH(AD387,Violation_Summary_Seller_Year!$K:$K,0)),0)</f>
        <v>33</v>
      </c>
      <c r="AD387" t="str">
        <f t="shared" si="48"/>
        <v>1_2025</v>
      </c>
      <c r="AE387">
        <f t="shared" si="49"/>
        <v>1</v>
      </c>
      <c r="AF387">
        <f t="shared" si="50"/>
        <v>2</v>
      </c>
      <c r="AG387">
        <f t="shared" si="51"/>
        <v>2</v>
      </c>
      <c r="AH387">
        <f t="shared" si="52"/>
        <v>2</v>
      </c>
      <c r="AI387">
        <f t="shared" si="53"/>
        <v>2</v>
      </c>
      <c r="AJ387">
        <f t="shared" si="54"/>
        <v>175</v>
      </c>
      <c r="AK387" t="str">
        <f t="shared" si="55"/>
        <v>High</v>
      </c>
    </row>
    <row r="388" spans="1:37" x14ac:dyDescent="0.3">
      <c r="A388">
        <v>2</v>
      </c>
      <c r="B388">
        <v>2025</v>
      </c>
      <c r="C388">
        <v>690</v>
      </c>
      <c r="D388">
        <v>35</v>
      </c>
      <c r="E388">
        <v>30</v>
      </c>
      <c r="F388">
        <v>2785.56</v>
      </c>
      <c r="G388">
        <v>4.3478000000000003E-2</v>
      </c>
      <c r="H388">
        <v>13</v>
      </c>
      <c r="I388">
        <v>13</v>
      </c>
      <c r="J388">
        <v>4</v>
      </c>
      <c r="K388">
        <v>5</v>
      </c>
      <c r="L388">
        <v>0</v>
      </c>
      <c r="M388">
        <v>1</v>
      </c>
      <c r="N388">
        <v>2</v>
      </c>
      <c r="O388">
        <v>1</v>
      </c>
      <c r="P388" t="s">
        <v>175</v>
      </c>
      <c r="Q388" t="str">
        <f>VLOOKUP(A388,Cleaned_Seller_Master!$A:$H,2,FALSE)</f>
        <v>Blue Source 002</v>
      </c>
      <c r="R388" t="str">
        <f>VLOOKUP(A388,Cleaned_Seller_Master!$A:$H,4,FALSE)</f>
        <v>Home</v>
      </c>
      <c r="S388" t="str">
        <f>VLOOKUP(A388,Cleaned_Seller_Master!$A:$H,5,FALSE)</f>
        <v>South</v>
      </c>
      <c r="T388" t="str">
        <f>VLOOKUP(A388,Cleaned_Seller_Master!$A:$H,8,FALSE)</f>
        <v>Verified</v>
      </c>
      <c r="U388" t="str">
        <f>VLOOKUP(A388,Cleaned_Seller_Master!$A:$H,7,FALSE)</f>
        <v>25-01-2022</v>
      </c>
      <c r="V388">
        <f>IFERROR(INDEX(Violation_Summary_Seller_Year!$C:$C,MATCH(AD388,Violation_Summary_Seller_Year!$K:$K,0)),0)</f>
        <v>1</v>
      </c>
      <c r="W388">
        <f>IFERROR(INDEX(Violation_Summary_Seller_Year!$D:$D,MATCH(AD388,Violation_Summary_Seller_Year!$K:$K,0)),0)</f>
        <v>2596.4</v>
      </c>
      <c r="X388">
        <f>IFERROR(INDEX(Violation_Summary_Seller_Year!$E:$E,MATCH(AD388,Violation_Summary_Seller_Year!$K:$K,0)),0)</f>
        <v>0</v>
      </c>
      <c r="Y388">
        <f>IFERROR(INDEX(Violation_Summary_Seller_Year!$F:$F,MATCH(AD388,Violation_Summary_Seller_Year!$K:$K,0)),0)</f>
        <v>1</v>
      </c>
      <c r="Z388">
        <f>IFERROR(INDEX(Violation_Summary_Seller_Year!$G:$G,MATCH(AD388,Violation_Summary_Seller_Year!$K:$K,0)),0)</f>
        <v>0</v>
      </c>
      <c r="AA388">
        <f>IFERROR(INDEX(Violation_Summary_Seller_Year!$H:$H,MATCH(AD388,Violation_Summary_Seller_Year!$K:$K,0)),0)</f>
        <v>1</v>
      </c>
      <c r="AB388">
        <f>IFERROR(INDEX(Violation_Summary_Seller_Year!$I:$I,MATCH(AD388,Violation_Summary_Seller_Year!$K:$K,0)),0)</f>
        <v>0</v>
      </c>
      <c r="AC388">
        <f>IFERROR(INDEX(Violation_Summary_Seller_Year!$J:$J,MATCH(AD388,Violation_Summary_Seller_Year!$K:$K,0)),0)</f>
        <v>11</v>
      </c>
      <c r="AD388" t="str">
        <f t="shared" si="48"/>
        <v>2_2025</v>
      </c>
      <c r="AE388">
        <f t="shared" si="49"/>
        <v>0</v>
      </c>
      <c r="AF388">
        <f t="shared" si="50"/>
        <v>2</v>
      </c>
      <c r="AG388">
        <f t="shared" si="51"/>
        <v>1</v>
      </c>
      <c r="AH388">
        <f t="shared" si="52"/>
        <v>0</v>
      </c>
      <c r="AI388">
        <f t="shared" si="53"/>
        <v>1</v>
      </c>
      <c r="AJ388">
        <f t="shared" si="54"/>
        <v>80</v>
      </c>
      <c r="AK388" t="str">
        <f t="shared" si="55"/>
        <v>Medium</v>
      </c>
    </row>
    <row r="389" spans="1:37" x14ac:dyDescent="0.3">
      <c r="A389">
        <v>3</v>
      </c>
      <c r="B389">
        <v>2025</v>
      </c>
      <c r="C389">
        <v>1322</v>
      </c>
      <c r="D389">
        <v>129</v>
      </c>
      <c r="E389">
        <v>119</v>
      </c>
      <c r="F389">
        <v>6049.66</v>
      </c>
      <c r="G389">
        <v>9.0014999999999998E-2</v>
      </c>
      <c r="H389">
        <v>53</v>
      </c>
      <c r="I389">
        <v>53</v>
      </c>
      <c r="J389">
        <v>27</v>
      </c>
      <c r="K389">
        <v>13</v>
      </c>
      <c r="L389">
        <v>1</v>
      </c>
      <c r="M389">
        <v>6</v>
      </c>
      <c r="N389">
        <v>8</v>
      </c>
      <c r="O389">
        <v>10</v>
      </c>
      <c r="P389" t="s">
        <v>85</v>
      </c>
      <c r="Q389" t="str">
        <f>VLOOKUP(A389,Cleaned_Seller_Master!$A:$H,2,FALSE)</f>
        <v>Vertex Supply 003</v>
      </c>
      <c r="R389" t="str">
        <f>VLOOKUP(A389,Cleaned_Seller_Master!$A:$H,4,FALSE)</f>
        <v>Electronics</v>
      </c>
      <c r="S389" t="str">
        <f>VLOOKUP(A389,Cleaned_Seller_Master!$A:$H,5,FALSE)</f>
        <v>West</v>
      </c>
      <c r="T389" t="str">
        <f>VLOOKUP(A389,Cleaned_Seller_Master!$A:$H,8,FALSE)</f>
        <v>Standard</v>
      </c>
      <c r="U389" t="str">
        <f>VLOOKUP(A389,Cleaned_Seller_Master!$A:$H,7,FALSE)</f>
        <v>20-06-2023</v>
      </c>
      <c r="V389">
        <f>IFERROR(INDEX(Violation_Summary_Seller_Year!$C:$C,MATCH(AD389,Violation_Summary_Seller_Year!$K:$K,0)),0)</f>
        <v>4</v>
      </c>
      <c r="W389">
        <f>IFERROR(INDEX(Violation_Summary_Seller_Year!$D:$D,MATCH(AD389,Violation_Summary_Seller_Year!$K:$K,0)),0)</f>
        <v>10178.009999999998</v>
      </c>
      <c r="X389">
        <f>IFERROR(INDEX(Violation_Summary_Seller_Year!$E:$E,MATCH(AD389,Violation_Summary_Seller_Year!$K:$K,0)),0)</f>
        <v>1</v>
      </c>
      <c r="Y389">
        <f>IFERROR(INDEX(Violation_Summary_Seller_Year!$F:$F,MATCH(AD389,Violation_Summary_Seller_Year!$K:$K,0)),0)</f>
        <v>1</v>
      </c>
      <c r="Z389">
        <f>IFERROR(INDEX(Violation_Summary_Seller_Year!$G:$G,MATCH(AD389,Violation_Summary_Seller_Year!$K:$K,0)),0)</f>
        <v>3</v>
      </c>
      <c r="AA389">
        <f>IFERROR(INDEX(Violation_Summary_Seller_Year!$H:$H,MATCH(AD389,Violation_Summary_Seller_Year!$K:$K,0)),0)</f>
        <v>3</v>
      </c>
      <c r="AB389">
        <f>IFERROR(INDEX(Violation_Summary_Seller_Year!$I:$I,MATCH(AD389,Violation_Summary_Seller_Year!$K:$K,0)),0)</f>
        <v>1</v>
      </c>
      <c r="AC389">
        <f>IFERROR(INDEX(Violation_Summary_Seller_Year!$J:$J,MATCH(AD389,Violation_Summary_Seller_Year!$K:$K,0)),0)</f>
        <v>43</v>
      </c>
      <c r="AD389" t="str">
        <f t="shared" si="48"/>
        <v>3_2025</v>
      </c>
      <c r="AE389">
        <f t="shared" si="49"/>
        <v>1</v>
      </c>
      <c r="AF389">
        <f t="shared" si="50"/>
        <v>2</v>
      </c>
      <c r="AG389">
        <f t="shared" si="51"/>
        <v>2</v>
      </c>
      <c r="AH389">
        <f t="shared" si="52"/>
        <v>2</v>
      </c>
      <c r="AI389">
        <f t="shared" si="53"/>
        <v>2</v>
      </c>
      <c r="AJ389">
        <f t="shared" si="54"/>
        <v>175</v>
      </c>
      <c r="AK389" t="str">
        <f t="shared" si="55"/>
        <v>High</v>
      </c>
    </row>
    <row r="390" spans="1:37" x14ac:dyDescent="0.3">
      <c r="A390">
        <v>4</v>
      </c>
      <c r="B390">
        <v>2025</v>
      </c>
      <c r="C390">
        <v>555</v>
      </c>
      <c r="D390">
        <v>43</v>
      </c>
      <c r="E390">
        <v>35</v>
      </c>
      <c r="F390">
        <v>3451.03</v>
      </c>
      <c r="G390">
        <v>6.3062999999999994E-2</v>
      </c>
      <c r="H390">
        <v>16</v>
      </c>
      <c r="I390">
        <v>16</v>
      </c>
      <c r="J390">
        <v>9</v>
      </c>
      <c r="K390">
        <v>7</v>
      </c>
      <c r="L390">
        <v>1</v>
      </c>
      <c r="M390">
        <v>5</v>
      </c>
      <c r="N390">
        <v>6</v>
      </c>
      <c r="O390">
        <v>2</v>
      </c>
      <c r="P390" t="s">
        <v>85</v>
      </c>
      <c r="Q390" t="str">
        <f>VLOOKUP(A390,Cleaned_Seller_Master!$A:$H,2,FALSE)</f>
        <v>Zen Mart 004</v>
      </c>
      <c r="R390" t="str">
        <f>VLOOKUP(A390,Cleaned_Seller_Master!$A:$H,4,FALSE)</f>
        <v>Fashion</v>
      </c>
      <c r="S390" t="str">
        <f>VLOOKUP(A390,Cleaned_Seller_Master!$A:$H,5,FALSE)</f>
        <v>Southeast Asia</v>
      </c>
      <c r="T390" t="str">
        <f>VLOOKUP(A390,Cleaned_Seller_Master!$A:$H,8,FALSE)</f>
        <v>Standard</v>
      </c>
      <c r="U390" t="str">
        <f>VLOOKUP(A390,Cleaned_Seller_Master!$A:$H,7,FALSE)</f>
        <v>03-12-2021</v>
      </c>
      <c r="V390">
        <f>IFERROR(INDEX(Violation_Summary_Seller_Year!$C:$C,MATCH(AD390,Violation_Summary_Seller_Year!$K:$K,0)),0)</f>
        <v>6</v>
      </c>
      <c r="W390">
        <f>IFERROR(INDEX(Violation_Summary_Seller_Year!$D:$D,MATCH(AD390,Violation_Summary_Seller_Year!$K:$K,0)),0)</f>
        <v>28218.07</v>
      </c>
      <c r="X390">
        <f>IFERROR(INDEX(Violation_Summary_Seller_Year!$E:$E,MATCH(AD390,Violation_Summary_Seller_Year!$K:$K,0)),0)</f>
        <v>5</v>
      </c>
      <c r="Y390">
        <f>IFERROR(INDEX(Violation_Summary_Seller_Year!$F:$F,MATCH(AD390,Violation_Summary_Seller_Year!$K:$K,0)),0)</f>
        <v>3</v>
      </c>
      <c r="Z390">
        <f>IFERROR(INDEX(Violation_Summary_Seller_Year!$G:$G,MATCH(AD390,Violation_Summary_Seller_Year!$K:$K,0)),0)</f>
        <v>3</v>
      </c>
      <c r="AA390">
        <f>IFERROR(INDEX(Violation_Summary_Seller_Year!$H:$H,MATCH(AD390,Violation_Summary_Seller_Year!$K:$K,0)),0)</f>
        <v>4</v>
      </c>
      <c r="AB390">
        <f>IFERROR(INDEX(Violation_Summary_Seller_Year!$I:$I,MATCH(AD390,Violation_Summary_Seller_Year!$K:$K,0)),0)</f>
        <v>4</v>
      </c>
      <c r="AC390">
        <f>IFERROR(INDEX(Violation_Summary_Seller_Year!$J:$J,MATCH(AD390,Violation_Summary_Seller_Year!$K:$K,0)),0)</f>
        <v>53</v>
      </c>
      <c r="AD390" t="str">
        <f t="shared" si="48"/>
        <v>4_2025</v>
      </c>
      <c r="AE390">
        <f t="shared" si="49"/>
        <v>1</v>
      </c>
      <c r="AF390">
        <f t="shared" si="50"/>
        <v>2</v>
      </c>
      <c r="AG390">
        <f t="shared" si="51"/>
        <v>2</v>
      </c>
      <c r="AH390">
        <f t="shared" si="52"/>
        <v>2</v>
      </c>
      <c r="AI390">
        <f t="shared" si="53"/>
        <v>2</v>
      </c>
      <c r="AJ390">
        <f t="shared" si="54"/>
        <v>175</v>
      </c>
      <c r="AK390" t="str">
        <f t="shared" si="55"/>
        <v>High</v>
      </c>
    </row>
    <row r="391" spans="1:37" x14ac:dyDescent="0.3">
      <c r="A391">
        <v>5</v>
      </c>
      <c r="B391">
        <v>2025</v>
      </c>
      <c r="C391">
        <v>1176</v>
      </c>
      <c r="D391">
        <v>112</v>
      </c>
      <c r="E391">
        <v>99</v>
      </c>
      <c r="F391">
        <v>6679.11</v>
      </c>
      <c r="G391">
        <v>8.4183999999999995E-2</v>
      </c>
      <c r="H391">
        <v>22</v>
      </c>
      <c r="I391">
        <v>43</v>
      </c>
      <c r="J391">
        <v>15</v>
      </c>
      <c r="K391">
        <v>20</v>
      </c>
      <c r="L391">
        <v>1</v>
      </c>
      <c r="M391">
        <v>11</v>
      </c>
      <c r="N391">
        <v>9</v>
      </c>
      <c r="O391">
        <v>8</v>
      </c>
      <c r="P391" t="s">
        <v>85</v>
      </c>
      <c r="Q391" t="str">
        <f>VLOOKUP(A391,Cleaned_Seller_Master!$A:$H,2,FALSE)</f>
        <v>True House 005</v>
      </c>
      <c r="R391" t="str">
        <f>VLOOKUP(A391,Cleaned_Seller_Master!$A:$H,4,FALSE)</f>
        <v>Fashion</v>
      </c>
      <c r="S391" t="str">
        <f>VLOOKUP(A391,Cleaned_Seller_Master!$A:$H,5,FALSE)</f>
        <v>West</v>
      </c>
      <c r="T391" t="str">
        <f>VLOOKUP(A391,Cleaned_Seller_Master!$A:$H,8,FALSE)</f>
        <v>Standard</v>
      </c>
      <c r="U391" t="str">
        <f>VLOOKUP(A391,Cleaned_Seller_Master!$A:$H,7,FALSE)</f>
        <v>12-06-2020</v>
      </c>
      <c r="V391">
        <f>IFERROR(INDEX(Violation_Summary_Seller_Year!$C:$C,MATCH(AD391,Violation_Summary_Seller_Year!$K:$K,0)),0)</f>
        <v>5</v>
      </c>
      <c r="W391">
        <f>IFERROR(INDEX(Violation_Summary_Seller_Year!$D:$D,MATCH(AD391,Violation_Summary_Seller_Year!$K:$K,0)),0)</f>
        <v>13011.56</v>
      </c>
      <c r="X391">
        <f>IFERROR(INDEX(Violation_Summary_Seller_Year!$E:$E,MATCH(AD391,Violation_Summary_Seller_Year!$K:$K,0)),0)</f>
        <v>2</v>
      </c>
      <c r="Y391">
        <f>IFERROR(INDEX(Violation_Summary_Seller_Year!$F:$F,MATCH(AD391,Violation_Summary_Seller_Year!$K:$K,0)),0)</f>
        <v>3</v>
      </c>
      <c r="Z391">
        <f>IFERROR(INDEX(Violation_Summary_Seller_Year!$G:$G,MATCH(AD391,Violation_Summary_Seller_Year!$K:$K,0)),0)</f>
        <v>2</v>
      </c>
      <c r="AA391">
        <f>IFERROR(INDEX(Violation_Summary_Seller_Year!$H:$H,MATCH(AD391,Violation_Summary_Seller_Year!$K:$K,0)),0)</f>
        <v>4</v>
      </c>
      <c r="AB391">
        <f>IFERROR(INDEX(Violation_Summary_Seller_Year!$I:$I,MATCH(AD391,Violation_Summary_Seller_Year!$K:$K,0)),0)</f>
        <v>2</v>
      </c>
      <c r="AC391">
        <f>IFERROR(INDEX(Violation_Summary_Seller_Year!$J:$J,MATCH(AD391,Violation_Summary_Seller_Year!$K:$K,0)),0)</f>
        <v>38</v>
      </c>
      <c r="AD391" t="str">
        <f t="shared" si="48"/>
        <v>5_2025</v>
      </c>
      <c r="AE391">
        <f t="shared" si="49"/>
        <v>1</v>
      </c>
      <c r="AF391">
        <f t="shared" si="50"/>
        <v>2</v>
      </c>
      <c r="AG391">
        <f t="shared" si="51"/>
        <v>2</v>
      </c>
      <c r="AH391">
        <f t="shared" si="52"/>
        <v>2</v>
      </c>
      <c r="AI391">
        <f t="shared" si="53"/>
        <v>2</v>
      </c>
      <c r="AJ391">
        <f t="shared" si="54"/>
        <v>175</v>
      </c>
      <c r="AK391" t="str">
        <f t="shared" si="55"/>
        <v>High</v>
      </c>
    </row>
    <row r="392" spans="1:37" x14ac:dyDescent="0.3">
      <c r="A392">
        <v>6</v>
      </c>
      <c r="B392">
        <v>2025</v>
      </c>
      <c r="C392">
        <v>860</v>
      </c>
      <c r="D392">
        <v>66</v>
      </c>
      <c r="E392">
        <v>55</v>
      </c>
      <c r="F392">
        <v>4743.3999999999996</v>
      </c>
      <c r="G392">
        <v>6.3952999999999996E-2</v>
      </c>
      <c r="H392">
        <v>13</v>
      </c>
      <c r="I392">
        <v>29</v>
      </c>
      <c r="J392">
        <v>12</v>
      </c>
      <c r="K392">
        <v>7</v>
      </c>
      <c r="L392">
        <v>1</v>
      </c>
      <c r="M392">
        <v>7</v>
      </c>
      <c r="N392">
        <v>4</v>
      </c>
      <c r="O392">
        <v>2</v>
      </c>
      <c r="P392" t="s">
        <v>85</v>
      </c>
      <c r="Q392" t="str">
        <f>VLOOKUP(A392,Cleaned_Seller_Master!$A:$H,2,FALSE)</f>
        <v>Core Traders 006</v>
      </c>
      <c r="R392" t="str">
        <f>VLOOKUP(A392,Cleaned_Seller_Master!$A:$H,4,FALSE)</f>
        <v>Beauty</v>
      </c>
      <c r="S392" t="str">
        <f>VLOOKUP(A392,Cleaned_Seller_Master!$A:$H,5,FALSE)</f>
        <v>South</v>
      </c>
      <c r="T392" t="str">
        <f>VLOOKUP(A392,Cleaned_Seller_Master!$A:$H,8,FALSE)</f>
        <v>Premium</v>
      </c>
      <c r="U392" t="str">
        <f>VLOOKUP(A392,Cleaned_Seller_Master!$A:$H,7,FALSE)</f>
        <v>21-05-2023</v>
      </c>
      <c r="V392">
        <f>IFERROR(INDEX(Violation_Summary_Seller_Year!$C:$C,MATCH(AD392,Violation_Summary_Seller_Year!$K:$K,0)),0)</f>
        <v>6</v>
      </c>
      <c r="W392">
        <f>IFERROR(INDEX(Violation_Summary_Seller_Year!$D:$D,MATCH(AD392,Violation_Summary_Seller_Year!$K:$K,0)),0)</f>
        <v>17338.38</v>
      </c>
      <c r="X392">
        <f>IFERROR(INDEX(Violation_Summary_Seller_Year!$E:$E,MATCH(AD392,Violation_Summary_Seller_Year!$K:$K,0)),0)</f>
        <v>5</v>
      </c>
      <c r="Y392">
        <f>IFERROR(INDEX(Violation_Summary_Seller_Year!$F:$F,MATCH(AD392,Violation_Summary_Seller_Year!$K:$K,0)),0)</f>
        <v>4</v>
      </c>
      <c r="Z392">
        <f>IFERROR(INDEX(Violation_Summary_Seller_Year!$G:$G,MATCH(AD392,Violation_Summary_Seller_Year!$K:$K,0)),0)</f>
        <v>2</v>
      </c>
      <c r="AA392">
        <f>IFERROR(INDEX(Violation_Summary_Seller_Year!$H:$H,MATCH(AD392,Violation_Summary_Seller_Year!$K:$K,0)),0)</f>
        <v>6</v>
      </c>
      <c r="AB392">
        <f>IFERROR(INDEX(Violation_Summary_Seller_Year!$I:$I,MATCH(AD392,Violation_Summary_Seller_Year!$K:$K,0)),0)</f>
        <v>2</v>
      </c>
      <c r="AC392">
        <f>IFERROR(INDEX(Violation_Summary_Seller_Year!$J:$J,MATCH(AD392,Violation_Summary_Seller_Year!$K:$K,0)),0)</f>
        <v>63</v>
      </c>
      <c r="AD392" t="str">
        <f t="shared" si="48"/>
        <v>6_2025</v>
      </c>
      <c r="AE392">
        <f t="shared" si="49"/>
        <v>1</v>
      </c>
      <c r="AF392">
        <f t="shared" si="50"/>
        <v>2</v>
      </c>
      <c r="AG392">
        <f t="shared" si="51"/>
        <v>2</v>
      </c>
      <c r="AH392">
        <f t="shared" si="52"/>
        <v>2</v>
      </c>
      <c r="AI392">
        <f t="shared" si="53"/>
        <v>2</v>
      </c>
      <c r="AJ392">
        <f t="shared" si="54"/>
        <v>175</v>
      </c>
      <c r="AK392" t="str">
        <f t="shared" si="55"/>
        <v>High</v>
      </c>
    </row>
    <row r="393" spans="1:37" x14ac:dyDescent="0.3">
      <c r="A393">
        <v>7</v>
      </c>
      <c r="B393">
        <v>2025</v>
      </c>
      <c r="C393">
        <v>1215</v>
      </c>
      <c r="D393">
        <v>72</v>
      </c>
      <c r="E393">
        <v>52</v>
      </c>
      <c r="F393">
        <v>5371.71</v>
      </c>
      <c r="G393">
        <v>4.2798000000000003E-2</v>
      </c>
      <c r="H393">
        <v>17</v>
      </c>
      <c r="I393">
        <v>35</v>
      </c>
      <c r="J393">
        <v>7</v>
      </c>
      <c r="K393">
        <v>7</v>
      </c>
      <c r="L393">
        <v>1</v>
      </c>
      <c r="M393">
        <v>5</v>
      </c>
      <c r="N393">
        <v>5</v>
      </c>
      <c r="O393">
        <v>5</v>
      </c>
      <c r="P393" t="s">
        <v>85</v>
      </c>
      <c r="Q393" t="str">
        <f>VLOOKUP(A393,Cleaned_Seller_Master!$A:$H,2,FALSE)</f>
        <v>Urban Works 007</v>
      </c>
      <c r="R393" t="str">
        <f>VLOOKUP(A393,Cleaned_Seller_Master!$A:$H,4,FALSE)</f>
        <v>Fashion</v>
      </c>
      <c r="S393" t="str">
        <f>VLOOKUP(A393,Cleaned_Seller_Master!$A:$H,5,FALSE)</f>
        <v>West</v>
      </c>
      <c r="T393" t="str">
        <f>VLOOKUP(A393,Cleaned_Seller_Master!$A:$H,8,FALSE)</f>
        <v>Premium</v>
      </c>
      <c r="U393" t="str">
        <f>VLOOKUP(A393,Cleaned_Seller_Master!$A:$H,7,FALSE)</f>
        <v>19-04-2018</v>
      </c>
      <c r="V393">
        <f>IFERROR(INDEX(Violation_Summary_Seller_Year!$C:$C,MATCH(AD393,Violation_Summary_Seller_Year!$K:$K,0)),0)</f>
        <v>1</v>
      </c>
      <c r="W393">
        <f>IFERROR(INDEX(Violation_Summary_Seller_Year!$D:$D,MATCH(AD393,Violation_Summary_Seller_Year!$K:$K,0)),0)</f>
        <v>335.49</v>
      </c>
      <c r="X393">
        <f>IFERROR(INDEX(Violation_Summary_Seller_Year!$E:$E,MATCH(AD393,Violation_Summary_Seller_Year!$K:$K,0)),0)</f>
        <v>0</v>
      </c>
      <c r="Y393">
        <f>IFERROR(INDEX(Violation_Summary_Seller_Year!$F:$F,MATCH(AD393,Violation_Summary_Seller_Year!$K:$K,0)),0)</f>
        <v>1</v>
      </c>
      <c r="Z393">
        <f>IFERROR(INDEX(Violation_Summary_Seller_Year!$G:$G,MATCH(AD393,Violation_Summary_Seller_Year!$K:$K,0)),0)</f>
        <v>0</v>
      </c>
      <c r="AA393">
        <f>IFERROR(INDEX(Violation_Summary_Seller_Year!$H:$H,MATCH(AD393,Violation_Summary_Seller_Year!$K:$K,0)),0)</f>
        <v>0</v>
      </c>
      <c r="AB393">
        <f>IFERROR(INDEX(Violation_Summary_Seller_Year!$I:$I,MATCH(AD393,Violation_Summary_Seller_Year!$K:$K,0)),0)</f>
        <v>0</v>
      </c>
      <c r="AC393">
        <f>IFERROR(INDEX(Violation_Summary_Seller_Year!$J:$J,MATCH(AD393,Violation_Summary_Seller_Year!$K:$K,0)),0)</f>
        <v>9</v>
      </c>
      <c r="AD393" t="str">
        <f t="shared" si="48"/>
        <v>7_2025</v>
      </c>
      <c r="AE393">
        <f t="shared" si="49"/>
        <v>0</v>
      </c>
      <c r="AF393">
        <f t="shared" si="50"/>
        <v>2</v>
      </c>
      <c r="AG393">
        <f t="shared" si="51"/>
        <v>0</v>
      </c>
      <c r="AH393">
        <f t="shared" si="52"/>
        <v>2</v>
      </c>
      <c r="AI393">
        <f t="shared" si="53"/>
        <v>2</v>
      </c>
      <c r="AJ393">
        <f t="shared" si="54"/>
        <v>110</v>
      </c>
      <c r="AK393" t="str">
        <f t="shared" si="55"/>
        <v>Medium</v>
      </c>
    </row>
    <row r="394" spans="1:37" x14ac:dyDescent="0.3">
      <c r="A394">
        <v>9</v>
      </c>
      <c r="B394">
        <v>2025</v>
      </c>
      <c r="C394">
        <v>1086</v>
      </c>
      <c r="D394">
        <v>109</v>
      </c>
      <c r="E394">
        <v>89</v>
      </c>
      <c r="F394">
        <v>9879.52</v>
      </c>
      <c r="G394">
        <v>8.1951999999999997E-2</v>
      </c>
      <c r="H394">
        <v>31</v>
      </c>
      <c r="I394">
        <v>35</v>
      </c>
      <c r="J394">
        <v>12</v>
      </c>
      <c r="K394">
        <v>15</v>
      </c>
      <c r="L394">
        <v>1</v>
      </c>
      <c r="M394">
        <v>7</v>
      </c>
      <c r="N394">
        <v>8</v>
      </c>
      <c r="O394">
        <v>8</v>
      </c>
      <c r="P394" t="s">
        <v>85</v>
      </c>
      <c r="Q394" t="str">
        <f>VLOOKUP(A394,Cleaned_Seller_Master!$A:$H,2,FALSE)</f>
        <v>Golden Hub 009</v>
      </c>
      <c r="R394" t="str">
        <f>VLOOKUP(A394,Cleaned_Seller_Master!$A:$H,4,FALSE)</f>
        <v>Electronics</v>
      </c>
      <c r="S394" t="str">
        <f>VLOOKUP(A394,Cleaned_Seller_Master!$A:$H,5,FALSE)</f>
        <v>North</v>
      </c>
      <c r="T394" t="str">
        <f>VLOOKUP(A394,Cleaned_Seller_Master!$A:$H,8,FALSE)</f>
        <v>Strategic</v>
      </c>
      <c r="U394" t="str">
        <f>VLOOKUP(A394,Cleaned_Seller_Master!$A:$H,7,FALSE)</f>
        <v>14-11-2020</v>
      </c>
      <c r="V394">
        <f>IFERROR(INDEX(Violation_Summary_Seller_Year!$C:$C,MATCH(AD394,Violation_Summary_Seller_Year!$K:$K,0)),0)</f>
        <v>6</v>
      </c>
      <c r="W394">
        <f>IFERROR(INDEX(Violation_Summary_Seller_Year!$D:$D,MATCH(AD394,Violation_Summary_Seller_Year!$K:$K,0)),0)</f>
        <v>14474.710000000001</v>
      </c>
      <c r="X394">
        <f>IFERROR(INDEX(Violation_Summary_Seller_Year!$E:$E,MATCH(AD394,Violation_Summary_Seller_Year!$K:$K,0)),0)</f>
        <v>5</v>
      </c>
      <c r="Y394">
        <f>IFERROR(INDEX(Violation_Summary_Seller_Year!$F:$F,MATCH(AD394,Violation_Summary_Seller_Year!$K:$K,0)),0)</f>
        <v>1</v>
      </c>
      <c r="Z394">
        <f>IFERROR(INDEX(Violation_Summary_Seller_Year!$G:$G,MATCH(AD394,Violation_Summary_Seller_Year!$K:$K,0)),0)</f>
        <v>5</v>
      </c>
      <c r="AA394">
        <f>IFERROR(INDEX(Violation_Summary_Seller_Year!$H:$H,MATCH(AD394,Violation_Summary_Seller_Year!$K:$K,0)),0)</f>
        <v>4</v>
      </c>
      <c r="AB394">
        <f>IFERROR(INDEX(Violation_Summary_Seller_Year!$I:$I,MATCH(AD394,Violation_Summary_Seller_Year!$K:$K,0)),0)</f>
        <v>5</v>
      </c>
      <c r="AC394">
        <f>IFERROR(INDEX(Violation_Summary_Seller_Year!$J:$J,MATCH(AD394,Violation_Summary_Seller_Year!$K:$K,0)),0)</f>
        <v>74</v>
      </c>
      <c r="AD394" t="str">
        <f t="shared" si="48"/>
        <v>9_2025</v>
      </c>
      <c r="AE394">
        <f t="shared" si="49"/>
        <v>1</v>
      </c>
      <c r="AF394">
        <f t="shared" si="50"/>
        <v>2</v>
      </c>
      <c r="AG394">
        <f t="shared" si="51"/>
        <v>2</v>
      </c>
      <c r="AH394">
        <f t="shared" si="52"/>
        <v>2</v>
      </c>
      <c r="AI394">
        <f t="shared" si="53"/>
        <v>2</v>
      </c>
      <c r="AJ394">
        <f t="shared" si="54"/>
        <v>175</v>
      </c>
      <c r="AK394" t="str">
        <f t="shared" si="55"/>
        <v>High</v>
      </c>
    </row>
    <row r="395" spans="1:37" x14ac:dyDescent="0.3">
      <c r="A395">
        <v>10</v>
      </c>
      <c r="B395">
        <v>2025</v>
      </c>
      <c r="C395">
        <v>1898</v>
      </c>
      <c r="D395">
        <v>207</v>
      </c>
      <c r="E395">
        <v>176</v>
      </c>
      <c r="F395">
        <v>14201.85</v>
      </c>
      <c r="G395">
        <v>9.2729000000000006E-2</v>
      </c>
      <c r="H395">
        <v>41</v>
      </c>
      <c r="I395">
        <v>69</v>
      </c>
      <c r="J395">
        <v>22</v>
      </c>
      <c r="K395">
        <v>15</v>
      </c>
      <c r="L395">
        <v>1</v>
      </c>
      <c r="M395">
        <v>5</v>
      </c>
      <c r="N395">
        <v>8</v>
      </c>
      <c r="O395">
        <v>9</v>
      </c>
      <c r="P395" t="s">
        <v>85</v>
      </c>
      <c r="Q395" t="str">
        <f>VLOOKUP(A395,Cleaned_Seller_Master!$A:$H,2,FALSE)</f>
        <v>Ever Merchants 010</v>
      </c>
      <c r="R395" t="str">
        <f>VLOOKUP(A395,Cleaned_Seller_Master!$A:$H,4,FALSE)</f>
        <v>Electronics</v>
      </c>
      <c r="S395" t="str">
        <f>VLOOKUP(A395,Cleaned_Seller_Master!$A:$H,5,FALSE)</f>
        <v>North</v>
      </c>
      <c r="T395" t="str">
        <f>VLOOKUP(A395,Cleaned_Seller_Master!$A:$H,8,FALSE)</f>
        <v>Standard</v>
      </c>
      <c r="U395" t="str">
        <f>VLOOKUP(A395,Cleaned_Seller_Master!$A:$H,7,FALSE)</f>
        <v>11-11-2022</v>
      </c>
      <c r="V395">
        <f>IFERROR(INDEX(Violation_Summary_Seller_Year!$C:$C,MATCH(AD395,Violation_Summary_Seller_Year!$K:$K,0)),0)</f>
        <v>4</v>
      </c>
      <c r="W395">
        <f>IFERROR(INDEX(Violation_Summary_Seller_Year!$D:$D,MATCH(AD395,Violation_Summary_Seller_Year!$K:$K,0)),0)</f>
        <v>16280.37</v>
      </c>
      <c r="X395">
        <f>IFERROR(INDEX(Violation_Summary_Seller_Year!$E:$E,MATCH(AD395,Violation_Summary_Seller_Year!$K:$K,0)),0)</f>
        <v>1</v>
      </c>
      <c r="Y395">
        <f>IFERROR(INDEX(Violation_Summary_Seller_Year!$F:$F,MATCH(AD395,Violation_Summary_Seller_Year!$K:$K,0)),0)</f>
        <v>2</v>
      </c>
      <c r="Z395">
        <f>IFERROR(INDEX(Violation_Summary_Seller_Year!$G:$G,MATCH(AD395,Violation_Summary_Seller_Year!$K:$K,0)),0)</f>
        <v>2</v>
      </c>
      <c r="AA395">
        <f>IFERROR(INDEX(Violation_Summary_Seller_Year!$H:$H,MATCH(AD395,Violation_Summary_Seller_Year!$K:$K,0)),0)</f>
        <v>4</v>
      </c>
      <c r="AB395">
        <f>IFERROR(INDEX(Violation_Summary_Seller_Year!$I:$I,MATCH(AD395,Violation_Summary_Seller_Year!$K:$K,0)),0)</f>
        <v>1</v>
      </c>
      <c r="AC395">
        <f>IFERROR(INDEX(Violation_Summary_Seller_Year!$J:$J,MATCH(AD395,Violation_Summary_Seller_Year!$K:$K,0)),0)</f>
        <v>39</v>
      </c>
      <c r="AD395" t="str">
        <f t="shared" si="48"/>
        <v>10_2025</v>
      </c>
      <c r="AE395">
        <f t="shared" si="49"/>
        <v>1</v>
      </c>
      <c r="AF395">
        <f t="shared" si="50"/>
        <v>2</v>
      </c>
      <c r="AG395">
        <f t="shared" si="51"/>
        <v>2</v>
      </c>
      <c r="AH395">
        <f t="shared" si="52"/>
        <v>2</v>
      </c>
      <c r="AI395">
        <f t="shared" si="53"/>
        <v>2</v>
      </c>
      <c r="AJ395">
        <f t="shared" si="54"/>
        <v>175</v>
      </c>
      <c r="AK395" t="str">
        <f t="shared" si="55"/>
        <v>High</v>
      </c>
    </row>
    <row r="396" spans="1:37" x14ac:dyDescent="0.3">
      <c r="A396">
        <v>11</v>
      </c>
      <c r="B396">
        <v>2025</v>
      </c>
      <c r="C396">
        <v>316</v>
      </c>
      <c r="D396">
        <v>20</v>
      </c>
      <c r="E396">
        <v>16</v>
      </c>
      <c r="F396">
        <v>1364.43</v>
      </c>
      <c r="G396">
        <v>5.0632999999999997E-2</v>
      </c>
      <c r="H396">
        <v>7</v>
      </c>
      <c r="I396">
        <v>13</v>
      </c>
      <c r="J396">
        <v>5</v>
      </c>
      <c r="K396">
        <v>4</v>
      </c>
      <c r="L396">
        <v>1</v>
      </c>
      <c r="M396">
        <v>4</v>
      </c>
      <c r="N396">
        <v>3</v>
      </c>
      <c r="O396">
        <v>2</v>
      </c>
      <c r="P396" t="s">
        <v>68</v>
      </c>
      <c r="Q396" t="str">
        <f>VLOOKUP(A396,Cleaned_Seller_Master!$A:$H,2,FALSE)</f>
        <v>Orbit Square 011</v>
      </c>
      <c r="R396" t="str">
        <f>VLOOKUP(A396,Cleaned_Seller_Master!$A:$H,4,FALSE)</f>
        <v>Groceries</v>
      </c>
      <c r="S396" t="str">
        <f>VLOOKUP(A396,Cleaned_Seller_Master!$A:$H,5,FALSE)</f>
        <v>South</v>
      </c>
      <c r="T396" t="str">
        <f>VLOOKUP(A396,Cleaned_Seller_Master!$A:$H,8,FALSE)</f>
        <v>Strategic</v>
      </c>
      <c r="U396" t="str">
        <f>VLOOKUP(A396,Cleaned_Seller_Master!$A:$H,7,FALSE)</f>
        <v>10-11-2018</v>
      </c>
      <c r="V396">
        <f>IFERROR(INDEX(Violation_Summary_Seller_Year!$C:$C,MATCH(AD396,Violation_Summary_Seller_Year!$K:$K,0)),0)</f>
        <v>4</v>
      </c>
      <c r="W396">
        <f>IFERROR(INDEX(Violation_Summary_Seller_Year!$D:$D,MATCH(AD396,Violation_Summary_Seller_Year!$K:$K,0)),0)</f>
        <v>11120.92</v>
      </c>
      <c r="X396">
        <f>IFERROR(INDEX(Violation_Summary_Seller_Year!$E:$E,MATCH(AD396,Violation_Summary_Seller_Year!$K:$K,0)),0)</f>
        <v>4</v>
      </c>
      <c r="Y396">
        <f>IFERROR(INDEX(Violation_Summary_Seller_Year!$F:$F,MATCH(AD396,Violation_Summary_Seller_Year!$K:$K,0)),0)</f>
        <v>3</v>
      </c>
      <c r="Z396">
        <f>IFERROR(INDEX(Violation_Summary_Seller_Year!$G:$G,MATCH(AD396,Violation_Summary_Seller_Year!$K:$K,0)),0)</f>
        <v>1</v>
      </c>
      <c r="AA396">
        <f>IFERROR(INDEX(Violation_Summary_Seller_Year!$H:$H,MATCH(AD396,Violation_Summary_Seller_Year!$K:$K,0)),0)</f>
        <v>4</v>
      </c>
      <c r="AB396">
        <f>IFERROR(INDEX(Violation_Summary_Seller_Year!$I:$I,MATCH(AD396,Violation_Summary_Seller_Year!$K:$K,0)),0)</f>
        <v>2</v>
      </c>
      <c r="AC396">
        <f>IFERROR(INDEX(Violation_Summary_Seller_Year!$J:$J,MATCH(AD396,Violation_Summary_Seller_Year!$K:$K,0)),0)</f>
        <v>40</v>
      </c>
      <c r="AD396" t="str">
        <f t="shared" si="48"/>
        <v>11_2025</v>
      </c>
      <c r="AE396">
        <f t="shared" si="49"/>
        <v>1</v>
      </c>
      <c r="AF396">
        <f t="shared" si="50"/>
        <v>1</v>
      </c>
      <c r="AG396">
        <f t="shared" si="51"/>
        <v>2</v>
      </c>
      <c r="AH396">
        <f t="shared" si="52"/>
        <v>2</v>
      </c>
      <c r="AI396">
        <f t="shared" si="53"/>
        <v>1</v>
      </c>
      <c r="AJ396">
        <f t="shared" si="54"/>
        <v>140</v>
      </c>
      <c r="AK396" t="str">
        <f t="shared" si="55"/>
        <v>High</v>
      </c>
    </row>
    <row r="397" spans="1:37" x14ac:dyDescent="0.3">
      <c r="A397">
        <v>12</v>
      </c>
      <c r="B397">
        <v>2025</v>
      </c>
      <c r="C397">
        <v>1045</v>
      </c>
      <c r="D397">
        <v>92</v>
      </c>
      <c r="E397">
        <v>71</v>
      </c>
      <c r="F397">
        <v>6332.21</v>
      </c>
      <c r="G397">
        <v>6.7943000000000003E-2</v>
      </c>
      <c r="H397">
        <v>30</v>
      </c>
      <c r="I397">
        <v>38</v>
      </c>
      <c r="J397">
        <v>9</v>
      </c>
      <c r="K397">
        <v>13</v>
      </c>
      <c r="L397">
        <v>1</v>
      </c>
      <c r="M397">
        <v>5</v>
      </c>
      <c r="N397">
        <v>9</v>
      </c>
      <c r="O397">
        <v>6</v>
      </c>
      <c r="P397" t="s">
        <v>85</v>
      </c>
      <c r="Q397" t="str">
        <f>VLOOKUP(A397,Cleaned_Seller_Master!$A:$H,2,FALSE)</f>
        <v>Pulse Commerce 012</v>
      </c>
      <c r="R397" t="str">
        <f>VLOOKUP(A397,Cleaned_Seller_Master!$A:$H,4,FALSE)</f>
        <v>Groceries</v>
      </c>
      <c r="S397" t="str">
        <f>VLOOKUP(A397,Cleaned_Seller_Master!$A:$H,5,FALSE)</f>
        <v>North</v>
      </c>
      <c r="T397" t="str">
        <f>VLOOKUP(A397,Cleaned_Seller_Master!$A:$H,8,FALSE)</f>
        <v>Verified</v>
      </c>
      <c r="U397" t="str">
        <f>VLOOKUP(A397,Cleaned_Seller_Master!$A:$H,7,FALSE)</f>
        <v>01-08-2023</v>
      </c>
      <c r="V397">
        <f>IFERROR(INDEX(Violation_Summary_Seller_Year!$C:$C,MATCH(AD397,Violation_Summary_Seller_Year!$K:$K,0)),0)</f>
        <v>4</v>
      </c>
      <c r="W397">
        <f>IFERROR(INDEX(Violation_Summary_Seller_Year!$D:$D,MATCH(AD397,Violation_Summary_Seller_Year!$K:$K,0)),0)</f>
        <v>14510.03</v>
      </c>
      <c r="X397">
        <f>IFERROR(INDEX(Violation_Summary_Seller_Year!$E:$E,MATCH(AD397,Violation_Summary_Seller_Year!$K:$K,0)),0)</f>
        <v>1</v>
      </c>
      <c r="Y397">
        <f>IFERROR(INDEX(Violation_Summary_Seller_Year!$F:$F,MATCH(AD397,Violation_Summary_Seller_Year!$K:$K,0)),0)</f>
        <v>0</v>
      </c>
      <c r="Z397">
        <f>IFERROR(INDEX(Violation_Summary_Seller_Year!$G:$G,MATCH(AD397,Violation_Summary_Seller_Year!$K:$K,0)),0)</f>
        <v>4</v>
      </c>
      <c r="AA397">
        <f>IFERROR(INDEX(Violation_Summary_Seller_Year!$H:$H,MATCH(AD397,Violation_Summary_Seller_Year!$K:$K,0)),0)</f>
        <v>3</v>
      </c>
      <c r="AB397">
        <f>IFERROR(INDEX(Violation_Summary_Seller_Year!$I:$I,MATCH(AD397,Violation_Summary_Seller_Year!$K:$K,0)),0)</f>
        <v>3</v>
      </c>
      <c r="AC397">
        <f>IFERROR(INDEX(Violation_Summary_Seller_Year!$J:$J,MATCH(AD397,Violation_Summary_Seller_Year!$K:$K,0)),0)</f>
        <v>42</v>
      </c>
      <c r="AD397" t="str">
        <f t="shared" si="48"/>
        <v>12_2025</v>
      </c>
      <c r="AE397">
        <f t="shared" si="49"/>
        <v>1</v>
      </c>
      <c r="AF397">
        <f t="shared" si="50"/>
        <v>2</v>
      </c>
      <c r="AG397">
        <f t="shared" si="51"/>
        <v>2</v>
      </c>
      <c r="AH397">
        <f t="shared" si="52"/>
        <v>2</v>
      </c>
      <c r="AI397">
        <f t="shared" si="53"/>
        <v>2</v>
      </c>
      <c r="AJ397">
        <f t="shared" si="54"/>
        <v>175</v>
      </c>
      <c r="AK397" t="str">
        <f t="shared" si="55"/>
        <v>High</v>
      </c>
    </row>
    <row r="398" spans="1:37" x14ac:dyDescent="0.3">
      <c r="A398">
        <v>13</v>
      </c>
      <c r="B398">
        <v>2025</v>
      </c>
      <c r="C398">
        <v>334</v>
      </c>
      <c r="D398">
        <v>29</v>
      </c>
      <c r="E398">
        <v>26</v>
      </c>
      <c r="F398">
        <v>2191.79</v>
      </c>
      <c r="G398">
        <v>7.7843999999999997E-2</v>
      </c>
      <c r="H398">
        <v>18</v>
      </c>
      <c r="I398">
        <v>18</v>
      </c>
      <c r="J398">
        <v>4</v>
      </c>
      <c r="K398">
        <v>8</v>
      </c>
      <c r="L398">
        <v>1</v>
      </c>
      <c r="M398">
        <v>5</v>
      </c>
      <c r="N398">
        <v>5</v>
      </c>
      <c r="O398">
        <v>3</v>
      </c>
      <c r="P398" t="s">
        <v>85</v>
      </c>
      <c r="Q398" t="str">
        <f>VLOOKUP(A398,Cleaned_Seller_Master!$A:$H,2,FALSE)</f>
        <v>Summit Bazaar 013</v>
      </c>
      <c r="R398" t="str">
        <f>VLOOKUP(A398,Cleaned_Seller_Master!$A:$H,4,FALSE)</f>
        <v>Groceries</v>
      </c>
      <c r="S398" t="str">
        <f>VLOOKUP(A398,Cleaned_Seller_Master!$A:$H,5,FALSE)</f>
        <v>North</v>
      </c>
      <c r="T398" t="str">
        <f>VLOOKUP(A398,Cleaned_Seller_Master!$A:$H,8,FALSE)</f>
        <v>Premium</v>
      </c>
      <c r="U398" t="str">
        <f>VLOOKUP(A398,Cleaned_Seller_Master!$A:$H,7,FALSE)</f>
        <v>25-02-2025</v>
      </c>
      <c r="V398">
        <f>IFERROR(INDEX(Violation_Summary_Seller_Year!$C:$C,MATCH(AD398,Violation_Summary_Seller_Year!$K:$K,0)),0)</f>
        <v>4</v>
      </c>
      <c r="W398">
        <f>IFERROR(INDEX(Violation_Summary_Seller_Year!$D:$D,MATCH(AD398,Violation_Summary_Seller_Year!$K:$K,0)),0)</f>
        <v>17773.61</v>
      </c>
      <c r="X398">
        <f>IFERROR(INDEX(Violation_Summary_Seller_Year!$E:$E,MATCH(AD398,Violation_Summary_Seller_Year!$K:$K,0)),0)</f>
        <v>1</v>
      </c>
      <c r="Y398">
        <f>IFERROR(INDEX(Violation_Summary_Seller_Year!$F:$F,MATCH(AD398,Violation_Summary_Seller_Year!$K:$K,0)),0)</f>
        <v>1</v>
      </c>
      <c r="Z398">
        <f>IFERROR(INDEX(Violation_Summary_Seller_Year!$G:$G,MATCH(AD398,Violation_Summary_Seller_Year!$K:$K,0)),0)</f>
        <v>3</v>
      </c>
      <c r="AA398">
        <f>IFERROR(INDEX(Violation_Summary_Seller_Year!$H:$H,MATCH(AD398,Violation_Summary_Seller_Year!$K:$K,0)),0)</f>
        <v>4</v>
      </c>
      <c r="AB398">
        <f>IFERROR(INDEX(Violation_Summary_Seller_Year!$I:$I,MATCH(AD398,Violation_Summary_Seller_Year!$K:$K,0)),0)</f>
        <v>2</v>
      </c>
      <c r="AC398">
        <f>IFERROR(INDEX(Violation_Summary_Seller_Year!$J:$J,MATCH(AD398,Violation_Summary_Seller_Year!$K:$K,0)),0)</f>
        <v>37</v>
      </c>
      <c r="AD398" t="str">
        <f t="shared" si="48"/>
        <v>13_2025</v>
      </c>
      <c r="AE398">
        <f t="shared" si="49"/>
        <v>1</v>
      </c>
      <c r="AF398">
        <f t="shared" si="50"/>
        <v>2</v>
      </c>
      <c r="AG398">
        <f t="shared" si="51"/>
        <v>2</v>
      </c>
      <c r="AH398">
        <f t="shared" si="52"/>
        <v>2</v>
      </c>
      <c r="AI398">
        <f t="shared" si="53"/>
        <v>2</v>
      </c>
      <c r="AJ398">
        <f t="shared" si="54"/>
        <v>175</v>
      </c>
      <c r="AK398" t="str">
        <f t="shared" si="55"/>
        <v>High</v>
      </c>
    </row>
    <row r="399" spans="1:37" x14ac:dyDescent="0.3">
      <c r="A399">
        <v>14</v>
      </c>
      <c r="B399">
        <v>2025</v>
      </c>
      <c r="C399">
        <v>860</v>
      </c>
      <c r="D399">
        <v>54</v>
      </c>
      <c r="E399">
        <v>39</v>
      </c>
      <c r="F399">
        <v>1950.97</v>
      </c>
      <c r="G399">
        <v>4.5349E-2</v>
      </c>
      <c r="H399">
        <v>23</v>
      </c>
      <c r="I399">
        <v>23</v>
      </c>
      <c r="J399">
        <v>6</v>
      </c>
      <c r="K399">
        <v>11</v>
      </c>
      <c r="L399">
        <v>0</v>
      </c>
      <c r="M399">
        <v>3</v>
      </c>
      <c r="N399">
        <v>5</v>
      </c>
      <c r="O399">
        <v>2</v>
      </c>
      <c r="P399" t="s">
        <v>175</v>
      </c>
      <c r="Q399" t="str">
        <f>VLOOKUP(A399,Cleaned_Seller_Master!$A:$H,2,FALSE)</f>
        <v>Prime Bridge 014</v>
      </c>
      <c r="R399" t="str">
        <f>VLOOKUP(A399,Cleaned_Seller_Master!$A:$H,4,FALSE)</f>
        <v>Groceries</v>
      </c>
      <c r="S399" t="str">
        <f>VLOOKUP(A399,Cleaned_Seller_Master!$A:$H,5,FALSE)</f>
        <v>West</v>
      </c>
      <c r="T399" t="str">
        <f>VLOOKUP(A399,Cleaned_Seller_Master!$A:$H,8,FALSE)</f>
        <v>Strategic</v>
      </c>
      <c r="U399" t="str">
        <f>VLOOKUP(A399,Cleaned_Seller_Master!$A:$H,7,FALSE)</f>
        <v>10-12-2020</v>
      </c>
      <c r="V399">
        <f>IFERROR(INDEX(Violation_Summary_Seller_Year!$C:$C,MATCH(AD399,Violation_Summary_Seller_Year!$K:$K,0)),0)</f>
        <v>1</v>
      </c>
      <c r="W399">
        <f>IFERROR(INDEX(Violation_Summary_Seller_Year!$D:$D,MATCH(AD399,Violation_Summary_Seller_Year!$K:$K,0)),0)</f>
        <v>1292.9100000000001</v>
      </c>
      <c r="X399">
        <f>IFERROR(INDEX(Violation_Summary_Seller_Year!$E:$E,MATCH(AD399,Violation_Summary_Seller_Year!$K:$K,0)),0)</f>
        <v>0</v>
      </c>
      <c r="Y399">
        <f>IFERROR(INDEX(Violation_Summary_Seller_Year!$F:$F,MATCH(AD399,Violation_Summary_Seller_Year!$K:$K,0)),0)</f>
        <v>1</v>
      </c>
      <c r="Z399">
        <f>IFERROR(INDEX(Violation_Summary_Seller_Year!$G:$G,MATCH(AD399,Violation_Summary_Seller_Year!$K:$K,0)),0)</f>
        <v>0</v>
      </c>
      <c r="AA399">
        <f>IFERROR(INDEX(Violation_Summary_Seller_Year!$H:$H,MATCH(AD399,Violation_Summary_Seller_Year!$K:$K,0)),0)</f>
        <v>0</v>
      </c>
      <c r="AB399">
        <f>IFERROR(INDEX(Violation_Summary_Seller_Year!$I:$I,MATCH(AD399,Violation_Summary_Seller_Year!$K:$K,0)),0)</f>
        <v>0</v>
      </c>
      <c r="AC399">
        <f>IFERROR(INDEX(Violation_Summary_Seller_Year!$J:$J,MATCH(AD399,Violation_Summary_Seller_Year!$K:$K,0)),0)</f>
        <v>13</v>
      </c>
      <c r="AD399" t="str">
        <f t="shared" si="48"/>
        <v>14_2025</v>
      </c>
      <c r="AE399">
        <f t="shared" si="49"/>
        <v>0</v>
      </c>
      <c r="AF399">
        <f t="shared" si="50"/>
        <v>2</v>
      </c>
      <c r="AG399">
        <f t="shared" si="51"/>
        <v>0</v>
      </c>
      <c r="AH399">
        <f t="shared" si="52"/>
        <v>0</v>
      </c>
      <c r="AI399">
        <f t="shared" si="53"/>
        <v>1</v>
      </c>
      <c r="AJ399">
        <f t="shared" si="54"/>
        <v>60</v>
      </c>
      <c r="AK399" t="str">
        <f t="shared" si="55"/>
        <v>Medium</v>
      </c>
    </row>
    <row r="400" spans="1:37" x14ac:dyDescent="0.3">
      <c r="A400">
        <v>15</v>
      </c>
      <c r="B400">
        <v>2025</v>
      </c>
      <c r="C400">
        <v>1724</v>
      </c>
      <c r="D400">
        <v>185</v>
      </c>
      <c r="E400">
        <v>159</v>
      </c>
      <c r="F400">
        <v>13541.17</v>
      </c>
      <c r="G400">
        <v>9.2227000000000003E-2</v>
      </c>
      <c r="H400">
        <v>48</v>
      </c>
      <c r="I400">
        <v>60</v>
      </c>
      <c r="J400">
        <v>37</v>
      </c>
      <c r="K400">
        <v>19</v>
      </c>
      <c r="L400">
        <v>1</v>
      </c>
      <c r="M400">
        <v>6</v>
      </c>
      <c r="N400">
        <v>14</v>
      </c>
      <c r="O400">
        <v>8</v>
      </c>
      <c r="P400" t="s">
        <v>85</v>
      </c>
      <c r="Q400" t="str">
        <f>VLOOKUP(A400,Cleaned_Seller_Master!$A:$H,2,FALSE)</f>
        <v>Apex Retail 015</v>
      </c>
      <c r="R400" t="str">
        <f>VLOOKUP(A400,Cleaned_Seller_Master!$A:$H,4,FALSE)</f>
        <v>Electronics</v>
      </c>
      <c r="S400" t="str">
        <f>VLOOKUP(A400,Cleaned_Seller_Master!$A:$H,5,FALSE)</f>
        <v>East</v>
      </c>
      <c r="T400" t="str">
        <f>VLOOKUP(A400,Cleaned_Seller_Master!$A:$H,8,FALSE)</f>
        <v>Premium</v>
      </c>
      <c r="U400" t="str">
        <f>VLOOKUP(A400,Cleaned_Seller_Master!$A:$H,7,FALSE)</f>
        <v>08-10-2021</v>
      </c>
      <c r="V400">
        <f>IFERROR(INDEX(Violation_Summary_Seller_Year!$C:$C,MATCH(AD400,Violation_Summary_Seller_Year!$K:$K,0)),0)</f>
        <v>5</v>
      </c>
      <c r="W400">
        <f>IFERROR(INDEX(Violation_Summary_Seller_Year!$D:$D,MATCH(AD400,Violation_Summary_Seller_Year!$K:$K,0)),0)</f>
        <v>18215.72</v>
      </c>
      <c r="X400">
        <f>IFERROR(INDEX(Violation_Summary_Seller_Year!$E:$E,MATCH(AD400,Violation_Summary_Seller_Year!$K:$K,0)),0)</f>
        <v>4</v>
      </c>
      <c r="Y400">
        <f>IFERROR(INDEX(Violation_Summary_Seller_Year!$F:$F,MATCH(AD400,Violation_Summary_Seller_Year!$K:$K,0)),0)</f>
        <v>3</v>
      </c>
      <c r="Z400">
        <f>IFERROR(INDEX(Violation_Summary_Seller_Year!$G:$G,MATCH(AD400,Violation_Summary_Seller_Year!$K:$K,0)),0)</f>
        <v>2</v>
      </c>
      <c r="AA400">
        <f>IFERROR(INDEX(Violation_Summary_Seller_Year!$H:$H,MATCH(AD400,Violation_Summary_Seller_Year!$K:$K,0)),0)</f>
        <v>5</v>
      </c>
      <c r="AB400">
        <f>IFERROR(INDEX(Violation_Summary_Seller_Year!$I:$I,MATCH(AD400,Violation_Summary_Seller_Year!$K:$K,0)),0)</f>
        <v>1</v>
      </c>
      <c r="AC400">
        <f>IFERROR(INDEX(Violation_Summary_Seller_Year!$J:$J,MATCH(AD400,Violation_Summary_Seller_Year!$K:$K,0)),0)</f>
        <v>39</v>
      </c>
      <c r="AD400" t="str">
        <f t="shared" si="48"/>
        <v>15_2025</v>
      </c>
      <c r="AE400">
        <f t="shared" si="49"/>
        <v>1</v>
      </c>
      <c r="AF400">
        <f t="shared" si="50"/>
        <v>2</v>
      </c>
      <c r="AG400">
        <f t="shared" si="51"/>
        <v>2</v>
      </c>
      <c r="AH400">
        <f t="shared" si="52"/>
        <v>2</v>
      </c>
      <c r="AI400">
        <f t="shared" si="53"/>
        <v>2</v>
      </c>
      <c r="AJ400">
        <f t="shared" si="54"/>
        <v>175</v>
      </c>
      <c r="AK400" t="str">
        <f t="shared" si="55"/>
        <v>High</v>
      </c>
    </row>
    <row r="401" spans="1:37" x14ac:dyDescent="0.3">
      <c r="A401">
        <v>16</v>
      </c>
      <c r="B401">
        <v>2025</v>
      </c>
      <c r="C401">
        <v>1193</v>
      </c>
      <c r="D401">
        <v>60</v>
      </c>
      <c r="E401">
        <v>49</v>
      </c>
      <c r="F401">
        <v>2091.34</v>
      </c>
      <c r="G401">
        <v>4.1072999999999998E-2</v>
      </c>
      <c r="H401">
        <v>18</v>
      </c>
      <c r="I401">
        <v>27</v>
      </c>
      <c r="J401">
        <v>5</v>
      </c>
      <c r="K401">
        <v>8</v>
      </c>
      <c r="L401">
        <v>0</v>
      </c>
      <c r="M401">
        <v>2</v>
      </c>
      <c r="N401">
        <v>3</v>
      </c>
      <c r="O401">
        <v>3</v>
      </c>
      <c r="P401" t="s">
        <v>175</v>
      </c>
      <c r="Q401" t="str">
        <f>VLOOKUP(A401,Cleaned_Seller_Master!$A:$H,2,FALSE)</f>
        <v>Nimbus Market 016</v>
      </c>
      <c r="R401" t="str">
        <f>VLOOKUP(A401,Cleaned_Seller_Master!$A:$H,4,FALSE)</f>
        <v>Groceries</v>
      </c>
      <c r="S401" t="str">
        <f>VLOOKUP(A401,Cleaned_Seller_Master!$A:$H,5,FALSE)</f>
        <v>South</v>
      </c>
      <c r="T401" t="str">
        <f>VLOOKUP(A401,Cleaned_Seller_Master!$A:$H,8,FALSE)</f>
        <v>Standard</v>
      </c>
      <c r="U401" t="str">
        <f>VLOOKUP(A401,Cleaned_Seller_Master!$A:$H,7,FALSE)</f>
        <v>18-04-2025</v>
      </c>
      <c r="V401">
        <f>IFERROR(INDEX(Violation_Summary_Seller_Year!$C:$C,MATCH(AD401,Violation_Summary_Seller_Year!$K:$K,0)),0)</f>
        <v>3</v>
      </c>
      <c r="W401">
        <f>IFERROR(INDEX(Violation_Summary_Seller_Year!$D:$D,MATCH(AD401,Violation_Summary_Seller_Year!$K:$K,0)),0)</f>
        <v>1368.01</v>
      </c>
      <c r="X401">
        <f>IFERROR(INDEX(Violation_Summary_Seller_Year!$E:$E,MATCH(AD401,Violation_Summary_Seller_Year!$K:$K,0)),0)</f>
        <v>0</v>
      </c>
      <c r="Y401">
        <f>IFERROR(INDEX(Violation_Summary_Seller_Year!$F:$F,MATCH(AD401,Violation_Summary_Seller_Year!$K:$K,0)),0)</f>
        <v>2</v>
      </c>
      <c r="Z401">
        <f>IFERROR(INDEX(Violation_Summary_Seller_Year!$G:$G,MATCH(AD401,Violation_Summary_Seller_Year!$K:$K,0)),0)</f>
        <v>1</v>
      </c>
      <c r="AA401">
        <f>IFERROR(INDEX(Violation_Summary_Seller_Year!$H:$H,MATCH(AD401,Violation_Summary_Seller_Year!$K:$K,0)),0)</f>
        <v>0</v>
      </c>
      <c r="AB401">
        <f>IFERROR(INDEX(Violation_Summary_Seller_Year!$I:$I,MATCH(AD401,Violation_Summary_Seller_Year!$K:$K,0)),0)</f>
        <v>0</v>
      </c>
      <c r="AC401">
        <f>IFERROR(INDEX(Violation_Summary_Seller_Year!$J:$J,MATCH(AD401,Violation_Summary_Seller_Year!$K:$K,0)),0)</f>
        <v>34</v>
      </c>
      <c r="AD401" t="str">
        <f t="shared" si="48"/>
        <v>16_2025</v>
      </c>
      <c r="AE401">
        <f t="shared" si="49"/>
        <v>0</v>
      </c>
      <c r="AF401">
        <f t="shared" si="50"/>
        <v>2</v>
      </c>
      <c r="AG401">
        <f t="shared" si="51"/>
        <v>1</v>
      </c>
      <c r="AH401">
        <f t="shared" si="52"/>
        <v>0</v>
      </c>
      <c r="AI401">
        <f t="shared" si="53"/>
        <v>1</v>
      </c>
      <c r="AJ401">
        <f t="shared" si="54"/>
        <v>80</v>
      </c>
      <c r="AK401" t="str">
        <f t="shared" si="55"/>
        <v>Medium</v>
      </c>
    </row>
    <row r="402" spans="1:37" x14ac:dyDescent="0.3">
      <c r="A402">
        <v>17</v>
      </c>
      <c r="B402">
        <v>2025</v>
      </c>
      <c r="C402">
        <v>927</v>
      </c>
      <c r="D402">
        <v>76</v>
      </c>
      <c r="E402">
        <v>73</v>
      </c>
      <c r="F402">
        <v>3187.66</v>
      </c>
      <c r="G402">
        <v>7.8749E-2</v>
      </c>
      <c r="H402">
        <v>16</v>
      </c>
      <c r="I402">
        <v>31</v>
      </c>
      <c r="J402">
        <v>11</v>
      </c>
      <c r="K402">
        <v>8</v>
      </c>
      <c r="L402">
        <v>1</v>
      </c>
      <c r="M402">
        <v>4</v>
      </c>
      <c r="N402">
        <v>6</v>
      </c>
      <c r="O402">
        <v>4</v>
      </c>
      <c r="P402" t="s">
        <v>85</v>
      </c>
      <c r="Q402" t="str">
        <f>VLOOKUP(A402,Cleaned_Seller_Master!$A:$H,2,FALSE)</f>
        <v>Metro Point 017</v>
      </c>
      <c r="R402" t="str">
        <f>VLOOKUP(A402,Cleaned_Seller_Master!$A:$H,4,FALSE)</f>
        <v>Beauty</v>
      </c>
      <c r="S402" t="str">
        <f>VLOOKUP(A402,Cleaned_Seller_Master!$A:$H,5,FALSE)</f>
        <v>North</v>
      </c>
      <c r="T402" t="str">
        <f>VLOOKUP(A402,Cleaned_Seller_Master!$A:$H,8,FALSE)</f>
        <v>Premium</v>
      </c>
      <c r="U402" t="str">
        <f>VLOOKUP(A402,Cleaned_Seller_Master!$A:$H,7,FALSE)</f>
        <v>14-06-2023</v>
      </c>
      <c r="V402">
        <f>IFERROR(INDEX(Violation_Summary_Seller_Year!$C:$C,MATCH(AD402,Violation_Summary_Seller_Year!$K:$K,0)),0)</f>
        <v>3</v>
      </c>
      <c r="W402">
        <f>IFERROR(INDEX(Violation_Summary_Seller_Year!$D:$D,MATCH(AD402,Violation_Summary_Seller_Year!$K:$K,0)),0)</f>
        <v>5990.9400000000005</v>
      </c>
      <c r="X402">
        <f>IFERROR(INDEX(Violation_Summary_Seller_Year!$E:$E,MATCH(AD402,Violation_Summary_Seller_Year!$K:$K,0)),0)</f>
        <v>1</v>
      </c>
      <c r="Y402">
        <f>IFERROR(INDEX(Violation_Summary_Seller_Year!$F:$F,MATCH(AD402,Violation_Summary_Seller_Year!$K:$K,0)),0)</f>
        <v>1</v>
      </c>
      <c r="Z402">
        <f>IFERROR(INDEX(Violation_Summary_Seller_Year!$G:$G,MATCH(AD402,Violation_Summary_Seller_Year!$K:$K,0)),0)</f>
        <v>2</v>
      </c>
      <c r="AA402">
        <f>IFERROR(INDEX(Violation_Summary_Seller_Year!$H:$H,MATCH(AD402,Violation_Summary_Seller_Year!$K:$K,0)),0)</f>
        <v>2</v>
      </c>
      <c r="AB402">
        <f>IFERROR(INDEX(Violation_Summary_Seller_Year!$I:$I,MATCH(AD402,Violation_Summary_Seller_Year!$K:$K,0)),0)</f>
        <v>2</v>
      </c>
      <c r="AC402">
        <f>IFERROR(INDEX(Violation_Summary_Seller_Year!$J:$J,MATCH(AD402,Violation_Summary_Seller_Year!$K:$K,0)),0)</f>
        <v>21</v>
      </c>
      <c r="AD402" t="str">
        <f t="shared" si="48"/>
        <v>17_2025</v>
      </c>
      <c r="AE402">
        <f t="shared" si="49"/>
        <v>1</v>
      </c>
      <c r="AF402">
        <f t="shared" si="50"/>
        <v>2</v>
      </c>
      <c r="AG402">
        <f t="shared" si="51"/>
        <v>2</v>
      </c>
      <c r="AH402">
        <f t="shared" si="52"/>
        <v>2</v>
      </c>
      <c r="AI402">
        <f t="shared" si="53"/>
        <v>2</v>
      </c>
      <c r="AJ402">
        <f t="shared" si="54"/>
        <v>175</v>
      </c>
      <c r="AK402" t="str">
        <f t="shared" si="55"/>
        <v>High</v>
      </c>
    </row>
    <row r="403" spans="1:37" x14ac:dyDescent="0.3">
      <c r="A403">
        <v>18</v>
      </c>
      <c r="B403">
        <v>2025</v>
      </c>
      <c r="C403">
        <v>514</v>
      </c>
      <c r="D403">
        <v>35</v>
      </c>
      <c r="E403">
        <v>30</v>
      </c>
      <c r="F403">
        <v>1532.85</v>
      </c>
      <c r="G403">
        <v>5.8366000000000001E-2</v>
      </c>
      <c r="H403">
        <v>13</v>
      </c>
      <c r="I403">
        <v>14</v>
      </c>
      <c r="J403">
        <v>5</v>
      </c>
      <c r="K403">
        <v>7</v>
      </c>
      <c r="L403">
        <v>1</v>
      </c>
      <c r="M403">
        <v>4</v>
      </c>
      <c r="N403">
        <v>4</v>
      </c>
      <c r="O403">
        <v>1</v>
      </c>
      <c r="P403" t="s">
        <v>85</v>
      </c>
      <c r="Q403" t="str">
        <f>VLOOKUP(A403,Cleaned_Seller_Master!$A:$H,2,FALSE)</f>
        <v>Luna Stores 018</v>
      </c>
      <c r="R403" t="str">
        <f>VLOOKUP(A403,Cleaned_Seller_Master!$A:$H,4,FALSE)</f>
        <v>Fashion</v>
      </c>
      <c r="S403" t="str">
        <f>VLOOKUP(A403,Cleaned_Seller_Master!$A:$H,5,FALSE)</f>
        <v>North</v>
      </c>
      <c r="T403" t="str">
        <f>VLOOKUP(A403,Cleaned_Seller_Master!$A:$H,8,FALSE)</f>
        <v>Premium</v>
      </c>
      <c r="U403" t="str">
        <f>VLOOKUP(A403,Cleaned_Seller_Master!$A:$H,7,FALSE)</f>
        <v>18-04-2020</v>
      </c>
      <c r="V403">
        <f>IFERROR(INDEX(Violation_Summary_Seller_Year!$C:$C,MATCH(AD403,Violation_Summary_Seller_Year!$K:$K,0)),0)</f>
        <v>4</v>
      </c>
      <c r="W403">
        <f>IFERROR(INDEX(Violation_Summary_Seller_Year!$D:$D,MATCH(AD403,Violation_Summary_Seller_Year!$K:$K,0)),0)</f>
        <v>10395.519999999999</v>
      </c>
      <c r="X403">
        <f>IFERROR(INDEX(Violation_Summary_Seller_Year!$E:$E,MATCH(AD403,Violation_Summary_Seller_Year!$K:$K,0)),0)</f>
        <v>0</v>
      </c>
      <c r="Y403">
        <f>IFERROR(INDEX(Violation_Summary_Seller_Year!$F:$F,MATCH(AD403,Violation_Summary_Seller_Year!$K:$K,0)),0)</f>
        <v>3</v>
      </c>
      <c r="Z403">
        <f>IFERROR(INDEX(Violation_Summary_Seller_Year!$G:$G,MATCH(AD403,Violation_Summary_Seller_Year!$K:$K,0)),0)</f>
        <v>1</v>
      </c>
      <c r="AA403">
        <f>IFERROR(INDEX(Violation_Summary_Seller_Year!$H:$H,MATCH(AD403,Violation_Summary_Seller_Year!$K:$K,0)),0)</f>
        <v>1</v>
      </c>
      <c r="AB403">
        <f>IFERROR(INDEX(Violation_Summary_Seller_Year!$I:$I,MATCH(AD403,Violation_Summary_Seller_Year!$K:$K,0)),0)</f>
        <v>1</v>
      </c>
      <c r="AC403">
        <f>IFERROR(INDEX(Violation_Summary_Seller_Year!$J:$J,MATCH(AD403,Violation_Summary_Seller_Year!$K:$K,0)),0)</f>
        <v>59</v>
      </c>
      <c r="AD403" t="str">
        <f t="shared" si="48"/>
        <v>18_2025</v>
      </c>
      <c r="AE403">
        <f t="shared" si="49"/>
        <v>1</v>
      </c>
      <c r="AF403">
        <f t="shared" si="50"/>
        <v>2</v>
      </c>
      <c r="AG403">
        <f t="shared" si="51"/>
        <v>1</v>
      </c>
      <c r="AH403">
        <f t="shared" si="52"/>
        <v>2</v>
      </c>
      <c r="AI403">
        <f t="shared" si="53"/>
        <v>2</v>
      </c>
      <c r="AJ403">
        <f t="shared" si="54"/>
        <v>155</v>
      </c>
      <c r="AK403" t="str">
        <f t="shared" si="55"/>
        <v>High</v>
      </c>
    </row>
    <row r="404" spans="1:37" x14ac:dyDescent="0.3">
      <c r="A404">
        <v>19</v>
      </c>
      <c r="B404">
        <v>2025</v>
      </c>
      <c r="C404">
        <v>133</v>
      </c>
      <c r="D404">
        <v>11</v>
      </c>
      <c r="E404">
        <v>10</v>
      </c>
      <c r="F404">
        <v>898.37</v>
      </c>
      <c r="G404">
        <v>7.5188000000000005E-2</v>
      </c>
      <c r="H404">
        <v>11</v>
      </c>
      <c r="I404">
        <v>11</v>
      </c>
      <c r="J404">
        <v>3</v>
      </c>
      <c r="K404">
        <v>5</v>
      </c>
      <c r="L404">
        <v>1</v>
      </c>
      <c r="M404">
        <v>5</v>
      </c>
      <c r="N404">
        <v>4</v>
      </c>
      <c r="O404">
        <v>1</v>
      </c>
      <c r="P404" t="s">
        <v>85</v>
      </c>
      <c r="Q404" t="str">
        <f>VLOOKUP(A404,Cleaned_Seller_Master!$A:$H,2,FALSE)</f>
        <v>Elite Link 019</v>
      </c>
      <c r="R404" t="str">
        <f>VLOOKUP(A404,Cleaned_Seller_Master!$A:$H,4,FALSE)</f>
        <v>Groceries</v>
      </c>
      <c r="S404" t="str">
        <f>VLOOKUP(A404,Cleaned_Seller_Master!$A:$H,5,FALSE)</f>
        <v>North</v>
      </c>
      <c r="T404" t="str">
        <f>VLOOKUP(A404,Cleaned_Seller_Master!$A:$H,8,FALSE)</f>
        <v>Standard</v>
      </c>
      <c r="U404" t="str">
        <f>VLOOKUP(A404,Cleaned_Seller_Master!$A:$H,7,FALSE)</f>
        <v>25-02-2018</v>
      </c>
      <c r="V404">
        <f>IFERROR(INDEX(Violation_Summary_Seller_Year!$C:$C,MATCH(AD404,Violation_Summary_Seller_Year!$K:$K,0)),0)</f>
        <v>5</v>
      </c>
      <c r="W404">
        <f>IFERROR(INDEX(Violation_Summary_Seller_Year!$D:$D,MATCH(AD404,Violation_Summary_Seller_Year!$K:$K,0)),0)</f>
        <v>11083.76</v>
      </c>
      <c r="X404">
        <f>IFERROR(INDEX(Violation_Summary_Seller_Year!$E:$E,MATCH(AD404,Violation_Summary_Seller_Year!$K:$K,0)),0)</f>
        <v>2</v>
      </c>
      <c r="Y404">
        <f>IFERROR(INDEX(Violation_Summary_Seller_Year!$F:$F,MATCH(AD404,Violation_Summary_Seller_Year!$K:$K,0)),0)</f>
        <v>3</v>
      </c>
      <c r="Z404">
        <f>IFERROR(INDEX(Violation_Summary_Seller_Year!$G:$G,MATCH(AD404,Violation_Summary_Seller_Year!$K:$K,0)),0)</f>
        <v>2</v>
      </c>
      <c r="AA404">
        <f>IFERROR(INDEX(Violation_Summary_Seller_Year!$H:$H,MATCH(AD404,Violation_Summary_Seller_Year!$K:$K,0)),0)</f>
        <v>4</v>
      </c>
      <c r="AB404">
        <f>IFERROR(INDEX(Violation_Summary_Seller_Year!$I:$I,MATCH(AD404,Violation_Summary_Seller_Year!$K:$K,0)),0)</f>
        <v>1</v>
      </c>
      <c r="AC404">
        <f>IFERROR(INDEX(Violation_Summary_Seller_Year!$J:$J,MATCH(AD404,Violation_Summary_Seller_Year!$K:$K,0)),0)</f>
        <v>56</v>
      </c>
      <c r="AD404" t="str">
        <f t="shared" si="48"/>
        <v>19_2025</v>
      </c>
      <c r="AE404">
        <f t="shared" si="49"/>
        <v>1</v>
      </c>
      <c r="AF404">
        <f t="shared" si="50"/>
        <v>2</v>
      </c>
      <c r="AG404">
        <f t="shared" si="51"/>
        <v>2</v>
      </c>
      <c r="AH404">
        <f t="shared" si="52"/>
        <v>2</v>
      </c>
      <c r="AI404">
        <f t="shared" si="53"/>
        <v>2</v>
      </c>
      <c r="AJ404">
        <f t="shared" si="54"/>
        <v>175</v>
      </c>
      <c r="AK404" t="str">
        <f t="shared" si="55"/>
        <v>High</v>
      </c>
    </row>
    <row r="405" spans="1:37" x14ac:dyDescent="0.3">
      <c r="A405">
        <v>21</v>
      </c>
      <c r="B405">
        <v>2025</v>
      </c>
      <c r="C405">
        <v>469</v>
      </c>
      <c r="D405">
        <v>42</v>
      </c>
      <c r="E405">
        <v>35</v>
      </c>
      <c r="F405">
        <v>1548.47</v>
      </c>
      <c r="G405">
        <v>7.4626999999999999E-2</v>
      </c>
      <c r="H405">
        <v>24</v>
      </c>
      <c r="I405">
        <v>24</v>
      </c>
      <c r="J405">
        <v>6</v>
      </c>
      <c r="K405">
        <v>11</v>
      </c>
      <c r="L405">
        <v>0</v>
      </c>
      <c r="M405">
        <v>3</v>
      </c>
      <c r="N405">
        <v>6</v>
      </c>
      <c r="O405">
        <v>1</v>
      </c>
      <c r="P405" t="s">
        <v>68</v>
      </c>
      <c r="Q405" t="str">
        <f>VLOOKUP(A405,Cleaned_Seller_Master!$A:$H,2,FALSE)</f>
        <v>Swift Goods 021</v>
      </c>
      <c r="R405" t="str">
        <f>VLOOKUP(A405,Cleaned_Seller_Master!$A:$H,4,FALSE)</f>
        <v>Fashion</v>
      </c>
      <c r="S405" t="str">
        <f>VLOOKUP(A405,Cleaned_Seller_Master!$A:$H,5,FALSE)</f>
        <v>South</v>
      </c>
      <c r="T405" t="str">
        <f>VLOOKUP(A405,Cleaned_Seller_Master!$A:$H,8,FALSE)</f>
        <v>Verified</v>
      </c>
      <c r="U405" t="str">
        <f>VLOOKUP(A405,Cleaned_Seller_Master!$A:$H,7,FALSE)</f>
        <v>11-12-2018</v>
      </c>
      <c r="V405">
        <f>IFERROR(INDEX(Violation_Summary_Seller_Year!$C:$C,MATCH(AD405,Violation_Summary_Seller_Year!$K:$K,0)),0)</f>
        <v>4</v>
      </c>
      <c r="W405">
        <f>IFERROR(INDEX(Violation_Summary_Seller_Year!$D:$D,MATCH(AD405,Violation_Summary_Seller_Year!$K:$K,0)),0)</f>
        <v>7802.56</v>
      </c>
      <c r="X405">
        <f>IFERROR(INDEX(Violation_Summary_Seller_Year!$E:$E,MATCH(AD405,Violation_Summary_Seller_Year!$K:$K,0)),0)</f>
        <v>0</v>
      </c>
      <c r="Y405">
        <f>IFERROR(INDEX(Violation_Summary_Seller_Year!$F:$F,MATCH(AD405,Violation_Summary_Seller_Year!$K:$K,0)),0)</f>
        <v>2</v>
      </c>
      <c r="Z405">
        <f>IFERROR(INDEX(Violation_Summary_Seller_Year!$G:$G,MATCH(AD405,Violation_Summary_Seller_Year!$K:$K,0)),0)</f>
        <v>2</v>
      </c>
      <c r="AA405">
        <f>IFERROR(INDEX(Violation_Summary_Seller_Year!$H:$H,MATCH(AD405,Violation_Summary_Seller_Year!$K:$K,0)),0)</f>
        <v>3</v>
      </c>
      <c r="AB405">
        <f>IFERROR(INDEX(Violation_Summary_Seller_Year!$I:$I,MATCH(AD405,Violation_Summary_Seller_Year!$K:$K,0)),0)</f>
        <v>2</v>
      </c>
      <c r="AC405">
        <f>IFERROR(INDEX(Violation_Summary_Seller_Year!$J:$J,MATCH(AD405,Violation_Summary_Seller_Year!$K:$K,0)),0)</f>
        <v>61</v>
      </c>
      <c r="AD405" t="str">
        <f t="shared" si="48"/>
        <v>21_2025</v>
      </c>
      <c r="AE405">
        <f t="shared" si="49"/>
        <v>1</v>
      </c>
      <c r="AF405">
        <f t="shared" si="50"/>
        <v>2</v>
      </c>
      <c r="AG405">
        <f t="shared" si="51"/>
        <v>2</v>
      </c>
      <c r="AH405">
        <f t="shared" si="52"/>
        <v>0</v>
      </c>
      <c r="AI405">
        <f t="shared" si="53"/>
        <v>1</v>
      </c>
      <c r="AJ405">
        <f t="shared" si="54"/>
        <v>125</v>
      </c>
      <c r="AK405" t="str">
        <f t="shared" si="55"/>
        <v>High</v>
      </c>
    </row>
    <row r="406" spans="1:37" x14ac:dyDescent="0.3">
      <c r="A406">
        <v>22</v>
      </c>
      <c r="B406">
        <v>2025</v>
      </c>
      <c r="C406">
        <v>1146</v>
      </c>
      <c r="D406">
        <v>101</v>
      </c>
      <c r="E406">
        <v>87</v>
      </c>
      <c r="F406">
        <v>8968.33</v>
      </c>
      <c r="G406">
        <v>7.5915999999999997E-2</v>
      </c>
      <c r="H406">
        <v>17</v>
      </c>
      <c r="I406">
        <v>33</v>
      </c>
      <c r="J406">
        <v>18</v>
      </c>
      <c r="K406">
        <v>6</v>
      </c>
      <c r="L406">
        <v>1</v>
      </c>
      <c r="M406">
        <v>3</v>
      </c>
      <c r="N406">
        <v>4</v>
      </c>
      <c r="O406">
        <v>4</v>
      </c>
      <c r="P406" t="s">
        <v>85</v>
      </c>
      <c r="Q406" t="str">
        <f>VLOOKUP(A406,Cleaned_Seller_Master!$A:$H,2,FALSE)</f>
        <v>Blue Source 022</v>
      </c>
      <c r="R406" t="str">
        <f>VLOOKUP(A406,Cleaned_Seller_Master!$A:$H,4,FALSE)</f>
        <v>Electronics</v>
      </c>
      <c r="S406" t="str">
        <f>VLOOKUP(A406,Cleaned_Seller_Master!$A:$H,5,FALSE)</f>
        <v>South</v>
      </c>
      <c r="T406" t="str">
        <f>VLOOKUP(A406,Cleaned_Seller_Master!$A:$H,8,FALSE)</f>
        <v>Strategic</v>
      </c>
      <c r="U406" t="str">
        <f>VLOOKUP(A406,Cleaned_Seller_Master!$A:$H,7,FALSE)</f>
        <v>28-11-2018</v>
      </c>
      <c r="V406">
        <f>IFERROR(INDEX(Violation_Summary_Seller_Year!$C:$C,MATCH(AD406,Violation_Summary_Seller_Year!$K:$K,0)),0)</f>
        <v>3</v>
      </c>
      <c r="W406">
        <f>IFERROR(INDEX(Violation_Summary_Seller_Year!$D:$D,MATCH(AD406,Violation_Summary_Seller_Year!$K:$K,0)),0)</f>
        <v>12272.26</v>
      </c>
      <c r="X406">
        <f>IFERROR(INDEX(Violation_Summary_Seller_Year!$E:$E,MATCH(AD406,Violation_Summary_Seller_Year!$K:$K,0)),0)</f>
        <v>2</v>
      </c>
      <c r="Y406">
        <f>IFERROR(INDEX(Violation_Summary_Seller_Year!$F:$F,MATCH(AD406,Violation_Summary_Seller_Year!$K:$K,0)),0)</f>
        <v>1</v>
      </c>
      <c r="Z406">
        <f>IFERROR(INDEX(Violation_Summary_Seller_Year!$G:$G,MATCH(AD406,Violation_Summary_Seller_Year!$K:$K,0)),0)</f>
        <v>2</v>
      </c>
      <c r="AA406">
        <f>IFERROR(INDEX(Violation_Summary_Seller_Year!$H:$H,MATCH(AD406,Violation_Summary_Seller_Year!$K:$K,0)),0)</f>
        <v>2</v>
      </c>
      <c r="AB406">
        <f>IFERROR(INDEX(Violation_Summary_Seller_Year!$I:$I,MATCH(AD406,Violation_Summary_Seller_Year!$K:$K,0)),0)</f>
        <v>1</v>
      </c>
      <c r="AC406">
        <f>IFERROR(INDEX(Violation_Summary_Seller_Year!$J:$J,MATCH(AD406,Violation_Summary_Seller_Year!$K:$K,0)),0)</f>
        <v>32</v>
      </c>
      <c r="AD406" t="str">
        <f t="shared" si="48"/>
        <v>22_2025</v>
      </c>
      <c r="AE406">
        <f t="shared" si="49"/>
        <v>1</v>
      </c>
      <c r="AF406">
        <f t="shared" si="50"/>
        <v>2</v>
      </c>
      <c r="AG406">
        <f t="shared" si="51"/>
        <v>2</v>
      </c>
      <c r="AH406">
        <f t="shared" si="52"/>
        <v>2</v>
      </c>
      <c r="AI406">
        <f t="shared" si="53"/>
        <v>2</v>
      </c>
      <c r="AJ406">
        <f t="shared" si="54"/>
        <v>175</v>
      </c>
      <c r="AK406" t="str">
        <f t="shared" si="55"/>
        <v>High</v>
      </c>
    </row>
    <row r="407" spans="1:37" x14ac:dyDescent="0.3">
      <c r="A407">
        <v>23</v>
      </c>
      <c r="B407">
        <v>2025</v>
      </c>
      <c r="C407">
        <v>2011</v>
      </c>
      <c r="D407">
        <v>126</v>
      </c>
      <c r="E407">
        <v>91</v>
      </c>
      <c r="F407">
        <v>6980.18</v>
      </c>
      <c r="G407">
        <v>4.5251E-2</v>
      </c>
      <c r="H407">
        <v>39</v>
      </c>
      <c r="I407">
        <v>51</v>
      </c>
      <c r="J407">
        <v>20</v>
      </c>
      <c r="K407">
        <v>18</v>
      </c>
      <c r="L407">
        <v>0</v>
      </c>
      <c r="M407">
        <v>4</v>
      </c>
      <c r="N407">
        <v>6</v>
      </c>
      <c r="O407">
        <v>3</v>
      </c>
      <c r="P407" t="s">
        <v>175</v>
      </c>
      <c r="Q407" t="str">
        <f>VLOOKUP(A407,Cleaned_Seller_Master!$A:$H,2,FALSE)</f>
        <v>Vertex Supply 023</v>
      </c>
      <c r="R407" t="str">
        <f>VLOOKUP(A407,Cleaned_Seller_Master!$A:$H,4,FALSE)</f>
        <v>Home</v>
      </c>
      <c r="S407" t="str">
        <f>VLOOKUP(A407,Cleaned_Seller_Master!$A:$H,5,FALSE)</f>
        <v>Southeast Asia</v>
      </c>
      <c r="T407" t="str">
        <f>VLOOKUP(A407,Cleaned_Seller_Master!$A:$H,8,FALSE)</f>
        <v>Standard</v>
      </c>
      <c r="U407" t="str">
        <f>VLOOKUP(A407,Cleaned_Seller_Master!$A:$H,7,FALSE)</f>
        <v>07-05-2023</v>
      </c>
      <c r="V407">
        <f>IFERROR(INDEX(Violation_Summary_Seller_Year!$C:$C,MATCH(AD407,Violation_Summary_Seller_Year!$K:$K,0)),0)</f>
        <v>3</v>
      </c>
      <c r="W407">
        <f>IFERROR(INDEX(Violation_Summary_Seller_Year!$D:$D,MATCH(AD407,Violation_Summary_Seller_Year!$K:$K,0)),0)</f>
        <v>2308.61</v>
      </c>
      <c r="X407">
        <f>IFERROR(INDEX(Violation_Summary_Seller_Year!$E:$E,MATCH(AD407,Violation_Summary_Seller_Year!$K:$K,0)),0)</f>
        <v>0</v>
      </c>
      <c r="Y407">
        <f>IFERROR(INDEX(Violation_Summary_Seller_Year!$F:$F,MATCH(AD407,Violation_Summary_Seller_Year!$K:$K,0)),0)</f>
        <v>2</v>
      </c>
      <c r="Z407">
        <f>IFERROR(INDEX(Violation_Summary_Seller_Year!$G:$G,MATCH(AD407,Violation_Summary_Seller_Year!$K:$K,0)),0)</f>
        <v>1</v>
      </c>
      <c r="AA407">
        <f>IFERROR(INDEX(Violation_Summary_Seller_Year!$H:$H,MATCH(AD407,Violation_Summary_Seller_Year!$K:$K,0)),0)</f>
        <v>1</v>
      </c>
      <c r="AB407">
        <f>IFERROR(INDEX(Violation_Summary_Seller_Year!$I:$I,MATCH(AD407,Violation_Summary_Seller_Year!$K:$K,0)),0)</f>
        <v>1</v>
      </c>
      <c r="AC407">
        <f>IFERROR(INDEX(Violation_Summary_Seller_Year!$J:$J,MATCH(AD407,Violation_Summary_Seller_Year!$K:$K,0)),0)</f>
        <v>33</v>
      </c>
      <c r="AD407" t="str">
        <f t="shared" si="48"/>
        <v>23_2025</v>
      </c>
      <c r="AE407">
        <f t="shared" si="49"/>
        <v>0</v>
      </c>
      <c r="AF407">
        <f t="shared" si="50"/>
        <v>2</v>
      </c>
      <c r="AG407">
        <f t="shared" si="51"/>
        <v>1</v>
      </c>
      <c r="AH407">
        <f t="shared" si="52"/>
        <v>0</v>
      </c>
      <c r="AI407">
        <f t="shared" si="53"/>
        <v>1</v>
      </c>
      <c r="AJ407">
        <f t="shared" si="54"/>
        <v>80</v>
      </c>
      <c r="AK407" t="str">
        <f t="shared" si="55"/>
        <v>Medium</v>
      </c>
    </row>
    <row r="408" spans="1:37" x14ac:dyDescent="0.3">
      <c r="A408">
        <v>24</v>
      </c>
      <c r="B408">
        <v>2025</v>
      </c>
      <c r="C408">
        <v>807</v>
      </c>
      <c r="D408">
        <v>46</v>
      </c>
      <c r="E408">
        <v>40</v>
      </c>
      <c r="F408">
        <v>2616.0300000000002</v>
      </c>
      <c r="G408">
        <v>4.9565999999999999E-2</v>
      </c>
      <c r="H408">
        <v>8</v>
      </c>
      <c r="I408">
        <v>25</v>
      </c>
      <c r="J408">
        <v>5</v>
      </c>
      <c r="K408">
        <v>7</v>
      </c>
      <c r="L408">
        <v>1</v>
      </c>
      <c r="M408">
        <v>2</v>
      </c>
      <c r="N408">
        <v>5</v>
      </c>
      <c r="O408">
        <v>3</v>
      </c>
      <c r="P408" t="s">
        <v>85</v>
      </c>
      <c r="Q408" t="str">
        <f>VLOOKUP(A408,Cleaned_Seller_Master!$A:$H,2,FALSE)</f>
        <v>Zen Mart 024</v>
      </c>
      <c r="R408" t="str">
        <f>VLOOKUP(A408,Cleaned_Seller_Master!$A:$H,4,FALSE)</f>
        <v>Electronics</v>
      </c>
      <c r="S408" t="str">
        <f>VLOOKUP(A408,Cleaned_Seller_Master!$A:$H,5,FALSE)</f>
        <v>North</v>
      </c>
      <c r="T408" t="str">
        <f>VLOOKUP(A408,Cleaned_Seller_Master!$A:$H,8,FALSE)</f>
        <v>Verified</v>
      </c>
      <c r="U408" t="str">
        <f>VLOOKUP(A408,Cleaned_Seller_Master!$A:$H,7,FALSE)</f>
        <v>18-02-2018</v>
      </c>
      <c r="V408">
        <f>IFERROR(INDEX(Violation_Summary_Seller_Year!$C:$C,MATCH(AD408,Violation_Summary_Seller_Year!$K:$K,0)),0)</f>
        <v>3</v>
      </c>
      <c r="W408">
        <f>IFERROR(INDEX(Violation_Summary_Seller_Year!$D:$D,MATCH(AD408,Violation_Summary_Seller_Year!$K:$K,0)),0)</f>
        <v>4406.34</v>
      </c>
      <c r="X408">
        <f>IFERROR(INDEX(Violation_Summary_Seller_Year!$E:$E,MATCH(AD408,Violation_Summary_Seller_Year!$K:$K,0)),0)</f>
        <v>1</v>
      </c>
      <c r="Y408">
        <f>IFERROR(INDEX(Violation_Summary_Seller_Year!$F:$F,MATCH(AD408,Violation_Summary_Seller_Year!$K:$K,0)),0)</f>
        <v>2</v>
      </c>
      <c r="Z408">
        <f>IFERROR(INDEX(Violation_Summary_Seller_Year!$G:$G,MATCH(AD408,Violation_Summary_Seller_Year!$K:$K,0)),0)</f>
        <v>1</v>
      </c>
      <c r="AA408">
        <f>IFERROR(INDEX(Violation_Summary_Seller_Year!$H:$H,MATCH(AD408,Violation_Summary_Seller_Year!$K:$K,0)),0)</f>
        <v>1</v>
      </c>
      <c r="AB408">
        <f>IFERROR(INDEX(Violation_Summary_Seller_Year!$I:$I,MATCH(AD408,Violation_Summary_Seller_Year!$K:$K,0)),0)</f>
        <v>1</v>
      </c>
      <c r="AC408">
        <f>IFERROR(INDEX(Violation_Summary_Seller_Year!$J:$J,MATCH(AD408,Violation_Summary_Seller_Year!$K:$K,0)),0)</f>
        <v>18</v>
      </c>
      <c r="AD408" t="str">
        <f t="shared" si="48"/>
        <v>24_2025</v>
      </c>
      <c r="AE408">
        <f t="shared" si="49"/>
        <v>0</v>
      </c>
      <c r="AF408">
        <f t="shared" si="50"/>
        <v>2</v>
      </c>
      <c r="AG408">
        <f t="shared" si="51"/>
        <v>1</v>
      </c>
      <c r="AH408">
        <f t="shared" si="52"/>
        <v>2</v>
      </c>
      <c r="AI408">
        <f t="shared" si="53"/>
        <v>2</v>
      </c>
      <c r="AJ408">
        <f t="shared" si="54"/>
        <v>130</v>
      </c>
      <c r="AK408" t="str">
        <f t="shared" si="55"/>
        <v>High</v>
      </c>
    </row>
    <row r="409" spans="1:37" x14ac:dyDescent="0.3">
      <c r="A409">
        <v>25</v>
      </c>
      <c r="B409">
        <v>2025</v>
      </c>
      <c r="C409">
        <v>600</v>
      </c>
      <c r="D409">
        <v>55</v>
      </c>
      <c r="E409">
        <v>52</v>
      </c>
      <c r="F409">
        <v>2176.15</v>
      </c>
      <c r="G409">
        <v>8.6666999999999994E-2</v>
      </c>
      <c r="H409">
        <v>8</v>
      </c>
      <c r="I409">
        <v>20</v>
      </c>
      <c r="J409">
        <v>9</v>
      </c>
      <c r="K409">
        <v>4</v>
      </c>
      <c r="L409">
        <v>1</v>
      </c>
      <c r="M409">
        <v>4</v>
      </c>
      <c r="N409">
        <v>3</v>
      </c>
      <c r="O409">
        <v>3</v>
      </c>
      <c r="P409" t="s">
        <v>68</v>
      </c>
      <c r="Q409" t="str">
        <f>VLOOKUP(A409,Cleaned_Seller_Master!$A:$H,2,FALSE)</f>
        <v>True House 025</v>
      </c>
      <c r="R409" t="str">
        <f>VLOOKUP(A409,Cleaned_Seller_Master!$A:$H,4,FALSE)</f>
        <v>Beauty</v>
      </c>
      <c r="S409" t="str">
        <f>VLOOKUP(A409,Cleaned_Seller_Master!$A:$H,5,FALSE)</f>
        <v>West</v>
      </c>
      <c r="T409" t="str">
        <f>VLOOKUP(A409,Cleaned_Seller_Master!$A:$H,8,FALSE)</f>
        <v>Strategic</v>
      </c>
      <c r="U409" t="str">
        <f>VLOOKUP(A409,Cleaned_Seller_Master!$A:$H,7,FALSE)</f>
        <v>26-10-2021</v>
      </c>
      <c r="V409">
        <f>IFERROR(INDEX(Violation_Summary_Seller_Year!$C:$C,MATCH(AD409,Violation_Summary_Seller_Year!$K:$K,0)),0)</f>
        <v>4</v>
      </c>
      <c r="W409">
        <f>IFERROR(INDEX(Violation_Summary_Seller_Year!$D:$D,MATCH(AD409,Violation_Summary_Seller_Year!$K:$K,0)),0)</f>
        <v>5888.03</v>
      </c>
      <c r="X409">
        <f>IFERROR(INDEX(Violation_Summary_Seller_Year!$E:$E,MATCH(AD409,Violation_Summary_Seller_Year!$K:$K,0)),0)</f>
        <v>2</v>
      </c>
      <c r="Y409">
        <f>IFERROR(INDEX(Violation_Summary_Seller_Year!$F:$F,MATCH(AD409,Violation_Summary_Seller_Year!$K:$K,0)),0)</f>
        <v>3</v>
      </c>
      <c r="Z409">
        <f>IFERROR(INDEX(Violation_Summary_Seller_Year!$G:$G,MATCH(AD409,Violation_Summary_Seller_Year!$K:$K,0)),0)</f>
        <v>1</v>
      </c>
      <c r="AA409">
        <f>IFERROR(INDEX(Violation_Summary_Seller_Year!$H:$H,MATCH(AD409,Violation_Summary_Seller_Year!$K:$K,0)),0)</f>
        <v>2</v>
      </c>
      <c r="AB409">
        <f>IFERROR(INDEX(Violation_Summary_Seller_Year!$I:$I,MATCH(AD409,Violation_Summary_Seller_Year!$K:$K,0)),0)</f>
        <v>0</v>
      </c>
      <c r="AC409">
        <f>IFERROR(INDEX(Violation_Summary_Seller_Year!$J:$J,MATCH(AD409,Violation_Summary_Seller_Year!$K:$K,0)),0)</f>
        <v>39</v>
      </c>
      <c r="AD409" t="str">
        <f t="shared" si="48"/>
        <v>25_2025</v>
      </c>
      <c r="AE409">
        <f t="shared" si="49"/>
        <v>1</v>
      </c>
      <c r="AF409">
        <f t="shared" si="50"/>
        <v>2</v>
      </c>
      <c r="AG409">
        <f t="shared" si="51"/>
        <v>2</v>
      </c>
      <c r="AH409">
        <f t="shared" si="52"/>
        <v>2</v>
      </c>
      <c r="AI409">
        <f t="shared" si="53"/>
        <v>1</v>
      </c>
      <c r="AJ409">
        <f t="shared" si="54"/>
        <v>165</v>
      </c>
      <c r="AK409" t="str">
        <f t="shared" si="55"/>
        <v>High</v>
      </c>
    </row>
    <row r="410" spans="1:37" x14ac:dyDescent="0.3">
      <c r="A410">
        <v>26</v>
      </c>
      <c r="B410">
        <v>2025</v>
      </c>
      <c r="C410">
        <v>421</v>
      </c>
      <c r="D410">
        <v>36</v>
      </c>
      <c r="E410">
        <v>33</v>
      </c>
      <c r="F410">
        <v>2777.03</v>
      </c>
      <c r="G410">
        <v>7.8384999999999996E-2</v>
      </c>
      <c r="H410">
        <v>10</v>
      </c>
      <c r="I410">
        <v>13</v>
      </c>
      <c r="J410">
        <v>9</v>
      </c>
      <c r="K410">
        <v>6</v>
      </c>
      <c r="L410">
        <v>1</v>
      </c>
      <c r="M410">
        <v>6</v>
      </c>
      <c r="N410">
        <v>4</v>
      </c>
      <c r="O410">
        <v>4</v>
      </c>
      <c r="P410" t="s">
        <v>85</v>
      </c>
      <c r="Q410" t="str">
        <f>VLOOKUP(A410,Cleaned_Seller_Master!$A:$H,2,FALSE)</f>
        <v>Core Traders 026</v>
      </c>
      <c r="R410" t="str">
        <f>VLOOKUP(A410,Cleaned_Seller_Master!$A:$H,4,FALSE)</f>
        <v>Beauty</v>
      </c>
      <c r="S410" t="str">
        <f>VLOOKUP(A410,Cleaned_Seller_Master!$A:$H,5,FALSE)</f>
        <v>East</v>
      </c>
      <c r="T410" t="str">
        <f>VLOOKUP(A410,Cleaned_Seller_Master!$A:$H,8,FALSE)</f>
        <v>Standard</v>
      </c>
      <c r="U410" t="str">
        <f>VLOOKUP(A410,Cleaned_Seller_Master!$A:$H,7,FALSE)</f>
        <v>18-12-2019</v>
      </c>
      <c r="V410">
        <f>IFERROR(INDEX(Violation_Summary_Seller_Year!$C:$C,MATCH(AD410,Violation_Summary_Seller_Year!$K:$K,0)),0)</f>
        <v>6</v>
      </c>
      <c r="W410">
        <f>IFERROR(INDEX(Violation_Summary_Seller_Year!$D:$D,MATCH(AD410,Violation_Summary_Seller_Year!$K:$K,0)),0)</f>
        <v>10674.7</v>
      </c>
      <c r="X410">
        <f>IFERROR(INDEX(Violation_Summary_Seller_Year!$E:$E,MATCH(AD410,Violation_Summary_Seller_Year!$K:$K,0)),0)</f>
        <v>5</v>
      </c>
      <c r="Y410">
        <f>IFERROR(INDEX(Violation_Summary_Seller_Year!$F:$F,MATCH(AD410,Violation_Summary_Seller_Year!$K:$K,0)),0)</f>
        <v>4</v>
      </c>
      <c r="Z410">
        <f>IFERROR(INDEX(Violation_Summary_Seller_Year!$G:$G,MATCH(AD410,Violation_Summary_Seller_Year!$K:$K,0)),0)</f>
        <v>2</v>
      </c>
      <c r="AA410">
        <f>IFERROR(INDEX(Violation_Summary_Seller_Year!$H:$H,MATCH(AD410,Violation_Summary_Seller_Year!$K:$K,0)),0)</f>
        <v>5</v>
      </c>
      <c r="AB410">
        <f>IFERROR(INDEX(Violation_Summary_Seller_Year!$I:$I,MATCH(AD410,Violation_Summary_Seller_Year!$K:$K,0)),0)</f>
        <v>3</v>
      </c>
      <c r="AC410">
        <f>IFERROR(INDEX(Violation_Summary_Seller_Year!$J:$J,MATCH(AD410,Violation_Summary_Seller_Year!$K:$K,0)),0)</f>
        <v>57</v>
      </c>
      <c r="AD410" t="str">
        <f t="shared" si="48"/>
        <v>26_2025</v>
      </c>
      <c r="AE410">
        <f t="shared" si="49"/>
        <v>1</v>
      </c>
      <c r="AF410">
        <f t="shared" si="50"/>
        <v>2</v>
      </c>
      <c r="AG410">
        <f t="shared" si="51"/>
        <v>2</v>
      </c>
      <c r="AH410">
        <f t="shared" si="52"/>
        <v>2</v>
      </c>
      <c r="AI410">
        <f t="shared" si="53"/>
        <v>2</v>
      </c>
      <c r="AJ410">
        <f t="shared" si="54"/>
        <v>175</v>
      </c>
      <c r="AK410" t="str">
        <f t="shared" si="55"/>
        <v>High</v>
      </c>
    </row>
    <row r="411" spans="1:37" x14ac:dyDescent="0.3">
      <c r="A411">
        <v>27</v>
      </c>
      <c r="B411">
        <v>2025</v>
      </c>
      <c r="C411">
        <v>1176</v>
      </c>
      <c r="D411">
        <v>69</v>
      </c>
      <c r="E411">
        <v>52</v>
      </c>
      <c r="F411">
        <v>2680.59</v>
      </c>
      <c r="G411">
        <v>4.4218E-2</v>
      </c>
      <c r="H411">
        <v>30</v>
      </c>
      <c r="I411">
        <v>33</v>
      </c>
      <c r="J411">
        <v>7</v>
      </c>
      <c r="K411">
        <v>13</v>
      </c>
      <c r="L411">
        <v>0</v>
      </c>
      <c r="M411">
        <v>2</v>
      </c>
      <c r="N411">
        <v>6</v>
      </c>
      <c r="O411">
        <v>2</v>
      </c>
      <c r="P411" t="s">
        <v>175</v>
      </c>
      <c r="Q411" t="str">
        <f>VLOOKUP(A411,Cleaned_Seller_Master!$A:$H,2,FALSE)</f>
        <v>Urban Works 027</v>
      </c>
      <c r="R411" t="str">
        <f>VLOOKUP(A411,Cleaned_Seller_Master!$A:$H,4,FALSE)</f>
        <v>Groceries</v>
      </c>
      <c r="S411" t="str">
        <f>VLOOKUP(A411,Cleaned_Seller_Master!$A:$H,5,FALSE)</f>
        <v>West</v>
      </c>
      <c r="T411" t="str">
        <f>VLOOKUP(A411,Cleaned_Seller_Master!$A:$H,8,FALSE)</f>
        <v>Standard</v>
      </c>
      <c r="U411" t="str">
        <f>VLOOKUP(A411,Cleaned_Seller_Master!$A:$H,7,FALSE)</f>
        <v>21-02-2018</v>
      </c>
      <c r="V411">
        <f>IFERROR(INDEX(Violation_Summary_Seller_Year!$C:$C,MATCH(AD411,Violation_Summary_Seller_Year!$K:$K,0)),0)</f>
        <v>2</v>
      </c>
      <c r="W411">
        <f>IFERROR(INDEX(Violation_Summary_Seller_Year!$D:$D,MATCH(AD411,Violation_Summary_Seller_Year!$K:$K,0)),0)</f>
        <v>2195.9300000000003</v>
      </c>
      <c r="X411">
        <f>IFERROR(INDEX(Violation_Summary_Seller_Year!$E:$E,MATCH(AD411,Violation_Summary_Seller_Year!$K:$K,0)),0)</f>
        <v>0</v>
      </c>
      <c r="Y411">
        <f>IFERROR(INDEX(Violation_Summary_Seller_Year!$F:$F,MATCH(AD411,Violation_Summary_Seller_Year!$K:$K,0)),0)</f>
        <v>0</v>
      </c>
      <c r="Z411">
        <f>IFERROR(INDEX(Violation_Summary_Seller_Year!$G:$G,MATCH(AD411,Violation_Summary_Seller_Year!$K:$K,0)),0)</f>
        <v>2</v>
      </c>
      <c r="AA411">
        <f>IFERROR(INDEX(Violation_Summary_Seller_Year!$H:$H,MATCH(AD411,Violation_Summary_Seller_Year!$K:$K,0)),0)</f>
        <v>0</v>
      </c>
      <c r="AB411">
        <f>IFERROR(INDEX(Violation_Summary_Seller_Year!$I:$I,MATCH(AD411,Violation_Summary_Seller_Year!$K:$K,0)),0)</f>
        <v>1</v>
      </c>
      <c r="AC411">
        <f>IFERROR(INDEX(Violation_Summary_Seller_Year!$J:$J,MATCH(AD411,Violation_Summary_Seller_Year!$K:$K,0)),0)</f>
        <v>29</v>
      </c>
      <c r="AD411" t="str">
        <f t="shared" si="48"/>
        <v>27_2025</v>
      </c>
      <c r="AE411">
        <f t="shared" si="49"/>
        <v>0</v>
      </c>
      <c r="AF411">
        <f t="shared" si="50"/>
        <v>2</v>
      </c>
      <c r="AG411">
        <f t="shared" si="51"/>
        <v>1</v>
      </c>
      <c r="AH411">
        <f t="shared" si="52"/>
        <v>0</v>
      </c>
      <c r="AI411">
        <f t="shared" si="53"/>
        <v>1</v>
      </c>
      <c r="AJ411">
        <f t="shared" si="54"/>
        <v>80</v>
      </c>
      <c r="AK411" t="str">
        <f t="shared" si="55"/>
        <v>Medium</v>
      </c>
    </row>
    <row r="412" spans="1:37" x14ac:dyDescent="0.3">
      <c r="A412">
        <v>28</v>
      </c>
      <c r="B412">
        <v>2025</v>
      </c>
      <c r="C412">
        <v>578</v>
      </c>
      <c r="D412">
        <v>44</v>
      </c>
      <c r="E412">
        <v>38</v>
      </c>
      <c r="F412">
        <v>1821.86</v>
      </c>
      <c r="G412">
        <v>6.5743999999999997E-2</v>
      </c>
      <c r="H412">
        <v>16</v>
      </c>
      <c r="I412">
        <v>17</v>
      </c>
      <c r="J412">
        <v>7</v>
      </c>
      <c r="K412">
        <v>7</v>
      </c>
      <c r="L412">
        <v>1</v>
      </c>
      <c r="M412">
        <v>4</v>
      </c>
      <c r="N412">
        <v>6</v>
      </c>
      <c r="O412">
        <v>2</v>
      </c>
      <c r="P412" t="s">
        <v>85</v>
      </c>
      <c r="Q412" t="str">
        <f>VLOOKUP(A412,Cleaned_Seller_Master!$A:$H,2,FALSE)</f>
        <v>Bright Nest 028</v>
      </c>
      <c r="R412" t="str">
        <f>VLOOKUP(A412,Cleaned_Seller_Master!$A:$H,4,FALSE)</f>
        <v>Home</v>
      </c>
      <c r="S412" t="str">
        <f>VLOOKUP(A412,Cleaned_Seller_Master!$A:$H,5,FALSE)</f>
        <v>Southeast Asia</v>
      </c>
      <c r="T412" t="str">
        <f>VLOOKUP(A412,Cleaned_Seller_Master!$A:$H,8,FALSE)</f>
        <v>Premium</v>
      </c>
      <c r="U412" t="str">
        <f>VLOOKUP(A412,Cleaned_Seller_Master!$A:$H,7,FALSE)</f>
        <v>03-02-2017</v>
      </c>
      <c r="V412">
        <f>IFERROR(INDEX(Violation_Summary_Seller_Year!$C:$C,MATCH(AD412,Violation_Summary_Seller_Year!$K:$K,0)),0)</f>
        <v>4</v>
      </c>
      <c r="W412">
        <f>IFERROR(INDEX(Violation_Summary_Seller_Year!$D:$D,MATCH(AD412,Violation_Summary_Seller_Year!$K:$K,0)),0)</f>
        <v>10392.94</v>
      </c>
      <c r="X412">
        <f>IFERROR(INDEX(Violation_Summary_Seller_Year!$E:$E,MATCH(AD412,Violation_Summary_Seller_Year!$K:$K,0)),0)</f>
        <v>1</v>
      </c>
      <c r="Y412">
        <f>IFERROR(INDEX(Violation_Summary_Seller_Year!$F:$F,MATCH(AD412,Violation_Summary_Seller_Year!$K:$K,0)),0)</f>
        <v>3</v>
      </c>
      <c r="Z412">
        <f>IFERROR(INDEX(Violation_Summary_Seller_Year!$G:$G,MATCH(AD412,Violation_Summary_Seller_Year!$K:$K,0)),0)</f>
        <v>1</v>
      </c>
      <c r="AA412">
        <f>IFERROR(INDEX(Violation_Summary_Seller_Year!$H:$H,MATCH(AD412,Violation_Summary_Seller_Year!$K:$K,0)),0)</f>
        <v>3</v>
      </c>
      <c r="AB412">
        <f>IFERROR(INDEX(Violation_Summary_Seller_Year!$I:$I,MATCH(AD412,Violation_Summary_Seller_Year!$K:$K,0)),0)</f>
        <v>1</v>
      </c>
      <c r="AC412">
        <f>IFERROR(INDEX(Violation_Summary_Seller_Year!$J:$J,MATCH(AD412,Violation_Summary_Seller_Year!$K:$K,0)),0)</f>
        <v>39</v>
      </c>
      <c r="AD412" t="str">
        <f t="shared" si="48"/>
        <v>28_2025</v>
      </c>
      <c r="AE412">
        <f t="shared" si="49"/>
        <v>1</v>
      </c>
      <c r="AF412">
        <f t="shared" si="50"/>
        <v>2</v>
      </c>
      <c r="AG412">
        <f t="shared" si="51"/>
        <v>2</v>
      </c>
      <c r="AH412">
        <f t="shared" si="52"/>
        <v>2</v>
      </c>
      <c r="AI412">
        <f t="shared" si="53"/>
        <v>2</v>
      </c>
      <c r="AJ412">
        <f t="shared" si="54"/>
        <v>175</v>
      </c>
      <c r="AK412" t="str">
        <f t="shared" si="55"/>
        <v>High</v>
      </c>
    </row>
    <row r="413" spans="1:37" x14ac:dyDescent="0.3">
      <c r="A413">
        <v>29</v>
      </c>
      <c r="B413">
        <v>2025</v>
      </c>
      <c r="C413">
        <v>1451</v>
      </c>
      <c r="D413">
        <v>84</v>
      </c>
      <c r="E413">
        <v>77</v>
      </c>
      <c r="F413">
        <v>4185.0200000000004</v>
      </c>
      <c r="G413">
        <v>5.3067000000000003E-2</v>
      </c>
      <c r="H413">
        <v>22</v>
      </c>
      <c r="I413">
        <v>31</v>
      </c>
      <c r="J413">
        <v>16</v>
      </c>
      <c r="K413">
        <v>6</v>
      </c>
      <c r="L413">
        <v>0</v>
      </c>
      <c r="M413">
        <v>2</v>
      </c>
      <c r="N413">
        <v>3</v>
      </c>
      <c r="O413">
        <v>6</v>
      </c>
      <c r="P413" t="s">
        <v>68</v>
      </c>
      <c r="Q413" t="str">
        <f>VLOOKUP(A413,Cleaned_Seller_Master!$A:$H,2,FALSE)</f>
        <v>Golden Hub 029</v>
      </c>
      <c r="R413" t="str">
        <f>VLOOKUP(A413,Cleaned_Seller_Master!$A:$H,4,FALSE)</f>
        <v>Home</v>
      </c>
      <c r="S413" t="str">
        <f>VLOOKUP(A413,Cleaned_Seller_Master!$A:$H,5,FALSE)</f>
        <v>South</v>
      </c>
      <c r="T413" t="str">
        <f>VLOOKUP(A413,Cleaned_Seller_Master!$A:$H,8,FALSE)</f>
        <v>Standard</v>
      </c>
      <c r="U413" t="str">
        <f>VLOOKUP(A413,Cleaned_Seller_Master!$A:$H,7,FALSE)</f>
        <v>26-06-2021</v>
      </c>
      <c r="V413">
        <f>IFERROR(INDEX(Violation_Summary_Seller_Year!$C:$C,MATCH(AD413,Violation_Summary_Seller_Year!$K:$K,0)),0)</f>
        <v>3</v>
      </c>
      <c r="W413">
        <f>IFERROR(INDEX(Violation_Summary_Seller_Year!$D:$D,MATCH(AD413,Violation_Summary_Seller_Year!$K:$K,0)),0)</f>
        <v>6231.59</v>
      </c>
      <c r="X413">
        <f>IFERROR(INDEX(Violation_Summary_Seller_Year!$E:$E,MATCH(AD413,Violation_Summary_Seller_Year!$K:$K,0)),0)</f>
        <v>0</v>
      </c>
      <c r="Y413">
        <f>IFERROR(INDEX(Violation_Summary_Seller_Year!$F:$F,MATCH(AD413,Violation_Summary_Seller_Year!$K:$K,0)),0)</f>
        <v>2</v>
      </c>
      <c r="Z413">
        <f>IFERROR(INDEX(Violation_Summary_Seller_Year!$G:$G,MATCH(AD413,Violation_Summary_Seller_Year!$K:$K,0)),0)</f>
        <v>1</v>
      </c>
      <c r="AA413">
        <f>IFERROR(INDEX(Violation_Summary_Seller_Year!$H:$H,MATCH(AD413,Violation_Summary_Seller_Year!$K:$K,0)),0)</f>
        <v>2</v>
      </c>
      <c r="AB413">
        <f>IFERROR(INDEX(Violation_Summary_Seller_Year!$I:$I,MATCH(AD413,Violation_Summary_Seller_Year!$K:$K,0)),0)</f>
        <v>0</v>
      </c>
      <c r="AC413">
        <f>IFERROR(INDEX(Violation_Summary_Seller_Year!$J:$J,MATCH(AD413,Violation_Summary_Seller_Year!$K:$K,0)),0)</f>
        <v>30</v>
      </c>
      <c r="AD413" t="str">
        <f t="shared" si="48"/>
        <v>29_2025</v>
      </c>
      <c r="AE413">
        <f t="shared" si="49"/>
        <v>1</v>
      </c>
      <c r="AF413">
        <f t="shared" si="50"/>
        <v>2</v>
      </c>
      <c r="AG413">
        <f t="shared" si="51"/>
        <v>2</v>
      </c>
      <c r="AH413">
        <f t="shared" si="52"/>
        <v>0</v>
      </c>
      <c r="AI413">
        <f t="shared" si="53"/>
        <v>1</v>
      </c>
      <c r="AJ413">
        <f t="shared" si="54"/>
        <v>125</v>
      </c>
      <c r="AK413" t="str">
        <f t="shared" si="55"/>
        <v>High</v>
      </c>
    </row>
    <row r="414" spans="1:37" x14ac:dyDescent="0.3">
      <c r="A414">
        <v>30</v>
      </c>
      <c r="B414">
        <v>2025</v>
      </c>
      <c r="C414">
        <v>873</v>
      </c>
      <c r="D414">
        <v>47</v>
      </c>
      <c r="E414">
        <v>39</v>
      </c>
      <c r="F414">
        <v>1364.14</v>
      </c>
      <c r="G414">
        <v>4.4673999999999998E-2</v>
      </c>
      <c r="H414">
        <v>5</v>
      </c>
      <c r="I414">
        <v>21</v>
      </c>
      <c r="J414">
        <v>5</v>
      </c>
      <c r="K414">
        <v>3</v>
      </c>
      <c r="L414">
        <v>0</v>
      </c>
      <c r="M414">
        <v>0</v>
      </c>
      <c r="N414">
        <v>1</v>
      </c>
      <c r="O414">
        <v>2</v>
      </c>
      <c r="P414" t="s">
        <v>68</v>
      </c>
      <c r="Q414" t="str">
        <f>VLOOKUP(A414,Cleaned_Seller_Master!$A:$H,2,FALSE)</f>
        <v>Ever Merchants 030</v>
      </c>
      <c r="R414" t="str">
        <f>VLOOKUP(A414,Cleaned_Seller_Master!$A:$H,4,FALSE)</f>
        <v>Groceries</v>
      </c>
      <c r="S414" t="str">
        <f>VLOOKUP(A414,Cleaned_Seller_Master!$A:$H,5,FALSE)</f>
        <v>West</v>
      </c>
      <c r="T414" t="str">
        <f>VLOOKUP(A414,Cleaned_Seller_Master!$A:$H,8,FALSE)</f>
        <v>Premium</v>
      </c>
      <c r="U414" t="str">
        <f>VLOOKUP(A414,Cleaned_Seller_Master!$A:$H,7,FALSE)</f>
        <v>28-04-2019</v>
      </c>
      <c r="V414">
        <f>IFERROR(INDEX(Violation_Summary_Seller_Year!$C:$C,MATCH(AD414,Violation_Summary_Seller_Year!$K:$K,0)),0)</f>
        <v>3</v>
      </c>
      <c r="W414">
        <f>IFERROR(INDEX(Violation_Summary_Seller_Year!$D:$D,MATCH(AD414,Violation_Summary_Seller_Year!$K:$K,0)),0)</f>
        <v>4575.22</v>
      </c>
      <c r="X414">
        <f>IFERROR(INDEX(Violation_Summary_Seller_Year!$E:$E,MATCH(AD414,Violation_Summary_Seller_Year!$K:$K,0)),0)</f>
        <v>0</v>
      </c>
      <c r="Y414">
        <f>IFERROR(INDEX(Violation_Summary_Seller_Year!$F:$F,MATCH(AD414,Violation_Summary_Seller_Year!$K:$K,0)),0)</f>
        <v>3</v>
      </c>
      <c r="Z414">
        <f>IFERROR(INDEX(Violation_Summary_Seller_Year!$G:$G,MATCH(AD414,Violation_Summary_Seller_Year!$K:$K,0)),0)</f>
        <v>0</v>
      </c>
      <c r="AA414">
        <f>IFERROR(INDEX(Violation_Summary_Seller_Year!$H:$H,MATCH(AD414,Violation_Summary_Seller_Year!$K:$K,0)),0)</f>
        <v>2</v>
      </c>
      <c r="AB414">
        <f>IFERROR(INDEX(Violation_Summary_Seller_Year!$I:$I,MATCH(AD414,Violation_Summary_Seller_Year!$K:$K,0)),0)</f>
        <v>1</v>
      </c>
      <c r="AC414">
        <f>IFERROR(INDEX(Violation_Summary_Seller_Year!$J:$J,MATCH(AD414,Violation_Summary_Seller_Year!$K:$K,0)),0)</f>
        <v>22</v>
      </c>
      <c r="AD414" t="str">
        <f t="shared" si="48"/>
        <v>30_2025</v>
      </c>
      <c r="AE414">
        <f t="shared" si="49"/>
        <v>0</v>
      </c>
      <c r="AF414">
        <f t="shared" si="50"/>
        <v>1</v>
      </c>
      <c r="AG414">
        <f t="shared" si="51"/>
        <v>2</v>
      </c>
      <c r="AH414">
        <f t="shared" si="52"/>
        <v>0</v>
      </c>
      <c r="AI414">
        <f t="shared" si="53"/>
        <v>1</v>
      </c>
      <c r="AJ414">
        <f t="shared" si="54"/>
        <v>75</v>
      </c>
      <c r="AK414" t="str">
        <f t="shared" si="55"/>
        <v>Medium</v>
      </c>
    </row>
    <row r="415" spans="1:37" x14ac:dyDescent="0.3">
      <c r="A415">
        <v>32</v>
      </c>
      <c r="B415">
        <v>2025</v>
      </c>
      <c r="C415">
        <v>1778</v>
      </c>
      <c r="D415">
        <v>167</v>
      </c>
      <c r="E415">
        <v>146</v>
      </c>
      <c r="F415">
        <v>14092.19</v>
      </c>
      <c r="G415">
        <v>8.2114999999999994E-2</v>
      </c>
      <c r="H415">
        <v>20</v>
      </c>
      <c r="I415">
        <v>55</v>
      </c>
      <c r="J415">
        <v>30</v>
      </c>
      <c r="K415">
        <v>11</v>
      </c>
      <c r="L415">
        <v>1</v>
      </c>
      <c r="M415">
        <v>4</v>
      </c>
      <c r="N415">
        <v>5</v>
      </c>
      <c r="O415">
        <v>7</v>
      </c>
      <c r="P415" t="s">
        <v>85</v>
      </c>
      <c r="Q415" t="str">
        <f>VLOOKUP(A415,Cleaned_Seller_Master!$A:$H,2,FALSE)</f>
        <v>Pulse Commerce 032</v>
      </c>
      <c r="R415" t="str">
        <f>VLOOKUP(A415,Cleaned_Seller_Master!$A:$H,4,FALSE)</f>
        <v>Beauty</v>
      </c>
      <c r="S415" t="str">
        <f>VLOOKUP(A415,Cleaned_Seller_Master!$A:$H,5,FALSE)</f>
        <v>South</v>
      </c>
      <c r="T415" t="str">
        <f>VLOOKUP(A415,Cleaned_Seller_Master!$A:$H,8,FALSE)</f>
        <v>Verified</v>
      </c>
      <c r="U415" t="str">
        <f>VLOOKUP(A415,Cleaned_Seller_Master!$A:$H,7,FALSE)</f>
        <v>11-07-2020</v>
      </c>
      <c r="V415">
        <f>IFERROR(INDEX(Violation_Summary_Seller_Year!$C:$C,MATCH(AD415,Violation_Summary_Seller_Year!$K:$K,0)),0)</f>
        <v>3</v>
      </c>
      <c r="W415">
        <f>IFERROR(INDEX(Violation_Summary_Seller_Year!$D:$D,MATCH(AD415,Violation_Summary_Seller_Year!$K:$K,0)),0)</f>
        <v>11560.25</v>
      </c>
      <c r="X415">
        <f>IFERROR(INDEX(Violation_Summary_Seller_Year!$E:$E,MATCH(AD415,Violation_Summary_Seller_Year!$K:$K,0)),0)</f>
        <v>2</v>
      </c>
      <c r="Y415">
        <f>IFERROR(INDEX(Violation_Summary_Seller_Year!$F:$F,MATCH(AD415,Violation_Summary_Seller_Year!$K:$K,0)),0)</f>
        <v>2</v>
      </c>
      <c r="Z415">
        <f>IFERROR(INDEX(Violation_Summary_Seller_Year!$G:$G,MATCH(AD415,Violation_Summary_Seller_Year!$K:$K,0)),0)</f>
        <v>1</v>
      </c>
      <c r="AA415">
        <f>IFERROR(INDEX(Violation_Summary_Seller_Year!$H:$H,MATCH(AD415,Violation_Summary_Seller_Year!$K:$K,0)),0)</f>
        <v>3</v>
      </c>
      <c r="AB415">
        <f>IFERROR(INDEX(Violation_Summary_Seller_Year!$I:$I,MATCH(AD415,Violation_Summary_Seller_Year!$K:$K,0)),0)</f>
        <v>1</v>
      </c>
      <c r="AC415">
        <f>IFERROR(INDEX(Violation_Summary_Seller_Year!$J:$J,MATCH(AD415,Violation_Summary_Seller_Year!$K:$K,0)),0)</f>
        <v>23</v>
      </c>
      <c r="AD415" t="str">
        <f t="shared" si="48"/>
        <v>32_2025</v>
      </c>
      <c r="AE415">
        <f t="shared" si="49"/>
        <v>1</v>
      </c>
      <c r="AF415">
        <f t="shared" si="50"/>
        <v>2</v>
      </c>
      <c r="AG415">
        <f t="shared" si="51"/>
        <v>2</v>
      </c>
      <c r="AH415">
        <f t="shared" si="52"/>
        <v>2</v>
      </c>
      <c r="AI415">
        <f t="shared" si="53"/>
        <v>2</v>
      </c>
      <c r="AJ415">
        <f t="shared" si="54"/>
        <v>175</v>
      </c>
      <c r="AK415" t="str">
        <f t="shared" si="55"/>
        <v>High</v>
      </c>
    </row>
    <row r="416" spans="1:37" x14ac:dyDescent="0.3">
      <c r="A416">
        <v>33</v>
      </c>
      <c r="B416">
        <v>2025</v>
      </c>
      <c r="C416">
        <v>1025</v>
      </c>
      <c r="D416">
        <v>101</v>
      </c>
      <c r="E416">
        <v>96</v>
      </c>
      <c r="F416">
        <v>9539.2999999999993</v>
      </c>
      <c r="G416">
        <v>9.3659000000000006E-2</v>
      </c>
      <c r="H416">
        <v>33</v>
      </c>
      <c r="I416">
        <v>39</v>
      </c>
      <c r="J416">
        <v>20</v>
      </c>
      <c r="K416">
        <v>10</v>
      </c>
      <c r="L416">
        <v>1</v>
      </c>
      <c r="M416">
        <v>3</v>
      </c>
      <c r="N416">
        <v>7</v>
      </c>
      <c r="O416">
        <v>6</v>
      </c>
      <c r="P416" t="s">
        <v>85</v>
      </c>
      <c r="Q416" t="str">
        <f>VLOOKUP(A416,Cleaned_Seller_Master!$A:$H,2,FALSE)</f>
        <v>Summit Bazaar 033</v>
      </c>
      <c r="R416" t="str">
        <f>VLOOKUP(A416,Cleaned_Seller_Master!$A:$H,4,FALSE)</f>
        <v>Groceries</v>
      </c>
      <c r="S416" t="str">
        <f>VLOOKUP(A416,Cleaned_Seller_Master!$A:$H,5,FALSE)</f>
        <v>East</v>
      </c>
      <c r="T416" t="str">
        <f>VLOOKUP(A416,Cleaned_Seller_Master!$A:$H,8,FALSE)</f>
        <v>Standard</v>
      </c>
      <c r="U416" t="str">
        <f>VLOOKUP(A416,Cleaned_Seller_Master!$A:$H,7,FALSE)</f>
        <v>06-05-2019</v>
      </c>
      <c r="V416">
        <f>IFERROR(INDEX(Violation_Summary_Seller_Year!$C:$C,MATCH(AD416,Violation_Summary_Seller_Year!$K:$K,0)),0)</f>
        <v>3</v>
      </c>
      <c r="W416">
        <f>IFERROR(INDEX(Violation_Summary_Seller_Year!$D:$D,MATCH(AD416,Violation_Summary_Seller_Year!$K:$K,0)),0)</f>
        <v>3277.78</v>
      </c>
      <c r="X416">
        <f>IFERROR(INDEX(Violation_Summary_Seller_Year!$E:$E,MATCH(AD416,Violation_Summary_Seller_Year!$K:$K,0)),0)</f>
        <v>0</v>
      </c>
      <c r="Y416">
        <f>IFERROR(INDEX(Violation_Summary_Seller_Year!$F:$F,MATCH(AD416,Violation_Summary_Seller_Year!$K:$K,0)),0)</f>
        <v>2</v>
      </c>
      <c r="Z416">
        <f>IFERROR(INDEX(Violation_Summary_Seller_Year!$G:$G,MATCH(AD416,Violation_Summary_Seller_Year!$K:$K,0)),0)</f>
        <v>1</v>
      </c>
      <c r="AA416">
        <f>IFERROR(INDEX(Violation_Summary_Seller_Year!$H:$H,MATCH(AD416,Violation_Summary_Seller_Year!$K:$K,0)),0)</f>
        <v>1</v>
      </c>
      <c r="AB416">
        <f>IFERROR(INDEX(Violation_Summary_Seller_Year!$I:$I,MATCH(AD416,Violation_Summary_Seller_Year!$K:$K,0)),0)</f>
        <v>1</v>
      </c>
      <c r="AC416">
        <f>IFERROR(INDEX(Violation_Summary_Seller_Year!$J:$J,MATCH(AD416,Violation_Summary_Seller_Year!$K:$K,0)),0)</f>
        <v>33</v>
      </c>
      <c r="AD416" t="str">
        <f t="shared" si="48"/>
        <v>33_2025</v>
      </c>
      <c r="AE416">
        <f t="shared" si="49"/>
        <v>1</v>
      </c>
      <c r="AF416">
        <f t="shared" si="50"/>
        <v>2</v>
      </c>
      <c r="AG416">
        <f t="shared" si="51"/>
        <v>1</v>
      </c>
      <c r="AH416">
        <f t="shared" si="52"/>
        <v>2</v>
      </c>
      <c r="AI416">
        <f t="shared" si="53"/>
        <v>2</v>
      </c>
      <c r="AJ416">
        <f t="shared" si="54"/>
        <v>155</v>
      </c>
      <c r="AK416" t="str">
        <f t="shared" si="55"/>
        <v>High</v>
      </c>
    </row>
    <row r="417" spans="1:37" x14ac:dyDescent="0.3">
      <c r="A417">
        <v>34</v>
      </c>
      <c r="B417">
        <v>2025</v>
      </c>
      <c r="C417">
        <v>781</v>
      </c>
      <c r="D417">
        <v>59</v>
      </c>
      <c r="E417">
        <v>45</v>
      </c>
      <c r="F417">
        <v>4386.83</v>
      </c>
      <c r="G417">
        <v>5.7618000000000003E-2</v>
      </c>
      <c r="H417">
        <v>22</v>
      </c>
      <c r="I417">
        <v>28</v>
      </c>
      <c r="J417">
        <v>12</v>
      </c>
      <c r="K417">
        <v>11</v>
      </c>
      <c r="L417">
        <v>1</v>
      </c>
      <c r="M417">
        <v>4</v>
      </c>
      <c r="N417">
        <v>4</v>
      </c>
      <c r="O417">
        <v>3</v>
      </c>
      <c r="P417" t="s">
        <v>85</v>
      </c>
      <c r="Q417" t="str">
        <f>VLOOKUP(A417,Cleaned_Seller_Master!$A:$H,2,FALSE)</f>
        <v>Prime Bridge 034</v>
      </c>
      <c r="R417" t="str">
        <f>VLOOKUP(A417,Cleaned_Seller_Master!$A:$H,4,FALSE)</f>
        <v>Home</v>
      </c>
      <c r="S417" t="str">
        <f>VLOOKUP(A417,Cleaned_Seller_Master!$A:$H,5,FALSE)</f>
        <v>Southeast Asia</v>
      </c>
      <c r="T417" t="str">
        <f>VLOOKUP(A417,Cleaned_Seller_Master!$A:$H,8,FALSE)</f>
        <v>Verified</v>
      </c>
      <c r="U417" t="str">
        <f>VLOOKUP(A417,Cleaned_Seller_Master!$A:$H,7,FALSE)</f>
        <v>19-07-2019</v>
      </c>
      <c r="V417">
        <f>IFERROR(INDEX(Violation_Summary_Seller_Year!$C:$C,MATCH(AD417,Violation_Summary_Seller_Year!$K:$K,0)),0)</f>
        <v>3</v>
      </c>
      <c r="W417">
        <f>IFERROR(INDEX(Violation_Summary_Seller_Year!$D:$D,MATCH(AD417,Violation_Summary_Seller_Year!$K:$K,0)),0)</f>
        <v>10944.59</v>
      </c>
      <c r="X417">
        <f>IFERROR(INDEX(Violation_Summary_Seller_Year!$E:$E,MATCH(AD417,Violation_Summary_Seller_Year!$K:$K,0)),0)</f>
        <v>3</v>
      </c>
      <c r="Y417">
        <f>IFERROR(INDEX(Violation_Summary_Seller_Year!$F:$F,MATCH(AD417,Violation_Summary_Seller_Year!$K:$K,0)),0)</f>
        <v>1</v>
      </c>
      <c r="Z417">
        <f>IFERROR(INDEX(Violation_Summary_Seller_Year!$G:$G,MATCH(AD417,Violation_Summary_Seller_Year!$K:$K,0)),0)</f>
        <v>2</v>
      </c>
      <c r="AA417">
        <f>IFERROR(INDEX(Violation_Summary_Seller_Year!$H:$H,MATCH(AD417,Violation_Summary_Seller_Year!$K:$K,0)),0)</f>
        <v>2</v>
      </c>
      <c r="AB417">
        <f>IFERROR(INDEX(Violation_Summary_Seller_Year!$I:$I,MATCH(AD417,Violation_Summary_Seller_Year!$K:$K,0)),0)</f>
        <v>1</v>
      </c>
      <c r="AC417">
        <f>IFERROR(INDEX(Violation_Summary_Seller_Year!$J:$J,MATCH(AD417,Violation_Summary_Seller_Year!$K:$K,0)),0)</f>
        <v>43</v>
      </c>
      <c r="AD417" t="str">
        <f t="shared" si="48"/>
        <v>34_2025</v>
      </c>
      <c r="AE417">
        <f t="shared" si="49"/>
        <v>1</v>
      </c>
      <c r="AF417">
        <f t="shared" si="50"/>
        <v>2</v>
      </c>
      <c r="AG417">
        <f t="shared" si="51"/>
        <v>2</v>
      </c>
      <c r="AH417">
        <f t="shared" si="52"/>
        <v>2</v>
      </c>
      <c r="AI417">
        <f t="shared" si="53"/>
        <v>2</v>
      </c>
      <c r="AJ417">
        <f t="shared" si="54"/>
        <v>175</v>
      </c>
      <c r="AK417" t="str">
        <f t="shared" si="55"/>
        <v>High</v>
      </c>
    </row>
    <row r="418" spans="1:37" x14ac:dyDescent="0.3">
      <c r="A418">
        <v>35</v>
      </c>
      <c r="B418">
        <v>2025</v>
      </c>
      <c r="C418">
        <v>80</v>
      </c>
      <c r="D418">
        <v>4</v>
      </c>
      <c r="E418">
        <v>3</v>
      </c>
      <c r="F418">
        <v>196.99</v>
      </c>
      <c r="G418">
        <v>3.7499999999999999E-2</v>
      </c>
      <c r="H418">
        <v>6</v>
      </c>
      <c r="I418">
        <v>6</v>
      </c>
      <c r="J418">
        <v>1</v>
      </c>
      <c r="K418">
        <v>4</v>
      </c>
      <c r="L418">
        <v>0</v>
      </c>
      <c r="M418">
        <v>1</v>
      </c>
      <c r="N418">
        <v>2</v>
      </c>
      <c r="O418">
        <v>0</v>
      </c>
      <c r="P418" t="s">
        <v>68</v>
      </c>
      <c r="Q418" t="str">
        <f>VLOOKUP(A418,Cleaned_Seller_Master!$A:$H,2,FALSE)</f>
        <v>Apex Retail 035</v>
      </c>
      <c r="R418" t="str">
        <f>VLOOKUP(A418,Cleaned_Seller_Master!$A:$H,4,FALSE)</f>
        <v>Beauty</v>
      </c>
      <c r="S418" t="str">
        <f>VLOOKUP(A418,Cleaned_Seller_Master!$A:$H,5,FALSE)</f>
        <v>East</v>
      </c>
      <c r="T418" t="str">
        <f>VLOOKUP(A418,Cleaned_Seller_Master!$A:$H,8,FALSE)</f>
        <v>Verified</v>
      </c>
      <c r="U418" t="str">
        <f>VLOOKUP(A418,Cleaned_Seller_Master!$A:$H,7,FALSE)</f>
        <v>11-11-2019</v>
      </c>
      <c r="V418">
        <f>IFERROR(INDEX(Violation_Summary_Seller_Year!$C:$C,MATCH(AD418,Violation_Summary_Seller_Year!$K:$K,0)),0)</f>
        <v>3</v>
      </c>
      <c r="W418">
        <f>IFERROR(INDEX(Violation_Summary_Seller_Year!$D:$D,MATCH(AD418,Violation_Summary_Seller_Year!$K:$K,0)),0)</f>
        <v>7612.12</v>
      </c>
      <c r="X418">
        <f>IFERROR(INDEX(Violation_Summary_Seller_Year!$E:$E,MATCH(AD418,Violation_Summary_Seller_Year!$K:$K,0)),0)</f>
        <v>0</v>
      </c>
      <c r="Y418">
        <f>IFERROR(INDEX(Violation_Summary_Seller_Year!$F:$F,MATCH(AD418,Violation_Summary_Seller_Year!$K:$K,0)),0)</f>
        <v>3</v>
      </c>
      <c r="Z418">
        <f>IFERROR(INDEX(Violation_Summary_Seller_Year!$G:$G,MATCH(AD418,Violation_Summary_Seller_Year!$K:$K,0)),0)</f>
        <v>0</v>
      </c>
      <c r="AA418">
        <f>IFERROR(INDEX(Violation_Summary_Seller_Year!$H:$H,MATCH(AD418,Violation_Summary_Seller_Year!$K:$K,0)),0)</f>
        <v>1</v>
      </c>
      <c r="AB418">
        <f>IFERROR(INDEX(Violation_Summary_Seller_Year!$I:$I,MATCH(AD418,Violation_Summary_Seller_Year!$K:$K,0)),0)</f>
        <v>1</v>
      </c>
      <c r="AC418">
        <f>IFERROR(INDEX(Violation_Summary_Seller_Year!$J:$J,MATCH(AD418,Violation_Summary_Seller_Year!$K:$K,0)),0)</f>
        <v>24</v>
      </c>
      <c r="AD418" t="str">
        <f t="shared" si="48"/>
        <v>35_2025</v>
      </c>
      <c r="AE418">
        <f t="shared" si="49"/>
        <v>0</v>
      </c>
      <c r="AF418">
        <f t="shared" si="50"/>
        <v>1</v>
      </c>
      <c r="AG418">
        <f t="shared" si="51"/>
        <v>1</v>
      </c>
      <c r="AH418">
        <f t="shared" si="52"/>
        <v>0</v>
      </c>
      <c r="AI418">
        <f t="shared" si="53"/>
        <v>1</v>
      </c>
      <c r="AJ418">
        <f t="shared" si="54"/>
        <v>55</v>
      </c>
      <c r="AK418" t="str">
        <f t="shared" si="55"/>
        <v>Low</v>
      </c>
    </row>
    <row r="419" spans="1:37" x14ac:dyDescent="0.3">
      <c r="A419">
        <v>36</v>
      </c>
      <c r="B419">
        <v>2025</v>
      </c>
      <c r="C419">
        <v>1600</v>
      </c>
      <c r="D419">
        <v>107</v>
      </c>
      <c r="E419">
        <v>84</v>
      </c>
      <c r="F419">
        <v>3131.24</v>
      </c>
      <c r="G419">
        <v>5.2499999999999998E-2</v>
      </c>
      <c r="H419">
        <v>19</v>
      </c>
      <c r="I419">
        <v>43</v>
      </c>
      <c r="J419">
        <v>18</v>
      </c>
      <c r="K419">
        <v>7</v>
      </c>
      <c r="L419">
        <v>1</v>
      </c>
      <c r="M419">
        <v>2</v>
      </c>
      <c r="N419">
        <v>3</v>
      </c>
      <c r="O419">
        <v>3</v>
      </c>
      <c r="P419" t="s">
        <v>85</v>
      </c>
      <c r="Q419" t="str">
        <f>VLOOKUP(A419,Cleaned_Seller_Master!$A:$H,2,FALSE)</f>
        <v>Nimbus Market 036</v>
      </c>
      <c r="R419" t="str">
        <f>VLOOKUP(A419,Cleaned_Seller_Master!$A:$H,4,FALSE)</f>
        <v>Fashion</v>
      </c>
      <c r="S419" t="str">
        <f>VLOOKUP(A419,Cleaned_Seller_Master!$A:$H,5,FALSE)</f>
        <v>West</v>
      </c>
      <c r="T419" t="str">
        <f>VLOOKUP(A419,Cleaned_Seller_Master!$A:$H,8,FALSE)</f>
        <v>Strategic</v>
      </c>
      <c r="U419" t="str">
        <f>VLOOKUP(A419,Cleaned_Seller_Master!$A:$H,7,FALSE)</f>
        <v>14-04-2020</v>
      </c>
      <c r="V419">
        <f>IFERROR(INDEX(Violation_Summary_Seller_Year!$C:$C,MATCH(AD419,Violation_Summary_Seller_Year!$K:$K,0)),0)</f>
        <v>2</v>
      </c>
      <c r="W419">
        <f>IFERROR(INDEX(Violation_Summary_Seller_Year!$D:$D,MATCH(AD419,Violation_Summary_Seller_Year!$K:$K,0)),0)</f>
        <v>8360.2900000000009</v>
      </c>
      <c r="X419">
        <f>IFERROR(INDEX(Violation_Summary_Seller_Year!$E:$E,MATCH(AD419,Violation_Summary_Seller_Year!$K:$K,0)),0)</f>
        <v>1</v>
      </c>
      <c r="Y419">
        <f>IFERROR(INDEX(Violation_Summary_Seller_Year!$F:$F,MATCH(AD419,Violation_Summary_Seller_Year!$K:$K,0)),0)</f>
        <v>0</v>
      </c>
      <c r="Z419">
        <f>IFERROR(INDEX(Violation_Summary_Seller_Year!$G:$G,MATCH(AD419,Violation_Summary_Seller_Year!$K:$K,0)),0)</f>
        <v>2</v>
      </c>
      <c r="AA419">
        <f>IFERROR(INDEX(Violation_Summary_Seller_Year!$H:$H,MATCH(AD419,Violation_Summary_Seller_Year!$K:$K,0)),0)</f>
        <v>1</v>
      </c>
      <c r="AB419">
        <f>IFERROR(INDEX(Violation_Summary_Seller_Year!$I:$I,MATCH(AD419,Violation_Summary_Seller_Year!$K:$K,0)),0)</f>
        <v>0</v>
      </c>
      <c r="AC419">
        <f>IFERROR(INDEX(Violation_Summary_Seller_Year!$J:$J,MATCH(AD419,Violation_Summary_Seller_Year!$K:$K,0)),0)</f>
        <v>10</v>
      </c>
      <c r="AD419" t="str">
        <f t="shared" si="48"/>
        <v>36_2025</v>
      </c>
      <c r="AE419">
        <f t="shared" si="49"/>
        <v>1</v>
      </c>
      <c r="AF419">
        <f t="shared" si="50"/>
        <v>2</v>
      </c>
      <c r="AG419">
        <f t="shared" si="51"/>
        <v>1</v>
      </c>
      <c r="AH419">
        <f t="shared" si="52"/>
        <v>2</v>
      </c>
      <c r="AI419">
        <f t="shared" si="53"/>
        <v>2</v>
      </c>
      <c r="AJ419">
        <f t="shared" si="54"/>
        <v>155</v>
      </c>
      <c r="AK419" t="str">
        <f t="shared" si="55"/>
        <v>High</v>
      </c>
    </row>
    <row r="420" spans="1:37" x14ac:dyDescent="0.3">
      <c r="A420">
        <v>37</v>
      </c>
      <c r="B420">
        <v>2025</v>
      </c>
      <c r="C420">
        <v>1439</v>
      </c>
      <c r="D420">
        <v>142</v>
      </c>
      <c r="E420">
        <v>114</v>
      </c>
      <c r="F420">
        <v>10985.61</v>
      </c>
      <c r="G420">
        <v>7.9222000000000001E-2</v>
      </c>
      <c r="H420">
        <v>36</v>
      </c>
      <c r="I420">
        <v>53</v>
      </c>
      <c r="J420">
        <v>22</v>
      </c>
      <c r="K420">
        <v>17</v>
      </c>
      <c r="L420">
        <v>1</v>
      </c>
      <c r="M420">
        <v>7</v>
      </c>
      <c r="N420">
        <v>8</v>
      </c>
      <c r="O420">
        <v>7</v>
      </c>
      <c r="P420" t="s">
        <v>85</v>
      </c>
      <c r="Q420" t="str">
        <f>VLOOKUP(A420,Cleaned_Seller_Master!$A:$H,2,FALSE)</f>
        <v>Metro Point 037</v>
      </c>
      <c r="R420" t="str">
        <f>VLOOKUP(A420,Cleaned_Seller_Master!$A:$H,4,FALSE)</f>
        <v>Electronics</v>
      </c>
      <c r="S420" t="str">
        <f>VLOOKUP(A420,Cleaned_Seller_Master!$A:$H,5,FALSE)</f>
        <v>East</v>
      </c>
      <c r="T420" t="str">
        <f>VLOOKUP(A420,Cleaned_Seller_Master!$A:$H,8,FALSE)</f>
        <v>Standard</v>
      </c>
      <c r="U420" t="str">
        <f>VLOOKUP(A420,Cleaned_Seller_Master!$A:$H,7,FALSE)</f>
        <v>26-07-2021</v>
      </c>
      <c r="V420">
        <f>IFERROR(INDEX(Violation_Summary_Seller_Year!$C:$C,MATCH(AD420,Violation_Summary_Seller_Year!$K:$K,0)),0)</f>
        <v>5</v>
      </c>
      <c r="W420">
        <f>IFERROR(INDEX(Violation_Summary_Seller_Year!$D:$D,MATCH(AD420,Violation_Summary_Seller_Year!$K:$K,0)),0)</f>
        <v>20563.75</v>
      </c>
      <c r="X420">
        <f>IFERROR(INDEX(Violation_Summary_Seller_Year!$E:$E,MATCH(AD420,Violation_Summary_Seller_Year!$K:$K,0)),0)</f>
        <v>3</v>
      </c>
      <c r="Y420">
        <f>IFERROR(INDEX(Violation_Summary_Seller_Year!$F:$F,MATCH(AD420,Violation_Summary_Seller_Year!$K:$K,0)),0)</f>
        <v>2</v>
      </c>
      <c r="Z420">
        <f>IFERROR(INDEX(Violation_Summary_Seller_Year!$G:$G,MATCH(AD420,Violation_Summary_Seller_Year!$K:$K,0)),0)</f>
        <v>3</v>
      </c>
      <c r="AA420">
        <f>IFERROR(INDEX(Violation_Summary_Seller_Year!$H:$H,MATCH(AD420,Violation_Summary_Seller_Year!$K:$K,0)),0)</f>
        <v>5</v>
      </c>
      <c r="AB420">
        <f>IFERROR(INDEX(Violation_Summary_Seller_Year!$I:$I,MATCH(AD420,Violation_Summary_Seller_Year!$K:$K,0)),0)</f>
        <v>2</v>
      </c>
      <c r="AC420">
        <f>IFERROR(INDEX(Violation_Summary_Seller_Year!$J:$J,MATCH(AD420,Violation_Summary_Seller_Year!$K:$K,0)),0)</f>
        <v>77</v>
      </c>
      <c r="AD420" t="str">
        <f t="shared" si="48"/>
        <v>37_2025</v>
      </c>
      <c r="AE420">
        <f t="shared" si="49"/>
        <v>1</v>
      </c>
      <c r="AF420">
        <f t="shared" si="50"/>
        <v>2</v>
      </c>
      <c r="AG420">
        <f t="shared" si="51"/>
        <v>2</v>
      </c>
      <c r="AH420">
        <f t="shared" si="52"/>
        <v>2</v>
      </c>
      <c r="AI420">
        <f t="shared" si="53"/>
        <v>2</v>
      </c>
      <c r="AJ420">
        <f t="shared" si="54"/>
        <v>175</v>
      </c>
      <c r="AK420" t="str">
        <f t="shared" si="55"/>
        <v>High</v>
      </c>
    </row>
    <row r="421" spans="1:37" x14ac:dyDescent="0.3">
      <c r="A421">
        <v>38</v>
      </c>
      <c r="B421">
        <v>2025</v>
      </c>
      <c r="C421">
        <v>1294</v>
      </c>
      <c r="D421">
        <v>88</v>
      </c>
      <c r="E421">
        <v>73</v>
      </c>
      <c r="F421">
        <v>4734.08</v>
      </c>
      <c r="G421">
        <v>5.6413999999999999E-2</v>
      </c>
      <c r="H421">
        <v>19</v>
      </c>
      <c r="I421">
        <v>26</v>
      </c>
      <c r="J421">
        <v>8</v>
      </c>
      <c r="K421">
        <v>5</v>
      </c>
      <c r="L421">
        <v>0</v>
      </c>
      <c r="M421">
        <v>2</v>
      </c>
      <c r="N421">
        <v>2</v>
      </c>
      <c r="O421">
        <v>4</v>
      </c>
      <c r="P421" t="s">
        <v>175</v>
      </c>
      <c r="Q421" t="str">
        <f>VLOOKUP(A421,Cleaned_Seller_Master!$A:$H,2,FALSE)</f>
        <v>Luna Stores 038</v>
      </c>
      <c r="R421" t="str">
        <f>VLOOKUP(A421,Cleaned_Seller_Master!$A:$H,4,FALSE)</f>
        <v>Beauty</v>
      </c>
      <c r="S421" t="str">
        <f>VLOOKUP(A421,Cleaned_Seller_Master!$A:$H,5,FALSE)</f>
        <v>North</v>
      </c>
      <c r="T421" t="str">
        <f>VLOOKUP(A421,Cleaned_Seller_Master!$A:$H,8,FALSE)</f>
        <v>Verified</v>
      </c>
      <c r="U421" t="str">
        <f>VLOOKUP(A421,Cleaned_Seller_Master!$A:$H,7,FALSE)</f>
        <v>27-02-2022</v>
      </c>
      <c r="V421">
        <f>IFERROR(INDEX(Violation_Summary_Seller_Year!$C:$C,MATCH(AD421,Violation_Summary_Seller_Year!$K:$K,0)),0)</f>
        <v>1</v>
      </c>
      <c r="W421">
        <f>IFERROR(INDEX(Violation_Summary_Seller_Year!$D:$D,MATCH(AD421,Violation_Summary_Seller_Year!$K:$K,0)),0)</f>
        <v>540.11</v>
      </c>
      <c r="X421">
        <f>IFERROR(INDEX(Violation_Summary_Seller_Year!$E:$E,MATCH(AD421,Violation_Summary_Seller_Year!$K:$K,0)),0)</f>
        <v>0</v>
      </c>
      <c r="Y421">
        <f>IFERROR(INDEX(Violation_Summary_Seller_Year!$F:$F,MATCH(AD421,Violation_Summary_Seller_Year!$K:$K,0)),0)</f>
        <v>1</v>
      </c>
      <c r="Z421">
        <f>IFERROR(INDEX(Violation_Summary_Seller_Year!$G:$G,MATCH(AD421,Violation_Summary_Seller_Year!$K:$K,0)),0)</f>
        <v>0</v>
      </c>
      <c r="AA421">
        <f>IFERROR(INDEX(Violation_Summary_Seller_Year!$H:$H,MATCH(AD421,Violation_Summary_Seller_Year!$K:$K,0)),0)</f>
        <v>0</v>
      </c>
      <c r="AB421">
        <f>IFERROR(INDEX(Violation_Summary_Seller_Year!$I:$I,MATCH(AD421,Violation_Summary_Seller_Year!$K:$K,0)),0)</f>
        <v>0</v>
      </c>
      <c r="AC421">
        <f>IFERROR(INDEX(Violation_Summary_Seller_Year!$J:$J,MATCH(AD421,Violation_Summary_Seller_Year!$K:$K,0)),0)</f>
        <v>3</v>
      </c>
      <c r="AD421" t="str">
        <f t="shared" si="48"/>
        <v>38_2025</v>
      </c>
      <c r="AE421">
        <f t="shared" si="49"/>
        <v>1</v>
      </c>
      <c r="AF421">
        <f t="shared" si="50"/>
        <v>2</v>
      </c>
      <c r="AG421">
        <f t="shared" si="51"/>
        <v>0</v>
      </c>
      <c r="AH421">
        <f t="shared" si="52"/>
        <v>0</v>
      </c>
      <c r="AI421">
        <f t="shared" si="53"/>
        <v>1</v>
      </c>
      <c r="AJ421">
        <f t="shared" si="54"/>
        <v>85</v>
      </c>
      <c r="AK421" t="str">
        <f t="shared" si="55"/>
        <v>Medium</v>
      </c>
    </row>
    <row r="422" spans="1:37" x14ac:dyDescent="0.3">
      <c r="A422">
        <v>39</v>
      </c>
      <c r="B422">
        <v>2025</v>
      </c>
      <c r="C422">
        <v>1707</v>
      </c>
      <c r="D422">
        <v>165</v>
      </c>
      <c r="E422">
        <v>146</v>
      </c>
      <c r="F422">
        <v>6059.01</v>
      </c>
      <c r="G422">
        <v>8.5529999999999995E-2</v>
      </c>
      <c r="H422">
        <v>28</v>
      </c>
      <c r="I422">
        <v>56</v>
      </c>
      <c r="J422">
        <v>21</v>
      </c>
      <c r="K422">
        <v>17</v>
      </c>
      <c r="L422">
        <v>1</v>
      </c>
      <c r="M422">
        <v>6</v>
      </c>
      <c r="N422">
        <v>9</v>
      </c>
      <c r="O422">
        <v>8</v>
      </c>
      <c r="P422" t="s">
        <v>85</v>
      </c>
      <c r="Q422" t="str">
        <f>VLOOKUP(A422,Cleaned_Seller_Master!$A:$H,2,FALSE)</f>
        <v>Elite Link 039</v>
      </c>
      <c r="R422" t="str">
        <f>VLOOKUP(A422,Cleaned_Seller_Master!$A:$H,4,FALSE)</f>
        <v>Home</v>
      </c>
      <c r="S422" t="str">
        <f>VLOOKUP(A422,Cleaned_Seller_Master!$A:$H,5,FALSE)</f>
        <v>Southeast Asia</v>
      </c>
      <c r="T422" t="str">
        <f>VLOOKUP(A422,Cleaned_Seller_Master!$A:$H,8,FALSE)</f>
        <v>Premium</v>
      </c>
      <c r="U422" t="str">
        <f>VLOOKUP(A422,Cleaned_Seller_Master!$A:$H,7,FALSE)</f>
        <v>21-07-2025</v>
      </c>
      <c r="V422">
        <f>IFERROR(INDEX(Violation_Summary_Seller_Year!$C:$C,MATCH(AD422,Violation_Summary_Seller_Year!$K:$K,0)),0)</f>
        <v>6</v>
      </c>
      <c r="W422">
        <f>IFERROR(INDEX(Violation_Summary_Seller_Year!$D:$D,MATCH(AD422,Violation_Summary_Seller_Year!$K:$K,0)),0)</f>
        <v>23332.300000000003</v>
      </c>
      <c r="X422">
        <f>IFERROR(INDEX(Violation_Summary_Seller_Year!$E:$E,MATCH(AD422,Violation_Summary_Seller_Year!$K:$K,0)),0)</f>
        <v>3</v>
      </c>
      <c r="Y422">
        <f>IFERROR(INDEX(Violation_Summary_Seller_Year!$F:$F,MATCH(AD422,Violation_Summary_Seller_Year!$K:$K,0)),0)</f>
        <v>2</v>
      </c>
      <c r="Z422">
        <f>IFERROR(INDEX(Violation_Summary_Seller_Year!$G:$G,MATCH(AD422,Violation_Summary_Seller_Year!$K:$K,0)),0)</f>
        <v>4</v>
      </c>
      <c r="AA422">
        <f>IFERROR(INDEX(Violation_Summary_Seller_Year!$H:$H,MATCH(AD422,Violation_Summary_Seller_Year!$K:$K,0)),0)</f>
        <v>5</v>
      </c>
      <c r="AB422">
        <f>IFERROR(INDEX(Violation_Summary_Seller_Year!$I:$I,MATCH(AD422,Violation_Summary_Seller_Year!$K:$K,0)),0)</f>
        <v>3</v>
      </c>
      <c r="AC422">
        <f>IFERROR(INDEX(Violation_Summary_Seller_Year!$J:$J,MATCH(AD422,Violation_Summary_Seller_Year!$K:$K,0)),0)</f>
        <v>48</v>
      </c>
      <c r="AD422" t="str">
        <f t="shared" si="48"/>
        <v>39_2025</v>
      </c>
      <c r="AE422">
        <f t="shared" si="49"/>
        <v>1</v>
      </c>
      <c r="AF422">
        <f t="shared" si="50"/>
        <v>2</v>
      </c>
      <c r="AG422">
        <f t="shared" si="51"/>
        <v>2</v>
      </c>
      <c r="AH422">
        <f t="shared" si="52"/>
        <v>2</v>
      </c>
      <c r="AI422">
        <f t="shared" si="53"/>
        <v>2</v>
      </c>
      <c r="AJ422">
        <f t="shared" si="54"/>
        <v>175</v>
      </c>
      <c r="AK422" t="str">
        <f t="shared" si="55"/>
        <v>High</v>
      </c>
    </row>
    <row r="423" spans="1:37" x14ac:dyDescent="0.3">
      <c r="A423">
        <v>40</v>
      </c>
      <c r="B423">
        <v>2025</v>
      </c>
      <c r="C423">
        <v>1175</v>
      </c>
      <c r="D423">
        <v>103</v>
      </c>
      <c r="E423">
        <v>85</v>
      </c>
      <c r="F423">
        <v>8958.89</v>
      </c>
      <c r="G423">
        <v>7.2340000000000002E-2</v>
      </c>
      <c r="H423">
        <v>24</v>
      </c>
      <c r="I423">
        <v>39</v>
      </c>
      <c r="J423">
        <v>21</v>
      </c>
      <c r="K423">
        <v>11</v>
      </c>
      <c r="L423">
        <v>1</v>
      </c>
      <c r="M423">
        <v>4</v>
      </c>
      <c r="N423">
        <v>9</v>
      </c>
      <c r="O423">
        <v>2</v>
      </c>
      <c r="P423" t="s">
        <v>85</v>
      </c>
      <c r="Q423" t="str">
        <f>VLOOKUP(A423,Cleaned_Seller_Master!$A:$H,2,FALSE)</f>
        <v>Nova Cart 040</v>
      </c>
      <c r="R423" t="str">
        <f>VLOOKUP(A423,Cleaned_Seller_Master!$A:$H,4,FALSE)</f>
        <v>Electronics</v>
      </c>
      <c r="S423" t="str">
        <f>VLOOKUP(A423,Cleaned_Seller_Master!$A:$H,5,FALSE)</f>
        <v>West</v>
      </c>
      <c r="T423" t="str">
        <f>VLOOKUP(A423,Cleaned_Seller_Master!$A:$H,8,FALSE)</f>
        <v>Standard</v>
      </c>
      <c r="U423" t="str">
        <f>VLOOKUP(A423,Cleaned_Seller_Master!$A:$H,7,FALSE)</f>
        <v>17-12-2020</v>
      </c>
      <c r="V423">
        <f>IFERROR(INDEX(Violation_Summary_Seller_Year!$C:$C,MATCH(AD423,Violation_Summary_Seller_Year!$K:$K,0)),0)</f>
        <v>3</v>
      </c>
      <c r="W423">
        <f>IFERROR(INDEX(Violation_Summary_Seller_Year!$D:$D,MATCH(AD423,Violation_Summary_Seller_Year!$K:$K,0)),0)</f>
        <v>9537.17</v>
      </c>
      <c r="X423">
        <f>IFERROR(INDEX(Violation_Summary_Seller_Year!$E:$E,MATCH(AD423,Violation_Summary_Seller_Year!$K:$K,0)),0)</f>
        <v>2</v>
      </c>
      <c r="Y423">
        <f>IFERROR(INDEX(Violation_Summary_Seller_Year!$F:$F,MATCH(AD423,Violation_Summary_Seller_Year!$K:$K,0)),0)</f>
        <v>1</v>
      </c>
      <c r="Z423">
        <f>IFERROR(INDEX(Violation_Summary_Seller_Year!$G:$G,MATCH(AD423,Violation_Summary_Seller_Year!$K:$K,0)),0)</f>
        <v>2</v>
      </c>
      <c r="AA423">
        <f>IFERROR(INDEX(Violation_Summary_Seller_Year!$H:$H,MATCH(AD423,Violation_Summary_Seller_Year!$K:$K,0)),0)</f>
        <v>3</v>
      </c>
      <c r="AB423">
        <f>IFERROR(INDEX(Violation_Summary_Seller_Year!$I:$I,MATCH(AD423,Violation_Summary_Seller_Year!$K:$K,0)),0)</f>
        <v>1</v>
      </c>
      <c r="AC423">
        <f>IFERROR(INDEX(Violation_Summary_Seller_Year!$J:$J,MATCH(AD423,Violation_Summary_Seller_Year!$K:$K,0)),0)</f>
        <v>31</v>
      </c>
      <c r="AD423" t="str">
        <f t="shared" si="48"/>
        <v>40_2025</v>
      </c>
      <c r="AE423">
        <f t="shared" si="49"/>
        <v>1</v>
      </c>
      <c r="AF423">
        <f t="shared" si="50"/>
        <v>2</v>
      </c>
      <c r="AG423">
        <f t="shared" si="51"/>
        <v>2</v>
      </c>
      <c r="AH423">
        <f t="shared" si="52"/>
        <v>2</v>
      </c>
      <c r="AI423">
        <f t="shared" si="53"/>
        <v>2</v>
      </c>
      <c r="AJ423">
        <f t="shared" si="54"/>
        <v>175</v>
      </c>
      <c r="AK423" t="str">
        <f t="shared" si="55"/>
        <v>High</v>
      </c>
    </row>
    <row r="424" spans="1:37" x14ac:dyDescent="0.3">
      <c r="A424">
        <v>41</v>
      </c>
      <c r="B424">
        <v>2025</v>
      </c>
      <c r="C424">
        <v>440</v>
      </c>
      <c r="D424">
        <v>49</v>
      </c>
      <c r="E424">
        <v>45</v>
      </c>
      <c r="F424">
        <v>4269.47</v>
      </c>
      <c r="G424">
        <v>0.102273</v>
      </c>
      <c r="H424">
        <v>17</v>
      </c>
      <c r="I424">
        <v>21</v>
      </c>
      <c r="J424">
        <v>11</v>
      </c>
      <c r="K424">
        <v>8</v>
      </c>
      <c r="L424">
        <v>0</v>
      </c>
      <c r="M424">
        <v>1</v>
      </c>
      <c r="N424">
        <v>4</v>
      </c>
      <c r="O424">
        <v>3</v>
      </c>
      <c r="P424" t="s">
        <v>85</v>
      </c>
      <c r="Q424" t="str">
        <f>VLOOKUP(A424,Cleaned_Seller_Master!$A:$H,2,FALSE)</f>
        <v>Swift Goods 041</v>
      </c>
      <c r="R424" t="str">
        <f>VLOOKUP(A424,Cleaned_Seller_Master!$A:$H,4,FALSE)</f>
        <v>Groceries</v>
      </c>
      <c r="S424" t="str">
        <f>VLOOKUP(A424,Cleaned_Seller_Master!$A:$H,5,FALSE)</f>
        <v>Southeast Asia</v>
      </c>
      <c r="T424" t="str">
        <f>VLOOKUP(A424,Cleaned_Seller_Master!$A:$H,8,FALSE)</f>
        <v>Standard</v>
      </c>
      <c r="U424" t="str">
        <f>VLOOKUP(A424,Cleaned_Seller_Master!$A:$H,7,FALSE)</f>
        <v>20-08-2023</v>
      </c>
      <c r="V424">
        <f>IFERROR(INDEX(Violation_Summary_Seller_Year!$C:$C,MATCH(AD424,Violation_Summary_Seller_Year!$K:$K,0)),0)</f>
        <v>4</v>
      </c>
      <c r="W424">
        <f>IFERROR(INDEX(Violation_Summary_Seller_Year!$D:$D,MATCH(AD424,Violation_Summary_Seller_Year!$K:$K,0)),0)</f>
        <v>18451.64</v>
      </c>
      <c r="X424">
        <f>IFERROR(INDEX(Violation_Summary_Seller_Year!$E:$E,MATCH(AD424,Violation_Summary_Seller_Year!$K:$K,0)),0)</f>
        <v>0</v>
      </c>
      <c r="Y424">
        <f>IFERROR(INDEX(Violation_Summary_Seller_Year!$F:$F,MATCH(AD424,Violation_Summary_Seller_Year!$K:$K,0)),0)</f>
        <v>2</v>
      </c>
      <c r="Z424">
        <f>IFERROR(INDEX(Violation_Summary_Seller_Year!$G:$G,MATCH(AD424,Violation_Summary_Seller_Year!$K:$K,0)),0)</f>
        <v>2</v>
      </c>
      <c r="AA424">
        <f>IFERROR(INDEX(Violation_Summary_Seller_Year!$H:$H,MATCH(AD424,Violation_Summary_Seller_Year!$K:$K,0)),0)</f>
        <v>4</v>
      </c>
      <c r="AB424">
        <f>IFERROR(INDEX(Violation_Summary_Seller_Year!$I:$I,MATCH(AD424,Violation_Summary_Seller_Year!$K:$K,0)),0)</f>
        <v>1</v>
      </c>
      <c r="AC424">
        <f>IFERROR(INDEX(Violation_Summary_Seller_Year!$J:$J,MATCH(AD424,Violation_Summary_Seller_Year!$K:$K,0)),0)</f>
        <v>49</v>
      </c>
      <c r="AD424" t="str">
        <f t="shared" si="48"/>
        <v>41_2025</v>
      </c>
      <c r="AE424">
        <f t="shared" si="49"/>
        <v>2</v>
      </c>
      <c r="AF424">
        <f t="shared" si="50"/>
        <v>2</v>
      </c>
      <c r="AG424">
        <f t="shared" si="51"/>
        <v>2</v>
      </c>
      <c r="AH424">
        <f t="shared" si="52"/>
        <v>0</v>
      </c>
      <c r="AI424">
        <f t="shared" si="53"/>
        <v>2</v>
      </c>
      <c r="AJ424">
        <f t="shared" si="54"/>
        <v>160</v>
      </c>
      <c r="AK424" t="str">
        <f t="shared" si="55"/>
        <v>High</v>
      </c>
    </row>
    <row r="425" spans="1:37" x14ac:dyDescent="0.3">
      <c r="A425">
        <v>42</v>
      </c>
      <c r="B425">
        <v>2025</v>
      </c>
      <c r="C425">
        <v>943</v>
      </c>
      <c r="D425">
        <v>61</v>
      </c>
      <c r="E425">
        <v>59</v>
      </c>
      <c r="F425">
        <v>4527.21</v>
      </c>
      <c r="G425">
        <v>6.2565999999999997E-2</v>
      </c>
      <c r="H425">
        <v>9</v>
      </c>
      <c r="I425">
        <v>24</v>
      </c>
      <c r="J425">
        <v>12</v>
      </c>
      <c r="K425">
        <v>7</v>
      </c>
      <c r="L425">
        <v>1</v>
      </c>
      <c r="M425">
        <v>4</v>
      </c>
      <c r="N425">
        <v>5</v>
      </c>
      <c r="O425">
        <v>3</v>
      </c>
      <c r="P425" t="s">
        <v>85</v>
      </c>
      <c r="Q425" t="str">
        <f>VLOOKUP(A425,Cleaned_Seller_Master!$A:$H,2,FALSE)</f>
        <v>Blue Source 042</v>
      </c>
      <c r="R425" t="str">
        <f>VLOOKUP(A425,Cleaned_Seller_Master!$A:$H,4,FALSE)</f>
        <v>Home</v>
      </c>
      <c r="S425" t="str">
        <f>VLOOKUP(A425,Cleaned_Seller_Master!$A:$H,5,FALSE)</f>
        <v>West</v>
      </c>
      <c r="T425" t="str">
        <f>VLOOKUP(A425,Cleaned_Seller_Master!$A:$H,8,FALSE)</f>
        <v>Strategic</v>
      </c>
      <c r="U425" t="str">
        <f>VLOOKUP(A425,Cleaned_Seller_Master!$A:$H,7,FALSE)</f>
        <v>09-11-2020</v>
      </c>
      <c r="V425">
        <f>IFERROR(INDEX(Violation_Summary_Seller_Year!$C:$C,MATCH(AD425,Violation_Summary_Seller_Year!$K:$K,0)),0)</f>
        <v>2</v>
      </c>
      <c r="W425">
        <f>IFERROR(INDEX(Violation_Summary_Seller_Year!$D:$D,MATCH(AD425,Violation_Summary_Seller_Year!$K:$K,0)),0)</f>
        <v>5723.28</v>
      </c>
      <c r="X425">
        <f>IFERROR(INDEX(Violation_Summary_Seller_Year!$E:$E,MATCH(AD425,Violation_Summary_Seller_Year!$K:$K,0)),0)</f>
        <v>2</v>
      </c>
      <c r="Y425">
        <f>IFERROR(INDEX(Violation_Summary_Seller_Year!$F:$F,MATCH(AD425,Violation_Summary_Seller_Year!$K:$K,0)),0)</f>
        <v>1</v>
      </c>
      <c r="Z425">
        <f>IFERROR(INDEX(Violation_Summary_Seller_Year!$G:$G,MATCH(AD425,Violation_Summary_Seller_Year!$K:$K,0)),0)</f>
        <v>1</v>
      </c>
      <c r="AA425">
        <f>IFERROR(INDEX(Violation_Summary_Seller_Year!$H:$H,MATCH(AD425,Violation_Summary_Seller_Year!$K:$K,0)),0)</f>
        <v>2</v>
      </c>
      <c r="AB425">
        <f>IFERROR(INDEX(Violation_Summary_Seller_Year!$I:$I,MATCH(AD425,Violation_Summary_Seller_Year!$K:$K,0)),0)</f>
        <v>2</v>
      </c>
      <c r="AC425">
        <f>IFERROR(INDEX(Violation_Summary_Seller_Year!$J:$J,MATCH(AD425,Violation_Summary_Seller_Year!$K:$K,0)),0)</f>
        <v>22</v>
      </c>
      <c r="AD425" t="str">
        <f t="shared" si="48"/>
        <v>42_2025</v>
      </c>
      <c r="AE425">
        <f t="shared" si="49"/>
        <v>1</v>
      </c>
      <c r="AF425">
        <f t="shared" si="50"/>
        <v>2</v>
      </c>
      <c r="AG425">
        <f t="shared" si="51"/>
        <v>2</v>
      </c>
      <c r="AH425">
        <f t="shared" si="52"/>
        <v>2</v>
      </c>
      <c r="AI425">
        <f t="shared" si="53"/>
        <v>2</v>
      </c>
      <c r="AJ425">
        <f t="shared" si="54"/>
        <v>175</v>
      </c>
      <c r="AK425" t="str">
        <f t="shared" si="55"/>
        <v>High</v>
      </c>
    </row>
    <row r="426" spans="1:37" x14ac:dyDescent="0.3">
      <c r="A426">
        <v>43</v>
      </c>
      <c r="B426">
        <v>2025</v>
      </c>
      <c r="C426">
        <v>1159</v>
      </c>
      <c r="D426">
        <v>81</v>
      </c>
      <c r="E426">
        <v>59</v>
      </c>
      <c r="F426">
        <v>2323.6</v>
      </c>
      <c r="G426">
        <v>5.0906E-2</v>
      </c>
      <c r="H426">
        <v>10</v>
      </c>
      <c r="I426">
        <v>37</v>
      </c>
      <c r="J426">
        <v>14</v>
      </c>
      <c r="K426">
        <v>4</v>
      </c>
      <c r="L426">
        <v>0</v>
      </c>
      <c r="M426">
        <v>1</v>
      </c>
      <c r="N426">
        <v>1</v>
      </c>
      <c r="O426">
        <v>2</v>
      </c>
      <c r="P426" t="s">
        <v>68</v>
      </c>
      <c r="Q426" t="str">
        <f>VLOOKUP(A426,Cleaned_Seller_Master!$A:$H,2,FALSE)</f>
        <v>Vertex Supply 043</v>
      </c>
      <c r="R426" t="str">
        <f>VLOOKUP(A426,Cleaned_Seller_Master!$A:$H,4,FALSE)</f>
        <v>Fashion</v>
      </c>
      <c r="S426" t="str">
        <f>VLOOKUP(A426,Cleaned_Seller_Master!$A:$H,5,FALSE)</f>
        <v>East</v>
      </c>
      <c r="T426" t="str">
        <f>VLOOKUP(A426,Cleaned_Seller_Master!$A:$H,8,FALSE)</f>
        <v>Verified</v>
      </c>
      <c r="U426" t="str">
        <f>VLOOKUP(A426,Cleaned_Seller_Master!$A:$H,7,FALSE)</f>
        <v>05-03-2018</v>
      </c>
      <c r="V426">
        <f>IFERROR(INDEX(Violation_Summary_Seller_Year!$C:$C,MATCH(AD426,Violation_Summary_Seller_Year!$K:$K,0)),0)</f>
        <v>4</v>
      </c>
      <c r="W426">
        <f>IFERROR(INDEX(Violation_Summary_Seller_Year!$D:$D,MATCH(AD426,Violation_Summary_Seller_Year!$K:$K,0)),0)</f>
        <v>7758.47</v>
      </c>
      <c r="X426">
        <f>IFERROR(INDEX(Violation_Summary_Seller_Year!$E:$E,MATCH(AD426,Violation_Summary_Seller_Year!$K:$K,0)),0)</f>
        <v>0</v>
      </c>
      <c r="Y426">
        <f>IFERROR(INDEX(Violation_Summary_Seller_Year!$F:$F,MATCH(AD426,Violation_Summary_Seller_Year!$K:$K,0)),0)</f>
        <v>3</v>
      </c>
      <c r="Z426">
        <f>IFERROR(INDEX(Violation_Summary_Seller_Year!$G:$G,MATCH(AD426,Violation_Summary_Seller_Year!$K:$K,0)),0)</f>
        <v>1</v>
      </c>
      <c r="AA426">
        <f>IFERROR(INDEX(Violation_Summary_Seller_Year!$H:$H,MATCH(AD426,Violation_Summary_Seller_Year!$K:$K,0)),0)</f>
        <v>3</v>
      </c>
      <c r="AB426">
        <f>IFERROR(INDEX(Violation_Summary_Seller_Year!$I:$I,MATCH(AD426,Violation_Summary_Seller_Year!$K:$K,0)),0)</f>
        <v>1</v>
      </c>
      <c r="AC426">
        <f>IFERROR(INDEX(Violation_Summary_Seller_Year!$J:$J,MATCH(AD426,Violation_Summary_Seller_Year!$K:$K,0)),0)</f>
        <v>38</v>
      </c>
      <c r="AD426" t="str">
        <f t="shared" si="48"/>
        <v>43_2025</v>
      </c>
      <c r="AE426">
        <f t="shared" si="49"/>
        <v>1</v>
      </c>
      <c r="AF426">
        <f t="shared" si="50"/>
        <v>2</v>
      </c>
      <c r="AG426">
        <f t="shared" si="51"/>
        <v>2</v>
      </c>
      <c r="AH426">
        <f t="shared" si="52"/>
        <v>0</v>
      </c>
      <c r="AI426">
        <f t="shared" si="53"/>
        <v>1</v>
      </c>
      <c r="AJ426">
        <f t="shared" si="54"/>
        <v>125</v>
      </c>
      <c r="AK426" t="str">
        <f t="shared" si="55"/>
        <v>High</v>
      </c>
    </row>
    <row r="427" spans="1:37" x14ac:dyDescent="0.3">
      <c r="A427">
        <v>44</v>
      </c>
      <c r="B427">
        <v>2025</v>
      </c>
      <c r="C427">
        <v>895</v>
      </c>
      <c r="D427">
        <v>63</v>
      </c>
      <c r="E427">
        <v>46</v>
      </c>
      <c r="F427">
        <v>4349.17</v>
      </c>
      <c r="G427">
        <v>5.1396999999999998E-2</v>
      </c>
      <c r="H427">
        <v>14</v>
      </c>
      <c r="I427">
        <v>30</v>
      </c>
      <c r="J427">
        <v>8</v>
      </c>
      <c r="K427">
        <v>8</v>
      </c>
      <c r="L427">
        <v>0</v>
      </c>
      <c r="M427">
        <v>1</v>
      </c>
      <c r="N427">
        <v>2</v>
      </c>
      <c r="O427">
        <v>2</v>
      </c>
      <c r="P427" t="s">
        <v>68</v>
      </c>
      <c r="Q427" t="str">
        <f>VLOOKUP(A427,Cleaned_Seller_Master!$A:$H,2,FALSE)</f>
        <v>Zen Mart 044</v>
      </c>
      <c r="R427" t="str">
        <f>VLOOKUP(A427,Cleaned_Seller_Master!$A:$H,4,FALSE)</f>
        <v>Home</v>
      </c>
      <c r="S427" t="str">
        <f>VLOOKUP(A427,Cleaned_Seller_Master!$A:$H,5,FALSE)</f>
        <v>North</v>
      </c>
      <c r="T427" t="str">
        <f>VLOOKUP(A427,Cleaned_Seller_Master!$A:$H,8,FALSE)</f>
        <v>Standard</v>
      </c>
      <c r="U427" t="str">
        <f>VLOOKUP(A427,Cleaned_Seller_Master!$A:$H,7,FALSE)</f>
        <v>25-07-2023</v>
      </c>
      <c r="V427">
        <f>IFERROR(INDEX(Violation_Summary_Seller_Year!$C:$C,MATCH(AD427,Violation_Summary_Seller_Year!$K:$K,0)),0)</f>
        <v>5</v>
      </c>
      <c r="W427">
        <f>IFERROR(INDEX(Violation_Summary_Seller_Year!$D:$D,MATCH(AD427,Violation_Summary_Seller_Year!$K:$K,0)),0)</f>
        <v>11946.36</v>
      </c>
      <c r="X427">
        <f>IFERROR(INDEX(Violation_Summary_Seller_Year!$E:$E,MATCH(AD427,Violation_Summary_Seller_Year!$K:$K,0)),0)</f>
        <v>0</v>
      </c>
      <c r="Y427">
        <f>IFERROR(INDEX(Violation_Summary_Seller_Year!$F:$F,MATCH(AD427,Violation_Summary_Seller_Year!$K:$K,0)),0)</f>
        <v>4</v>
      </c>
      <c r="Z427">
        <f>IFERROR(INDEX(Violation_Summary_Seller_Year!$G:$G,MATCH(AD427,Violation_Summary_Seller_Year!$K:$K,0)),0)</f>
        <v>1</v>
      </c>
      <c r="AA427">
        <f>IFERROR(INDEX(Violation_Summary_Seller_Year!$H:$H,MATCH(AD427,Violation_Summary_Seller_Year!$K:$K,0)),0)</f>
        <v>2</v>
      </c>
      <c r="AB427">
        <f>IFERROR(INDEX(Violation_Summary_Seller_Year!$I:$I,MATCH(AD427,Violation_Summary_Seller_Year!$K:$K,0)),0)</f>
        <v>0</v>
      </c>
      <c r="AC427">
        <f>IFERROR(INDEX(Violation_Summary_Seller_Year!$J:$J,MATCH(AD427,Violation_Summary_Seller_Year!$K:$K,0)),0)</f>
        <v>38</v>
      </c>
      <c r="AD427" t="str">
        <f t="shared" si="48"/>
        <v>44_2025</v>
      </c>
      <c r="AE427">
        <f t="shared" si="49"/>
        <v>1</v>
      </c>
      <c r="AF427">
        <f t="shared" si="50"/>
        <v>2</v>
      </c>
      <c r="AG427">
        <f t="shared" si="51"/>
        <v>2</v>
      </c>
      <c r="AH427">
        <f t="shared" si="52"/>
        <v>0</v>
      </c>
      <c r="AI427">
        <f t="shared" si="53"/>
        <v>1</v>
      </c>
      <c r="AJ427">
        <f t="shared" si="54"/>
        <v>125</v>
      </c>
      <c r="AK427" t="str">
        <f t="shared" si="55"/>
        <v>High</v>
      </c>
    </row>
    <row r="428" spans="1:37" x14ac:dyDescent="0.3">
      <c r="A428">
        <v>45</v>
      </c>
      <c r="B428">
        <v>2025</v>
      </c>
      <c r="C428">
        <v>677</v>
      </c>
      <c r="D428">
        <v>28</v>
      </c>
      <c r="E428">
        <v>25</v>
      </c>
      <c r="F428">
        <v>877.02</v>
      </c>
      <c r="G428">
        <v>3.6928000000000002E-2</v>
      </c>
      <c r="H428">
        <v>5</v>
      </c>
      <c r="I428">
        <v>11</v>
      </c>
      <c r="J428">
        <v>5</v>
      </c>
      <c r="K428">
        <v>2</v>
      </c>
      <c r="L428">
        <v>1</v>
      </c>
      <c r="M428">
        <v>2</v>
      </c>
      <c r="N428">
        <v>2</v>
      </c>
      <c r="O428">
        <v>1</v>
      </c>
      <c r="P428" t="s">
        <v>175</v>
      </c>
      <c r="Q428" t="str">
        <f>VLOOKUP(A428,Cleaned_Seller_Master!$A:$H,2,FALSE)</f>
        <v>True House 045</v>
      </c>
      <c r="R428" t="str">
        <f>VLOOKUP(A428,Cleaned_Seller_Master!$A:$H,4,FALSE)</f>
        <v>Fashion</v>
      </c>
      <c r="S428" t="str">
        <f>VLOOKUP(A428,Cleaned_Seller_Master!$A:$H,5,FALSE)</f>
        <v>East</v>
      </c>
      <c r="T428" t="str">
        <f>VLOOKUP(A428,Cleaned_Seller_Master!$A:$H,8,FALSE)</f>
        <v>Premium</v>
      </c>
      <c r="U428" t="str">
        <f>VLOOKUP(A428,Cleaned_Seller_Master!$A:$H,7,FALSE)</f>
        <v>24-09-2023</v>
      </c>
      <c r="V428">
        <f>IFERROR(INDEX(Violation_Summary_Seller_Year!$C:$C,MATCH(AD428,Violation_Summary_Seller_Year!$K:$K,0)),0)</f>
        <v>2</v>
      </c>
      <c r="W428">
        <f>IFERROR(INDEX(Violation_Summary_Seller_Year!$D:$D,MATCH(AD428,Violation_Summary_Seller_Year!$K:$K,0)),0)</f>
        <v>1540.4299999999998</v>
      </c>
      <c r="X428">
        <f>IFERROR(INDEX(Violation_Summary_Seller_Year!$E:$E,MATCH(AD428,Violation_Summary_Seller_Year!$K:$K,0)),0)</f>
        <v>2</v>
      </c>
      <c r="Y428">
        <f>IFERROR(INDEX(Violation_Summary_Seller_Year!$F:$F,MATCH(AD428,Violation_Summary_Seller_Year!$K:$K,0)),0)</f>
        <v>0</v>
      </c>
      <c r="Z428">
        <f>IFERROR(INDEX(Violation_Summary_Seller_Year!$G:$G,MATCH(AD428,Violation_Summary_Seller_Year!$K:$K,0)),0)</f>
        <v>2</v>
      </c>
      <c r="AA428">
        <f>IFERROR(INDEX(Violation_Summary_Seller_Year!$H:$H,MATCH(AD428,Violation_Summary_Seller_Year!$K:$K,0)),0)</f>
        <v>0</v>
      </c>
      <c r="AB428">
        <f>IFERROR(INDEX(Violation_Summary_Seller_Year!$I:$I,MATCH(AD428,Violation_Summary_Seller_Year!$K:$K,0)),0)</f>
        <v>2</v>
      </c>
      <c r="AC428">
        <f>IFERROR(INDEX(Violation_Summary_Seller_Year!$J:$J,MATCH(AD428,Violation_Summary_Seller_Year!$K:$K,0)),0)</f>
        <v>11</v>
      </c>
      <c r="AD428" t="str">
        <f t="shared" si="48"/>
        <v>45_2025</v>
      </c>
      <c r="AE428">
        <f t="shared" si="49"/>
        <v>0</v>
      </c>
      <c r="AF428">
        <f t="shared" si="50"/>
        <v>1</v>
      </c>
      <c r="AG428">
        <f t="shared" si="51"/>
        <v>1</v>
      </c>
      <c r="AH428">
        <f t="shared" si="52"/>
        <v>2</v>
      </c>
      <c r="AI428">
        <f t="shared" si="53"/>
        <v>1</v>
      </c>
      <c r="AJ428">
        <f t="shared" si="54"/>
        <v>95</v>
      </c>
      <c r="AK428" t="str">
        <f t="shared" si="55"/>
        <v>Medium</v>
      </c>
    </row>
    <row r="429" spans="1:37" x14ac:dyDescent="0.3">
      <c r="A429">
        <v>46</v>
      </c>
      <c r="B429">
        <v>2025</v>
      </c>
      <c r="C429">
        <v>707</v>
      </c>
      <c r="D429">
        <v>66</v>
      </c>
      <c r="E429">
        <v>49</v>
      </c>
      <c r="F429">
        <v>2997.07</v>
      </c>
      <c r="G429">
        <v>6.9306999999999994E-2</v>
      </c>
      <c r="H429">
        <v>19</v>
      </c>
      <c r="I429">
        <v>26</v>
      </c>
      <c r="J429">
        <v>11</v>
      </c>
      <c r="K429">
        <v>8</v>
      </c>
      <c r="L429">
        <v>1</v>
      </c>
      <c r="M429">
        <v>5</v>
      </c>
      <c r="N429">
        <v>7</v>
      </c>
      <c r="O429">
        <v>3</v>
      </c>
      <c r="P429" t="s">
        <v>85</v>
      </c>
      <c r="Q429" t="str">
        <f>VLOOKUP(A429,Cleaned_Seller_Master!$A:$H,2,FALSE)</f>
        <v>Core Traders 046</v>
      </c>
      <c r="R429" t="str">
        <f>VLOOKUP(A429,Cleaned_Seller_Master!$A:$H,4,FALSE)</f>
        <v>Home</v>
      </c>
      <c r="S429" t="str">
        <f>VLOOKUP(A429,Cleaned_Seller_Master!$A:$H,5,FALSE)</f>
        <v>East</v>
      </c>
      <c r="T429" t="str">
        <f>VLOOKUP(A429,Cleaned_Seller_Master!$A:$H,8,FALSE)</f>
        <v>Verified</v>
      </c>
      <c r="U429" t="str">
        <f>VLOOKUP(A429,Cleaned_Seller_Master!$A:$H,7,FALSE)</f>
        <v>05-08-2020</v>
      </c>
      <c r="V429">
        <f>IFERROR(INDEX(Violation_Summary_Seller_Year!$C:$C,MATCH(AD429,Violation_Summary_Seller_Year!$K:$K,0)),0)</f>
        <v>5</v>
      </c>
      <c r="W429">
        <f>IFERROR(INDEX(Violation_Summary_Seller_Year!$D:$D,MATCH(AD429,Violation_Summary_Seller_Year!$K:$K,0)),0)</f>
        <v>11482.630000000001</v>
      </c>
      <c r="X429">
        <f>IFERROR(INDEX(Violation_Summary_Seller_Year!$E:$E,MATCH(AD429,Violation_Summary_Seller_Year!$K:$K,0)),0)</f>
        <v>3</v>
      </c>
      <c r="Y429">
        <f>IFERROR(INDEX(Violation_Summary_Seller_Year!$F:$F,MATCH(AD429,Violation_Summary_Seller_Year!$K:$K,0)),0)</f>
        <v>1</v>
      </c>
      <c r="Z429">
        <f>IFERROR(INDEX(Violation_Summary_Seller_Year!$G:$G,MATCH(AD429,Violation_Summary_Seller_Year!$K:$K,0)),0)</f>
        <v>4</v>
      </c>
      <c r="AA429">
        <f>IFERROR(INDEX(Violation_Summary_Seller_Year!$H:$H,MATCH(AD429,Violation_Summary_Seller_Year!$K:$K,0)),0)</f>
        <v>4</v>
      </c>
      <c r="AB429">
        <f>IFERROR(INDEX(Violation_Summary_Seller_Year!$I:$I,MATCH(AD429,Violation_Summary_Seller_Year!$K:$K,0)),0)</f>
        <v>5</v>
      </c>
      <c r="AC429">
        <f>IFERROR(INDEX(Violation_Summary_Seller_Year!$J:$J,MATCH(AD429,Violation_Summary_Seller_Year!$K:$K,0)),0)</f>
        <v>54</v>
      </c>
      <c r="AD429" t="str">
        <f t="shared" si="48"/>
        <v>46_2025</v>
      </c>
      <c r="AE429">
        <f t="shared" si="49"/>
        <v>1</v>
      </c>
      <c r="AF429">
        <f t="shared" si="50"/>
        <v>2</v>
      </c>
      <c r="AG429">
        <f t="shared" si="51"/>
        <v>2</v>
      </c>
      <c r="AH429">
        <f t="shared" si="52"/>
        <v>2</v>
      </c>
      <c r="AI429">
        <f t="shared" si="53"/>
        <v>2</v>
      </c>
      <c r="AJ429">
        <f t="shared" si="54"/>
        <v>175</v>
      </c>
      <c r="AK429" t="str">
        <f t="shared" si="55"/>
        <v>High</v>
      </c>
    </row>
    <row r="430" spans="1:37" x14ac:dyDescent="0.3">
      <c r="A430">
        <v>47</v>
      </c>
      <c r="B430">
        <v>2025</v>
      </c>
      <c r="C430">
        <v>877</v>
      </c>
      <c r="D430">
        <v>68</v>
      </c>
      <c r="E430">
        <v>61</v>
      </c>
      <c r="F430">
        <v>2671.06</v>
      </c>
      <c r="G430">
        <v>6.9555000000000006E-2</v>
      </c>
      <c r="H430">
        <v>17</v>
      </c>
      <c r="I430">
        <v>31</v>
      </c>
      <c r="J430">
        <v>13</v>
      </c>
      <c r="K430">
        <v>5</v>
      </c>
      <c r="L430">
        <v>1</v>
      </c>
      <c r="M430">
        <v>3</v>
      </c>
      <c r="N430">
        <v>4</v>
      </c>
      <c r="O430">
        <v>3</v>
      </c>
      <c r="P430" t="s">
        <v>85</v>
      </c>
      <c r="Q430" t="str">
        <f>VLOOKUP(A430,Cleaned_Seller_Master!$A:$H,2,FALSE)</f>
        <v>Urban Works 047</v>
      </c>
      <c r="R430" t="str">
        <f>VLOOKUP(A430,Cleaned_Seller_Master!$A:$H,4,FALSE)</f>
        <v>Home</v>
      </c>
      <c r="S430" t="str">
        <f>VLOOKUP(A430,Cleaned_Seller_Master!$A:$H,5,FALSE)</f>
        <v>South</v>
      </c>
      <c r="T430" t="str">
        <f>VLOOKUP(A430,Cleaned_Seller_Master!$A:$H,8,FALSE)</f>
        <v>Verified</v>
      </c>
      <c r="U430" t="str">
        <f>VLOOKUP(A430,Cleaned_Seller_Master!$A:$H,7,FALSE)</f>
        <v>09-01-2020</v>
      </c>
      <c r="V430">
        <f>IFERROR(INDEX(Violation_Summary_Seller_Year!$C:$C,MATCH(AD430,Violation_Summary_Seller_Year!$K:$K,0)),0)</f>
        <v>3</v>
      </c>
      <c r="W430">
        <f>IFERROR(INDEX(Violation_Summary_Seller_Year!$D:$D,MATCH(AD430,Violation_Summary_Seller_Year!$K:$K,0)),0)</f>
        <v>10348.119999999999</v>
      </c>
      <c r="X430">
        <f>IFERROR(INDEX(Violation_Summary_Seller_Year!$E:$E,MATCH(AD430,Violation_Summary_Seller_Year!$K:$K,0)),0)</f>
        <v>0</v>
      </c>
      <c r="Y430">
        <f>IFERROR(INDEX(Violation_Summary_Seller_Year!$F:$F,MATCH(AD430,Violation_Summary_Seller_Year!$K:$K,0)),0)</f>
        <v>1</v>
      </c>
      <c r="Z430">
        <f>IFERROR(INDEX(Violation_Summary_Seller_Year!$G:$G,MATCH(AD430,Violation_Summary_Seller_Year!$K:$K,0)),0)</f>
        <v>2</v>
      </c>
      <c r="AA430">
        <f>IFERROR(INDEX(Violation_Summary_Seller_Year!$H:$H,MATCH(AD430,Violation_Summary_Seller_Year!$K:$K,0)),0)</f>
        <v>2</v>
      </c>
      <c r="AB430">
        <f>IFERROR(INDEX(Violation_Summary_Seller_Year!$I:$I,MATCH(AD430,Violation_Summary_Seller_Year!$K:$K,0)),0)</f>
        <v>1</v>
      </c>
      <c r="AC430">
        <f>IFERROR(INDEX(Violation_Summary_Seller_Year!$J:$J,MATCH(AD430,Violation_Summary_Seller_Year!$K:$K,0)),0)</f>
        <v>25</v>
      </c>
      <c r="AD430" t="str">
        <f t="shared" si="48"/>
        <v>47_2025</v>
      </c>
      <c r="AE430">
        <f t="shared" si="49"/>
        <v>1</v>
      </c>
      <c r="AF430">
        <f t="shared" si="50"/>
        <v>2</v>
      </c>
      <c r="AG430">
        <f t="shared" si="51"/>
        <v>2</v>
      </c>
      <c r="AH430">
        <f t="shared" si="52"/>
        <v>2</v>
      </c>
      <c r="AI430">
        <f t="shared" si="53"/>
        <v>2</v>
      </c>
      <c r="AJ430">
        <f t="shared" si="54"/>
        <v>175</v>
      </c>
      <c r="AK430" t="str">
        <f t="shared" si="55"/>
        <v>High</v>
      </c>
    </row>
    <row r="431" spans="1:37" x14ac:dyDescent="0.3">
      <c r="A431">
        <v>48</v>
      </c>
      <c r="B431">
        <v>2025</v>
      </c>
      <c r="C431">
        <v>1408</v>
      </c>
      <c r="D431">
        <v>105</v>
      </c>
      <c r="E431">
        <v>83</v>
      </c>
      <c r="F431">
        <v>5370.77</v>
      </c>
      <c r="G431">
        <v>5.8949000000000001E-2</v>
      </c>
      <c r="H431">
        <v>11</v>
      </c>
      <c r="I431">
        <v>37</v>
      </c>
      <c r="J431">
        <v>14</v>
      </c>
      <c r="K431">
        <v>5</v>
      </c>
      <c r="L431">
        <v>1</v>
      </c>
      <c r="M431">
        <v>4</v>
      </c>
      <c r="N431">
        <v>4</v>
      </c>
      <c r="O431">
        <v>6</v>
      </c>
      <c r="P431" t="s">
        <v>85</v>
      </c>
      <c r="Q431" t="str">
        <f>VLOOKUP(A431,Cleaned_Seller_Master!$A:$H,2,FALSE)</f>
        <v>Bright Nest 048</v>
      </c>
      <c r="R431" t="str">
        <f>VLOOKUP(A431,Cleaned_Seller_Master!$A:$H,4,FALSE)</f>
        <v>Home</v>
      </c>
      <c r="S431" t="str">
        <f>VLOOKUP(A431,Cleaned_Seller_Master!$A:$H,5,FALSE)</f>
        <v>East</v>
      </c>
      <c r="T431" t="str">
        <f>VLOOKUP(A431,Cleaned_Seller_Master!$A:$H,8,FALSE)</f>
        <v>Premium</v>
      </c>
      <c r="U431" t="str">
        <f>VLOOKUP(A431,Cleaned_Seller_Master!$A:$H,7,FALSE)</f>
        <v>24-01-2025</v>
      </c>
      <c r="V431">
        <f>IFERROR(INDEX(Violation_Summary_Seller_Year!$C:$C,MATCH(AD431,Violation_Summary_Seller_Year!$K:$K,0)),0)</f>
        <v>4</v>
      </c>
      <c r="W431">
        <f>IFERROR(INDEX(Violation_Summary_Seller_Year!$D:$D,MATCH(AD431,Violation_Summary_Seller_Year!$K:$K,0)),0)</f>
        <v>11557.869999999999</v>
      </c>
      <c r="X431">
        <f>IFERROR(INDEX(Violation_Summary_Seller_Year!$E:$E,MATCH(AD431,Violation_Summary_Seller_Year!$K:$K,0)),0)</f>
        <v>1</v>
      </c>
      <c r="Y431">
        <f>IFERROR(INDEX(Violation_Summary_Seller_Year!$F:$F,MATCH(AD431,Violation_Summary_Seller_Year!$K:$K,0)),0)</f>
        <v>2</v>
      </c>
      <c r="Z431">
        <f>IFERROR(INDEX(Violation_Summary_Seller_Year!$G:$G,MATCH(AD431,Violation_Summary_Seller_Year!$K:$K,0)),0)</f>
        <v>2</v>
      </c>
      <c r="AA431">
        <f>IFERROR(INDEX(Violation_Summary_Seller_Year!$H:$H,MATCH(AD431,Violation_Summary_Seller_Year!$K:$K,0)),0)</f>
        <v>3</v>
      </c>
      <c r="AB431">
        <f>IFERROR(INDEX(Violation_Summary_Seller_Year!$I:$I,MATCH(AD431,Violation_Summary_Seller_Year!$K:$K,0)),0)</f>
        <v>1</v>
      </c>
      <c r="AC431">
        <f>IFERROR(INDEX(Violation_Summary_Seller_Year!$J:$J,MATCH(AD431,Violation_Summary_Seller_Year!$K:$K,0)),0)</f>
        <v>34</v>
      </c>
      <c r="AD431" t="str">
        <f t="shared" si="48"/>
        <v>48_2025</v>
      </c>
      <c r="AE431">
        <f t="shared" si="49"/>
        <v>1</v>
      </c>
      <c r="AF431">
        <f t="shared" si="50"/>
        <v>2</v>
      </c>
      <c r="AG431">
        <f t="shared" si="51"/>
        <v>2</v>
      </c>
      <c r="AH431">
        <f t="shared" si="52"/>
        <v>2</v>
      </c>
      <c r="AI431">
        <f t="shared" si="53"/>
        <v>2</v>
      </c>
      <c r="AJ431">
        <f t="shared" si="54"/>
        <v>175</v>
      </c>
      <c r="AK431" t="str">
        <f t="shared" si="55"/>
        <v>High</v>
      </c>
    </row>
    <row r="432" spans="1:37" x14ac:dyDescent="0.3">
      <c r="A432">
        <v>49</v>
      </c>
      <c r="B432">
        <v>2025</v>
      </c>
      <c r="C432">
        <v>215</v>
      </c>
      <c r="D432">
        <v>20</v>
      </c>
      <c r="E432">
        <v>16</v>
      </c>
      <c r="F432">
        <v>1791.04</v>
      </c>
      <c r="G432">
        <v>7.4418999999999999E-2</v>
      </c>
      <c r="H432">
        <v>13</v>
      </c>
      <c r="I432">
        <v>13</v>
      </c>
      <c r="J432">
        <v>6</v>
      </c>
      <c r="K432">
        <v>6</v>
      </c>
      <c r="L432">
        <v>1</v>
      </c>
      <c r="M432">
        <v>3</v>
      </c>
      <c r="N432">
        <v>4</v>
      </c>
      <c r="O432">
        <v>1</v>
      </c>
      <c r="P432" t="s">
        <v>85</v>
      </c>
      <c r="Q432" t="str">
        <f>VLOOKUP(A432,Cleaned_Seller_Master!$A:$H,2,FALSE)</f>
        <v>Golden Hub 049</v>
      </c>
      <c r="R432" t="str">
        <f>VLOOKUP(A432,Cleaned_Seller_Master!$A:$H,4,FALSE)</f>
        <v>Electronics</v>
      </c>
      <c r="S432" t="str">
        <f>VLOOKUP(A432,Cleaned_Seller_Master!$A:$H,5,FALSE)</f>
        <v>South</v>
      </c>
      <c r="T432" t="str">
        <f>VLOOKUP(A432,Cleaned_Seller_Master!$A:$H,8,FALSE)</f>
        <v>Verified</v>
      </c>
      <c r="U432" t="str">
        <f>VLOOKUP(A432,Cleaned_Seller_Master!$A:$H,7,FALSE)</f>
        <v>05-10-2018</v>
      </c>
      <c r="V432">
        <f>IFERROR(INDEX(Violation_Summary_Seller_Year!$C:$C,MATCH(AD432,Violation_Summary_Seller_Year!$K:$K,0)),0)</f>
        <v>3</v>
      </c>
      <c r="W432">
        <f>IFERROR(INDEX(Violation_Summary_Seller_Year!$D:$D,MATCH(AD432,Violation_Summary_Seller_Year!$K:$K,0)),0)</f>
        <v>8387.9699999999993</v>
      </c>
      <c r="X432">
        <f>IFERROR(INDEX(Violation_Summary_Seller_Year!$E:$E,MATCH(AD432,Violation_Summary_Seller_Year!$K:$K,0)),0)</f>
        <v>2</v>
      </c>
      <c r="Y432">
        <f>IFERROR(INDEX(Violation_Summary_Seller_Year!$F:$F,MATCH(AD432,Violation_Summary_Seller_Year!$K:$K,0)),0)</f>
        <v>3</v>
      </c>
      <c r="Z432">
        <f>IFERROR(INDEX(Violation_Summary_Seller_Year!$G:$G,MATCH(AD432,Violation_Summary_Seller_Year!$K:$K,0)),0)</f>
        <v>0</v>
      </c>
      <c r="AA432">
        <f>IFERROR(INDEX(Violation_Summary_Seller_Year!$H:$H,MATCH(AD432,Violation_Summary_Seller_Year!$K:$K,0)),0)</f>
        <v>2</v>
      </c>
      <c r="AB432">
        <f>IFERROR(INDEX(Violation_Summary_Seller_Year!$I:$I,MATCH(AD432,Violation_Summary_Seller_Year!$K:$K,0)),0)</f>
        <v>2</v>
      </c>
      <c r="AC432">
        <f>IFERROR(INDEX(Violation_Summary_Seller_Year!$J:$J,MATCH(AD432,Violation_Summary_Seller_Year!$K:$K,0)),0)</f>
        <v>23</v>
      </c>
      <c r="AD432" t="str">
        <f t="shared" si="48"/>
        <v>49_2025</v>
      </c>
      <c r="AE432">
        <f t="shared" si="49"/>
        <v>1</v>
      </c>
      <c r="AF432">
        <f t="shared" si="50"/>
        <v>2</v>
      </c>
      <c r="AG432">
        <f t="shared" si="51"/>
        <v>2</v>
      </c>
      <c r="AH432">
        <f t="shared" si="52"/>
        <v>2</v>
      </c>
      <c r="AI432">
        <f t="shared" si="53"/>
        <v>2</v>
      </c>
      <c r="AJ432">
        <f t="shared" si="54"/>
        <v>175</v>
      </c>
      <c r="AK432" t="str">
        <f t="shared" si="55"/>
        <v>High</v>
      </c>
    </row>
    <row r="433" spans="1:37" x14ac:dyDescent="0.3">
      <c r="A433">
        <v>50</v>
      </c>
      <c r="B433">
        <v>2025</v>
      </c>
      <c r="C433">
        <v>1320</v>
      </c>
      <c r="D433">
        <v>73</v>
      </c>
      <c r="E433">
        <v>60</v>
      </c>
      <c r="F433">
        <v>2681.78</v>
      </c>
      <c r="G433">
        <v>4.5455000000000002E-2</v>
      </c>
      <c r="H433">
        <v>22</v>
      </c>
      <c r="I433">
        <v>34</v>
      </c>
      <c r="J433">
        <v>13</v>
      </c>
      <c r="K433">
        <v>11</v>
      </c>
      <c r="L433">
        <v>1</v>
      </c>
      <c r="M433">
        <v>2</v>
      </c>
      <c r="N433">
        <v>6</v>
      </c>
      <c r="O433">
        <v>5</v>
      </c>
      <c r="P433" t="s">
        <v>85</v>
      </c>
      <c r="Q433" t="str">
        <f>VLOOKUP(A433,Cleaned_Seller_Master!$A:$H,2,FALSE)</f>
        <v>Ever Merchants 050</v>
      </c>
      <c r="R433" t="str">
        <f>VLOOKUP(A433,Cleaned_Seller_Master!$A:$H,4,FALSE)</f>
        <v>Fashion</v>
      </c>
      <c r="S433" t="str">
        <f>VLOOKUP(A433,Cleaned_Seller_Master!$A:$H,5,FALSE)</f>
        <v>South</v>
      </c>
      <c r="T433" t="str">
        <f>VLOOKUP(A433,Cleaned_Seller_Master!$A:$H,8,FALSE)</f>
        <v>Strategic</v>
      </c>
      <c r="U433" t="str">
        <f>VLOOKUP(A433,Cleaned_Seller_Master!$A:$H,7,FALSE)</f>
        <v>10-03-2019</v>
      </c>
      <c r="V433">
        <f>IFERROR(INDEX(Violation_Summary_Seller_Year!$C:$C,MATCH(AD433,Violation_Summary_Seller_Year!$K:$K,0)),0)</f>
        <v>1</v>
      </c>
      <c r="W433">
        <f>IFERROR(INDEX(Violation_Summary_Seller_Year!$D:$D,MATCH(AD433,Violation_Summary_Seller_Year!$K:$K,0)),0)</f>
        <v>1318.85</v>
      </c>
      <c r="X433">
        <f>IFERROR(INDEX(Violation_Summary_Seller_Year!$E:$E,MATCH(AD433,Violation_Summary_Seller_Year!$K:$K,0)),0)</f>
        <v>1</v>
      </c>
      <c r="Y433">
        <f>IFERROR(INDEX(Violation_Summary_Seller_Year!$F:$F,MATCH(AD433,Violation_Summary_Seller_Year!$K:$K,0)),0)</f>
        <v>0</v>
      </c>
      <c r="Z433">
        <f>IFERROR(INDEX(Violation_Summary_Seller_Year!$G:$G,MATCH(AD433,Violation_Summary_Seller_Year!$K:$K,0)),0)</f>
        <v>1</v>
      </c>
      <c r="AA433">
        <f>IFERROR(INDEX(Violation_Summary_Seller_Year!$H:$H,MATCH(AD433,Violation_Summary_Seller_Year!$K:$K,0)),0)</f>
        <v>0</v>
      </c>
      <c r="AB433">
        <f>IFERROR(INDEX(Violation_Summary_Seller_Year!$I:$I,MATCH(AD433,Violation_Summary_Seller_Year!$K:$K,0)),0)</f>
        <v>1</v>
      </c>
      <c r="AC433">
        <f>IFERROR(INDEX(Violation_Summary_Seller_Year!$J:$J,MATCH(AD433,Violation_Summary_Seller_Year!$K:$K,0)),0)</f>
        <v>2</v>
      </c>
      <c r="AD433" t="str">
        <f t="shared" si="48"/>
        <v>50_2025</v>
      </c>
      <c r="AE433">
        <f t="shared" si="49"/>
        <v>0</v>
      </c>
      <c r="AF433">
        <f t="shared" si="50"/>
        <v>2</v>
      </c>
      <c r="AG433">
        <f t="shared" si="51"/>
        <v>0</v>
      </c>
      <c r="AH433">
        <f t="shared" si="52"/>
        <v>2</v>
      </c>
      <c r="AI433">
        <f t="shared" si="53"/>
        <v>2</v>
      </c>
      <c r="AJ433">
        <f t="shared" si="54"/>
        <v>110</v>
      </c>
      <c r="AK433" t="str">
        <f t="shared" si="55"/>
        <v>Medium</v>
      </c>
    </row>
    <row r="434" spans="1:37" x14ac:dyDescent="0.3">
      <c r="A434">
        <v>51</v>
      </c>
      <c r="B434">
        <v>2025</v>
      </c>
      <c r="C434">
        <v>1861</v>
      </c>
      <c r="D434">
        <v>188</v>
      </c>
      <c r="E434">
        <v>164</v>
      </c>
      <c r="F434">
        <v>6447.14</v>
      </c>
      <c r="G434">
        <v>8.8124999999999995E-2</v>
      </c>
      <c r="H434">
        <v>23</v>
      </c>
      <c r="I434">
        <v>54</v>
      </c>
      <c r="J434">
        <v>28</v>
      </c>
      <c r="K434">
        <v>13</v>
      </c>
      <c r="L434">
        <v>1</v>
      </c>
      <c r="M434">
        <v>4</v>
      </c>
      <c r="N434">
        <v>7</v>
      </c>
      <c r="O434">
        <v>8</v>
      </c>
      <c r="P434" t="s">
        <v>85</v>
      </c>
      <c r="Q434" t="str">
        <f>VLOOKUP(A434,Cleaned_Seller_Master!$A:$H,2,FALSE)</f>
        <v>Orbit Square 051</v>
      </c>
      <c r="R434" t="str">
        <f>VLOOKUP(A434,Cleaned_Seller_Master!$A:$H,4,FALSE)</f>
        <v>Beauty</v>
      </c>
      <c r="S434" t="str">
        <f>VLOOKUP(A434,Cleaned_Seller_Master!$A:$H,5,FALSE)</f>
        <v>North</v>
      </c>
      <c r="T434" t="str">
        <f>VLOOKUP(A434,Cleaned_Seller_Master!$A:$H,8,FALSE)</f>
        <v>Premium</v>
      </c>
      <c r="U434" t="str">
        <f>VLOOKUP(A434,Cleaned_Seller_Master!$A:$H,7,FALSE)</f>
        <v>23-02-2020</v>
      </c>
      <c r="V434">
        <f>IFERROR(INDEX(Violation_Summary_Seller_Year!$C:$C,MATCH(AD434,Violation_Summary_Seller_Year!$K:$K,0)),0)</f>
        <v>4</v>
      </c>
      <c r="W434">
        <f>IFERROR(INDEX(Violation_Summary_Seller_Year!$D:$D,MATCH(AD434,Violation_Summary_Seller_Year!$K:$K,0)),0)</f>
        <v>10085.57</v>
      </c>
      <c r="X434">
        <f>IFERROR(INDEX(Violation_Summary_Seller_Year!$E:$E,MATCH(AD434,Violation_Summary_Seller_Year!$K:$K,0)),0)</f>
        <v>0</v>
      </c>
      <c r="Y434">
        <f>IFERROR(INDEX(Violation_Summary_Seller_Year!$F:$F,MATCH(AD434,Violation_Summary_Seller_Year!$K:$K,0)),0)</f>
        <v>1</v>
      </c>
      <c r="Z434">
        <f>IFERROR(INDEX(Violation_Summary_Seller_Year!$G:$G,MATCH(AD434,Violation_Summary_Seller_Year!$K:$K,0)),0)</f>
        <v>3</v>
      </c>
      <c r="AA434">
        <f>IFERROR(INDEX(Violation_Summary_Seller_Year!$H:$H,MATCH(AD434,Violation_Summary_Seller_Year!$K:$K,0)),0)</f>
        <v>2</v>
      </c>
      <c r="AB434">
        <f>IFERROR(INDEX(Violation_Summary_Seller_Year!$I:$I,MATCH(AD434,Violation_Summary_Seller_Year!$K:$K,0)),0)</f>
        <v>1</v>
      </c>
      <c r="AC434">
        <f>IFERROR(INDEX(Violation_Summary_Seller_Year!$J:$J,MATCH(AD434,Violation_Summary_Seller_Year!$K:$K,0)),0)</f>
        <v>36</v>
      </c>
      <c r="AD434" t="str">
        <f t="shared" si="48"/>
        <v>51_2025</v>
      </c>
      <c r="AE434">
        <f t="shared" si="49"/>
        <v>1</v>
      </c>
      <c r="AF434">
        <f t="shared" si="50"/>
        <v>2</v>
      </c>
      <c r="AG434">
        <f t="shared" si="51"/>
        <v>2</v>
      </c>
      <c r="AH434">
        <f t="shared" si="52"/>
        <v>2</v>
      </c>
      <c r="AI434">
        <f t="shared" si="53"/>
        <v>2</v>
      </c>
      <c r="AJ434">
        <f t="shared" si="54"/>
        <v>175</v>
      </c>
      <c r="AK434" t="str">
        <f t="shared" si="55"/>
        <v>High</v>
      </c>
    </row>
    <row r="435" spans="1:37" x14ac:dyDescent="0.3">
      <c r="A435">
        <v>52</v>
      </c>
      <c r="B435">
        <v>2025</v>
      </c>
      <c r="C435">
        <v>2054</v>
      </c>
      <c r="D435">
        <v>207</v>
      </c>
      <c r="E435">
        <v>188</v>
      </c>
      <c r="F435">
        <v>14013.56</v>
      </c>
      <c r="G435">
        <v>9.1528999999999999E-2</v>
      </c>
      <c r="H435">
        <v>18</v>
      </c>
      <c r="I435">
        <v>66</v>
      </c>
      <c r="J435">
        <v>20</v>
      </c>
      <c r="K435">
        <v>10</v>
      </c>
      <c r="L435">
        <v>1</v>
      </c>
      <c r="M435">
        <v>4</v>
      </c>
      <c r="N435">
        <v>5</v>
      </c>
      <c r="O435">
        <v>4</v>
      </c>
      <c r="P435" t="s">
        <v>85</v>
      </c>
      <c r="Q435" t="str">
        <f>VLOOKUP(A435,Cleaned_Seller_Master!$A:$H,2,FALSE)</f>
        <v>Pulse Commerce 052</v>
      </c>
      <c r="R435" t="str">
        <f>VLOOKUP(A435,Cleaned_Seller_Master!$A:$H,4,FALSE)</f>
        <v>Fashion</v>
      </c>
      <c r="S435" t="str">
        <f>VLOOKUP(A435,Cleaned_Seller_Master!$A:$H,5,FALSE)</f>
        <v>Southeast Asia</v>
      </c>
      <c r="T435" t="str">
        <f>VLOOKUP(A435,Cleaned_Seller_Master!$A:$H,8,FALSE)</f>
        <v>Standard</v>
      </c>
      <c r="U435" t="str">
        <f>VLOOKUP(A435,Cleaned_Seller_Master!$A:$H,7,FALSE)</f>
        <v>17-02-2023</v>
      </c>
      <c r="V435">
        <f>IFERROR(INDEX(Violation_Summary_Seller_Year!$C:$C,MATCH(AD435,Violation_Summary_Seller_Year!$K:$K,0)),0)</f>
        <v>3</v>
      </c>
      <c r="W435">
        <f>IFERROR(INDEX(Violation_Summary_Seller_Year!$D:$D,MATCH(AD435,Violation_Summary_Seller_Year!$K:$K,0)),0)</f>
        <v>12858.439999999999</v>
      </c>
      <c r="X435">
        <f>IFERROR(INDEX(Violation_Summary_Seller_Year!$E:$E,MATCH(AD435,Violation_Summary_Seller_Year!$K:$K,0)),0)</f>
        <v>1</v>
      </c>
      <c r="Y435">
        <f>IFERROR(INDEX(Violation_Summary_Seller_Year!$F:$F,MATCH(AD435,Violation_Summary_Seller_Year!$K:$K,0)),0)</f>
        <v>3</v>
      </c>
      <c r="Z435">
        <f>IFERROR(INDEX(Violation_Summary_Seller_Year!$G:$G,MATCH(AD435,Violation_Summary_Seller_Year!$K:$K,0)),0)</f>
        <v>0</v>
      </c>
      <c r="AA435">
        <f>IFERROR(INDEX(Violation_Summary_Seller_Year!$H:$H,MATCH(AD435,Violation_Summary_Seller_Year!$K:$K,0)),0)</f>
        <v>2</v>
      </c>
      <c r="AB435">
        <f>IFERROR(INDEX(Violation_Summary_Seller_Year!$I:$I,MATCH(AD435,Violation_Summary_Seller_Year!$K:$K,0)),0)</f>
        <v>2</v>
      </c>
      <c r="AC435">
        <f>IFERROR(INDEX(Violation_Summary_Seller_Year!$J:$J,MATCH(AD435,Violation_Summary_Seller_Year!$K:$K,0)),0)</f>
        <v>35</v>
      </c>
      <c r="AD435" t="str">
        <f t="shared" si="48"/>
        <v>52_2025</v>
      </c>
      <c r="AE435">
        <f t="shared" si="49"/>
        <v>1</v>
      </c>
      <c r="AF435">
        <f t="shared" si="50"/>
        <v>2</v>
      </c>
      <c r="AG435">
        <f t="shared" si="51"/>
        <v>2</v>
      </c>
      <c r="AH435">
        <f t="shared" si="52"/>
        <v>2</v>
      </c>
      <c r="AI435">
        <f t="shared" si="53"/>
        <v>2</v>
      </c>
      <c r="AJ435">
        <f t="shared" si="54"/>
        <v>175</v>
      </c>
      <c r="AK435" t="str">
        <f t="shared" si="55"/>
        <v>High</v>
      </c>
    </row>
    <row r="436" spans="1:37" x14ac:dyDescent="0.3">
      <c r="A436">
        <v>53</v>
      </c>
      <c r="B436">
        <v>2025</v>
      </c>
      <c r="C436">
        <v>630</v>
      </c>
      <c r="D436">
        <v>57</v>
      </c>
      <c r="E436">
        <v>47</v>
      </c>
      <c r="F436">
        <v>4148.66</v>
      </c>
      <c r="G436">
        <v>7.4603000000000003E-2</v>
      </c>
      <c r="H436">
        <v>22</v>
      </c>
      <c r="I436">
        <v>23</v>
      </c>
      <c r="J436">
        <v>6</v>
      </c>
      <c r="K436">
        <v>10</v>
      </c>
      <c r="L436">
        <v>1</v>
      </c>
      <c r="M436">
        <v>6</v>
      </c>
      <c r="N436">
        <v>8</v>
      </c>
      <c r="O436">
        <v>2</v>
      </c>
      <c r="P436" t="s">
        <v>85</v>
      </c>
      <c r="Q436" t="str">
        <f>VLOOKUP(A436,Cleaned_Seller_Master!$A:$H,2,FALSE)</f>
        <v>Summit Bazaar 053</v>
      </c>
      <c r="R436" t="str">
        <f>VLOOKUP(A436,Cleaned_Seller_Master!$A:$H,4,FALSE)</f>
        <v>Home</v>
      </c>
      <c r="S436" t="str">
        <f>VLOOKUP(A436,Cleaned_Seller_Master!$A:$H,5,FALSE)</f>
        <v>South</v>
      </c>
      <c r="T436" t="str">
        <f>VLOOKUP(A436,Cleaned_Seller_Master!$A:$H,8,FALSE)</f>
        <v>Premium</v>
      </c>
      <c r="U436" t="str">
        <f>VLOOKUP(A436,Cleaned_Seller_Master!$A:$H,7,FALSE)</f>
        <v>17-12-2019</v>
      </c>
      <c r="V436">
        <f>IFERROR(INDEX(Violation_Summary_Seller_Year!$C:$C,MATCH(AD436,Violation_Summary_Seller_Year!$K:$K,0)),0)</f>
        <v>3</v>
      </c>
      <c r="W436">
        <f>IFERROR(INDEX(Violation_Summary_Seller_Year!$D:$D,MATCH(AD436,Violation_Summary_Seller_Year!$K:$K,0)),0)</f>
        <v>6914.6399999999994</v>
      </c>
      <c r="X436">
        <f>IFERROR(INDEX(Violation_Summary_Seller_Year!$E:$E,MATCH(AD436,Violation_Summary_Seller_Year!$K:$K,0)),0)</f>
        <v>2</v>
      </c>
      <c r="Y436">
        <f>IFERROR(INDEX(Violation_Summary_Seller_Year!$F:$F,MATCH(AD436,Violation_Summary_Seller_Year!$K:$K,0)),0)</f>
        <v>2</v>
      </c>
      <c r="Z436">
        <f>IFERROR(INDEX(Violation_Summary_Seller_Year!$G:$G,MATCH(AD436,Violation_Summary_Seller_Year!$K:$K,0)),0)</f>
        <v>1</v>
      </c>
      <c r="AA436">
        <f>IFERROR(INDEX(Violation_Summary_Seller_Year!$H:$H,MATCH(AD436,Violation_Summary_Seller_Year!$K:$K,0)),0)</f>
        <v>2</v>
      </c>
      <c r="AB436">
        <f>IFERROR(INDEX(Violation_Summary_Seller_Year!$I:$I,MATCH(AD436,Violation_Summary_Seller_Year!$K:$K,0)),0)</f>
        <v>1</v>
      </c>
      <c r="AC436">
        <f>IFERROR(INDEX(Violation_Summary_Seller_Year!$J:$J,MATCH(AD436,Violation_Summary_Seller_Year!$K:$K,0)),0)</f>
        <v>25</v>
      </c>
      <c r="AD436" t="str">
        <f t="shared" si="48"/>
        <v>53_2025</v>
      </c>
      <c r="AE436">
        <f t="shared" si="49"/>
        <v>1</v>
      </c>
      <c r="AF436">
        <f t="shared" si="50"/>
        <v>2</v>
      </c>
      <c r="AG436">
        <f t="shared" si="51"/>
        <v>2</v>
      </c>
      <c r="AH436">
        <f t="shared" si="52"/>
        <v>2</v>
      </c>
      <c r="AI436">
        <f t="shared" si="53"/>
        <v>2</v>
      </c>
      <c r="AJ436">
        <f t="shared" si="54"/>
        <v>175</v>
      </c>
      <c r="AK436" t="str">
        <f t="shared" si="55"/>
        <v>High</v>
      </c>
    </row>
    <row r="437" spans="1:37" x14ac:dyDescent="0.3">
      <c r="A437">
        <v>54</v>
      </c>
      <c r="B437">
        <v>2025</v>
      </c>
      <c r="C437">
        <v>516</v>
      </c>
      <c r="D437">
        <v>39</v>
      </c>
      <c r="E437">
        <v>32</v>
      </c>
      <c r="F437">
        <v>3344.17</v>
      </c>
      <c r="G437">
        <v>6.2016000000000002E-2</v>
      </c>
      <c r="H437">
        <v>15</v>
      </c>
      <c r="I437">
        <v>19</v>
      </c>
      <c r="J437">
        <v>9</v>
      </c>
      <c r="K437">
        <v>9</v>
      </c>
      <c r="L437">
        <v>1</v>
      </c>
      <c r="M437">
        <v>6</v>
      </c>
      <c r="N437">
        <v>6</v>
      </c>
      <c r="O437">
        <v>2</v>
      </c>
      <c r="P437" t="s">
        <v>85</v>
      </c>
      <c r="Q437" t="str">
        <f>VLOOKUP(A437,Cleaned_Seller_Master!$A:$H,2,FALSE)</f>
        <v>Prime Bridge 054</v>
      </c>
      <c r="R437" t="str">
        <f>VLOOKUP(A437,Cleaned_Seller_Master!$A:$H,4,FALSE)</f>
        <v>Groceries</v>
      </c>
      <c r="S437" t="str">
        <f>VLOOKUP(A437,Cleaned_Seller_Master!$A:$H,5,FALSE)</f>
        <v>East</v>
      </c>
      <c r="T437" t="str">
        <f>VLOOKUP(A437,Cleaned_Seller_Master!$A:$H,8,FALSE)</f>
        <v>Verified</v>
      </c>
      <c r="U437" t="str">
        <f>VLOOKUP(A437,Cleaned_Seller_Master!$A:$H,7,FALSE)</f>
        <v>09-02-2021</v>
      </c>
      <c r="V437">
        <f>IFERROR(INDEX(Violation_Summary_Seller_Year!$C:$C,MATCH(AD437,Violation_Summary_Seller_Year!$K:$K,0)),0)</f>
        <v>3</v>
      </c>
      <c r="W437">
        <f>IFERROR(INDEX(Violation_Summary_Seller_Year!$D:$D,MATCH(AD437,Violation_Summary_Seller_Year!$K:$K,0)),0)</f>
        <v>8931.8799999999992</v>
      </c>
      <c r="X437">
        <f>IFERROR(INDEX(Violation_Summary_Seller_Year!$E:$E,MATCH(AD437,Violation_Summary_Seller_Year!$K:$K,0)),0)</f>
        <v>2</v>
      </c>
      <c r="Y437">
        <f>IFERROR(INDEX(Violation_Summary_Seller_Year!$F:$F,MATCH(AD437,Violation_Summary_Seller_Year!$K:$K,0)),0)</f>
        <v>2</v>
      </c>
      <c r="Z437">
        <f>IFERROR(INDEX(Violation_Summary_Seller_Year!$G:$G,MATCH(AD437,Violation_Summary_Seller_Year!$K:$K,0)),0)</f>
        <v>1</v>
      </c>
      <c r="AA437">
        <f>IFERROR(INDEX(Violation_Summary_Seller_Year!$H:$H,MATCH(AD437,Violation_Summary_Seller_Year!$K:$K,0)),0)</f>
        <v>3</v>
      </c>
      <c r="AB437">
        <f>IFERROR(INDEX(Violation_Summary_Seller_Year!$I:$I,MATCH(AD437,Violation_Summary_Seller_Year!$K:$K,0)),0)</f>
        <v>2</v>
      </c>
      <c r="AC437">
        <f>IFERROR(INDEX(Violation_Summary_Seller_Year!$J:$J,MATCH(AD437,Violation_Summary_Seller_Year!$K:$K,0)),0)</f>
        <v>31</v>
      </c>
      <c r="AD437" t="str">
        <f t="shared" si="48"/>
        <v>54_2025</v>
      </c>
      <c r="AE437">
        <f t="shared" si="49"/>
        <v>1</v>
      </c>
      <c r="AF437">
        <f t="shared" si="50"/>
        <v>2</v>
      </c>
      <c r="AG437">
        <f t="shared" si="51"/>
        <v>2</v>
      </c>
      <c r="AH437">
        <f t="shared" si="52"/>
        <v>2</v>
      </c>
      <c r="AI437">
        <f t="shared" si="53"/>
        <v>2</v>
      </c>
      <c r="AJ437">
        <f t="shared" si="54"/>
        <v>175</v>
      </c>
      <c r="AK437" t="str">
        <f t="shared" si="55"/>
        <v>High</v>
      </c>
    </row>
    <row r="438" spans="1:37" x14ac:dyDescent="0.3">
      <c r="A438">
        <v>55</v>
      </c>
      <c r="B438">
        <v>2025</v>
      </c>
      <c r="C438">
        <v>2864</v>
      </c>
      <c r="D438">
        <v>322</v>
      </c>
      <c r="E438">
        <v>245</v>
      </c>
      <c r="F438">
        <v>22227.63</v>
      </c>
      <c r="G438">
        <v>8.5544999999999996E-2</v>
      </c>
      <c r="H438">
        <v>66</v>
      </c>
      <c r="I438">
        <v>97</v>
      </c>
      <c r="J438">
        <v>40</v>
      </c>
      <c r="K438">
        <v>32</v>
      </c>
      <c r="L438">
        <v>1</v>
      </c>
      <c r="M438">
        <v>13</v>
      </c>
      <c r="N438">
        <v>23</v>
      </c>
      <c r="O438">
        <v>12</v>
      </c>
      <c r="P438" t="s">
        <v>85</v>
      </c>
      <c r="Q438" t="str">
        <f>VLOOKUP(A438,Cleaned_Seller_Master!$A:$H,2,FALSE)</f>
        <v>Apex Retail 055</v>
      </c>
      <c r="R438" t="str">
        <f>VLOOKUP(A438,Cleaned_Seller_Master!$A:$H,4,FALSE)</f>
        <v>Fashion</v>
      </c>
      <c r="S438" t="str">
        <f>VLOOKUP(A438,Cleaned_Seller_Master!$A:$H,5,FALSE)</f>
        <v>South</v>
      </c>
      <c r="T438" t="str">
        <f>VLOOKUP(A438,Cleaned_Seller_Master!$A:$H,8,FALSE)</f>
        <v>Verified</v>
      </c>
      <c r="U438" t="str">
        <f>VLOOKUP(A438,Cleaned_Seller_Master!$A:$H,7,FALSE)</f>
        <v>26-06-2021</v>
      </c>
      <c r="V438">
        <f>IFERROR(INDEX(Violation_Summary_Seller_Year!$C:$C,MATCH(AD438,Violation_Summary_Seller_Year!$K:$K,0)),0)</f>
        <v>6</v>
      </c>
      <c r="W438">
        <f>IFERROR(INDEX(Violation_Summary_Seller_Year!$D:$D,MATCH(AD438,Violation_Summary_Seller_Year!$K:$K,0)),0)</f>
        <v>12183.27</v>
      </c>
      <c r="X438">
        <f>IFERROR(INDEX(Violation_Summary_Seller_Year!$E:$E,MATCH(AD438,Violation_Summary_Seller_Year!$K:$K,0)),0)</f>
        <v>4</v>
      </c>
      <c r="Y438">
        <f>IFERROR(INDEX(Violation_Summary_Seller_Year!$F:$F,MATCH(AD438,Violation_Summary_Seller_Year!$K:$K,0)),0)</f>
        <v>4</v>
      </c>
      <c r="Z438">
        <f>IFERROR(INDEX(Violation_Summary_Seller_Year!$G:$G,MATCH(AD438,Violation_Summary_Seller_Year!$K:$K,0)),0)</f>
        <v>2</v>
      </c>
      <c r="AA438">
        <f>IFERROR(INDEX(Violation_Summary_Seller_Year!$H:$H,MATCH(AD438,Violation_Summary_Seller_Year!$K:$K,0)),0)</f>
        <v>3</v>
      </c>
      <c r="AB438">
        <f>IFERROR(INDEX(Violation_Summary_Seller_Year!$I:$I,MATCH(AD438,Violation_Summary_Seller_Year!$K:$K,0)),0)</f>
        <v>3</v>
      </c>
      <c r="AC438">
        <f>IFERROR(INDEX(Violation_Summary_Seller_Year!$J:$J,MATCH(AD438,Violation_Summary_Seller_Year!$K:$K,0)),0)</f>
        <v>69</v>
      </c>
      <c r="AD438" t="str">
        <f t="shared" si="48"/>
        <v>55_2025</v>
      </c>
      <c r="AE438">
        <f t="shared" si="49"/>
        <v>1</v>
      </c>
      <c r="AF438">
        <f t="shared" si="50"/>
        <v>2</v>
      </c>
      <c r="AG438">
        <f t="shared" si="51"/>
        <v>2</v>
      </c>
      <c r="AH438">
        <f t="shared" si="52"/>
        <v>2</v>
      </c>
      <c r="AI438">
        <f t="shared" si="53"/>
        <v>2</v>
      </c>
      <c r="AJ438">
        <f t="shared" si="54"/>
        <v>175</v>
      </c>
      <c r="AK438" t="str">
        <f t="shared" si="55"/>
        <v>High</v>
      </c>
    </row>
    <row r="439" spans="1:37" x14ac:dyDescent="0.3">
      <c r="A439">
        <v>57</v>
      </c>
      <c r="B439">
        <v>2025</v>
      </c>
      <c r="C439">
        <v>1018</v>
      </c>
      <c r="D439">
        <v>86</v>
      </c>
      <c r="E439">
        <v>63</v>
      </c>
      <c r="F439">
        <v>4801.78</v>
      </c>
      <c r="G439">
        <v>6.1885999999999997E-2</v>
      </c>
      <c r="H439">
        <v>21</v>
      </c>
      <c r="I439">
        <v>33</v>
      </c>
      <c r="J439">
        <v>14</v>
      </c>
      <c r="K439">
        <v>9</v>
      </c>
      <c r="L439">
        <v>1</v>
      </c>
      <c r="M439">
        <v>5</v>
      </c>
      <c r="N439">
        <v>7</v>
      </c>
      <c r="O439">
        <v>4</v>
      </c>
      <c r="P439" t="s">
        <v>85</v>
      </c>
      <c r="Q439" t="str">
        <f>VLOOKUP(A439,Cleaned_Seller_Master!$A:$H,2,FALSE)</f>
        <v>Metro Point 057</v>
      </c>
      <c r="R439" t="str">
        <f>VLOOKUP(A439,Cleaned_Seller_Master!$A:$H,4,FALSE)</f>
        <v>Beauty</v>
      </c>
      <c r="S439" t="str">
        <f>VLOOKUP(A439,Cleaned_Seller_Master!$A:$H,5,FALSE)</f>
        <v>West</v>
      </c>
      <c r="T439" t="str">
        <f>VLOOKUP(A439,Cleaned_Seller_Master!$A:$H,8,FALSE)</f>
        <v>Premium</v>
      </c>
      <c r="U439" t="str">
        <f>VLOOKUP(A439,Cleaned_Seller_Master!$A:$H,7,FALSE)</f>
        <v>19-11-2021</v>
      </c>
      <c r="V439">
        <f>IFERROR(INDEX(Violation_Summary_Seller_Year!$C:$C,MATCH(AD439,Violation_Summary_Seller_Year!$K:$K,0)),0)</f>
        <v>4</v>
      </c>
      <c r="W439">
        <f>IFERROR(INDEX(Violation_Summary_Seller_Year!$D:$D,MATCH(AD439,Violation_Summary_Seller_Year!$K:$K,0)),0)</f>
        <v>16328.060000000001</v>
      </c>
      <c r="X439">
        <f>IFERROR(INDEX(Violation_Summary_Seller_Year!$E:$E,MATCH(AD439,Violation_Summary_Seller_Year!$K:$K,0)),0)</f>
        <v>1</v>
      </c>
      <c r="Y439">
        <f>IFERROR(INDEX(Violation_Summary_Seller_Year!$F:$F,MATCH(AD439,Violation_Summary_Seller_Year!$K:$K,0)),0)</f>
        <v>2</v>
      </c>
      <c r="Z439">
        <f>IFERROR(INDEX(Violation_Summary_Seller_Year!$G:$G,MATCH(AD439,Violation_Summary_Seller_Year!$K:$K,0)),0)</f>
        <v>2</v>
      </c>
      <c r="AA439">
        <f>IFERROR(INDEX(Violation_Summary_Seller_Year!$H:$H,MATCH(AD439,Violation_Summary_Seller_Year!$K:$K,0)),0)</f>
        <v>4</v>
      </c>
      <c r="AB439">
        <f>IFERROR(INDEX(Violation_Summary_Seller_Year!$I:$I,MATCH(AD439,Violation_Summary_Seller_Year!$K:$K,0)),0)</f>
        <v>3</v>
      </c>
      <c r="AC439">
        <f>IFERROR(INDEX(Violation_Summary_Seller_Year!$J:$J,MATCH(AD439,Violation_Summary_Seller_Year!$K:$K,0)),0)</f>
        <v>30</v>
      </c>
      <c r="AD439" t="str">
        <f t="shared" si="48"/>
        <v>57_2025</v>
      </c>
      <c r="AE439">
        <f t="shared" si="49"/>
        <v>1</v>
      </c>
      <c r="AF439">
        <f t="shared" si="50"/>
        <v>2</v>
      </c>
      <c r="AG439">
        <f t="shared" si="51"/>
        <v>2</v>
      </c>
      <c r="AH439">
        <f t="shared" si="52"/>
        <v>2</v>
      </c>
      <c r="AI439">
        <f t="shared" si="53"/>
        <v>2</v>
      </c>
      <c r="AJ439">
        <f t="shared" si="54"/>
        <v>175</v>
      </c>
      <c r="AK439" t="str">
        <f t="shared" si="55"/>
        <v>High</v>
      </c>
    </row>
    <row r="440" spans="1:37" x14ac:dyDescent="0.3">
      <c r="A440">
        <v>58</v>
      </c>
      <c r="B440">
        <v>2025</v>
      </c>
      <c r="C440">
        <v>488</v>
      </c>
      <c r="D440">
        <v>17</v>
      </c>
      <c r="E440">
        <v>16</v>
      </c>
      <c r="F440">
        <v>961.53</v>
      </c>
      <c r="G440">
        <v>3.2786999999999997E-2</v>
      </c>
      <c r="H440">
        <v>4</v>
      </c>
      <c r="I440">
        <v>17</v>
      </c>
      <c r="J440">
        <v>3</v>
      </c>
      <c r="K440">
        <v>4</v>
      </c>
      <c r="L440">
        <v>1</v>
      </c>
      <c r="M440">
        <v>3</v>
      </c>
      <c r="N440">
        <v>3</v>
      </c>
      <c r="O440">
        <v>2</v>
      </c>
      <c r="P440" t="s">
        <v>68</v>
      </c>
      <c r="Q440" t="str">
        <f>VLOOKUP(A440,Cleaned_Seller_Master!$A:$H,2,FALSE)</f>
        <v>Luna Stores 058</v>
      </c>
      <c r="R440" t="str">
        <f>VLOOKUP(A440,Cleaned_Seller_Master!$A:$H,4,FALSE)</f>
        <v>Home</v>
      </c>
      <c r="S440" t="str">
        <f>VLOOKUP(A440,Cleaned_Seller_Master!$A:$H,5,FALSE)</f>
        <v>East</v>
      </c>
      <c r="T440" t="str">
        <f>VLOOKUP(A440,Cleaned_Seller_Master!$A:$H,8,FALSE)</f>
        <v>Strategic</v>
      </c>
      <c r="U440" t="str">
        <f>VLOOKUP(A440,Cleaned_Seller_Master!$A:$H,7,FALSE)</f>
        <v>04-04-2021</v>
      </c>
      <c r="V440">
        <f>IFERROR(INDEX(Violation_Summary_Seller_Year!$C:$C,MATCH(AD440,Violation_Summary_Seller_Year!$K:$K,0)),0)</f>
        <v>1</v>
      </c>
      <c r="W440">
        <f>IFERROR(INDEX(Violation_Summary_Seller_Year!$D:$D,MATCH(AD440,Violation_Summary_Seller_Year!$K:$K,0)),0)</f>
        <v>7115.29</v>
      </c>
      <c r="X440">
        <f>IFERROR(INDEX(Violation_Summary_Seller_Year!$E:$E,MATCH(AD440,Violation_Summary_Seller_Year!$K:$K,0)),0)</f>
        <v>0</v>
      </c>
      <c r="Y440">
        <f>IFERROR(INDEX(Violation_Summary_Seller_Year!$F:$F,MATCH(AD440,Violation_Summary_Seller_Year!$K:$K,0)),0)</f>
        <v>1</v>
      </c>
      <c r="Z440">
        <f>IFERROR(INDEX(Violation_Summary_Seller_Year!$G:$G,MATCH(AD440,Violation_Summary_Seller_Year!$K:$K,0)),0)</f>
        <v>0</v>
      </c>
      <c r="AA440">
        <f>IFERROR(INDEX(Violation_Summary_Seller_Year!$H:$H,MATCH(AD440,Violation_Summary_Seller_Year!$K:$K,0)),0)</f>
        <v>1</v>
      </c>
      <c r="AB440">
        <f>IFERROR(INDEX(Violation_Summary_Seller_Year!$I:$I,MATCH(AD440,Violation_Summary_Seller_Year!$K:$K,0)),0)</f>
        <v>1</v>
      </c>
      <c r="AC440">
        <f>IFERROR(INDEX(Violation_Summary_Seller_Year!$J:$J,MATCH(AD440,Violation_Summary_Seller_Year!$K:$K,0)),0)</f>
        <v>9</v>
      </c>
      <c r="AD440" t="str">
        <f t="shared" si="48"/>
        <v>58_2025</v>
      </c>
      <c r="AE440">
        <f t="shared" si="49"/>
        <v>0</v>
      </c>
      <c r="AF440">
        <f t="shared" si="50"/>
        <v>1</v>
      </c>
      <c r="AG440">
        <f t="shared" si="51"/>
        <v>1</v>
      </c>
      <c r="AH440">
        <f t="shared" si="52"/>
        <v>2</v>
      </c>
      <c r="AI440">
        <f t="shared" si="53"/>
        <v>1</v>
      </c>
      <c r="AJ440">
        <f t="shared" si="54"/>
        <v>95</v>
      </c>
      <c r="AK440" t="str">
        <f t="shared" si="55"/>
        <v>Medium</v>
      </c>
    </row>
    <row r="441" spans="1:37" x14ac:dyDescent="0.3">
      <c r="A441">
        <v>59</v>
      </c>
      <c r="B441">
        <v>2025</v>
      </c>
      <c r="C441">
        <v>412</v>
      </c>
      <c r="D441">
        <v>32</v>
      </c>
      <c r="E441">
        <v>27</v>
      </c>
      <c r="F441">
        <v>2882.47</v>
      </c>
      <c r="G441">
        <v>6.5533999999999995E-2</v>
      </c>
      <c r="H441">
        <v>15</v>
      </c>
      <c r="I441">
        <v>18</v>
      </c>
      <c r="J441">
        <v>7</v>
      </c>
      <c r="K441">
        <v>8</v>
      </c>
      <c r="L441">
        <v>1</v>
      </c>
      <c r="M441">
        <v>5</v>
      </c>
      <c r="N441">
        <v>6</v>
      </c>
      <c r="O441">
        <v>1</v>
      </c>
      <c r="P441" t="s">
        <v>85</v>
      </c>
      <c r="Q441" t="str">
        <f>VLOOKUP(A441,Cleaned_Seller_Master!$A:$H,2,FALSE)</f>
        <v>Elite Link 059</v>
      </c>
      <c r="R441" t="str">
        <f>VLOOKUP(A441,Cleaned_Seller_Master!$A:$H,4,FALSE)</f>
        <v>Home</v>
      </c>
      <c r="S441" t="str">
        <f>VLOOKUP(A441,Cleaned_Seller_Master!$A:$H,5,FALSE)</f>
        <v>East</v>
      </c>
      <c r="T441" t="str">
        <f>VLOOKUP(A441,Cleaned_Seller_Master!$A:$H,8,FALSE)</f>
        <v>Strategic</v>
      </c>
      <c r="U441" t="str">
        <f>VLOOKUP(A441,Cleaned_Seller_Master!$A:$H,7,FALSE)</f>
        <v>27-02-2021</v>
      </c>
      <c r="V441">
        <f>IFERROR(INDEX(Violation_Summary_Seller_Year!$C:$C,MATCH(AD441,Violation_Summary_Seller_Year!$K:$K,0)),0)</f>
        <v>6</v>
      </c>
      <c r="W441">
        <f>IFERROR(INDEX(Violation_Summary_Seller_Year!$D:$D,MATCH(AD441,Violation_Summary_Seller_Year!$K:$K,0)),0)</f>
        <v>19953.8</v>
      </c>
      <c r="X441">
        <f>IFERROR(INDEX(Violation_Summary_Seller_Year!$E:$E,MATCH(AD441,Violation_Summary_Seller_Year!$K:$K,0)),0)</f>
        <v>4</v>
      </c>
      <c r="Y441">
        <f>IFERROR(INDEX(Violation_Summary_Seller_Year!$F:$F,MATCH(AD441,Violation_Summary_Seller_Year!$K:$K,0)),0)</f>
        <v>2</v>
      </c>
      <c r="Z441">
        <f>IFERROR(INDEX(Violation_Summary_Seller_Year!$G:$G,MATCH(AD441,Violation_Summary_Seller_Year!$K:$K,0)),0)</f>
        <v>4</v>
      </c>
      <c r="AA441">
        <f>IFERROR(INDEX(Violation_Summary_Seller_Year!$H:$H,MATCH(AD441,Violation_Summary_Seller_Year!$K:$K,0)),0)</f>
        <v>4</v>
      </c>
      <c r="AB441">
        <f>IFERROR(INDEX(Violation_Summary_Seller_Year!$I:$I,MATCH(AD441,Violation_Summary_Seller_Year!$K:$K,0)),0)</f>
        <v>2</v>
      </c>
      <c r="AC441">
        <f>IFERROR(INDEX(Violation_Summary_Seller_Year!$J:$J,MATCH(AD441,Violation_Summary_Seller_Year!$K:$K,0)),0)</f>
        <v>67</v>
      </c>
      <c r="AD441" t="str">
        <f t="shared" si="48"/>
        <v>59_2025</v>
      </c>
      <c r="AE441">
        <f t="shared" si="49"/>
        <v>1</v>
      </c>
      <c r="AF441">
        <f t="shared" si="50"/>
        <v>2</v>
      </c>
      <c r="AG441">
        <f t="shared" si="51"/>
        <v>2</v>
      </c>
      <c r="AH441">
        <f t="shared" si="52"/>
        <v>2</v>
      </c>
      <c r="AI441">
        <f t="shared" si="53"/>
        <v>2</v>
      </c>
      <c r="AJ441">
        <f t="shared" si="54"/>
        <v>175</v>
      </c>
      <c r="AK441" t="str">
        <f t="shared" si="55"/>
        <v>High</v>
      </c>
    </row>
    <row r="442" spans="1:37" x14ac:dyDescent="0.3">
      <c r="A442">
        <v>60</v>
      </c>
      <c r="B442">
        <v>2025</v>
      </c>
      <c r="C442">
        <v>1295</v>
      </c>
      <c r="D442">
        <v>112</v>
      </c>
      <c r="E442">
        <v>94</v>
      </c>
      <c r="F442">
        <v>8530.99</v>
      </c>
      <c r="G442">
        <v>7.2586999999999999E-2</v>
      </c>
      <c r="H442">
        <v>22</v>
      </c>
      <c r="I442">
        <v>36</v>
      </c>
      <c r="J442">
        <v>13</v>
      </c>
      <c r="K442">
        <v>16</v>
      </c>
      <c r="L442">
        <v>1</v>
      </c>
      <c r="M442">
        <v>7</v>
      </c>
      <c r="N442">
        <v>10</v>
      </c>
      <c r="O442">
        <v>6</v>
      </c>
      <c r="P442" t="s">
        <v>85</v>
      </c>
      <c r="Q442" t="str">
        <f>VLOOKUP(A442,Cleaned_Seller_Master!$A:$H,2,FALSE)</f>
        <v>Nova Cart 060</v>
      </c>
      <c r="R442" t="str">
        <f>VLOOKUP(A442,Cleaned_Seller_Master!$A:$H,4,FALSE)</f>
        <v>Electronics</v>
      </c>
      <c r="S442" t="str">
        <f>VLOOKUP(A442,Cleaned_Seller_Master!$A:$H,5,FALSE)</f>
        <v>Southeast Asia</v>
      </c>
      <c r="T442" t="str">
        <f>VLOOKUP(A442,Cleaned_Seller_Master!$A:$H,8,FALSE)</f>
        <v>Standard</v>
      </c>
      <c r="U442" t="str">
        <f>VLOOKUP(A442,Cleaned_Seller_Master!$A:$H,7,FALSE)</f>
        <v>28-11-2019</v>
      </c>
      <c r="V442">
        <f>IFERROR(INDEX(Violation_Summary_Seller_Year!$C:$C,MATCH(AD442,Violation_Summary_Seller_Year!$K:$K,0)),0)</f>
        <v>4</v>
      </c>
      <c r="W442">
        <f>IFERROR(INDEX(Violation_Summary_Seller_Year!$D:$D,MATCH(AD442,Violation_Summary_Seller_Year!$K:$K,0)),0)</f>
        <v>7927.77</v>
      </c>
      <c r="X442">
        <f>IFERROR(INDEX(Violation_Summary_Seller_Year!$E:$E,MATCH(AD442,Violation_Summary_Seller_Year!$K:$K,0)),0)</f>
        <v>3</v>
      </c>
      <c r="Y442">
        <f>IFERROR(INDEX(Violation_Summary_Seller_Year!$F:$F,MATCH(AD442,Violation_Summary_Seller_Year!$K:$K,0)),0)</f>
        <v>2</v>
      </c>
      <c r="Z442">
        <f>IFERROR(INDEX(Violation_Summary_Seller_Year!$G:$G,MATCH(AD442,Violation_Summary_Seller_Year!$K:$K,0)),0)</f>
        <v>2</v>
      </c>
      <c r="AA442">
        <f>IFERROR(INDEX(Violation_Summary_Seller_Year!$H:$H,MATCH(AD442,Violation_Summary_Seller_Year!$K:$K,0)),0)</f>
        <v>3</v>
      </c>
      <c r="AB442">
        <f>IFERROR(INDEX(Violation_Summary_Seller_Year!$I:$I,MATCH(AD442,Violation_Summary_Seller_Year!$K:$K,0)),0)</f>
        <v>2</v>
      </c>
      <c r="AC442">
        <f>IFERROR(INDEX(Violation_Summary_Seller_Year!$J:$J,MATCH(AD442,Violation_Summary_Seller_Year!$K:$K,0)),0)</f>
        <v>55</v>
      </c>
      <c r="AD442" t="str">
        <f t="shared" si="48"/>
        <v>60_2025</v>
      </c>
      <c r="AE442">
        <f t="shared" si="49"/>
        <v>1</v>
      </c>
      <c r="AF442">
        <f t="shared" si="50"/>
        <v>2</v>
      </c>
      <c r="AG442">
        <f t="shared" si="51"/>
        <v>2</v>
      </c>
      <c r="AH442">
        <f t="shared" si="52"/>
        <v>2</v>
      </c>
      <c r="AI442">
        <f t="shared" si="53"/>
        <v>2</v>
      </c>
      <c r="AJ442">
        <f t="shared" si="54"/>
        <v>175</v>
      </c>
      <c r="AK442" t="str">
        <f t="shared" si="55"/>
        <v>High</v>
      </c>
    </row>
    <row r="443" spans="1:37" x14ac:dyDescent="0.3">
      <c r="A443">
        <v>61</v>
      </c>
      <c r="B443">
        <v>2025</v>
      </c>
      <c r="C443">
        <v>900</v>
      </c>
      <c r="D443">
        <v>64</v>
      </c>
      <c r="E443">
        <v>47</v>
      </c>
      <c r="F443">
        <v>4145.0200000000004</v>
      </c>
      <c r="G443">
        <v>5.2221999999999998E-2</v>
      </c>
      <c r="H443">
        <v>25</v>
      </c>
      <c r="I443">
        <v>25</v>
      </c>
      <c r="J443">
        <v>11</v>
      </c>
      <c r="K443">
        <v>11</v>
      </c>
      <c r="L443">
        <v>1</v>
      </c>
      <c r="M443">
        <v>4</v>
      </c>
      <c r="N443">
        <v>5</v>
      </c>
      <c r="O443">
        <v>2</v>
      </c>
      <c r="P443" t="s">
        <v>85</v>
      </c>
      <c r="Q443" t="str">
        <f>VLOOKUP(A443,Cleaned_Seller_Master!$A:$H,2,FALSE)</f>
        <v>Swift Goods 061</v>
      </c>
      <c r="R443" t="str">
        <f>VLOOKUP(A443,Cleaned_Seller_Master!$A:$H,4,FALSE)</f>
        <v>Electronics</v>
      </c>
      <c r="S443" t="str">
        <f>VLOOKUP(A443,Cleaned_Seller_Master!$A:$H,5,FALSE)</f>
        <v>East</v>
      </c>
      <c r="T443" t="str">
        <f>VLOOKUP(A443,Cleaned_Seller_Master!$A:$H,8,FALSE)</f>
        <v>Verified</v>
      </c>
      <c r="U443" t="str">
        <f>VLOOKUP(A443,Cleaned_Seller_Master!$A:$H,7,FALSE)</f>
        <v>13-02-2018</v>
      </c>
      <c r="V443">
        <f>IFERROR(INDEX(Violation_Summary_Seller_Year!$C:$C,MATCH(AD443,Violation_Summary_Seller_Year!$K:$K,0)),0)</f>
        <v>5</v>
      </c>
      <c r="W443">
        <f>IFERROR(INDEX(Violation_Summary_Seller_Year!$D:$D,MATCH(AD443,Violation_Summary_Seller_Year!$K:$K,0)),0)</f>
        <v>13973.04</v>
      </c>
      <c r="X443">
        <f>IFERROR(INDEX(Violation_Summary_Seller_Year!$E:$E,MATCH(AD443,Violation_Summary_Seller_Year!$K:$K,0)),0)</f>
        <v>3</v>
      </c>
      <c r="Y443">
        <f>IFERROR(INDEX(Violation_Summary_Seller_Year!$F:$F,MATCH(AD443,Violation_Summary_Seller_Year!$K:$K,0)),0)</f>
        <v>2</v>
      </c>
      <c r="Z443">
        <f>IFERROR(INDEX(Violation_Summary_Seller_Year!$G:$G,MATCH(AD443,Violation_Summary_Seller_Year!$K:$K,0)),0)</f>
        <v>3</v>
      </c>
      <c r="AA443">
        <f>IFERROR(INDEX(Violation_Summary_Seller_Year!$H:$H,MATCH(AD443,Violation_Summary_Seller_Year!$K:$K,0)),0)</f>
        <v>3</v>
      </c>
      <c r="AB443">
        <f>IFERROR(INDEX(Violation_Summary_Seller_Year!$I:$I,MATCH(AD443,Violation_Summary_Seller_Year!$K:$K,0)),0)</f>
        <v>3</v>
      </c>
      <c r="AC443">
        <f>IFERROR(INDEX(Violation_Summary_Seller_Year!$J:$J,MATCH(AD443,Violation_Summary_Seller_Year!$K:$K,0)),0)</f>
        <v>37</v>
      </c>
      <c r="AD443" t="str">
        <f t="shared" si="48"/>
        <v>61_2025</v>
      </c>
      <c r="AE443">
        <f t="shared" si="49"/>
        <v>1</v>
      </c>
      <c r="AF443">
        <f t="shared" si="50"/>
        <v>2</v>
      </c>
      <c r="AG443">
        <f t="shared" si="51"/>
        <v>2</v>
      </c>
      <c r="AH443">
        <f t="shared" si="52"/>
        <v>2</v>
      </c>
      <c r="AI443">
        <f t="shared" si="53"/>
        <v>2</v>
      </c>
      <c r="AJ443">
        <f t="shared" si="54"/>
        <v>175</v>
      </c>
      <c r="AK443" t="str">
        <f t="shared" si="55"/>
        <v>High</v>
      </c>
    </row>
    <row r="444" spans="1:37" x14ac:dyDescent="0.3">
      <c r="A444">
        <v>62</v>
      </c>
      <c r="B444">
        <v>2025</v>
      </c>
      <c r="C444">
        <v>983</v>
      </c>
      <c r="D444">
        <v>56</v>
      </c>
      <c r="E444">
        <v>42</v>
      </c>
      <c r="F444">
        <v>2609.4699999999998</v>
      </c>
      <c r="G444">
        <v>4.2726E-2</v>
      </c>
      <c r="H444">
        <v>28</v>
      </c>
      <c r="I444">
        <v>28</v>
      </c>
      <c r="J444">
        <v>10</v>
      </c>
      <c r="K444">
        <v>18</v>
      </c>
      <c r="L444">
        <v>1</v>
      </c>
      <c r="M444">
        <v>9</v>
      </c>
      <c r="N444">
        <v>12</v>
      </c>
      <c r="O444">
        <v>4</v>
      </c>
      <c r="P444" t="s">
        <v>85</v>
      </c>
      <c r="Q444" t="str">
        <f>VLOOKUP(A444,Cleaned_Seller_Master!$A:$H,2,FALSE)</f>
        <v>Blue Source 062</v>
      </c>
      <c r="R444" t="str">
        <f>VLOOKUP(A444,Cleaned_Seller_Master!$A:$H,4,FALSE)</f>
        <v>Electronics</v>
      </c>
      <c r="S444" t="str">
        <f>VLOOKUP(A444,Cleaned_Seller_Master!$A:$H,5,FALSE)</f>
        <v>South</v>
      </c>
      <c r="T444" t="str">
        <f>VLOOKUP(A444,Cleaned_Seller_Master!$A:$H,8,FALSE)</f>
        <v>Standard</v>
      </c>
      <c r="U444" t="str">
        <f>VLOOKUP(A444,Cleaned_Seller_Master!$A:$H,7,FALSE)</f>
        <v>20-10-2024</v>
      </c>
      <c r="V444">
        <f>IFERROR(INDEX(Violation_Summary_Seller_Year!$C:$C,MATCH(AD444,Violation_Summary_Seller_Year!$K:$K,0)),0)</f>
        <v>3</v>
      </c>
      <c r="W444">
        <f>IFERROR(INDEX(Violation_Summary_Seller_Year!$D:$D,MATCH(AD444,Violation_Summary_Seller_Year!$K:$K,0)),0)</f>
        <v>12141.119999999999</v>
      </c>
      <c r="X444">
        <f>IFERROR(INDEX(Violation_Summary_Seller_Year!$E:$E,MATCH(AD444,Violation_Summary_Seller_Year!$K:$K,0)),0)</f>
        <v>3</v>
      </c>
      <c r="Y444">
        <f>IFERROR(INDEX(Violation_Summary_Seller_Year!$F:$F,MATCH(AD444,Violation_Summary_Seller_Year!$K:$K,0)),0)</f>
        <v>1</v>
      </c>
      <c r="Z444">
        <f>IFERROR(INDEX(Violation_Summary_Seller_Year!$G:$G,MATCH(AD444,Violation_Summary_Seller_Year!$K:$K,0)),0)</f>
        <v>2</v>
      </c>
      <c r="AA444">
        <f>IFERROR(INDEX(Violation_Summary_Seller_Year!$H:$H,MATCH(AD444,Violation_Summary_Seller_Year!$K:$K,0)),0)</f>
        <v>2</v>
      </c>
      <c r="AB444">
        <f>IFERROR(INDEX(Violation_Summary_Seller_Year!$I:$I,MATCH(AD444,Violation_Summary_Seller_Year!$K:$K,0)),0)</f>
        <v>3</v>
      </c>
      <c r="AC444">
        <f>IFERROR(INDEX(Violation_Summary_Seller_Year!$J:$J,MATCH(AD444,Violation_Summary_Seller_Year!$K:$K,0)),0)</f>
        <v>31</v>
      </c>
      <c r="AD444" t="str">
        <f t="shared" si="48"/>
        <v>62_2025</v>
      </c>
      <c r="AE444">
        <f t="shared" si="49"/>
        <v>0</v>
      </c>
      <c r="AF444">
        <f t="shared" si="50"/>
        <v>2</v>
      </c>
      <c r="AG444">
        <f t="shared" si="51"/>
        <v>2</v>
      </c>
      <c r="AH444">
        <f t="shared" si="52"/>
        <v>2</v>
      </c>
      <c r="AI444">
        <f t="shared" si="53"/>
        <v>2</v>
      </c>
      <c r="AJ444">
        <f t="shared" si="54"/>
        <v>150</v>
      </c>
      <c r="AK444" t="str">
        <f t="shared" si="55"/>
        <v>High</v>
      </c>
    </row>
    <row r="445" spans="1:37" x14ac:dyDescent="0.3">
      <c r="A445">
        <v>63</v>
      </c>
      <c r="B445">
        <v>2025</v>
      </c>
      <c r="C445">
        <v>688</v>
      </c>
      <c r="D445">
        <v>61</v>
      </c>
      <c r="E445">
        <v>44</v>
      </c>
      <c r="F445">
        <v>1880.3</v>
      </c>
      <c r="G445">
        <v>6.3952999999999996E-2</v>
      </c>
      <c r="H445">
        <v>27</v>
      </c>
      <c r="I445">
        <v>27</v>
      </c>
      <c r="J445">
        <v>11</v>
      </c>
      <c r="K445">
        <v>7</v>
      </c>
      <c r="L445">
        <v>0</v>
      </c>
      <c r="M445">
        <v>1</v>
      </c>
      <c r="N445">
        <v>3</v>
      </c>
      <c r="O445">
        <v>3</v>
      </c>
      <c r="P445" t="s">
        <v>175</v>
      </c>
      <c r="Q445" t="str">
        <f>VLOOKUP(A445,Cleaned_Seller_Master!$A:$H,2,FALSE)</f>
        <v>Vertex Supply 063</v>
      </c>
      <c r="R445" t="str">
        <f>VLOOKUP(A445,Cleaned_Seller_Master!$A:$H,4,FALSE)</f>
        <v>Home</v>
      </c>
      <c r="S445" t="str">
        <f>VLOOKUP(A445,Cleaned_Seller_Master!$A:$H,5,FALSE)</f>
        <v>East</v>
      </c>
      <c r="T445" t="str">
        <f>VLOOKUP(A445,Cleaned_Seller_Master!$A:$H,8,FALSE)</f>
        <v>Standard</v>
      </c>
      <c r="U445" t="str">
        <f>VLOOKUP(A445,Cleaned_Seller_Master!$A:$H,7,FALSE)</f>
        <v>24-10-2018</v>
      </c>
      <c r="V445">
        <f>IFERROR(INDEX(Violation_Summary_Seller_Year!$C:$C,MATCH(AD445,Violation_Summary_Seller_Year!$K:$K,0)),0)</f>
        <v>5</v>
      </c>
      <c r="W445">
        <f>IFERROR(INDEX(Violation_Summary_Seller_Year!$D:$D,MATCH(AD445,Violation_Summary_Seller_Year!$K:$K,0)),0)</f>
        <v>5455.7999999999993</v>
      </c>
      <c r="X445">
        <f>IFERROR(INDEX(Violation_Summary_Seller_Year!$E:$E,MATCH(AD445,Violation_Summary_Seller_Year!$K:$K,0)),0)</f>
        <v>0</v>
      </c>
      <c r="Y445">
        <f>IFERROR(INDEX(Violation_Summary_Seller_Year!$F:$F,MATCH(AD445,Violation_Summary_Seller_Year!$K:$K,0)),0)</f>
        <v>2</v>
      </c>
      <c r="Z445">
        <f>IFERROR(INDEX(Violation_Summary_Seller_Year!$G:$G,MATCH(AD445,Violation_Summary_Seller_Year!$K:$K,0)),0)</f>
        <v>3</v>
      </c>
      <c r="AA445">
        <f>IFERROR(INDEX(Violation_Summary_Seller_Year!$H:$H,MATCH(AD445,Violation_Summary_Seller_Year!$K:$K,0)),0)</f>
        <v>1</v>
      </c>
      <c r="AB445">
        <f>IFERROR(INDEX(Violation_Summary_Seller_Year!$I:$I,MATCH(AD445,Violation_Summary_Seller_Year!$K:$K,0)),0)</f>
        <v>2</v>
      </c>
      <c r="AC445">
        <f>IFERROR(INDEX(Violation_Summary_Seller_Year!$J:$J,MATCH(AD445,Violation_Summary_Seller_Year!$K:$K,0)),0)</f>
        <v>42</v>
      </c>
      <c r="AD445" t="str">
        <f t="shared" si="48"/>
        <v>63_2025</v>
      </c>
      <c r="AE445">
        <f t="shared" si="49"/>
        <v>1</v>
      </c>
      <c r="AF445">
        <f t="shared" si="50"/>
        <v>2</v>
      </c>
      <c r="AG445">
        <f t="shared" si="51"/>
        <v>2</v>
      </c>
      <c r="AH445">
        <f t="shared" si="52"/>
        <v>0</v>
      </c>
      <c r="AI445">
        <f t="shared" si="53"/>
        <v>1</v>
      </c>
      <c r="AJ445">
        <f t="shared" si="54"/>
        <v>125</v>
      </c>
      <c r="AK445" t="str">
        <f t="shared" si="55"/>
        <v>High</v>
      </c>
    </row>
    <row r="446" spans="1:37" x14ac:dyDescent="0.3">
      <c r="A446">
        <v>64</v>
      </c>
      <c r="B446">
        <v>2025</v>
      </c>
      <c r="C446">
        <v>1328</v>
      </c>
      <c r="D446">
        <v>91</v>
      </c>
      <c r="E446">
        <v>82</v>
      </c>
      <c r="F446">
        <v>5313.32</v>
      </c>
      <c r="G446">
        <v>6.1747000000000003E-2</v>
      </c>
      <c r="H446">
        <v>30</v>
      </c>
      <c r="I446">
        <v>35</v>
      </c>
      <c r="J446">
        <v>14</v>
      </c>
      <c r="K446">
        <v>12</v>
      </c>
      <c r="L446">
        <v>1</v>
      </c>
      <c r="M446">
        <v>4</v>
      </c>
      <c r="N446">
        <v>6</v>
      </c>
      <c r="O446">
        <v>6</v>
      </c>
      <c r="P446" t="s">
        <v>85</v>
      </c>
      <c r="Q446" t="str">
        <f>VLOOKUP(A446,Cleaned_Seller_Master!$A:$H,2,FALSE)</f>
        <v>Zen Mart 064</v>
      </c>
      <c r="R446" t="str">
        <f>VLOOKUP(A446,Cleaned_Seller_Master!$A:$H,4,FALSE)</f>
        <v>Groceries</v>
      </c>
      <c r="S446" t="str">
        <f>VLOOKUP(A446,Cleaned_Seller_Master!$A:$H,5,FALSE)</f>
        <v>North</v>
      </c>
      <c r="T446" t="str">
        <f>VLOOKUP(A446,Cleaned_Seller_Master!$A:$H,8,FALSE)</f>
        <v>Verified</v>
      </c>
      <c r="U446" t="str">
        <f>VLOOKUP(A446,Cleaned_Seller_Master!$A:$H,7,FALSE)</f>
        <v>15-07-2017</v>
      </c>
      <c r="V446">
        <f>IFERROR(INDEX(Violation_Summary_Seller_Year!$C:$C,MATCH(AD446,Violation_Summary_Seller_Year!$K:$K,0)),0)</f>
        <v>1</v>
      </c>
      <c r="W446">
        <f>IFERROR(INDEX(Violation_Summary_Seller_Year!$D:$D,MATCH(AD446,Violation_Summary_Seller_Year!$K:$K,0)),0)</f>
        <v>19.510000000000002</v>
      </c>
      <c r="X446">
        <f>IFERROR(INDEX(Violation_Summary_Seller_Year!$E:$E,MATCH(AD446,Violation_Summary_Seller_Year!$K:$K,0)),0)</f>
        <v>0</v>
      </c>
      <c r="Y446">
        <f>IFERROR(INDEX(Violation_Summary_Seller_Year!$F:$F,MATCH(AD446,Violation_Summary_Seller_Year!$K:$K,0)),0)</f>
        <v>1</v>
      </c>
      <c r="Z446">
        <f>IFERROR(INDEX(Violation_Summary_Seller_Year!$G:$G,MATCH(AD446,Violation_Summary_Seller_Year!$K:$K,0)),0)</f>
        <v>0</v>
      </c>
      <c r="AA446">
        <f>IFERROR(INDEX(Violation_Summary_Seller_Year!$H:$H,MATCH(AD446,Violation_Summary_Seller_Year!$K:$K,0)),0)</f>
        <v>0</v>
      </c>
      <c r="AB446">
        <f>IFERROR(INDEX(Violation_Summary_Seller_Year!$I:$I,MATCH(AD446,Violation_Summary_Seller_Year!$K:$K,0)),0)</f>
        <v>0</v>
      </c>
      <c r="AC446">
        <f>IFERROR(INDEX(Violation_Summary_Seller_Year!$J:$J,MATCH(AD446,Violation_Summary_Seller_Year!$K:$K,0)),0)</f>
        <v>14</v>
      </c>
      <c r="AD446" t="str">
        <f t="shared" si="48"/>
        <v>64_2025</v>
      </c>
      <c r="AE446">
        <f t="shared" si="49"/>
        <v>1</v>
      </c>
      <c r="AF446">
        <f t="shared" si="50"/>
        <v>2</v>
      </c>
      <c r="AG446">
        <f t="shared" si="51"/>
        <v>0</v>
      </c>
      <c r="AH446">
        <f t="shared" si="52"/>
        <v>2</v>
      </c>
      <c r="AI446">
        <f t="shared" si="53"/>
        <v>2</v>
      </c>
      <c r="AJ446">
        <f t="shared" si="54"/>
        <v>135</v>
      </c>
      <c r="AK446" t="str">
        <f t="shared" si="55"/>
        <v>High</v>
      </c>
    </row>
    <row r="447" spans="1:37" x14ac:dyDescent="0.3">
      <c r="A447">
        <v>65</v>
      </c>
      <c r="B447">
        <v>2025</v>
      </c>
      <c r="C447">
        <v>914</v>
      </c>
      <c r="D447">
        <v>50</v>
      </c>
      <c r="E447">
        <v>40</v>
      </c>
      <c r="F447">
        <v>3233.21</v>
      </c>
      <c r="G447">
        <v>4.3763999999999997E-2</v>
      </c>
      <c r="H447">
        <v>6</v>
      </c>
      <c r="I447">
        <v>15</v>
      </c>
      <c r="J447">
        <v>9</v>
      </c>
      <c r="K447">
        <v>3</v>
      </c>
      <c r="L447">
        <v>0</v>
      </c>
      <c r="M447">
        <v>1</v>
      </c>
      <c r="N447">
        <v>2</v>
      </c>
      <c r="O447">
        <v>2</v>
      </c>
      <c r="P447" t="s">
        <v>175</v>
      </c>
      <c r="Q447" t="str">
        <f>VLOOKUP(A447,Cleaned_Seller_Master!$A:$H,2,FALSE)</f>
        <v>True House 065</v>
      </c>
      <c r="R447" t="str">
        <f>VLOOKUP(A447,Cleaned_Seller_Master!$A:$H,4,FALSE)</f>
        <v>Electronics</v>
      </c>
      <c r="S447" t="str">
        <f>VLOOKUP(A447,Cleaned_Seller_Master!$A:$H,5,FALSE)</f>
        <v>South</v>
      </c>
      <c r="T447" t="str">
        <f>VLOOKUP(A447,Cleaned_Seller_Master!$A:$H,8,FALSE)</f>
        <v>Verified</v>
      </c>
      <c r="U447" t="str">
        <f>VLOOKUP(A447,Cleaned_Seller_Master!$A:$H,7,FALSE)</f>
        <v>04-07-2021</v>
      </c>
      <c r="V447">
        <f>IFERROR(INDEX(Violation_Summary_Seller_Year!$C:$C,MATCH(AD447,Violation_Summary_Seller_Year!$K:$K,0)),0)</f>
        <v>3</v>
      </c>
      <c r="W447">
        <f>IFERROR(INDEX(Violation_Summary_Seller_Year!$D:$D,MATCH(AD447,Violation_Summary_Seller_Year!$K:$K,0)),0)</f>
        <v>539.26</v>
      </c>
      <c r="X447">
        <f>IFERROR(INDEX(Violation_Summary_Seller_Year!$E:$E,MATCH(AD447,Violation_Summary_Seller_Year!$K:$K,0)),0)</f>
        <v>0</v>
      </c>
      <c r="Y447">
        <f>IFERROR(INDEX(Violation_Summary_Seller_Year!$F:$F,MATCH(AD447,Violation_Summary_Seller_Year!$K:$K,0)),0)</f>
        <v>1</v>
      </c>
      <c r="Z447">
        <f>IFERROR(INDEX(Violation_Summary_Seller_Year!$G:$G,MATCH(AD447,Violation_Summary_Seller_Year!$K:$K,0)),0)</f>
        <v>2</v>
      </c>
      <c r="AA447">
        <f>IFERROR(INDEX(Violation_Summary_Seller_Year!$H:$H,MATCH(AD447,Violation_Summary_Seller_Year!$K:$K,0)),0)</f>
        <v>0</v>
      </c>
      <c r="AB447">
        <f>IFERROR(INDEX(Violation_Summary_Seller_Year!$I:$I,MATCH(AD447,Violation_Summary_Seller_Year!$K:$K,0)),0)</f>
        <v>0</v>
      </c>
      <c r="AC447">
        <f>IFERROR(INDEX(Violation_Summary_Seller_Year!$J:$J,MATCH(AD447,Violation_Summary_Seller_Year!$K:$K,0)),0)</f>
        <v>13</v>
      </c>
      <c r="AD447" t="str">
        <f t="shared" si="48"/>
        <v>65_2025</v>
      </c>
      <c r="AE447">
        <f t="shared" si="49"/>
        <v>0</v>
      </c>
      <c r="AF447">
        <f t="shared" si="50"/>
        <v>1</v>
      </c>
      <c r="AG447">
        <f t="shared" si="51"/>
        <v>1</v>
      </c>
      <c r="AH447">
        <f t="shared" si="52"/>
        <v>0</v>
      </c>
      <c r="AI447">
        <f t="shared" si="53"/>
        <v>1</v>
      </c>
      <c r="AJ447">
        <f t="shared" si="54"/>
        <v>55</v>
      </c>
      <c r="AK447" t="str">
        <f t="shared" si="55"/>
        <v>Low</v>
      </c>
    </row>
    <row r="448" spans="1:37" x14ac:dyDescent="0.3">
      <c r="A448">
        <v>67</v>
      </c>
      <c r="B448">
        <v>2025</v>
      </c>
      <c r="C448">
        <v>1040</v>
      </c>
      <c r="D448">
        <v>87</v>
      </c>
      <c r="E448">
        <v>71</v>
      </c>
      <c r="F448">
        <v>4753.04</v>
      </c>
      <c r="G448">
        <v>6.8268999999999996E-2</v>
      </c>
      <c r="H448">
        <v>14</v>
      </c>
      <c r="I448">
        <v>29</v>
      </c>
      <c r="J448">
        <v>10</v>
      </c>
      <c r="K448">
        <v>8</v>
      </c>
      <c r="L448">
        <v>0</v>
      </c>
      <c r="M448">
        <v>2</v>
      </c>
      <c r="N448">
        <v>2</v>
      </c>
      <c r="O448">
        <v>3</v>
      </c>
      <c r="P448" t="s">
        <v>175</v>
      </c>
      <c r="Q448" t="str">
        <f>VLOOKUP(A448,Cleaned_Seller_Master!$A:$H,2,FALSE)</f>
        <v>Urban Works 067</v>
      </c>
      <c r="R448" t="str">
        <f>VLOOKUP(A448,Cleaned_Seller_Master!$A:$H,4,FALSE)</f>
        <v>Groceries</v>
      </c>
      <c r="S448" t="str">
        <f>VLOOKUP(A448,Cleaned_Seller_Master!$A:$H,5,FALSE)</f>
        <v>North</v>
      </c>
      <c r="T448" t="str">
        <f>VLOOKUP(A448,Cleaned_Seller_Master!$A:$H,8,FALSE)</f>
        <v>Verified</v>
      </c>
      <c r="U448" t="str">
        <f>VLOOKUP(A448,Cleaned_Seller_Master!$A:$H,7,FALSE)</f>
        <v>09-10-2022</v>
      </c>
      <c r="V448">
        <f>IFERROR(INDEX(Violation_Summary_Seller_Year!$C:$C,MATCH(AD448,Violation_Summary_Seller_Year!$K:$K,0)),0)</f>
        <v>5</v>
      </c>
      <c r="W448">
        <f>IFERROR(INDEX(Violation_Summary_Seller_Year!$D:$D,MATCH(AD448,Violation_Summary_Seller_Year!$K:$K,0)),0)</f>
        <v>4148.01</v>
      </c>
      <c r="X448">
        <f>IFERROR(INDEX(Violation_Summary_Seller_Year!$E:$E,MATCH(AD448,Violation_Summary_Seller_Year!$K:$K,0)),0)</f>
        <v>0</v>
      </c>
      <c r="Y448">
        <f>IFERROR(INDEX(Violation_Summary_Seller_Year!$F:$F,MATCH(AD448,Violation_Summary_Seller_Year!$K:$K,0)),0)</f>
        <v>4</v>
      </c>
      <c r="Z448">
        <f>IFERROR(INDEX(Violation_Summary_Seller_Year!$G:$G,MATCH(AD448,Violation_Summary_Seller_Year!$K:$K,0)),0)</f>
        <v>1</v>
      </c>
      <c r="AA448">
        <f>IFERROR(INDEX(Violation_Summary_Seller_Year!$H:$H,MATCH(AD448,Violation_Summary_Seller_Year!$K:$K,0)),0)</f>
        <v>1</v>
      </c>
      <c r="AB448">
        <f>IFERROR(INDEX(Violation_Summary_Seller_Year!$I:$I,MATCH(AD448,Violation_Summary_Seller_Year!$K:$K,0)),0)</f>
        <v>2</v>
      </c>
      <c r="AC448">
        <f>IFERROR(INDEX(Violation_Summary_Seller_Year!$J:$J,MATCH(AD448,Violation_Summary_Seller_Year!$K:$K,0)),0)</f>
        <v>54</v>
      </c>
      <c r="AD448" t="str">
        <f t="shared" si="48"/>
        <v>67_2025</v>
      </c>
      <c r="AE448">
        <f t="shared" si="49"/>
        <v>1</v>
      </c>
      <c r="AF448">
        <f t="shared" si="50"/>
        <v>2</v>
      </c>
      <c r="AG448">
        <f t="shared" si="51"/>
        <v>2</v>
      </c>
      <c r="AH448">
        <f t="shared" si="52"/>
        <v>0</v>
      </c>
      <c r="AI448">
        <f t="shared" si="53"/>
        <v>1</v>
      </c>
      <c r="AJ448">
        <f t="shared" si="54"/>
        <v>125</v>
      </c>
      <c r="AK448" t="str">
        <f t="shared" si="55"/>
        <v>High</v>
      </c>
    </row>
    <row r="449" spans="1:37" x14ac:dyDescent="0.3">
      <c r="A449">
        <v>68</v>
      </c>
      <c r="B449">
        <v>2025</v>
      </c>
      <c r="C449">
        <v>1050</v>
      </c>
      <c r="D449">
        <v>59</v>
      </c>
      <c r="E449">
        <v>55</v>
      </c>
      <c r="F449">
        <v>2463.42</v>
      </c>
      <c r="G449">
        <v>5.2380999999999997E-2</v>
      </c>
      <c r="H449">
        <v>20</v>
      </c>
      <c r="I449">
        <v>27</v>
      </c>
      <c r="J449">
        <v>8</v>
      </c>
      <c r="K449">
        <v>17</v>
      </c>
      <c r="L449">
        <v>0</v>
      </c>
      <c r="M449">
        <v>5</v>
      </c>
      <c r="N449">
        <v>7</v>
      </c>
      <c r="O449">
        <v>1</v>
      </c>
      <c r="P449" t="s">
        <v>175</v>
      </c>
      <c r="Q449" t="str">
        <f>VLOOKUP(A449,Cleaned_Seller_Master!$A:$H,2,FALSE)</f>
        <v>Bright Nest 068</v>
      </c>
      <c r="R449" t="str">
        <f>VLOOKUP(A449,Cleaned_Seller_Master!$A:$H,4,FALSE)</f>
        <v>Fashion</v>
      </c>
      <c r="S449" t="str">
        <f>VLOOKUP(A449,Cleaned_Seller_Master!$A:$H,5,FALSE)</f>
        <v>Southeast Asia</v>
      </c>
      <c r="T449" t="str">
        <f>VLOOKUP(A449,Cleaned_Seller_Master!$A:$H,8,FALSE)</f>
        <v>Premium</v>
      </c>
      <c r="U449" t="str">
        <f>VLOOKUP(A449,Cleaned_Seller_Master!$A:$H,7,FALSE)</f>
        <v>17-08-2020</v>
      </c>
      <c r="V449">
        <f>IFERROR(INDEX(Violation_Summary_Seller_Year!$C:$C,MATCH(AD449,Violation_Summary_Seller_Year!$K:$K,0)),0)</f>
        <v>3</v>
      </c>
      <c r="W449">
        <f>IFERROR(INDEX(Violation_Summary_Seller_Year!$D:$D,MATCH(AD449,Violation_Summary_Seller_Year!$K:$K,0)),0)</f>
        <v>2858.7200000000003</v>
      </c>
      <c r="X449">
        <f>IFERROR(INDEX(Violation_Summary_Seller_Year!$E:$E,MATCH(AD449,Violation_Summary_Seller_Year!$K:$K,0)),0)</f>
        <v>0</v>
      </c>
      <c r="Y449">
        <f>IFERROR(INDEX(Violation_Summary_Seller_Year!$F:$F,MATCH(AD449,Violation_Summary_Seller_Year!$K:$K,0)),0)</f>
        <v>3</v>
      </c>
      <c r="Z449">
        <f>IFERROR(INDEX(Violation_Summary_Seller_Year!$G:$G,MATCH(AD449,Violation_Summary_Seller_Year!$K:$K,0)),0)</f>
        <v>0</v>
      </c>
      <c r="AA449">
        <f>IFERROR(INDEX(Violation_Summary_Seller_Year!$H:$H,MATCH(AD449,Violation_Summary_Seller_Year!$K:$K,0)),0)</f>
        <v>0</v>
      </c>
      <c r="AB449">
        <f>IFERROR(INDEX(Violation_Summary_Seller_Year!$I:$I,MATCH(AD449,Violation_Summary_Seller_Year!$K:$K,0)),0)</f>
        <v>0</v>
      </c>
      <c r="AC449">
        <f>IFERROR(INDEX(Violation_Summary_Seller_Year!$J:$J,MATCH(AD449,Violation_Summary_Seller_Year!$K:$K,0)),0)</f>
        <v>20</v>
      </c>
      <c r="AD449" t="str">
        <f t="shared" si="48"/>
        <v>68_2025</v>
      </c>
      <c r="AE449">
        <f t="shared" si="49"/>
        <v>1</v>
      </c>
      <c r="AF449">
        <f t="shared" si="50"/>
        <v>2</v>
      </c>
      <c r="AG449">
        <f t="shared" si="51"/>
        <v>1</v>
      </c>
      <c r="AH449">
        <f t="shared" si="52"/>
        <v>0</v>
      </c>
      <c r="AI449">
        <f t="shared" si="53"/>
        <v>1</v>
      </c>
      <c r="AJ449">
        <f t="shared" si="54"/>
        <v>105</v>
      </c>
      <c r="AK449" t="str">
        <f t="shared" si="55"/>
        <v>Medium</v>
      </c>
    </row>
    <row r="450" spans="1:37" x14ac:dyDescent="0.3">
      <c r="A450">
        <v>69</v>
      </c>
      <c r="B450">
        <v>2025</v>
      </c>
      <c r="C450">
        <v>1155</v>
      </c>
      <c r="D450">
        <v>114</v>
      </c>
      <c r="E450">
        <v>99</v>
      </c>
      <c r="F450">
        <v>8049.58</v>
      </c>
      <c r="G450">
        <v>8.5713999999999999E-2</v>
      </c>
      <c r="H450">
        <v>28</v>
      </c>
      <c r="I450">
        <v>39</v>
      </c>
      <c r="J450">
        <v>23</v>
      </c>
      <c r="K450">
        <v>15</v>
      </c>
      <c r="L450">
        <v>1</v>
      </c>
      <c r="M450">
        <v>5</v>
      </c>
      <c r="N450">
        <v>9</v>
      </c>
      <c r="O450">
        <v>2</v>
      </c>
      <c r="P450" t="s">
        <v>85</v>
      </c>
      <c r="Q450" t="str">
        <f>VLOOKUP(A450,Cleaned_Seller_Master!$A:$H,2,FALSE)</f>
        <v>Golden Hub 069</v>
      </c>
      <c r="R450" t="str">
        <f>VLOOKUP(A450,Cleaned_Seller_Master!$A:$H,4,FALSE)</f>
        <v>Electronics</v>
      </c>
      <c r="S450" t="str">
        <f>VLOOKUP(A450,Cleaned_Seller_Master!$A:$H,5,FALSE)</f>
        <v>West</v>
      </c>
      <c r="T450" t="str">
        <f>VLOOKUP(A450,Cleaned_Seller_Master!$A:$H,8,FALSE)</f>
        <v>Verified</v>
      </c>
      <c r="U450" t="str">
        <f>VLOOKUP(A450,Cleaned_Seller_Master!$A:$H,7,FALSE)</f>
        <v>11-06-2024</v>
      </c>
      <c r="V450">
        <f>IFERROR(INDEX(Violation_Summary_Seller_Year!$C:$C,MATCH(AD450,Violation_Summary_Seller_Year!$K:$K,0)),0)</f>
        <v>4</v>
      </c>
      <c r="W450">
        <f>IFERROR(INDEX(Violation_Summary_Seller_Year!$D:$D,MATCH(AD450,Violation_Summary_Seller_Year!$K:$K,0)),0)</f>
        <v>10213.540000000001</v>
      </c>
      <c r="X450">
        <f>IFERROR(INDEX(Violation_Summary_Seller_Year!$E:$E,MATCH(AD450,Violation_Summary_Seller_Year!$K:$K,0)),0)</f>
        <v>1</v>
      </c>
      <c r="Y450">
        <f>IFERROR(INDEX(Violation_Summary_Seller_Year!$F:$F,MATCH(AD450,Violation_Summary_Seller_Year!$K:$K,0)),0)</f>
        <v>1</v>
      </c>
      <c r="Z450">
        <f>IFERROR(INDEX(Violation_Summary_Seller_Year!$G:$G,MATCH(AD450,Violation_Summary_Seller_Year!$K:$K,0)),0)</f>
        <v>3</v>
      </c>
      <c r="AA450">
        <f>IFERROR(INDEX(Violation_Summary_Seller_Year!$H:$H,MATCH(AD450,Violation_Summary_Seller_Year!$K:$K,0)),0)</f>
        <v>2</v>
      </c>
      <c r="AB450">
        <f>IFERROR(INDEX(Violation_Summary_Seller_Year!$I:$I,MATCH(AD450,Violation_Summary_Seller_Year!$K:$K,0)),0)</f>
        <v>3</v>
      </c>
      <c r="AC450">
        <f>IFERROR(INDEX(Violation_Summary_Seller_Year!$J:$J,MATCH(AD450,Violation_Summary_Seller_Year!$K:$K,0)),0)</f>
        <v>47</v>
      </c>
      <c r="AD450" t="str">
        <f t="shared" ref="AD450:AD480" si="56">A450&amp;"_"&amp;B450</f>
        <v>69_2025</v>
      </c>
      <c r="AE450">
        <f t="shared" ref="AE450:AE480" si="57">IF(G450&gt;=0.1,2,IF(G450&gt;=0.05,1,0))</f>
        <v>1</v>
      </c>
      <c r="AF450">
        <f t="shared" ref="AF450:AF480" si="58">IF(H450&gt;=8,2,IF(H450&gt;=4,1,0))</f>
        <v>2</v>
      </c>
      <c r="AG450">
        <f t="shared" ref="AG450:AG480" si="59">IF(OR(AA450&gt;=2,V450&gt;=5),2,IF(OR(AA450&gt;=1,V450&gt;=2),1,0))</f>
        <v>2</v>
      </c>
      <c r="AH450">
        <f t="shared" ref="AH450:AH480" si="60">IF(OR(L450=1,X450&gt;=2),2,IF(X450&gt;=1,1,0))</f>
        <v>2</v>
      </c>
      <c r="AI450">
        <f t="shared" ref="AI450:AI480" si="61">IF(OR(P450="Suspended",P450="Blocked"),2,IF(OR(P450="Under Review",P450="Warning",P450="Review Required",P450="Restricted",P450="Watchlist"),1,0))</f>
        <v>2</v>
      </c>
      <c r="AJ450">
        <f t="shared" ref="AJ450:AJ480" si="62">(AE450*25)+(AF450*25)+(AG450*20)+(AH450*20)+(AI450*10)</f>
        <v>175</v>
      </c>
      <c r="AK450" t="str">
        <f t="shared" ref="AK450:AK480" si="63">IF(AJ450&gt;=120,"High",IF(AJ450&gt;=60,"Medium","Low"))</f>
        <v>High</v>
      </c>
    </row>
    <row r="451" spans="1:37" x14ac:dyDescent="0.3">
      <c r="A451">
        <v>70</v>
      </c>
      <c r="B451">
        <v>2025</v>
      </c>
      <c r="C451">
        <v>1222</v>
      </c>
      <c r="D451">
        <v>115</v>
      </c>
      <c r="E451">
        <v>89</v>
      </c>
      <c r="F451">
        <v>7792.71</v>
      </c>
      <c r="G451">
        <v>7.2831000000000007E-2</v>
      </c>
      <c r="H451">
        <v>24</v>
      </c>
      <c r="I451">
        <v>37</v>
      </c>
      <c r="J451">
        <v>17</v>
      </c>
      <c r="K451">
        <v>12</v>
      </c>
      <c r="L451">
        <v>1</v>
      </c>
      <c r="M451">
        <v>4</v>
      </c>
      <c r="N451">
        <v>5</v>
      </c>
      <c r="O451">
        <v>4</v>
      </c>
      <c r="P451" t="s">
        <v>85</v>
      </c>
      <c r="Q451" t="str">
        <f>VLOOKUP(A451,Cleaned_Seller_Master!$A:$H,2,FALSE)</f>
        <v>Ever Merchants 070</v>
      </c>
      <c r="R451" t="str">
        <f>VLOOKUP(A451,Cleaned_Seller_Master!$A:$H,4,FALSE)</f>
        <v>Groceries</v>
      </c>
      <c r="S451" t="str">
        <f>VLOOKUP(A451,Cleaned_Seller_Master!$A:$H,5,FALSE)</f>
        <v>North</v>
      </c>
      <c r="T451" t="str">
        <f>VLOOKUP(A451,Cleaned_Seller_Master!$A:$H,8,FALSE)</f>
        <v>Premium</v>
      </c>
      <c r="U451" t="str">
        <f>VLOOKUP(A451,Cleaned_Seller_Master!$A:$H,7,FALSE)</f>
        <v>09-06-2019</v>
      </c>
      <c r="V451">
        <f>IFERROR(INDEX(Violation_Summary_Seller_Year!$C:$C,MATCH(AD451,Violation_Summary_Seller_Year!$K:$K,0)),0)</f>
        <v>3</v>
      </c>
      <c r="W451">
        <f>IFERROR(INDEX(Violation_Summary_Seller_Year!$D:$D,MATCH(AD451,Violation_Summary_Seller_Year!$K:$K,0)),0)</f>
        <v>3861.84</v>
      </c>
      <c r="X451">
        <f>IFERROR(INDEX(Violation_Summary_Seller_Year!$E:$E,MATCH(AD451,Violation_Summary_Seller_Year!$K:$K,0)),0)</f>
        <v>1</v>
      </c>
      <c r="Y451">
        <f>IFERROR(INDEX(Violation_Summary_Seller_Year!$F:$F,MATCH(AD451,Violation_Summary_Seller_Year!$K:$K,0)),0)</f>
        <v>2</v>
      </c>
      <c r="Z451">
        <f>IFERROR(INDEX(Violation_Summary_Seller_Year!$G:$G,MATCH(AD451,Violation_Summary_Seller_Year!$K:$K,0)),0)</f>
        <v>1</v>
      </c>
      <c r="AA451">
        <f>IFERROR(INDEX(Violation_Summary_Seller_Year!$H:$H,MATCH(AD451,Violation_Summary_Seller_Year!$K:$K,0)),0)</f>
        <v>2</v>
      </c>
      <c r="AB451">
        <f>IFERROR(INDEX(Violation_Summary_Seller_Year!$I:$I,MATCH(AD451,Violation_Summary_Seller_Year!$K:$K,0)),0)</f>
        <v>2</v>
      </c>
      <c r="AC451">
        <f>IFERROR(INDEX(Violation_Summary_Seller_Year!$J:$J,MATCH(AD451,Violation_Summary_Seller_Year!$K:$K,0)),0)</f>
        <v>27</v>
      </c>
      <c r="AD451" t="str">
        <f t="shared" si="56"/>
        <v>70_2025</v>
      </c>
      <c r="AE451">
        <f t="shared" si="57"/>
        <v>1</v>
      </c>
      <c r="AF451">
        <f t="shared" si="58"/>
        <v>2</v>
      </c>
      <c r="AG451">
        <f t="shared" si="59"/>
        <v>2</v>
      </c>
      <c r="AH451">
        <f t="shared" si="60"/>
        <v>2</v>
      </c>
      <c r="AI451">
        <f t="shared" si="61"/>
        <v>2</v>
      </c>
      <c r="AJ451">
        <f t="shared" si="62"/>
        <v>175</v>
      </c>
      <c r="AK451" t="str">
        <f t="shared" si="63"/>
        <v>High</v>
      </c>
    </row>
    <row r="452" spans="1:37" x14ac:dyDescent="0.3">
      <c r="A452">
        <v>71</v>
      </c>
      <c r="B452">
        <v>2025</v>
      </c>
      <c r="C452">
        <v>555</v>
      </c>
      <c r="D452">
        <v>32</v>
      </c>
      <c r="E452">
        <v>29</v>
      </c>
      <c r="F452">
        <v>2581.9899999999998</v>
      </c>
      <c r="G452">
        <v>5.2252E-2</v>
      </c>
      <c r="H452">
        <v>17</v>
      </c>
      <c r="I452">
        <v>17</v>
      </c>
      <c r="J452">
        <v>5</v>
      </c>
      <c r="K452">
        <v>8</v>
      </c>
      <c r="L452">
        <v>0</v>
      </c>
      <c r="M452">
        <v>1</v>
      </c>
      <c r="N452">
        <v>3</v>
      </c>
      <c r="O452">
        <v>2</v>
      </c>
      <c r="P452" t="s">
        <v>68</v>
      </c>
      <c r="Q452" t="str">
        <f>VLOOKUP(A452,Cleaned_Seller_Master!$A:$H,2,FALSE)</f>
        <v>Orbit Square 071</v>
      </c>
      <c r="R452" t="str">
        <f>VLOOKUP(A452,Cleaned_Seller_Master!$A:$H,4,FALSE)</f>
        <v>Groceries</v>
      </c>
      <c r="S452" t="str">
        <f>VLOOKUP(A452,Cleaned_Seller_Master!$A:$H,5,FALSE)</f>
        <v>West</v>
      </c>
      <c r="T452" t="str">
        <f>VLOOKUP(A452,Cleaned_Seller_Master!$A:$H,8,FALSE)</f>
        <v>Premium</v>
      </c>
      <c r="U452" t="str">
        <f>VLOOKUP(A452,Cleaned_Seller_Master!$A:$H,7,FALSE)</f>
        <v>17-04-2017</v>
      </c>
      <c r="V452">
        <f>IFERROR(INDEX(Violation_Summary_Seller_Year!$C:$C,MATCH(AD452,Violation_Summary_Seller_Year!$K:$K,0)),0)</f>
        <v>2</v>
      </c>
      <c r="W452">
        <f>IFERROR(INDEX(Violation_Summary_Seller_Year!$D:$D,MATCH(AD452,Violation_Summary_Seller_Year!$K:$K,0)),0)</f>
        <v>5092.0199999999995</v>
      </c>
      <c r="X452">
        <f>IFERROR(INDEX(Violation_Summary_Seller_Year!$E:$E,MATCH(AD452,Violation_Summary_Seller_Year!$K:$K,0)),0)</f>
        <v>0</v>
      </c>
      <c r="Y452">
        <f>IFERROR(INDEX(Violation_Summary_Seller_Year!$F:$F,MATCH(AD452,Violation_Summary_Seller_Year!$K:$K,0)),0)</f>
        <v>2</v>
      </c>
      <c r="Z452">
        <f>IFERROR(INDEX(Violation_Summary_Seller_Year!$G:$G,MATCH(AD452,Violation_Summary_Seller_Year!$K:$K,0)),0)</f>
        <v>0</v>
      </c>
      <c r="AA452">
        <f>IFERROR(INDEX(Violation_Summary_Seller_Year!$H:$H,MATCH(AD452,Violation_Summary_Seller_Year!$K:$K,0)),0)</f>
        <v>1</v>
      </c>
      <c r="AB452">
        <f>IFERROR(INDEX(Violation_Summary_Seller_Year!$I:$I,MATCH(AD452,Violation_Summary_Seller_Year!$K:$K,0)),0)</f>
        <v>1</v>
      </c>
      <c r="AC452">
        <f>IFERROR(INDEX(Violation_Summary_Seller_Year!$J:$J,MATCH(AD452,Violation_Summary_Seller_Year!$K:$K,0)),0)</f>
        <v>16</v>
      </c>
      <c r="AD452" t="str">
        <f t="shared" si="56"/>
        <v>71_2025</v>
      </c>
      <c r="AE452">
        <f t="shared" si="57"/>
        <v>1</v>
      </c>
      <c r="AF452">
        <f t="shared" si="58"/>
        <v>2</v>
      </c>
      <c r="AG452">
        <f t="shared" si="59"/>
        <v>1</v>
      </c>
      <c r="AH452">
        <f t="shared" si="60"/>
        <v>0</v>
      </c>
      <c r="AI452">
        <f t="shared" si="61"/>
        <v>1</v>
      </c>
      <c r="AJ452">
        <f t="shared" si="62"/>
        <v>105</v>
      </c>
      <c r="AK452" t="str">
        <f t="shared" si="63"/>
        <v>Medium</v>
      </c>
    </row>
    <row r="453" spans="1:37" x14ac:dyDescent="0.3">
      <c r="A453">
        <v>72</v>
      </c>
      <c r="B453">
        <v>2025</v>
      </c>
      <c r="C453">
        <v>375</v>
      </c>
      <c r="D453">
        <v>32</v>
      </c>
      <c r="E453">
        <v>29</v>
      </c>
      <c r="F453">
        <v>1816.14</v>
      </c>
      <c r="G453">
        <v>7.7332999999999999E-2</v>
      </c>
      <c r="H453">
        <v>11</v>
      </c>
      <c r="I453">
        <v>11</v>
      </c>
      <c r="J453">
        <v>4</v>
      </c>
      <c r="K453">
        <v>6</v>
      </c>
      <c r="L453">
        <v>0</v>
      </c>
      <c r="M453">
        <v>1</v>
      </c>
      <c r="N453">
        <v>2</v>
      </c>
      <c r="O453">
        <v>2</v>
      </c>
      <c r="P453" t="s">
        <v>175</v>
      </c>
      <c r="Q453" t="str">
        <f>VLOOKUP(A453,Cleaned_Seller_Master!$A:$H,2,FALSE)</f>
        <v>Pulse Commerce 072</v>
      </c>
      <c r="R453" t="str">
        <f>VLOOKUP(A453,Cleaned_Seller_Master!$A:$H,4,FALSE)</f>
        <v>Fashion</v>
      </c>
      <c r="S453" t="str">
        <f>VLOOKUP(A453,Cleaned_Seller_Master!$A:$H,5,FALSE)</f>
        <v>West</v>
      </c>
      <c r="T453" t="str">
        <f>VLOOKUP(A453,Cleaned_Seller_Master!$A:$H,8,FALSE)</f>
        <v>Premium</v>
      </c>
      <c r="U453" t="str">
        <f>VLOOKUP(A453,Cleaned_Seller_Master!$A:$H,7,FALSE)</f>
        <v>21-01-2018</v>
      </c>
      <c r="V453">
        <f>IFERROR(INDEX(Violation_Summary_Seller_Year!$C:$C,MATCH(AD453,Violation_Summary_Seller_Year!$K:$K,0)),0)</f>
        <v>3</v>
      </c>
      <c r="W453">
        <f>IFERROR(INDEX(Violation_Summary_Seller_Year!$D:$D,MATCH(AD453,Violation_Summary_Seller_Year!$K:$K,0)),0)</f>
        <v>2884.84</v>
      </c>
      <c r="X453">
        <f>IFERROR(INDEX(Violation_Summary_Seller_Year!$E:$E,MATCH(AD453,Violation_Summary_Seller_Year!$K:$K,0)),0)</f>
        <v>0</v>
      </c>
      <c r="Y453">
        <f>IFERROR(INDEX(Violation_Summary_Seller_Year!$F:$F,MATCH(AD453,Violation_Summary_Seller_Year!$K:$K,0)),0)</f>
        <v>2</v>
      </c>
      <c r="Z453">
        <f>IFERROR(INDEX(Violation_Summary_Seller_Year!$G:$G,MATCH(AD453,Violation_Summary_Seller_Year!$K:$K,0)),0)</f>
        <v>1</v>
      </c>
      <c r="AA453">
        <f>IFERROR(INDEX(Violation_Summary_Seller_Year!$H:$H,MATCH(AD453,Violation_Summary_Seller_Year!$K:$K,0)),0)</f>
        <v>1</v>
      </c>
      <c r="AB453">
        <f>IFERROR(INDEX(Violation_Summary_Seller_Year!$I:$I,MATCH(AD453,Violation_Summary_Seller_Year!$K:$K,0)),0)</f>
        <v>2</v>
      </c>
      <c r="AC453">
        <f>IFERROR(INDEX(Violation_Summary_Seller_Year!$J:$J,MATCH(AD453,Violation_Summary_Seller_Year!$K:$K,0)),0)</f>
        <v>21</v>
      </c>
      <c r="AD453" t="str">
        <f t="shared" si="56"/>
        <v>72_2025</v>
      </c>
      <c r="AE453">
        <f t="shared" si="57"/>
        <v>1</v>
      </c>
      <c r="AF453">
        <f t="shared" si="58"/>
        <v>2</v>
      </c>
      <c r="AG453">
        <f t="shared" si="59"/>
        <v>1</v>
      </c>
      <c r="AH453">
        <f t="shared" si="60"/>
        <v>0</v>
      </c>
      <c r="AI453">
        <f t="shared" si="61"/>
        <v>1</v>
      </c>
      <c r="AJ453">
        <f t="shared" si="62"/>
        <v>105</v>
      </c>
      <c r="AK453" t="str">
        <f t="shared" si="63"/>
        <v>Medium</v>
      </c>
    </row>
    <row r="454" spans="1:37" x14ac:dyDescent="0.3">
      <c r="A454">
        <v>73</v>
      </c>
      <c r="B454">
        <v>2025</v>
      </c>
      <c r="C454">
        <v>787</v>
      </c>
      <c r="D454">
        <v>70</v>
      </c>
      <c r="E454">
        <v>51</v>
      </c>
      <c r="F454">
        <v>4545.1400000000003</v>
      </c>
      <c r="G454">
        <v>6.4802999999999999E-2</v>
      </c>
      <c r="H454">
        <v>16</v>
      </c>
      <c r="I454">
        <v>25</v>
      </c>
      <c r="J454">
        <v>12</v>
      </c>
      <c r="K454">
        <v>9</v>
      </c>
      <c r="L454">
        <v>1</v>
      </c>
      <c r="M454">
        <v>5</v>
      </c>
      <c r="N454">
        <v>5</v>
      </c>
      <c r="O454">
        <v>3</v>
      </c>
      <c r="P454" t="s">
        <v>85</v>
      </c>
      <c r="Q454" t="str">
        <f>VLOOKUP(A454,Cleaned_Seller_Master!$A:$H,2,FALSE)</f>
        <v>Summit Bazaar 073</v>
      </c>
      <c r="R454" t="str">
        <f>VLOOKUP(A454,Cleaned_Seller_Master!$A:$H,4,FALSE)</f>
        <v>Electronics</v>
      </c>
      <c r="S454" t="str">
        <f>VLOOKUP(A454,Cleaned_Seller_Master!$A:$H,5,FALSE)</f>
        <v>West</v>
      </c>
      <c r="T454" t="str">
        <f>VLOOKUP(A454,Cleaned_Seller_Master!$A:$H,8,FALSE)</f>
        <v>Verified</v>
      </c>
      <c r="U454" t="str">
        <f>VLOOKUP(A454,Cleaned_Seller_Master!$A:$H,7,FALSE)</f>
        <v>23-08-2020</v>
      </c>
      <c r="V454">
        <f>IFERROR(INDEX(Violation_Summary_Seller_Year!$C:$C,MATCH(AD454,Violation_Summary_Seller_Year!$K:$K,0)),0)</f>
        <v>5</v>
      </c>
      <c r="W454">
        <f>IFERROR(INDEX(Violation_Summary_Seller_Year!$D:$D,MATCH(AD454,Violation_Summary_Seller_Year!$K:$K,0)),0)</f>
        <v>10686.17</v>
      </c>
      <c r="X454">
        <f>IFERROR(INDEX(Violation_Summary_Seller_Year!$E:$E,MATCH(AD454,Violation_Summary_Seller_Year!$K:$K,0)),0)</f>
        <v>2</v>
      </c>
      <c r="Y454">
        <f>IFERROR(INDEX(Violation_Summary_Seller_Year!$F:$F,MATCH(AD454,Violation_Summary_Seller_Year!$K:$K,0)),0)</f>
        <v>4</v>
      </c>
      <c r="Z454">
        <f>IFERROR(INDEX(Violation_Summary_Seller_Year!$G:$G,MATCH(AD454,Violation_Summary_Seller_Year!$K:$K,0)),0)</f>
        <v>1</v>
      </c>
      <c r="AA454">
        <f>IFERROR(INDEX(Violation_Summary_Seller_Year!$H:$H,MATCH(AD454,Violation_Summary_Seller_Year!$K:$K,0)),0)</f>
        <v>4</v>
      </c>
      <c r="AB454">
        <f>IFERROR(INDEX(Violation_Summary_Seller_Year!$I:$I,MATCH(AD454,Violation_Summary_Seller_Year!$K:$K,0)),0)</f>
        <v>2</v>
      </c>
      <c r="AC454">
        <f>IFERROR(INDEX(Violation_Summary_Seller_Year!$J:$J,MATCH(AD454,Violation_Summary_Seller_Year!$K:$K,0)),0)</f>
        <v>47</v>
      </c>
      <c r="AD454" t="str">
        <f t="shared" si="56"/>
        <v>73_2025</v>
      </c>
      <c r="AE454">
        <f t="shared" si="57"/>
        <v>1</v>
      </c>
      <c r="AF454">
        <f t="shared" si="58"/>
        <v>2</v>
      </c>
      <c r="AG454">
        <f t="shared" si="59"/>
        <v>2</v>
      </c>
      <c r="AH454">
        <f t="shared" si="60"/>
        <v>2</v>
      </c>
      <c r="AI454">
        <f t="shared" si="61"/>
        <v>2</v>
      </c>
      <c r="AJ454">
        <f t="shared" si="62"/>
        <v>175</v>
      </c>
      <c r="AK454" t="str">
        <f t="shared" si="63"/>
        <v>High</v>
      </c>
    </row>
    <row r="455" spans="1:37" x14ac:dyDescent="0.3">
      <c r="A455">
        <v>74</v>
      </c>
      <c r="B455">
        <v>2025</v>
      </c>
      <c r="C455">
        <v>914</v>
      </c>
      <c r="D455">
        <v>47</v>
      </c>
      <c r="E455">
        <v>44</v>
      </c>
      <c r="F455">
        <v>3826.68</v>
      </c>
      <c r="G455">
        <v>4.8140000000000002E-2</v>
      </c>
      <c r="H455">
        <v>12</v>
      </c>
      <c r="I455">
        <v>23</v>
      </c>
      <c r="J455">
        <v>8</v>
      </c>
      <c r="K455">
        <v>7</v>
      </c>
      <c r="L455">
        <v>0</v>
      </c>
      <c r="M455">
        <v>2</v>
      </c>
      <c r="N455">
        <v>4</v>
      </c>
      <c r="O455">
        <v>3</v>
      </c>
      <c r="P455" t="s">
        <v>68</v>
      </c>
      <c r="Q455" t="str">
        <f>VLOOKUP(A455,Cleaned_Seller_Master!$A:$H,2,FALSE)</f>
        <v>Prime Bridge 074</v>
      </c>
      <c r="R455" t="str">
        <f>VLOOKUP(A455,Cleaned_Seller_Master!$A:$H,4,FALSE)</f>
        <v>Beauty</v>
      </c>
      <c r="S455" t="str">
        <f>VLOOKUP(A455,Cleaned_Seller_Master!$A:$H,5,FALSE)</f>
        <v>West</v>
      </c>
      <c r="T455" t="str">
        <f>VLOOKUP(A455,Cleaned_Seller_Master!$A:$H,8,FALSE)</f>
        <v>Premium</v>
      </c>
      <c r="U455" t="str">
        <f>VLOOKUP(A455,Cleaned_Seller_Master!$A:$H,7,FALSE)</f>
        <v>09-02-2019</v>
      </c>
      <c r="V455">
        <f>IFERROR(INDEX(Violation_Summary_Seller_Year!$C:$C,MATCH(AD455,Violation_Summary_Seller_Year!$K:$K,0)),0)</f>
        <v>3</v>
      </c>
      <c r="W455">
        <f>IFERROR(INDEX(Violation_Summary_Seller_Year!$D:$D,MATCH(AD455,Violation_Summary_Seller_Year!$K:$K,0)),0)</f>
        <v>4657.8099999999995</v>
      </c>
      <c r="X455">
        <f>IFERROR(INDEX(Violation_Summary_Seller_Year!$E:$E,MATCH(AD455,Violation_Summary_Seller_Year!$K:$K,0)),0)</f>
        <v>0</v>
      </c>
      <c r="Y455">
        <f>IFERROR(INDEX(Violation_Summary_Seller_Year!$F:$F,MATCH(AD455,Violation_Summary_Seller_Year!$K:$K,0)),0)</f>
        <v>2</v>
      </c>
      <c r="Z455">
        <f>IFERROR(INDEX(Violation_Summary_Seller_Year!$G:$G,MATCH(AD455,Violation_Summary_Seller_Year!$K:$K,0)),0)</f>
        <v>1</v>
      </c>
      <c r="AA455">
        <f>IFERROR(INDEX(Violation_Summary_Seller_Year!$H:$H,MATCH(AD455,Violation_Summary_Seller_Year!$K:$K,0)),0)</f>
        <v>1</v>
      </c>
      <c r="AB455">
        <f>IFERROR(INDEX(Violation_Summary_Seller_Year!$I:$I,MATCH(AD455,Violation_Summary_Seller_Year!$K:$K,0)),0)</f>
        <v>1</v>
      </c>
      <c r="AC455">
        <f>IFERROR(INDEX(Violation_Summary_Seller_Year!$J:$J,MATCH(AD455,Violation_Summary_Seller_Year!$K:$K,0)),0)</f>
        <v>25</v>
      </c>
      <c r="AD455" t="str">
        <f t="shared" si="56"/>
        <v>74_2025</v>
      </c>
      <c r="AE455">
        <f t="shared" si="57"/>
        <v>0</v>
      </c>
      <c r="AF455">
        <f t="shared" si="58"/>
        <v>2</v>
      </c>
      <c r="AG455">
        <f t="shared" si="59"/>
        <v>1</v>
      </c>
      <c r="AH455">
        <f t="shared" si="60"/>
        <v>0</v>
      </c>
      <c r="AI455">
        <f t="shared" si="61"/>
        <v>1</v>
      </c>
      <c r="AJ455">
        <f t="shared" si="62"/>
        <v>80</v>
      </c>
      <c r="AK455" t="str">
        <f t="shared" si="63"/>
        <v>Medium</v>
      </c>
    </row>
    <row r="456" spans="1:37" x14ac:dyDescent="0.3">
      <c r="A456">
        <v>75</v>
      </c>
      <c r="B456">
        <v>2025</v>
      </c>
      <c r="C456">
        <v>1342</v>
      </c>
      <c r="D456">
        <v>134</v>
      </c>
      <c r="E456">
        <v>107</v>
      </c>
      <c r="F456">
        <v>4575.51</v>
      </c>
      <c r="G456">
        <v>7.9731999999999997E-2</v>
      </c>
      <c r="H456">
        <v>23</v>
      </c>
      <c r="I456">
        <v>43</v>
      </c>
      <c r="J456">
        <v>16</v>
      </c>
      <c r="K456">
        <v>14</v>
      </c>
      <c r="L456">
        <v>1</v>
      </c>
      <c r="M456">
        <v>6</v>
      </c>
      <c r="N456">
        <v>6</v>
      </c>
      <c r="O456">
        <v>7</v>
      </c>
      <c r="P456" t="s">
        <v>85</v>
      </c>
      <c r="Q456" t="str">
        <f>VLOOKUP(A456,Cleaned_Seller_Master!$A:$H,2,FALSE)</f>
        <v>Apex Retail 075</v>
      </c>
      <c r="R456" t="str">
        <f>VLOOKUP(A456,Cleaned_Seller_Master!$A:$H,4,FALSE)</f>
        <v>Fashion</v>
      </c>
      <c r="S456" t="str">
        <f>VLOOKUP(A456,Cleaned_Seller_Master!$A:$H,5,FALSE)</f>
        <v>Southeast Asia</v>
      </c>
      <c r="T456" t="str">
        <f>VLOOKUP(A456,Cleaned_Seller_Master!$A:$H,8,FALSE)</f>
        <v>Verified</v>
      </c>
      <c r="U456" t="str">
        <f>VLOOKUP(A456,Cleaned_Seller_Master!$A:$H,7,FALSE)</f>
        <v>15-03-2025</v>
      </c>
      <c r="V456">
        <f>IFERROR(INDEX(Violation_Summary_Seller_Year!$C:$C,MATCH(AD456,Violation_Summary_Seller_Year!$K:$K,0)),0)</f>
        <v>6</v>
      </c>
      <c r="W456">
        <f>IFERROR(INDEX(Violation_Summary_Seller_Year!$D:$D,MATCH(AD456,Violation_Summary_Seller_Year!$K:$K,0)),0)</f>
        <v>15449.279999999999</v>
      </c>
      <c r="X456">
        <f>IFERROR(INDEX(Violation_Summary_Seller_Year!$E:$E,MATCH(AD456,Violation_Summary_Seller_Year!$K:$K,0)),0)</f>
        <v>1</v>
      </c>
      <c r="Y456">
        <f>IFERROR(INDEX(Violation_Summary_Seller_Year!$F:$F,MATCH(AD456,Violation_Summary_Seller_Year!$K:$K,0)),0)</f>
        <v>5</v>
      </c>
      <c r="Z456">
        <f>IFERROR(INDEX(Violation_Summary_Seller_Year!$G:$G,MATCH(AD456,Violation_Summary_Seller_Year!$K:$K,0)),0)</f>
        <v>1</v>
      </c>
      <c r="AA456">
        <f>IFERROR(INDEX(Violation_Summary_Seller_Year!$H:$H,MATCH(AD456,Violation_Summary_Seller_Year!$K:$K,0)),0)</f>
        <v>3</v>
      </c>
      <c r="AB456">
        <f>IFERROR(INDEX(Violation_Summary_Seller_Year!$I:$I,MATCH(AD456,Violation_Summary_Seller_Year!$K:$K,0)),0)</f>
        <v>3</v>
      </c>
      <c r="AC456">
        <f>IFERROR(INDEX(Violation_Summary_Seller_Year!$J:$J,MATCH(AD456,Violation_Summary_Seller_Year!$K:$K,0)),0)</f>
        <v>56</v>
      </c>
      <c r="AD456" t="str">
        <f t="shared" si="56"/>
        <v>75_2025</v>
      </c>
      <c r="AE456">
        <f t="shared" si="57"/>
        <v>1</v>
      </c>
      <c r="AF456">
        <f t="shared" si="58"/>
        <v>2</v>
      </c>
      <c r="AG456">
        <f t="shared" si="59"/>
        <v>2</v>
      </c>
      <c r="AH456">
        <f t="shared" si="60"/>
        <v>2</v>
      </c>
      <c r="AI456">
        <f t="shared" si="61"/>
        <v>2</v>
      </c>
      <c r="AJ456">
        <f t="shared" si="62"/>
        <v>175</v>
      </c>
      <c r="AK456" t="str">
        <f t="shared" si="63"/>
        <v>High</v>
      </c>
    </row>
    <row r="457" spans="1:37" x14ac:dyDescent="0.3">
      <c r="A457">
        <v>76</v>
      </c>
      <c r="B457">
        <v>2025</v>
      </c>
      <c r="C457">
        <v>372</v>
      </c>
      <c r="D457">
        <v>26</v>
      </c>
      <c r="E457">
        <v>22</v>
      </c>
      <c r="F457">
        <v>2312.6999999999998</v>
      </c>
      <c r="G457">
        <v>5.9139999999999998E-2</v>
      </c>
      <c r="H457">
        <v>18</v>
      </c>
      <c r="I457">
        <v>18</v>
      </c>
      <c r="J457">
        <v>7</v>
      </c>
      <c r="K457">
        <v>8</v>
      </c>
      <c r="L457">
        <v>1</v>
      </c>
      <c r="M457">
        <v>7</v>
      </c>
      <c r="N457">
        <v>4</v>
      </c>
      <c r="O457">
        <v>2</v>
      </c>
      <c r="P457" t="s">
        <v>85</v>
      </c>
      <c r="Q457" t="str">
        <f>VLOOKUP(A457,Cleaned_Seller_Master!$A:$H,2,FALSE)</f>
        <v>Nimbus Market 076</v>
      </c>
      <c r="R457" t="str">
        <f>VLOOKUP(A457,Cleaned_Seller_Master!$A:$H,4,FALSE)</f>
        <v>Beauty</v>
      </c>
      <c r="S457" t="str">
        <f>VLOOKUP(A457,Cleaned_Seller_Master!$A:$H,5,FALSE)</f>
        <v>South</v>
      </c>
      <c r="T457" t="str">
        <f>VLOOKUP(A457,Cleaned_Seller_Master!$A:$H,8,FALSE)</f>
        <v>Premium</v>
      </c>
      <c r="U457" t="str">
        <f>VLOOKUP(A457,Cleaned_Seller_Master!$A:$H,7,FALSE)</f>
        <v>28-04-2023</v>
      </c>
      <c r="V457">
        <f>IFERROR(INDEX(Violation_Summary_Seller_Year!$C:$C,MATCH(AD457,Violation_Summary_Seller_Year!$K:$K,0)),0)</f>
        <v>6</v>
      </c>
      <c r="W457">
        <f>IFERROR(INDEX(Violation_Summary_Seller_Year!$D:$D,MATCH(AD457,Violation_Summary_Seller_Year!$K:$K,0)),0)</f>
        <v>22150.540000000005</v>
      </c>
      <c r="X457">
        <f>IFERROR(INDEX(Violation_Summary_Seller_Year!$E:$E,MATCH(AD457,Violation_Summary_Seller_Year!$K:$K,0)),0)</f>
        <v>3</v>
      </c>
      <c r="Y457">
        <f>IFERROR(INDEX(Violation_Summary_Seller_Year!$F:$F,MATCH(AD457,Violation_Summary_Seller_Year!$K:$K,0)),0)</f>
        <v>3</v>
      </c>
      <c r="Z457">
        <f>IFERROR(INDEX(Violation_Summary_Seller_Year!$G:$G,MATCH(AD457,Violation_Summary_Seller_Year!$K:$K,0)),0)</f>
        <v>3</v>
      </c>
      <c r="AA457">
        <f>IFERROR(INDEX(Violation_Summary_Seller_Year!$H:$H,MATCH(AD457,Violation_Summary_Seller_Year!$K:$K,0)),0)</f>
        <v>6</v>
      </c>
      <c r="AB457">
        <f>IFERROR(INDEX(Violation_Summary_Seller_Year!$I:$I,MATCH(AD457,Violation_Summary_Seller_Year!$K:$K,0)),0)</f>
        <v>3</v>
      </c>
      <c r="AC457">
        <f>IFERROR(INDEX(Violation_Summary_Seller_Year!$J:$J,MATCH(AD457,Violation_Summary_Seller_Year!$K:$K,0)),0)</f>
        <v>62</v>
      </c>
      <c r="AD457" t="str">
        <f t="shared" si="56"/>
        <v>76_2025</v>
      </c>
      <c r="AE457">
        <f t="shared" si="57"/>
        <v>1</v>
      </c>
      <c r="AF457">
        <f t="shared" si="58"/>
        <v>2</v>
      </c>
      <c r="AG457">
        <f t="shared" si="59"/>
        <v>2</v>
      </c>
      <c r="AH457">
        <f t="shared" si="60"/>
        <v>2</v>
      </c>
      <c r="AI457">
        <f t="shared" si="61"/>
        <v>2</v>
      </c>
      <c r="AJ457">
        <f t="shared" si="62"/>
        <v>175</v>
      </c>
      <c r="AK457" t="str">
        <f t="shared" si="63"/>
        <v>High</v>
      </c>
    </row>
    <row r="458" spans="1:37" x14ac:dyDescent="0.3">
      <c r="A458">
        <v>78</v>
      </c>
      <c r="B458">
        <v>2025</v>
      </c>
      <c r="C458">
        <v>612</v>
      </c>
      <c r="D458">
        <v>44</v>
      </c>
      <c r="E458">
        <v>40</v>
      </c>
      <c r="F458">
        <v>2024.41</v>
      </c>
      <c r="G458">
        <v>6.5359E-2</v>
      </c>
      <c r="H458">
        <v>18</v>
      </c>
      <c r="I458">
        <v>22</v>
      </c>
      <c r="J458">
        <v>7</v>
      </c>
      <c r="K458">
        <v>7</v>
      </c>
      <c r="L458">
        <v>1</v>
      </c>
      <c r="M458">
        <v>5</v>
      </c>
      <c r="N458">
        <v>4</v>
      </c>
      <c r="O458">
        <v>2</v>
      </c>
      <c r="P458" t="s">
        <v>85</v>
      </c>
      <c r="Q458" t="str">
        <f>VLOOKUP(A458,Cleaned_Seller_Master!$A:$H,2,FALSE)</f>
        <v>Luna Stores 078</v>
      </c>
      <c r="R458" t="str">
        <f>VLOOKUP(A458,Cleaned_Seller_Master!$A:$H,4,FALSE)</f>
        <v>Beauty</v>
      </c>
      <c r="S458" t="str">
        <f>VLOOKUP(A458,Cleaned_Seller_Master!$A:$H,5,FALSE)</f>
        <v>West</v>
      </c>
      <c r="T458" t="str">
        <f>VLOOKUP(A458,Cleaned_Seller_Master!$A:$H,8,FALSE)</f>
        <v>Standard</v>
      </c>
      <c r="U458" t="str">
        <f>VLOOKUP(A458,Cleaned_Seller_Master!$A:$H,7,FALSE)</f>
        <v>26-08-2019</v>
      </c>
      <c r="V458">
        <f>IFERROR(INDEX(Violation_Summary_Seller_Year!$C:$C,MATCH(AD458,Violation_Summary_Seller_Year!$K:$K,0)),0)</f>
        <v>6</v>
      </c>
      <c r="W458">
        <f>IFERROR(INDEX(Violation_Summary_Seller_Year!$D:$D,MATCH(AD458,Violation_Summary_Seller_Year!$K:$K,0)),0)</f>
        <v>19648.02</v>
      </c>
      <c r="X458">
        <f>IFERROR(INDEX(Violation_Summary_Seller_Year!$E:$E,MATCH(AD458,Violation_Summary_Seller_Year!$K:$K,0)),0)</f>
        <v>2</v>
      </c>
      <c r="Y458">
        <f>IFERROR(INDEX(Violation_Summary_Seller_Year!$F:$F,MATCH(AD458,Violation_Summary_Seller_Year!$K:$K,0)),0)</f>
        <v>3</v>
      </c>
      <c r="Z458">
        <f>IFERROR(INDEX(Violation_Summary_Seller_Year!$G:$G,MATCH(AD458,Violation_Summary_Seller_Year!$K:$K,0)),0)</f>
        <v>3</v>
      </c>
      <c r="AA458">
        <f>IFERROR(INDEX(Violation_Summary_Seller_Year!$H:$H,MATCH(AD458,Violation_Summary_Seller_Year!$K:$K,0)),0)</f>
        <v>4</v>
      </c>
      <c r="AB458">
        <f>IFERROR(INDEX(Violation_Summary_Seller_Year!$I:$I,MATCH(AD458,Violation_Summary_Seller_Year!$K:$K,0)),0)</f>
        <v>3</v>
      </c>
      <c r="AC458">
        <f>IFERROR(INDEX(Violation_Summary_Seller_Year!$J:$J,MATCH(AD458,Violation_Summary_Seller_Year!$K:$K,0)),0)</f>
        <v>35</v>
      </c>
      <c r="AD458" t="str">
        <f t="shared" si="56"/>
        <v>78_2025</v>
      </c>
      <c r="AE458">
        <f t="shared" si="57"/>
        <v>1</v>
      </c>
      <c r="AF458">
        <f t="shared" si="58"/>
        <v>2</v>
      </c>
      <c r="AG458">
        <f t="shared" si="59"/>
        <v>2</v>
      </c>
      <c r="AH458">
        <f t="shared" si="60"/>
        <v>2</v>
      </c>
      <c r="AI458">
        <f t="shared" si="61"/>
        <v>2</v>
      </c>
      <c r="AJ458">
        <f t="shared" si="62"/>
        <v>175</v>
      </c>
      <c r="AK458" t="str">
        <f t="shared" si="63"/>
        <v>High</v>
      </c>
    </row>
    <row r="459" spans="1:37" x14ac:dyDescent="0.3">
      <c r="A459">
        <v>79</v>
      </c>
      <c r="B459">
        <v>2025</v>
      </c>
      <c r="C459">
        <v>772</v>
      </c>
      <c r="D459">
        <v>48</v>
      </c>
      <c r="E459">
        <v>43</v>
      </c>
      <c r="F459">
        <v>1430.96</v>
      </c>
      <c r="G459">
        <v>5.5698999999999999E-2</v>
      </c>
      <c r="H459">
        <v>15</v>
      </c>
      <c r="I459">
        <v>18</v>
      </c>
      <c r="J459">
        <v>6</v>
      </c>
      <c r="K459">
        <v>15</v>
      </c>
      <c r="L459">
        <v>0</v>
      </c>
      <c r="M459">
        <v>3</v>
      </c>
      <c r="N459">
        <v>3</v>
      </c>
      <c r="O459">
        <v>3</v>
      </c>
      <c r="P459" t="s">
        <v>175</v>
      </c>
      <c r="Q459" t="str">
        <f>VLOOKUP(A459,Cleaned_Seller_Master!$A:$H,2,FALSE)</f>
        <v>Elite Link 079</v>
      </c>
      <c r="R459" t="str">
        <f>VLOOKUP(A459,Cleaned_Seller_Master!$A:$H,4,FALSE)</f>
        <v>Groceries</v>
      </c>
      <c r="S459" t="str">
        <f>VLOOKUP(A459,Cleaned_Seller_Master!$A:$H,5,FALSE)</f>
        <v>West</v>
      </c>
      <c r="T459" t="str">
        <f>VLOOKUP(A459,Cleaned_Seller_Master!$A:$H,8,FALSE)</f>
        <v>Verified</v>
      </c>
      <c r="U459" t="str">
        <f>VLOOKUP(A459,Cleaned_Seller_Master!$A:$H,7,FALSE)</f>
        <v>02-09-2025</v>
      </c>
      <c r="V459">
        <f>IFERROR(INDEX(Violation_Summary_Seller_Year!$C:$C,MATCH(AD459,Violation_Summary_Seller_Year!$K:$K,0)),0)</f>
        <v>2</v>
      </c>
      <c r="W459">
        <f>IFERROR(INDEX(Violation_Summary_Seller_Year!$D:$D,MATCH(AD459,Violation_Summary_Seller_Year!$K:$K,0)),0)</f>
        <v>1511.5300000000002</v>
      </c>
      <c r="X459">
        <f>IFERROR(INDEX(Violation_Summary_Seller_Year!$E:$E,MATCH(AD459,Violation_Summary_Seller_Year!$K:$K,0)),0)</f>
        <v>0</v>
      </c>
      <c r="Y459">
        <f>IFERROR(INDEX(Violation_Summary_Seller_Year!$F:$F,MATCH(AD459,Violation_Summary_Seller_Year!$K:$K,0)),0)</f>
        <v>2</v>
      </c>
      <c r="Z459">
        <f>IFERROR(INDEX(Violation_Summary_Seller_Year!$G:$G,MATCH(AD459,Violation_Summary_Seller_Year!$K:$K,0)),0)</f>
        <v>0</v>
      </c>
      <c r="AA459">
        <f>IFERROR(INDEX(Violation_Summary_Seller_Year!$H:$H,MATCH(AD459,Violation_Summary_Seller_Year!$K:$K,0)),0)</f>
        <v>0</v>
      </c>
      <c r="AB459">
        <f>IFERROR(INDEX(Violation_Summary_Seller_Year!$I:$I,MATCH(AD459,Violation_Summary_Seller_Year!$K:$K,0)),0)</f>
        <v>0</v>
      </c>
      <c r="AC459">
        <f>IFERROR(INDEX(Violation_Summary_Seller_Year!$J:$J,MATCH(AD459,Violation_Summary_Seller_Year!$K:$K,0)),0)</f>
        <v>13</v>
      </c>
      <c r="AD459" t="str">
        <f t="shared" si="56"/>
        <v>79_2025</v>
      </c>
      <c r="AE459">
        <f t="shared" si="57"/>
        <v>1</v>
      </c>
      <c r="AF459">
        <f t="shared" si="58"/>
        <v>2</v>
      </c>
      <c r="AG459">
        <f t="shared" si="59"/>
        <v>1</v>
      </c>
      <c r="AH459">
        <f t="shared" si="60"/>
        <v>0</v>
      </c>
      <c r="AI459">
        <f t="shared" si="61"/>
        <v>1</v>
      </c>
      <c r="AJ459">
        <f t="shared" si="62"/>
        <v>105</v>
      </c>
      <c r="AK459" t="str">
        <f t="shared" si="63"/>
        <v>Medium</v>
      </c>
    </row>
    <row r="460" spans="1:37" x14ac:dyDescent="0.3">
      <c r="A460">
        <v>80</v>
      </c>
      <c r="B460">
        <v>2025</v>
      </c>
      <c r="C460">
        <v>726</v>
      </c>
      <c r="D460">
        <v>38</v>
      </c>
      <c r="E460">
        <v>33</v>
      </c>
      <c r="F460">
        <v>2114.3200000000002</v>
      </c>
      <c r="G460">
        <v>4.5455000000000002E-2</v>
      </c>
      <c r="H460">
        <v>16</v>
      </c>
      <c r="I460">
        <v>18</v>
      </c>
      <c r="J460">
        <v>6</v>
      </c>
      <c r="K460">
        <v>6</v>
      </c>
      <c r="L460">
        <v>1</v>
      </c>
      <c r="M460">
        <v>2</v>
      </c>
      <c r="N460">
        <v>2</v>
      </c>
      <c r="O460">
        <v>1</v>
      </c>
      <c r="P460" t="s">
        <v>85</v>
      </c>
      <c r="Q460" t="str">
        <f>VLOOKUP(A460,Cleaned_Seller_Master!$A:$H,2,FALSE)</f>
        <v>Nova Cart 080</v>
      </c>
      <c r="R460" t="str">
        <f>VLOOKUP(A460,Cleaned_Seller_Master!$A:$H,4,FALSE)</f>
        <v>Electronics</v>
      </c>
      <c r="S460" t="str">
        <f>VLOOKUP(A460,Cleaned_Seller_Master!$A:$H,5,FALSE)</f>
        <v>North</v>
      </c>
      <c r="T460" t="str">
        <f>VLOOKUP(A460,Cleaned_Seller_Master!$A:$H,8,FALSE)</f>
        <v>Verified</v>
      </c>
      <c r="U460" t="str">
        <f>VLOOKUP(A460,Cleaned_Seller_Master!$A:$H,7,FALSE)</f>
        <v>10-12-2019</v>
      </c>
      <c r="V460">
        <f>IFERROR(INDEX(Violation_Summary_Seller_Year!$C:$C,MATCH(AD460,Violation_Summary_Seller_Year!$K:$K,0)),0)</f>
        <v>1</v>
      </c>
      <c r="W460">
        <f>IFERROR(INDEX(Violation_Summary_Seller_Year!$D:$D,MATCH(AD460,Violation_Summary_Seller_Year!$K:$K,0)),0)</f>
        <v>7580.92</v>
      </c>
      <c r="X460">
        <f>IFERROR(INDEX(Violation_Summary_Seller_Year!$E:$E,MATCH(AD460,Violation_Summary_Seller_Year!$K:$K,0)),0)</f>
        <v>1</v>
      </c>
      <c r="Y460">
        <f>IFERROR(INDEX(Violation_Summary_Seller_Year!$F:$F,MATCH(AD460,Violation_Summary_Seller_Year!$K:$K,0)),0)</f>
        <v>0</v>
      </c>
      <c r="Z460">
        <f>IFERROR(INDEX(Violation_Summary_Seller_Year!$G:$G,MATCH(AD460,Violation_Summary_Seller_Year!$K:$K,0)),0)</f>
        <v>1</v>
      </c>
      <c r="AA460">
        <f>IFERROR(INDEX(Violation_Summary_Seller_Year!$H:$H,MATCH(AD460,Violation_Summary_Seller_Year!$K:$K,0)),0)</f>
        <v>1</v>
      </c>
      <c r="AB460">
        <f>IFERROR(INDEX(Violation_Summary_Seller_Year!$I:$I,MATCH(AD460,Violation_Summary_Seller_Year!$K:$K,0)),0)</f>
        <v>1</v>
      </c>
      <c r="AC460">
        <f>IFERROR(INDEX(Violation_Summary_Seller_Year!$J:$J,MATCH(AD460,Violation_Summary_Seller_Year!$K:$K,0)),0)</f>
        <v>10</v>
      </c>
      <c r="AD460" t="str">
        <f t="shared" si="56"/>
        <v>80_2025</v>
      </c>
      <c r="AE460">
        <f t="shared" si="57"/>
        <v>0</v>
      </c>
      <c r="AF460">
        <f t="shared" si="58"/>
        <v>2</v>
      </c>
      <c r="AG460">
        <f t="shared" si="59"/>
        <v>1</v>
      </c>
      <c r="AH460">
        <f t="shared" si="60"/>
        <v>2</v>
      </c>
      <c r="AI460">
        <f t="shared" si="61"/>
        <v>2</v>
      </c>
      <c r="AJ460">
        <f t="shared" si="62"/>
        <v>130</v>
      </c>
      <c r="AK460" t="str">
        <f t="shared" si="63"/>
        <v>High</v>
      </c>
    </row>
    <row r="461" spans="1:37" x14ac:dyDescent="0.3">
      <c r="A461">
        <v>81</v>
      </c>
      <c r="B461">
        <v>2025</v>
      </c>
      <c r="C461">
        <v>1365</v>
      </c>
      <c r="D461">
        <v>134</v>
      </c>
      <c r="E461">
        <v>116</v>
      </c>
      <c r="F461">
        <v>10072.27</v>
      </c>
      <c r="G461">
        <v>8.4982000000000002E-2</v>
      </c>
      <c r="H461">
        <v>43</v>
      </c>
      <c r="I461">
        <v>49</v>
      </c>
      <c r="J461">
        <v>15</v>
      </c>
      <c r="K461">
        <v>15</v>
      </c>
      <c r="L461">
        <v>1</v>
      </c>
      <c r="M461">
        <v>4</v>
      </c>
      <c r="N461">
        <v>10</v>
      </c>
      <c r="O461">
        <v>3</v>
      </c>
      <c r="P461" t="s">
        <v>85</v>
      </c>
      <c r="Q461" t="str">
        <f>VLOOKUP(A461,Cleaned_Seller_Master!$A:$H,2,FALSE)</f>
        <v>Swift Goods 081</v>
      </c>
      <c r="R461" t="str">
        <f>VLOOKUP(A461,Cleaned_Seller_Master!$A:$H,4,FALSE)</f>
        <v>Groceries</v>
      </c>
      <c r="S461" t="str">
        <f>VLOOKUP(A461,Cleaned_Seller_Master!$A:$H,5,FALSE)</f>
        <v>West</v>
      </c>
      <c r="T461" t="str">
        <f>VLOOKUP(A461,Cleaned_Seller_Master!$A:$H,8,FALSE)</f>
        <v>Verified</v>
      </c>
      <c r="U461" t="str">
        <f>VLOOKUP(A461,Cleaned_Seller_Master!$A:$H,7,FALSE)</f>
        <v>06-03-2019</v>
      </c>
      <c r="V461">
        <f>IFERROR(INDEX(Violation_Summary_Seller_Year!$C:$C,MATCH(AD461,Violation_Summary_Seller_Year!$K:$K,0)),0)</f>
        <v>4</v>
      </c>
      <c r="W461">
        <f>IFERROR(INDEX(Violation_Summary_Seller_Year!$D:$D,MATCH(AD461,Violation_Summary_Seller_Year!$K:$K,0)),0)</f>
        <v>7450.329999999999</v>
      </c>
      <c r="X461">
        <f>IFERROR(INDEX(Violation_Summary_Seller_Year!$E:$E,MATCH(AD461,Violation_Summary_Seller_Year!$K:$K,0)),0)</f>
        <v>2</v>
      </c>
      <c r="Y461">
        <f>IFERROR(INDEX(Violation_Summary_Seller_Year!$F:$F,MATCH(AD461,Violation_Summary_Seller_Year!$K:$K,0)),0)</f>
        <v>3</v>
      </c>
      <c r="Z461">
        <f>IFERROR(INDEX(Violation_Summary_Seller_Year!$G:$G,MATCH(AD461,Violation_Summary_Seller_Year!$K:$K,0)),0)</f>
        <v>1</v>
      </c>
      <c r="AA461">
        <f>IFERROR(INDEX(Violation_Summary_Seller_Year!$H:$H,MATCH(AD461,Violation_Summary_Seller_Year!$K:$K,0)),0)</f>
        <v>1</v>
      </c>
      <c r="AB461">
        <f>IFERROR(INDEX(Violation_Summary_Seller_Year!$I:$I,MATCH(AD461,Violation_Summary_Seller_Year!$K:$K,0)),0)</f>
        <v>1</v>
      </c>
      <c r="AC461">
        <f>IFERROR(INDEX(Violation_Summary_Seller_Year!$J:$J,MATCH(AD461,Violation_Summary_Seller_Year!$K:$K,0)),0)</f>
        <v>43</v>
      </c>
      <c r="AD461" t="str">
        <f t="shared" si="56"/>
        <v>81_2025</v>
      </c>
      <c r="AE461">
        <f t="shared" si="57"/>
        <v>1</v>
      </c>
      <c r="AF461">
        <f t="shared" si="58"/>
        <v>2</v>
      </c>
      <c r="AG461">
        <f t="shared" si="59"/>
        <v>1</v>
      </c>
      <c r="AH461">
        <f t="shared" si="60"/>
        <v>2</v>
      </c>
      <c r="AI461">
        <f t="shared" si="61"/>
        <v>2</v>
      </c>
      <c r="AJ461">
        <f t="shared" si="62"/>
        <v>155</v>
      </c>
      <c r="AK461" t="str">
        <f t="shared" si="63"/>
        <v>High</v>
      </c>
    </row>
    <row r="462" spans="1:37" x14ac:dyDescent="0.3">
      <c r="A462">
        <v>82</v>
      </c>
      <c r="B462">
        <v>2025</v>
      </c>
      <c r="C462">
        <v>1465</v>
      </c>
      <c r="D462">
        <v>127</v>
      </c>
      <c r="E462">
        <v>98</v>
      </c>
      <c r="F462">
        <v>7276.42</v>
      </c>
      <c r="G462">
        <v>6.6893999999999995E-2</v>
      </c>
      <c r="H462">
        <v>35</v>
      </c>
      <c r="I462">
        <v>43</v>
      </c>
      <c r="J462">
        <v>24</v>
      </c>
      <c r="K462">
        <v>8</v>
      </c>
      <c r="L462">
        <v>1</v>
      </c>
      <c r="M462">
        <v>4</v>
      </c>
      <c r="N462">
        <v>6</v>
      </c>
      <c r="O462">
        <v>5</v>
      </c>
      <c r="P462" t="s">
        <v>85</v>
      </c>
      <c r="Q462" t="str">
        <f>VLOOKUP(A462,Cleaned_Seller_Master!$A:$H,2,FALSE)</f>
        <v>Blue Source 082</v>
      </c>
      <c r="R462" t="str">
        <f>VLOOKUP(A462,Cleaned_Seller_Master!$A:$H,4,FALSE)</f>
        <v>Home</v>
      </c>
      <c r="S462" t="str">
        <f>VLOOKUP(A462,Cleaned_Seller_Master!$A:$H,5,FALSE)</f>
        <v>East</v>
      </c>
      <c r="T462" t="str">
        <f>VLOOKUP(A462,Cleaned_Seller_Master!$A:$H,8,FALSE)</f>
        <v>Verified</v>
      </c>
      <c r="U462" t="str">
        <f>VLOOKUP(A462,Cleaned_Seller_Master!$A:$H,7,FALSE)</f>
        <v>01-11-2021</v>
      </c>
      <c r="V462">
        <f>IFERROR(INDEX(Violation_Summary_Seller_Year!$C:$C,MATCH(AD462,Violation_Summary_Seller_Year!$K:$K,0)),0)</f>
        <v>4</v>
      </c>
      <c r="W462">
        <f>IFERROR(INDEX(Violation_Summary_Seller_Year!$D:$D,MATCH(AD462,Violation_Summary_Seller_Year!$K:$K,0)),0)</f>
        <v>16578.29</v>
      </c>
      <c r="X462">
        <f>IFERROR(INDEX(Violation_Summary_Seller_Year!$E:$E,MATCH(AD462,Violation_Summary_Seller_Year!$K:$K,0)),0)</f>
        <v>4</v>
      </c>
      <c r="Y462">
        <f>IFERROR(INDEX(Violation_Summary_Seller_Year!$F:$F,MATCH(AD462,Violation_Summary_Seller_Year!$K:$K,0)),0)</f>
        <v>3</v>
      </c>
      <c r="Z462">
        <f>IFERROR(INDEX(Violation_Summary_Seller_Year!$G:$G,MATCH(AD462,Violation_Summary_Seller_Year!$K:$K,0)),0)</f>
        <v>1</v>
      </c>
      <c r="AA462">
        <f>IFERROR(INDEX(Violation_Summary_Seller_Year!$H:$H,MATCH(AD462,Violation_Summary_Seller_Year!$K:$K,0)),0)</f>
        <v>3</v>
      </c>
      <c r="AB462">
        <f>IFERROR(INDEX(Violation_Summary_Seller_Year!$I:$I,MATCH(AD462,Violation_Summary_Seller_Year!$K:$K,0)),0)</f>
        <v>0</v>
      </c>
      <c r="AC462">
        <f>IFERROR(INDEX(Violation_Summary_Seller_Year!$J:$J,MATCH(AD462,Violation_Summary_Seller_Year!$K:$K,0)),0)</f>
        <v>44</v>
      </c>
      <c r="AD462" t="str">
        <f t="shared" si="56"/>
        <v>82_2025</v>
      </c>
      <c r="AE462">
        <f t="shared" si="57"/>
        <v>1</v>
      </c>
      <c r="AF462">
        <f t="shared" si="58"/>
        <v>2</v>
      </c>
      <c r="AG462">
        <f t="shared" si="59"/>
        <v>2</v>
      </c>
      <c r="AH462">
        <f t="shared" si="60"/>
        <v>2</v>
      </c>
      <c r="AI462">
        <f t="shared" si="61"/>
        <v>2</v>
      </c>
      <c r="AJ462">
        <f t="shared" si="62"/>
        <v>175</v>
      </c>
      <c r="AK462" t="str">
        <f t="shared" si="63"/>
        <v>High</v>
      </c>
    </row>
    <row r="463" spans="1:37" x14ac:dyDescent="0.3">
      <c r="A463">
        <v>83</v>
      </c>
      <c r="B463">
        <v>2025</v>
      </c>
      <c r="C463">
        <v>1895</v>
      </c>
      <c r="D463">
        <v>185</v>
      </c>
      <c r="E463">
        <v>149</v>
      </c>
      <c r="F463">
        <v>8284.83</v>
      </c>
      <c r="G463">
        <v>7.8628000000000003E-2</v>
      </c>
      <c r="H463">
        <v>41</v>
      </c>
      <c r="I463">
        <v>61</v>
      </c>
      <c r="J463">
        <v>23</v>
      </c>
      <c r="K463">
        <v>20</v>
      </c>
      <c r="L463">
        <v>1</v>
      </c>
      <c r="M463">
        <v>9</v>
      </c>
      <c r="N463">
        <v>7</v>
      </c>
      <c r="O463">
        <v>7</v>
      </c>
      <c r="P463" t="s">
        <v>85</v>
      </c>
      <c r="Q463" t="str">
        <f>VLOOKUP(A463,Cleaned_Seller_Master!$A:$H,2,FALSE)</f>
        <v>Vertex Supply 083</v>
      </c>
      <c r="R463" t="str">
        <f>VLOOKUP(A463,Cleaned_Seller_Master!$A:$H,4,FALSE)</f>
        <v>Groceries</v>
      </c>
      <c r="S463" t="str">
        <f>VLOOKUP(A463,Cleaned_Seller_Master!$A:$H,5,FALSE)</f>
        <v>East</v>
      </c>
      <c r="T463" t="str">
        <f>VLOOKUP(A463,Cleaned_Seller_Master!$A:$H,8,FALSE)</f>
        <v>Verified</v>
      </c>
      <c r="U463" t="str">
        <f>VLOOKUP(A463,Cleaned_Seller_Master!$A:$H,7,FALSE)</f>
        <v>28-08-2022</v>
      </c>
      <c r="V463">
        <f>IFERROR(INDEX(Violation_Summary_Seller_Year!$C:$C,MATCH(AD463,Violation_Summary_Seller_Year!$K:$K,0)),0)</f>
        <v>5</v>
      </c>
      <c r="W463">
        <f>IFERROR(INDEX(Violation_Summary_Seller_Year!$D:$D,MATCH(AD463,Violation_Summary_Seller_Year!$K:$K,0)),0)</f>
        <v>19587.359999999997</v>
      </c>
      <c r="X463">
        <f>IFERROR(INDEX(Violation_Summary_Seller_Year!$E:$E,MATCH(AD463,Violation_Summary_Seller_Year!$K:$K,0)),0)</f>
        <v>4</v>
      </c>
      <c r="Y463">
        <f>IFERROR(INDEX(Violation_Summary_Seller_Year!$F:$F,MATCH(AD463,Violation_Summary_Seller_Year!$K:$K,0)),0)</f>
        <v>4</v>
      </c>
      <c r="Z463">
        <f>IFERROR(INDEX(Violation_Summary_Seller_Year!$G:$G,MATCH(AD463,Violation_Summary_Seller_Year!$K:$K,0)),0)</f>
        <v>1</v>
      </c>
      <c r="AA463">
        <f>IFERROR(INDEX(Violation_Summary_Seller_Year!$H:$H,MATCH(AD463,Violation_Summary_Seller_Year!$K:$K,0)),0)</f>
        <v>4</v>
      </c>
      <c r="AB463">
        <f>IFERROR(INDEX(Violation_Summary_Seller_Year!$I:$I,MATCH(AD463,Violation_Summary_Seller_Year!$K:$K,0)),0)</f>
        <v>3</v>
      </c>
      <c r="AC463">
        <f>IFERROR(INDEX(Violation_Summary_Seller_Year!$J:$J,MATCH(AD463,Violation_Summary_Seller_Year!$K:$K,0)),0)</f>
        <v>37</v>
      </c>
      <c r="AD463" t="str">
        <f t="shared" si="56"/>
        <v>83_2025</v>
      </c>
      <c r="AE463">
        <f t="shared" si="57"/>
        <v>1</v>
      </c>
      <c r="AF463">
        <f t="shared" si="58"/>
        <v>2</v>
      </c>
      <c r="AG463">
        <f t="shared" si="59"/>
        <v>2</v>
      </c>
      <c r="AH463">
        <f t="shared" si="60"/>
        <v>2</v>
      </c>
      <c r="AI463">
        <f t="shared" si="61"/>
        <v>2</v>
      </c>
      <c r="AJ463">
        <f t="shared" si="62"/>
        <v>175</v>
      </c>
      <c r="AK463" t="str">
        <f t="shared" si="63"/>
        <v>High</v>
      </c>
    </row>
    <row r="464" spans="1:37" x14ac:dyDescent="0.3">
      <c r="A464">
        <v>84</v>
      </c>
      <c r="B464">
        <v>2025</v>
      </c>
      <c r="C464">
        <v>1041</v>
      </c>
      <c r="D464">
        <v>111</v>
      </c>
      <c r="E464">
        <v>84</v>
      </c>
      <c r="F464">
        <v>4896.47</v>
      </c>
      <c r="G464">
        <v>8.0692E-2</v>
      </c>
      <c r="H464">
        <v>23</v>
      </c>
      <c r="I464">
        <v>38</v>
      </c>
      <c r="J464">
        <v>19</v>
      </c>
      <c r="K464">
        <v>18</v>
      </c>
      <c r="L464">
        <v>1</v>
      </c>
      <c r="M464">
        <v>6</v>
      </c>
      <c r="N464">
        <v>9</v>
      </c>
      <c r="O464">
        <v>3</v>
      </c>
      <c r="P464" t="s">
        <v>85</v>
      </c>
      <c r="Q464" t="str">
        <f>VLOOKUP(A464,Cleaned_Seller_Master!$A:$H,2,FALSE)</f>
        <v>Zen Mart 084</v>
      </c>
      <c r="R464" t="str">
        <f>VLOOKUP(A464,Cleaned_Seller_Master!$A:$H,4,FALSE)</f>
        <v>Fashion</v>
      </c>
      <c r="S464" t="str">
        <f>VLOOKUP(A464,Cleaned_Seller_Master!$A:$H,5,FALSE)</f>
        <v>East</v>
      </c>
      <c r="T464" t="str">
        <f>VLOOKUP(A464,Cleaned_Seller_Master!$A:$H,8,FALSE)</f>
        <v>Verified</v>
      </c>
      <c r="U464" t="str">
        <f>VLOOKUP(A464,Cleaned_Seller_Master!$A:$H,7,FALSE)</f>
        <v>01-05-2023</v>
      </c>
      <c r="V464">
        <f>IFERROR(INDEX(Violation_Summary_Seller_Year!$C:$C,MATCH(AD464,Violation_Summary_Seller_Year!$K:$K,0)),0)</f>
        <v>5</v>
      </c>
      <c r="W464">
        <f>IFERROR(INDEX(Violation_Summary_Seller_Year!$D:$D,MATCH(AD464,Violation_Summary_Seller_Year!$K:$K,0)),0)</f>
        <v>16344.499999999998</v>
      </c>
      <c r="X464">
        <f>IFERROR(INDEX(Violation_Summary_Seller_Year!$E:$E,MATCH(AD464,Violation_Summary_Seller_Year!$K:$K,0)),0)</f>
        <v>3</v>
      </c>
      <c r="Y464">
        <f>IFERROR(INDEX(Violation_Summary_Seller_Year!$F:$F,MATCH(AD464,Violation_Summary_Seller_Year!$K:$K,0)),0)</f>
        <v>1</v>
      </c>
      <c r="Z464">
        <f>IFERROR(INDEX(Violation_Summary_Seller_Year!$G:$G,MATCH(AD464,Violation_Summary_Seller_Year!$K:$K,0)),0)</f>
        <v>4</v>
      </c>
      <c r="AA464">
        <f>IFERROR(INDEX(Violation_Summary_Seller_Year!$H:$H,MATCH(AD464,Violation_Summary_Seller_Year!$K:$K,0)),0)</f>
        <v>5</v>
      </c>
      <c r="AB464">
        <f>IFERROR(INDEX(Violation_Summary_Seller_Year!$I:$I,MATCH(AD464,Violation_Summary_Seller_Year!$K:$K,0)),0)</f>
        <v>2</v>
      </c>
      <c r="AC464">
        <f>IFERROR(INDEX(Violation_Summary_Seller_Year!$J:$J,MATCH(AD464,Violation_Summary_Seller_Year!$K:$K,0)),0)</f>
        <v>41</v>
      </c>
      <c r="AD464" t="str">
        <f t="shared" si="56"/>
        <v>84_2025</v>
      </c>
      <c r="AE464">
        <f t="shared" si="57"/>
        <v>1</v>
      </c>
      <c r="AF464">
        <f t="shared" si="58"/>
        <v>2</v>
      </c>
      <c r="AG464">
        <f t="shared" si="59"/>
        <v>2</v>
      </c>
      <c r="AH464">
        <f t="shared" si="60"/>
        <v>2</v>
      </c>
      <c r="AI464">
        <f t="shared" si="61"/>
        <v>2</v>
      </c>
      <c r="AJ464">
        <f t="shared" si="62"/>
        <v>175</v>
      </c>
      <c r="AK464" t="str">
        <f t="shared" si="63"/>
        <v>High</v>
      </c>
    </row>
    <row r="465" spans="1:37" x14ac:dyDescent="0.3">
      <c r="A465">
        <v>85</v>
      </c>
      <c r="B465">
        <v>2025</v>
      </c>
      <c r="C465">
        <v>498</v>
      </c>
      <c r="D465">
        <v>38</v>
      </c>
      <c r="E465">
        <v>30</v>
      </c>
      <c r="F465">
        <v>2386.64</v>
      </c>
      <c r="G465">
        <v>6.0241000000000003E-2</v>
      </c>
      <c r="H465">
        <v>8</v>
      </c>
      <c r="I465">
        <v>20</v>
      </c>
      <c r="J465">
        <v>4</v>
      </c>
      <c r="K465">
        <v>3</v>
      </c>
      <c r="L465">
        <v>1</v>
      </c>
      <c r="M465">
        <v>3</v>
      </c>
      <c r="N465">
        <v>3</v>
      </c>
      <c r="O465">
        <v>2</v>
      </c>
      <c r="P465" t="s">
        <v>68</v>
      </c>
      <c r="Q465" t="str">
        <f>VLOOKUP(A465,Cleaned_Seller_Master!$A:$H,2,FALSE)</f>
        <v>True House 085</v>
      </c>
      <c r="R465" t="str">
        <f>VLOOKUP(A465,Cleaned_Seller_Master!$A:$H,4,FALSE)</f>
        <v>Fashion</v>
      </c>
      <c r="S465" t="str">
        <f>VLOOKUP(A465,Cleaned_Seller_Master!$A:$H,5,FALSE)</f>
        <v>South</v>
      </c>
      <c r="T465" t="str">
        <f>VLOOKUP(A465,Cleaned_Seller_Master!$A:$H,8,FALSE)</f>
        <v>Standard</v>
      </c>
      <c r="U465" t="str">
        <f>VLOOKUP(A465,Cleaned_Seller_Master!$A:$H,7,FALSE)</f>
        <v>21-04-2022</v>
      </c>
      <c r="V465">
        <f>IFERROR(INDEX(Violation_Summary_Seller_Year!$C:$C,MATCH(AD465,Violation_Summary_Seller_Year!$K:$K,0)),0)</f>
        <v>3</v>
      </c>
      <c r="W465">
        <f>IFERROR(INDEX(Violation_Summary_Seller_Year!$D:$D,MATCH(AD465,Violation_Summary_Seller_Year!$K:$K,0)),0)</f>
        <v>5330.33</v>
      </c>
      <c r="X465">
        <f>IFERROR(INDEX(Violation_Summary_Seller_Year!$E:$E,MATCH(AD465,Violation_Summary_Seller_Year!$K:$K,0)),0)</f>
        <v>3</v>
      </c>
      <c r="Y465">
        <f>IFERROR(INDEX(Violation_Summary_Seller_Year!$F:$F,MATCH(AD465,Violation_Summary_Seller_Year!$K:$K,0)),0)</f>
        <v>1</v>
      </c>
      <c r="Z465">
        <f>IFERROR(INDEX(Violation_Summary_Seller_Year!$G:$G,MATCH(AD465,Violation_Summary_Seller_Year!$K:$K,0)),0)</f>
        <v>2</v>
      </c>
      <c r="AA465">
        <f>IFERROR(INDEX(Violation_Summary_Seller_Year!$H:$H,MATCH(AD465,Violation_Summary_Seller_Year!$K:$K,0)),0)</f>
        <v>2</v>
      </c>
      <c r="AB465">
        <f>IFERROR(INDEX(Violation_Summary_Seller_Year!$I:$I,MATCH(AD465,Violation_Summary_Seller_Year!$K:$K,0)),0)</f>
        <v>0</v>
      </c>
      <c r="AC465">
        <f>IFERROR(INDEX(Violation_Summary_Seller_Year!$J:$J,MATCH(AD465,Violation_Summary_Seller_Year!$K:$K,0)),0)</f>
        <v>10</v>
      </c>
      <c r="AD465" t="str">
        <f t="shared" si="56"/>
        <v>85_2025</v>
      </c>
      <c r="AE465">
        <f t="shared" si="57"/>
        <v>1</v>
      </c>
      <c r="AF465">
        <f t="shared" si="58"/>
        <v>2</v>
      </c>
      <c r="AG465">
        <f t="shared" si="59"/>
        <v>2</v>
      </c>
      <c r="AH465">
        <f t="shared" si="60"/>
        <v>2</v>
      </c>
      <c r="AI465">
        <f t="shared" si="61"/>
        <v>1</v>
      </c>
      <c r="AJ465">
        <f t="shared" si="62"/>
        <v>165</v>
      </c>
      <c r="AK465" t="str">
        <f t="shared" si="63"/>
        <v>High</v>
      </c>
    </row>
    <row r="466" spans="1:37" x14ac:dyDescent="0.3">
      <c r="A466">
        <v>86</v>
      </c>
      <c r="B466">
        <v>2025</v>
      </c>
      <c r="C466">
        <v>479</v>
      </c>
      <c r="D466">
        <v>26</v>
      </c>
      <c r="E466">
        <v>25</v>
      </c>
      <c r="F466">
        <v>2219.59</v>
      </c>
      <c r="G466">
        <v>5.2192000000000002E-2</v>
      </c>
      <c r="H466">
        <v>13</v>
      </c>
      <c r="I466">
        <v>15</v>
      </c>
      <c r="J466">
        <v>4</v>
      </c>
      <c r="K466">
        <v>3</v>
      </c>
      <c r="L466">
        <v>0</v>
      </c>
      <c r="M466">
        <v>1</v>
      </c>
      <c r="N466">
        <v>2</v>
      </c>
      <c r="O466">
        <v>2</v>
      </c>
      <c r="P466" t="s">
        <v>175</v>
      </c>
      <c r="Q466" t="str">
        <f>VLOOKUP(A466,Cleaned_Seller_Master!$A:$H,2,FALSE)</f>
        <v>Core Traders 086</v>
      </c>
      <c r="R466" t="str">
        <f>VLOOKUP(A466,Cleaned_Seller_Master!$A:$H,4,FALSE)</f>
        <v>Electronics</v>
      </c>
      <c r="S466" t="str">
        <f>VLOOKUP(A466,Cleaned_Seller_Master!$A:$H,5,FALSE)</f>
        <v>North</v>
      </c>
      <c r="T466" t="str">
        <f>VLOOKUP(A466,Cleaned_Seller_Master!$A:$H,8,FALSE)</f>
        <v>Premium</v>
      </c>
      <c r="U466" t="str">
        <f>VLOOKUP(A466,Cleaned_Seller_Master!$A:$H,7,FALSE)</f>
        <v>19-01-2025</v>
      </c>
      <c r="V466">
        <f>IFERROR(INDEX(Violation_Summary_Seller_Year!$C:$C,MATCH(AD466,Violation_Summary_Seller_Year!$K:$K,0)),0)</f>
        <v>3</v>
      </c>
      <c r="W466">
        <f>IFERROR(INDEX(Violation_Summary_Seller_Year!$D:$D,MATCH(AD466,Violation_Summary_Seller_Year!$K:$K,0)),0)</f>
        <v>2663.33</v>
      </c>
      <c r="X466">
        <f>IFERROR(INDEX(Violation_Summary_Seller_Year!$E:$E,MATCH(AD466,Violation_Summary_Seller_Year!$K:$K,0)),0)</f>
        <v>0</v>
      </c>
      <c r="Y466">
        <f>IFERROR(INDEX(Violation_Summary_Seller_Year!$F:$F,MATCH(AD466,Violation_Summary_Seller_Year!$K:$K,0)),0)</f>
        <v>2</v>
      </c>
      <c r="Z466">
        <f>IFERROR(INDEX(Violation_Summary_Seller_Year!$G:$G,MATCH(AD466,Violation_Summary_Seller_Year!$K:$K,0)),0)</f>
        <v>1</v>
      </c>
      <c r="AA466">
        <f>IFERROR(INDEX(Violation_Summary_Seller_Year!$H:$H,MATCH(AD466,Violation_Summary_Seller_Year!$K:$K,0)),0)</f>
        <v>0</v>
      </c>
      <c r="AB466">
        <f>IFERROR(INDEX(Violation_Summary_Seller_Year!$I:$I,MATCH(AD466,Violation_Summary_Seller_Year!$K:$K,0)),0)</f>
        <v>0</v>
      </c>
      <c r="AC466">
        <f>IFERROR(INDEX(Violation_Summary_Seller_Year!$J:$J,MATCH(AD466,Violation_Summary_Seller_Year!$K:$K,0)),0)</f>
        <v>25</v>
      </c>
      <c r="AD466" t="str">
        <f t="shared" si="56"/>
        <v>86_2025</v>
      </c>
      <c r="AE466">
        <f t="shared" si="57"/>
        <v>1</v>
      </c>
      <c r="AF466">
        <f t="shared" si="58"/>
        <v>2</v>
      </c>
      <c r="AG466">
        <f t="shared" si="59"/>
        <v>1</v>
      </c>
      <c r="AH466">
        <f t="shared" si="60"/>
        <v>0</v>
      </c>
      <c r="AI466">
        <f t="shared" si="61"/>
        <v>1</v>
      </c>
      <c r="AJ466">
        <f t="shared" si="62"/>
        <v>105</v>
      </c>
      <c r="AK466" t="str">
        <f t="shared" si="63"/>
        <v>Medium</v>
      </c>
    </row>
    <row r="467" spans="1:37" x14ac:dyDescent="0.3">
      <c r="A467">
        <v>87</v>
      </c>
      <c r="B467">
        <v>2025</v>
      </c>
      <c r="C467">
        <v>870</v>
      </c>
      <c r="D467">
        <v>54</v>
      </c>
      <c r="E467">
        <v>49</v>
      </c>
      <c r="F467">
        <v>3629.65</v>
      </c>
      <c r="G467">
        <v>5.6321999999999997E-2</v>
      </c>
      <c r="H467">
        <v>14</v>
      </c>
      <c r="I467">
        <v>20</v>
      </c>
      <c r="J467">
        <v>10</v>
      </c>
      <c r="K467">
        <v>7</v>
      </c>
      <c r="L467">
        <v>0</v>
      </c>
      <c r="M467">
        <v>2</v>
      </c>
      <c r="N467">
        <v>4</v>
      </c>
      <c r="O467">
        <v>1</v>
      </c>
      <c r="P467" t="s">
        <v>68</v>
      </c>
      <c r="Q467" t="str">
        <f>VLOOKUP(A467,Cleaned_Seller_Master!$A:$H,2,FALSE)</f>
        <v>Urban Works 087</v>
      </c>
      <c r="R467" t="str">
        <f>VLOOKUP(A467,Cleaned_Seller_Master!$A:$H,4,FALSE)</f>
        <v>Groceries</v>
      </c>
      <c r="S467" t="str">
        <f>VLOOKUP(A467,Cleaned_Seller_Master!$A:$H,5,FALSE)</f>
        <v>East</v>
      </c>
      <c r="T467" t="str">
        <f>VLOOKUP(A467,Cleaned_Seller_Master!$A:$H,8,FALSE)</f>
        <v>Standard</v>
      </c>
      <c r="U467" t="str">
        <f>VLOOKUP(A467,Cleaned_Seller_Master!$A:$H,7,FALSE)</f>
        <v>09-03-2022</v>
      </c>
      <c r="V467">
        <f>IFERROR(INDEX(Violation_Summary_Seller_Year!$C:$C,MATCH(AD467,Violation_Summary_Seller_Year!$K:$K,0)),0)</f>
        <v>3</v>
      </c>
      <c r="W467">
        <f>IFERROR(INDEX(Violation_Summary_Seller_Year!$D:$D,MATCH(AD467,Violation_Summary_Seller_Year!$K:$K,0)),0)</f>
        <v>8569.7099999999991</v>
      </c>
      <c r="X467">
        <f>IFERROR(INDEX(Violation_Summary_Seller_Year!$E:$E,MATCH(AD467,Violation_Summary_Seller_Year!$K:$K,0)),0)</f>
        <v>0</v>
      </c>
      <c r="Y467">
        <f>IFERROR(INDEX(Violation_Summary_Seller_Year!$F:$F,MATCH(AD467,Violation_Summary_Seller_Year!$K:$K,0)),0)</f>
        <v>2</v>
      </c>
      <c r="Z467">
        <f>IFERROR(INDEX(Violation_Summary_Seller_Year!$G:$G,MATCH(AD467,Violation_Summary_Seller_Year!$K:$K,0)),0)</f>
        <v>1</v>
      </c>
      <c r="AA467">
        <f>IFERROR(INDEX(Violation_Summary_Seller_Year!$H:$H,MATCH(AD467,Violation_Summary_Seller_Year!$K:$K,0)),0)</f>
        <v>2</v>
      </c>
      <c r="AB467">
        <f>IFERROR(INDEX(Violation_Summary_Seller_Year!$I:$I,MATCH(AD467,Violation_Summary_Seller_Year!$K:$K,0)),0)</f>
        <v>0</v>
      </c>
      <c r="AC467">
        <f>IFERROR(INDEX(Violation_Summary_Seller_Year!$J:$J,MATCH(AD467,Violation_Summary_Seller_Year!$K:$K,0)),0)</f>
        <v>24</v>
      </c>
      <c r="AD467" t="str">
        <f t="shared" si="56"/>
        <v>87_2025</v>
      </c>
      <c r="AE467">
        <f t="shared" si="57"/>
        <v>1</v>
      </c>
      <c r="AF467">
        <f t="shared" si="58"/>
        <v>2</v>
      </c>
      <c r="AG467">
        <f t="shared" si="59"/>
        <v>2</v>
      </c>
      <c r="AH467">
        <f t="shared" si="60"/>
        <v>0</v>
      </c>
      <c r="AI467">
        <f t="shared" si="61"/>
        <v>1</v>
      </c>
      <c r="AJ467">
        <f t="shared" si="62"/>
        <v>125</v>
      </c>
      <c r="AK467" t="str">
        <f t="shared" si="63"/>
        <v>High</v>
      </c>
    </row>
    <row r="468" spans="1:37" x14ac:dyDescent="0.3">
      <c r="A468">
        <v>88</v>
      </c>
      <c r="B468">
        <v>2025</v>
      </c>
      <c r="C468">
        <v>1139</v>
      </c>
      <c r="D468">
        <v>65</v>
      </c>
      <c r="E468">
        <v>60</v>
      </c>
      <c r="F468">
        <v>3653.3</v>
      </c>
      <c r="G468">
        <v>5.2678000000000003E-2</v>
      </c>
      <c r="H468">
        <v>16</v>
      </c>
      <c r="I468">
        <v>31</v>
      </c>
      <c r="J468">
        <v>11</v>
      </c>
      <c r="K468">
        <v>13</v>
      </c>
      <c r="L468">
        <v>0</v>
      </c>
      <c r="M468">
        <v>4</v>
      </c>
      <c r="N468">
        <v>3</v>
      </c>
      <c r="O468">
        <v>2</v>
      </c>
      <c r="P468" t="s">
        <v>175</v>
      </c>
      <c r="Q468" t="str">
        <f>VLOOKUP(A468,Cleaned_Seller_Master!$A:$H,2,FALSE)</f>
        <v>Bright Nest 088</v>
      </c>
      <c r="R468" t="str">
        <f>VLOOKUP(A468,Cleaned_Seller_Master!$A:$H,4,FALSE)</f>
        <v>Home</v>
      </c>
      <c r="S468" t="str">
        <f>VLOOKUP(A468,Cleaned_Seller_Master!$A:$H,5,FALSE)</f>
        <v>North</v>
      </c>
      <c r="T468" t="str">
        <f>VLOOKUP(A468,Cleaned_Seller_Master!$A:$H,8,FALSE)</f>
        <v>Verified</v>
      </c>
      <c r="U468" t="str">
        <f>VLOOKUP(A468,Cleaned_Seller_Master!$A:$H,7,FALSE)</f>
        <v>24-11-2020</v>
      </c>
      <c r="V468">
        <f>IFERROR(INDEX(Violation_Summary_Seller_Year!$C:$C,MATCH(AD468,Violation_Summary_Seller_Year!$K:$K,0)),0)</f>
        <v>2</v>
      </c>
      <c r="W468">
        <f>IFERROR(INDEX(Violation_Summary_Seller_Year!$D:$D,MATCH(AD468,Violation_Summary_Seller_Year!$K:$K,0)),0)</f>
        <v>1593.98</v>
      </c>
      <c r="X468">
        <f>IFERROR(INDEX(Violation_Summary_Seller_Year!$E:$E,MATCH(AD468,Violation_Summary_Seller_Year!$K:$K,0)),0)</f>
        <v>0</v>
      </c>
      <c r="Y468">
        <f>IFERROR(INDEX(Violation_Summary_Seller_Year!$F:$F,MATCH(AD468,Violation_Summary_Seller_Year!$K:$K,0)),0)</f>
        <v>2</v>
      </c>
      <c r="Z468">
        <f>IFERROR(INDEX(Violation_Summary_Seller_Year!$G:$G,MATCH(AD468,Violation_Summary_Seller_Year!$K:$K,0)),0)</f>
        <v>0</v>
      </c>
      <c r="AA468">
        <f>IFERROR(INDEX(Violation_Summary_Seller_Year!$H:$H,MATCH(AD468,Violation_Summary_Seller_Year!$K:$K,0)),0)</f>
        <v>1</v>
      </c>
      <c r="AB468">
        <f>IFERROR(INDEX(Violation_Summary_Seller_Year!$I:$I,MATCH(AD468,Violation_Summary_Seller_Year!$K:$K,0)),0)</f>
        <v>0</v>
      </c>
      <c r="AC468">
        <f>IFERROR(INDEX(Violation_Summary_Seller_Year!$J:$J,MATCH(AD468,Violation_Summary_Seller_Year!$K:$K,0)),0)</f>
        <v>16</v>
      </c>
      <c r="AD468" t="str">
        <f t="shared" si="56"/>
        <v>88_2025</v>
      </c>
      <c r="AE468">
        <f t="shared" si="57"/>
        <v>1</v>
      </c>
      <c r="AF468">
        <f t="shared" si="58"/>
        <v>2</v>
      </c>
      <c r="AG468">
        <f t="shared" si="59"/>
        <v>1</v>
      </c>
      <c r="AH468">
        <f t="shared" si="60"/>
        <v>0</v>
      </c>
      <c r="AI468">
        <f t="shared" si="61"/>
        <v>1</v>
      </c>
      <c r="AJ468">
        <f t="shared" si="62"/>
        <v>105</v>
      </c>
      <c r="AK468" t="str">
        <f t="shared" si="63"/>
        <v>Medium</v>
      </c>
    </row>
    <row r="469" spans="1:37" x14ac:dyDescent="0.3">
      <c r="A469">
        <v>89</v>
      </c>
      <c r="B469">
        <v>2025</v>
      </c>
      <c r="C469">
        <v>858</v>
      </c>
      <c r="D469">
        <v>63</v>
      </c>
      <c r="E469">
        <v>57</v>
      </c>
      <c r="F469">
        <v>6280.95</v>
      </c>
      <c r="G469">
        <v>6.6433999999999993E-2</v>
      </c>
      <c r="H469">
        <v>18</v>
      </c>
      <c r="I469">
        <v>24</v>
      </c>
      <c r="J469">
        <v>11</v>
      </c>
      <c r="K469">
        <v>5</v>
      </c>
      <c r="L469">
        <v>1</v>
      </c>
      <c r="M469">
        <v>4</v>
      </c>
      <c r="N469">
        <v>3</v>
      </c>
      <c r="O469">
        <v>5</v>
      </c>
      <c r="P469" t="s">
        <v>85</v>
      </c>
      <c r="Q469" t="str">
        <f>VLOOKUP(A469,Cleaned_Seller_Master!$A:$H,2,FALSE)</f>
        <v>Golden Hub 089</v>
      </c>
      <c r="R469" t="str">
        <f>VLOOKUP(A469,Cleaned_Seller_Master!$A:$H,4,FALSE)</f>
        <v>Fashion</v>
      </c>
      <c r="S469" t="str">
        <f>VLOOKUP(A469,Cleaned_Seller_Master!$A:$H,5,FALSE)</f>
        <v>Southeast Asia</v>
      </c>
      <c r="T469" t="str">
        <f>VLOOKUP(A469,Cleaned_Seller_Master!$A:$H,8,FALSE)</f>
        <v>Verified</v>
      </c>
      <c r="U469" t="str">
        <f>VLOOKUP(A469,Cleaned_Seller_Master!$A:$H,7,FALSE)</f>
        <v>22-06-2025</v>
      </c>
      <c r="V469">
        <f>IFERROR(INDEX(Violation_Summary_Seller_Year!$C:$C,MATCH(AD469,Violation_Summary_Seller_Year!$K:$K,0)),0)</f>
        <v>3</v>
      </c>
      <c r="W469">
        <f>IFERROR(INDEX(Violation_Summary_Seller_Year!$D:$D,MATCH(AD469,Violation_Summary_Seller_Year!$K:$K,0)),0)</f>
        <v>8515.57</v>
      </c>
      <c r="X469">
        <f>IFERROR(INDEX(Violation_Summary_Seller_Year!$E:$E,MATCH(AD469,Violation_Summary_Seller_Year!$K:$K,0)),0)</f>
        <v>2</v>
      </c>
      <c r="Y469">
        <f>IFERROR(INDEX(Violation_Summary_Seller_Year!$F:$F,MATCH(AD469,Violation_Summary_Seller_Year!$K:$K,0)),0)</f>
        <v>2</v>
      </c>
      <c r="Z469">
        <f>IFERROR(INDEX(Violation_Summary_Seller_Year!$G:$G,MATCH(AD469,Violation_Summary_Seller_Year!$K:$K,0)),0)</f>
        <v>1</v>
      </c>
      <c r="AA469">
        <f>IFERROR(INDEX(Violation_Summary_Seller_Year!$H:$H,MATCH(AD469,Violation_Summary_Seller_Year!$K:$K,0)),0)</f>
        <v>3</v>
      </c>
      <c r="AB469">
        <f>IFERROR(INDEX(Violation_Summary_Seller_Year!$I:$I,MATCH(AD469,Violation_Summary_Seller_Year!$K:$K,0)),0)</f>
        <v>1</v>
      </c>
      <c r="AC469">
        <f>IFERROR(INDEX(Violation_Summary_Seller_Year!$J:$J,MATCH(AD469,Violation_Summary_Seller_Year!$K:$K,0)),0)</f>
        <v>27</v>
      </c>
      <c r="AD469" t="str">
        <f t="shared" si="56"/>
        <v>89_2025</v>
      </c>
      <c r="AE469">
        <f t="shared" si="57"/>
        <v>1</v>
      </c>
      <c r="AF469">
        <f t="shared" si="58"/>
        <v>2</v>
      </c>
      <c r="AG469">
        <f t="shared" si="59"/>
        <v>2</v>
      </c>
      <c r="AH469">
        <f t="shared" si="60"/>
        <v>2</v>
      </c>
      <c r="AI469">
        <f t="shared" si="61"/>
        <v>2</v>
      </c>
      <c r="AJ469">
        <f t="shared" si="62"/>
        <v>175</v>
      </c>
      <c r="AK469" t="str">
        <f t="shared" si="63"/>
        <v>High</v>
      </c>
    </row>
    <row r="470" spans="1:37" x14ac:dyDescent="0.3">
      <c r="A470">
        <v>90</v>
      </c>
      <c r="B470">
        <v>2025</v>
      </c>
      <c r="C470">
        <v>1819</v>
      </c>
      <c r="D470">
        <v>116</v>
      </c>
      <c r="E470">
        <v>110</v>
      </c>
      <c r="F470">
        <v>6672.31</v>
      </c>
      <c r="G470">
        <v>6.0472999999999999E-2</v>
      </c>
      <c r="H470">
        <v>21</v>
      </c>
      <c r="I470">
        <v>48</v>
      </c>
      <c r="J470">
        <v>13</v>
      </c>
      <c r="K470">
        <v>17</v>
      </c>
      <c r="L470">
        <v>0</v>
      </c>
      <c r="M470">
        <v>6</v>
      </c>
      <c r="N470">
        <v>8</v>
      </c>
      <c r="O470">
        <v>6</v>
      </c>
      <c r="P470" t="s">
        <v>175</v>
      </c>
      <c r="Q470" t="str">
        <f>VLOOKUP(A470,Cleaned_Seller_Master!$A:$H,2,FALSE)</f>
        <v>Ever Merchants 090</v>
      </c>
      <c r="R470" t="str">
        <f>VLOOKUP(A470,Cleaned_Seller_Master!$A:$H,4,FALSE)</f>
        <v>Home</v>
      </c>
      <c r="S470" t="str">
        <f>VLOOKUP(A470,Cleaned_Seller_Master!$A:$H,5,FALSE)</f>
        <v>North</v>
      </c>
      <c r="T470" t="str">
        <f>VLOOKUP(A470,Cleaned_Seller_Master!$A:$H,8,FALSE)</f>
        <v>Premium</v>
      </c>
      <c r="U470" t="str">
        <f>VLOOKUP(A470,Cleaned_Seller_Master!$A:$H,7,FALSE)</f>
        <v>08-10-2022</v>
      </c>
      <c r="V470">
        <f>IFERROR(INDEX(Violation_Summary_Seller_Year!$C:$C,MATCH(AD470,Violation_Summary_Seller_Year!$K:$K,0)),0)</f>
        <v>2</v>
      </c>
      <c r="W470">
        <f>IFERROR(INDEX(Violation_Summary_Seller_Year!$D:$D,MATCH(AD470,Violation_Summary_Seller_Year!$K:$K,0)),0)</f>
        <v>1401.8200000000002</v>
      </c>
      <c r="X470">
        <f>IFERROR(INDEX(Violation_Summary_Seller_Year!$E:$E,MATCH(AD470,Violation_Summary_Seller_Year!$K:$K,0)),0)</f>
        <v>0</v>
      </c>
      <c r="Y470">
        <f>IFERROR(INDEX(Violation_Summary_Seller_Year!$F:$F,MATCH(AD470,Violation_Summary_Seller_Year!$K:$K,0)),0)</f>
        <v>1</v>
      </c>
      <c r="Z470">
        <f>IFERROR(INDEX(Violation_Summary_Seller_Year!$G:$G,MATCH(AD470,Violation_Summary_Seller_Year!$K:$K,0)),0)</f>
        <v>1</v>
      </c>
      <c r="AA470">
        <f>IFERROR(INDEX(Violation_Summary_Seller_Year!$H:$H,MATCH(AD470,Violation_Summary_Seller_Year!$K:$K,0)),0)</f>
        <v>0</v>
      </c>
      <c r="AB470">
        <f>IFERROR(INDEX(Violation_Summary_Seller_Year!$I:$I,MATCH(AD470,Violation_Summary_Seller_Year!$K:$K,0)),0)</f>
        <v>1</v>
      </c>
      <c r="AC470">
        <f>IFERROR(INDEX(Violation_Summary_Seller_Year!$J:$J,MATCH(AD470,Violation_Summary_Seller_Year!$K:$K,0)),0)</f>
        <v>13</v>
      </c>
      <c r="AD470" t="str">
        <f t="shared" si="56"/>
        <v>90_2025</v>
      </c>
      <c r="AE470">
        <f t="shared" si="57"/>
        <v>1</v>
      </c>
      <c r="AF470">
        <f t="shared" si="58"/>
        <v>2</v>
      </c>
      <c r="AG470">
        <f t="shared" si="59"/>
        <v>1</v>
      </c>
      <c r="AH470">
        <f t="shared" si="60"/>
        <v>0</v>
      </c>
      <c r="AI470">
        <f t="shared" si="61"/>
        <v>1</v>
      </c>
      <c r="AJ470">
        <f t="shared" si="62"/>
        <v>105</v>
      </c>
      <c r="AK470" t="str">
        <f t="shared" si="63"/>
        <v>Medium</v>
      </c>
    </row>
    <row r="471" spans="1:37" x14ac:dyDescent="0.3">
      <c r="A471">
        <v>91</v>
      </c>
      <c r="B471">
        <v>2025</v>
      </c>
      <c r="C471">
        <v>226</v>
      </c>
      <c r="D471">
        <v>23</v>
      </c>
      <c r="E471">
        <v>20</v>
      </c>
      <c r="F471">
        <v>1781.77</v>
      </c>
      <c r="G471">
        <v>8.8496000000000005E-2</v>
      </c>
      <c r="H471">
        <v>17</v>
      </c>
      <c r="I471">
        <v>17</v>
      </c>
      <c r="J471">
        <v>7</v>
      </c>
      <c r="K471">
        <v>6</v>
      </c>
      <c r="L471">
        <v>1</v>
      </c>
      <c r="M471">
        <v>3</v>
      </c>
      <c r="N471">
        <v>5</v>
      </c>
      <c r="O471">
        <v>2</v>
      </c>
      <c r="P471" t="s">
        <v>85</v>
      </c>
      <c r="Q471" t="str">
        <f>VLOOKUP(A471,Cleaned_Seller_Master!$A:$H,2,FALSE)</f>
        <v>Orbit Square 091</v>
      </c>
      <c r="R471" t="str">
        <f>VLOOKUP(A471,Cleaned_Seller_Master!$A:$H,4,FALSE)</f>
        <v>Electronics</v>
      </c>
      <c r="S471" t="str">
        <f>VLOOKUP(A471,Cleaned_Seller_Master!$A:$H,5,FALSE)</f>
        <v>North</v>
      </c>
      <c r="T471" t="str">
        <f>VLOOKUP(A471,Cleaned_Seller_Master!$A:$H,8,FALSE)</f>
        <v>Premium</v>
      </c>
      <c r="U471" t="str">
        <f>VLOOKUP(A471,Cleaned_Seller_Master!$A:$H,7,FALSE)</f>
        <v>04-02-2025</v>
      </c>
      <c r="V471">
        <f>IFERROR(INDEX(Violation_Summary_Seller_Year!$C:$C,MATCH(AD471,Violation_Summary_Seller_Year!$K:$K,0)),0)</f>
        <v>5</v>
      </c>
      <c r="W471">
        <f>IFERROR(INDEX(Violation_Summary_Seller_Year!$D:$D,MATCH(AD471,Violation_Summary_Seller_Year!$K:$K,0)),0)</f>
        <v>8855.75</v>
      </c>
      <c r="X471">
        <f>IFERROR(INDEX(Violation_Summary_Seller_Year!$E:$E,MATCH(AD471,Violation_Summary_Seller_Year!$K:$K,0)),0)</f>
        <v>3</v>
      </c>
      <c r="Y471">
        <f>IFERROR(INDEX(Violation_Summary_Seller_Year!$F:$F,MATCH(AD471,Violation_Summary_Seller_Year!$K:$K,0)),0)</f>
        <v>3</v>
      </c>
      <c r="Z471">
        <f>IFERROR(INDEX(Violation_Summary_Seller_Year!$G:$G,MATCH(AD471,Violation_Summary_Seller_Year!$K:$K,0)),0)</f>
        <v>2</v>
      </c>
      <c r="AA471">
        <f>IFERROR(INDEX(Violation_Summary_Seller_Year!$H:$H,MATCH(AD471,Violation_Summary_Seller_Year!$K:$K,0)),0)</f>
        <v>2</v>
      </c>
      <c r="AB471">
        <f>IFERROR(INDEX(Violation_Summary_Seller_Year!$I:$I,MATCH(AD471,Violation_Summary_Seller_Year!$K:$K,0)),0)</f>
        <v>2</v>
      </c>
      <c r="AC471">
        <f>IFERROR(INDEX(Violation_Summary_Seller_Year!$J:$J,MATCH(AD471,Violation_Summary_Seller_Year!$K:$K,0)),0)</f>
        <v>42</v>
      </c>
      <c r="AD471" t="str">
        <f t="shared" si="56"/>
        <v>91_2025</v>
      </c>
      <c r="AE471">
        <f t="shared" si="57"/>
        <v>1</v>
      </c>
      <c r="AF471">
        <f t="shared" si="58"/>
        <v>2</v>
      </c>
      <c r="AG471">
        <f t="shared" si="59"/>
        <v>2</v>
      </c>
      <c r="AH471">
        <f t="shared" si="60"/>
        <v>2</v>
      </c>
      <c r="AI471">
        <f t="shared" si="61"/>
        <v>2</v>
      </c>
      <c r="AJ471">
        <f t="shared" si="62"/>
        <v>175</v>
      </c>
      <c r="AK471" t="str">
        <f t="shared" si="63"/>
        <v>High</v>
      </c>
    </row>
    <row r="472" spans="1:37" x14ac:dyDescent="0.3">
      <c r="A472">
        <v>92</v>
      </c>
      <c r="B472">
        <v>2025</v>
      </c>
      <c r="C472">
        <v>80</v>
      </c>
      <c r="D472">
        <v>8</v>
      </c>
      <c r="E472">
        <v>7</v>
      </c>
      <c r="F472">
        <v>475.94</v>
      </c>
      <c r="G472">
        <v>8.7499999999999994E-2</v>
      </c>
      <c r="H472">
        <v>12</v>
      </c>
      <c r="I472">
        <v>12</v>
      </c>
      <c r="J472">
        <v>3</v>
      </c>
      <c r="K472">
        <v>5</v>
      </c>
      <c r="L472">
        <v>1</v>
      </c>
      <c r="M472">
        <v>4</v>
      </c>
      <c r="N472">
        <v>4</v>
      </c>
      <c r="O472">
        <v>1</v>
      </c>
      <c r="P472" t="s">
        <v>85</v>
      </c>
      <c r="Q472" t="str">
        <f>VLOOKUP(A472,Cleaned_Seller_Master!$A:$H,2,FALSE)</f>
        <v>Pulse Commerce 092</v>
      </c>
      <c r="R472" t="str">
        <f>VLOOKUP(A472,Cleaned_Seller_Master!$A:$H,4,FALSE)</f>
        <v>Groceries</v>
      </c>
      <c r="S472" t="str">
        <f>VLOOKUP(A472,Cleaned_Seller_Master!$A:$H,5,FALSE)</f>
        <v>West</v>
      </c>
      <c r="T472" t="str">
        <f>VLOOKUP(A472,Cleaned_Seller_Master!$A:$H,8,FALSE)</f>
        <v>Verified</v>
      </c>
      <c r="U472" t="str">
        <f>VLOOKUP(A472,Cleaned_Seller_Master!$A:$H,7,FALSE)</f>
        <v>21-07-2020</v>
      </c>
      <c r="V472">
        <f>IFERROR(INDEX(Violation_Summary_Seller_Year!$C:$C,MATCH(AD472,Violation_Summary_Seller_Year!$K:$K,0)),0)</f>
        <v>3</v>
      </c>
      <c r="W472">
        <f>IFERROR(INDEX(Violation_Summary_Seller_Year!$D:$D,MATCH(AD472,Violation_Summary_Seller_Year!$K:$K,0)),0)</f>
        <v>5452.19</v>
      </c>
      <c r="X472">
        <f>IFERROR(INDEX(Violation_Summary_Seller_Year!$E:$E,MATCH(AD472,Violation_Summary_Seller_Year!$K:$K,0)),0)</f>
        <v>2</v>
      </c>
      <c r="Y472">
        <f>IFERROR(INDEX(Violation_Summary_Seller_Year!$F:$F,MATCH(AD472,Violation_Summary_Seller_Year!$K:$K,0)),0)</f>
        <v>1</v>
      </c>
      <c r="Z472">
        <f>IFERROR(INDEX(Violation_Summary_Seller_Year!$G:$G,MATCH(AD472,Violation_Summary_Seller_Year!$K:$K,0)),0)</f>
        <v>2</v>
      </c>
      <c r="AA472">
        <f>IFERROR(INDEX(Violation_Summary_Seller_Year!$H:$H,MATCH(AD472,Violation_Summary_Seller_Year!$K:$K,0)),0)</f>
        <v>3</v>
      </c>
      <c r="AB472">
        <f>IFERROR(INDEX(Violation_Summary_Seller_Year!$I:$I,MATCH(AD472,Violation_Summary_Seller_Year!$K:$K,0)),0)</f>
        <v>2</v>
      </c>
      <c r="AC472">
        <f>IFERROR(INDEX(Violation_Summary_Seller_Year!$J:$J,MATCH(AD472,Violation_Summary_Seller_Year!$K:$K,0)),0)</f>
        <v>34</v>
      </c>
      <c r="AD472" t="str">
        <f t="shared" si="56"/>
        <v>92_2025</v>
      </c>
      <c r="AE472">
        <f t="shared" si="57"/>
        <v>1</v>
      </c>
      <c r="AF472">
        <f t="shared" si="58"/>
        <v>2</v>
      </c>
      <c r="AG472">
        <f t="shared" si="59"/>
        <v>2</v>
      </c>
      <c r="AH472">
        <f t="shared" si="60"/>
        <v>2</v>
      </c>
      <c r="AI472">
        <f t="shared" si="61"/>
        <v>2</v>
      </c>
      <c r="AJ472">
        <f t="shared" si="62"/>
        <v>175</v>
      </c>
      <c r="AK472" t="str">
        <f t="shared" si="63"/>
        <v>High</v>
      </c>
    </row>
    <row r="473" spans="1:37" x14ac:dyDescent="0.3">
      <c r="A473">
        <v>93</v>
      </c>
      <c r="B473">
        <v>2025</v>
      </c>
      <c r="C473">
        <v>344</v>
      </c>
      <c r="D473">
        <v>24</v>
      </c>
      <c r="E473">
        <v>22</v>
      </c>
      <c r="F473">
        <v>975.5</v>
      </c>
      <c r="G473">
        <v>6.3952999999999996E-2</v>
      </c>
      <c r="H473">
        <v>16</v>
      </c>
      <c r="I473">
        <v>18</v>
      </c>
      <c r="J473">
        <v>6</v>
      </c>
      <c r="K473">
        <v>6</v>
      </c>
      <c r="L473">
        <v>1</v>
      </c>
      <c r="M473">
        <v>4</v>
      </c>
      <c r="N473">
        <v>3</v>
      </c>
      <c r="O473">
        <v>2</v>
      </c>
      <c r="P473" t="s">
        <v>85</v>
      </c>
      <c r="Q473" t="str">
        <f>VLOOKUP(A473,Cleaned_Seller_Master!$A:$H,2,FALSE)</f>
        <v>Summit Bazaar 093</v>
      </c>
      <c r="R473" t="str">
        <f>VLOOKUP(A473,Cleaned_Seller_Master!$A:$H,4,FALSE)</f>
        <v>Home</v>
      </c>
      <c r="S473" t="str">
        <f>VLOOKUP(A473,Cleaned_Seller_Master!$A:$H,5,FALSE)</f>
        <v>West</v>
      </c>
      <c r="T473" t="str">
        <f>VLOOKUP(A473,Cleaned_Seller_Master!$A:$H,8,FALSE)</f>
        <v>Strategic</v>
      </c>
      <c r="U473" t="str">
        <f>VLOOKUP(A473,Cleaned_Seller_Master!$A:$H,7,FALSE)</f>
        <v>22-02-2023</v>
      </c>
      <c r="V473">
        <f>IFERROR(INDEX(Violation_Summary_Seller_Year!$C:$C,MATCH(AD473,Violation_Summary_Seller_Year!$K:$K,0)),0)</f>
        <v>6</v>
      </c>
      <c r="W473">
        <f>IFERROR(INDEX(Violation_Summary_Seller_Year!$D:$D,MATCH(AD473,Violation_Summary_Seller_Year!$K:$K,0)),0)</f>
        <v>15848.660000000002</v>
      </c>
      <c r="X473">
        <f>IFERROR(INDEX(Violation_Summary_Seller_Year!$E:$E,MATCH(AD473,Violation_Summary_Seller_Year!$K:$K,0)),0)</f>
        <v>2</v>
      </c>
      <c r="Y473">
        <f>IFERROR(INDEX(Violation_Summary_Seller_Year!$F:$F,MATCH(AD473,Violation_Summary_Seller_Year!$K:$K,0)),0)</f>
        <v>4</v>
      </c>
      <c r="Z473">
        <f>IFERROR(INDEX(Violation_Summary_Seller_Year!$G:$G,MATCH(AD473,Violation_Summary_Seller_Year!$K:$K,0)),0)</f>
        <v>2</v>
      </c>
      <c r="AA473">
        <f>IFERROR(INDEX(Violation_Summary_Seller_Year!$H:$H,MATCH(AD473,Violation_Summary_Seller_Year!$K:$K,0)),0)</f>
        <v>3</v>
      </c>
      <c r="AB473">
        <f>IFERROR(INDEX(Violation_Summary_Seller_Year!$I:$I,MATCH(AD473,Violation_Summary_Seller_Year!$K:$K,0)),0)</f>
        <v>2</v>
      </c>
      <c r="AC473">
        <f>IFERROR(INDEX(Violation_Summary_Seller_Year!$J:$J,MATCH(AD473,Violation_Summary_Seller_Year!$K:$K,0)),0)</f>
        <v>50</v>
      </c>
      <c r="AD473" t="str">
        <f t="shared" si="56"/>
        <v>93_2025</v>
      </c>
      <c r="AE473">
        <f t="shared" si="57"/>
        <v>1</v>
      </c>
      <c r="AF473">
        <f t="shared" si="58"/>
        <v>2</v>
      </c>
      <c r="AG473">
        <f t="shared" si="59"/>
        <v>2</v>
      </c>
      <c r="AH473">
        <f t="shared" si="60"/>
        <v>2</v>
      </c>
      <c r="AI473">
        <f t="shared" si="61"/>
        <v>2</v>
      </c>
      <c r="AJ473">
        <f t="shared" si="62"/>
        <v>175</v>
      </c>
      <c r="AK473" t="str">
        <f t="shared" si="63"/>
        <v>High</v>
      </c>
    </row>
    <row r="474" spans="1:37" x14ac:dyDescent="0.3">
      <c r="A474">
        <v>94</v>
      </c>
      <c r="B474">
        <v>2025</v>
      </c>
      <c r="C474">
        <v>701</v>
      </c>
      <c r="D474">
        <v>29</v>
      </c>
      <c r="E474">
        <v>25</v>
      </c>
      <c r="F474">
        <v>1239.08</v>
      </c>
      <c r="G474">
        <v>3.5663E-2</v>
      </c>
      <c r="H474">
        <v>3</v>
      </c>
      <c r="I474">
        <v>19</v>
      </c>
      <c r="J474">
        <v>6</v>
      </c>
      <c r="K474">
        <v>2</v>
      </c>
      <c r="L474">
        <v>0</v>
      </c>
      <c r="M474">
        <v>0</v>
      </c>
      <c r="N474">
        <v>1</v>
      </c>
      <c r="O474">
        <v>2</v>
      </c>
      <c r="P474" t="s">
        <v>176</v>
      </c>
      <c r="Q474" t="str">
        <f>VLOOKUP(A474,Cleaned_Seller_Master!$A:$H,2,FALSE)</f>
        <v>Prime Bridge 094</v>
      </c>
      <c r="R474" t="str">
        <f>VLOOKUP(A474,Cleaned_Seller_Master!$A:$H,4,FALSE)</f>
        <v>Home</v>
      </c>
      <c r="S474" t="str">
        <f>VLOOKUP(A474,Cleaned_Seller_Master!$A:$H,5,FALSE)</f>
        <v>North</v>
      </c>
      <c r="T474" t="str">
        <f>VLOOKUP(A474,Cleaned_Seller_Master!$A:$H,8,FALSE)</f>
        <v>Standard</v>
      </c>
      <c r="U474" t="str">
        <f>VLOOKUP(A474,Cleaned_Seller_Master!$A:$H,7,FALSE)</f>
        <v>26-01-2017</v>
      </c>
      <c r="V474">
        <f>IFERROR(INDEX(Violation_Summary_Seller_Year!$C:$C,MATCH(AD474,Violation_Summary_Seller_Year!$K:$K,0)),0)</f>
        <v>2</v>
      </c>
      <c r="W474">
        <f>IFERROR(INDEX(Violation_Summary_Seller_Year!$D:$D,MATCH(AD474,Violation_Summary_Seller_Year!$K:$K,0)),0)</f>
        <v>2846.83</v>
      </c>
      <c r="X474">
        <f>IFERROR(INDEX(Violation_Summary_Seller_Year!$E:$E,MATCH(AD474,Violation_Summary_Seller_Year!$K:$K,0)),0)</f>
        <v>0</v>
      </c>
      <c r="Y474">
        <f>IFERROR(INDEX(Violation_Summary_Seller_Year!$F:$F,MATCH(AD474,Violation_Summary_Seller_Year!$K:$K,0)),0)</f>
        <v>2</v>
      </c>
      <c r="Z474">
        <f>IFERROR(INDEX(Violation_Summary_Seller_Year!$G:$G,MATCH(AD474,Violation_Summary_Seller_Year!$K:$K,0)),0)</f>
        <v>0</v>
      </c>
      <c r="AA474">
        <f>IFERROR(INDEX(Violation_Summary_Seller_Year!$H:$H,MATCH(AD474,Violation_Summary_Seller_Year!$K:$K,0)),0)</f>
        <v>1</v>
      </c>
      <c r="AB474">
        <f>IFERROR(INDEX(Violation_Summary_Seller_Year!$I:$I,MATCH(AD474,Violation_Summary_Seller_Year!$K:$K,0)),0)</f>
        <v>0</v>
      </c>
      <c r="AC474">
        <f>IFERROR(INDEX(Violation_Summary_Seller_Year!$J:$J,MATCH(AD474,Violation_Summary_Seller_Year!$K:$K,0)),0)</f>
        <v>12</v>
      </c>
      <c r="AD474" t="str">
        <f t="shared" si="56"/>
        <v>94_2025</v>
      </c>
      <c r="AE474">
        <f t="shared" si="57"/>
        <v>0</v>
      </c>
      <c r="AF474">
        <f t="shared" si="58"/>
        <v>0</v>
      </c>
      <c r="AG474">
        <f t="shared" si="59"/>
        <v>1</v>
      </c>
      <c r="AH474">
        <f t="shared" si="60"/>
        <v>0</v>
      </c>
      <c r="AI474">
        <f t="shared" si="61"/>
        <v>1</v>
      </c>
      <c r="AJ474">
        <f t="shared" si="62"/>
        <v>30</v>
      </c>
      <c r="AK474" t="str">
        <f t="shared" si="63"/>
        <v>Low</v>
      </c>
    </row>
    <row r="475" spans="1:37" x14ac:dyDescent="0.3">
      <c r="A475">
        <v>95</v>
      </c>
      <c r="B475">
        <v>2025</v>
      </c>
      <c r="C475">
        <v>483</v>
      </c>
      <c r="D475">
        <v>40</v>
      </c>
      <c r="E475">
        <v>34</v>
      </c>
      <c r="F475">
        <v>3461.37</v>
      </c>
      <c r="G475">
        <v>7.0392999999999997E-2</v>
      </c>
      <c r="H475">
        <v>18</v>
      </c>
      <c r="I475">
        <v>22</v>
      </c>
      <c r="J475">
        <v>5</v>
      </c>
      <c r="K475">
        <v>10</v>
      </c>
      <c r="L475">
        <v>1</v>
      </c>
      <c r="M475">
        <v>6</v>
      </c>
      <c r="N475">
        <v>7</v>
      </c>
      <c r="O475">
        <v>3</v>
      </c>
      <c r="P475" t="s">
        <v>85</v>
      </c>
      <c r="Q475" t="str">
        <f>VLOOKUP(A475,Cleaned_Seller_Master!$A:$H,2,FALSE)</f>
        <v>Apex Retail 095</v>
      </c>
      <c r="R475" t="str">
        <f>VLOOKUP(A475,Cleaned_Seller_Master!$A:$H,4,FALSE)</f>
        <v>Groceries</v>
      </c>
      <c r="S475" t="str">
        <f>VLOOKUP(A475,Cleaned_Seller_Master!$A:$H,5,FALSE)</f>
        <v>South</v>
      </c>
      <c r="T475" t="str">
        <f>VLOOKUP(A475,Cleaned_Seller_Master!$A:$H,8,FALSE)</f>
        <v>Verified</v>
      </c>
      <c r="U475" t="str">
        <f>VLOOKUP(A475,Cleaned_Seller_Master!$A:$H,7,FALSE)</f>
        <v>26-03-2022</v>
      </c>
      <c r="V475">
        <f>IFERROR(INDEX(Violation_Summary_Seller_Year!$C:$C,MATCH(AD475,Violation_Summary_Seller_Year!$K:$K,0)),0)</f>
        <v>6</v>
      </c>
      <c r="W475">
        <f>IFERROR(INDEX(Violation_Summary_Seller_Year!$D:$D,MATCH(AD475,Violation_Summary_Seller_Year!$K:$K,0)),0)</f>
        <v>14642.04</v>
      </c>
      <c r="X475">
        <f>IFERROR(INDEX(Violation_Summary_Seller_Year!$E:$E,MATCH(AD475,Violation_Summary_Seller_Year!$K:$K,0)),0)</f>
        <v>4</v>
      </c>
      <c r="Y475">
        <f>IFERROR(INDEX(Violation_Summary_Seller_Year!$F:$F,MATCH(AD475,Violation_Summary_Seller_Year!$K:$K,0)),0)</f>
        <v>3</v>
      </c>
      <c r="Z475">
        <f>IFERROR(INDEX(Violation_Summary_Seller_Year!$G:$G,MATCH(AD475,Violation_Summary_Seller_Year!$K:$K,0)),0)</f>
        <v>3</v>
      </c>
      <c r="AA475">
        <f>IFERROR(INDEX(Violation_Summary_Seller_Year!$H:$H,MATCH(AD475,Violation_Summary_Seller_Year!$K:$K,0)),0)</f>
        <v>5</v>
      </c>
      <c r="AB475">
        <f>IFERROR(INDEX(Violation_Summary_Seller_Year!$I:$I,MATCH(AD475,Violation_Summary_Seller_Year!$K:$K,0)),0)</f>
        <v>1</v>
      </c>
      <c r="AC475">
        <f>IFERROR(INDEX(Violation_Summary_Seller_Year!$J:$J,MATCH(AD475,Violation_Summary_Seller_Year!$K:$K,0)),0)</f>
        <v>62</v>
      </c>
      <c r="AD475" t="str">
        <f t="shared" si="56"/>
        <v>95_2025</v>
      </c>
      <c r="AE475">
        <f t="shared" si="57"/>
        <v>1</v>
      </c>
      <c r="AF475">
        <f t="shared" si="58"/>
        <v>2</v>
      </c>
      <c r="AG475">
        <f t="shared" si="59"/>
        <v>2</v>
      </c>
      <c r="AH475">
        <f t="shared" si="60"/>
        <v>2</v>
      </c>
      <c r="AI475">
        <f t="shared" si="61"/>
        <v>2</v>
      </c>
      <c r="AJ475">
        <f t="shared" si="62"/>
        <v>175</v>
      </c>
      <c r="AK475" t="str">
        <f t="shared" si="63"/>
        <v>High</v>
      </c>
    </row>
    <row r="476" spans="1:37" x14ac:dyDescent="0.3">
      <c r="A476">
        <v>96</v>
      </c>
      <c r="B476">
        <v>2025</v>
      </c>
      <c r="C476">
        <v>1208</v>
      </c>
      <c r="D476">
        <v>117</v>
      </c>
      <c r="E476">
        <v>110</v>
      </c>
      <c r="F476">
        <v>4656.3100000000004</v>
      </c>
      <c r="G476">
        <v>9.1060000000000002E-2</v>
      </c>
      <c r="H476">
        <v>19</v>
      </c>
      <c r="I476">
        <v>41</v>
      </c>
      <c r="J476">
        <v>24</v>
      </c>
      <c r="K476">
        <v>11</v>
      </c>
      <c r="L476">
        <v>1</v>
      </c>
      <c r="M476">
        <v>4</v>
      </c>
      <c r="N476">
        <v>8</v>
      </c>
      <c r="O476">
        <v>8</v>
      </c>
      <c r="P476" t="s">
        <v>85</v>
      </c>
      <c r="Q476" t="str">
        <f>VLOOKUP(A476,Cleaned_Seller_Master!$A:$H,2,FALSE)</f>
        <v>Nimbus Market 096</v>
      </c>
      <c r="R476" t="str">
        <f>VLOOKUP(A476,Cleaned_Seller_Master!$A:$H,4,FALSE)</f>
        <v>Beauty</v>
      </c>
      <c r="S476" t="str">
        <f>VLOOKUP(A476,Cleaned_Seller_Master!$A:$H,5,FALSE)</f>
        <v>North</v>
      </c>
      <c r="T476" t="str">
        <f>VLOOKUP(A476,Cleaned_Seller_Master!$A:$H,8,FALSE)</f>
        <v>Verified</v>
      </c>
      <c r="U476" t="str">
        <f>VLOOKUP(A476,Cleaned_Seller_Master!$A:$H,7,FALSE)</f>
        <v>12-01-2019</v>
      </c>
      <c r="V476">
        <f>IFERROR(INDEX(Violation_Summary_Seller_Year!$C:$C,MATCH(AD476,Violation_Summary_Seller_Year!$K:$K,0)),0)</f>
        <v>3</v>
      </c>
      <c r="W476">
        <f>IFERROR(INDEX(Violation_Summary_Seller_Year!$D:$D,MATCH(AD476,Violation_Summary_Seller_Year!$K:$K,0)),0)</f>
        <v>4624.3999999999996</v>
      </c>
      <c r="X476">
        <f>IFERROR(INDEX(Violation_Summary_Seller_Year!$E:$E,MATCH(AD476,Violation_Summary_Seller_Year!$K:$K,0)),0)</f>
        <v>2</v>
      </c>
      <c r="Y476">
        <f>IFERROR(INDEX(Violation_Summary_Seller_Year!$F:$F,MATCH(AD476,Violation_Summary_Seller_Year!$K:$K,0)),0)</f>
        <v>2</v>
      </c>
      <c r="Z476">
        <f>IFERROR(INDEX(Violation_Summary_Seller_Year!$G:$G,MATCH(AD476,Violation_Summary_Seller_Year!$K:$K,0)),0)</f>
        <v>1</v>
      </c>
      <c r="AA476">
        <f>IFERROR(INDEX(Violation_Summary_Seller_Year!$H:$H,MATCH(AD476,Violation_Summary_Seller_Year!$K:$K,0)),0)</f>
        <v>3</v>
      </c>
      <c r="AB476">
        <f>IFERROR(INDEX(Violation_Summary_Seller_Year!$I:$I,MATCH(AD476,Violation_Summary_Seller_Year!$K:$K,0)),0)</f>
        <v>1</v>
      </c>
      <c r="AC476">
        <f>IFERROR(INDEX(Violation_Summary_Seller_Year!$J:$J,MATCH(AD476,Violation_Summary_Seller_Year!$K:$K,0)),0)</f>
        <v>43</v>
      </c>
      <c r="AD476" t="str">
        <f t="shared" si="56"/>
        <v>96_2025</v>
      </c>
      <c r="AE476">
        <f t="shared" si="57"/>
        <v>1</v>
      </c>
      <c r="AF476">
        <f t="shared" si="58"/>
        <v>2</v>
      </c>
      <c r="AG476">
        <f t="shared" si="59"/>
        <v>2</v>
      </c>
      <c r="AH476">
        <f t="shared" si="60"/>
        <v>2</v>
      </c>
      <c r="AI476">
        <f t="shared" si="61"/>
        <v>2</v>
      </c>
      <c r="AJ476">
        <f t="shared" si="62"/>
        <v>175</v>
      </c>
      <c r="AK476" t="str">
        <f t="shared" si="63"/>
        <v>High</v>
      </c>
    </row>
    <row r="477" spans="1:37" x14ac:dyDescent="0.3">
      <c r="A477">
        <v>97</v>
      </c>
      <c r="B477">
        <v>2025</v>
      </c>
      <c r="C477">
        <v>713</v>
      </c>
      <c r="D477">
        <v>66</v>
      </c>
      <c r="E477">
        <v>56</v>
      </c>
      <c r="F477">
        <v>2556.59</v>
      </c>
      <c r="G477">
        <v>7.8541E-2</v>
      </c>
      <c r="H477">
        <v>19</v>
      </c>
      <c r="I477">
        <v>29</v>
      </c>
      <c r="J477">
        <v>9</v>
      </c>
      <c r="K477">
        <v>8</v>
      </c>
      <c r="L477">
        <v>1</v>
      </c>
      <c r="M477">
        <v>4</v>
      </c>
      <c r="N477">
        <v>6</v>
      </c>
      <c r="O477">
        <v>4</v>
      </c>
      <c r="P477" t="s">
        <v>85</v>
      </c>
      <c r="Q477" t="str">
        <f>VLOOKUP(A477,Cleaned_Seller_Master!$A:$H,2,FALSE)</f>
        <v>Metro Point 097</v>
      </c>
      <c r="R477" t="str">
        <f>VLOOKUP(A477,Cleaned_Seller_Master!$A:$H,4,FALSE)</f>
        <v>Groceries</v>
      </c>
      <c r="S477" t="str">
        <f>VLOOKUP(A477,Cleaned_Seller_Master!$A:$H,5,FALSE)</f>
        <v>North</v>
      </c>
      <c r="T477" t="str">
        <f>VLOOKUP(A477,Cleaned_Seller_Master!$A:$H,8,FALSE)</f>
        <v>Standard</v>
      </c>
      <c r="U477" t="str">
        <f>VLOOKUP(A477,Cleaned_Seller_Master!$A:$H,7,FALSE)</f>
        <v>25-08-2025</v>
      </c>
      <c r="V477">
        <f>IFERROR(INDEX(Violation_Summary_Seller_Year!$C:$C,MATCH(AD477,Violation_Summary_Seller_Year!$K:$K,0)),0)</f>
        <v>4</v>
      </c>
      <c r="W477">
        <f>IFERROR(INDEX(Violation_Summary_Seller_Year!$D:$D,MATCH(AD477,Violation_Summary_Seller_Year!$K:$K,0)),0)</f>
        <v>14094.210000000001</v>
      </c>
      <c r="X477">
        <f>IFERROR(INDEX(Violation_Summary_Seller_Year!$E:$E,MATCH(AD477,Violation_Summary_Seller_Year!$K:$K,0)),0)</f>
        <v>4</v>
      </c>
      <c r="Y477">
        <f>IFERROR(INDEX(Violation_Summary_Seller_Year!$F:$F,MATCH(AD477,Violation_Summary_Seller_Year!$K:$K,0)),0)</f>
        <v>2</v>
      </c>
      <c r="Z477">
        <f>IFERROR(INDEX(Violation_Summary_Seller_Year!$G:$G,MATCH(AD477,Violation_Summary_Seller_Year!$K:$K,0)),0)</f>
        <v>2</v>
      </c>
      <c r="AA477">
        <f>IFERROR(INDEX(Violation_Summary_Seller_Year!$H:$H,MATCH(AD477,Violation_Summary_Seller_Year!$K:$K,0)),0)</f>
        <v>3</v>
      </c>
      <c r="AB477">
        <f>IFERROR(INDEX(Violation_Summary_Seller_Year!$I:$I,MATCH(AD477,Violation_Summary_Seller_Year!$K:$K,0)),0)</f>
        <v>1</v>
      </c>
      <c r="AC477">
        <f>IFERROR(INDEX(Violation_Summary_Seller_Year!$J:$J,MATCH(AD477,Violation_Summary_Seller_Year!$K:$K,0)),0)</f>
        <v>46</v>
      </c>
      <c r="AD477" t="str">
        <f t="shared" si="56"/>
        <v>97_2025</v>
      </c>
      <c r="AE477">
        <f t="shared" si="57"/>
        <v>1</v>
      </c>
      <c r="AF477">
        <f t="shared" si="58"/>
        <v>2</v>
      </c>
      <c r="AG477">
        <f t="shared" si="59"/>
        <v>2</v>
      </c>
      <c r="AH477">
        <f t="shared" si="60"/>
        <v>2</v>
      </c>
      <c r="AI477">
        <f t="shared" si="61"/>
        <v>2</v>
      </c>
      <c r="AJ477">
        <f t="shared" si="62"/>
        <v>175</v>
      </c>
      <c r="AK477" t="str">
        <f t="shared" si="63"/>
        <v>High</v>
      </c>
    </row>
    <row r="478" spans="1:37" x14ac:dyDescent="0.3">
      <c r="A478">
        <v>98</v>
      </c>
      <c r="B478">
        <v>2025</v>
      </c>
      <c r="C478">
        <v>1588</v>
      </c>
      <c r="D478">
        <v>63</v>
      </c>
      <c r="E478">
        <v>59</v>
      </c>
      <c r="F478">
        <v>4434.46</v>
      </c>
      <c r="G478">
        <v>3.7154E-2</v>
      </c>
      <c r="H478">
        <v>9</v>
      </c>
      <c r="I478">
        <v>27</v>
      </c>
      <c r="J478">
        <v>10</v>
      </c>
      <c r="K478">
        <v>4</v>
      </c>
      <c r="L478">
        <v>0</v>
      </c>
      <c r="M478">
        <v>1</v>
      </c>
      <c r="N478">
        <v>2</v>
      </c>
      <c r="O478">
        <v>4</v>
      </c>
      <c r="P478" t="s">
        <v>175</v>
      </c>
      <c r="Q478" t="str">
        <f>VLOOKUP(A478,Cleaned_Seller_Master!$A:$H,2,FALSE)</f>
        <v>Luna Stores 098</v>
      </c>
      <c r="R478" t="str">
        <f>VLOOKUP(A478,Cleaned_Seller_Master!$A:$H,4,FALSE)</f>
        <v>Groceries</v>
      </c>
      <c r="S478" t="str">
        <f>VLOOKUP(A478,Cleaned_Seller_Master!$A:$H,5,FALSE)</f>
        <v>East</v>
      </c>
      <c r="T478" t="str">
        <f>VLOOKUP(A478,Cleaned_Seller_Master!$A:$H,8,FALSE)</f>
        <v>Verified</v>
      </c>
      <c r="U478" t="str">
        <f>VLOOKUP(A478,Cleaned_Seller_Master!$A:$H,7,FALSE)</f>
        <v>16-01-2017</v>
      </c>
      <c r="V478">
        <f>IFERROR(INDEX(Violation_Summary_Seller_Year!$C:$C,MATCH(AD478,Violation_Summary_Seller_Year!$K:$K,0)),0)</f>
        <v>2</v>
      </c>
      <c r="W478">
        <f>IFERROR(INDEX(Violation_Summary_Seller_Year!$D:$D,MATCH(AD478,Violation_Summary_Seller_Year!$K:$K,0)),0)</f>
        <v>1513.78</v>
      </c>
      <c r="X478">
        <f>IFERROR(INDEX(Violation_Summary_Seller_Year!$E:$E,MATCH(AD478,Violation_Summary_Seller_Year!$K:$K,0)),0)</f>
        <v>0</v>
      </c>
      <c r="Y478">
        <f>IFERROR(INDEX(Violation_Summary_Seller_Year!$F:$F,MATCH(AD478,Violation_Summary_Seller_Year!$K:$K,0)),0)</f>
        <v>2</v>
      </c>
      <c r="Z478">
        <f>IFERROR(INDEX(Violation_Summary_Seller_Year!$G:$G,MATCH(AD478,Violation_Summary_Seller_Year!$K:$K,0)),0)</f>
        <v>0</v>
      </c>
      <c r="AA478">
        <f>IFERROR(INDEX(Violation_Summary_Seller_Year!$H:$H,MATCH(AD478,Violation_Summary_Seller_Year!$K:$K,0)),0)</f>
        <v>0</v>
      </c>
      <c r="AB478">
        <f>IFERROR(INDEX(Violation_Summary_Seller_Year!$I:$I,MATCH(AD478,Violation_Summary_Seller_Year!$K:$K,0)),0)</f>
        <v>0</v>
      </c>
      <c r="AC478">
        <f>IFERROR(INDEX(Violation_Summary_Seller_Year!$J:$J,MATCH(AD478,Violation_Summary_Seller_Year!$K:$K,0)),0)</f>
        <v>9</v>
      </c>
      <c r="AD478" t="str">
        <f t="shared" si="56"/>
        <v>98_2025</v>
      </c>
      <c r="AE478">
        <f t="shared" si="57"/>
        <v>0</v>
      </c>
      <c r="AF478">
        <f t="shared" si="58"/>
        <v>2</v>
      </c>
      <c r="AG478">
        <f t="shared" si="59"/>
        <v>1</v>
      </c>
      <c r="AH478">
        <f t="shared" si="60"/>
        <v>0</v>
      </c>
      <c r="AI478">
        <f t="shared" si="61"/>
        <v>1</v>
      </c>
      <c r="AJ478">
        <f t="shared" si="62"/>
        <v>80</v>
      </c>
      <c r="AK478" t="str">
        <f t="shared" si="63"/>
        <v>Medium</v>
      </c>
    </row>
    <row r="479" spans="1:37" x14ac:dyDescent="0.3">
      <c r="A479">
        <v>99</v>
      </c>
      <c r="B479">
        <v>2025</v>
      </c>
      <c r="C479">
        <v>315</v>
      </c>
      <c r="D479">
        <v>19</v>
      </c>
      <c r="E479">
        <v>16</v>
      </c>
      <c r="F479">
        <v>1081.24</v>
      </c>
      <c r="G479">
        <v>5.0793999999999999E-2</v>
      </c>
      <c r="H479">
        <v>11</v>
      </c>
      <c r="I479">
        <v>11</v>
      </c>
      <c r="J479">
        <v>4</v>
      </c>
      <c r="K479">
        <v>4</v>
      </c>
      <c r="L479">
        <v>0</v>
      </c>
      <c r="M479">
        <v>1</v>
      </c>
      <c r="N479">
        <v>4</v>
      </c>
      <c r="O479">
        <v>1</v>
      </c>
      <c r="P479" t="s">
        <v>85</v>
      </c>
      <c r="Q479" t="str">
        <f>VLOOKUP(A479,Cleaned_Seller_Master!$A:$H,2,FALSE)</f>
        <v>Elite Link 099</v>
      </c>
      <c r="R479" t="str">
        <f>VLOOKUP(A479,Cleaned_Seller_Master!$A:$H,4,FALSE)</f>
        <v>Fashion</v>
      </c>
      <c r="S479" t="str">
        <f>VLOOKUP(A479,Cleaned_Seller_Master!$A:$H,5,FALSE)</f>
        <v>Southeast Asia</v>
      </c>
      <c r="T479" t="str">
        <f>VLOOKUP(A479,Cleaned_Seller_Master!$A:$H,8,FALSE)</f>
        <v>Premium</v>
      </c>
      <c r="U479" t="str">
        <f>VLOOKUP(A479,Cleaned_Seller_Master!$A:$H,7,FALSE)</f>
        <v>09-03-2018</v>
      </c>
      <c r="V479">
        <f>IFERROR(INDEX(Violation_Summary_Seller_Year!$C:$C,MATCH(AD479,Violation_Summary_Seller_Year!$K:$K,0)),0)</f>
        <v>4</v>
      </c>
      <c r="W479">
        <f>IFERROR(INDEX(Violation_Summary_Seller_Year!$D:$D,MATCH(AD479,Violation_Summary_Seller_Year!$K:$K,0)),0)</f>
        <v>15585.21</v>
      </c>
      <c r="X479">
        <f>IFERROR(INDEX(Violation_Summary_Seller_Year!$E:$E,MATCH(AD479,Violation_Summary_Seller_Year!$K:$K,0)),0)</f>
        <v>0</v>
      </c>
      <c r="Y479">
        <f>IFERROR(INDEX(Violation_Summary_Seller_Year!$F:$F,MATCH(AD479,Violation_Summary_Seller_Year!$K:$K,0)),0)</f>
        <v>2</v>
      </c>
      <c r="Z479">
        <f>IFERROR(INDEX(Violation_Summary_Seller_Year!$G:$G,MATCH(AD479,Violation_Summary_Seller_Year!$K:$K,0)),0)</f>
        <v>2</v>
      </c>
      <c r="AA479">
        <f>IFERROR(INDEX(Violation_Summary_Seller_Year!$H:$H,MATCH(AD479,Violation_Summary_Seller_Year!$K:$K,0)),0)</f>
        <v>4</v>
      </c>
      <c r="AB479">
        <f>IFERROR(INDEX(Violation_Summary_Seller_Year!$I:$I,MATCH(AD479,Violation_Summary_Seller_Year!$K:$K,0)),0)</f>
        <v>1</v>
      </c>
      <c r="AC479">
        <f>IFERROR(INDEX(Violation_Summary_Seller_Year!$J:$J,MATCH(AD479,Violation_Summary_Seller_Year!$K:$K,0)),0)</f>
        <v>26</v>
      </c>
      <c r="AD479" t="str">
        <f t="shared" si="56"/>
        <v>99_2025</v>
      </c>
      <c r="AE479">
        <f t="shared" si="57"/>
        <v>1</v>
      </c>
      <c r="AF479">
        <f t="shared" si="58"/>
        <v>2</v>
      </c>
      <c r="AG479">
        <f t="shared" si="59"/>
        <v>2</v>
      </c>
      <c r="AH479">
        <f t="shared" si="60"/>
        <v>0</v>
      </c>
      <c r="AI479">
        <f t="shared" si="61"/>
        <v>2</v>
      </c>
      <c r="AJ479">
        <f t="shared" si="62"/>
        <v>135</v>
      </c>
      <c r="AK479" t="str">
        <f t="shared" si="63"/>
        <v>High</v>
      </c>
    </row>
    <row r="480" spans="1:37" x14ac:dyDescent="0.3">
      <c r="A480">
        <v>100</v>
      </c>
      <c r="B480">
        <v>2025</v>
      </c>
      <c r="C480">
        <v>1277</v>
      </c>
      <c r="D480">
        <v>141</v>
      </c>
      <c r="E480">
        <v>116</v>
      </c>
      <c r="F480">
        <v>7559.22</v>
      </c>
      <c r="G480">
        <v>9.0838000000000002E-2</v>
      </c>
      <c r="H480">
        <v>36</v>
      </c>
      <c r="I480">
        <v>50</v>
      </c>
      <c r="J480">
        <v>26</v>
      </c>
      <c r="K480">
        <v>21</v>
      </c>
      <c r="L480">
        <v>0</v>
      </c>
      <c r="M480">
        <v>3</v>
      </c>
      <c r="N480">
        <v>9</v>
      </c>
      <c r="O480">
        <v>8</v>
      </c>
      <c r="P480" t="s">
        <v>68</v>
      </c>
      <c r="Q480" t="str">
        <f>VLOOKUP(A480,Cleaned_Seller_Master!$A:$H,2,FALSE)</f>
        <v>Nova Cart 100</v>
      </c>
      <c r="R480" t="str">
        <f>VLOOKUP(A480,Cleaned_Seller_Master!$A:$H,4,FALSE)</f>
        <v>Groceries</v>
      </c>
      <c r="S480" t="str">
        <f>VLOOKUP(A480,Cleaned_Seller_Master!$A:$H,5,FALSE)</f>
        <v>Southeast Asia</v>
      </c>
      <c r="T480" t="str">
        <f>VLOOKUP(A480,Cleaned_Seller_Master!$A:$H,8,FALSE)</f>
        <v>Verified</v>
      </c>
      <c r="U480" t="str">
        <f>VLOOKUP(A480,Cleaned_Seller_Master!$A:$H,7,FALSE)</f>
        <v>04-12-2018</v>
      </c>
      <c r="V480">
        <f>IFERROR(INDEX(Violation_Summary_Seller_Year!$C:$C,MATCH(AD480,Violation_Summary_Seller_Year!$K:$K,0)),0)</f>
        <v>5</v>
      </c>
      <c r="W480">
        <f>IFERROR(INDEX(Violation_Summary_Seller_Year!$D:$D,MATCH(AD480,Violation_Summary_Seller_Year!$K:$K,0)),0)</f>
        <v>8908.7199999999993</v>
      </c>
      <c r="X480">
        <f>IFERROR(INDEX(Violation_Summary_Seller_Year!$E:$E,MATCH(AD480,Violation_Summary_Seller_Year!$K:$K,0)),0)</f>
        <v>0</v>
      </c>
      <c r="Y480">
        <f>IFERROR(INDEX(Violation_Summary_Seller_Year!$F:$F,MATCH(AD480,Violation_Summary_Seller_Year!$K:$K,0)),0)</f>
        <v>2</v>
      </c>
      <c r="Z480">
        <f>IFERROR(INDEX(Violation_Summary_Seller_Year!$G:$G,MATCH(AD480,Violation_Summary_Seller_Year!$K:$K,0)),0)</f>
        <v>3</v>
      </c>
      <c r="AA480">
        <f>IFERROR(INDEX(Violation_Summary_Seller_Year!$H:$H,MATCH(AD480,Violation_Summary_Seller_Year!$K:$K,0)),0)</f>
        <v>3</v>
      </c>
      <c r="AB480">
        <f>IFERROR(INDEX(Violation_Summary_Seller_Year!$I:$I,MATCH(AD480,Violation_Summary_Seller_Year!$K:$K,0)),0)</f>
        <v>2</v>
      </c>
      <c r="AC480">
        <f>IFERROR(INDEX(Violation_Summary_Seller_Year!$J:$J,MATCH(AD480,Violation_Summary_Seller_Year!$K:$K,0)),0)</f>
        <v>27</v>
      </c>
      <c r="AD480" t="str">
        <f t="shared" si="56"/>
        <v>100_2025</v>
      </c>
      <c r="AE480">
        <f t="shared" si="57"/>
        <v>1</v>
      </c>
      <c r="AF480">
        <f t="shared" si="58"/>
        <v>2</v>
      </c>
      <c r="AG480">
        <f t="shared" si="59"/>
        <v>2</v>
      </c>
      <c r="AH480">
        <f t="shared" si="60"/>
        <v>0</v>
      </c>
      <c r="AI480">
        <f t="shared" si="61"/>
        <v>1</v>
      </c>
      <c r="AJ480">
        <f t="shared" si="62"/>
        <v>125</v>
      </c>
      <c r="AK480" t="str">
        <f t="shared" si="63"/>
        <v>High</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AFD2D-950F-47A2-9C32-3640FD9CB30A}">
  <dimension ref="A1:L99"/>
  <sheetViews>
    <sheetView zoomScale="73" workbookViewId="0"/>
  </sheetViews>
  <sheetFormatPr defaultRowHeight="14.4" x14ac:dyDescent="0.3"/>
  <cols>
    <col min="1" max="1" width="19.109375" bestFit="1" customWidth="1"/>
    <col min="2" max="2" width="18.109375" bestFit="1" customWidth="1"/>
    <col min="3" max="3" width="26.88671875" bestFit="1" customWidth="1"/>
    <col min="4" max="4" width="17.77734375" bestFit="1" customWidth="1"/>
    <col min="5" max="5" width="10.77734375" bestFit="1" customWidth="1"/>
    <col min="8" max="8" width="16.21875" bestFit="1" customWidth="1"/>
    <col min="9" max="9" width="17.77734375" bestFit="1" customWidth="1"/>
    <col min="10" max="10" width="18.6640625" bestFit="1" customWidth="1"/>
    <col min="11" max="11" width="16.21875" bestFit="1" customWidth="1"/>
    <col min="12" max="12" width="26.88671875" bestFit="1" customWidth="1"/>
  </cols>
  <sheetData>
    <row r="1" spans="1:12" ht="18" x14ac:dyDescent="0.35">
      <c r="A1" s="3" t="s">
        <v>1978</v>
      </c>
    </row>
    <row r="2" spans="1:12" ht="18" x14ac:dyDescent="0.35">
      <c r="A2" s="2" t="s">
        <v>1957</v>
      </c>
      <c r="B2" s="6">
        <v>2021</v>
      </c>
      <c r="H2" s="3" t="s">
        <v>1980</v>
      </c>
    </row>
    <row r="3" spans="1:12" x14ac:dyDescent="0.3">
      <c r="H3" s="2" t="s">
        <v>1957</v>
      </c>
      <c r="I3" s="6">
        <v>2021</v>
      </c>
    </row>
    <row r="4" spans="1:12" x14ac:dyDescent="0.3">
      <c r="A4" s="2" t="s">
        <v>1973</v>
      </c>
      <c r="B4" t="s">
        <v>1975</v>
      </c>
    </row>
    <row r="5" spans="1:12" x14ac:dyDescent="0.3">
      <c r="A5" t="s">
        <v>13</v>
      </c>
      <c r="B5">
        <v>45</v>
      </c>
      <c r="H5" s="2" t="s">
        <v>1975</v>
      </c>
      <c r="I5" s="2" t="s">
        <v>1973</v>
      </c>
    </row>
    <row r="6" spans="1:12" x14ac:dyDescent="0.3">
      <c r="A6" t="s">
        <v>209</v>
      </c>
      <c r="B6">
        <v>8</v>
      </c>
      <c r="H6" s="2" t="s">
        <v>18</v>
      </c>
      <c r="I6" t="s">
        <v>13</v>
      </c>
      <c r="J6" t="s">
        <v>209</v>
      </c>
      <c r="K6" t="s">
        <v>12</v>
      </c>
      <c r="L6" t="s">
        <v>1974</v>
      </c>
    </row>
    <row r="7" spans="1:12" x14ac:dyDescent="0.3">
      <c r="A7" t="s">
        <v>12</v>
      </c>
      <c r="B7">
        <v>25</v>
      </c>
      <c r="H7" t="s">
        <v>61</v>
      </c>
      <c r="I7">
        <v>15</v>
      </c>
      <c r="J7">
        <v>1</v>
      </c>
      <c r="K7">
        <v>6</v>
      </c>
      <c r="L7">
        <v>22</v>
      </c>
    </row>
    <row r="8" spans="1:12" x14ac:dyDescent="0.3">
      <c r="A8" t="s">
        <v>1974</v>
      </c>
      <c r="B8">
        <v>78</v>
      </c>
      <c r="H8" t="s">
        <v>38</v>
      </c>
      <c r="I8">
        <v>8</v>
      </c>
      <c r="J8">
        <v>1</v>
      </c>
      <c r="K8">
        <v>10</v>
      </c>
      <c r="L8">
        <v>19</v>
      </c>
    </row>
    <row r="9" spans="1:12" x14ac:dyDescent="0.3">
      <c r="H9" t="s">
        <v>29</v>
      </c>
      <c r="I9">
        <v>8</v>
      </c>
      <c r="J9">
        <v>2</v>
      </c>
      <c r="K9">
        <v>5</v>
      </c>
      <c r="L9">
        <v>15</v>
      </c>
    </row>
    <row r="10" spans="1:12" x14ac:dyDescent="0.3">
      <c r="H10" t="s">
        <v>45</v>
      </c>
      <c r="I10">
        <v>14</v>
      </c>
      <c r="J10">
        <v>4</v>
      </c>
      <c r="K10">
        <v>4</v>
      </c>
      <c r="L10">
        <v>22</v>
      </c>
    </row>
    <row r="11" spans="1:12" x14ac:dyDescent="0.3">
      <c r="H11" t="s">
        <v>1974</v>
      </c>
      <c r="I11">
        <v>45</v>
      </c>
      <c r="J11">
        <v>8</v>
      </c>
      <c r="K11">
        <v>25</v>
      </c>
      <c r="L11">
        <v>78</v>
      </c>
    </row>
    <row r="12" spans="1:12" ht="18" x14ac:dyDescent="0.35">
      <c r="A12" s="3" t="s">
        <v>1979</v>
      </c>
      <c r="B12" s="4"/>
    </row>
    <row r="13" spans="1:12" x14ac:dyDescent="0.3">
      <c r="A13" s="2" t="s">
        <v>1957</v>
      </c>
      <c r="B13" s="6">
        <v>2021</v>
      </c>
    </row>
    <row r="15" spans="1:12" ht="18" x14ac:dyDescent="0.35">
      <c r="A15" s="2" t="s">
        <v>1975</v>
      </c>
      <c r="B15" s="2" t="s">
        <v>1973</v>
      </c>
      <c r="J15" s="3" t="s">
        <v>1981</v>
      </c>
    </row>
    <row r="16" spans="1:12" x14ac:dyDescent="0.3">
      <c r="A16" s="2" t="s">
        <v>17</v>
      </c>
      <c r="B16" t="s">
        <v>13</v>
      </c>
      <c r="C16" t="s">
        <v>209</v>
      </c>
      <c r="D16" t="s">
        <v>12</v>
      </c>
      <c r="E16" t="s">
        <v>1974</v>
      </c>
      <c r="J16" s="2" t="s">
        <v>1973</v>
      </c>
      <c r="K16" t="s">
        <v>1976</v>
      </c>
    </row>
    <row r="17" spans="1:12" x14ac:dyDescent="0.3">
      <c r="A17" t="s">
        <v>54</v>
      </c>
      <c r="B17">
        <v>4</v>
      </c>
      <c r="C17">
        <v>2</v>
      </c>
      <c r="D17">
        <v>7</v>
      </c>
      <c r="E17">
        <v>13</v>
      </c>
      <c r="J17" s="2" t="s">
        <v>1957</v>
      </c>
      <c r="K17" s="6">
        <v>2021</v>
      </c>
    </row>
    <row r="18" spans="1:12" x14ac:dyDescent="0.3">
      <c r="A18" t="s">
        <v>28</v>
      </c>
      <c r="B18">
        <v>10</v>
      </c>
      <c r="C18">
        <v>1</v>
      </c>
      <c r="D18">
        <v>5</v>
      </c>
      <c r="E18">
        <v>16</v>
      </c>
      <c r="J18" s="2" t="s">
        <v>17</v>
      </c>
      <c r="K18" t="s">
        <v>1976</v>
      </c>
    </row>
    <row r="19" spans="1:12" x14ac:dyDescent="0.3">
      <c r="A19" t="s">
        <v>49</v>
      </c>
      <c r="B19">
        <v>11</v>
      </c>
      <c r="C19">
        <v>2</v>
      </c>
      <c r="D19">
        <v>4</v>
      </c>
      <c r="E19">
        <v>17</v>
      </c>
    </row>
    <row r="20" spans="1:12" x14ac:dyDescent="0.3">
      <c r="A20" t="s">
        <v>66</v>
      </c>
      <c r="B20">
        <v>11</v>
      </c>
      <c r="C20">
        <v>3</v>
      </c>
      <c r="D20">
        <v>2</v>
      </c>
      <c r="E20">
        <v>16</v>
      </c>
      <c r="J20" s="2" t="s">
        <v>15</v>
      </c>
      <c r="K20" t="s">
        <v>1975</v>
      </c>
      <c r="L20" t="s">
        <v>1977</v>
      </c>
    </row>
    <row r="21" spans="1:12" x14ac:dyDescent="0.3">
      <c r="A21" t="s">
        <v>37</v>
      </c>
      <c r="B21">
        <v>9</v>
      </c>
      <c r="D21">
        <v>7</v>
      </c>
      <c r="E21">
        <v>16</v>
      </c>
      <c r="J21" t="s">
        <v>108</v>
      </c>
      <c r="K21">
        <v>1</v>
      </c>
      <c r="L21">
        <v>200</v>
      </c>
    </row>
    <row r="22" spans="1:12" x14ac:dyDescent="0.3">
      <c r="A22" t="s">
        <v>1974</v>
      </c>
      <c r="B22">
        <v>45</v>
      </c>
      <c r="C22">
        <v>8</v>
      </c>
      <c r="D22">
        <v>25</v>
      </c>
      <c r="E22">
        <v>78</v>
      </c>
      <c r="J22" t="s">
        <v>119</v>
      </c>
      <c r="K22">
        <v>1</v>
      </c>
      <c r="L22">
        <v>175</v>
      </c>
    </row>
    <row r="23" spans="1:12" x14ac:dyDescent="0.3">
      <c r="J23" t="s">
        <v>140</v>
      </c>
      <c r="K23">
        <v>1</v>
      </c>
      <c r="L23">
        <v>175</v>
      </c>
    </row>
    <row r="24" spans="1:12" x14ac:dyDescent="0.3">
      <c r="J24" t="s">
        <v>112</v>
      </c>
      <c r="K24">
        <v>1</v>
      </c>
      <c r="L24">
        <v>175</v>
      </c>
    </row>
    <row r="25" spans="1:12" x14ac:dyDescent="0.3">
      <c r="J25" t="s">
        <v>36</v>
      </c>
      <c r="K25">
        <v>1</v>
      </c>
      <c r="L25">
        <v>175</v>
      </c>
    </row>
    <row r="26" spans="1:12" ht="18" x14ac:dyDescent="0.35">
      <c r="A26" s="3" t="s">
        <v>1982</v>
      </c>
      <c r="C26" s="3"/>
      <c r="J26" t="s">
        <v>154</v>
      </c>
      <c r="K26">
        <v>1</v>
      </c>
      <c r="L26">
        <v>175</v>
      </c>
    </row>
    <row r="27" spans="1:12" x14ac:dyDescent="0.3">
      <c r="A27" s="2" t="s">
        <v>1957</v>
      </c>
      <c r="B27" s="6">
        <v>2021</v>
      </c>
      <c r="J27" t="s">
        <v>101</v>
      </c>
      <c r="K27">
        <v>1</v>
      </c>
      <c r="L27">
        <v>175</v>
      </c>
    </row>
    <row r="28" spans="1:12" x14ac:dyDescent="0.3">
      <c r="A28" s="2" t="s">
        <v>1973</v>
      </c>
      <c r="B28" t="s">
        <v>1976</v>
      </c>
      <c r="J28" t="s">
        <v>67</v>
      </c>
      <c r="K28">
        <v>1</v>
      </c>
      <c r="L28">
        <v>175</v>
      </c>
    </row>
    <row r="29" spans="1:12" x14ac:dyDescent="0.3">
      <c r="J29" t="s">
        <v>57</v>
      </c>
      <c r="K29">
        <v>1</v>
      </c>
      <c r="L29">
        <v>175</v>
      </c>
    </row>
    <row r="30" spans="1:12" x14ac:dyDescent="0.3">
      <c r="A30" s="2" t="s">
        <v>17</v>
      </c>
      <c r="B30" t="s">
        <v>1984</v>
      </c>
      <c r="C30" t="s">
        <v>1977</v>
      </c>
      <c r="J30" t="s">
        <v>152</v>
      </c>
      <c r="K30">
        <v>1</v>
      </c>
      <c r="L30">
        <v>175</v>
      </c>
    </row>
    <row r="31" spans="1:12" x14ac:dyDescent="0.3">
      <c r="A31" t="s">
        <v>49</v>
      </c>
      <c r="B31">
        <v>47.647058823529413</v>
      </c>
      <c r="C31">
        <v>137.05882352941177</v>
      </c>
      <c r="J31" t="s">
        <v>89</v>
      </c>
      <c r="K31">
        <v>1</v>
      </c>
      <c r="L31">
        <v>175</v>
      </c>
    </row>
    <row r="32" spans="1:12" x14ac:dyDescent="0.3">
      <c r="A32" t="s">
        <v>28</v>
      </c>
      <c r="B32">
        <v>46.5</v>
      </c>
      <c r="C32">
        <v>134.0625</v>
      </c>
      <c r="J32" t="s">
        <v>56</v>
      </c>
      <c r="K32">
        <v>1</v>
      </c>
      <c r="L32">
        <v>175</v>
      </c>
    </row>
    <row r="33" spans="1:12" x14ac:dyDescent="0.3">
      <c r="A33" t="s">
        <v>66</v>
      </c>
      <c r="B33">
        <v>53.1875</v>
      </c>
      <c r="C33">
        <v>133.75</v>
      </c>
      <c r="J33" t="s">
        <v>47</v>
      </c>
      <c r="K33">
        <v>1</v>
      </c>
      <c r="L33">
        <v>175</v>
      </c>
    </row>
    <row r="34" spans="1:12" x14ac:dyDescent="0.3">
      <c r="A34" t="s">
        <v>37</v>
      </c>
      <c r="B34">
        <v>47.3125</v>
      </c>
      <c r="C34">
        <v>129.0625</v>
      </c>
      <c r="J34" t="s">
        <v>123</v>
      </c>
      <c r="K34">
        <v>1</v>
      </c>
      <c r="L34">
        <v>175</v>
      </c>
    </row>
    <row r="35" spans="1:12" x14ac:dyDescent="0.3">
      <c r="A35" t="s">
        <v>54</v>
      </c>
      <c r="B35">
        <v>52.53846153846154</v>
      </c>
      <c r="C35">
        <v>104.23076923076923</v>
      </c>
      <c r="J35" t="s">
        <v>99</v>
      </c>
      <c r="K35">
        <v>1</v>
      </c>
      <c r="L35">
        <v>175</v>
      </c>
    </row>
    <row r="36" spans="1:12" x14ac:dyDescent="0.3">
      <c r="A36" t="s">
        <v>1974</v>
      </c>
      <c r="B36">
        <v>49.294871794871796</v>
      </c>
      <c r="C36">
        <v>128.65384615384616</v>
      </c>
      <c r="J36" t="s">
        <v>128</v>
      </c>
      <c r="K36">
        <v>1</v>
      </c>
      <c r="L36">
        <v>175</v>
      </c>
    </row>
    <row r="37" spans="1:12" x14ac:dyDescent="0.3">
      <c r="J37" t="s">
        <v>93</v>
      </c>
      <c r="K37">
        <v>1</v>
      </c>
      <c r="L37">
        <v>175</v>
      </c>
    </row>
    <row r="38" spans="1:12" x14ac:dyDescent="0.3">
      <c r="J38" t="s">
        <v>148</v>
      </c>
      <c r="K38">
        <v>1</v>
      </c>
      <c r="L38">
        <v>175</v>
      </c>
    </row>
    <row r="39" spans="1:12" x14ac:dyDescent="0.3">
      <c r="J39" t="s">
        <v>131</v>
      </c>
      <c r="K39">
        <v>1</v>
      </c>
      <c r="L39">
        <v>175</v>
      </c>
    </row>
    <row r="40" spans="1:12" x14ac:dyDescent="0.3">
      <c r="J40" t="s">
        <v>76</v>
      </c>
      <c r="K40">
        <v>1</v>
      </c>
      <c r="L40">
        <v>175</v>
      </c>
    </row>
    <row r="41" spans="1:12" x14ac:dyDescent="0.3">
      <c r="J41" t="s">
        <v>132</v>
      </c>
      <c r="K41">
        <v>1</v>
      </c>
      <c r="L41">
        <v>175</v>
      </c>
    </row>
    <row r="42" spans="1:12" x14ac:dyDescent="0.3">
      <c r="J42" t="s">
        <v>97</v>
      </c>
      <c r="K42">
        <v>1</v>
      </c>
      <c r="L42">
        <v>175</v>
      </c>
    </row>
    <row r="43" spans="1:12" x14ac:dyDescent="0.3">
      <c r="J43" t="s">
        <v>100</v>
      </c>
      <c r="K43">
        <v>1</v>
      </c>
      <c r="L43">
        <v>175</v>
      </c>
    </row>
    <row r="44" spans="1:12" x14ac:dyDescent="0.3">
      <c r="J44" t="s">
        <v>75</v>
      </c>
      <c r="K44">
        <v>1</v>
      </c>
      <c r="L44">
        <v>175</v>
      </c>
    </row>
    <row r="45" spans="1:12" x14ac:dyDescent="0.3">
      <c r="J45" t="s">
        <v>51</v>
      </c>
      <c r="K45">
        <v>1</v>
      </c>
      <c r="L45">
        <v>175</v>
      </c>
    </row>
    <row r="46" spans="1:12" x14ac:dyDescent="0.3">
      <c r="J46" t="s">
        <v>156</v>
      </c>
      <c r="K46">
        <v>1</v>
      </c>
      <c r="L46">
        <v>175</v>
      </c>
    </row>
    <row r="47" spans="1:12" x14ac:dyDescent="0.3">
      <c r="J47" t="s">
        <v>43</v>
      </c>
      <c r="K47">
        <v>1</v>
      </c>
      <c r="L47">
        <v>175</v>
      </c>
    </row>
    <row r="48" spans="1:12" x14ac:dyDescent="0.3">
      <c r="J48" t="s">
        <v>74</v>
      </c>
      <c r="K48">
        <v>1</v>
      </c>
      <c r="L48">
        <v>175</v>
      </c>
    </row>
    <row r="49" spans="10:12" x14ac:dyDescent="0.3">
      <c r="J49" t="s">
        <v>82</v>
      </c>
      <c r="K49">
        <v>1</v>
      </c>
      <c r="L49">
        <v>175</v>
      </c>
    </row>
    <row r="50" spans="10:12" x14ac:dyDescent="0.3">
      <c r="J50" t="s">
        <v>95</v>
      </c>
      <c r="K50">
        <v>1</v>
      </c>
      <c r="L50">
        <v>175</v>
      </c>
    </row>
    <row r="51" spans="10:12" x14ac:dyDescent="0.3">
      <c r="J51" t="s">
        <v>114</v>
      </c>
      <c r="K51">
        <v>1</v>
      </c>
      <c r="L51">
        <v>175</v>
      </c>
    </row>
    <row r="52" spans="10:12" x14ac:dyDescent="0.3">
      <c r="J52" t="s">
        <v>147</v>
      </c>
      <c r="K52">
        <v>1</v>
      </c>
      <c r="L52">
        <v>155</v>
      </c>
    </row>
    <row r="53" spans="10:12" x14ac:dyDescent="0.3">
      <c r="J53" t="s">
        <v>79</v>
      </c>
      <c r="K53">
        <v>1</v>
      </c>
      <c r="L53">
        <v>155</v>
      </c>
    </row>
    <row r="54" spans="10:12" x14ac:dyDescent="0.3">
      <c r="J54" t="s">
        <v>26</v>
      </c>
      <c r="K54">
        <v>1</v>
      </c>
      <c r="L54">
        <v>150</v>
      </c>
    </row>
    <row r="55" spans="10:12" x14ac:dyDescent="0.3">
      <c r="J55" t="s">
        <v>145</v>
      </c>
      <c r="K55">
        <v>1</v>
      </c>
      <c r="L55">
        <v>135</v>
      </c>
    </row>
    <row r="56" spans="10:12" x14ac:dyDescent="0.3">
      <c r="J56" t="s">
        <v>69</v>
      </c>
      <c r="K56">
        <v>1</v>
      </c>
      <c r="L56">
        <v>135</v>
      </c>
    </row>
    <row r="57" spans="10:12" x14ac:dyDescent="0.3">
      <c r="J57" t="s">
        <v>155</v>
      </c>
      <c r="K57">
        <v>1</v>
      </c>
      <c r="L57">
        <v>130</v>
      </c>
    </row>
    <row r="58" spans="10:12" x14ac:dyDescent="0.3">
      <c r="J58" t="s">
        <v>153</v>
      </c>
      <c r="K58">
        <v>1</v>
      </c>
      <c r="L58">
        <v>125</v>
      </c>
    </row>
    <row r="59" spans="10:12" x14ac:dyDescent="0.3">
      <c r="J59" t="s">
        <v>87</v>
      </c>
      <c r="K59">
        <v>1</v>
      </c>
      <c r="L59">
        <v>125</v>
      </c>
    </row>
    <row r="60" spans="10:12" x14ac:dyDescent="0.3">
      <c r="J60" t="s">
        <v>149</v>
      </c>
      <c r="K60">
        <v>1</v>
      </c>
      <c r="L60">
        <v>125</v>
      </c>
    </row>
    <row r="61" spans="10:12" x14ac:dyDescent="0.3">
      <c r="J61" t="s">
        <v>150</v>
      </c>
      <c r="K61">
        <v>1</v>
      </c>
      <c r="L61">
        <v>125</v>
      </c>
    </row>
    <row r="62" spans="10:12" x14ac:dyDescent="0.3">
      <c r="J62" t="s">
        <v>127</v>
      </c>
      <c r="K62">
        <v>1</v>
      </c>
      <c r="L62">
        <v>125</v>
      </c>
    </row>
    <row r="63" spans="10:12" x14ac:dyDescent="0.3">
      <c r="J63" t="s">
        <v>70</v>
      </c>
      <c r="K63">
        <v>1</v>
      </c>
      <c r="L63">
        <v>125</v>
      </c>
    </row>
    <row r="64" spans="10:12" x14ac:dyDescent="0.3">
      <c r="J64" t="s">
        <v>151</v>
      </c>
      <c r="K64">
        <v>1</v>
      </c>
      <c r="L64">
        <v>125</v>
      </c>
    </row>
    <row r="65" spans="10:12" x14ac:dyDescent="0.3">
      <c r="J65" t="s">
        <v>110</v>
      </c>
      <c r="K65">
        <v>1</v>
      </c>
      <c r="L65">
        <v>120</v>
      </c>
    </row>
    <row r="66" spans="10:12" x14ac:dyDescent="0.3">
      <c r="J66" t="s">
        <v>77</v>
      </c>
      <c r="K66">
        <v>1</v>
      </c>
      <c r="L66">
        <v>110</v>
      </c>
    </row>
    <row r="67" spans="10:12" x14ac:dyDescent="0.3">
      <c r="J67" t="s">
        <v>124</v>
      </c>
      <c r="K67">
        <v>1</v>
      </c>
      <c r="L67">
        <v>105</v>
      </c>
    </row>
    <row r="68" spans="10:12" x14ac:dyDescent="0.3">
      <c r="J68" t="s">
        <v>98</v>
      </c>
      <c r="K68">
        <v>1</v>
      </c>
      <c r="L68">
        <v>105</v>
      </c>
    </row>
    <row r="69" spans="10:12" x14ac:dyDescent="0.3">
      <c r="J69" t="s">
        <v>121</v>
      </c>
      <c r="K69">
        <v>1</v>
      </c>
      <c r="L69">
        <v>105</v>
      </c>
    </row>
    <row r="70" spans="10:12" x14ac:dyDescent="0.3">
      <c r="J70" t="s">
        <v>138</v>
      </c>
      <c r="K70">
        <v>1</v>
      </c>
      <c r="L70">
        <v>105</v>
      </c>
    </row>
    <row r="71" spans="10:12" x14ac:dyDescent="0.3">
      <c r="J71" t="s">
        <v>106</v>
      </c>
      <c r="K71">
        <v>1</v>
      </c>
      <c r="L71">
        <v>105</v>
      </c>
    </row>
    <row r="72" spans="10:12" x14ac:dyDescent="0.3">
      <c r="J72" t="s">
        <v>109</v>
      </c>
      <c r="K72">
        <v>1</v>
      </c>
      <c r="L72">
        <v>105</v>
      </c>
    </row>
    <row r="73" spans="10:12" x14ac:dyDescent="0.3">
      <c r="J73" t="s">
        <v>81</v>
      </c>
      <c r="K73">
        <v>1</v>
      </c>
      <c r="L73">
        <v>105</v>
      </c>
    </row>
    <row r="74" spans="10:12" x14ac:dyDescent="0.3">
      <c r="J74" t="s">
        <v>78</v>
      </c>
      <c r="K74">
        <v>1</v>
      </c>
      <c r="L74">
        <v>105</v>
      </c>
    </row>
    <row r="75" spans="10:12" x14ac:dyDescent="0.3">
      <c r="J75" t="s">
        <v>52</v>
      </c>
      <c r="K75">
        <v>1</v>
      </c>
      <c r="L75">
        <v>105</v>
      </c>
    </row>
    <row r="76" spans="10:12" x14ac:dyDescent="0.3">
      <c r="J76" t="s">
        <v>115</v>
      </c>
      <c r="K76">
        <v>1</v>
      </c>
      <c r="L76">
        <v>105</v>
      </c>
    </row>
    <row r="77" spans="10:12" x14ac:dyDescent="0.3">
      <c r="J77" t="s">
        <v>135</v>
      </c>
      <c r="K77">
        <v>1</v>
      </c>
      <c r="L77">
        <v>105</v>
      </c>
    </row>
    <row r="78" spans="10:12" x14ac:dyDescent="0.3">
      <c r="J78" t="s">
        <v>91</v>
      </c>
      <c r="K78">
        <v>1</v>
      </c>
      <c r="L78">
        <v>100</v>
      </c>
    </row>
    <row r="79" spans="10:12" x14ac:dyDescent="0.3">
      <c r="J79" t="s">
        <v>60</v>
      </c>
      <c r="K79">
        <v>1</v>
      </c>
      <c r="L79">
        <v>100</v>
      </c>
    </row>
    <row r="80" spans="10:12" x14ac:dyDescent="0.3">
      <c r="J80" t="s">
        <v>134</v>
      </c>
      <c r="K80">
        <v>1</v>
      </c>
      <c r="L80">
        <v>100</v>
      </c>
    </row>
    <row r="81" spans="10:12" x14ac:dyDescent="0.3">
      <c r="J81" t="s">
        <v>137</v>
      </c>
      <c r="K81">
        <v>1</v>
      </c>
      <c r="L81">
        <v>85</v>
      </c>
    </row>
    <row r="82" spans="10:12" x14ac:dyDescent="0.3">
      <c r="J82" t="s">
        <v>136</v>
      </c>
      <c r="K82">
        <v>1</v>
      </c>
      <c r="L82">
        <v>85</v>
      </c>
    </row>
    <row r="83" spans="10:12" x14ac:dyDescent="0.3">
      <c r="J83" t="s">
        <v>103</v>
      </c>
      <c r="K83">
        <v>1</v>
      </c>
      <c r="L83">
        <v>80</v>
      </c>
    </row>
    <row r="84" spans="10:12" x14ac:dyDescent="0.3">
      <c r="J84" t="s">
        <v>125</v>
      </c>
      <c r="K84">
        <v>1</v>
      </c>
      <c r="L84">
        <v>80</v>
      </c>
    </row>
    <row r="85" spans="10:12" x14ac:dyDescent="0.3">
      <c r="J85" t="s">
        <v>111</v>
      </c>
      <c r="K85">
        <v>1</v>
      </c>
      <c r="L85">
        <v>80</v>
      </c>
    </row>
    <row r="86" spans="10:12" x14ac:dyDescent="0.3">
      <c r="J86" t="s">
        <v>90</v>
      </c>
      <c r="K86">
        <v>1</v>
      </c>
      <c r="L86">
        <v>80</v>
      </c>
    </row>
    <row r="87" spans="10:12" x14ac:dyDescent="0.3">
      <c r="J87" t="s">
        <v>133</v>
      </c>
      <c r="K87">
        <v>1</v>
      </c>
      <c r="L87">
        <v>80</v>
      </c>
    </row>
    <row r="88" spans="10:12" x14ac:dyDescent="0.3">
      <c r="J88" t="s">
        <v>63</v>
      </c>
      <c r="K88">
        <v>1</v>
      </c>
      <c r="L88">
        <v>80</v>
      </c>
    </row>
    <row r="89" spans="10:12" x14ac:dyDescent="0.3">
      <c r="J89" t="s">
        <v>88</v>
      </c>
      <c r="K89">
        <v>1</v>
      </c>
      <c r="L89">
        <v>80</v>
      </c>
    </row>
    <row r="90" spans="10:12" x14ac:dyDescent="0.3">
      <c r="J90" t="s">
        <v>80</v>
      </c>
      <c r="K90">
        <v>1</v>
      </c>
      <c r="L90">
        <v>60</v>
      </c>
    </row>
    <row r="91" spans="10:12" x14ac:dyDescent="0.3">
      <c r="J91" t="s">
        <v>144</v>
      </c>
      <c r="K91">
        <v>1</v>
      </c>
      <c r="L91">
        <v>55</v>
      </c>
    </row>
    <row r="92" spans="10:12" x14ac:dyDescent="0.3">
      <c r="J92" t="s">
        <v>83</v>
      </c>
      <c r="K92">
        <v>1</v>
      </c>
      <c r="L92">
        <v>55</v>
      </c>
    </row>
    <row r="93" spans="10:12" x14ac:dyDescent="0.3">
      <c r="J93" t="s">
        <v>159</v>
      </c>
      <c r="K93">
        <v>1</v>
      </c>
      <c r="L93">
        <v>55</v>
      </c>
    </row>
    <row r="94" spans="10:12" x14ac:dyDescent="0.3">
      <c r="J94" t="s">
        <v>130</v>
      </c>
      <c r="K94">
        <v>1</v>
      </c>
      <c r="L94">
        <v>55</v>
      </c>
    </row>
    <row r="95" spans="10:12" x14ac:dyDescent="0.3">
      <c r="J95" t="s">
        <v>158</v>
      </c>
      <c r="K95">
        <v>1</v>
      </c>
      <c r="L95">
        <v>55</v>
      </c>
    </row>
    <row r="96" spans="10:12" x14ac:dyDescent="0.3">
      <c r="J96" t="s">
        <v>116</v>
      </c>
      <c r="K96">
        <v>1</v>
      </c>
      <c r="L96">
        <v>35</v>
      </c>
    </row>
    <row r="97" spans="10:12" x14ac:dyDescent="0.3">
      <c r="J97" t="s">
        <v>139</v>
      </c>
      <c r="K97">
        <v>1</v>
      </c>
      <c r="L97">
        <v>35</v>
      </c>
    </row>
    <row r="98" spans="10:12" x14ac:dyDescent="0.3">
      <c r="J98" t="s">
        <v>86</v>
      </c>
      <c r="K98">
        <v>1</v>
      </c>
      <c r="L98">
        <v>30</v>
      </c>
    </row>
    <row r="99" spans="10:12" x14ac:dyDescent="0.3">
      <c r="J99" t="s">
        <v>1974</v>
      </c>
      <c r="K99">
        <v>78</v>
      </c>
      <c r="L99">
        <v>128.65384615384616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D7042-0D3E-4F02-BFA0-31F109078885}">
  <dimension ref="A1:M80"/>
  <sheetViews>
    <sheetView showGridLines="0" topLeftCell="A2" zoomScale="29" zoomScaleNormal="100" workbookViewId="0">
      <selection activeCell="M30" sqref="M30"/>
    </sheetView>
  </sheetViews>
  <sheetFormatPr defaultRowHeight="14.4" x14ac:dyDescent="0.3"/>
  <cols>
    <col min="1" max="1" width="21.21875" bestFit="1" customWidth="1"/>
    <col min="2" max="3" width="25.21875" bestFit="1" customWidth="1"/>
    <col min="4" max="4" width="22.109375" bestFit="1" customWidth="1"/>
    <col min="5" max="5" width="21.77734375" bestFit="1" customWidth="1"/>
    <col min="6" max="6" width="41.33203125" bestFit="1" customWidth="1"/>
    <col min="7" max="7" width="25.21875" bestFit="1" customWidth="1"/>
    <col min="8" max="8" width="11.44140625" bestFit="1" customWidth="1"/>
    <col min="9" max="9" width="21.21875" bestFit="1" customWidth="1"/>
    <col min="10" max="10" width="41.33203125" bestFit="1" customWidth="1"/>
    <col min="11" max="11" width="27.88671875" bestFit="1" customWidth="1"/>
    <col min="12" max="12" width="16.21875" bestFit="1" customWidth="1"/>
    <col min="13" max="13" width="20" bestFit="1" customWidth="1"/>
    <col min="14" max="14" width="40.44140625" bestFit="1" customWidth="1"/>
    <col min="15" max="26" width="12.77734375" customWidth="1"/>
  </cols>
  <sheetData>
    <row r="1" spans="1:13" ht="24" customHeight="1" x14ac:dyDescent="0.3">
      <c r="A1" s="10"/>
      <c r="B1" s="10"/>
      <c r="C1" s="10"/>
      <c r="D1" s="10"/>
      <c r="E1" s="10"/>
      <c r="F1" s="10"/>
      <c r="G1" s="10"/>
      <c r="H1" s="10"/>
    </row>
    <row r="2" spans="1:13" ht="24" customHeight="1" x14ac:dyDescent="0.35">
      <c r="A2" s="10"/>
      <c r="B2" s="10"/>
      <c r="C2" s="10"/>
      <c r="D2" s="10"/>
      <c r="E2" s="10"/>
      <c r="F2" s="10"/>
      <c r="G2" s="10"/>
      <c r="H2" s="10"/>
      <c r="I2" s="8" t="s">
        <v>1980</v>
      </c>
    </row>
    <row r="3" spans="1:13" ht="24" customHeight="1" x14ac:dyDescent="0.5">
      <c r="A3" s="5" t="s">
        <v>1983</v>
      </c>
      <c r="I3" s="2" t="s">
        <v>1957</v>
      </c>
      <c r="J3" s="6">
        <v>2021</v>
      </c>
    </row>
    <row r="4" spans="1:13" ht="24" customHeight="1" x14ac:dyDescent="0.3"/>
    <row r="5" spans="1:13" ht="24" customHeight="1" x14ac:dyDescent="0.3">
      <c r="I5" s="2" t="s">
        <v>1977</v>
      </c>
      <c r="J5" s="2" t="s">
        <v>1990</v>
      </c>
    </row>
    <row r="6" spans="1:13" ht="24" customHeight="1" x14ac:dyDescent="0.3">
      <c r="I6" s="2" t="s">
        <v>1988</v>
      </c>
      <c r="J6" t="s">
        <v>13</v>
      </c>
      <c r="K6" t="s">
        <v>209</v>
      </c>
      <c r="L6" t="s">
        <v>12</v>
      </c>
      <c r="M6" t="s">
        <v>1974</v>
      </c>
    </row>
    <row r="7" spans="1:13" ht="24" customHeight="1" x14ac:dyDescent="0.3">
      <c r="I7" s="6" t="s">
        <v>61</v>
      </c>
      <c r="J7">
        <v>151.66666666666666</v>
      </c>
      <c r="K7">
        <v>35</v>
      </c>
      <c r="L7">
        <v>96.666666666666671</v>
      </c>
      <c r="M7">
        <v>131.36363636363637</v>
      </c>
    </row>
    <row r="8" spans="1:13" ht="24" customHeight="1" x14ac:dyDescent="0.3">
      <c r="I8" s="6" t="s">
        <v>38</v>
      </c>
      <c r="J8">
        <v>175.625</v>
      </c>
      <c r="K8">
        <v>55</v>
      </c>
      <c r="L8">
        <v>95</v>
      </c>
      <c r="M8">
        <v>126.84210526315789</v>
      </c>
    </row>
    <row r="9" spans="1:13" ht="24" customHeight="1" x14ac:dyDescent="0.3">
      <c r="I9" s="6" t="s">
        <v>29</v>
      </c>
      <c r="J9">
        <v>159.375</v>
      </c>
      <c r="K9">
        <v>55</v>
      </c>
      <c r="L9">
        <v>94</v>
      </c>
      <c r="M9">
        <v>123.66666666666667</v>
      </c>
    </row>
    <row r="10" spans="1:13" ht="24" customHeight="1" x14ac:dyDescent="0.3">
      <c r="I10" s="6" t="s">
        <v>45</v>
      </c>
      <c r="J10">
        <v>167.85714285714286</v>
      </c>
      <c r="K10">
        <v>43.75</v>
      </c>
      <c r="L10">
        <v>88.75</v>
      </c>
      <c r="M10">
        <v>130.90909090909091</v>
      </c>
    </row>
    <row r="11" spans="1:13" ht="24" customHeight="1" x14ac:dyDescent="0.3">
      <c r="I11" s="6" t="s">
        <v>1974</v>
      </c>
      <c r="J11">
        <v>162.33333333333334</v>
      </c>
      <c r="K11">
        <v>46.875</v>
      </c>
      <c r="L11">
        <v>94.2</v>
      </c>
      <c r="M11">
        <v>128.65384615384616</v>
      </c>
    </row>
    <row r="12" spans="1:13" ht="24" customHeight="1" x14ac:dyDescent="0.3"/>
    <row r="13" spans="1:13" ht="24" customHeight="1" x14ac:dyDescent="0.3"/>
    <row r="14" spans="1:13" ht="24" customHeight="1" x14ac:dyDescent="0.3"/>
    <row r="15" spans="1:13" ht="24" customHeight="1" x14ac:dyDescent="0.3"/>
    <row r="16" spans="1:13" ht="24" customHeight="1" x14ac:dyDescent="0.35">
      <c r="B16" s="7" t="s">
        <v>1985</v>
      </c>
      <c r="C16" s="7"/>
      <c r="E16" s="7" t="s">
        <v>1986</v>
      </c>
      <c r="I16" s="7"/>
      <c r="J16" s="7"/>
    </row>
    <row r="17" spans="2:11" ht="24" customHeight="1" x14ac:dyDescent="0.35">
      <c r="I17" s="8" t="s">
        <v>1982</v>
      </c>
    </row>
    <row r="18" spans="2:11" ht="24" customHeight="1" x14ac:dyDescent="0.3">
      <c r="I18" s="2" t="s">
        <v>1957</v>
      </c>
      <c r="J18" s="6">
        <v>2021</v>
      </c>
    </row>
    <row r="19" spans="2:11" ht="24" customHeight="1" x14ac:dyDescent="0.3">
      <c r="I19" s="2" t="s">
        <v>1973</v>
      </c>
      <c r="J19" t="s">
        <v>1976</v>
      </c>
    </row>
    <row r="20" spans="2:11" ht="24" customHeight="1" x14ac:dyDescent="0.3"/>
    <row r="21" spans="2:11" ht="24" customHeight="1" x14ac:dyDescent="0.3">
      <c r="I21" s="2" t="s">
        <v>1988</v>
      </c>
      <c r="J21" t="s">
        <v>1977</v>
      </c>
      <c r="K21" t="s">
        <v>1984</v>
      </c>
    </row>
    <row r="22" spans="2:11" ht="24" customHeight="1" x14ac:dyDescent="0.3">
      <c r="I22" s="6" t="s">
        <v>49</v>
      </c>
      <c r="J22">
        <v>137.05882352941177</v>
      </c>
      <c r="K22">
        <v>47.647058823529413</v>
      </c>
    </row>
    <row r="23" spans="2:11" ht="24" customHeight="1" x14ac:dyDescent="0.3">
      <c r="I23" s="6" t="s">
        <v>28</v>
      </c>
      <c r="J23">
        <v>134.0625</v>
      </c>
      <c r="K23">
        <v>46.5</v>
      </c>
    </row>
    <row r="24" spans="2:11" ht="24" customHeight="1" x14ac:dyDescent="0.3">
      <c r="I24" s="6" t="s">
        <v>66</v>
      </c>
      <c r="J24">
        <v>133.75</v>
      </c>
      <c r="K24">
        <v>53.1875</v>
      </c>
    </row>
    <row r="25" spans="2:11" ht="24" customHeight="1" x14ac:dyDescent="0.3">
      <c r="I25" s="6" t="s">
        <v>37</v>
      </c>
      <c r="J25">
        <v>129.0625</v>
      </c>
      <c r="K25">
        <v>47.3125</v>
      </c>
    </row>
    <row r="26" spans="2:11" ht="24" customHeight="1" x14ac:dyDescent="0.3">
      <c r="I26" s="6" t="s">
        <v>54</v>
      </c>
      <c r="J26">
        <v>104.23076923076923</v>
      </c>
      <c r="K26">
        <v>52.53846153846154</v>
      </c>
    </row>
    <row r="27" spans="2:11" ht="24" customHeight="1" x14ac:dyDescent="0.3">
      <c r="I27" s="6" t="s">
        <v>1974</v>
      </c>
      <c r="J27">
        <v>128.65384615384616</v>
      </c>
      <c r="K27">
        <v>49.294871794871796</v>
      </c>
    </row>
    <row r="28" spans="2:11" ht="24" customHeight="1" x14ac:dyDescent="0.3"/>
    <row r="30" spans="2:11" ht="24" customHeight="1" x14ac:dyDescent="0.3"/>
    <row r="31" spans="2:11" ht="24" customHeight="1" x14ac:dyDescent="0.3"/>
    <row r="32" spans="2:11" ht="24" customHeight="1" x14ac:dyDescent="0.35">
      <c r="B32" s="7" t="s">
        <v>1989</v>
      </c>
      <c r="F32" s="7" t="s">
        <v>1989</v>
      </c>
    </row>
    <row r="33" spans="2:7" ht="24" customHeight="1" x14ac:dyDescent="0.3"/>
    <row r="34" spans="2:7" ht="18" x14ac:dyDescent="0.35">
      <c r="B34" s="8" t="s">
        <v>1978</v>
      </c>
    </row>
    <row r="35" spans="2:7" ht="24" customHeight="1" x14ac:dyDescent="0.3">
      <c r="B35" s="2" t="s">
        <v>1957</v>
      </c>
      <c r="C35" s="6">
        <v>2021</v>
      </c>
    </row>
    <row r="37" spans="2:7" ht="18" x14ac:dyDescent="0.35">
      <c r="B37" s="2" t="s">
        <v>1988</v>
      </c>
      <c r="C37" t="s">
        <v>1975</v>
      </c>
      <c r="E37" s="8" t="s">
        <v>1981</v>
      </c>
    </row>
    <row r="38" spans="2:7" x14ac:dyDescent="0.3">
      <c r="B38" s="6" t="s">
        <v>13</v>
      </c>
      <c r="C38">
        <v>45</v>
      </c>
    </row>
    <row r="39" spans="2:7" x14ac:dyDescent="0.3">
      <c r="B39" s="6" t="s">
        <v>209</v>
      </c>
      <c r="C39">
        <v>8</v>
      </c>
      <c r="E39" s="2" t="s">
        <v>1957</v>
      </c>
      <c r="F39" s="6">
        <v>2021</v>
      </c>
    </row>
    <row r="40" spans="2:7" x14ac:dyDescent="0.3">
      <c r="B40" s="6" t="s">
        <v>12</v>
      </c>
      <c r="C40">
        <v>25</v>
      </c>
      <c r="E40" s="2" t="s">
        <v>1973</v>
      </c>
      <c r="F40" t="s">
        <v>1976</v>
      </c>
    </row>
    <row r="41" spans="2:7" x14ac:dyDescent="0.3">
      <c r="B41" s="6" t="s">
        <v>1974</v>
      </c>
      <c r="C41">
        <v>78</v>
      </c>
      <c r="E41" s="2" t="s">
        <v>17</v>
      </c>
      <c r="F41" t="s">
        <v>1976</v>
      </c>
    </row>
    <row r="43" spans="2:7" x14ac:dyDescent="0.3">
      <c r="E43" s="2" t="s">
        <v>1988</v>
      </c>
      <c r="F43" t="s">
        <v>1977</v>
      </c>
      <c r="G43" t="s">
        <v>1975</v>
      </c>
    </row>
    <row r="44" spans="2:7" x14ac:dyDescent="0.3">
      <c r="E44" s="6" t="s">
        <v>114</v>
      </c>
      <c r="F44">
        <v>175</v>
      </c>
      <c r="G44">
        <v>1</v>
      </c>
    </row>
    <row r="45" spans="2:7" x14ac:dyDescent="0.3">
      <c r="E45" s="6" t="s">
        <v>154</v>
      </c>
      <c r="F45">
        <v>175</v>
      </c>
      <c r="G45">
        <v>1</v>
      </c>
    </row>
    <row r="46" spans="2:7" x14ac:dyDescent="0.3">
      <c r="E46" s="6" t="s">
        <v>36</v>
      </c>
      <c r="F46">
        <v>175</v>
      </c>
      <c r="G46">
        <v>1</v>
      </c>
    </row>
    <row r="47" spans="2:7" x14ac:dyDescent="0.3">
      <c r="E47" s="6" t="s">
        <v>101</v>
      </c>
      <c r="F47">
        <v>175</v>
      </c>
      <c r="G47">
        <v>1</v>
      </c>
    </row>
    <row r="48" spans="2:7" x14ac:dyDescent="0.3">
      <c r="E48" s="6" t="s">
        <v>57</v>
      </c>
      <c r="F48">
        <v>175</v>
      </c>
      <c r="G48">
        <v>1</v>
      </c>
    </row>
    <row r="49" spans="1:7" x14ac:dyDescent="0.3">
      <c r="E49" s="6" t="s">
        <v>89</v>
      </c>
      <c r="F49">
        <v>175</v>
      </c>
      <c r="G49">
        <v>1</v>
      </c>
    </row>
    <row r="50" spans="1:7" x14ac:dyDescent="0.3">
      <c r="E50" s="6" t="s">
        <v>108</v>
      </c>
      <c r="F50">
        <v>200</v>
      </c>
      <c r="G50">
        <v>1</v>
      </c>
    </row>
    <row r="51" spans="1:7" ht="18" x14ac:dyDescent="0.35">
      <c r="A51" s="8" t="s">
        <v>1978</v>
      </c>
      <c r="E51" s="6" t="s">
        <v>128</v>
      </c>
      <c r="F51">
        <v>175</v>
      </c>
      <c r="G51">
        <v>1</v>
      </c>
    </row>
    <row r="52" spans="1:7" x14ac:dyDescent="0.3">
      <c r="A52" s="2" t="s">
        <v>1957</v>
      </c>
      <c r="B52" s="6">
        <v>2021</v>
      </c>
      <c r="E52" s="6" t="s">
        <v>148</v>
      </c>
      <c r="F52">
        <v>175</v>
      </c>
      <c r="G52">
        <v>1</v>
      </c>
    </row>
    <row r="53" spans="1:7" x14ac:dyDescent="0.3">
      <c r="E53" s="6" t="s">
        <v>76</v>
      </c>
      <c r="F53">
        <v>175</v>
      </c>
      <c r="G53">
        <v>1</v>
      </c>
    </row>
    <row r="54" spans="1:7" x14ac:dyDescent="0.3">
      <c r="A54" s="2" t="s">
        <v>1988</v>
      </c>
      <c r="B54" t="s">
        <v>1975</v>
      </c>
      <c r="E54" s="6" t="s">
        <v>97</v>
      </c>
      <c r="F54">
        <v>175</v>
      </c>
      <c r="G54">
        <v>1</v>
      </c>
    </row>
    <row r="55" spans="1:7" x14ac:dyDescent="0.3">
      <c r="A55" s="6" t="s">
        <v>54</v>
      </c>
      <c r="B55">
        <v>13</v>
      </c>
      <c r="E55" s="6" t="s">
        <v>75</v>
      </c>
      <c r="F55">
        <v>175</v>
      </c>
      <c r="G55">
        <v>1</v>
      </c>
    </row>
    <row r="56" spans="1:7" x14ac:dyDescent="0.3">
      <c r="A56" s="6" t="s">
        <v>28</v>
      </c>
      <c r="B56">
        <v>16</v>
      </c>
      <c r="E56" s="6" t="s">
        <v>156</v>
      </c>
      <c r="F56">
        <v>175</v>
      </c>
      <c r="G56">
        <v>1</v>
      </c>
    </row>
    <row r="57" spans="1:7" x14ac:dyDescent="0.3">
      <c r="A57" s="6" t="s">
        <v>49</v>
      </c>
      <c r="B57">
        <v>17</v>
      </c>
      <c r="E57" s="6" t="s">
        <v>74</v>
      </c>
      <c r="F57">
        <v>175</v>
      </c>
      <c r="G57">
        <v>1</v>
      </c>
    </row>
    <row r="58" spans="1:7" x14ac:dyDescent="0.3">
      <c r="A58" s="6" t="s">
        <v>66</v>
      </c>
      <c r="B58">
        <v>16</v>
      </c>
      <c r="E58" s="6" t="s">
        <v>95</v>
      </c>
      <c r="F58">
        <v>175</v>
      </c>
      <c r="G58">
        <v>1</v>
      </c>
    </row>
    <row r="59" spans="1:7" x14ac:dyDescent="0.3">
      <c r="A59" s="6" t="s">
        <v>37</v>
      </c>
      <c r="B59">
        <v>16</v>
      </c>
      <c r="E59" s="6" t="s">
        <v>99</v>
      </c>
      <c r="F59">
        <v>175</v>
      </c>
      <c r="G59">
        <v>1</v>
      </c>
    </row>
    <row r="60" spans="1:7" x14ac:dyDescent="0.3">
      <c r="A60" s="6" t="s">
        <v>1974</v>
      </c>
      <c r="B60">
        <v>78</v>
      </c>
      <c r="E60" s="6" t="s">
        <v>119</v>
      </c>
      <c r="F60">
        <v>175</v>
      </c>
      <c r="G60">
        <v>1</v>
      </c>
    </row>
    <row r="61" spans="1:7" x14ac:dyDescent="0.3">
      <c r="E61" s="6" t="s">
        <v>93</v>
      </c>
      <c r="F61">
        <v>175</v>
      </c>
      <c r="G61">
        <v>1</v>
      </c>
    </row>
    <row r="62" spans="1:7" x14ac:dyDescent="0.3">
      <c r="E62" s="6" t="s">
        <v>67</v>
      </c>
      <c r="F62">
        <v>175</v>
      </c>
      <c r="G62">
        <v>1</v>
      </c>
    </row>
    <row r="63" spans="1:7" x14ac:dyDescent="0.3">
      <c r="E63" s="6" t="s">
        <v>131</v>
      </c>
      <c r="F63">
        <v>175</v>
      </c>
      <c r="G63">
        <v>1</v>
      </c>
    </row>
    <row r="64" spans="1:7" x14ac:dyDescent="0.3">
      <c r="E64" s="6" t="s">
        <v>112</v>
      </c>
      <c r="F64">
        <v>175</v>
      </c>
      <c r="G64">
        <v>1</v>
      </c>
    </row>
    <row r="65" spans="5:7" x14ac:dyDescent="0.3">
      <c r="E65" s="6" t="s">
        <v>132</v>
      </c>
      <c r="F65">
        <v>175</v>
      </c>
      <c r="G65">
        <v>1</v>
      </c>
    </row>
    <row r="66" spans="5:7" x14ac:dyDescent="0.3">
      <c r="E66" s="6" t="s">
        <v>152</v>
      </c>
      <c r="F66">
        <v>175</v>
      </c>
      <c r="G66">
        <v>1</v>
      </c>
    </row>
    <row r="67" spans="5:7" x14ac:dyDescent="0.3">
      <c r="E67" s="6" t="s">
        <v>100</v>
      </c>
      <c r="F67">
        <v>175</v>
      </c>
      <c r="G67">
        <v>1</v>
      </c>
    </row>
    <row r="68" spans="5:7" x14ac:dyDescent="0.3">
      <c r="E68" s="6" t="s">
        <v>140</v>
      </c>
      <c r="F68">
        <v>175</v>
      </c>
      <c r="G68">
        <v>1</v>
      </c>
    </row>
    <row r="69" spans="5:7" x14ac:dyDescent="0.3">
      <c r="E69" s="6" t="s">
        <v>51</v>
      </c>
      <c r="F69">
        <v>175</v>
      </c>
      <c r="G69">
        <v>1</v>
      </c>
    </row>
    <row r="70" spans="5:7" x14ac:dyDescent="0.3">
      <c r="E70" s="6" t="s">
        <v>56</v>
      </c>
      <c r="F70">
        <v>175</v>
      </c>
      <c r="G70">
        <v>1</v>
      </c>
    </row>
    <row r="71" spans="5:7" x14ac:dyDescent="0.3">
      <c r="E71" s="6" t="s">
        <v>43</v>
      </c>
      <c r="F71">
        <v>175</v>
      </c>
      <c r="G71">
        <v>1</v>
      </c>
    </row>
    <row r="72" spans="5:7" x14ac:dyDescent="0.3">
      <c r="E72" s="6" t="s">
        <v>47</v>
      </c>
      <c r="F72">
        <v>175</v>
      </c>
      <c r="G72">
        <v>1</v>
      </c>
    </row>
    <row r="73" spans="5:7" x14ac:dyDescent="0.3">
      <c r="E73" s="6" t="s">
        <v>82</v>
      </c>
      <c r="F73">
        <v>175</v>
      </c>
      <c r="G73">
        <v>1</v>
      </c>
    </row>
    <row r="74" spans="5:7" x14ac:dyDescent="0.3">
      <c r="E74" s="6" t="s">
        <v>123</v>
      </c>
      <c r="F74">
        <v>175</v>
      </c>
      <c r="G74">
        <v>1</v>
      </c>
    </row>
    <row r="75" spans="5:7" x14ac:dyDescent="0.3">
      <c r="E75" s="6" t="s">
        <v>1974</v>
      </c>
      <c r="F75">
        <v>175.80645161290323</v>
      </c>
      <c r="G75">
        <v>31</v>
      </c>
    </row>
    <row r="80" spans="5:7" ht="31.2" x14ac:dyDescent="0.3">
      <c r="E80" s="9" t="s">
        <v>1987</v>
      </c>
    </row>
  </sheetData>
  <mergeCells count="1">
    <mergeCell ref="A1:H2"/>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CF86B3-607E-4C79-B5A1-BA59D7138F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Violation_Summary_Seller_Year</vt:lpstr>
      <vt:lpstr>Cleaned_Violation_Log</vt:lpstr>
      <vt:lpstr>Raw_Violation_Log</vt:lpstr>
      <vt:lpstr>Cleaned_Governance_Metrics</vt:lpstr>
      <vt:lpstr>Raw_Governance_Metrics</vt:lpstr>
      <vt:lpstr>Cleaned_Seller_Master</vt:lpstr>
      <vt:lpstr>Raw_Seller_Master</vt:lpstr>
      <vt:lpstr>Cleaned_Supplier_Risk</vt:lpstr>
      <vt:lpstr>Raw_Supplier_Risk</vt:lpstr>
      <vt:lpstr>Seller_Risk_Analysis</vt:lpstr>
      <vt:lpstr>Pivot_Risk_Reports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A</dc:creator>
  <cp:lastModifiedBy>Anagha A</cp:lastModifiedBy>
  <dcterms:created xsi:type="dcterms:W3CDTF">2026-04-12T18:27:12Z</dcterms:created>
  <dcterms:modified xsi:type="dcterms:W3CDTF">2026-04-20T02:42:35Z</dcterms:modified>
</cp:coreProperties>
</file>